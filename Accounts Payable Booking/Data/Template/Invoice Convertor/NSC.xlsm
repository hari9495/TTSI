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50" tabRatio="887" firstSheet="3" activeTab="11"/>
  </bookViews>
  <sheets>
    <sheet name="Data" sheetId="1" r:id="rId1"/>
    <sheet name="GRPO Pass Line Items" sheetId="29" r:id="rId2"/>
    <sheet name="GRPO Pass Line Items with Slash" sheetId="30" r:id="rId3"/>
    <sheet name="Config GRPO" sheetId="24" r:id="rId4"/>
    <sheet name="Validation GRPO" sheetId="26" r:id="rId5"/>
    <sheet name="Final GRPO" sheetId="27" r:id="rId6"/>
    <sheet name="GRPO Wiz Individual" sheetId="28" r:id="rId7"/>
    <sheet name="Logs" sheetId="19" r:id="rId8"/>
    <sheet name="Validation" sheetId="18" r:id="rId9"/>
    <sheet name="Split_WO_Size" sheetId="20" state="hidden" r:id="rId10"/>
    <sheet name="Config" sheetId="5" r:id="rId11"/>
    <sheet name="Final" sheetId="4" r:id="rId12"/>
    <sheet name="Split_W_Size" sheetId="3" state="hidden" r:id="rId13"/>
    <sheet name="Split_W_OnlySize" sheetId="10" state="hidden" r:id="rId14"/>
    <sheet name="Split_W_OnlySizeIGST" sheetId="23" state="hidden" r:id="rId15"/>
    <sheet name="Split_W_OnlyMatvalue" sheetId="15" state="hidden" r:id="rId16"/>
    <sheet name="AP" sheetId="16" r:id="rId17"/>
    <sheet name="Tax" sheetId="17" r:id="rId18"/>
    <sheet name="GRPO Wiz" sheetId="12" r:id="rId19"/>
    <sheet name="Incoming Material Report" sheetId="11" r:id="rId20"/>
    <sheet name="MASTER" sheetId="7" r:id="rId21"/>
    <sheet name="SPEC" sheetId="8" state="hidden" r:id="rId22"/>
    <sheet name="Details" sheetId="6" state="hidden" r:id="rId23"/>
    <sheet name="CoilNo" sheetId="9" state="hidden" r:id="rId24"/>
    <sheet name="count" sheetId="21" state="hidden" r:id="rId25"/>
    <sheet name="HSN" sheetId="22" r:id="rId26"/>
  </sheets>
  <functionGroups builtInGroupCount="18"/>
  <externalReferences>
    <externalReference r:id="rId27"/>
    <externalReference r:id="rId28"/>
    <externalReference r:id="rId29"/>
    <externalReference r:id="rId30"/>
    <externalReference r:id="rId31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99" i="4" l="1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U99" i="4"/>
  <c r="BX99" i="4" s="1"/>
  <c r="AT99" i="4"/>
  <c r="AR99" i="4"/>
  <c r="AQ99" i="4"/>
  <c r="AO99" i="4"/>
  <c r="AM99" i="4"/>
  <c r="AL99" i="4"/>
  <c r="AK99" i="4"/>
  <c r="AJ99" i="4"/>
  <c r="AI99" i="4"/>
  <c r="AH99" i="4"/>
  <c r="AG99" i="4"/>
  <c r="Z99" i="4"/>
  <c r="X99" i="4"/>
  <c r="K99" i="4"/>
  <c r="J99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U98" i="4"/>
  <c r="BX98" i="4" s="1"/>
  <c r="AT98" i="4"/>
  <c r="X98" i="4" s="1"/>
  <c r="AR98" i="4"/>
  <c r="AQ98" i="4"/>
  <c r="AO98" i="4"/>
  <c r="AM98" i="4"/>
  <c r="AL98" i="4"/>
  <c r="AK98" i="4"/>
  <c r="AJ98" i="4"/>
  <c r="AI98" i="4"/>
  <c r="AH98" i="4"/>
  <c r="AG98" i="4"/>
  <c r="Z98" i="4"/>
  <c r="K98" i="4"/>
  <c r="J98" i="4"/>
  <c r="BX97" i="4"/>
  <c r="CD97" i="4" s="1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U97" i="4"/>
  <c r="AT97" i="4"/>
  <c r="X97" i="4" s="1"/>
  <c r="AR97" i="4"/>
  <c r="AQ97" i="4"/>
  <c r="AO97" i="4"/>
  <c r="AM97" i="4"/>
  <c r="AL97" i="4"/>
  <c r="AK97" i="4"/>
  <c r="AJ97" i="4"/>
  <c r="AI97" i="4"/>
  <c r="AH97" i="4"/>
  <c r="AG97" i="4"/>
  <c r="Z97" i="4"/>
  <c r="K97" i="4"/>
  <c r="J97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U96" i="4"/>
  <c r="BX96" i="4" s="1"/>
  <c r="AT96" i="4"/>
  <c r="AR96" i="4"/>
  <c r="AQ96" i="4"/>
  <c r="AO96" i="4"/>
  <c r="AM96" i="4"/>
  <c r="AL96" i="4"/>
  <c r="AK96" i="4"/>
  <c r="AJ96" i="4"/>
  <c r="AI96" i="4"/>
  <c r="AH96" i="4"/>
  <c r="AG96" i="4"/>
  <c r="Z96" i="4"/>
  <c r="X96" i="4"/>
  <c r="K96" i="4"/>
  <c r="J96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U95" i="4"/>
  <c r="BX95" i="4" s="1"/>
  <c r="AT95" i="4"/>
  <c r="AR95" i="4"/>
  <c r="AQ95" i="4"/>
  <c r="AO95" i="4"/>
  <c r="AM95" i="4"/>
  <c r="AL95" i="4"/>
  <c r="AK95" i="4"/>
  <c r="AJ95" i="4"/>
  <c r="AI95" i="4"/>
  <c r="AH95" i="4"/>
  <c r="AG95" i="4"/>
  <c r="Z95" i="4"/>
  <c r="X95" i="4"/>
  <c r="K95" i="4"/>
  <c r="J95" i="4"/>
  <c r="BX94" i="4"/>
  <c r="CD94" i="4" s="1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U94" i="4"/>
  <c r="AT94" i="4"/>
  <c r="X94" i="4" s="1"/>
  <c r="AR94" i="4"/>
  <c r="AQ94" i="4"/>
  <c r="AO94" i="4"/>
  <c r="AM94" i="4"/>
  <c r="AL94" i="4"/>
  <c r="AK94" i="4"/>
  <c r="AJ94" i="4"/>
  <c r="AI94" i="4"/>
  <c r="AH94" i="4"/>
  <c r="AG94" i="4"/>
  <c r="Z94" i="4"/>
  <c r="K94" i="4"/>
  <c r="J94" i="4"/>
  <c r="BX93" i="4"/>
  <c r="CD93" i="4" s="1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U93" i="4"/>
  <c r="AT93" i="4"/>
  <c r="X93" i="4" s="1"/>
  <c r="AR93" i="4"/>
  <c r="AQ93" i="4"/>
  <c r="AO93" i="4"/>
  <c r="AM93" i="4"/>
  <c r="AL93" i="4"/>
  <c r="AK93" i="4"/>
  <c r="AJ93" i="4"/>
  <c r="AI93" i="4"/>
  <c r="AH93" i="4"/>
  <c r="AG93" i="4"/>
  <c r="Z93" i="4"/>
  <c r="K93" i="4"/>
  <c r="J93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U92" i="4"/>
  <c r="BX92" i="4" s="1"/>
  <c r="AT92" i="4"/>
  <c r="AR92" i="4"/>
  <c r="AQ92" i="4"/>
  <c r="AO92" i="4"/>
  <c r="AM92" i="4"/>
  <c r="AL92" i="4"/>
  <c r="AK92" i="4"/>
  <c r="AJ92" i="4"/>
  <c r="AI92" i="4"/>
  <c r="AH92" i="4"/>
  <c r="AG92" i="4"/>
  <c r="Z92" i="4"/>
  <c r="X92" i="4"/>
  <c r="K92" i="4"/>
  <c r="J92" i="4"/>
  <c r="BX91" i="4"/>
  <c r="CD91" i="4" s="1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U91" i="4"/>
  <c r="AT91" i="4"/>
  <c r="AR91" i="4"/>
  <c r="AQ91" i="4"/>
  <c r="AO91" i="4"/>
  <c r="AM91" i="4"/>
  <c r="AL91" i="4"/>
  <c r="AK91" i="4"/>
  <c r="AJ91" i="4"/>
  <c r="AI91" i="4"/>
  <c r="AH91" i="4"/>
  <c r="AG91" i="4"/>
  <c r="Z91" i="4"/>
  <c r="X91" i="4"/>
  <c r="K91" i="4"/>
  <c r="J91" i="4"/>
  <c r="BX90" i="4"/>
  <c r="CD90" i="4" s="1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U90" i="4"/>
  <c r="AT90" i="4"/>
  <c r="X90" i="4" s="1"/>
  <c r="AR90" i="4"/>
  <c r="AQ90" i="4"/>
  <c r="AO90" i="4"/>
  <c r="AM90" i="4"/>
  <c r="AL90" i="4"/>
  <c r="AK90" i="4"/>
  <c r="AJ90" i="4"/>
  <c r="AI90" i="4"/>
  <c r="AH90" i="4"/>
  <c r="AG90" i="4"/>
  <c r="Z90" i="4"/>
  <c r="K90" i="4"/>
  <c r="J90" i="4"/>
  <c r="BX89" i="4"/>
  <c r="CD89" i="4" s="1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U89" i="4"/>
  <c r="AT89" i="4"/>
  <c r="X89" i="4" s="1"/>
  <c r="AR89" i="4"/>
  <c r="AQ89" i="4"/>
  <c r="AO89" i="4"/>
  <c r="AM89" i="4"/>
  <c r="AL89" i="4"/>
  <c r="AK89" i="4"/>
  <c r="AJ89" i="4"/>
  <c r="AI89" i="4"/>
  <c r="AH89" i="4"/>
  <c r="AG89" i="4"/>
  <c r="Z89" i="4"/>
  <c r="K89" i="4"/>
  <c r="J89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U88" i="4"/>
  <c r="BX88" i="4" s="1"/>
  <c r="AT88" i="4"/>
  <c r="AR88" i="4"/>
  <c r="AQ88" i="4"/>
  <c r="AO88" i="4"/>
  <c r="AM88" i="4"/>
  <c r="AL88" i="4"/>
  <c r="AK88" i="4"/>
  <c r="AJ88" i="4"/>
  <c r="AI88" i="4"/>
  <c r="AH88" i="4"/>
  <c r="AG88" i="4"/>
  <c r="Z88" i="4"/>
  <c r="X88" i="4"/>
  <c r="K88" i="4"/>
  <c r="J88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U87" i="4"/>
  <c r="BX87" i="4" s="1"/>
  <c r="AT87" i="4"/>
  <c r="AR87" i="4"/>
  <c r="AQ87" i="4"/>
  <c r="AO87" i="4"/>
  <c r="AM87" i="4"/>
  <c r="AL87" i="4"/>
  <c r="AK87" i="4"/>
  <c r="AJ87" i="4"/>
  <c r="AI87" i="4"/>
  <c r="AH87" i="4"/>
  <c r="AG87" i="4"/>
  <c r="Z87" i="4"/>
  <c r="X87" i="4"/>
  <c r="K87" i="4"/>
  <c r="J87" i="4"/>
  <c r="BX86" i="4"/>
  <c r="CD86" i="4" s="1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U86" i="4"/>
  <c r="AT86" i="4"/>
  <c r="X86" i="4" s="1"/>
  <c r="AR86" i="4"/>
  <c r="AQ86" i="4"/>
  <c r="AO86" i="4"/>
  <c r="AM86" i="4"/>
  <c r="AL86" i="4"/>
  <c r="AK86" i="4"/>
  <c r="AJ86" i="4"/>
  <c r="AI86" i="4"/>
  <c r="AH86" i="4"/>
  <c r="AG86" i="4"/>
  <c r="Z86" i="4"/>
  <c r="K86" i="4"/>
  <c r="J86" i="4"/>
  <c r="BX85" i="4"/>
  <c r="CD85" i="4" s="1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U85" i="4"/>
  <c r="AT85" i="4"/>
  <c r="X85" i="4" s="1"/>
  <c r="AR85" i="4"/>
  <c r="AQ85" i="4"/>
  <c r="AO85" i="4"/>
  <c r="AM85" i="4"/>
  <c r="AL85" i="4"/>
  <c r="AK85" i="4"/>
  <c r="AJ85" i="4"/>
  <c r="AI85" i="4"/>
  <c r="AH85" i="4"/>
  <c r="AG85" i="4"/>
  <c r="Z85" i="4"/>
  <c r="K85" i="4"/>
  <c r="J85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U84" i="4"/>
  <c r="BX84" i="4" s="1"/>
  <c r="AT84" i="4"/>
  <c r="AR84" i="4"/>
  <c r="AQ84" i="4"/>
  <c r="AO84" i="4"/>
  <c r="AM84" i="4"/>
  <c r="AL84" i="4"/>
  <c r="AK84" i="4"/>
  <c r="AJ84" i="4"/>
  <c r="AI84" i="4"/>
  <c r="AH84" i="4"/>
  <c r="AG84" i="4"/>
  <c r="Z84" i="4"/>
  <c r="X84" i="4"/>
  <c r="K84" i="4"/>
  <c r="J84" i="4"/>
  <c r="BX83" i="4"/>
  <c r="CD83" i="4" s="1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U83" i="4"/>
  <c r="AT83" i="4"/>
  <c r="AR83" i="4"/>
  <c r="AQ83" i="4"/>
  <c r="AO83" i="4"/>
  <c r="AM83" i="4"/>
  <c r="AL83" i="4"/>
  <c r="AK83" i="4"/>
  <c r="AJ83" i="4"/>
  <c r="AI83" i="4"/>
  <c r="AH83" i="4"/>
  <c r="AG83" i="4"/>
  <c r="Z83" i="4"/>
  <c r="X83" i="4"/>
  <c r="K83" i="4"/>
  <c r="J83" i="4"/>
  <c r="BX82" i="4"/>
  <c r="CD82" i="4" s="1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U82" i="4"/>
  <c r="AT82" i="4"/>
  <c r="X82" i="4" s="1"/>
  <c r="AR82" i="4"/>
  <c r="AQ82" i="4"/>
  <c r="AO82" i="4"/>
  <c r="AM82" i="4"/>
  <c r="AL82" i="4"/>
  <c r="AK82" i="4"/>
  <c r="AJ82" i="4"/>
  <c r="AI82" i="4"/>
  <c r="AH82" i="4"/>
  <c r="AG82" i="4"/>
  <c r="Z82" i="4"/>
  <c r="K82" i="4"/>
  <c r="J82" i="4"/>
  <c r="BX81" i="4"/>
  <c r="CD81" i="4" s="1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U81" i="4"/>
  <c r="AT81" i="4"/>
  <c r="X81" i="4" s="1"/>
  <c r="AR81" i="4"/>
  <c r="AQ81" i="4"/>
  <c r="AO81" i="4"/>
  <c r="AM81" i="4"/>
  <c r="AL81" i="4"/>
  <c r="AK81" i="4"/>
  <c r="AJ81" i="4"/>
  <c r="AI81" i="4"/>
  <c r="AH81" i="4"/>
  <c r="AG81" i="4"/>
  <c r="Z81" i="4"/>
  <c r="K81" i="4"/>
  <c r="J81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U80" i="4"/>
  <c r="BX80" i="4" s="1"/>
  <c r="AT80" i="4"/>
  <c r="AR80" i="4"/>
  <c r="AQ80" i="4"/>
  <c r="AO80" i="4"/>
  <c r="AM80" i="4"/>
  <c r="AL80" i="4"/>
  <c r="AK80" i="4"/>
  <c r="AJ80" i="4"/>
  <c r="AI80" i="4"/>
  <c r="AH80" i="4"/>
  <c r="AG80" i="4"/>
  <c r="Z80" i="4"/>
  <c r="X80" i="4"/>
  <c r="K80" i="4"/>
  <c r="J80" i="4"/>
  <c r="BX79" i="4"/>
  <c r="CD79" i="4" s="1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U79" i="4"/>
  <c r="AT79" i="4"/>
  <c r="AR79" i="4"/>
  <c r="AQ79" i="4"/>
  <c r="AO79" i="4"/>
  <c r="AM79" i="4"/>
  <c r="AL79" i="4"/>
  <c r="AK79" i="4"/>
  <c r="AJ79" i="4"/>
  <c r="AI79" i="4"/>
  <c r="AH79" i="4"/>
  <c r="AG79" i="4"/>
  <c r="Z79" i="4"/>
  <c r="X79" i="4"/>
  <c r="K79" i="4"/>
  <c r="J79" i="4"/>
  <c r="BX78" i="4"/>
  <c r="CD78" i="4" s="1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U78" i="4"/>
  <c r="AT78" i="4"/>
  <c r="X78" i="4" s="1"/>
  <c r="AR78" i="4"/>
  <c r="AQ78" i="4"/>
  <c r="AO78" i="4"/>
  <c r="AM78" i="4"/>
  <c r="AL78" i="4"/>
  <c r="AK78" i="4"/>
  <c r="AJ78" i="4"/>
  <c r="AI78" i="4"/>
  <c r="AH78" i="4"/>
  <c r="AG78" i="4"/>
  <c r="Z78" i="4"/>
  <c r="K78" i="4"/>
  <c r="J78" i="4"/>
  <c r="BX77" i="4"/>
  <c r="CD77" i="4" s="1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U77" i="4"/>
  <c r="AT77" i="4"/>
  <c r="X77" i="4" s="1"/>
  <c r="AR77" i="4"/>
  <c r="AQ77" i="4"/>
  <c r="AO77" i="4"/>
  <c r="AM77" i="4"/>
  <c r="AL77" i="4"/>
  <c r="AK77" i="4"/>
  <c r="AJ77" i="4"/>
  <c r="AI77" i="4"/>
  <c r="AH77" i="4"/>
  <c r="AG77" i="4"/>
  <c r="Z77" i="4"/>
  <c r="K77" i="4"/>
  <c r="J77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U76" i="4"/>
  <c r="BX76" i="4" s="1"/>
  <c r="AT76" i="4"/>
  <c r="AR76" i="4"/>
  <c r="AQ76" i="4"/>
  <c r="AO76" i="4"/>
  <c r="AM76" i="4"/>
  <c r="AL76" i="4"/>
  <c r="AK76" i="4"/>
  <c r="AJ76" i="4"/>
  <c r="AI76" i="4"/>
  <c r="AH76" i="4"/>
  <c r="AG76" i="4"/>
  <c r="Z76" i="4"/>
  <c r="X76" i="4"/>
  <c r="K76" i="4"/>
  <c r="J76" i="4"/>
  <c r="BX75" i="4"/>
  <c r="CD75" i="4" s="1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U75" i="4"/>
  <c r="AT75" i="4"/>
  <c r="AR75" i="4"/>
  <c r="AQ75" i="4"/>
  <c r="AO75" i="4"/>
  <c r="AM75" i="4"/>
  <c r="AL75" i="4"/>
  <c r="AK75" i="4"/>
  <c r="AJ75" i="4"/>
  <c r="AI75" i="4"/>
  <c r="AH75" i="4"/>
  <c r="AG75" i="4"/>
  <c r="Z75" i="4"/>
  <c r="X75" i="4"/>
  <c r="K75" i="4"/>
  <c r="J75" i="4"/>
  <c r="BX74" i="4"/>
  <c r="CD74" i="4" s="1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U74" i="4"/>
  <c r="AT74" i="4"/>
  <c r="X74" i="4" s="1"/>
  <c r="AR74" i="4"/>
  <c r="AQ74" i="4"/>
  <c r="AO74" i="4"/>
  <c r="AM74" i="4"/>
  <c r="AL74" i="4"/>
  <c r="AK74" i="4"/>
  <c r="AJ74" i="4"/>
  <c r="AI74" i="4"/>
  <c r="AH74" i="4"/>
  <c r="AG74" i="4"/>
  <c r="Z74" i="4"/>
  <c r="K74" i="4"/>
  <c r="J74" i="4"/>
  <c r="BX73" i="4"/>
  <c r="CD73" i="4" s="1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U73" i="4"/>
  <c r="AT73" i="4"/>
  <c r="X73" i="4" s="1"/>
  <c r="AR73" i="4"/>
  <c r="AQ73" i="4"/>
  <c r="AO73" i="4"/>
  <c r="AM73" i="4"/>
  <c r="AL73" i="4"/>
  <c r="AK73" i="4"/>
  <c r="AJ73" i="4"/>
  <c r="AI73" i="4"/>
  <c r="AH73" i="4"/>
  <c r="AG73" i="4"/>
  <c r="Z73" i="4"/>
  <c r="K73" i="4"/>
  <c r="J73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U72" i="4"/>
  <c r="BX72" i="4" s="1"/>
  <c r="AT72" i="4"/>
  <c r="AR72" i="4"/>
  <c r="AQ72" i="4"/>
  <c r="AO72" i="4"/>
  <c r="AM72" i="4"/>
  <c r="AL72" i="4"/>
  <c r="AK72" i="4"/>
  <c r="AJ72" i="4"/>
  <c r="AI72" i="4"/>
  <c r="AH72" i="4"/>
  <c r="AG72" i="4"/>
  <c r="Z72" i="4"/>
  <c r="X72" i="4"/>
  <c r="K72" i="4"/>
  <c r="J72" i="4"/>
  <c r="BX71" i="4"/>
  <c r="CD71" i="4" s="1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U71" i="4"/>
  <c r="AT71" i="4"/>
  <c r="AR71" i="4"/>
  <c r="AQ71" i="4"/>
  <c r="AO71" i="4"/>
  <c r="AM71" i="4"/>
  <c r="AL71" i="4"/>
  <c r="AK71" i="4"/>
  <c r="AJ71" i="4"/>
  <c r="AI71" i="4"/>
  <c r="AH71" i="4"/>
  <c r="AG71" i="4"/>
  <c r="Z71" i="4"/>
  <c r="X71" i="4"/>
  <c r="K71" i="4"/>
  <c r="J71" i="4"/>
  <c r="BX70" i="4"/>
  <c r="CD70" i="4" s="1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U70" i="4"/>
  <c r="AT70" i="4"/>
  <c r="X70" i="4" s="1"/>
  <c r="AR70" i="4"/>
  <c r="AQ70" i="4"/>
  <c r="AO70" i="4"/>
  <c r="AM70" i="4"/>
  <c r="AL70" i="4"/>
  <c r="AK70" i="4"/>
  <c r="AJ70" i="4"/>
  <c r="AI70" i="4"/>
  <c r="AH70" i="4"/>
  <c r="AG70" i="4"/>
  <c r="Z70" i="4"/>
  <c r="K70" i="4"/>
  <c r="J70" i="4"/>
  <c r="BX69" i="4"/>
  <c r="CD69" i="4" s="1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U69" i="4"/>
  <c r="AT69" i="4"/>
  <c r="X69" i="4" s="1"/>
  <c r="AR69" i="4"/>
  <c r="AQ69" i="4"/>
  <c r="AO69" i="4"/>
  <c r="AM69" i="4"/>
  <c r="AL69" i="4"/>
  <c r="AK69" i="4"/>
  <c r="AJ69" i="4"/>
  <c r="AI69" i="4"/>
  <c r="AH69" i="4"/>
  <c r="AG69" i="4"/>
  <c r="Z69" i="4"/>
  <c r="K69" i="4"/>
  <c r="J69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U68" i="4"/>
  <c r="BX68" i="4" s="1"/>
  <c r="AT68" i="4"/>
  <c r="AR68" i="4"/>
  <c r="AQ68" i="4"/>
  <c r="AO68" i="4"/>
  <c r="AM68" i="4"/>
  <c r="AL68" i="4"/>
  <c r="AK68" i="4"/>
  <c r="AJ68" i="4"/>
  <c r="AI68" i="4"/>
  <c r="AH68" i="4"/>
  <c r="AG68" i="4"/>
  <c r="Z68" i="4"/>
  <c r="X68" i="4"/>
  <c r="K68" i="4"/>
  <c r="J68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U67" i="4"/>
  <c r="BX67" i="4" s="1"/>
  <c r="CD67" i="4" s="1"/>
  <c r="AT67" i="4"/>
  <c r="X67" i="4" s="1"/>
  <c r="AR67" i="4"/>
  <c r="AQ67" i="4"/>
  <c r="AO67" i="4"/>
  <c r="AM67" i="4"/>
  <c r="AL67" i="4"/>
  <c r="AK67" i="4"/>
  <c r="AJ67" i="4"/>
  <c r="AI67" i="4"/>
  <c r="AH67" i="4"/>
  <c r="AG67" i="4"/>
  <c r="Z67" i="4"/>
  <c r="K67" i="4"/>
  <c r="AC2" i="4" s="1"/>
  <c r="J67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U66" i="4"/>
  <c r="BX66" i="4" s="1"/>
  <c r="AT66" i="4"/>
  <c r="AR66" i="4"/>
  <c r="AQ66" i="4"/>
  <c r="AO66" i="4"/>
  <c r="AM66" i="4"/>
  <c r="AL66" i="4"/>
  <c r="AK66" i="4"/>
  <c r="AJ66" i="4"/>
  <c r="AI66" i="4"/>
  <c r="AH66" i="4"/>
  <c r="AG66" i="4"/>
  <c r="Z66" i="4"/>
  <c r="X66" i="4"/>
  <c r="K66" i="4"/>
  <c r="J66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U65" i="4"/>
  <c r="BX65" i="4" s="1"/>
  <c r="AT65" i="4"/>
  <c r="AR65" i="4"/>
  <c r="AQ65" i="4"/>
  <c r="AO65" i="4"/>
  <c r="AM65" i="4"/>
  <c r="AL65" i="4"/>
  <c r="AK65" i="4"/>
  <c r="AJ65" i="4"/>
  <c r="AI65" i="4"/>
  <c r="AH65" i="4"/>
  <c r="AG65" i="4"/>
  <c r="Z65" i="4"/>
  <c r="X65" i="4"/>
  <c r="K65" i="4"/>
  <c r="J65" i="4"/>
  <c r="CD64" i="4"/>
  <c r="BX64" i="4"/>
  <c r="BY64" i="4" s="1"/>
  <c r="BZ64" i="4" s="1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U64" i="4"/>
  <c r="AT64" i="4"/>
  <c r="X64" i="4" s="1"/>
  <c r="AR64" i="4"/>
  <c r="AQ64" i="4"/>
  <c r="AO64" i="4"/>
  <c r="AM64" i="4"/>
  <c r="AL64" i="4"/>
  <c r="AK64" i="4"/>
  <c r="AJ64" i="4"/>
  <c r="AI64" i="4"/>
  <c r="AH64" i="4"/>
  <c r="AG64" i="4"/>
  <c r="Z64" i="4"/>
  <c r="K64" i="4"/>
  <c r="J64" i="4"/>
  <c r="BX63" i="4"/>
  <c r="CD63" i="4" s="1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U63" i="4"/>
  <c r="AT63" i="4"/>
  <c r="X63" i="4" s="1"/>
  <c r="AR63" i="4"/>
  <c r="AQ63" i="4"/>
  <c r="AO63" i="4"/>
  <c r="AM63" i="4"/>
  <c r="AL63" i="4"/>
  <c r="AK63" i="4"/>
  <c r="AJ63" i="4"/>
  <c r="AI63" i="4"/>
  <c r="AH63" i="4"/>
  <c r="AG63" i="4"/>
  <c r="Z63" i="4"/>
  <c r="K63" i="4"/>
  <c r="J63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U62" i="4"/>
  <c r="BX62" i="4" s="1"/>
  <c r="AT62" i="4"/>
  <c r="AR62" i="4"/>
  <c r="AQ62" i="4"/>
  <c r="AO62" i="4"/>
  <c r="AM62" i="4"/>
  <c r="AL62" i="4"/>
  <c r="AK62" i="4"/>
  <c r="AJ62" i="4"/>
  <c r="AI62" i="4"/>
  <c r="AH62" i="4"/>
  <c r="AG62" i="4"/>
  <c r="Z62" i="4"/>
  <c r="X62" i="4"/>
  <c r="K62" i="4"/>
  <c r="J62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U61" i="4"/>
  <c r="BX61" i="4" s="1"/>
  <c r="AT61" i="4"/>
  <c r="AR61" i="4"/>
  <c r="AQ61" i="4"/>
  <c r="AO61" i="4"/>
  <c r="AM61" i="4"/>
  <c r="AL61" i="4"/>
  <c r="AK61" i="4"/>
  <c r="AJ61" i="4"/>
  <c r="AI61" i="4"/>
  <c r="AH61" i="4"/>
  <c r="AG61" i="4"/>
  <c r="Z61" i="4"/>
  <c r="X61" i="4"/>
  <c r="K61" i="4"/>
  <c r="J61" i="4"/>
  <c r="BX60" i="4"/>
  <c r="BY60" i="4" s="1"/>
  <c r="BZ60" i="4" s="1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U60" i="4"/>
  <c r="AT60" i="4"/>
  <c r="X60" i="4" s="1"/>
  <c r="AR60" i="4"/>
  <c r="AQ60" i="4"/>
  <c r="AO60" i="4"/>
  <c r="AM60" i="4"/>
  <c r="AL60" i="4"/>
  <c r="AK60" i="4"/>
  <c r="AJ60" i="4"/>
  <c r="AI60" i="4"/>
  <c r="AH60" i="4"/>
  <c r="AG60" i="4"/>
  <c r="Z60" i="4"/>
  <c r="K60" i="4"/>
  <c r="J60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U59" i="4"/>
  <c r="BX59" i="4" s="1"/>
  <c r="AT59" i="4"/>
  <c r="X59" i="4" s="1"/>
  <c r="AR59" i="4"/>
  <c r="AQ59" i="4"/>
  <c r="AO59" i="4"/>
  <c r="AM59" i="4"/>
  <c r="AL59" i="4"/>
  <c r="AK59" i="4"/>
  <c r="AJ59" i="4"/>
  <c r="AI59" i="4"/>
  <c r="AH59" i="4"/>
  <c r="AG59" i="4"/>
  <c r="Z59" i="4"/>
  <c r="K59" i="4"/>
  <c r="J59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U58" i="4"/>
  <c r="BX58" i="4" s="1"/>
  <c r="AT58" i="4"/>
  <c r="AR58" i="4"/>
  <c r="AQ58" i="4"/>
  <c r="AO58" i="4"/>
  <c r="AM58" i="4"/>
  <c r="AL58" i="4"/>
  <c r="AK58" i="4"/>
  <c r="AJ58" i="4"/>
  <c r="AI58" i="4"/>
  <c r="AH58" i="4"/>
  <c r="AG58" i="4"/>
  <c r="Z58" i="4"/>
  <c r="X58" i="4"/>
  <c r="K58" i="4"/>
  <c r="J58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U57" i="4"/>
  <c r="BX57" i="4" s="1"/>
  <c r="AT57" i="4"/>
  <c r="AR57" i="4"/>
  <c r="AQ57" i="4"/>
  <c r="AO57" i="4"/>
  <c r="AM57" i="4"/>
  <c r="AL57" i="4"/>
  <c r="AK57" i="4"/>
  <c r="AJ57" i="4"/>
  <c r="AI57" i="4"/>
  <c r="AH57" i="4"/>
  <c r="AG57" i="4"/>
  <c r="Z57" i="4"/>
  <c r="X57" i="4"/>
  <c r="K57" i="4"/>
  <c r="J57" i="4"/>
  <c r="BX56" i="4"/>
  <c r="BY56" i="4" s="1"/>
  <c r="BZ56" i="4" s="1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U56" i="4"/>
  <c r="AT56" i="4"/>
  <c r="X56" i="4" s="1"/>
  <c r="AR56" i="4"/>
  <c r="AQ56" i="4"/>
  <c r="AO56" i="4"/>
  <c r="AM56" i="4"/>
  <c r="AL56" i="4"/>
  <c r="AK56" i="4"/>
  <c r="AJ56" i="4"/>
  <c r="AI56" i="4"/>
  <c r="AH56" i="4"/>
  <c r="AG56" i="4"/>
  <c r="Z56" i="4"/>
  <c r="K56" i="4"/>
  <c r="J56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U55" i="4"/>
  <c r="BX55" i="4" s="1"/>
  <c r="AT55" i="4"/>
  <c r="X55" i="4" s="1"/>
  <c r="AR55" i="4"/>
  <c r="AQ55" i="4"/>
  <c r="AO55" i="4"/>
  <c r="AM55" i="4"/>
  <c r="AL55" i="4"/>
  <c r="AK55" i="4"/>
  <c r="AJ55" i="4"/>
  <c r="AI55" i="4"/>
  <c r="AH55" i="4"/>
  <c r="AG55" i="4"/>
  <c r="Z55" i="4"/>
  <c r="K55" i="4"/>
  <c r="J55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U54" i="4"/>
  <c r="BX54" i="4" s="1"/>
  <c r="AT54" i="4"/>
  <c r="AR54" i="4"/>
  <c r="AQ54" i="4"/>
  <c r="AO54" i="4"/>
  <c r="AM54" i="4"/>
  <c r="AL54" i="4"/>
  <c r="AK54" i="4"/>
  <c r="AJ54" i="4"/>
  <c r="AI54" i="4"/>
  <c r="AH54" i="4"/>
  <c r="AG54" i="4"/>
  <c r="Z54" i="4"/>
  <c r="X54" i="4"/>
  <c r="K54" i="4"/>
  <c r="J54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U53" i="4"/>
  <c r="BX53" i="4" s="1"/>
  <c r="AT53" i="4"/>
  <c r="AR53" i="4"/>
  <c r="AQ53" i="4"/>
  <c r="AO53" i="4"/>
  <c r="AM53" i="4"/>
  <c r="AL53" i="4"/>
  <c r="AK53" i="4"/>
  <c r="AJ53" i="4"/>
  <c r="AI53" i="4"/>
  <c r="AH53" i="4"/>
  <c r="AG53" i="4"/>
  <c r="Z53" i="4"/>
  <c r="X53" i="4"/>
  <c r="K53" i="4"/>
  <c r="J53" i="4"/>
  <c r="BX52" i="4"/>
  <c r="BY52" i="4" s="1"/>
  <c r="BZ52" i="4" s="1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U52" i="4"/>
  <c r="AT52" i="4"/>
  <c r="X52" i="4" s="1"/>
  <c r="AR52" i="4"/>
  <c r="AQ52" i="4"/>
  <c r="AO52" i="4"/>
  <c r="AM52" i="4"/>
  <c r="AL52" i="4"/>
  <c r="AK52" i="4"/>
  <c r="AJ52" i="4"/>
  <c r="AI52" i="4"/>
  <c r="AH52" i="4"/>
  <c r="AG52" i="4"/>
  <c r="Z52" i="4"/>
  <c r="K52" i="4"/>
  <c r="J52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U51" i="4"/>
  <c r="BX51" i="4" s="1"/>
  <c r="AT51" i="4"/>
  <c r="X51" i="4" s="1"/>
  <c r="AR51" i="4"/>
  <c r="AQ51" i="4"/>
  <c r="AO51" i="4"/>
  <c r="AM51" i="4"/>
  <c r="AL51" i="4"/>
  <c r="AK51" i="4"/>
  <c r="AJ51" i="4"/>
  <c r="AI51" i="4"/>
  <c r="AH51" i="4"/>
  <c r="AG51" i="4"/>
  <c r="Z51" i="4"/>
  <c r="K51" i="4"/>
  <c r="J51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U50" i="4"/>
  <c r="BX50" i="4" s="1"/>
  <c r="AT50" i="4"/>
  <c r="AR50" i="4"/>
  <c r="AQ50" i="4"/>
  <c r="AO50" i="4"/>
  <c r="AM50" i="4"/>
  <c r="AL50" i="4"/>
  <c r="AK50" i="4"/>
  <c r="AJ50" i="4"/>
  <c r="AI50" i="4"/>
  <c r="AH50" i="4"/>
  <c r="AG50" i="4"/>
  <c r="Z50" i="4"/>
  <c r="X50" i="4"/>
  <c r="K50" i="4"/>
  <c r="J50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U49" i="4"/>
  <c r="BX49" i="4" s="1"/>
  <c r="AT49" i="4"/>
  <c r="AR49" i="4"/>
  <c r="AQ49" i="4"/>
  <c r="AO49" i="4"/>
  <c r="AM49" i="4"/>
  <c r="AL49" i="4"/>
  <c r="AK49" i="4"/>
  <c r="AJ49" i="4"/>
  <c r="AI49" i="4"/>
  <c r="AH49" i="4"/>
  <c r="AG49" i="4"/>
  <c r="Z49" i="4"/>
  <c r="X49" i="4"/>
  <c r="K49" i="4"/>
  <c r="J49" i="4"/>
  <c r="BX48" i="4"/>
  <c r="BY48" i="4" s="1"/>
  <c r="BZ48" i="4" s="1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U48" i="4"/>
  <c r="AT48" i="4"/>
  <c r="X48" i="4" s="1"/>
  <c r="AR48" i="4"/>
  <c r="AQ48" i="4"/>
  <c r="AO48" i="4"/>
  <c r="AM48" i="4"/>
  <c r="AL48" i="4"/>
  <c r="AK48" i="4"/>
  <c r="AJ48" i="4"/>
  <c r="AI48" i="4"/>
  <c r="AH48" i="4"/>
  <c r="AG48" i="4"/>
  <c r="Z48" i="4"/>
  <c r="K48" i="4"/>
  <c r="J48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U47" i="4"/>
  <c r="BX47" i="4" s="1"/>
  <c r="AT47" i="4"/>
  <c r="X47" i="4" s="1"/>
  <c r="AR47" i="4"/>
  <c r="AQ47" i="4"/>
  <c r="AO47" i="4"/>
  <c r="AM47" i="4"/>
  <c r="AL47" i="4"/>
  <c r="AK47" i="4"/>
  <c r="AJ47" i="4"/>
  <c r="AI47" i="4"/>
  <c r="AH47" i="4"/>
  <c r="AG47" i="4"/>
  <c r="Z47" i="4"/>
  <c r="K47" i="4"/>
  <c r="J47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U46" i="4"/>
  <c r="BX46" i="4" s="1"/>
  <c r="AT46" i="4"/>
  <c r="AR46" i="4"/>
  <c r="AQ46" i="4"/>
  <c r="AO46" i="4"/>
  <c r="AM46" i="4"/>
  <c r="AL46" i="4"/>
  <c r="AK46" i="4"/>
  <c r="AJ46" i="4"/>
  <c r="AI46" i="4"/>
  <c r="AH46" i="4"/>
  <c r="AG46" i="4"/>
  <c r="Z46" i="4"/>
  <c r="X46" i="4"/>
  <c r="K46" i="4"/>
  <c r="J46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U45" i="4"/>
  <c r="BX45" i="4" s="1"/>
  <c r="AT45" i="4"/>
  <c r="X45" i="4" s="1"/>
  <c r="AR45" i="4"/>
  <c r="AQ45" i="4"/>
  <c r="AO45" i="4"/>
  <c r="AM45" i="4"/>
  <c r="AL45" i="4"/>
  <c r="AK45" i="4"/>
  <c r="AJ45" i="4"/>
  <c r="AI45" i="4"/>
  <c r="AH45" i="4"/>
  <c r="AG45" i="4"/>
  <c r="Z45" i="4"/>
  <c r="K45" i="4"/>
  <c r="J45" i="4"/>
  <c r="BX44" i="4"/>
  <c r="BY44" i="4" s="1"/>
  <c r="BZ44" i="4" s="1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U44" i="4"/>
  <c r="AT44" i="4"/>
  <c r="X44" i="4" s="1"/>
  <c r="AR44" i="4"/>
  <c r="AQ44" i="4"/>
  <c r="AO44" i="4"/>
  <c r="AM44" i="4"/>
  <c r="AL44" i="4"/>
  <c r="AK44" i="4"/>
  <c r="AJ44" i="4"/>
  <c r="AI44" i="4"/>
  <c r="AH44" i="4"/>
  <c r="AG44" i="4"/>
  <c r="Z44" i="4"/>
  <c r="K44" i="4"/>
  <c r="J44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U43" i="4"/>
  <c r="BX43" i="4" s="1"/>
  <c r="AT43" i="4"/>
  <c r="X43" i="4" s="1"/>
  <c r="AR43" i="4"/>
  <c r="AQ43" i="4"/>
  <c r="AO43" i="4"/>
  <c r="AM43" i="4"/>
  <c r="AL43" i="4"/>
  <c r="AK43" i="4"/>
  <c r="AJ43" i="4"/>
  <c r="AI43" i="4"/>
  <c r="AH43" i="4"/>
  <c r="AG43" i="4"/>
  <c r="Z43" i="4"/>
  <c r="K43" i="4"/>
  <c r="J43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U42" i="4"/>
  <c r="BX42" i="4" s="1"/>
  <c r="AT42" i="4"/>
  <c r="AR42" i="4"/>
  <c r="AQ42" i="4"/>
  <c r="AO42" i="4"/>
  <c r="AM42" i="4"/>
  <c r="AL42" i="4"/>
  <c r="AK42" i="4"/>
  <c r="AJ42" i="4"/>
  <c r="AI42" i="4"/>
  <c r="AH42" i="4"/>
  <c r="AG42" i="4"/>
  <c r="Z42" i="4"/>
  <c r="X42" i="4"/>
  <c r="K42" i="4"/>
  <c r="J42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U41" i="4"/>
  <c r="BX41" i="4" s="1"/>
  <c r="AT41" i="4"/>
  <c r="X41" i="4" s="1"/>
  <c r="AR41" i="4"/>
  <c r="AQ41" i="4"/>
  <c r="AO41" i="4"/>
  <c r="AM41" i="4"/>
  <c r="AL41" i="4"/>
  <c r="AK41" i="4"/>
  <c r="AJ41" i="4"/>
  <c r="AI41" i="4"/>
  <c r="AH41" i="4"/>
  <c r="AG41" i="4"/>
  <c r="Z41" i="4"/>
  <c r="K41" i="4"/>
  <c r="J41" i="4"/>
  <c r="BX40" i="4"/>
  <c r="BY40" i="4" s="1"/>
  <c r="BZ40" i="4" s="1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U40" i="4"/>
  <c r="AT40" i="4"/>
  <c r="X40" i="4" s="1"/>
  <c r="AR40" i="4"/>
  <c r="AQ40" i="4"/>
  <c r="AO40" i="4"/>
  <c r="AM40" i="4"/>
  <c r="AL40" i="4"/>
  <c r="AK40" i="4"/>
  <c r="AJ40" i="4"/>
  <c r="AI40" i="4"/>
  <c r="AH40" i="4"/>
  <c r="AG40" i="4"/>
  <c r="Z40" i="4"/>
  <c r="K40" i="4"/>
  <c r="J40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U39" i="4"/>
  <c r="BX39" i="4" s="1"/>
  <c r="AT39" i="4"/>
  <c r="AR39" i="4"/>
  <c r="AQ39" i="4"/>
  <c r="AO39" i="4"/>
  <c r="AM39" i="4"/>
  <c r="AL39" i="4"/>
  <c r="AK39" i="4"/>
  <c r="AJ39" i="4"/>
  <c r="AI39" i="4"/>
  <c r="AH39" i="4"/>
  <c r="AG39" i="4"/>
  <c r="Z39" i="4"/>
  <c r="X39" i="4"/>
  <c r="K39" i="4"/>
  <c r="J39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U38" i="4"/>
  <c r="BX38" i="4" s="1"/>
  <c r="AT38" i="4"/>
  <c r="AR38" i="4"/>
  <c r="AQ38" i="4"/>
  <c r="AO38" i="4"/>
  <c r="AM38" i="4"/>
  <c r="AL38" i="4"/>
  <c r="AK38" i="4"/>
  <c r="AJ38" i="4"/>
  <c r="AI38" i="4"/>
  <c r="AH38" i="4"/>
  <c r="AG38" i="4"/>
  <c r="Z38" i="4"/>
  <c r="X38" i="4"/>
  <c r="K38" i="4"/>
  <c r="J38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U37" i="4"/>
  <c r="BX37" i="4" s="1"/>
  <c r="AT37" i="4"/>
  <c r="X37" i="4" s="1"/>
  <c r="AR37" i="4"/>
  <c r="AQ37" i="4"/>
  <c r="AO37" i="4"/>
  <c r="AM37" i="4"/>
  <c r="AL37" i="4"/>
  <c r="AK37" i="4"/>
  <c r="AJ37" i="4"/>
  <c r="AI37" i="4"/>
  <c r="AH37" i="4"/>
  <c r="AG37" i="4"/>
  <c r="Z37" i="4"/>
  <c r="K37" i="4"/>
  <c r="J37" i="4"/>
  <c r="BX36" i="4"/>
  <c r="BY36" i="4" s="1"/>
  <c r="BZ36" i="4" s="1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U36" i="4"/>
  <c r="AT36" i="4"/>
  <c r="X36" i="4" s="1"/>
  <c r="AR36" i="4"/>
  <c r="AQ36" i="4"/>
  <c r="AO36" i="4"/>
  <c r="AM36" i="4"/>
  <c r="AL36" i="4"/>
  <c r="AK36" i="4"/>
  <c r="AJ36" i="4"/>
  <c r="AI36" i="4"/>
  <c r="AH36" i="4"/>
  <c r="AG36" i="4"/>
  <c r="Z36" i="4"/>
  <c r="K36" i="4"/>
  <c r="J36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U35" i="4"/>
  <c r="BX35" i="4" s="1"/>
  <c r="AT35" i="4"/>
  <c r="X35" i="4" s="1"/>
  <c r="AR35" i="4"/>
  <c r="AQ35" i="4"/>
  <c r="AO35" i="4"/>
  <c r="AM35" i="4"/>
  <c r="AL35" i="4"/>
  <c r="AK35" i="4"/>
  <c r="AJ35" i="4"/>
  <c r="AI35" i="4"/>
  <c r="AH35" i="4"/>
  <c r="AG35" i="4"/>
  <c r="Z35" i="4"/>
  <c r="K35" i="4"/>
  <c r="J35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U34" i="4"/>
  <c r="BX34" i="4" s="1"/>
  <c r="AT34" i="4"/>
  <c r="AR34" i="4"/>
  <c r="AQ34" i="4"/>
  <c r="AO34" i="4"/>
  <c r="AM34" i="4"/>
  <c r="AL34" i="4"/>
  <c r="AK34" i="4"/>
  <c r="AJ34" i="4"/>
  <c r="AI34" i="4"/>
  <c r="AH34" i="4"/>
  <c r="AG34" i="4"/>
  <c r="Z34" i="4"/>
  <c r="X34" i="4"/>
  <c r="K34" i="4"/>
  <c r="J34" i="4"/>
  <c r="BY92" i="4" l="1"/>
  <c r="BZ92" i="4" s="1"/>
  <c r="CD92" i="4"/>
  <c r="BY96" i="4"/>
  <c r="BZ96" i="4" s="1"/>
  <c r="CD96" i="4"/>
  <c r="CD87" i="4"/>
  <c r="BY87" i="4"/>
  <c r="BZ87" i="4" s="1"/>
  <c r="CD99" i="4"/>
  <c r="BY99" i="4"/>
  <c r="BZ99" i="4" s="1"/>
  <c r="CD95" i="4"/>
  <c r="BY95" i="4"/>
  <c r="BZ95" i="4" s="1"/>
  <c r="BY68" i="4"/>
  <c r="BZ68" i="4" s="1"/>
  <c r="CD68" i="4"/>
  <c r="CD98" i="4"/>
  <c r="BY98" i="4"/>
  <c r="BZ98" i="4" s="1"/>
  <c r="BY72" i="4"/>
  <c r="BZ72" i="4" s="1"/>
  <c r="CD72" i="4"/>
  <c r="BY76" i="4"/>
  <c r="BZ76" i="4" s="1"/>
  <c r="CD76" i="4"/>
  <c r="BY80" i="4"/>
  <c r="BZ80" i="4" s="1"/>
  <c r="CD80" i="4"/>
  <c r="BY84" i="4"/>
  <c r="BZ84" i="4" s="1"/>
  <c r="CD84" i="4"/>
  <c r="BY88" i="4"/>
  <c r="BZ88" i="4" s="1"/>
  <c r="CD88" i="4"/>
  <c r="BY69" i="4"/>
  <c r="BZ69" i="4" s="1"/>
  <c r="BY73" i="4"/>
  <c r="BZ73" i="4" s="1"/>
  <c r="BY77" i="4"/>
  <c r="BZ77" i="4" s="1"/>
  <c r="BY81" i="4"/>
  <c r="BZ81" i="4" s="1"/>
  <c r="BY85" i="4"/>
  <c r="BZ85" i="4" s="1"/>
  <c r="BY89" i="4"/>
  <c r="BZ89" i="4" s="1"/>
  <c r="BY93" i="4"/>
  <c r="BZ93" i="4" s="1"/>
  <c r="BY97" i="4"/>
  <c r="BZ97" i="4" s="1"/>
  <c r="BY70" i="4"/>
  <c r="BZ70" i="4" s="1"/>
  <c r="BY74" i="4"/>
  <c r="BZ74" i="4" s="1"/>
  <c r="BY78" i="4"/>
  <c r="BZ78" i="4" s="1"/>
  <c r="BY82" i="4"/>
  <c r="BZ82" i="4" s="1"/>
  <c r="BY86" i="4"/>
  <c r="BZ86" i="4" s="1"/>
  <c r="BY90" i="4"/>
  <c r="BZ90" i="4" s="1"/>
  <c r="BY94" i="4"/>
  <c r="BZ94" i="4" s="1"/>
  <c r="BY71" i="4"/>
  <c r="BZ71" i="4" s="1"/>
  <c r="BY75" i="4"/>
  <c r="BZ75" i="4" s="1"/>
  <c r="BY79" i="4"/>
  <c r="BZ79" i="4" s="1"/>
  <c r="BY83" i="4"/>
  <c r="BZ83" i="4" s="1"/>
  <c r="BY91" i="4"/>
  <c r="BZ91" i="4" s="1"/>
  <c r="BY54" i="4"/>
  <c r="BZ54" i="4" s="1"/>
  <c r="CD54" i="4"/>
  <c r="CD43" i="4"/>
  <c r="BY43" i="4"/>
  <c r="BZ43" i="4" s="1"/>
  <c r="CD57" i="4"/>
  <c r="BY57" i="4"/>
  <c r="BZ57" i="4" s="1"/>
  <c r="CD65" i="4"/>
  <c r="BY65" i="4"/>
  <c r="BZ65" i="4" s="1"/>
  <c r="CD49" i="4"/>
  <c r="BY49" i="4"/>
  <c r="BZ49" i="4" s="1"/>
  <c r="CD35" i="4"/>
  <c r="BY35" i="4"/>
  <c r="BZ35" i="4" s="1"/>
  <c r="BY42" i="4"/>
  <c r="BZ42" i="4" s="1"/>
  <c r="CD42" i="4"/>
  <c r="CD45" i="4"/>
  <c r="BY45" i="4"/>
  <c r="BZ45" i="4" s="1"/>
  <c r="CD59" i="4"/>
  <c r="BY59" i="4"/>
  <c r="BZ59" i="4" s="1"/>
  <c r="CD55" i="4"/>
  <c r="BY55" i="4"/>
  <c r="BZ55" i="4" s="1"/>
  <c r="CD34" i="4"/>
  <c r="BY34" i="4"/>
  <c r="BZ34" i="4" s="1"/>
  <c r="BY37" i="4"/>
  <c r="BZ37" i="4" s="1"/>
  <c r="CD37" i="4"/>
  <c r="BY50" i="4"/>
  <c r="BZ50" i="4" s="1"/>
  <c r="CD50" i="4"/>
  <c r="CD46" i="4"/>
  <c r="BY46" i="4"/>
  <c r="BZ46" i="4" s="1"/>
  <c r="BY53" i="4"/>
  <c r="BZ53" i="4" s="1"/>
  <c r="CD53" i="4"/>
  <c r="CD39" i="4"/>
  <c r="BY39" i="4"/>
  <c r="BZ39" i="4" s="1"/>
  <c r="BY38" i="4"/>
  <c r="BZ38" i="4" s="1"/>
  <c r="CD38" i="4"/>
  <c r="BY41" i="4"/>
  <c r="BZ41" i="4" s="1"/>
  <c r="CD41" i="4"/>
  <c r="BY51" i="4"/>
  <c r="BZ51" i="4" s="1"/>
  <c r="CD51" i="4"/>
  <c r="CD62" i="4"/>
  <c r="BY62" i="4"/>
  <c r="BZ62" i="4" s="1"/>
  <c r="CD47" i="4"/>
  <c r="BY47" i="4"/>
  <c r="BZ47" i="4" s="1"/>
  <c r="CD58" i="4"/>
  <c r="BY58" i="4"/>
  <c r="BZ58" i="4" s="1"/>
  <c r="CD66" i="4"/>
  <c r="BY66" i="4"/>
  <c r="BZ66" i="4" s="1"/>
  <c r="CD61" i="4"/>
  <c r="BY61" i="4"/>
  <c r="BZ61" i="4" s="1"/>
  <c r="CD36" i="4"/>
  <c r="CD40" i="4"/>
  <c r="CD44" i="4"/>
  <c r="CD56" i="4"/>
  <c r="CD60" i="4"/>
  <c r="CD48" i="4"/>
  <c r="CD52" i="4"/>
  <c r="BY63" i="4"/>
  <c r="BZ63" i="4" s="1"/>
  <c r="BY67" i="4"/>
  <c r="BZ67" i="4" s="1"/>
  <c r="CK2" i="4"/>
  <c r="AM2" i="17"/>
  <c r="K7" i="24" l="1"/>
  <c r="K9" i="24" l="1"/>
  <c r="K6" i="24"/>
  <c r="AB2" i="4" l="1"/>
  <c r="CF2" i="18" s="1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2" i="4"/>
  <c r="AD2" i="4" l="1"/>
  <c r="CK2" i="18" s="1"/>
  <c r="K19" i="24"/>
  <c r="BX752" i="28" l="1"/>
  <c r="BW752" i="28"/>
  <c r="BV752" i="28"/>
  <c r="BU752" i="28"/>
  <c r="BT752" i="28"/>
  <c r="BS752" i="28"/>
  <c r="BR752" i="28"/>
  <c r="BQ752" i="28"/>
  <c r="BP752" i="28"/>
  <c r="BO752" i="28"/>
  <c r="BN752" i="28"/>
  <c r="BM752" i="28"/>
  <c r="BL752" i="28"/>
  <c r="BK752" i="28"/>
  <c r="BJ752" i="28"/>
  <c r="BI752" i="28"/>
  <c r="BH752" i="28"/>
  <c r="BG752" i="28"/>
  <c r="BF752" i="28"/>
  <c r="BX751" i="28"/>
  <c r="BW751" i="28"/>
  <c r="BV751" i="28"/>
  <c r="BU751" i="28"/>
  <c r="BT751" i="28"/>
  <c r="BS751" i="28"/>
  <c r="BR751" i="28"/>
  <c r="BQ751" i="28"/>
  <c r="BP751" i="28"/>
  <c r="BO751" i="28"/>
  <c r="BN751" i="28"/>
  <c r="BM751" i="28"/>
  <c r="BL751" i="28"/>
  <c r="BK751" i="28"/>
  <c r="BJ751" i="28"/>
  <c r="BI751" i="28"/>
  <c r="BH751" i="28"/>
  <c r="BG751" i="28"/>
  <c r="BF751" i="28"/>
  <c r="BX750" i="28"/>
  <c r="BW750" i="28"/>
  <c r="BV750" i="28"/>
  <c r="BU750" i="28"/>
  <c r="BT750" i="28"/>
  <c r="BS750" i="28"/>
  <c r="BR750" i="28"/>
  <c r="BQ750" i="28"/>
  <c r="BP750" i="28"/>
  <c r="BO750" i="28"/>
  <c r="BN750" i="28"/>
  <c r="BM750" i="28"/>
  <c r="BL750" i="28"/>
  <c r="BK750" i="28"/>
  <c r="BJ750" i="28"/>
  <c r="BI750" i="28"/>
  <c r="BH750" i="28"/>
  <c r="BG750" i="28"/>
  <c r="BF750" i="28"/>
  <c r="BX749" i="28"/>
  <c r="BW749" i="28"/>
  <c r="BV749" i="28"/>
  <c r="BU749" i="28"/>
  <c r="BT749" i="28"/>
  <c r="BS749" i="28"/>
  <c r="BR749" i="28"/>
  <c r="BQ749" i="28"/>
  <c r="BP749" i="28"/>
  <c r="BO749" i="28"/>
  <c r="BN749" i="28"/>
  <c r="BM749" i="28"/>
  <c r="BL749" i="28"/>
  <c r="BK749" i="28"/>
  <c r="BJ749" i="28"/>
  <c r="BI749" i="28"/>
  <c r="BH749" i="28"/>
  <c r="BG749" i="28"/>
  <c r="BF749" i="28"/>
  <c r="BX748" i="28"/>
  <c r="BW748" i="28"/>
  <c r="BV748" i="28"/>
  <c r="BU748" i="28"/>
  <c r="BT748" i="28"/>
  <c r="BS748" i="28"/>
  <c r="BR748" i="28"/>
  <c r="BQ748" i="28"/>
  <c r="BP748" i="28"/>
  <c r="BO748" i="28"/>
  <c r="BN748" i="28"/>
  <c r="BM748" i="28"/>
  <c r="BL748" i="28"/>
  <c r="BK748" i="28"/>
  <c r="BJ748" i="28"/>
  <c r="BI748" i="28"/>
  <c r="BH748" i="28"/>
  <c r="BG748" i="28"/>
  <c r="BF748" i="28"/>
  <c r="BX747" i="28"/>
  <c r="BW747" i="28"/>
  <c r="BV747" i="28"/>
  <c r="BU747" i="28"/>
  <c r="BT747" i="28"/>
  <c r="BS747" i="28"/>
  <c r="BR747" i="28"/>
  <c r="BQ747" i="28"/>
  <c r="BP747" i="28"/>
  <c r="BO747" i="28"/>
  <c r="BN747" i="28"/>
  <c r="BM747" i="28"/>
  <c r="BL747" i="28"/>
  <c r="BK747" i="28"/>
  <c r="BJ747" i="28"/>
  <c r="BI747" i="28"/>
  <c r="BH747" i="28"/>
  <c r="BG747" i="28"/>
  <c r="BF747" i="28"/>
  <c r="BX746" i="28"/>
  <c r="BW746" i="28"/>
  <c r="BV746" i="28"/>
  <c r="BU746" i="28"/>
  <c r="BT746" i="28"/>
  <c r="BS746" i="28"/>
  <c r="BR746" i="28"/>
  <c r="BQ746" i="28"/>
  <c r="BP746" i="28"/>
  <c r="BO746" i="28"/>
  <c r="BN746" i="28"/>
  <c r="BM746" i="28"/>
  <c r="BL746" i="28"/>
  <c r="BK746" i="28"/>
  <c r="BJ746" i="28"/>
  <c r="BI746" i="28"/>
  <c r="BH746" i="28"/>
  <c r="BG746" i="28"/>
  <c r="BF746" i="28"/>
  <c r="BX745" i="28"/>
  <c r="BW745" i="28"/>
  <c r="BV745" i="28"/>
  <c r="BU745" i="28"/>
  <c r="BT745" i="28"/>
  <c r="BS745" i="28"/>
  <c r="BR745" i="28"/>
  <c r="BQ745" i="28"/>
  <c r="BP745" i="28"/>
  <c r="BO745" i="28"/>
  <c r="BN745" i="28"/>
  <c r="BM745" i="28"/>
  <c r="BL745" i="28"/>
  <c r="BK745" i="28"/>
  <c r="BJ745" i="28"/>
  <c r="BI745" i="28"/>
  <c r="BH745" i="28"/>
  <c r="BG745" i="28"/>
  <c r="BF745" i="28"/>
  <c r="BX744" i="28"/>
  <c r="BW744" i="28"/>
  <c r="BV744" i="28"/>
  <c r="BU744" i="28"/>
  <c r="BT744" i="28"/>
  <c r="BS744" i="28"/>
  <c r="BR744" i="28"/>
  <c r="BQ744" i="28"/>
  <c r="BP744" i="28"/>
  <c r="BO744" i="28"/>
  <c r="BN744" i="28"/>
  <c r="BM744" i="28"/>
  <c r="BL744" i="28"/>
  <c r="BK744" i="28"/>
  <c r="BJ744" i="28"/>
  <c r="BI744" i="28"/>
  <c r="BH744" i="28"/>
  <c r="BG744" i="28"/>
  <c r="BF744" i="28"/>
  <c r="BX743" i="28"/>
  <c r="BW743" i="28"/>
  <c r="BV743" i="28"/>
  <c r="BU743" i="28"/>
  <c r="BT743" i="28"/>
  <c r="BS743" i="28"/>
  <c r="BR743" i="28"/>
  <c r="BQ743" i="28"/>
  <c r="BP743" i="28"/>
  <c r="BO743" i="28"/>
  <c r="BN743" i="28"/>
  <c r="BM743" i="28"/>
  <c r="BL743" i="28"/>
  <c r="BK743" i="28"/>
  <c r="BJ743" i="28"/>
  <c r="BI743" i="28"/>
  <c r="BH743" i="28"/>
  <c r="BG743" i="28"/>
  <c r="BF743" i="28"/>
  <c r="BX742" i="28"/>
  <c r="BW742" i="28"/>
  <c r="BV742" i="28"/>
  <c r="BU742" i="28"/>
  <c r="BT742" i="28"/>
  <c r="BS742" i="28"/>
  <c r="BR742" i="28"/>
  <c r="BQ742" i="28"/>
  <c r="BP742" i="28"/>
  <c r="BO742" i="28"/>
  <c r="BN742" i="28"/>
  <c r="BM742" i="28"/>
  <c r="BL742" i="28"/>
  <c r="BK742" i="28"/>
  <c r="BJ742" i="28"/>
  <c r="BI742" i="28"/>
  <c r="BH742" i="28"/>
  <c r="BG742" i="28"/>
  <c r="BF742" i="28"/>
  <c r="BX741" i="28"/>
  <c r="BW741" i="28"/>
  <c r="BV741" i="28"/>
  <c r="BU741" i="28"/>
  <c r="BT741" i="28"/>
  <c r="BS741" i="28"/>
  <c r="BR741" i="28"/>
  <c r="BQ741" i="28"/>
  <c r="BP741" i="28"/>
  <c r="BO741" i="28"/>
  <c r="BN741" i="28"/>
  <c r="BM741" i="28"/>
  <c r="BL741" i="28"/>
  <c r="BK741" i="28"/>
  <c r="BJ741" i="28"/>
  <c r="BI741" i="28"/>
  <c r="BH741" i="28"/>
  <c r="BG741" i="28"/>
  <c r="BF741" i="28"/>
  <c r="BX740" i="28"/>
  <c r="BW740" i="28"/>
  <c r="BV740" i="28"/>
  <c r="BU740" i="28"/>
  <c r="BT740" i="28"/>
  <c r="BS740" i="28"/>
  <c r="BR740" i="28"/>
  <c r="BQ740" i="28"/>
  <c r="BP740" i="28"/>
  <c r="BO740" i="28"/>
  <c r="BN740" i="28"/>
  <c r="BM740" i="28"/>
  <c r="BL740" i="28"/>
  <c r="BK740" i="28"/>
  <c r="BJ740" i="28"/>
  <c r="BI740" i="28"/>
  <c r="BH740" i="28"/>
  <c r="BG740" i="28"/>
  <c r="BF740" i="28"/>
  <c r="BX739" i="28"/>
  <c r="BW739" i="28"/>
  <c r="BV739" i="28"/>
  <c r="BU739" i="28"/>
  <c r="BT739" i="28"/>
  <c r="BS739" i="28"/>
  <c r="BR739" i="28"/>
  <c r="BQ739" i="28"/>
  <c r="BP739" i="28"/>
  <c r="BO739" i="28"/>
  <c r="BN739" i="28"/>
  <c r="BM739" i="28"/>
  <c r="BL739" i="28"/>
  <c r="BK739" i="28"/>
  <c r="BJ739" i="28"/>
  <c r="BI739" i="28"/>
  <c r="BH739" i="28"/>
  <c r="BG739" i="28"/>
  <c r="BF739" i="28"/>
  <c r="BX738" i="28"/>
  <c r="BW738" i="28"/>
  <c r="BV738" i="28"/>
  <c r="BU738" i="28"/>
  <c r="BT738" i="28"/>
  <c r="BS738" i="28"/>
  <c r="BR738" i="28"/>
  <c r="BQ738" i="28"/>
  <c r="BP738" i="28"/>
  <c r="BO738" i="28"/>
  <c r="BN738" i="28"/>
  <c r="BM738" i="28"/>
  <c r="BL738" i="28"/>
  <c r="BK738" i="28"/>
  <c r="BJ738" i="28"/>
  <c r="BI738" i="28"/>
  <c r="BH738" i="28"/>
  <c r="BG738" i="28"/>
  <c r="BF738" i="28"/>
  <c r="BX737" i="28"/>
  <c r="BW737" i="28"/>
  <c r="BV737" i="28"/>
  <c r="BU737" i="28"/>
  <c r="BT737" i="28"/>
  <c r="BS737" i="28"/>
  <c r="BR737" i="28"/>
  <c r="BQ737" i="28"/>
  <c r="BP737" i="28"/>
  <c r="BO737" i="28"/>
  <c r="BN737" i="28"/>
  <c r="BM737" i="28"/>
  <c r="BL737" i="28"/>
  <c r="BK737" i="28"/>
  <c r="BJ737" i="28"/>
  <c r="BI737" i="28"/>
  <c r="BH737" i="28"/>
  <c r="BG737" i="28"/>
  <c r="BF737" i="28"/>
  <c r="BX736" i="28"/>
  <c r="BW736" i="28"/>
  <c r="BV736" i="28"/>
  <c r="BU736" i="28"/>
  <c r="BT736" i="28"/>
  <c r="BS736" i="28"/>
  <c r="BR736" i="28"/>
  <c r="BQ736" i="28"/>
  <c r="BP736" i="28"/>
  <c r="BO736" i="28"/>
  <c r="BN736" i="28"/>
  <c r="BM736" i="28"/>
  <c r="BL736" i="28"/>
  <c r="BK736" i="28"/>
  <c r="BJ736" i="28"/>
  <c r="BI736" i="28"/>
  <c r="BH736" i="28"/>
  <c r="BG736" i="28"/>
  <c r="BF736" i="28"/>
  <c r="BX735" i="28"/>
  <c r="BW735" i="28"/>
  <c r="BV735" i="28"/>
  <c r="BU735" i="28"/>
  <c r="BT735" i="28"/>
  <c r="BS735" i="28"/>
  <c r="BR735" i="28"/>
  <c r="BQ735" i="28"/>
  <c r="BP735" i="28"/>
  <c r="BO735" i="28"/>
  <c r="BN735" i="28"/>
  <c r="BM735" i="28"/>
  <c r="BL735" i="28"/>
  <c r="BK735" i="28"/>
  <c r="BJ735" i="28"/>
  <c r="BI735" i="28"/>
  <c r="BH735" i="28"/>
  <c r="BG735" i="28"/>
  <c r="BF735" i="28"/>
  <c r="BX734" i="28"/>
  <c r="BW734" i="28"/>
  <c r="BV734" i="28"/>
  <c r="BU734" i="28"/>
  <c r="BT734" i="28"/>
  <c r="BS734" i="28"/>
  <c r="BR734" i="28"/>
  <c r="BQ734" i="28"/>
  <c r="BP734" i="28"/>
  <c r="BO734" i="28"/>
  <c r="BN734" i="28"/>
  <c r="BM734" i="28"/>
  <c r="BL734" i="28"/>
  <c r="BK734" i="28"/>
  <c r="BJ734" i="28"/>
  <c r="BI734" i="28"/>
  <c r="BH734" i="28"/>
  <c r="BG734" i="28"/>
  <c r="BF734" i="28"/>
  <c r="BX733" i="28"/>
  <c r="BW733" i="28"/>
  <c r="BV733" i="28"/>
  <c r="BU733" i="28"/>
  <c r="BT733" i="28"/>
  <c r="BS733" i="28"/>
  <c r="BR733" i="28"/>
  <c r="BQ733" i="28"/>
  <c r="BP733" i="28"/>
  <c r="BO733" i="28"/>
  <c r="BN733" i="28"/>
  <c r="BM733" i="28"/>
  <c r="BL733" i="28"/>
  <c r="BK733" i="28"/>
  <c r="BJ733" i="28"/>
  <c r="BI733" i="28"/>
  <c r="BH733" i="28"/>
  <c r="BG733" i="28"/>
  <c r="BF733" i="28"/>
  <c r="BX732" i="28"/>
  <c r="BW732" i="28"/>
  <c r="BV732" i="28"/>
  <c r="BU732" i="28"/>
  <c r="BT732" i="28"/>
  <c r="BS732" i="28"/>
  <c r="BR732" i="28"/>
  <c r="BQ732" i="28"/>
  <c r="BP732" i="28"/>
  <c r="BO732" i="28"/>
  <c r="BN732" i="28"/>
  <c r="BM732" i="28"/>
  <c r="BL732" i="28"/>
  <c r="BK732" i="28"/>
  <c r="BJ732" i="28"/>
  <c r="BI732" i="28"/>
  <c r="BH732" i="28"/>
  <c r="BG732" i="28"/>
  <c r="BF732" i="28"/>
  <c r="BX731" i="28"/>
  <c r="BW731" i="28"/>
  <c r="BV731" i="28"/>
  <c r="BU731" i="28"/>
  <c r="BT731" i="28"/>
  <c r="BS731" i="28"/>
  <c r="BR731" i="28"/>
  <c r="BQ731" i="28"/>
  <c r="BP731" i="28"/>
  <c r="BO731" i="28"/>
  <c r="BN731" i="28"/>
  <c r="BM731" i="28"/>
  <c r="BL731" i="28"/>
  <c r="BK731" i="28"/>
  <c r="BJ731" i="28"/>
  <c r="BI731" i="28"/>
  <c r="BH731" i="28"/>
  <c r="BG731" i="28"/>
  <c r="BF731" i="28"/>
  <c r="BX730" i="28"/>
  <c r="BW730" i="28"/>
  <c r="BV730" i="28"/>
  <c r="BU730" i="28"/>
  <c r="BT730" i="28"/>
  <c r="BS730" i="28"/>
  <c r="BR730" i="28"/>
  <c r="BQ730" i="28"/>
  <c r="BP730" i="28"/>
  <c r="BO730" i="28"/>
  <c r="BN730" i="28"/>
  <c r="BM730" i="28"/>
  <c r="BL730" i="28"/>
  <c r="BK730" i="28"/>
  <c r="BJ730" i="28"/>
  <c r="BI730" i="28"/>
  <c r="BH730" i="28"/>
  <c r="BG730" i="28"/>
  <c r="BF730" i="28"/>
  <c r="BX729" i="28"/>
  <c r="BW729" i="28"/>
  <c r="BV729" i="28"/>
  <c r="BU729" i="28"/>
  <c r="BT729" i="28"/>
  <c r="BS729" i="28"/>
  <c r="BR729" i="28"/>
  <c r="BQ729" i="28"/>
  <c r="BP729" i="28"/>
  <c r="BO729" i="28"/>
  <c r="BN729" i="28"/>
  <c r="BM729" i="28"/>
  <c r="BL729" i="28"/>
  <c r="BK729" i="28"/>
  <c r="BJ729" i="28"/>
  <c r="BI729" i="28"/>
  <c r="BH729" i="28"/>
  <c r="BG729" i="28"/>
  <c r="BF729" i="28"/>
  <c r="BX728" i="28"/>
  <c r="BW728" i="28"/>
  <c r="BV728" i="28"/>
  <c r="BU728" i="28"/>
  <c r="BT728" i="28"/>
  <c r="BS728" i="28"/>
  <c r="BR728" i="28"/>
  <c r="BQ728" i="28"/>
  <c r="BP728" i="28"/>
  <c r="BO728" i="28"/>
  <c r="BN728" i="28"/>
  <c r="BM728" i="28"/>
  <c r="BL728" i="28"/>
  <c r="BK728" i="28"/>
  <c r="BJ728" i="28"/>
  <c r="BI728" i="28"/>
  <c r="BH728" i="28"/>
  <c r="BG728" i="28"/>
  <c r="BF728" i="28"/>
  <c r="BX727" i="28"/>
  <c r="BW727" i="28"/>
  <c r="BV727" i="28"/>
  <c r="BU727" i="28"/>
  <c r="BT727" i="28"/>
  <c r="BS727" i="28"/>
  <c r="BR727" i="28"/>
  <c r="BQ727" i="28"/>
  <c r="BP727" i="28"/>
  <c r="BO727" i="28"/>
  <c r="BN727" i="28"/>
  <c r="BM727" i="28"/>
  <c r="BL727" i="28"/>
  <c r="BK727" i="28"/>
  <c r="BJ727" i="28"/>
  <c r="BI727" i="28"/>
  <c r="BH727" i="28"/>
  <c r="BG727" i="28"/>
  <c r="BF727" i="28"/>
  <c r="BX726" i="28"/>
  <c r="BW726" i="28"/>
  <c r="BV726" i="28"/>
  <c r="BU726" i="28"/>
  <c r="BT726" i="28"/>
  <c r="BS726" i="28"/>
  <c r="BR726" i="28"/>
  <c r="BQ726" i="28"/>
  <c r="BP726" i="28"/>
  <c r="BO726" i="28"/>
  <c r="BN726" i="28"/>
  <c r="BM726" i="28"/>
  <c r="BL726" i="28"/>
  <c r="BK726" i="28"/>
  <c r="BJ726" i="28"/>
  <c r="BI726" i="28"/>
  <c r="BH726" i="28"/>
  <c r="BG726" i="28"/>
  <c r="BF726" i="28"/>
  <c r="BX725" i="28"/>
  <c r="BW725" i="28"/>
  <c r="BV725" i="28"/>
  <c r="BU725" i="28"/>
  <c r="BT725" i="28"/>
  <c r="BS725" i="28"/>
  <c r="BR725" i="28"/>
  <c r="BQ725" i="28"/>
  <c r="BP725" i="28"/>
  <c r="BO725" i="28"/>
  <c r="BN725" i="28"/>
  <c r="BM725" i="28"/>
  <c r="BL725" i="28"/>
  <c r="BK725" i="28"/>
  <c r="BJ725" i="28"/>
  <c r="BI725" i="28"/>
  <c r="BH725" i="28"/>
  <c r="BG725" i="28"/>
  <c r="BF725" i="28"/>
  <c r="BX724" i="28"/>
  <c r="BW724" i="28"/>
  <c r="BV724" i="28"/>
  <c r="BU724" i="28"/>
  <c r="BT724" i="28"/>
  <c r="BS724" i="28"/>
  <c r="BR724" i="28"/>
  <c r="BQ724" i="28"/>
  <c r="BP724" i="28"/>
  <c r="BO724" i="28"/>
  <c r="BN724" i="28"/>
  <c r="BM724" i="28"/>
  <c r="BL724" i="28"/>
  <c r="BK724" i="28"/>
  <c r="BJ724" i="28"/>
  <c r="BI724" i="28"/>
  <c r="BH724" i="28"/>
  <c r="BG724" i="28"/>
  <c r="BF724" i="28"/>
  <c r="BX723" i="28"/>
  <c r="BW723" i="28"/>
  <c r="BV723" i="28"/>
  <c r="BU723" i="28"/>
  <c r="BT723" i="28"/>
  <c r="BS723" i="28"/>
  <c r="BR723" i="28"/>
  <c r="BQ723" i="28"/>
  <c r="BP723" i="28"/>
  <c r="BO723" i="28"/>
  <c r="BN723" i="28"/>
  <c r="BM723" i="28"/>
  <c r="BL723" i="28"/>
  <c r="BK723" i="28"/>
  <c r="BJ723" i="28"/>
  <c r="BI723" i="28"/>
  <c r="BH723" i="28"/>
  <c r="BG723" i="28"/>
  <c r="BF723" i="28"/>
  <c r="BX722" i="28"/>
  <c r="BW722" i="28"/>
  <c r="BV722" i="28"/>
  <c r="BU722" i="28"/>
  <c r="BT722" i="28"/>
  <c r="BS722" i="28"/>
  <c r="BR722" i="28"/>
  <c r="BQ722" i="28"/>
  <c r="BP722" i="28"/>
  <c r="BO722" i="28"/>
  <c r="BN722" i="28"/>
  <c r="BM722" i="28"/>
  <c r="BL722" i="28"/>
  <c r="BK722" i="28"/>
  <c r="BJ722" i="28"/>
  <c r="BI722" i="28"/>
  <c r="BH722" i="28"/>
  <c r="BG722" i="28"/>
  <c r="BF722" i="28"/>
  <c r="BX721" i="28"/>
  <c r="BW721" i="28"/>
  <c r="BV721" i="28"/>
  <c r="BU721" i="28"/>
  <c r="BT721" i="28"/>
  <c r="BS721" i="28"/>
  <c r="BR721" i="28"/>
  <c r="BQ721" i="28"/>
  <c r="BP721" i="28"/>
  <c r="BO721" i="28"/>
  <c r="BN721" i="28"/>
  <c r="BM721" i="28"/>
  <c r="BL721" i="28"/>
  <c r="BK721" i="28"/>
  <c r="BJ721" i="28"/>
  <c r="BI721" i="28"/>
  <c r="BH721" i="28"/>
  <c r="BG721" i="28"/>
  <c r="BF721" i="28"/>
  <c r="BX720" i="28"/>
  <c r="BW720" i="28"/>
  <c r="BV720" i="28"/>
  <c r="BU720" i="28"/>
  <c r="BT720" i="28"/>
  <c r="BS720" i="28"/>
  <c r="BR720" i="28"/>
  <c r="BQ720" i="28"/>
  <c r="BP720" i="28"/>
  <c r="BO720" i="28"/>
  <c r="BN720" i="28"/>
  <c r="BM720" i="28"/>
  <c r="BL720" i="28"/>
  <c r="BK720" i="28"/>
  <c r="BJ720" i="28"/>
  <c r="BI720" i="28"/>
  <c r="BH720" i="28"/>
  <c r="BG720" i="28"/>
  <c r="BF720" i="28"/>
  <c r="BX719" i="28"/>
  <c r="BW719" i="28"/>
  <c r="BV719" i="28"/>
  <c r="BU719" i="28"/>
  <c r="BT719" i="28"/>
  <c r="BS719" i="28"/>
  <c r="BR719" i="28"/>
  <c r="BQ719" i="28"/>
  <c r="BP719" i="28"/>
  <c r="BO719" i="28"/>
  <c r="BN719" i="28"/>
  <c r="BM719" i="28"/>
  <c r="BL719" i="28"/>
  <c r="BK719" i="28"/>
  <c r="BJ719" i="28"/>
  <c r="BI719" i="28"/>
  <c r="BH719" i="28"/>
  <c r="BG719" i="28"/>
  <c r="BF719" i="28"/>
  <c r="BX718" i="28"/>
  <c r="BW718" i="28"/>
  <c r="BV718" i="28"/>
  <c r="BU718" i="28"/>
  <c r="BT718" i="28"/>
  <c r="BS718" i="28"/>
  <c r="BR718" i="28"/>
  <c r="BQ718" i="28"/>
  <c r="BP718" i="28"/>
  <c r="BO718" i="28"/>
  <c r="BN718" i="28"/>
  <c r="BM718" i="28"/>
  <c r="BL718" i="28"/>
  <c r="BK718" i="28"/>
  <c r="BJ718" i="28"/>
  <c r="BI718" i="28"/>
  <c r="BH718" i="28"/>
  <c r="BG718" i="28"/>
  <c r="BF718" i="28"/>
  <c r="BX717" i="28"/>
  <c r="BW717" i="28"/>
  <c r="BV717" i="28"/>
  <c r="BU717" i="28"/>
  <c r="BT717" i="28"/>
  <c r="BS717" i="28"/>
  <c r="BR717" i="28"/>
  <c r="BQ717" i="28"/>
  <c r="BP717" i="28"/>
  <c r="BO717" i="28"/>
  <c r="BN717" i="28"/>
  <c r="BM717" i="28"/>
  <c r="BL717" i="28"/>
  <c r="BK717" i="28"/>
  <c r="BJ717" i="28"/>
  <c r="BI717" i="28"/>
  <c r="BH717" i="28"/>
  <c r="BG717" i="28"/>
  <c r="BF717" i="28"/>
  <c r="BX716" i="28"/>
  <c r="BW716" i="28"/>
  <c r="BV716" i="28"/>
  <c r="BU716" i="28"/>
  <c r="BT716" i="28"/>
  <c r="BS716" i="28"/>
  <c r="BR716" i="28"/>
  <c r="BQ716" i="28"/>
  <c r="BP716" i="28"/>
  <c r="BO716" i="28"/>
  <c r="BN716" i="28"/>
  <c r="BM716" i="28"/>
  <c r="BL716" i="28"/>
  <c r="BK716" i="28"/>
  <c r="BJ716" i="28"/>
  <c r="BI716" i="28"/>
  <c r="BH716" i="28"/>
  <c r="BG716" i="28"/>
  <c r="BF716" i="28"/>
  <c r="BX715" i="28"/>
  <c r="BW715" i="28"/>
  <c r="BV715" i="28"/>
  <c r="BU715" i="28"/>
  <c r="BT715" i="28"/>
  <c r="BS715" i="28"/>
  <c r="BR715" i="28"/>
  <c r="BQ715" i="28"/>
  <c r="BP715" i="28"/>
  <c r="BO715" i="28"/>
  <c r="BN715" i="28"/>
  <c r="BM715" i="28"/>
  <c r="BL715" i="28"/>
  <c r="BK715" i="28"/>
  <c r="BJ715" i="28"/>
  <c r="BI715" i="28"/>
  <c r="BH715" i="28"/>
  <c r="BG715" i="28"/>
  <c r="BF715" i="28"/>
  <c r="BX714" i="28"/>
  <c r="BW714" i="28"/>
  <c r="BV714" i="28"/>
  <c r="BU714" i="28"/>
  <c r="BT714" i="28"/>
  <c r="BS714" i="28"/>
  <c r="BR714" i="28"/>
  <c r="BQ714" i="28"/>
  <c r="BP714" i="28"/>
  <c r="BO714" i="28"/>
  <c r="BN714" i="28"/>
  <c r="BM714" i="28"/>
  <c r="BL714" i="28"/>
  <c r="BK714" i="28"/>
  <c r="BJ714" i="28"/>
  <c r="BI714" i="28"/>
  <c r="BH714" i="28"/>
  <c r="BG714" i="28"/>
  <c r="BF714" i="28"/>
  <c r="BX713" i="28"/>
  <c r="BW713" i="28"/>
  <c r="BV713" i="28"/>
  <c r="BU713" i="28"/>
  <c r="BT713" i="28"/>
  <c r="BS713" i="28"/>
  <c r="BR713" i="28"/>
  <c r="BQ713" i="28"/>
  <c r="BP713" i="28"/>
  <c r="BO713" i="28"/>
  <c r="BN713" i="28"/>
  <c r="BM713" i="28"/>
  <c r="BL713" i="28"/>
  <c r="BK713" i="28"/>
  <c r="BJ713" i="28"/>
  <c r="BI713" i="28"/>
  <c r="BH713" i="28"/>
  <c r="BG713" i="28"/>
  <c r="BF713" i="28"/>
  <c r="BX712" i="28"/>
  <c r="BW712" i="28"/>
  <c r="BV712" i="28"/>
  <c r="BU712" i="28"/>
  <c r="BT712" i="28"/>
  <c r="BS712" i="28"/>
  <c r="BR712" i="28"/>
  <c r="BQ712" i="28"/>
  <c r="BP712" i="28"/>
  <c r="BO712" i="28"/>
  <c r="BN712" i="28"/>
  <c r="BM712" i="28"/>
  <c r="BL712" i="28"/>
  <c r="BK712" i="28"/>
  <c r="BJ712" i="28"/>
  <c r="BI712" i="28"/>
  <c r="BH712" i="28"/>
  <c r="BG712" i="28"/>
  <c r="BF712" i="28"/>
  <c r="BX711" i="28"/>
  <c r="BW711" i="28"/>
  <c r="BV711" i="28"/>
  <c r="BU711" i="28"/>
  <c r="BT711" i="28"/>
  <c r="BS711" i="28"/>
  <c r="BR711" i="28"/>
  <c r="BQ711" i="28"/>
  <c r="BP711" i="28"/>
  <c r="BO711" i="28"/>
  <c r="BN711" i="28"/>
  <c r="BM711" i="28"/>
  <c r="BL711" i="28"/>
  <c r="BK711" i="28"/>
  <c r="BJ711" i="28"/>
  <c r="BI711" i="28"/>
  <c r="BH711" i="28"/>
  <c r="BG711" i="28"/>
  <c r="BF711" i="28"/>
  <c r="BX710" i="28"/>
  <c r="BW710" i="28"/>
  <c r="BV710" i="28"/>
  <c r="BU710" i="28"/>
  <c r="BT710" i="28"/>
  <c r="BS710" i="28"/>
  <c r="BR710" i="28"/>
  <c r="BQ710" i="28"/>
  <c r="BP710" i="28"/>
  <c r="BO710" i="28"/>
  <c r="BN710" i="28"/>
  <c r="BM710" i="28"/>
  <c r="BL710" i="28"/>
  <c r="BK710" i="28"/>
  <c r="BJ710" i="28"/>
  <c r="BI710" i="28"/>
  <c r="BH710" i="28"/>
  <c r="BG710" i="28"/>
  <c r="BF710" i="28"/>
  <c r="BX709" i="28"/>
  <c r="BW709" i="28"/>
  <c r="BV709" i="28"/>
  <c r="BU709" i="28"/>
  <c r="BT709" i="28"/>
  <c r="BS709" i="28"/>
  <c r="BR709" i="28"/>
  <c r="BQ709" i="28"/>
  <c r="BP709" i="28"/>
  <c r="BO709" i="28"/>
  <c r="BN709" i="28"/>
  <c r="BM709" i="28"/>
  <c r="BL709" i="28"/>
  <c r="BK709" i="28"/>
  <c r="BJ709" i="28"/>
  <c r="BI709" i="28"/>
  <c r="BH709" i="28"/>
  <c r="BG709" i="28"/>
  <c r="BF709" i="28"/>
  <c r="BX708" i="28"/>
  <c r="BW708" i="28"/>
  <c r="BV708" i="28"/>
  <c r="BU708" i="28"/>
  <c r="BT708" i="28"/>
  <c r="BS708" i="28"/>
  <c r="BR708" i="28"/>
  <c r="BQ708" i="28"/>
  <c r="BP708" i="28"/>
  <c r="BO708" i="28"/>
  <c r="BN708" i="28"/>
  <c r="BM708" i="28"/>
  <c r="BL708" i="28"/>
  <c r="BK708" i="28"/>
  <c r="BJ708" i="28"/>
  <c r="BI708" i="28"/>
  <c r="BH708" i="28"/>
  <c r="BG708" i="28"/>
  <c r="BF708" i="28"/>
  <c r="BX707" i="28"/>
  <c r="BW707" i="28"/>
  <c r="BV707" i="28"/>
  <c r="BU707" i="28"/>
  <c r="BT707" i="28"/>
  <c r="BS707" i="28"/>
  <c r="BR707" i="28"/>
  <c r="BQ707" i="28"/>
  <c r="BP707" i="28"/>
  <c r="BO707" i="28"/>
  <c r="BN707" i="28"/>
  <c r="BM707" i="28"/>
  <c r="BL707" i="28"/>
  <c r="BK707" i="28"/>
  <c r="BJ707" i="28"/>
  <c r="BI707" i="28"/>
  <c r="BH707" i="28"/>
  <c r="BG707" i="28"/>
  <c r="BF707" i="28"/>
  <c r="BX706" i="28"/>
  <c r="BW706" i="28"/>
  <c r="BV706" i="28"/>
  <c r="BU706" i="28"/>
  <c r="BT706" i="28"/>
  <c r="BS706" i="28"/>
  <c r="BR706" i="28"/>
  <c r="BQ706" i="28"/>
  <c r="BP706" i="28"/>
  <c r="BO706" i="28"/>
  <c r="BN706" i="28"/>
  <c r="BM706" i="28"/>
  <c r="BL706" i="28"/>
  <c r="BK706" i="28"/>
  <c r="BJ706" i="28"/>
  <c r="BI706" i="28"/>
  <c r="BH706" i="28"/>
  <c r="BG706" i="28"/>
  <c r="BF706" i="28"/>
  <c r="BX705" i="28"/>
  <c r="BW705" i="28"/>
  <c r="BV705" i="28"/>
  <c r="BU705" i="28"/>
  <c r="BT705" i="28"/>
  <c r="BS705" i="28"/>
  <c r="BR705" i="28"/>
  <c r="BQ705" i="28"/>
  <c r="BP705" i="28"/>
  <c r="BO705" i="28"/>
  <c r="BN705" i="28"/>
  <c r="BM705" i="28"/>
  <c r="BL705" i="28"/>
  <c r="BK705" i="28"/>
  <c r="BJ705" i="28"/>
  <c r="BI705" i="28"/>
  <c r="BH705" i="28"/>
  <c r="BG705" i="28"/>
  <c r="BF705" i="28"/>
  <c r="BX704" i="28"/>
  <c r="BW704" i="28"/>
  <c r="BV704" i="28"/>
  <c r="BU704" i="28"/>
  <c r="BT704" i="28"/>
  <c r="BS704" i="28"/>
  <c r="BR704" i="28"/>
  <c r="BQ704" i="28"/>
  <c r="BP704" i="28"/>
  <c r="BO704" i="28"/>
  <c r="BN704" i="28"/>
  <c r="BM704" i="28"/>
  <c r="BL704" i="28"/>
  <c r="BK704" i="28"/>
  <c r="BJ704" i="28"/>
  <c r="BI704" i="28"/>
  <c r="BH704" i="28"/>
  <c r="BG704" i="28"/>
  <c r="BF704" i="28"/>
  <c r="BX703" i="28"/>
  <c r="BW703" i="28"/>
  <c r="BV703" i="28"/>
  <c r="BU703" i="28"/>
  <c r="BT703" i="28"/>
  <c r="BS703" i="28"/>
  <c r="BR703" i="28"/>
  <c r="BQ703" i="28"/>
  <c r="BP703" i="28"/>
  <c r="BO703" i="28"/>
  <c r="BN703" i="28"/>
  <c r="BM703" i="28"/>
  <c r="BL703" i="28"/>
  <c r="BK703" i="28"/>
  <c r="BJ703" i="28"/>
  <c r="BI703" i="28"/>
  <c r="BH703" i="28"/>
  <c r="BG703" i="28"/>
  <c r="BF703" i="28"/>
  <c r="BX702" i="28"/>
  <c r="BW702" i="28"/>
  <c r="BV702" i="28"/>
  <c r="BU702" i="28"/>
  <c r="BT702" i="28"/>
  <c r="BS702" i="28"/>
  <c r="BR702" i="28"/>
  <c r="BQ702" i="28"/>
  <c r="BP702" i="28"/>
  <c r="BO702" i="28"/>
  <c r="BN702" i="28"/>
  <c r="BM702" i="28"/>
  <c r="BL702" i="28"/>
  <c r="BK702" i="28"/>
  <c r="BJ702" i="28"/>
  <c r="BI702" i="28"/>
  <c r="BH702" i="28"/>
  <c r="BG702" i="28"/>
  <c r="BF702" i="28"/>
  <c r="BX701" i="28"/>
  <c r="BW701" i="28"/>
  <c r="BV701" i="28"/>
  <c r="BU701" i="28"/>
  <c r="BT701" i="28"/>
  <c r="BS701" i="28"/>
  <c r="BR701" i="28"/>
  <c r="BQ701" i="28"/>
  <c r="BP701" i="28"/>
  <c r="BO701" i="28"/>
  <c r="BN701" i="28"/>
  <c r="BM701" i="28"/>
  <c r="BL701" i="28"/>
  <c r="BK701" i="28"/>
  <c r="BJ701" i="28"/>
  <c r="BI701" i="28"/>
  <c r="BH701" i="28"/>
  <c r="BG701" i="28"/>
  <c r="BF701" i="28"/>
  <c r="BX700" i="28"/>
  <c r="BW700" i="28"/>
  <c r="BV700" i="28"/>
  <c r="BU700" i="28"/>
  <c r="BT700" i="28"/>
  <c r="BS700" i="28"/>
  <c r="BR700" i="28"/>
  <c r="BQ700" i="28"/>
  <c r="BP700" i="28"/>
  <c r="BO700" i="28"/>
  <c r="BN700" i="28"/>
  <c r="BM700" i="28"/>
  <c r="BL700" i="28"/>
  <c r="BK700" i="28"/>
  <c r="BJ700" i="28"/>
  <c r="BI700" i="28"/>
  <c r="BH700" i="28"/>
  <c r="BG700" i="28"/>
  <c r="BF700" i="28"/>
  <c r="BX699" i="28"/>
  <c r="BW699" i="28"/>
  <c r="BV699" i="28"/>
  <c r="BU699" i="28"/>
  <c r="BT699" i="28"/>
  <c r="BS699" i="28"/>
  <c r="BR699" i="28"/>
  <c r="BQ699" i="28"/>
  <c r="BP699" i="28"/>
  <c r="BO699" i="28"/>
  <c r="BN699" i="28"/>
  <c r="BM699" i="28"/>
  <c r="BL699" i="28"/>
  <c r="BK699" i="28"/>
  <c r="BJ699" i="28"/>
  <c r="BI699" i="28"/>
  <c r="BH699" i="28"/>
  <c r="BG699" i="28"/>
  <c r="BF699" i="28"/>
  <c r="BX698" i="28"/>
  <c r="BW698" i="28"/>
  <c r="BV698" i="28"/>
  <c r="BU698" i="28"/>
  <c r="BT698" i="28"/>
  <c r="BS698" i="28"/>
  <c r="BR698" i="28"/>
  <c r="BQ698" i="28"/>
  <c r="BP698" i="28"/>
  <c r="BO698" i="28"/>
  <c r="BN698" i="28"/>
  <c r="BM698" i="28"/>
  <c r="BL698" i="28"/>
  <c r="BK698" i="28"/>
  <c r="BJ698" i="28"/>
  <c r="BI698" i="28"/>
  <c r="BH698" i="28"/>
  <c r="BG698" i="28"/>
  <c r="BF698" i="28"/>
  <c r="BX697" i="28"/>
  <c r="BW697" i="28"/>
  <c r="BV697" i="28"/>
  <c r="BU697" i="28"/>
  <c r="BT697" i="28"/>
  <c r="BS697" i="28"/>
  <c r="BR697" i="28"/>
  <c r="BQ697" i="28"/>
  <c r="BP697" i="28"/>
  <c r="BO697" i="28"/>
  <c r="BN697" i="28"/>
  <c r="BM697" i="28"/>
  <c r="BL697" i="28"/>
  <c r="BK697" i="28"/>
  <c r="BJ697" i="28"/>
  <c r="BI697" i="28"/>
  <c r="BH697" i="28"/>
  <c r="BG697" i="28"/>
  <c r="BF697" i="28"/>
  <c r="BX696" i="28"/>
  <c r="BW696" i="28"/>
  <c r="BV696" i="28"/>
  <c r="BU696" i="28"/>
  <c r="BT696" i="28"/>
  <c r="BS696" i="28"/>
  <c r="BR696" i="28"/>
  <c r="BQ696" i="28"/>
  <c r="BP696" i="28"/>
  <c r="BO696" i="28"/>
  <c r="BN696" i="28"/>
  <c r="BM696" i="28"/>
  <c r="BL696" i="28"/>
  <c r="BK696" i="28"/>
  <c r="BJ696" i="28"/>
  <c r="BI696" i="28"/>
  <c r="BH696" i="28"/>
  <c r="BG696" i="28"/>
  <c r="BF696" i="28"/>
  <c r="BX695" i="28"/>
  <c r="BW695" i="28"/>
  <c r="BV695" i="28"/>
  <c r="BU695" i="28"/>
  <c r="BT695" i="28"/>
  <c r="BS695" i="28"/>
  <c r="BR695" i="28"/>
  <c r="BQ695" i="28"/>
  <c r="BP695" i="28"/>
  <c r="BO695" i="28"/>
  <c r="BN695" i="28"/>
  <c r="BM695" i="28"/>
  <c r="BL695" i="28"/>
  <c r="BK695" i="28"/>
  <c r="BJ695" i="28"/>
  <c r="BI695" i="28"/>
  <c r="BH695" i="28"/>
  <c r="BG695" i="28"/>
  <c r="BF695" i="28"/>
  <c r="BX694" i="28"/>
  <c r="BW694" i="28"/>
  <c r="BV694" i="28"/>
  <c r="BU694" i="28"/>
  <c r="BT694" i="28"/>
  <c r="BS694" i="28"/>
  <c r="BR694" i="28"/>
  <c r="BQ694" i="28"/>
  <c r="BP694" i="28"/>
  <c r="BO694" i="28"/>
  <c r="BN694" i="28"/>
  <c r="BM694" i="28"/>
  <c r="BL694" i="28"/>
  <c r="BK694" i="28"/>
  <c r="BJ694" i="28"/>
  <c r="BI694" i="28"/>
  <c r="BH694" i="28"/>
  <c r="BG694" i="28"/>
  <c r="BF694" i="28"/>
  <c r="BX693" i="28"/>
  <c r="BW693" i="28"/>
  <c r="BV693" i="28"/>
  <c r="BU693" i="28"/>
  <c r="BT693" i="28"/>
  <c r="BS693" i="28"/>
  <c r="BR693" i="28"/>
  <c r="BQ693" i="28"/>
  <c r="BP693" i="28"/>
  <c r="BO693" i="28"/>
  <c r="BN693" i="28"/>
  <c r="BM693" i="28"/>
  <c r="BL693" i="28"/>
  <c r="BK693" i="28"/>
  <c r="BJ693" i="28"/>
  <c r="BI693" i="28"/>
  <c r="BH693" i="28"/>
  <c r="BG693" i="28"/>
  <c r="BF693" i="28"/>
  <c r="BX692" i="28"/>
  <c r="BW692" i="28"/>
  <c r="BV692" i="28"/>
  <c r="BU692" i="28"/>
  <c r="BT692" i="28"/>
  <c r="BS692" i="28"/>
  <c r="BR692" i="28"/>
  <c r="BQ692" i="28"/>
  <c r="BP692" i="28"/>
  <c r="BO692" i="28"/>
  <c r="BN692" i="28"/>
  <c r="BM692" i="28"/>
  <c r="BL692" i="28"/>
  <c r="BK692" i="28"/>
  <c r="BJ692" i="28"/>
  <c r="BI692" i="28"/>
  <c r="BH692" i="28"/>
  <c r="BG692" i="28"/>
  <c r="BF692" i="28"/>
  <c r="BX691" i="28"/>
  <c r="BW691" i="28"/>
  <c r="BV691" i="28"/>
  <c r="BU691" i="28"/>
  <c r="BT691" i="28"/>
  <c r="BS691" i="28"/>
  <c r="BR691" i="28"/>
  <c r="BQ691" i="28"/>
  <c r="BP691" i="28"/>
  <c r="BO691" i="28"/>
  <c r="BN691" i="28"/>
  <c r="BM691" i="28"/>
  <c r="BL691" i="28"/>
  <c r="BK691" i="28"/>
  <c r="BJ691" i="28"/>
  <c r="BI691" i="28"/>
  <c r="BH691" i="28"/>
  <c r="BG691" i="28"/>
  <c r="BF691" i="28"/>
  <c r="BX690" i="28"/>
  <c r="BW690" i="28"/>
  <c r="BV690" i="28"/>
  <c r="BU690" i="28"/>
  <c r="BT690" i="28"/>
  <c r="BS690" i="28"/>
  <c r="BR690" i="28"/>
  <c r="BQ690" i="28"/>
  <c r="BP690" i="28"/>
  <c r="BO690" i="28"/>
  <c r="BN690" i="28"/>
  <c r="BM690" i="28"/>
  <c r="BL690" i="28"/>
  <c r="BK690" i="28"/>
  <c r="BJ690" i="28"/>
  <c r="BI690" i="28"/>
  <c r="BH690" i="28"/>
  <c r="BG690" i="28"/>
  <c r="BF690" i="28"/>
  <c r="BX689" i="28"/>
  <c r="BW689" i="28"/>
  <c r="BV689" i="28"/>
  <c r="BU689" i="28"/>
  <c r="BT689" i="28"/>
  <c r="BS689" i="28"/>
  <c r="BR689" i="28"/>
  <c r="BQ689" i="28"/>
  <c r="BP689" i="28"/>
  <c r="BO689" i="28"/>
  <c r="BN689" i="28"/>
  <c r="BM689" i="28"/>
  <c r="BL689" i="28"/>
  <c r="BK689" i="28"/>
  <c r="BJ689" i="28"/>
  <c r="BI689" i="28"/>
  <c r="BH689" i="28"/>
  <c r="BG689" i="28"/>
  <c r="BF689" i="28"/>
  <c r="BX688" i="28"/>
  <c r="BW688" i="28"/>
  <c r="BV688" i="28"/>
  <c r="BU688" i="28"/>
  <c r="BT688" i="28"/>
  <c r="BS688" i="28"/>
  <c r="BR688" i="28"/>
  <c r="BQ688" i="28"/>
  <c r="BP688" i="28"/>
  <c r="BO688" i="28"/>
  <c r="BN688" i="28"/>
  <c r="BM688" i="28"/>
  <c r="BL688" i="28"/>
  <c r="BK688" i="28"/>
  <c r="BJ688" i="28"/>
  <c r="BI688" i="28"/>
  <c r="BH688" i="28"/>
  <c r="BG688" i="28"/>
  <c r="BF688" i="28"/>
  <c r="BX687" i="28"/>
  <c r="BW687" i="28"/>
  <c r="BV687" i="28"/>
  <c r="BU687" i="28"/>
  <c r="BT687" i="28"/>
  <c r="BS687" i="28"/>
  <c r="BR687" i="28"/>
  <c r="BQ687" i="28"/>
  <c r="BP687" i="28"/>
  <c r="BO687" i="28"/>
  <c r="BN687" i="28"/>
  <c r="BM687" i="28"/>
  <c r="BL687" i="28"/>
  <c r="BK687" i="28"/>
  <c r="BJ687" i="28"/>
  <c r="BI687" i="28"/>
  <c r="BH687" i="28"/>
  <c r="BG687" i="28"/>
  <c r="BF687" i="28"/>
  <c r="BX686" i="28"/>
  <c r="BW686" i="28"/>
  <c r="BV686" i="28"/>
  <c r="BU686" i="28"/>
  <c r="BT686" i="28"/>
  <c r="BS686" i="28"/>
  <c r="BR686" i="28"/>
  <c r="BQ686" i="28"/>
  <c r="BP686" i="28"/>
  <c r="BO686" i="28"/>
  <c r="BN686" i="28"/>
  <c r="BM686" i="28"/>
  <c r="BL686" i="28"/>
  <c r="BK686" i="28"/>
  <c r="BJ686" i="28"/>
  <c r="BI686" i="28"/>
  <c r="BH686" i="28"/>
  <c r="BG686" i="28"/>
  <c r="BF686" i="28"/>
  <c r="BX685" i="28"/>
  <c r="BW685" i="28"/>
  <c r="BV685" i="28"/>
  <c r="BU685" i="28"/>
  <c r="BT685" i="28"/>
  <c r="BS685" i="28"/>
  <c r="BR685" i="28"/>
  <c r="BQ685" i="28"/>
  <c r="BP685" i="28"/>
  <c r="BO685" i="28"/>
  <c r="BN685" i="28"/>
  <c r="BM685" i="28"/>
  <c r="BL685" i="28"/>
  <c r="BK685" i="28"/>
  <c r="BJ685" i="28"/>
  <c r="BI685" i="28"/>
  <c r="BH685" i="28"/>
  <c r="BG685" i="28"/>
  <c r="BF685" i="28"/>
  <c r="BX684" i="28"/>
  <c r="BW684" i="28"/>
  <c r="BV684" i="28"/>
  <c r="BU684" i="28"/>
  <c r="BT684" i="28"/>
  <c r="BS684" i="28"/>
  <c r="BR684" i="28"/>
  <c r="BQ684" i="28"/>
  <c r="BP684" i="28"/>
  <c r="BO684" i="28"/>
  <c r="BN684" i="28"/>
  <c r="BM684" i="28"/>
  <c r="BL684" i="28"/>
  <c r="BK684" i="28"/>
  <c r="BJ684" i="28"/>
  <c r="BI684" i="28"/>
  <c r="BH684" i="28"/>
  <c r="BG684" i="28"/>
  <c r="BF684" i="28"/>
  <c r="BX683" i="28"/>
  <c r="BW683" i="28"/>
  <c r="BV683" i="28"/>
  <c r="BU683" i="28"/>
  <c r="BT683" i="28"/>
  <c r="BS683" i="28"/>
  <c r="BR683" i="28"/>
  <c r="BQ683" i="28"/>
  <c r="BP683" i="28"/>
  <c r="BO683" i="28"/>
  <c r="BN683" i="28"/>
  <c r="BM683" i="28"/>
  <c r="BL683" i="28"/>
  <c r="BK683" i="28"/>
  <c r="BJ683" i="28"/>
  <c r="BI683" i="28"/>
  <c r="BH683" i="28"/>
  <c r="BG683" i="28"/>
  <c r="BF683" i="28"/>
  <c r="BX682" i="28"/>
  <c r="BW682" i="28"/>
  <c r="BV682" i="28"/>
  <c r="BU682" i="28"/>
  <c r="BT682" i="28"/>
  <c r="BS682" i="28"/>
  <c r="BR682" i="28"/>
  <c r="BQ682" i="28"/>
  <c r="BP682" i="28"/>
  <c r="BO682" i="28"/>
  <c r="BN682" i="28"/>
  <c r="BM682" i="28"/>
  <c r="BL682" i="28"/>
  <c r="BK682" i="28"/>
  <c r="BJ682" i="28"/>
  <c r="BI682" i="28"/>
  <c r="BH682" i="28"/>
  <c r="BG682" i="28"/>
  <c r="BF682" i="28"/>
  <c r="BX681" i="28"/>
  <c r="BW681" i="28"/>
  <c r="BV681" i="28"/>
  <c r="BU681" i="28"/>
  <c r="BT681" i="28"/>
  <c r="BS681" i="28"/>
  <c r="BR681" i="28"/>
  <c r="BQ681" i="28"/>
  <c r="BP681" i="28"/>
  <c r="BO681" i="28"/>
  <c r="BN681" i="28"/>
  <c r="BM681" i="28"/>
  <c r="BL681" i="28"/>
  <c r="BK681" i="28"/>
  <c r="BJ681" i="28"/>
  <c r="BI681" i="28"/>
  <c r="BH681" i="28"/>
  <c r="BG681" i="28"/>
  <c r="BF681" i="28"/>
  <c r="BX680" i="28"/>
  <c r="BW680" i="28"/>
  <c r="BV680" i="28"/>
  <c r="BU680" i="28"/>
  <c r="BT680" i="28"/>
  <c r="BS680" i="28"/>
  <c r="BR680" i="28"/>
  <c r="BQ680" i="28"/>
  <c r="BP680" i="28"/>
  <c r="BO680" i="28"/>
  <c r="BN680" i="28"/>
  <c r="BM680" i="28"/>
  <c r="BL680" i="28"/>
  <c r="BK680" i="28"/>
  <c r="BJ680" i="28"/>
  <c r="BI680" i="28"/>
  <c r="BH680" i="28"/>
  <c r="BG680" i="28"/>
  <c r="BF680" i="28"/>
  <c r="BX679" i="28"/>
  <c r="BW679" i="28"/>
  <c r="BV679" i="28"/>
  <c r="BU679" i="28"/>
  <c r="BT679" i="28"/>
  <c r="BS679" i="28"/>
  <c r="BR679" i="28"/>
  <c r="BQ679" i="28"/>
  <c r="BP679" i="28"/>
  <c r="BO679" i="28"/>
  <c r="BN679" i="28"/>
  <c r="BM679" i="28"/>
  <c r="BL679" i="28"/>
  <c r="BK679" i="28"/>
  <c r="BJ679" i="28"/>
  <c r="BI679" i="28"/>
  <c r="BH679" i="28"/>
  <c r="BG679" i="28"/>
  <c r="BF679" i="28"/>
  <c r="BX678" i="28"/>
  <c r="BW678" i="28"/>
  <c r="BV678" i="28"/>
  <c r="BU678" i="28"/>
  <c r="BT678" i="28"/>
  <c r="BS678" i="28"/>
  <c r="BR678" i="28"/>
  <c r="BQ678" i="28"/>
  <c r="BP678" i="28"/>
  <c r="BO678" i="28"/>
  <c r="BN678" i="28"/>
  <c r="BM678" i="28"/>
  <c r="BL678" i="28"/>
  <c r="BK678" i="28"/>
  <c r="BJ678" i="28"/>
  <c r="BI678" i="28"/>
  <c r="BH678" i="28"/>
  <c r="BG678" i="28"/>
  <c r="BF678" i="28"/>
  <c r="BX677" i="28"/>
  <c r="BW677" i="28"/>
  <c r="BV677" i="28"/>
  <c r="BU677" i="28"/>
  <c r="BT677" i="28"/>
  <c r="BS677" i="28"/>
  <c r="BR677" i="28"/>
  <c r="BQ677" i="28"/>
  <c r="BP677" i="28"/>
  <c r="BO677" i="28"/>
  <c r="BN677" i="28"/>
  <c r="BM677" i="28"/>
  <c r="BL677" i="28"/>
  <c r="BK677" i="28"/>
  <c r="BJ677" i="28"/>
  <c r="BI677" i="28"/>
  <c r="BH677" i="28"/>
  <c r="BG677" i="28"/>
  <c r="BF677" i="28"/>
  <c r="BX676" i="28"/>
  <c r="BW676" i="28"/>
  <c r="BV676" i="28"/>
  <c r="BU676" i="28"/>
  <c r="BT676" i="28"/>
  <c r="BS676" i="28"/>
  <c r="BR676" i="28"/>
  <c r="BQ676" i="28"/>
  <c r="BP676" i="28"/>
  <c r="BO676" i="28"/>
  <c r="BN676" i="28"/>
  <c r="BM676" i="28"/>
  <c r="BL676" i="28"/>
  <c r="BK676" i="28"/>
  <c r="BJ676" i="28"/>
  <c r="BI676" i="28"/>
  <c r="BH676" i="28"/>
  <c r="BG676" i="28"/>
  <c r="BF676" i="28"/>
  <c r="BX675" i="28"/>
  <c r="BW675" i="28"/>
  <c r="BV675" i="28"/>
  <c r="BU675" i="28"/>
  <c r="BT675" i="28"/>
  <c r="BS675" i="28"/>
  <c r="BR675" i="28"/>
  <c r="BQ675" i="28"/>
  <c r="BP675" i="28"/>
  <c r="BO675" i="28"/>
  <c r="BN675" i="28"/>
  <c r="BM675" i="28"/>
  <c r="BL675" i="28"/>
  <c r="BK675" i="28"/>
  <c r="BJ675" i="28"/>
  <c r="BI675" i="28"/>
  <c r="BH675" i="28"/>
  <c r="BG675" i="28"/>
  <c r="BF675" i="28"/>
  <c r="BX674" i="28"/>
  <c r="BW674" i="28"/>
  <c r="BV674" i="28"/>
  <c r="BU674" i="28"/>
  <c r="BT674" i="28"/>
  <c r="BS674" i="28"/>
  <c r="BR674" i="28"/>
  <c r="BQ674" i="28"/>
  <c r="BP674" i="28"/>
  <c r="BO674" i="28"/>
  <c r="BN674" i="28"/>
  <c r="BM674" i="28"/>
  <c r="BL674" i="28"/>
  <c r="BK674" i="28"/>
  <c r="BJ674" i="28"/>
  <c r="BI674" i="28"/>
  <c r="BH674" i="28"/>
  <c r="BG674" i="28"/>
  <c r="BF674" i="28"/>
  <c r="BX673" i="28"/>
  <c r="BW673" i="28"/>
  <c r="BV673" i="28"/>
  <c r="BU673" i="28"/>
  <c r="BT673" i="28"/>
  <c r="BS673" i="28"/>
  <c r="BR673" i="28"/>
  <c r="BQ673" i="28"/>
  <c r="BP673" i="28"/>
  <c r="BO673" i="28"/>
  <c r="BN673" i="28"/>
  <c r="BM673" i="28"/>
  <c r="BL673" i="28"/>
  <c r="BK673" i="28"/>
  <c r="BJ673" i="28"/>
  <c r="BI673" i="28"/>
  <c r="BH673" i="28"/>
  <c r="BG673" i="28"/>
  <c r="BF673" i="28"/>
  <c r="BX672" i="28"/>
  <c r="BW672" i="28"/>
  <c r="BV672" i="28"/>
  <c r="BU672" i="28"/>
  <c r="BT672" i="28"/>
  <c r="BS672" i="28"/>
  <c r="BR672" i="28"/>
  <c r="BQ672" i="28"/>
  <c r="BP672" i="28"/>
  <c r="BO672" i="28"/>
  <c r="BN672" i="28"/>
  <c r="BM672" i="28"/>
  <c r="BL672" i="28"/>
  <c r="BK672" i="28"/>
  <c r="BJ672" i="28"/>
  <c r="BI672" i="28"/>
  <c r="BH672" i="28"/>
  <c r="BG672" i="28"/>
  <c r="BF672" i="28"/>
  <c r="BX671" i="28"/>
  <c r="BW671" i="28"/>
  <c r="BV671" i="28"/>
  <c r="BU671" i="28"/>
  <c r="BT671" i="28"/>
  <c r="BS671" i="28"/>
  <c r="BR671" i="28"/>
  <c r="BQ671" i="28"/>
  <c r="BP671" i="28"/>
  <c r="BO671" i="28"/>
  <c r="BN671" i="28"/>
  <c r="BM671" i="28"/>
  <c r="BL671" i="28"/>
  <c r="BK671" i="28"/>
  <c r="BJ671" i="28"/>
  <c r="BI671" i="28"/>
  <c r="BH671" i="28"/>
  <c r="BG671" i="28"/>
  <c r="BF671" i="28"/>
  <c r="BX670" i="28"/>
  <c r="BW670" i="28"/>
  <c r="BV670" i="28"/>
  <c r="BU670" i="28"/>
  <c r="BT670" i="28"/>
  <c r="BS670" i="28"/>
  <c r="BR670" i="28"/>
  <c r="BQ670" i="28"/>
  <c r="BP670" i="28"/>
  <c r="BO670" i="28"/>
  <c r="BN670" i="28"/>
  <c r="BM670" i="28"/>
  <c r="BL670" i="28"/>
  <c r="BK670" i="28"/>
  <c r="BJ670" i="28"/>
  <c r="BI670" i="28"/>
  <c r="BH670" i="28"/>
  <c r="BG670" i="28"/>
  <c r="BF670" i="28"/>
  <c r="BX669" i="28"/>
  <c r="BW669" i="28"/>
  <c r="BV669" i="28"/>
  <c r="BU669" i="28"/>
  <c r="BT669" i="28"/>
  <c r="BS669" i="28"/>
  <c r="BR669" i="28"/>
  <c r="BQ669" i="28"/>
  <c r="BP669" i="28"/>
  <c r="BO669" i="28"/>
  <c r="BN669" i="28"/>
  <c r="BM669" i="28"/>
  <c r="BL669" i="28"/>
  <c r="BK669" i="28"/>
  <c r="BJ669" i="28"/>
  <c r="BI669" i="28"/>
  <c r="BH669" i="28"/>
  <c r="BG669" i="28"/>
  <c r="BF669" i="28"/>
  <c r="BX668" i="28"/>
  <c r="BW668" i="28"/>
  <c r="BV668" i="28"/>
  <c r="BU668" i="28"/>
  <c r="BT668" i="28"/>
  <c r="BS668" i="28"/>
  <c r="BR668" i="28"/>
  <c r="BQ668" i="28"/>
  <c r="BP668" i="28"/>
  <c r="BO668" i="28"/>
  <c r="BN668" i="28"/>
  <c r="BM668" i="28"/>
  <c r="BL668" i="28"/>
  <c r="BK668" i="28"/>
  <c r="BJ668" i="28"/>
  <c r="BI668" i="28"/>
  <c r="BH668" i="28"/>
  <c r="BG668" i="28"/>
  <c r="BF668" i="28"/>
  <c r="BX667" i="28"/>
  <c r="BW667" i="28"/>
  <c r="BV667" i="28"/>
  <c r="BU667" i="28"/>
  <c r="BT667" i="28"/>
  <c r="BS667" i="28"/>
  <c r="BR667" i="28"/>
  <c r="BQ667" i="28"/>
  <c r="BP667" i="28"/>
  <c r="BO667" i="28"/>
  <c r="BN667" i="28"/>
  <c r="BM667" i="28"/>
  <c r="BL667" i="28"/>
  <c r="BK667" i="28"/>
  <c r="BJ667" i="28"/>
  <c r="BI667" i="28"/>
  <c r="BH667" i="28"/>
  <c r="BG667" i="28"/>
  <c r="BF667" i="28"/>
  <c r="BX666" i="28"/>
  <c r="BW666" i="28"/>
  <c r="BV666" i="28"/>
  <c r="BU666" i="28"/>
  <c r="BT666" i="28"/>
  <c r="BS666" i="28"/>
  <c r="BR666" i="28"/>
  <c r="BQ666" i="28"/>
  <c r="BP666" i="28"/>
  <c r="BO666" i="28"/>
  <c r="BN666" i="28"/>
  <c r="BM666" i="28"/>
  <c r="BL666" i="28"/>
  <c r="BK666" i="28"/>
  <c r="BJ666" i="28"/>
  <c r="BI666" i="28"/>
  <c r="BH666" i="28"/>
  <c r="BG666" i="28"/>
  <c r="BF666" i="28"/>
  <c r="BX665" i="28"/>
  <c r="BW665" i="28"/>
  <c r="BV665" i="28"/>
  <c r="BU665" i="28"/>
  <c r="BT665" i="28"/>
  <c r="BS665" i="28"/>
  <c r="BR665" i="28"/>
  <c r="BQ665" i="28"/>
  <c r="BP665" i="28"/>
  <c r="BO665" i="28"/>
  <c r="BN665" i="28"/>
  <c r="BM665" i="28"/>
  <c r="BL665" i="28"/>
  <c r="BK665" i="28"/>
  <c r="BJ665" i="28"/>
  <c r="BI665" i="28"/>
  <c r="BH665" i="28"/>
  <c r="BG665" i="28"/>
  <c r="BF665" i="28"/>
  <c r="BX664" i="28"/>
  <c r="BW664" i="28"/>
  <c r="BV664" i="28"/>
  <c r="BU664" i="28"/>
  <c r="BT664" i="28"/>
  <c r="BS664" i="28"/>
  <c r="BR664" i="28"/>
  <c r="BQ664" i="28"/>
  <c r="BP664" i="28"/>
  <c r="BO664" i="28"/>
  <c r="BN664" i="28"/>
  <c r="BM664" i="28"/>
  <c r="BL664" i="28"/>
  <c r="BK664" i="28"/>
  <c r="BJ664" i="28"/>
  <c r="BI664" i="28"/>
  <c r="BH664" i="28"/>
  <c r="BG664" i="28"/>
  <c r="BF664" i="28"/>
  <c r="BX663" i="28"/>
  <c r="BW663" i="28"/>
  <c r="BV663" i="28"/>
  <c r="BU663" i="28"/>
  <c r="BT663" i="28"/>
  <c r="BS663" i="28"/>
  <c r="BR663" i="28"/>
  <c r="BQ663" i="28"/>
  <c r="BP663" i="28"/>
  <c r="BO663" i="28"/>
  <c r="BN663" i="28"/>
  <c r="BM663" i="28"/>
  <c r="BL663" i="28"/>
  <c r="BK663" i="28"/>
  <c r="BJ663" i="28"/>
  <c r="BI663" i="28"/>
  <c r="BH663" i="28"/>
  <c r="BG663" i="28"/>
  <c r="BF663" i="28"/>
  <c r="BX662" i="28"/>
  <c r="BW662" i="28"/>
  <c r="BV662" i="28"/>
  <c r="BU662" i="28"/>
  <c r="BT662" i="28"/>
  <c r="BS662" i="28"/>
  <c r="BR662" i="28"/>
  <c r="BQ662" i="28"/>
  <c r="BP662" i="28"/>
  <c r="BO662" i="28"/>
  <c r="BN662" i="28"/>
  <c r="BM662" i="28"/>
  <c r="BL662" i="28"/>
  <c r="BK662" i="28"/>
  <c r="BJ662" i="28"/>
  <c r="BI662" i="28"/>
  <c r="BH662" i="28"/>
  <c r="BG662" i="28"/>
  <c r="BF662" i="28"/>
  <c r="BX661" i="28"/>
  <c r="BW661" i="28"/>
  <c r="BV661" i="28"/>
  <c r="BU661" i="28"/>
  <c r="BT661" i="28"/>
  <c r="BS661" i="28"/>
  <c r="BR661" i="28"/>
  <c r="BQ661" i="28"/>
  <c r="BP661" i="28"/>
  <c r="BO661" i="28"/>
  <c r="BN661" i="28"/>
  <c r="BM661" i="28"/>
  <c r="BL661" i="28"/>
  <c r="BK661" i="28"/>
  <c r="BJ661" i="28"/>
  <c r="BI661" i="28"/>
  <c r="BH661" i="28"/>
  <c r="BG661" i="28"/>
  <c r="BF661" i="28"/>
  <c r="BX660" i="28"/>
  <c r="BW660" i="28"/>
  <c r="BV660" i="28"/>
  <c r="BU660" i="28"/>
  <c r="BT660" i="28"/>
  <c r="BS660" i="28"/>
  <c r="BR660" i="28"/>
  <c r="BQ660" i="28"/>
  <c r="BP660" i="28"/>
  <c r="BO660" i="28"/>
  <c r="BN660" i="28"/>
  <c r="BM660" i="28"/>
  <c r="BL660" i="28"/>
  <c r="BK660" i="28"/>
  <c r="BJ660" i="28"/>
  <c r="BI660" i="28"/>
  <c r="BH660" i="28"/>
  <c r="BG660" i="28"/>
  <c r="BF660" i="28"/>
  <c r="BX659" i="28"/>
  <c r="BW659" i="28"/>
  <c r="BV659" i="28"/>
  <c r="BU659" i="28"/>
  <c r="BT659" i="28"/>
  <c r="BS659" i="28"/>
  <c r="BR659" i="28"/>
  <c r="BQ659" i="28"/>
  <c r="BP659" i="28"/>
  <c r="BO659" i="28"/>
  <c r="BN659" i="28"/>
  <c r="BM659" i="28"/>
  <c r="BL659" i="28"/>
  <c r="BK659" i="28"/>
  <c r="BJ659" i="28"/>
  <c r="BI659" i="28"/>
  <c r="BH659" i="28"/>
  <c r="BG659" i="28"/>
  <c r="BF659" i="28"/>
  <c r="BX658" i="28"/>
  <c r="BW658" i="28"/>
  <c r="BV658" i="28"/>
  <c r="BU658" i="28"/>
  <c r="BT658" i="28"/>
  <c r="BS658" i="28"/>
  <c r="BR658" i="28"/>
  <c r="BQ658" i="28"/>
  <c r="BP658" i="28"/>
  <c r="BO658" i="28"/>
  <c r="BN658" i="28"/>
  <c r="BM658" i="28"/>
  <c r="BL658" i="28"/>
  <c r="BK658" i="28"/>
  <c r="BJ658" i="28"/>
  <c r="BI658" i="28"/>
  <c r="BH658" i="28"/>
  <c r="BG658" i="28"/>
  <c r="BF658" i="28"/>
  <c r="BX657" i="28"/>
  <c r="BW657" i="28"/>
  <c r="BV657" i="28"/>
  <c r="BU657" i="28"/>
  <c r="BT657" i="28"/>
  <c r="BS657" i="28"/>
  <c r="BR657" i="28"/>
  <c r="BQ657" i="28"/>
  <c r="BP657" i="28"/>
  <c r="BO657" i="28"/>
  <c r="BN657" i="28"/>
  <c r="BM657" i="28"/>
  <c r="BL657" i="28"/>
  <c r="BK657" i="28"/>
  <c r="BJ657" i="28"/>
  <c r="BI657" i="28"/>
  <c r="BH657" i="28"/>
  <c r="BG657" i="28"/>
  <c r="BF657" i="28"/>
  <c r="BX656" i="28"/>
  <c r="BW656" i="28"/>
  <c r="BV656" i="28"/>
  <c r="BU656" i="28"/>
  <c r="BT656" i="28"/>
  <c r="BS656" i="28"/>
  <c r="BR656" i="28"/>
  <c r="BQ656" i="28"/>
  <c r="BP656" i="28"/>
  <c r="BO656" i="28"/>
  <c r="BN656" i="28"/>
  <c r="BM656" i="28"/>
  <c r="BL656" i="28"/>
  <c r="BK656" i="28"/>
  <c r="BJ656" i="28"/>
  <c r="BI656" i="28"/>
  <c r="BH656" i="28"/>
  <c r="BG656" i="28"/>
  <c r="BF656" i="28"/>
  <c r="BX655" i="28"/>
  <c r="BW655" i="28"/>
  <c r="BV655" i="28"/>
  <c r="BU655" i="28"/>
  <c r="BT655" i="28"/>
  <c r="BS655" i="28"/>
  <c r="BR655" i="28"/>
  <c r="BQ655" i="28"/>
  <c r="BP655" i="28"/>
  <c r="BO655" i="28"/>
  <c r="BN655" i="28"/>
  <c r="BM655" i="28"/>
  <c r="BL655" i="28"/>
  <c r="BK655" i="28"/>
  <c r="BJ655" i="28"/>
  <c r="BI655" i="28"/>
  <c r="BH655" i="28"/>
  <c r="BG655" i="28"/>
  <c r="BF655" i="28"/>
  <c r="BX654" i="28"/>
  <c r="BW654" i="28"/>
  <c r="BV654" i="28"/>
  <c r="BU654" i="28"/>
  <c r="BT654" i="28"/>
  <c r="BS654" i="28"/>
  <c r="BR654" i="28"/>
  <c r="BQ654" i="28"/>
  <c r="BP654" i="28"/>
  <c r="BO654" i="28"/>
  <c r="BN654" i="28"/>
  <c r="BM654" i="28"/>
  <c r="BL654" i="28"/>
  <c r="BK654" i="28"/>
  <c r="BJ654" i="28"/>
  <c r="BI654" i="28"/>
  <c r="BH654" i="28"/>
  <c r="BG654" i="28"/>
  <c r="BF654" i="28"/>
  <c r="BX653" i="28"/>
  <c r="BW653" i="28"/>
  <c r="BV653" i="28"/>
  <c r="BU653" i="28"/>
  <c r="BT653" i="28"/>
  <c r="BS653" i="28"/>
  <c r="BR653" i="28"/>
  <c r="BQ653" i="28"/>
  <c r="BP653" i="28"/>
  <c r="BO653" i="28"/>
  <c r="BN653" i="28"/>
  <c r="BM653" i="28"/>
  <c r="BL653" i="28"/>
  <c r="BK653" i="28"/>
  <c r="BJ653" i="28"/>
  <c r="BI653" i="28"/>
  <c r="BH653" i="28"/>
  <c r="BG653" i="28"/>
  <c r="BF653" i="28"/>
  <c r="BX652" i="28"/>
  <c r="BW652" i="28"/>
  <c r="BV652" i="28"/>
  <c r="BU652" i="28"/>
  <c r="BT652" i="28"/>
  <c r="BS652" i="28"/>
  <c r="BR652" i="28"/>
  <c r="BQ652" i="28"/>
  <c r="BP652" i="28"/>
  <c r="BO652" i="28"/>
  <c r="BN652" i="28"/>
  <c r="BM652" i="28"/>
  <c r="BL652" i="28"/>
  <c r="BK652" i="28"/>
  <c r="BJ652" i="28"/>
  <c r="BI652" i="28"/>
  <c r="BH652" i="28"/>
  <c r="BG652" i="28"/>
  <c r="BF652" i="28"/>
  <c r="BX651" i="28"/>
  <c r="BW651" i="28"/>
  <c r="BV651" i="28"/>
  <c r="BU651" i="28"/>
  <c r="BT651" i="28"/>
  <c r="BS651" i="28"/>
  <c r="BR651" i="28"/>
  <c r="BQ651" i="28"/>
  <c r="BP651" i="28"/>
  <c r="BO651" i="28"/>
  <c r="BN651" i="28"/>
  <c r="BM651" i="28"/>
  <c r="BL651" i="28"/>
  <c r="BK651" i="28"/>
  <c r="BJ651" i="28"/>
  <c r="BI651" i="28"/>
  <c r="BH651" i="28"/>
  <c r="BG651" i="28"/>
  <c r="BF651" i="28"/>
  <c r="BX650" i="28"/>
  <c r="BW650" i="28"/>
  <c r="BV650" i="28"/>
  <c r="BU650" i="28"/>
  <c r="BT650" i="28"/>
  <c r="BS650" i="28"/>
  <c r="BR650" i="28"/>
  <c r="BQ650" i="28"/>
  <c r="BP650" i="28"/>
  <c r="BO650" i="28"/>
  <c r="BN650" i="28"/>
  <c r="BM650" i="28"/>
  <c r="BL650" i="28"/>
  <c r="BK650" i="28"/>
  <c r="BJ650" i="28"/>
  <c r="BI650" i="28"/>
  <c r="BH650" i="28"/>
  <c r="BG650" i="28"/>
  <c r="BF650" i="28"/>
  <c r="BX649" i="28"/>
  <c r="BW649" i="28"/>
  <c r="BV649" i="28"/>
  <c r="BU649" i="28"/>
  <c r="BT649" i="28"/>
  <c r="BS649" i="28"/>
  <c r="BR649" i="28"/>
  <c r="BQ649" i="28"/>
  <c r="BP649" i="28"/>
  <c r="BO649" i="28"/>
  <c r="BN649" i="28"/>
  <c r="BM649" i="28"/>
  <c r="BL649" i="28"/>
  <c r="BK649" i="28"/>
  <c r="BJ649" i="28"/>
  <c r="BI649" i="28"/>
  <c r="BH649" i="28"/>
  <c r="BG649" i="28"/>
  <c r="BF649" i="28"/>
  <c r="BX648" i="28"/>
  <c r="BW648" i="28"/>
  <c r="BV648" i="28"/>
  <c r="BU648" i="28"/>
  <c r="BT648" i="28"/>
  <c r="BS648" i="28"/>
  <c r="BR648" i="28"/>
  <c r="BQ648" i="28"/>
  <c r="BP648" i="28"/>
  <c r="BO648" i="28"/>
  <c r="BN648" i="28"/>
  <c r="BM648" i="28"/>
  <c r="BL648" i="28"/>
  <c r="BK648" i="28"/>
  <c r="BJ648" i="28"/>
  <c r="BI648" i="28"/>
  <c r="BH648" i="28"/>
  <c r="BG648" i="28"/>
  <c r="BF648" i="28"/>
  <c r="BX647" i="28"/>
  <c r="BW647" i="28"/>
  <c r="BV647" i="28"/>
  <c r="BU647" i="28"/>
  <c r="BT647" i="28"/>
  <c r="BS647" i="28"/>
  <c r="BR647" i="28"/>
  <c r="BQ647" i="28"/>
  <c r="BP647" i="28"/>
  <c r="BO647" i="28"/>
  <c r="BN647" i="28"/>
  <c r="BM647" i="28"/>
  <c r="BL647" i="28"/>
  <c r="BK647" i="28"/>
  <c r="BJ647" i="28"/>
  <c r="BI647" i="28"/>
  <c r="BH647" i="28"/>
  <c r="BG647" i="28"/>
  <c r="BF647" i="28"/>
  <c r="BX646" i="28"/>
  <c r="BW646" i="28"/>
  <c r="BV646" i="28"/>
  <c r="BU646" i="28"/>
  <c r="BT646" i="28"/>
  <c r="BS646" i="28"/>
  <c r="BR646" i="28"/>
  <c r="BQ646" i="28"/>
  <c r="BP646" i="28"/>
  <c r="BO646" i="28"/>
  <c r="BN646" i="28"/>
  <c r="BM646" i="28"/>
  <c r="BL646" i="28"/>
  <c r="BK646" i="28"/>
  <c r="BJ646" i="28"/>
  <c r="BI646" i="28"/>
  <c r="BH646" i="28"/>
  <c r="BG646" i="28"/>
  <c r="BF646" i="28"/>
  <c r="BX645" i="28"/>
  <c r="BW645" i="28"/>
  <c r="BV645" i="28"/>
  <c r="BU645" i="28"/>
  <c r="BT645" i="28"/>
  <c r="BS645" i="28"/>
  <c r="BR645" i="28"/>
  <c r="BQ645" i="28"/>
  <c r="BP645" i="28"/>
  <c r="BO645" i="28"/>
  <c r="BN645" i="28"/>
  <c r="BM645" i="28"/>
  <c r="BL645" i="28"/>
  <c r="BK645" i="28"/>
  <c r="BJ645" i="28"/>
  <c r="BI645" i="28"/>
  <c r="BH645" i="28"/>
  <c r="BG645" i="28"/>
  <c r="BF645" i="28"/>
  <c r="BX644" i="28"/>
  <c r="BW644" i="28"/>
  <c r="BV644" i="28"/>
  <c r="BU644" i="28"/>
  <c r="BT644" i="28"/>
  <c r="BS644" i="28"/>
  <c r="BR644" i="28"/>
  <c r="BQ644" i="28"/>
  <c r="BP644" i="28"/>
  <c r="BO644" i="28"/>
  <c r="BN644" i="28"/>
  <c r="BM644" i="28"/>
  <c r="BL644" i="28"/>
  <c r="BK644" i="28"/>
  <c r="BJ644" i="28"/>
  <c r="BI644" i="28"/>
  <c r="BH644" i="28"/>
  <c r="BG644" i="28"/>
  <c r="BF644" i="28"/>
  <c r="BX643" i="28"/>
  <c r="BW643" i="28"/>
  <c r="BV643" i="28"/>
  <c r="BU643" i="28"/>
  <c r="BT643" i="28"/>
  <c r="BS643" i="28"/>
  <c r="BR643" i="28"/>
  <c r="BQ643" i="28"/>
  <c r="BP643" i="28"/>
  <c r="BO643" i="28"/>
  <c r="BN643" i="28"/>
  <c r="BM643" i="28"/>
  <c r="BL643" i="28"/>
  <c r="BK643" i="28"/>
  <c r="BJ643" i="28"/>
  <c r="BI643" i="28"/>
  <c r="BH643" i="28"/>
  <c r="BG643" i="28"/>
  <c r="BF643" i="28"/>
  <c r="BX642" i="28"/>
  <c r="BW642" i="28"/>
  <c r="BV642" i="28"/>
  <c r="BU642" i="28"/>
  <c r="BT642" i="28"/>
  <c r="BS642" i="28"/>
  <c r="BR642" i="28"/>
  <c r="BQ642" i="28"/>
  <c r="BP642" i="28"/>
  <c r="BO642" i="28"/>
  <c r="BN642" i="28"/>
  <c r="BM642" i="28"/>
  <c r="BL642" i="28"/>
  <c r="BK642" i="28"/>
  <c r="BJ642" i="28"/>
  <c r="BI642" i="28"/>
  <c r="BH642" i="28"/>
  <c r="BG642" i="28"/>
  <c r="BF642" i="28"/>
  <c r="BX641" i="28"/>
  <c r="BW641" i="28"/>
  <c r="BV641" i="28"/>
  <c r="BU641" i="28"/>
  <c r="BT641" i="28"/>
  <c r="BS641" i="28"/>
  <c r="BR641" i="28"/>
  <c r="BQ641" i="28"/>
  <c r="BP641" i="28"/>
  <c r="BO641" i="28"/>
  <c r="BN641" i="28"/>
  <c r="BM641" i="28"/>
  <c r="BL641" i="28"/>
  <c r="BK641" i="28"/>
  <c r="BJ641" i="28"/>
  <c r="BI641" i="28"/>
  <c r="BH641" i="28"/>
  <c r="BG641" i="28"/>
  <c r="BF641" i="28"/>
  <c r="BX640" i="28"/>
  <c r="BW640" i="28"/>
  <c r="BV640" i="28"/>
  <c r="BU640" i="28"/>
  <c r="BT640" i="28"/>
  <c r="BS640" i="28"/>
  <c r="BR640" i="28"/>
  <c r="BQ640" i="28"/>
  <c r="BP640" i="28"/>
  <c r="BO640" i="28"/>
  <c r="BN640" i="28"/>
  <c r="BM640" i="28"/>
  <c r="BL640" i="28"/>
  <c r="BK640" i="28"/>
  <c r="BJ640" i="28"/>
  <c r="BI640" i="28"/>
  <c r="BH640" i="28"/>
  <c r="BG640" i="28"/>
  <c r="BF640" i="28"/>
  <c r="BX639" i="28"/>
  <c r="BW639" i="28"/>
  <c r="BV639" i="28"/>
  <c r="BU639" i="28"/>
  <c r="BT639" i="28"/>
  <c r="BS639" i="28"/>
  <c r="BR639" i="28"/>
  <c r="BQ639" i="28"/>
  <c r="BP639" i="28"/>
  <c r="BO639" i="28"/>
  <c r="BN639" i="28"/>
  <c r="BM639" i="28"/>
  <c r="BL639" i="28"/>
  <c r="BK639" i="28"/>
  <c r="BJ639" i="28"/>
  <c r="BI639" i="28"/>
  <c r="BH639" i="28"/>
  <c r="BG639" i="28"/>
  <c r="BF639" i="28"/>
  <c r="BX638" i="28"/>
  <c r="BW638" i="28"/>
  <c r="BV638" i="28"/>
  <c r="BU638" i="28"/>
  <c r="BT638" i="28"/>
  <c r="BS638" i="28"/>
  <c r="BR638" i="28"/>
  <c r="BQ638" i="28"/>
  <c r="BP638" i="28"/>
  <c r="BO638" i="28"/>
  <c r="BN638" i="28"/>
  <c r="BM638" i="28"/>
  <c r="BL638" i="28"/>
  <c r="BK638" i="28"/>
  <c r="BJ638" i="28"/>
  <c r="BI638" i="28"/>
  <c r="BH638" i="28"/>
  <c r="BG638" i="28"/>
  <c r="BF638" i="28"/>
  <c r="BX637" i="28"/>
  <c r="BW637" i="28"/>
  <c r="BV637" i="28"/>
  <c r="BU637" i="28"/>
  <c r="BT637" i="28"/>
  <c r="BS637" i="28"/>
  <c r="BR637" i="28"/>
  <c r="BQ637" i="28"/>
  <c r="BP637" i="28"/>
  <c r="BO637" i="28"/>
  <c r="BN637" i="28"/>
  <c r="BM637" i="28"/>
  <c r="BL637" i="28"/>
  <c r="BK637" i="28"/>
  <c r="BJ637" i="28"/>
  <c r="BI637" i="28"/>
  <c r="BH637" i="28"/>
  <c r="BG637" i="28"/>
  <c r="BF637" i="28"/>
  <c r="BX636" i="28"/>
  <c r="BW636" i="28"/>
  <c r="BV636" i="28"/>
  <c r="BU636" i="28"/>
  <c r="BT636" i="28"/>
  <c r="BS636" i="28"/>
  <c r="BR636" i="28"/>
  <c r="BQ636" i="28"/>
  <c r="BP636" i="28"/>
  <c r="BO636" i="28"/>
  <c r="BN636" i="28"/>
  <c r="BM636" i="28"/>
  <c r="BL636" i="28"/>
  <c r="BK636" i="28"/>
  <c r="BJ636" i="28"/>
  <c r="BI636" i="28"/>
  <c r="BH636" i="28"/>
  <c r="BG636" i="28"/>
  <c r="BF636" i="28"/>
  <c r="BX635" i="28"/>
  <c r="BW635" i="28"/>
  <c r="BV635" i="28"/>
  <c r="BU635" i="28"/>
  <c r="BT635" i="28"/>
  <c r="BS635" i="28"/>
  <c r="BR635" i="28"/>
  <c r="BQ635" i="28"/>
  <c r="BP635" i="28"/>
  <c r="BO635" i="28"/>
  <c r="BN635" i="28"/>
  <c r="BM635" i="28"/>
  <c r="BL635" i="28"/>
  <c r="BK635" i="28"/>
  <c r="BJ635" i="28"/>
  <c r="BI635" i="28"/>
  <c r="BH635" i="28"/>
  <c r="BG635" i="28"/>
  <c r="BF635" i="28"/>
  <c r="BX634" i="28"/>
  <c r="BW634" i="28"/>
  <c r="BV634" i="28"/>
  <c r="BU634" i="28"/>
  <c r="BT634" i="28"/>
  <c r="BS634" i="28"/>
  <c r="BR634" i="28"/>
  <c r="BQ634" i="28"/>
  <c r="BP634" i="28"/>
  <c r="BO634" i="28"/>
  <c r="BN634" i="28"/>
  <c r="BM634" i="28"/>
  <c r="BL634" i="28"/>
  <c r="BK634" i="28"/>
  <c r="BJ634" i="28"/>
  <c r="BI634" i="28"/>
  <c r="BH634" i="28"/>
  <c r="BG634" i="28"/>
  <c r="BF634" i="28"/>
  <c r="BX633" i="28"/>
  <c r="BW633" i="28"/>
  <c r="BV633" i="28"/>
  <c r="BU633" i="28"/>
  <c r="BT633" i="28"/>
  <c r="BS633" i="28"/>
  <c r="BR633" i="28"/>
  <c r="BQ633" i="28"/>
  <c r="BP633" i="28"/>
  <c r="BO633" i="28"/>
  <c r="BN633" i="28"/>
  <c r="BM633" i="28"/>
  <c r="BL633" i="28"/>
  <c r="BK633" i="28"/>
  <c r="BJ633" i="28"/>
  <c r="BI633" i="28"/>
  <c r="BH633" i="28"/>
  <c r="BG633" i="28"/>
  <c r="BF633" i="28"/>
  <c r="BX632" i="28"/>
  <c r="BW632" i="28"/>
  <c r="BV632" i="28"/>
  <c r="BU632" i="28"/>
  <c r="BT632" i="28"/>
  <c r="BS632" i="28"/>
  <c r="BR632" i="28"/>
  <c r="BQ632" i="28"/>
  <c r="BP632" i="28"/>
  <c r="BO632" i="28"/>
  <c r="BN632" i="28"/>
  <c r="BM632" i="28"/>
  <c r="BL632" i="28"/>
  <c r="BK632" i="28"/>
  <c r="BJ632" i="28"/>
  <c r="BI632" i="28"/>
  <c r="BH632" i="28"/>
  <c r="BG632" i="28"/>
  <c r="BF632" i="28"/>
  <c r="BX631" i="28"/>
  <c r="BW631" i="28"/>
  <c r="BV631" i="28"/>
  <c r="BU631" i="28"/>
  <c r="BT631" i="28"/>
  <c r="BS631" i="28"/>
  <c r="BR631" i="28"/>
  <c r="BQ631" i="28"/>
  <c r="BP631" i="28"/>
  <c r="BO631" i="28"/>
  <c r="BN631" i="28"/>
  <c r="BM631" i="28"/>
  <c r="BL631" i="28"/>
  <c r="BK631" i="28"/>
  <c r="BJ631" i="28"/>
  <c r="BI631" i="28"/>
  <c r="BH631" i="28"/>
  <c r="BG631" i="28"/>
  <c r="BF631" i="28"/>
  <c r="BX630" i="28"/>
  <c r="BW630" i="28"/>
  <c r="BV630" i="28"/>
  <c r="BU630" i="28"/>
  <c r="BT630" i="28"/>
  <c r="BS630" i="28"/>
  <c r="BR630" i="28"/>
  <c r="BQ630" i="28"/>
  <c r="BP630" i="28"/>
  <c r="BO630" i="28"/>
  <c r="BN630" i="28"/>
  <c r="BM630" i="28"/>
  <c r="BL630" i="28"/>
  <c r="BK630" i="28"/>
  <c r="BJ630" i="28"/>
  <c r="BI630" i="28"/>
  <c r="BH630" i="28"/>
  <c r="BG630" i="28"/>
  <c r="BF630" i="28"/>
  <c r="BX629" i="28"/>
  <c r="BW629" i="28"/>
  <c r="BV629" i="28"/>
  <c r="BU629" i="28"/>
  <c r="BT629" i="28"/>
  <c r="BS629" i="28"/>
  <c r="BR629" i="28"/>
  <c r="BQ629" i="28"/>
  <c r="BP629" i="28"/>
  <c r="BO629" i="28"/>
  <c r="BN629" i="28"/>
  <c r="BM629" i="28"/>
  <c r="BL629" i="28"/>
  <c r="BK629" i="28"/>
  <c r="BJ629" i="28"/>
  <c r="BI629" i="28"/>
  <c r="BH629" i="28"/>
  <c r="BG629" i="28"/>
  <c r="BF629" i="28"/>
  <c r="BX628" i="28"/>
  <c r="BW628" i="28"/>
  <c r="BV628" i="28"/>
  <c r="BU628" i="28"/>
  <c r="BT628" i="28"/>
  <c r="BS628" i="28"/>
  <c r="BR628" i="28"/>
  <c r="BQ628" i="28"/>
  <c r="BP628" i="28"/>
  <c r="BO628" i="28"/>
  <c r="BN628" i="28"/>
  <c r="BM628" i="28"/>
  <c r="BL628" i="28"/>
  <c r="BK628" i="28"/>
  <c r="BJ628" i="28"/>
  <c r="BI628" i="28"/>
  <c r="BH628" i="28"/>
  <c r="BG628" i="28"/>
  <c r="BF628" i="28"/>
  <c r="BX627" i="28"/>
  <c r="BW627" i="28"/>
  <c r="BV627" i="28"/>
  <c r="BU627" i="28"/>
  <c r="BT627" i="28"/>
  <c r="BS627" i="28"/>
  <c r="BR627" i="28"/>
  <c r="BQ627" i="28"/>
  <c r="BP627" i="28"/>
  <c r="BO627" i="28"/>
  <c r="BN627" i="28"/>
  <c r="BM627" i="28"/>
  <c r="BL627" i="28"/>
  <c r="BK627" i="28"/>
  <c r="BJ627" i="28"/>
  <c r="BI627" i="28"/>
  <c r="BH627" i="28"/>
  <c r="BG627" i="28"/>
  <c r="BF627" i="28"/>
  <c r="BX626" i="28"/>
  <c r="BW626" i="28"/>
  <c r="BV626" i="28"/>
  <c r="BU626" i="28"/>
  <c r="BT626" i="28"/>
  <c r="BS626" i="28"/>
  <c r="BR626" i="28"/>
  <c r="BQ626" i="28"/>
  <c r="BP626" i="28"/>
  <c r="BO626" i="28"/>
  <c r="BN626" i="28"/>
  <c r="BM626" i="28"/>
  <c r="BL626" i="28"/>
  <c r="BK626" i="28"/>
  <c r="BJ626" i="28"/>
  <c r="BI626" i="28"/>
  <c r="BH626" i="28"/>
  <c r="BG626" i="28"/>
  <c r="BF626" i="28"/>
  <c r="BX625" i="28"/>
  <c r="BW625" i="28"/>
  <c r="BV625" i="28"/>
  <c r="BU625" i="28"/>
  <c r="BT625" i="28"/>
  <c r="BS625" i="28"/>
  <c r="BR625" i="28"/>
  <c r="BQ625" i="28"/>
  <c r="BP625" i="28"/>
  <c r="BO625" i="28"/>
  <c r="BN625" i="28"/>
  <c r="BM625" i="28"/>
  <c r="BL625" i="28"/>
  <c r="BK625" i="28"/>
  <c r="BJ625" i="28"/>
  <c r="BI625" i="28"/>
  <c r="BH625" i="28"/>
  <c r="BG625" i="28"/>
  <c r="BF625" i="28"/>
  <c r="BX624" i="28"/>
  <c r="BW624" i="28"/>
  <c r="BV624" i="28"/>
  <c r="BU624" i="28"/>
  <c r="BT624" i="28"/>
  <c r="BS624" i="28"/>
  <c r="BR624" i="28"/>
  <c r="BQ624" i="28"/>
  <c r="BP624" i="28"/>
  <c r="BO624" i="28"/>
  <c r="BN624" i="28"/>
  <c r="BM624" i="28"/>
  <c r="BL624" i="28"/>
  <c r="BK624" i="28"/>
  <c r="BJ624" i="28"/>
  <c r="BI624" i="28"/>
  <c r="BH624" i="28"/>
  <c r="BG624" i="28"/>
  <c r="BF624" i="28"/>
  <c r="BX623" i="28"/>
  <c r="BW623" i="28"/>
  <c r="BV623" i="28"/>
  <c r="BU623" i="28"/>
  <c r="BT623" i="28"/>
  <c r="BS623" i="28"/>
  <c r="BR623" i="28"/>
  <c r="BQ623" i="28"/>
  <c r="BP623" i="28"/>
  <c r="BO623" i="28"/>
  <c r="BN623" i="28"/>
  <c r="BM623" i="28"/>
  <c r="BL623" i="28"/>
  <c r="BK623" i="28"/>
  <c r="BJ623" i="28"/>
  <c r="BI623" i="28"/>
  <c r="BH623" i="28"/>
  <c r="BG623" i="28"/>
  <c r="BF623" i="28"/>
  <c r="BX622" i="28"/>
  <c r="BW622" i="28"/>
  <c r="BV622" i="28"/>
  <c r="BU622" i="28"/>
  <c r="BT622" i="28"/>
  <c r="BS622" i="28"/>
  <c r="BR622" i="28"/>
  <c r="BQ622" i="28"/>
  <c r="BP622" i="28"/>
  <c r="BO622" i="28"/>
  <c r="BN622" i="28"/>
  <c r="BM622" i="28"/>
  <c r="BL622" i="28"/>
  <c r="BK622" i="28"/>
  <c r="BJ622" i="28"/>
  <c r="BI622" i="28"/>
  <c r="BH622" i="28"/>
  <c r="BG622" i="28"/>
  <c r="BF622" i="28"/>
  <c r="BX621" i="28"/>
  <c r="BW621" i="28"/>
  <c r="BV621" i="28"/>
  <c r="BU621" i="28"/>
  <c r="BT621" i="28"/>
  <c r="BS621" i="28"/>
  <c r="BR621" i="28"/>
  <c r="BQ621" i="28"/>
  <c r="BP621" i="28"/>
  <c r="BO621" i="28"/>
  <c r="BN621" i="28"/>
  <c r="BM621" i="28"/>
  <c r="BL621" i="28"/>
  <c r="BK621" i="28"/>
  <c r="BJ621" i="28"/>
  <c r="BI621" i="28"/>
  <c r="BH621" i="28"/>
  <c r="BG621" i="28"/>
  <c r="BF621" i="28"/>
  <c r="BX620" i="28"/>
  <c r="BW620" i="28"/>
  <c r="BV620" i="28"/>
  <c r="BU620" i="28"/>
  <c r="BT620" i="28"/>
  <c r="BS620" i="28"/>
  <c r="BR620" i="28"/>
  <c r="BQ620" i="28"/>
  <c r="BP620" i="28"/>
  <c r="BO620" i="28"/>
  <c r="BN620" i="28"/>
  <c r="BM620" i="28"/>
  <c r="BL620" i="28"/>
  <c r="BK620" i="28"/>
  <c r="BJ620" i="28"/>
  <c r="BI620" i="28"/>
  <c r="BH620" i="28"/>
  <c r="BG620" i="28"/>
  <c r="BF620" i="28"/>
  <c r="BX619" i="28"/>
  <c r="BW619" i="28"/>
  <c r="BV619" i="28"/>
  <c r="BU619" i="28"/>
  <c r="BT619" i="28"/>
  <c r="BS619" i="28"/>
  <c r="BR619" i="28"/>
  <c r="BQ619" i="28"/>
  <c r="BP619" i="28"/>
  <c r="BO619" i="28"/>
  <c r="BN619" i="28"/>
  <c r="BM619" i="28"/>
  <c r="BL619" i="28"/>
  <c r="BK619" i="28"/>
  <c r="BJ619" i="28"/>
  <c r="BI619" i="28"/>
  <c r="BH619" i="28"/>
  <c r="BG619" i="28"/>
  <c r="BF619" i="28"/>
  <c r="BX618" i="28"/>
  <c r="BW618" i="28"/>
  <c r="BV618" i="28"/>
  <c r="BU618" i="28"/>
  <c r="BT618" i="28"/>
  <c r="BS618" i="28"/>
  <c r="BR618" i="28"/>
  <c r="BQ618" i="28"/>
  <c r="BP618" i="28"/>
  <c r="BO618" i="28"/>
  <c r="BN618" i="28"/>
  <c r="BM618" i="28"/>
  <c r="BL618" i="28"/>
  <c r="BK618" i="28"/>
  <c r="BJ618" i="28"/>
  <c r="BI618" i="28"/>
  <c r="BH618" i="28"/>
  <c r="BG618" i="28"/>
  <c r="BF618" i="28"/>
  <c r="BX617" i="28"/>
  <c r="BW617" i="28"/>
  <c r="BV617" i="28"/>
  <c r="BU617" i="28"/>
  <c r="BT617" i="28"/>
  <c r="BS617" i="28"/>
  <c r="BR617" i="28"/>
  <c r="BQ617" i="28"/>
  <c r="BP617" i="28"/>
  <c r="BO617" i="28"/>
  <c r="BN617" i="28"/>
  <c r="BM617" i="28"/>
  <c r="BL617" i="28"/>
  <c r="BK617" i="28"/>
  <c r="BJ617" i="28"/>
  <c r="BI617" i="28"/>
  <c r="BH617" i="28"/>
  <c r="BG617" i="28"/>
  <c r="BF617" i="28"/>
  <c r="BX616" i="28"/>
  <c r="BW616" i="28"/>
  <c r="BV616" i="28"/>
  <c r="BU616" i="28"/>
  <c r="BT616" i="28"/>
  <c r="BS616" i="28"/>
  <c r="BR616" i="28"/>
  <c r="BQ616" i="28"/>
  <c r="BP616" i="28"/>
  <c r="BO616" i="28"/>
  <c r="BN616" i="28"/>
  <c r="BM616" i="28"/>
  <c r="BL616" i="28"/>
  <c r="BK616" i="28"/>
  <c r="BJ616" i="28"/>
  <c r="BI616" i="28"/>
  <c r="BH616" i="28"/>
  <c r="BG616" i="28"/>
  <c r="BF616" i="28"/>
  <c r="BX615" i="28"/>
  <c r="BW615" i="28"/>
  <c r="BV615" i="28"/>
  <c r="BU615" i="28"/>
  <c r="BT615" i="28"/>
  <c r="BS615" i="28"/>
  <c r="BR615" i="28"/>
  <c r="BQ615" i="28"/>
  <c r="BP615" i="28"/>
  <c r="BO615" i="28"/>
  <c r="BN615" i="28"/>
  <c r="BM615" i="28"/>
  <c r="BL615" i="28"/>
  <c r="BK615" i="28"/>
  <c r="BJ615" i="28"/>
  <c r="BI615" i="28"/>
  <c r="BH615" i="28"/>
  <c r="BG615" i="28"/>
  <c r="BF615" i="28"/>
  <c r="BX614" i="28"/>
  <c r="BW614" i="28"/>
  <c r="BV614" i="28"/>
  <c r="BU614" i="28"/>
  <c r="BT614" i="28"/>
  <c r="BS614" i="28"/>
  <c r="BR614" i="28"/>
  <c r="BQ614" i="28"/>
  <c r="BP614" i="28"/>
  <c r="BO614" i="28"/>
  <c r="BN614" i="28"/>
  <c r="BM614" i="28"/>
  <c r="BL614" i="28"/>
  <c r="BK614" i="28"/>
  <c r="BJ614" i="28"/>
  <c r="BI614" i="28"/>
  <c r="BH614" i="28"/>
  <c r="BG614" i="28"/>
  <c r="BF614" i="28"/>
  <c r="BX613" i="28"/>
  <c r="BW613" i="28"/>
  <c r="BV613" i="28"/>
  <c r="BU613" i="28"/>
  <c r="BT613" i="28"/>
  <c r="BS613" i="28"/>
  <c r="BR613" i="28"/>
  <c r="BQ613" i="28"/>
  <c r="BP613" i="28"/>
  <c r="BO613" i="28"/>
  <c r="BN613" i="28"/>
  <c r="BM613" i="28"/>
  <c r="BL613" i="28"/>
  <c r="BK613" i="28"/>
  <c r="BJ613" i="28"/>
  <c r="BI613" i="28"/>
  <c r="BH613" i="28"/>
  <c r="BG613" i="28"/>
  <c r="BF613" i="28"/>
  <c r="BX612" i="28"/>
  <c r="BW612" i="28"/>
  <c r="BV612" i="28"/>
  <c r="BU612" i="28"/>
  <c r="BT612" i="28"/>
  <c r="BS612" i="28"/>
  <c r="BR612" i="28"/>
  <c r="BQ612" i="28"/>
  <c r="BP612" i="28"/>
  <c r="BO612" i="28"/>
  <c r="BN612" i="28"/>
  <c r="BM612" i="28"/>
  <c r="BL612" i="28"/>
  <c r="BK612" i="28"/>
  <c r="BJ612" i="28"/>
  <c r="BI612" i="28"/>
  <c r="BH612" i="28"/>
  <c r="BG612" i="28"/>
  <c r="BF612" i="28"/>
  <c r="BX611" i="28"/>
  <c r="BW611" i="28"/>
  <c r="BV611" i="28"/>
  <c r="BU611" i="28"/>
  <c r="BT611" i="28"/>
  <c r="BS611" i="28"/>
  <c r="BR611" i="28"/>
  <c r="BQ611" i="28"/>
  <c r="BP611" i="28"/>
  <c r="BO611" i="28"/>
  <c r="BN611" i="28"/>
  <c r="BM611" i="28"/>
  <c r="BL611" i="28"/>
  <c r="BK611" i="28"/>
  <c r="BJ611" i="28"/>
  <c r="BI611" i="28"/>
  <c r="BH611" i="28"/>
  <c r="BG611" i="28"/>
  <c r="BF611" i="28"/>
  <c r="BX610" i="28"/>
  <c r="BW610" i="28"/>
  <c r="BV610" i="28"/>
  <c r="BU610" i="28"/>
  <c r="BT610" i="28"/>
  <c r="BS610" i="28"/>
  <c r="BR610" i="28"/>
  <c r="BQ610" i="28"/>
  <c r="BP610" i="28"/>
  <c r="BO610" i="28"/>
  <c r="BN610" i="28"/>
  <c r="BM610" i="28"/>
  <c r="BL610" i="28"/>
  <c r="BK610" i="28"/>
  <c r="BJ610" i="28"/>
  <c r="BI610" i="28"/>
  <c r="BH610" i="28"/>
  <c r="BG610" i="28"/>
  <c r="BF610" i="28"/>
  <c r="BX609" i="28"/>
  <c r="BW609" i="28"/>
  <c r="BV609" i="28"/>
  <c r="BU609" i="28"/>
  <c r="BT609" i="28"/>
  <c r="BS609" i="28"/>
  <c r="BR609" i="28"/>
  <c r="BQ609" i="28"/>
  <c r="BP609" i="28"/>
  <c r="BO609" i="28"/>
  <c r="BN609" i="28"/>
  <c r="BM609" i="28"/>
  <c r="BL609" i="28"/>
  <c r="BK609" i="28"/>
  <c r="BJ609" i="28"/>
  <c r="BI609" i="28"/>
  <c r="BH609" i="28"/>
  <c r="BG609" i="28"/>
  <c r="BF609" i="28"/>
  <c r="BX608" i="28"/>
  <c r="BW608" i="28"/>
  <c r="BV608" i="28"/>
  <c r="BU608" i="28"/>
  <c r="BT608" i="28"/>
  <c r="BS608" i="28"/>
  <c r="BR608" i="28"/>
  <c r="BQ608" i="28"/>
  <c r="BP608" i="28"/>
  <c r="BO608" i="28"/>
  <c r="BN608" i="28"/>
  <c r="BM608" i="28"/>
  <c r="BL608" i="28"/>
  <c r="BK608" i="28"/>
  <c r="BJ608" i="28"/>
  <c r="BI608" i="28"/>
  <c r="BH608" i="28"/>
  <c r="BG608" i="28"/>
  <c r="BF608" i="28"/>
  <c r="BX607" i="28"/>
  <c r="BW607" i="28"/>
  <c r="BV607" i="28"/>
  <c r="BU607" i="28"/>
  <c r="BT607" i="28"/>
  <c r="BS607" i="28"/>
  <c r="BR607" i="28"/>
  <c r="BQ607" i="28"/>
  <c r="BP607" i="28"/>
  <c r="BO607" i="28"/>
  <c r="BN607" i="28"/>
  <c r="BM607" i="28"/>
  <c r="BL607" i="28"/>
  <c r="BK607" i="28"/>
  <c r="BJ607" i="28"/>
  <c r="BI607" i="28"/>
  <c r="BH607" i="28"/>
  <c r="BG607" i="28"/>
  <c r="BF607" i="28"/>
  <c r="BX606" i="28"/>
  <c r="BW606" i="28"/>
  <c r="BV606" i="28"/>
  <c r="BU606" i="28"/>
  <c r="BT606" i="28"/>
  <c r="BS606" i="28"/>
  <c r="BR606" i="28"/>
  <c r="BQ606" i="28"/>
  <c r="BP606" i="28"/>
  <c r="BO606" i="28"/>
  <c r="BN606" i="28"/>
  <c r="BM606" i="28"/>
  <c r="BL606" i="28"/>
  <c r="BK606" i="28"/>
  <c r="BJ606" i="28"/>
  <c r="BI606" i="28"/>
  <c r="BH606" i="28"/>
  <c r="BG606" i="28"/>
  <c r="BF606" i="28"/>
  <c r="BX605" i="28"/>
  <c r="BW605" i="28"/>
  <c r="BV605" i="28"/>
  <c r="BU605" i="28"/>
  <c r="BT605" i="28"/>
  <c r="BS605" i="28"/>
  <c r="BR605" i="28"/>
  <c r="BQ605" i="28"/>
  <c r="BP605" i="28"/>
  <c r="BO605" i="28"/>
  <c r="BN605" i="28"/>
  <c r="BM605" i="28"/>
  <c r="BL605" i="28"/>
  <c r="BK605" i="28"/>
  <c r="BJ605" i="28"/>
  <c r="BI605" i="28"/>
  <c r="BH605" i="28"/>
  <c r="BG605" i="28"/>
  <c r="BF605" i="28"/>
  <c r="BX604" i="28"/>
  <c r="BW604" i="28"/>
  <c r="BV604" i="28"/>
  <c r="BU604" i="28"/>
  <c r="BT604" i="28"/>
  <c r="BS604" i="28"/>
  <c r="BR604" i="28"/>
  <c r="BQ604" i="28"/>
  <c r="BP604" i="28"/>
  <c r="BO604" i="28"/>
  <c r="BN604" i="28"/>
  <c r="BM604" i="28"/>
  <c r="BL604" i="28"/>
  <c r="BK604" i="28"/>
  <c r="BJ604" i="28"/>
  <c r="BI604" i="28"/>
  <c r="BH604" i="28"/>
  <c r="BG604" i="28"/>
  <c r="BF604" i="28"/>
  <c r="BX603" i="28"/>
  <c r="BW603" i="28"/>
  <c r="BV603" i="28"/>
  <c r="BU603" i="28"/>
  <c r="BT603" i="28"/>
  <c r="BS603" i="28"/>
  <c r="BR603" i="28"/>
  <c r="BQ603" i="28"/>
  <c r="BP603" i="28"/>
  <c r="BO603" i="28"/>
  <c r="BN603" i="28"/>
  <c r="BM603" i="28"/>
  <c r="BL603" i="28"/>
  <c r="BK603" i="28"/>
  <c r="BJ603" i="28"/>
  <c r="BI603" i="28"/>
  <c r="BH603" i="28"/>
  <c r="BG603" i="28"/>
  <c r="BF603" i="28"/>
  <c r="BX602" i="28"/>
  <c r="BW602" i="28"/>
  <c r="BV602" i="28"/>
  <c r="BU602" i="28"/>
  <c r="BT602" i="28"/>
  <c r="BS602" i="28"/>
  <c r="BR602" i="28"/>
  <c r="BQ602" i="28"/>
  <c r="BP602" i="28"/>
  <c r="BO602" i="28"/>
  <c r="BN602" i="28"/>
  <c r="BM602" i="28"/>
  <c r="BL602" i="28"/>
  <c r="BK602" i="28"/>
  <c r="BJ602" i="28"/>
  <c r="BI602" i="28"/>
  <c r="BH602" i="28"/>
  <c r="BG602" i="28"/>
  <c r="BF602" i="28"/>
  <c r="BX601" i="28"/>
  <c r="BW601" i="28"/>
  <c r="BV601" i="28"/>
  <c r="BU601" i="28"/>
  <c r="BT601" i="28"/>
  <c r="BS601" i="28"/>
  <c r="BR601" i="28"/>
  <c r="BQ601" i="28"/>
  <c r="BP601" i="28"/>
  <c r="BO601" i="28"/>
  <c r="BN601" i="28"/>
  <c r="BM601" i="28"/>
  <c r="BL601" i="28"/>
  <c r="BK601" i="28"/>
  <c r="BJ601" i="28"/>
  <c r="BI601" i="28"/>
  <c r="BH601" i="28"/>
  <c r="BG601" i="28"/>
  <c r="BF601" i="28"/>
  <c r="BX600" i="28"/>
  <c r="BW600" i="28"/>
  <c r="BV600" i="28"/>
  <c r="BU600" i="28"/>
  <c r="BT600" i="28"/>
  <c r="BS600" i="28"/>
  <c r="BR600" i="28"/>
  <c r="BQ600" i="28"/>
  <c r="BP600" i="28"/>
  <c r="BO600" i="28"/>
  <c r="BN600" i="28"/>
  <c r="BM600" i="28"/>
  <c r="BL600" i="28"/>
  <c r="BK600" i="28"/>
  <c r="BJ600" i="28"/>
  <c r="BI600" i="28"/>
  <c r="BH600" i="28"/>
  <c r="BG600" i="28"/>
  <c r="BF600" i="28"/>
  <c r="BX599" i="28"/>
  <c r="BW599" i="28"/>
  <c r="BV599" i="28"/>
  <c r="BU599" i="28"/>
  <c r="BT599" i="28"/>
  <c r="BS599" i="28"/>
  <c r="BR599" i="28"/>
  <c r="BQ599" i="28"/>
  <c r="BP599" i="28"/>
  <c r="BO599" i="28"/>
  <c r="BN599" i="28"/>
  <c r="BM599" i="28"/>
  <c r="BL599" i="28"/>
  <c r="BK599" i="28"/>
  <c r="BJ599" i="28"/>
  <c r="BI599" i="28"/>
  <c r="BH599" i="28"/>
  <c r="BG599" i="28"/>
  <c r="BF599" i="28"/>
  <c r="BX598" i="28"/>
  <c r="BW598" i="28"/>
  <c r="BV598" i="28"/>
  <c r="BU598" i="28"/>
  <c r="BT598" i="28"/>
  <c r="BS598" i="28"/>
  <c r="BR598" i="28"/>
  <c r="BQ598" i="28"/>
  <c r="BP598" i="28"/>
  <c r="BO598" i="28"/>
  <c r="BN598" i="28"/>
  <c r="BM598" i="28"/>
  <c r="BL598" i="28"/>
  <c r="BK598" i="28"/>
  <c r="BJ598" i="28"/>
  <c r="BI598" i="28"/>
  <c r="BH598" i="28"/>
  <c r="BG598" i="28"/>
  <c r="BF598" i="28"/>
  <c r="BX597" i="28"/>
  <c r="BW597" i="28"/>
  <c r="BV597" i="28"/>
  <c r="BU597" i="28"/>
  <c r="BT597" i="28"/>
  <c r="BS597" i="28"/>
  <c r="BR597" i="28"/>
  <c r="BQ597" i="28"/>
  <c r="BP597" i="28"/>
  <c r="BO597" i="28"/>
  <c r="BN597" i="28"/>
  <c r="BM597" i="28"/>
  <c r="BL597" i="28"/>
  <c r="BK597" i="28"/>
  <c r="BJ597" i="28"/>
  <c r="BI597" i="28"/>
  <c r="BH597" i="28"/>
  <c r="BG597" i="28"/>
  <c r="BF597" i="28"/>
  <c r="BX596" i="28"/>
  <c r="BW596" i="28"/>
  <c r="BV596" i="28"/>
  <c r="BU596" i="28"/>
  <c r="BT596" i="28"/>
  <c r="BS596" i="28"/>
  <c r="BR596" i="28"/>
  <c r="BQ596" i="28"/>
  <c r="BP596" i="28"/>
  <c r="BO596" i="28"/>
  <c r="BN596" i="28"/>
  <c r="BM596" i="28"/>
  <c r="BL596" i="28"/>
  <c r="BK596" i="28"/>
  <c r="BJ596" i="28"/>
  <c r="BI596" i="28"/>
  <c r="BH596" i="28"/>
  <c r="BG596" i="28"/>
  <c r="BF596" i="28"/>
  <c r="BX595" i="28"/>
  <c r="BW595" i="28"/>
  <c r="BV595" i="28"/>
  <c r="BU595" i="28"/>
  <c r="BT595" i="28"/>
  <c r="BS595" i="28"/>
  <c r="BR595" i="28"/>
  <c r="BQ595" i="28"/>
  <c r="BP595" i="28"/>
  <c r="BO595" i="28"/>
  <c r="BN595" i="28"/>
  <c r="BM595" i="28"/>
  <c r="BL595" i="28"/>
  <c r="BK595" i="28"/>
  <c r="BJ595" i="28"/>
  <c r="BI595" i="28"/>
  <c r="BH595" i="28"/>
  <c r="BG595" i="28"/>
  <c r="BF595" i="28"/>
  <c r="BX594" i="28"/>
  <c r="BW594" i="28"/>
  <c r="BV594" i="28"/>
  <c r="BU594" i="28"/>
  <c r="BT594" i="28"/>
  <c r="BS594" i="28"/>
  <c r="BR594" i="28"/>
  <c r="BQ594" i="28"/>
  <c r="BP594" i="28"/>
  <c r="BO594" i="28"/>
  <c r="BN594" i="28"/>
  <c r="BM594" i="28"/>
  <c r="BL594" i="28"/>
  <c r="BK594" i="28"/>
  <c r="BJ594" i="28"/>
  <c r="BI594" i="28"/>
  <c r="BH594" i="28"/>
  <c r="BG594" i="28"/>
  <c r="BF594" i="28"/>
  <c r="BX593" i="28"/>
  <c r="BW593" i="28"/>
  <c r="BV593" i="28"/>
  <c r="BU593" i="28"/>
  <c r="BT593" i="28"/>
  <c r="BS593" i="28"/>
  <c r="BR593" i="28"/>
  <c r="BQ593" i="28"/>
  <c r="BP593" i="28"/>
  <c r="BO593" i="28"/>
  <c r="BN593" i="28"/>
  <c r="BM593" i="28"/>
  <c r="BL593" i="28"/>
  <c r="BK593" i="28"/>
  <c r="BJ593" i="28"/>
  <c r="BI593" i="28"/>
  <c r="BH593" i="28"/>
  <c r="BG593" i="28"/>
  <c r="BF593" i="28"/>
  <c r="BX592" i="28"/>
  <c r="BW592" i="28"/>
  <c r="BV592" i="28"/>
  <c r="BU592" i="28"/>
  <c r="BT592" i="28"/>
  <c r="BS592" i="28"/>
  <c r="BR592" i="28"/>
  <c r="BQ592" i="28"/>
  <c r="BP592" i="28"/>
  <c r="BO592" i="28"/>
  <c r="BN592" i="28"/>
  <c r="BM592" i="28"/>
  <c r="BL592" i="28"/>
  <c r="BK592" i="28"/>
  <c r="BJ592" i="28"/>
  <c r="BI592" i="28"/>
  <c r="BH592" i="28"/>
  <c r="BG592" i="28"/>
  <c r="BF592" i="28"/>
  <c r="BX591" i="28"/>
  <c r="BW591" i="28"/>
  <c r="BV591" i="28"/>
  <c r="BU591" i="28"/>
  <c r="BT591" i="28"/>
  <c r="BS591" i="28"/>
  <c r="BR591" i="28"/>
  <c r="BQ591" i="28"/>
  <c r="BP591" i="28"/>
  <c r="BO591" i="28"/>
  <c r="BN591" i="28"/>
  <c r="BM591" i="28"/>
  <c r="BL591" i="28"/>
  <c r="BK591" i="28"/>
  <c r="BJ591" i="28"/>
  <c r="BI591" i="28"/>
  <c r="BH591" i="28"/>
  <c r="BG591" i="28"/>
  <c r="BF591" i="28"/>
  <c r="BX590" i="28"/>
  <c r="BW590" i="28"/>
  <c r="BV590" i="28"/>
  <c r="BU590" i="28"/>
  <c r="BT590" i="28"/>
  <c r="BS590" i="28"/>
  <c r="BR590" i="28"/>
  <c r="BQ590" i="28"/>
  <c r="BP590" i="28"/>
  <c r="BO590" i="28"/>
  <c r="BN590" i="28"/>
  <c r="BM590" i="28"/>
  <c r="BL590" i="28"/>
  <c r="BK590" i="28"/>
  <c r="BJ590" i="28"/>
  <c r="BI590" i="28"/>
  <c r="BH590" i="28"/>
  <c r="BG590" i="28"/>
  <c r="BF590" i="28"/>
  <c r="BX589" i="28"/>
  <c r="BW589" i="28"/>
  <c r="BV589" i="28"/>
  <c r="BU589" i="28"/>
  <c r="BT589" i="28"/>
  <c r="BS589" i="28"/>
  <c r="BR589" i="28"/>
  <c r="BQ589" i="28"/>
  <c r="BP589" i="28"/>
  <c r="BO589" i="28"/>
  <c r="BN589" i="28"/>
  <c r="BM589" i="28"/>
  <c r="BL589" i="28"/>
  <c r="BK589" i="28"/>
  <c r="BJ589" i="28"/>
  <c r="BI589" i="28"/>
  <c r="BH589" i="28"/>
  <c r="BG589" i="28"/>
  <c r="BF589" i="28"/>
  <c r="BX588" i="28"/>
  <c r="BW588" i="28"/>
  <c r="BV588" i="28"/>
  <c r="BU588" i="28"/>
  <c r="BT588" i="28"/>
  <c r="BS588" i="28"/>
  <c r="BR588" i="28"/>
  <c r="BQ588" i="28"/>
  <c r="BP588" i="28"/>
  <c r="BO588" i="28"/>
  <c r="BN588" i="28"/>
  <c r="BM588" i="28"/>
  <c r="BL588" i="28"/>
  <c r="BK588" i="28"/>
  <c r="BJ588" i="28"/>
  <c r="BI588" i="28"/>
  <c r="BH588" i="28"/>
  <c r="BG588" i="28"/>
  <c r="BF588" i="28"/>
  <c r="BX587" i="28"/>
  <c r="BW587" i="28"/>
  <c r="BV587" i="28"/>
  <c r="BU587" i="28"/>
  <c r="BT587" i="28"/>
  <c r="BS587" i="28"/>
  <c r="BR587" i="28"/>
  <c r="BQ587" i="28"/>
  <c r="BP587" i="28"/>
  <c r="BO587" i="28"/>
  <c r="BN587" i="28"/>
  <c r="BM587" i="28"/>
  <c r="BL587" i="28"/>
  <c r="BK587" i="28"/>
  <c r="BJ587" i="28"/>
  <c r="BI587" i="28"/>
  <c r="BH587" i="28"/>
  <c r="BG587" i="28"/>
  <c r="BF587" i="28"/>
  <c r="BX586" i="28"/>
  <c r="BW586" i="28"/>
  <c r="BV586" i="28"/>
  <c r="BU586" i="28"/>
  <c r="BT586" i="28"/>
  <c r="BS586" i="28"/>
  <c r="BR586" i="28"/>
  <c r="BQ586" i="28"/>
  <c r="BP586" i="28"/>
  <c r="BO586" i="28"/>
  <c r="BN586" i="28"/>
  <c r="BM586" i="28"/>
  <c r="BL586" i="28"/>
  <c r="BK586" i="28"/>
  <c r="BJ586" i="28"/>
  <c r="BI586" i="28"/>
  <c r="BH586" i="28"/>
  <c r="BG586" i="28"/>
  <c r="BF586" i="28"/>
  <c r="BX585" i="28"/>
  <c r="BW585" i="28"/>
  <c r="BV585" i="28"/>
  <c r="BU585" i="28"/>
  <c r="BT585" i="28"/>
  <c r="BS585" i="28"/>
  <c r="BR585" i="28"/>
  <c r="BQ585" i="28"/>
  <c r="BP585" i="28"/>
  <c r="BO585" i="28"/>
  <c r="BN585" i="28"/>
  <c r="BM585" i="28"/>
  <c r="BL585" i="28"/>
  <c r="BK585" i="28"/>
  <c r="BJ585" i="28"/>
  <c r="BI585" i="28"/>
  <c r="BH585" i="28"/>
  <c r="BG585" i="28"/>
  <c r="BF585" i="28"/>
  <c r="BX584" i="28"/>
  <c r="BW584" i="28"/>
  <c r="BV584" i="28"/>
  <c r="BU584" i="28"/>
  <c r="BT584" i="28"/>
  <c r="BS584" i="28"/>
  <c r="BR584" i="28"/>
  <c r="BQ584" i="28"/>
  <c r="BP584" i="28"/>
  <c r="BO584" i="28"/>
  <c r="BN584" i="28"/>
  <c r="BM584" i="28"/>
  <c r="BL584" i="28"/>
  <c r="BK584" i="28"/>
  <c r="BJ584" i="28"/>
  <c r="BI584" i="28"/>
  <c r="BH584" i="28"/>
  <c r="BG584" i="28"/>
  <c r="BF584" i="28"/>
  <c r="BX583" i="28"/>
  <c r="BW583" i="28"/>
  <c r="BV583" i="28"/>
  <c r="BU583" i="28"/>
  <c r="BT583" i="28"/>
  <c r="BS583" i="28"/>
  <c r="BR583" i="28"/>
  <c r="BQ583" i="28"/>
  <c r="BP583" i="28"/>
  <c r="BO583" i="28"/>
  <c r="BN583" i="28"/>
  <c r="BM583" i="28"/>
  <c r="BL583" i="28"/>
  <c r="BK583" i="28"/>
  <c r="BJ583" i="28"/>
  <c r="BI583" i="28"/>
  <c r="BH583" i="28"/>
  <c r="BG583" i="28"/>
  <c r="BF583" i="28"/>
  <c r="BX582" i="28"/>
  <c r="BW582" i="28"/>
  <c r="BV582" i="28"/>
  <c r="BU582" i="28"/>
  <c r="BT582" i="28"/>
  <c r="BS582" i="28"/>
  <c r="BR582" i="28"/>
  <c r="BQ582" i="28"/>
  <c r="BP582" i="28"/>
  <c r="BO582" i="28"/>
  <c r="BN582" i="28"/>
  <c r="BM582" i="28"/>
  <c r="BL582" i="28"/>
  <c r="BK582" i="28"/>
  <c r="BJ582" i="28"/>
  <c r="BI582" i="28"/>
  <c r="BH582" i="28"/>
  <c r="BG582" i="28"/>
  <c r="BF582" i="28"/>
  <c r="BX581" i="28"/>
  <c r="BW581" i="28"/>
  <c r="BV581" i="28"/>
  <c r="BU581" i="28"/>
  <c r="BT581" i="28"/>
  <c r="BS581" i="28"/>
  <c r="BR581" i="28"/>
  <c r="BQ581" i="28"/>
  <c r="BP581" i="28"/>
  <c r="BO581" i="28"/>
  <c r="BN581" i="28"/>
  <c r="BM581" i="28"/>
  <c r="BL581" i="28"/>
  <c r="BK581" i="28"/>
  <c r="BJ581" i="28"/>
  <c r="BI581" i="28"/>
  <c r="BH581" i="28"/>
  <c r="BG581" i="28"/>
  <c r="BF581" i="28"/>
  <c r="BX580" i="28"/>
  <c r="BW580" i="28"/>
  <c r="BV580" i="28"/>
  <c r="BU580" i="28"/>
  <c r="BT580" i="28"/>
  <c r="BS580" i="28"/>
  <c r="BR580" i="28"/>
  <c r="BQ580" i="28"/>
  <c r="BP580" i="28"/>
  <c r="BO580" i="28"/>
  <c r="BN580" i="28"/>
  <c r="BM580" i="28"/>
  <c r="BL580" i="28"/>
  <c r="BK580" i="28"/>
  <c r="BJ580" i="28"/>
  <c r="BI580" i="28"/>
  <c r="BH580" i="28"/>
  <c r="BG580" i="28"/>
  <c r="BF580" i="28"/>
  <c r="BX579" i="28"/>
  <c r="BW579" i="28"/>
  <c r="BV579" i="28"/>
  <c r="BU579" i="28"/>
  <c r="BT579" i="28"/>
  <c r="BS579" i="28"/>
  <c r="BR579" i="28"/>
  <c r="BQ579" i="28"/>
  <c r="BP579" i="28"/>
  <c r="BO579" i="28"/>
  <c r="BN579" i="28"/>
  <c r="BM579" i="28"/>
  <c r="BL579" i="28"/>
  <c r="BK579" i="28"/>
  <c r="BJ579" i="28"/>
  <c r="BI579" i="28"/>
  <c r="BH579" i="28"/>
  <c r="BG579" i="28"/>
  <c r="BF579" i="28"/>
  <c r="BX578" i="28"/>
  <c r="BW578" i="28"/>
  <c r="BV578" i="28"/>
  <c r="BU578" i="28"/>
  <c r="BT578" i="28"/>
  <c r="BS578" i="28"/>
  <c r="BR578" i="28"/>
  <c r="BQ578" i="28"/>
  <c r="BP578" i="28"/>
  <c r="BO578" i="28"/>
  <c r="BN578" i="28"/>
  <c r="BM578" i="28"/>
  <c r="BL578" i="28"/>
  <c r="BK578" i="28"/>
  <c r="BJ578" i="28"/>
  <c r="BI578" i="28"/>
  <c r="BH578" i="28"/>
  <c r="BG578" i="28"/>
  <c r="BF578" i="28"/>
  <c r="BX577" i="28"/>
  <c r="BW577" i="28"/>
  <c r="BV577" i="28"/>
  <c r="BU577" i="28"/>
  <c r="BT577" i="28"/>
  <c r="BS577" i="28"/>
  <c r="BR577" i="28"/>
  <c r="BQ577" i="28"/>
  <c r="BP577" i="28"/>
  <c r="BO577" i="28"/>
  <c r="BN577" i="28"/>
  <c r="BM577" i="28"/>
  <c r="BL577" i="28"/>
  <c r="BK577" i="28"/>
  <c r="BJ577" i="28"/>
  <c r="BI577" i="28"/>
  <c r="BH577" i="28"/>
  <c r="BG577" i="28"/>
  <c r="BF577" i="28"/>
  <c r="BX576" i="28"/>
  <c r="BW576" i="28"/>
  <c r="BV576" i="28"/>
  <c r="BU576" i="28"/>
  <c r="BT576" i="28"/>
  <c r="BS576" i="28"/>
  <c r="BR576" i="28"/>
  <c r="BQ576" i="28"/>
  <c r="BP576" i="28"/>
  <c r="BO576" i="28"/>
  <c r="BN576" i="28"/>
  <c r="BM576" i="28"/>
  <c r="BL576" i="28"/>
  <c r="BK576" i="28"/>
  <c r="BJ576" i="28"/>
  <c r="BI576" i="28"/>
  <c r="BH576" i="28"/>
  <c r="BG576" i="28"/>
  <c r="BF576" i="28"/>
  <c r="BX575" i="28"/>
  <c r="BW575" i="28"/>
  <c r="BV575" i="28"/>
  <c r="BU575" i="28"/>
  <c r="BT575" i="28"/>
  <c r="BS575" i="28"/>
  <c r="BR575" i="28"/>
  <c r="BQ575" i="28"/>
  <c r="BP575" i="28"/>
  <c r="BO575" i="28"/>
  <c r="BN575" i="28"/>
  <c r="BM575" i="28"/>
  <c r="BL575" i="28"/>
  <c r="BK575" i="28"/>
  <c r="BJ575" i="28"/>
  <c r="BI575" i="28"/>
  <c r="BH575" i="28"/>
  <c r="BG575" i="28"/>
  <c r="BF575" i="28"/>
  <c r="BX574" i="28"/>
  <c r="BW574" i="28"/>
  <c r="BV574" i="28"/>
  <c r="BU574" i="28"/>
  <c r="BT574" i="28"/>
  <c r="BS574" i="28"/>
  <c r="BR574" i="28"/>
  <c r="BQ574" i="28"/>
  <c r="BP574" i="28"/>
  <c r="BO574" i="28"/>
  <c r="BN574" i="28"/>
  <c r="BM574" i="28"/>
  <c r="BL574" i="28"/>
  <c r="BK574" i="28"/>
  <c r="BJ574" i="28"/>
  <c r="BI574" i="28"/>
  <c r="BH574" i="28"/>
  <c r="BG574" i="28"/>
  <c r="BF574" i="28"/>
  <c r="BX573" i="28"/>
  <c r="BW573" i="28"/>
  <c r="BV573" i="28"/>
  <c r="BU573" i="28"/>
  <c r="BT573" i="28"/>
  <c r="BS573" i="28"/>
  <c r="BR573" i="28"/>
  <c r="BQ573" i="28"/>
  <c r="BP573" i="28"/>
  <c r="BO573" i="28"/>
  <c r="BN573" i="28"/>
  <c r="BM573" i="28"/>
  <c r="BL573" i="28"/>
  <c r="BK573" i="28"/>
  <c r="BJ573" i="28"/>
  <c r="BI573" i="28"/>
  <c r="BH573" i="28"/>
  <c r="BG573" i="28"/>
  <c r="BF573" i="28"/>
  <c r="BX572" i="28"/>
  <c r="BW572" i="28"/>
  <c r="BV572" i="28"/>
  <c r="BU572" i="28"/>
  <c r="BT572" i="28"/>
  <c r="BS572" i="28"/>
  <c r="BR572" i="28"/>
  <c r="BQ572" i="28"/>
  <c r="BP572" i="28"/>
  <c r="BO572" i="28"/>
  <c r="BN572" i="28"/>
  <c r="BM572" i="28"/>
  <c r="BL572" i="28"/>
  <c r="BK572" i="28"/>
  <c r="BJ572" i="28"/>
  <c r="BI572" i="28"/>
  <c r="BH572" i="28"/>
  <c r="BG572" i="28"/>
  <c r="BF572" i="28"/>
  <c r="BX571" i="28"/>
  <c r="BW571" i="28"/>
  <c r="BV571" i="28"/>
  <c r="BU571" i="28"/>
  <c r="BT571" i="28"/>
  <c r="BS571" i="28"/>
  <c r="BR571" i="28"/>
  <c r="BQ571" i="28"/>
  <c r="BP571" i="28"/>
  <c r="BO571" i="28"/>
  <c r="BN571" i="28"/>
  <c r="BM571" i="28"/>
  <c r="BL571" i="28"/>
  <c r="BK571" i="28"/>
  <c r="BJ571" i="28"/>
  <c r="BI571" i="28"/>
  <c r="BH571" i="28"/>
  <c r="BG571" i="28"/>
  <c r="BF571" i="28"/>
  <c r="BX570" i="28"/>
  <c r="BW570" i="28"/>
  <c r="BV570" i="28"/>
  <c r="BU570" i="28"/>
  <c r="BT570" i="28"/>
  <c r="BS570" i="28"/>
  <c r="BR570" i="28"/>
  <c r="BQ570" i="28"/>
  <c r="BP570" i="28"/>
  <c r="BO570" i="28"/>
  <c r="BN570" i="28"/>
  <c r="BM570" i="28"/>
  <c r="BL570" i="28"/>
  <c r="BK570" i="28"/>
  <c r="BJ570" i="28"/>
  <c r="BI570" i="28"/>
  <c r="BH570" i="28"/>
  <c r="BG570" i="28"/>
  <c r="BF570" i="28"/>
  <c r="BX569" i="28"/>
  <c r="BW569" i="28"/>
  <c r="BV569" i="28"/>
  <c r="BU569" i="28"/>
  <c r="BT569" i="28"/>
  <c r="BS569" i="28"/>
  <c r="BR569" i="28"/>
  <c r="BQ569" i="28"/>
  <c r="BP569" i="28"/>
  <c r="BO569" i="28"/>
  <c r="BN569" i="28"/>
  <c r="BM569" i="28"/>
  <c r="BL569" i="28"/>
  <c r="BK569" i="28"/>
  <c r="BJ569" i="28"/>
  <c r="BI569" i="28"/>
  <c r="BH569" i="28"/>
  <c r="BG569" i="28"/>
  <c r="BF569" i="28"/>
  <c r="BX568" i="28"/>
  <c r="BW568" i="28"/>
  <c r="BV568" i="28"/>
  <c r="BU568" i="28"/>
  <c r="BT568" i="28"/>
  <c r="BS568" i="28"/>
  <c r="BR568" i="28"/>
  <c r="BQ568" i="28"/>
  <c r="BP568" i="28"/>
  <c r="BO568" i="28"/>
  <c r="BN568" i="28"/>
  <c r="BM568" i="28"/>
  <c r="BL568" i="28"/>
  <c r="BK568" i="28"/>
  <c r="BJ568" i="28"/>
  <c r="BI568" i="28"/>
  <c r="BH568" i="28"/>
  <c r="BG568" i="28"/>
  <c r="BF568" i="28"/>
  <c r="BX567" i="28"/>
  <c r="BW567" i="28"/>
  <c r="BV567" i="28"/>
  <c r="BU567" i="28"/>
  <c r="BT567" i="28"/>
  <c r="BS567" i="28"/>
  <c r="BR567" i="28"/>
  <c r="BQ567" i="28"/>
  <c r="BP567" i="28"/>
  <c r="BO567" i="28"/>
  <c r="BN567" i="28"/>
  <c r="BM567" i="28"/>
  <c r="BL567" i="28"/>
  <c r="BK567" i="28"/>
  <c r="BJ567" i="28"/>
  <c r="BI567" i="28"/>
  <c r="BH567" i="28"/>
  <c r="BG567" i="28"/>
  <c r="BF567" i="28"/>
  <c r="BX566" i="28"/>
  <c r="BW566" i="28"/>
  <c r="BV566" i="28"/>
  <c r="BU566" i="28"/>
  <c r="BT566" i="28"/>
  <c r="BS566" i="28"/>
  <c r="BR566" i="28"/>
  <c r="BQ566" i="28"/>
  <c r="BP566" i="28"/>
  <c r="BO566" i="28"/>
  <c r="BN566" i="28"/>
  <c r="BM566" i="28"/>
  <c r="BL566" i="28"/>
  <c r="BK566" i="28"/>
  <c r="BJ566" i="28"/>
  <c r="BI566" i="28"/>
  <c r="BH566" i="28"/>
  <c r="BG566" i="28"/>
  <c r="BF566" i="28"/>
  <c r="BX565" i="28"/>
  <c r="BW565" i="28"/>
  <c r="BV565" i="28"/>
  <c r="BU565" i="28"/>
  <c r="BT565" i="28"/>
  <c r="BS565" i="28"/>
  <c r="BR565" i="28"/>
  <c r="BQ565" i="28"/>
  <c r="BP565" i="28"/>
  <c r="BO565" i="28"/>
  <c r="BN565" i="28"/>
  <c r="BM565" i="28"/>
  <c r="BL565" i="28"/>
  <c r="BK565" i="28"/>
  <c r="BJ565" i="28"/>
  <c r="BI565" i="28"/>
  <c r="BH565" i="28"/>
  <c r="BG565" i="28"/>
  <c r="BF565" i="28"/>
  <c r="BX564" i="28"/>
  <c r="BW564" i="28"/>
  <c r="BV564" i="28"/>
  <c r="BU564" i="28"/>
  <c r="BT564" i="28"/>
  <c r="BS564" i="28"/>
  <c r="BR564" i="28"/>
  <c r="BQ564" i="28"/>
  <c r="BP564" i="28"/>
  <c r="BO564" i="28"/>
  <c r="BN564" i="28"/>
  <c r="BM564" i="28"/>
  <c r="BL564" i="28"/>
  <c r="BK564" i="28"/>
  <c r="BJ564" i="28"/>
  <c r="BI564" i="28"/>
  <c r="BH564" i="28"/>
  <c r="BG564" i="28"/>
  <c r="BF564" i="28"/>
  <c r="BX563" i="28"/>
  <c r="BW563" i="28"/>
  <c r="BV563" i="28"/>
  <c r="BU563" i="28"/>
  <c r="BT563" i="28"/>
  <c r="BS563" i="28"/>
  <c r="BR563" i="28"/>
  <c r="BQ563" i="28"/>
  <c r="BP563" i="28"/>
  <c r="BO563" i="28"/>
  <c r="BN563" i="28"/>
  <c r="BM563" i="28"/>
  <c r="BL563" i="28"/>
  <c r="BK563" i="28"/>
  <c r="BJ563" i="28"/>
  <c r="BI563" i="28"/>
  <c r="BH563" i="28"/>
  <c r="BG563" i="28"/>
  <c r="BF563" i="28"/>
  <c r="BX562" i="28"/>
  <c r="BW562" i="28"/>
  <c r="BV562" i="28"/>
  <c r="BU562" i="28"/>
  <c r="BT562" i="28"/>
  <c r="BS562" i="28"/>
  <c r="BR562" i="28"/>
  <c r="BQ562" i="28"/>
  <c r="BP562" i="28"/>
  <c r="BO562" i="28"/>
  <c r="BN562" i="28"/>
  <c r="BM562" i="28"/>
  <c r="BL562" i="28"/>
  <c r="BK562" i="28"/>
  <c r="BJ562" i="28"/>
  <c r="BI562" i="28"/>
  <c r="BH562" i="28"/>
  <c r="BG562" i="28"/>
  <c r="BF562" i="28"/>
  <c r="BX561" i="28"/>
  <c r="BW561" i="28"/>
  <c r="BV561" i="28"/>
  <c r="BU561" i="28"/>
  <c r="BT561" i="28"/>
  <c r="BS561" i="28"/>
  <c r="BR561" i="28"/>
  <c r="BQ561" i="28"/>
  <c r="BP561" i="28"/>
  <c r="BO561" i="28"/>
  <c r="BN561" i="28"/>
  <c r="BM561" i="28"/>
  <c r="BL561" i="28"/>
  <c r="BK561" i="28"/>
  <c r="BJ561" i="28"/>
  <c r="BI561" i="28"/>
  <c r="BH561" i="28"/>
  <c r="BG561" i="28"/>
  <c r="BF561" i="28"/>
  <c r="BX560" i="28"/>
  <c r="BW560" i="28"/>
  <c r="BV560" i="28"/>
  <c r="BU560" i="28"/>
  <c r="BT560" i="28"/>
  <c r="BS560" i="28"/>
  <c r="BR560" i="28"/>
  <c r="BQ560" i="28"/>
  <c r="BP560" i="28"/>
  <c r="BO560" i="28"/>
  <c r="BN560" i="28"/>
  <c r="BM560" i="28"/>
  <c r="BL560" i="28"/>
  <c r="BK560" i="28"/>
  <c r="BJ560" i="28"/>
  <c r="BI560" i="28"/>
  <c r="BH560" i="28"/>
  <c r="BG560" i="28"/>
  <c r="BF560" i="28"/>
  <c r="BX559" i="28"/>
  <c r="BW559" i="28"/>
  <c r="BV559" i="28"/>
  <c r="BU559" i="28"/>
  <c r="BT559" i="28"/>
  <c r="BS559" i="28"/>
  <c r="BR559" i="28"/>
  <c r="BQ559" i="28"/>
  <c r="BP559" i="28"/>
  <c r="BO559" i="28"/>
  <c r="BN559" i="28"/>
  <c r="BM559" i="28"/>
  <c r="BL559" i="28"/>
  <c r="BK559" i="28"/>
  <c r="BJ559" i="28"/>
  <c r="BI559" i="28"/>
  <c r="BH559" i="28"/>
  <c r="BG559" i="28"/>
  <c r="BF559" i="28"/>
  <c r="BX558" i="28"/>
  <c r="BW558" i="28"/>
  <c r="BV558" i="28"/>
  <c r="BU558" i="28"/>
  <c r="BT558" i="28"/>
  <c r="BS558" i="28"/>
  <c r="BR558" i="28"/>
  <c r="BQ558" i="28"/>
  <c r="BP558" i="28"/>
  <c r="BO558" i="28"/>
  <c r="BN558" i="28"/>
  <c r="BM558" i="28"/>
  <c r="BL558" i="28"/>
  <c r="BK558" i="28"/>
  <c r="BJ558" i="28"/>
  <c r="BI558" i="28"/>
  <c r="BH558" i="28"/>
  <c r="BG558" i="28"/>
  <c r="BF558" i="28"/>
  <c r="BX557" i="28"/>
  <c r="BW557" i="28"/>
  <c r="BV557" i="28"/>
  <c r="BU557" i="28"/>
  <c r="BT557" i="28"/>
  <c r="BS557" i="28"/>
  <c r="BR557" i="28"/>
  <c r="BQ557" i="28"/>
  <c r="BP557" i="28"/>
  <c r="BO557" i="28"/>
  <c r="BN557" i="28"/>
  <c r="BM557" i="28"/>
  <c r="BL557" i="28"/>
  <c r="BK557" i="28"/>
  <c r="BJ557" i="28"/>
  <c r="BI557" i="28"/>
  <c r="BH557" i="28"/>
  <c r="BG557" i="28"/>
  <c r="BF557" i="28"/>
  <c r="BX556" i="28"/>
  <c r="BW556" i="28"/>
  <c r="BV556" i="28"/>
  <c r="BU556" i="28"/>
  <c r="BT556" i="28"/>
  <c r="BS556" i="28"/>
  <c r="BR556" i="28"/>
  <c r="BQ556" i="28"/>
  <c r="BP556" i="28"/>
  <c r="BO556" i="28"/>
  <c r="BN556" i="28"/>
  <c r="BM556" i="28"/>
  <c r="BL556" i="28"/>
  <c r="BK556" i="28"/>
  <c r="BJ556" i="28"/>
  <c r="BI556" i="28"/>
  <c r="BH556" i="28"/>
  <c r="BG556" i="28"/>
  <c r="BF556" i="28"/>
  <c r="BX555" i="28"/>
  <c r="BW555" i="28"/>
  <c r="BV555" i="28"/>
  <c r="BU555" i="28"/>
  <c r="BT555" i="28"/>
  <c r="BS555" i="28"/>
  <c r="BR555" i="28"/>
  <c r="BQ555" i="28"/>
  <c r="BP555" i="28"/>
  <c r="BO555" i="28"/>
  <c r="BN555" i="28"/>
  <c r="BM555" i="28"/>
  <c r="BL555" i="28"/>
  <c r="BK555" i="28"/>
  <c r="BJ555" i="28"/>
  <c r="BI555" i="28"/>
  <c r="BH555" i="28"/>
  <c r="BG555" i="28"/>
  <c r="BF555" i="28"/>
  <c r="BX554" i="28"/>
  <c r="BW554" i="28"/>
  <c r="BV554" i="28"/>
  <c r="BU554" i="28"/>
  <c r="BT554" i="28"/>
  <c r="BS554" i="28"/>
  <c r="BR554" i="28"/>
  <c r="BQ554" i="28"/>
  <c r="BP554" i="28"/>
  <c r="BO554" i="28"/>
  <c r="BN554" i="28"/>
  <c r="BM554" i="28"/>
  <c r="BL554" i="28"/>
  <c r="BK554" i="28"/>
  <c r="BJ554" i="28"/>
  <c r="BI554" i="28"/>
  <c r="BH554" i="28"/>
  <c r="BG554" i="28"/>
  <c r="BF554" i="28"/>
  <c r="BX553" i="28"/>
  <c r="BW553" i="28"/>
  <c r="BV553" i="28"/>
  <c r="BU553" i="28"/>
  <c r="BT553" i="28"/>
  <c r="BS553" i="28"/>
  <c r="BR553" i="28"/>
  <c r="BQ553" i="28"/>
  <c r="BP553" i="28"/>
  <c r="BO553" i="28"/>
  <c r="BN553" i="28"/>
  <c r="BM553" i="28"/>
  <c r="BL553" i="28"/>
  <c r="BK553" i="28"/>
  <c r="BJ553" i="28"/>
  <c r="BI553" i="28"/>
  <c r="BH553" i="28"/>
  <c r="BG553" i="28"/>
  <c r="BF553" i="28"/>
  <c r="BX552" i="28"/>
  <c r="BW552" i="28"/>
  <c r="BV552" i="28"/>
  <c r="BU552" i="28"/>
  <c r="BT552" i="28"/>
  <c r="BS552" i="28"/>
  <c r="BR552" i="28"/>
  <c r="BQ552" i="28"/>
  <c r="BP552" i="28"/>
  <c r="BO552" i="28"/>
  <c r="BN552" i="28"/>
  <c r="BM552" i="28"/>
  <c r="BL552" i="28"/>
  <c r="BK552" i="28"/>
  <c r="BJ552" i="28"/>
  <c r="BI552" i="28"/>
  <c r="BH552" i="28"/>
  <c r="BG552" i="28"/>
  <c r="BF552" i="28"/>
  <c r="BX551" i="28"/>
  <c r="BW551" i="28"/>
  <c r="BV551" i="28"/>
  <c r="BU551" i="28"/>
  <c r="BT551" i="28"/>
  <c r="BS551" i="28"/>
  <c r="BR551" i="28"/>
  <c r="BQ551" i="28"/>
  <c r="BP551" i="28"/>
  <c r="BO551" i="28"/>
  <c r="BN551" i="28"/>
  <c r="BM551" i="28"/>
  <c r="BL551" i="28"/>
  <c r="BK551" i="28"/>
  <c r="BJ551" i="28"/>
  <c r="BI551" i="28"/>
  <c r="BH551" i="28"/>
  <c r="BG551" i="28"/>
  <c r="BF551" i="28"/>
  <c r="BX550" i="28"/>
  <c r="BW550" i="28"/>
  <c r="BV550" i="28"/>
  <c r="BU550" i="28"/>
  <c r="BT550" i="28"/>
  <c r="BS550" i="28"/>
  <c r="BR550" i="28"/>
  <c r="BQ550" i="28"/>
  <c r="BP550" i="28"/>
  <c r="BO550" i="28"/>
  <c r="BN550" i="28"/>
  <c r="BM550" i="28"/>
  <c r="BL550" i="28"/>
  <c r="BK550" i="28"/>
  <c r="BJ550" i="28"/>
  <c r="BI550" i="28"/>
  <c r="BH550" i="28"/>
  <c r="BG550" i="28"/>
  <c r="BF550" i="28"/>
  <c r="BX549" i="28"/>
  <c r="BW549" i="28"/>
  <c r="BV549" i="28"/>
  <c r="BU549" i="28"/>
  <c r="BT549" i="28"/>
  <c r="BS549" i="28"/>
  <c r="BR549" i="28"/>
  <c r="BQ549" i="28"/>
  <c r="BP549" i="28"/>
  <c r="BO549" i="28"/>
  <c r="BN549" i="28"/>
  <c r="BM549" i="28"/>
  <c r="BL549" i="28"/>
  <c r="BK549" i="28"/>
  <c r="BJ549" i="28"/>
  <c r="BI549" i="28"/>
  <c r="BH549" i="28"/>
  <c r="BG549" i="28"/>
  <c r="BF549" i="28"/>
  <c r="BX548" i="28"/>
  <c r="BW548" i="28"/>
  <c r="BV548" i="28"/>
  <c r="BU548" i="28"/>
  <c r="BT548" i="28"/>
  <c r="BS548" i="28"/>
  <c r="BR548" i="28"/>
  <c r="BQ548" i="28"/>
  <c r="BP548" i="28"/>
  <c r="BO548" i="28"/>
  <c r="BN548" i="28"/>
  <c r="BM548" i="28"/>
  <c r="BL548" i="28"/>
  <c r="BK548" i="28"/>
  <c r="BJ548" i="28"/>
  <c r="BI548" i="28"/>
  <c r="BH548" i="28"/>
  <c r="BG548" i="28"/>
  <c r="BF548" i="28"/>
  <c r="BX547" i="28"/>
  <c r="BW547" i="28"/>
  <c r="BV547" i="28"/>
  <c r="BU547" i="28"/>
  <c r="BT547" i="28"/>
  <c r="BS547" i="28"/>
  <c r="BR547" i="28"/>
  <c r="BQ547" i="28"/>
  <c r="BP547" i="28"/>
  <c r="BO547" i="28"/>
  <c r="BN547" i="28"/>
  <c r="BM547" i="28"/>
  <c r="BL547" i="28"/>
  <c r="BK547" i="28"/>
  <c r="BJ547" i="28"/>
  <c r="BI547" i="28"/>
  <c r="BH547" i="28"/>
  <c r="BG547" i="28"/>
  <c r="BF547" i="28"/>
  <c r="BX546" i="28"/>
  <c r="BW546" i="28"/>
  <c r="BV546" i="28"/>
  <c r="BU546" i="28"/>
  <c r="BT546" i="28"/>
  <c r="BS546" i="28"/>
  <c r="BR546" i="28"/>
  <c r="BQ546" i="28"/>
  <c r="BP546" i="28"/>
  <c r="BO546" i="28"/>
  <c r="BN546" i="28"/>
  <c r="BM546" i="28"/>
  <c r="BL546" i="28"/>
  <c r="BK546" i="28"/>
  <c r="BJ546" i="28"/>
  <c r="BI546" i="28"/>
  <c r="BH546" i="28"/>
  <c r="BG546" i="28"/>
  <c r="BF546" i="28"/>
  <c r="BX545" i="28"/>
  <c r="BW545" i="28"/>
  <c r="BV545" i="28"/>
  <c r="BU545" i="28"/>
  <c r="BT545" i="28"/>
  <c r="BS545" i="28"/>
  <c r="BR545" i="28"/>
  <c r="BQ545" i="28"/>
  <c r="BP545" i="28"/>
  <c r="BO545" i="28"/>
  <c r="BN545" i="28"/>
  <c r="BM545" i="28"/>
  <c r="BL545" i="28"/>
  <c r="BK545" i="28"/>
  <c r="BJ545" i="28"/>
  <c r="BI545" i="28"/>
  <c r="BH545" i="28"/>
  <c r="BG545" i="28"/>
  <c r="BF545" i="28"/>
  <c r="BX544" i="28"/>
  <c r="BW544" i="28"/>
  <c r="BV544" i="28"/>
  <c r="BU544" i="28"/>
  <c r="BT544" i="28"/>
  <c r="BS544" i="28"/>
  <c r="BR544" i="28"/>
  <c r="BQ544" i="28"/>
  <c r="BP544" i="28"/>
  <c r="BO544" i="28"/>
  <c r="BN544" i="28"/>
  <c r="BM544" i="28"/>
  <c r="BL544" i="28"/>
  <c r="BK544" i="28"/>
  <c r="BJ544" i="28"/>
  <c r="BI544" i="28"/>
  <c r="BH544" i="28"/>
  <c r="BG544" i="28"/>
  <c r="BF544" i="28"/>
  <c r="BX543" i="28"/>
  <c r="BW543" i="28"/>
  <c r="BV543" i="28"/>
  <c r="BU543" i="28"/>
  <c r="BT543" i="28"/>
  <c r="BS543" i="28"/>
  <c r="BR543" i="28"/>
  <c r="BQ543" i="28"/>
  <c r="BP543" i="28"/>
  <c r="BO543" i="28"/>
  <c r="BN543" i="28"/>
  <c r="BM543" i="28"/>
  <c r="BL543" i="28"/>
  <c r="BK543" i="28"/>
  <c r="BJ543" i="28"/>
  <c r="BI543" i="28"/>
  <c r="BH543" i="28"/>
  <c r="BG543" i="28"/>
  <c r="BF543" i="28"/>
  <c r="BX542" i="28"/>
  <c r="BW542" i="28"/>
  <c r="BV542" i="28"/>
  <c r="BU542" i="28"/>
  <c r="BT542" i="28"/>
  <c r="BS542" i="28"/>
  <c r="BR542" i="28"/>
  <c r="BQ542" i="28"/>
  <c r="BP542" i="28"/>
  <c r="BO542" i="28"/>
  <c r="BN542" i="28"/>
  <c r="BM542" i="28"/>
  <c r="BL542" i="28"/>
  <c r="BK542" i="28"/>
  <c r="BJ542" i="28"/>
  <c r="BI542" i="28"/>
  <c r="BH542" i="28"/>
  <c r="BG542" i="28"/>
  <c r="BF542" i="28"/>
  <c r="BX541" i="28"/>
  <c r="BW541" i="28"/>
  <c r="BV541" i="28"/>
  <c r="BU541" i="28"/>
  <c r="BT541" i="28"/>
  <c r="BS541" i="28"/>
  <c r="BR541" i="28"/>
  <c r="BQ541" i="28"/>
  <c r="BP541" i="28"/>
  <c r="BO541" i="28"/>
  <c r="BN541" i="28"/>
  <c r="BM541" i="28"/>
  <c r="BL541" i="28"/>
  <c r="BK541" i="28"/>
  <c r="BJ541" i="28"/>
  <c r="BI541" i="28"/>
  <c r="BH541" i="28"/>
  <c r="BG541" i="28"/>
  <c r="BF541" i="28"/>
  <c r="BX540" i="28"/>
  <c r="BW540" i="28"/>
  <c r="BV540" i="28"/>
  <c r="BU540" i="28"/>
  <c r="BT540" i="28"/>
  <c r="BS540" i="28"/>
  <c r="BR540" i="28"/>
  <c r="BQ540" i="28"/>
  <c r="BP540" i="28"/>
  <c r="BO540" i="28"/>
  <c r="BN540" i="28"/>
  <c r="BM540" i="28"/>
  <c r="BL540" i="28"/>
  <c r="BK540" i="28"/>
  <c r="BJ540" i="28"/>
  <c r="BI540" i="28"/>
  <c r="BH540" i="28"/>
  <c r="BG540" i="28"/>
  <c r="BF540" i="28"/>
  <c r="BX539" i="28"/>
  <c r="BW539" i="28"/>
  <c r="BV539" i="28"/>
  <c r="BU539" i="28"/>
  <c r="BT539" i="28"/>
  <c r="BS539" i="28"/>
  <c r="BR539" i="28"/>
  <c r="BQ539" i="28"/>
  <c r="BP539" i="28"/>
  <c r="BO539" i="28"/>
  <c r="BN539" i="28"/>
  <c r="BM539" i="28"/>
  <c r="BL539" i="28"/>
  <c r="BK539" i="28"/>
  <c r="BJ539" i="28"/>
  <c r="BI539" i="28"/>
  <c r="BH539" i="28"/>
  <c r="BG539" i="28"/>
  <c r="BF539" i="28"/>
  <c r="BX538" i="28"/>
  <c r="BW538" i="28"/>
  <c r="BV538" i="28"/>
  <c r="BU538" i="28"/>
  <c r="BT538" i="28"/>
  <c r="BS538" i="28"/>
  <c r="BR538" i="28"/>
  <c r="BQ538" i="28"/>
  <c r="BP538" i="28"/>
  <c r="BO538" i="28"/>
  <c r="BN538" i="28"/>
  <c r="BM538" i="28"/>
  <c r="BL538" i="28"/>
  <c r="BK538" i="28"/>
  <c r="BJ538" i="28"/>
  <c r="BI538" i="28"/>
  <c r="BH538" i="28"/>
  <c r="BG538" i="28"/>
  <c r="BF538" i="28"/>
  <c r="BX537" i="28"/>
  <c r="BW537" i="28"/>
  <c r="BV537" i="28"/>
  <c r="BU537" i="28"/>
  <c r="BT537" i="28"/>
  <c r="BS537" i="28"/>
  <c r="BR537" i="28"/>
  <c r="BQ537" i="28"/>
  <c r="BP537" i="28"/>
  <c r="BO537" i="28"/>
  <c r="BN537" i="28"/>
  <c r="BM537" i="28"/>
  <c r="BL537" i="28"/>
  <c r="BK537" i="28"/>
  <c r="BJ537" i="28"/>
  <c r="BI537" i="28"/>
  <c r="BH537" i="28"/>
  <c r="BG537" i="28"/>
  <c r="BF537" i="28"/>
  <c r="BX536" i="28"/>
  <c r="BW536" i="28"/>
  <c r="BV536" i="28"/>
  <c r="BU536" i="28"/>
  <c r="BT536" i="28"/>
  <c r="BS536" i="28"/>
  <c r="BR536" i="28"/>
  <c r="BQ536" i="28"/>
  <c r="BP536" i="28"/>
  <c r="BO536" i="28"/>
  <c r="BN536" i="28"/>
  <c r="BM536" i="28"/>
  <c r="BL536" i="28"/>
  <c r="BK536" i="28"/>
  <c r="BJ536" i="28"/>
  <c r="BI536" i="28"/>
  <c r="BH536" i="28"/>
  <c r="BG536" i="28"/>
  <c r="BF536" i="28"/>
  <c r="BX535" i="28"/>
  <c r="BW535" i="28"/>
  <c r="BV535" i="28"/>
  <c r="BU535" i="28"/>
  <c r="BT535" i="28"/>
  <c r="BS535" i="28"/>
  <c r="BR535" i="28"/>
  <c r="BQ535" i="28"/>
  <c r="BP535" i="28"/>
  <c r="BO535" i="28"/>
  <c r="BN535" i="28"/>
  <c r="BM535" i="28"/>
  <c r="BL535" i="28"/>
  <c r="BK535" i="28"/>
  <c r="BJ535" i="28"/>
  <c r="BI535" i="28"/>
  <c r="BH535" i="28"/>
  <c r="BG535" i="28"/>
  <c r="BF535" i="28"/>
  <c r="BX534" i="28"/>
  <c r="BW534" i="28"/>
  <c r="BV534" i="28"/>
  <c r="BU534" i="28"/>
  <c r="BT534" i="28"/>
  <c r="BS534" i="28"/>
  <c r="BR534" i="28"/>
  <c r="BQ534" i="28"/>
  <c r="BP534" i="28"/>
  <c r="BO534" i="28"/>
  <c r="BN534" i="28"/>
  <c r="BM534" i="28"/>
  <c r="BL534" i="28"/>
  <c r="BK534" i="28"/>
  <c r="BJ534" i="28"/>
  <c r="BI534" i="28"/>
  <c r="BH534" i="28"/>
  <c r="BG534" i="28"/>
  <c r="BF534" i="28"/>
  <c r="BX533" i="28"/>
  <c r="BW533" i="28"/>
  <c r="BV533" i="28"/>
  <c r="BU533" i="28"/>
  <c r="BT533" i="28"/>
  <c r="BS533" i="28"/>
  <c r="BR533" i="28"/>
  <c r="BQ533" i="28"/>
  <c r="BP533" i="28"/>
  <c r="BO533" i="28"/>
  <c r="BN533" i="28"/>
  <c r="BM533" i="28"/>
  <c r="BL533" i="28"/>
  <c r="BK533" i="28"/>
  <c r="BJ533" i="28"/>
  <c r="BI533" i="28"/>
  <c r="BH533" i="28"/>
  <c r="BG533" i="28"/>
  <c r="BF533" i="28"/>
  <c r="BX532" i="28"/>
  <c r="BW532" i="28"/>
  <c r="BV532" i="28"/>
  <c r="BU532" i="28"/>
  <c r="BT532" i="28"/>
  <c r="BS532" i="28"/>
  <c r="BR532" i="28"/>
  <c r="BQ532" i="28"/>
  <c r="BP532" i="28"/>
  <c r="BO532" i="28"/>
  <c r="BN532" i="28"/>
  <c r="BM532" i="28"/>
  <c r="BL532" i="28"/>
  <c r="BK532" i="28"/>
  <c r="BJ532" i="28"/>
  <c r="BI532" i="28"/>
  <c r="BH532" i="28"/>
  <c r="BG532" i="28"/>
  <c r="BF532" i="28"/>
  <c r="BX531" i="28"/>
  <c r="BW531" i="28"/>
  <c r="BV531" i="28"/>
  <c r="BU531" i="28"/>
  <c r="BT531" i="28"/>
  <c r="BS531" i="28"/>
  <c r="BR531" i="28"/>
  <c r="BQ531" i="28"/>
  <c r="BP531" i="28"/>
  <c r="BO531" i="28"/>
  <c r="BN531" i="28"/>
  <c r="BM531" i="28"/>
  <c r="BL531" i="28"/>
  <c r="BK531" i="28"/>
  <c r="BJ531" i="28"/>
  <c r="BI531" i="28"/>
  <c r="BH531" i="28"/>
  <c r="BG531" i="28"/>
  <c r="BF531" i="28"/>
  <c r="BX530" i="28"/>
  <c r="BW530" i="28"/>
  <c r="BV530" i="28"/>
  <c r="BU530" i="28"/>
  <c r="BT530" i="28"/>
  <c r="BS530" i="28"/>
  <c r="BR530" i="28"/>
  <c r="BQ530" i="28"/>
  <c r="BP530" i="28"/>
  <c r="BO530" i="28"/>
  <c r="BN530" i="28"/>
  <c r="BM530" i="28"/>
  <c r="BL530" i="28"/>
  <c r="BK530" i="28"/>
  <c r="BJ530" i="28"/>
  <c r="BI530" i="28"/>
  <c r="BH530" i="28"/>
  <c r="BG530" i="28"/>
  <c r="BF530" i="28"/>
  <c r="BX529" i="28"/>
  <c r="BW529" i="28"/>
  <c r="BV529" i="28"/>
  <c r="BU529" i="28"/>
  <c r="BT529" i="28"/>
  <c r="BS529" i="28"/>
  <c r="BR529" i="28"/>
  <c r="BQ529" i="28"/>
  <c r="BP529" i="28"/>
  <c r="BO529" i="28"/>
  <c r="BN529" i="28"/>
  <c r="BM529" i="28"/>
  <c r="BL529" i="28"/>
  <c r="BK529" i="28"/>
  <c r="BJ529" i="28"/>
  <c r="BI529" i="28"/>
  <c r="BH529" i="28"/>
  <c r="BG529" i="28"/>
  <c r="BF529" i="28"/>
  <c r="BX528" i="28"/>
  <c r="BW528" i="28"/>
  <c r="BV528" i="28"/>
  <c r="BU528" i="28"/>
  <c r="BT528" i="28"/>
  <c r="BS528" i="28"/>
  <c r="BR528" i="28"/>
  <c r="BQ528" i="28"/>
  <c r="BP528" i="28"/>
  <c r="BO528" i="28"/>
  <c r="BN528" i="28"/>
  <c r="BM528" i="28"/>
  <c r="BL528" i="28"/>
  <c r="BK528" i="28"/>
  <c r="BJ528" i="28"/>
  <c r="BI528" i="28"/>
  <c r="BH528" i="28"/>
  <c r="BG528" i="28"/>
  <c r="BF528" i="28"/>
  <c r="BX527" i="28"/>
  <c r="BW527" i="28"/>
  <c r="BV527" i="28"/>
  <c r="BU527" i="28"/>
  <c r="BT527" i="28"/>
  <c r="BS527" i="28"/>
  <c r="BR527" i="28"/>
  <c r="BQ527" i="28"/>
  <c r="BP527" i="28"/>
  <c r="BO527" i="28"/>
  <c r="BN527" i="28"/>
  <c r="BM527" i="28"/>
  <c r="BL527" i="28"/>
  <c r="BK527" i="28"/>
  <c r="BJ527" i="28"/>
  <c r="BI527" i="28"/>
  <c r="BH527" i="28"/>
  <c r="BG527" i="28"/>
  <c r="BF527" i="28"/>
  <c r="BX526" i="28"/>
  <c r="BW526" i="28"/>
  <c r="BV526" i="28"/>
  <c r="BU526" i="28"/>
  <c r="BT526" i="28"/>
  <c r="BS526" i="28"/>
  <c r="BR526" i="28"/>
  <c r="BQ526" i="28"/>
  <c r="BP526" i="28"/>
  <c r="BO526" i="28"/>
  <c r="BN526" i="28"/>
  <c r="BM526" i="28"/>
  <c r="BL526" i="28"/>
  <c r="BK526" i="28"/>
  <c r="BJ526" i="28"/>
  <c r="BI526" i="28"/>
  <c r="BH526" i="28"/>
  <c r="BG526" i="28"/>
  <c r="BF526" i="28"/>
  <c r="BX525" i="28"/>
  <c r="BW525" i="28"/>
  <c r="BV525" i="28"/>
  <c r="BU525" i="28"/>
  <c r="BT525" i="28"/>
  <c r="BS525" i="28"/>
  <c r="BR525" i="28"/>
  <c r="BQ525" i="28"/>
  <c r="BP525" i="28"/>
  <c r="BO525" i="28"/>
  <c r="BN525" i="28"/>
  <c r="BM525" i="28"/>
  <c r="BL525" i="28"/>
  <c r="BK525" i="28"/>
  <c r="BJ525" i="28"/>
  <c r="BI525" i="28"/>
  <c r="BH525" i="28"/>
  <c r="BG525" i="28"/>
  <c r="BF525" i="28"/>
  <c r="BX524" i="28"/>
  <c r="BW524" i="28"/>
  <c r="BV524" i="28"/>
  <c r="BU524" i="28"/>
  <c r="BT524" i="28"/>
  <c r="BS524" i="28"/>
  <c r="BR524" i="28"/>
  <c r="BQ524" i="28"/>
  <c r="BP524" i="28"/>
  <c r="BO524" i="28"/>
  <c r="BN524" i="28"/>
  <c r="BM524" i="28"/>
  <c r="BL524" i="28"/>
  <c r="BK524" i="28"/>
  <c r="BJ524" i="28"/>
  <c r="BI524" i="28"/>
  <c r="BH524" i="28"/>
  <c r="BG524" i="28"/>
  <c r="BF524" i="28"/>
  <c r="BX523" i="28"/>
  <c r="BW523" i="28"/>
  <c r="BV523" i="28"/>
  <c r="BU523" i="28"/>
  <c r="BT523" i="28"/>
  <c r="BS523" i="28"/>
  <c r="BR523" i="28"/>
  <c r="BQ523" i="28"/>
  <c r="BP523" i="28"/>
  <c r="BO523" i="28"/>
  <c r="BN523" i="28"/>
  <c r="BM523" i="28"/>
  <c r="BL523" i="28"/>
  <c r="BK523" i="28"/>
  <c r="BJ523" i="28"/>
  <c r="BI523" i="28"/>
  <c r="BH523" i="28"/>
  <c r="BG523" i="28"/>
  <c r="BF523" i="28"/>
  <c r="BX522" i="28"/>
  <c r="BW522" i="28"/>
  <c r="BV522" i="28"/>
  <c r="BU522" i="28"/>
  <c r="BT522" i="28"/>
  <c r="BS522" i="28"/>
  <c r="BR522" i="28"/>
  <c r="BQ522" i="28"/>
  <c r="BP522" i="28"/>
  <c r="BO522" i="28"/>
  <c r="BN522" i="28"/>
  <c r="BM522" i="28"/>
  <c r="BL522" i="28"/>
  <c r="BK522" i="28"/>
  <c r="BJ522" i="28"/>
  <c r="BI522" i="28"/>
  <c r="BH522" i="28"/>
  <c r="BG522" i="28"/>
  <c r="BF522" i="28"/>
  <c r="BX521" i="28"/>
  <c r="BW521" i="28"/>
  <c r="BV521" i="28"/>
  <c r="BU521" i="28"/>
  <c r="BT521" i="28"/>
  <c r="BS521" i="28"/>
  <c r="BR521" i="28"/>
  <c r="BQ521" i="28"/>
  <c r="BP521" i="28"/>
  <c r="BO521" i="28"/>
  <c r="BN521" i="28"/>
  <c r="BM521" i="28"/>
  <c r="BL521" i="28"/>
  <c r="BK521" i="28"/>
  <c r="BJ521" i="28"/>
  <c r="BI521" i="28"/>
  <c r="BH521" i="28"/>
  <c r="BG521" i="28"/>
  <c r="BF521" i="28"/>
  <c r="BX520" i="28"/>
  <c r="BW520" i="28"/>
  <c r="BV520" i="28"/>
  <c r="BU520" i="28"/>
  <c r="BT520" i="28"/>
  <c r="BS520" i="28"/>
  <c r="BR520" i="28"/>
  <c r="BQ520" i="28"/>
  <c r="BP520" i="28"/>
  <c r="BO520" i="28"/>
  <c r="BN520" i="28"/>
  <c r="BM520" i="28"/>
  <c r="BL520" i="28"/>
  <c r="BK520" i="28"/>
  <c r="BJ520" i="28"/>
  <c r="BI520" i="28"/>
  <c r="BH520" i="28"/>
  <c r="BG520" i="28"/>
  <c r="BF520" i="28"/>
  <c r="BX519" i="28"/>
  <c r="BW519" i="28"/>
  <c r="BV519" i="28"/>
  <c r="BU519" i="28"/>
  <c r="BT519" i="28"/>
  <c r="BS519" i="28"/>
  <c r="BR519" i="28"/>
  <c r="BQ519" i="28"/>
  <c r="BP519" i="28"/>
  <c r="BO519" i="28"/>
  <c r="BN519" i="28"/>
  <c r="BM519" i="28"/>
  <c r="BL519" i="28"/>
  <c r="BK519" i="28"/>
  <c r="BJ519" i="28"/>
  <c r="BI519" i="28"/>
  <c r="BH519" i="28"/>
  <c r="BG519" i="28"/>
  <c r="BF519" i="28"/>
  <c r="BX518" i="28"/>
  <c r="BW518" i="28"/>
  <c r="BV518" i="28"/>
  <c r="BU518" i="28"/>
  <c r="BT518" i="28"/>
  <c r="BS518" i="28"/>
  <c r="BR518" i="28"/>
  <c r="BQ518" i="28"/>
  <c r="BP518" i="28"/>
  <c r="BO518" i="28"/>
  <c r="BN518" i="28"/>
  <c r="BM518" i="28"/>
  <c r="BL518" i="28"/>
  <c r="BK518" i="28"/>
  <c r="BJ518" i="28"/>
  <c r="BI518" i="28"/>
  <c r="BH518" i="28"/>
  <c r="BG518" i="28"/>
  <c r="BF518" i="28"/>
  <c r="BX517" i="28"/>
  <c r="BW517" i="28"/>
  <c r="BV517" i="28"/>
  <c r="BU517" i="28"/>
  <c r="BT517" i="28"/>
  <c r="BS517" i="28"/>
  <c r="BR517" i="28"/>
  <c r="BQ517" i="28"/>
  <c r="BP517" i="28"/>
  <c r="BO517" i="28"/>
  <c r="BN517" i="28"/>
  <c r="BM517" i="28"/>
  <c r="BL517" i="28"/>
  <c r="BK517" i="28"/>
  <c r="BJ517" i="28"/>
  <c r="BI517" i="28"/>
  <c r="BH517" i="28"/>
  <c r="BG517" i="28"/>
  <c r="BF517" i="28"/>
  <c r="BX516" i="28"/>
  <c r="BW516" i="28"/>
  <c r="BV516" i="28"/>
  <c r="BU516" i="28"/>
  <c r="BT516" i="28"/>
  <c r="BS516" i="28"/>
  <c r="BR516" i="28"/>
  <c r="BQ516" i="28"/>
  <c r="BP516" i="28"/>
  <c r="BO516" i="28"/>
  <c r="BN516" i="28"/>
  <c r="BM516" i="28"/>
  <c r="BL516" i="28"/>
  <c r="BK516" i="28"/>
  <c r="BJ516" i="28"/>
  <c r="BI516" i="28"/>
  <c r="BH516" i="28"/>
  <c r="BG516" i="28"/>
  <c r="BF516" i="28"/>
  <c r="BX515" i="28"/>
  <c r="BW515" i="28"/>
  <c r="BV515" i="28"/>
  <c r="BU515" i="28"/>
  <c r="BT515" i="28"/>
  <c r="BS515" i="28"/>
  <c r="BR515" i="28"/>
  <c r="BQ515" i="28"/>
  <c r="BP515" i="28"/>
  <c r="BO515" i="28"/>
  <c r="BN515" i="28"/>
  <c r="BM515" i="28"/>
  <c r="BL515" i="28"/>
  <c r="BK515" i="28"/>
  <c r="BJ515" i="28"/>
  <c r="BI515" i="28"/>
  <c r="BH515" i="28"/>
  <c r="BG515" i="28"/>
  <c r="BF515" i="28"/>
  <c r="BX514" i="28"/>
  <c r="BW514" i="28"/>
  <c r="BV514" i="28"/>
  <c r="BU514" i="28"/>
  <c r="BT514" i="28"/>
  <c r="BS514" i="28"/>
  <c r="BR514" i="28"/>
  <c r="BQ514" i="28"/>
  <c r="BP514" i="28"/>
  <c r="BO514" i="28"/>
  <c r="BN514" i="28"/>
  <c r="BM514" i="28"/>
  <c r="BL514" i="28"/>
  <c r="BK514" i="28"/>
  <c r="BJ514" i="28"/>
  <c r="BI514" i="28"/>
  <c r="BH514" i="28"/>
  <c r="BG514" i="28"/>
  <c r="BF514" i="28"/>
  <c r="BX513" i="28"/>
  <c r="BW513" i="28"/>
  <c r="BV513" i="28"/>
  <c r="BU513" i="28"/>
  <c r="BT513" i="28"/>
  <c r="BS513" i="28"/>
  <c r="BR513" i="28"/>
  <c r="BQ513" i="28"/>
  <c r="BP513" i="28"/>
  <c r="BO513" i="28"/>
  <c r="BN513" i="28"/>
  <c r="BM513" i="28"/>
  <c r="BL513" i="28"/>
  <c r="BK513" i="28"/>
  <c r="BJ513" i="28"/>
  <c r="BI513" i="28"/>
  <c r="BH513" i="28"/>
  <c r="BG513" i="28"/>
  <c r="BF513" i="28"/>
  <c r="BX512" i="28"/>
  <c r="BW512" i="28"/>
  <c r="BV512" i="28"/>
  <c r="BU512" i="28"/>
  <c r="BT512" i="28"/>
  <c r="BS512" i="28"/>
  <c r="BR512" i="28"/>
  <c r="BQ512" i="28"/>
  <c r="BP512" i="28"/>
  <c r="BO512" i="28"/>
  <c r="BN512" i="28"/>
  <c r="BM512" i="28"/>
  <c r="BL512" i="28"/>
  <c r="BK512" i="28"/>
  <c r="BJ512" i="28"/>
  <c r="BI512" i="28"/>
  <c r="BH512" i="28"/>
  <c r="BG512" i="28"/>
  <c r="BF512" i="28"/>
  <c r="BX511" i="28"/>
  <c r="BW511" i="28"/>
  <c r="BV511" i="28"/>
  <c r="BU511" i="28"/>
  <c r="BT511" i="28"/>
  <c r="BS511" i="28"/>
  <c r="BR511" i="28"/>
  <c r="BQ511" i="28"/>
  <c r="BP511" i="28"/>
  <c r="BO511" i="28"/>
  <c r="BN511" i="28"/>
  <c r="BM511" i="28"/>
  <c r="BL511" i="28"/>
  <c r="BK511" i="28"/>
  <c r="BJ511" i="28"/>
  <c r="BI511" i="28"/>
  <c r="BH511" i="28"/>
  <c r="BG511" i="28"/>
  <c r="BF511" i="28"/>
  <c r="BX510" i="28"/>
  <c r="BW510" i="28"/>
  <c r="BV510" i="28"/>
  <c r="BU510" i="28"/>
  <c r="BT510" i="28"/>
  <c r="BS510" i="28"/>
  <c r="BR510" i="28"/>
  <c r="BQ510" i="28"/>
  <c r="BP510" i="28"/>
  <c r="BO510" i="28"/>
  <c r="BN510" i="28"/>
  <c r="BM510" i="28"/>
  <c r="BL510" i="28"/>
  <c r="BK510" i="28"/>
  <c r="BJ510" i="28"/>
  <c r="BI510" i="28"/>
  <c r="BH510" i="28"/>
  <c r="BG510" i="28"/>
  <c r="BF510" i="28"/>
  <c r="BX509" i="28"/>
  <c r="BW509" i="28"/>
  <c r="BV509" i="28"/>
  <c r="BU509" i="28"/>
  <c r="BT509" i="28"/>
  <c r="BS509" i="28"/>
  <c r="BR509" i="28"/>
  <c r="BQ509" i="28"/>
  <c r="BP509" i="28"/>
  <c r="BO509" i="28"/>
  <c r="BN509" i="28"/>
  <c r="BM509" i="28"/>
  <c r="BL509" i="28"/>
  <c r="BK509" i="28"/>
  <c r="BJ509" i="28"/>
  <c r="BI509" i="28"/>
  <c r="BH509" i="28"/>
  <c r="BG509" i="28"/>
  <c r="BF509" i="28"/>
  <c r="BX508" i="28"/>
  <c r="BW508" i="28"/>
  <c r="BV508" i="28"/>
  <c r="BU508" i="28"/>
  <c r="BT508" i="28"/>
  <c r="BS508" i="28"/>
  <c r="BR508" i="28"/>
  <c r="BQ508" i="28"/>
  <c r="BP508" i="28"/>
  <c r="BO508" i="28"/>
  <c r="BN508" i="28"/>
  <c r="BM508" i="28"/>
  <c r="BL508" i="28"/>
  <c r="BK508" i="28"/>
  <c r="BJ508" i="28"/>
  <c r="BI508" i="28"/>
  <c r="BH508" i="28"/>
  <c r="BG508" i="28"/>
  <c r="BF508" i="28"/>
  <c r="BX507" i="28"/>
  <c r="BW507" i="28"/>
  <c r="BV507" i="28"/>
  <c r="BU507" i="28"/>
  <c r="BT507" i="28"/>
  <c r="BS507" i="28"/>
  <c r="BR507" i="28"/>
  <c r="BQ507" i="28"/>
  <c r="BP507" i="28"/>
  <c r="BO507" i="28"/>
  <c r="BN507" i="28"/>
  <c r="BM507" i="28"/>
  <c r="BL507" i="28"/>
  <c r="BK507" i="28"/>
  <c r="BJ507" i="28"/>
  <c r="BI507" i="28"/>
  <c r="BH507" i="28"/>
  <c r="BG507" i="28"/>
  <c r="BF507" i="28"/>
  <c r="BX506" i="28"/>
  <c r="BW506" i="28"/>
  <c r="BV506" i="28"/>
  <c r="BU506" i="28"/>
  <c r="BT506" i="28"/>
  <c r="BS506" i="28"/>
  <c r="BR506" i="28"/>
  <c r="BQ506" i="28"/>
  <c r="BP506" i="28"/>
  <c r="BO506" i="28"/>
  <c r="BN506" i="28"/>
  <c r="BM506" i="28"/>
  <c r="BL506" i="28"/>
  <c r="BK506" i="28"/>
  <c r="BJ506" i="28"/>
  <c r="BI506" i="28"/>
  <c r="BH506" i="28"/>
  <c r="BG506" i="28"/>
  <c r="BF506" i="28"/>
  <c r="BX505" i="28"/>
  <c r="BW505" i="28"/>
  <c r="BV505" i="28"/>
  <c r="BU505" i="28"/>
  <c r="BT505" i="28"/>
  <c r="BS505" i="28"/>
  <c r="BR505" i="28"/>
  <c r="BQ505" i="28"/>
  <c r="BP505" i="28"/>
  <c r="BO505" i="28"/>
  <c r="BN505" i="28"/>
  <c r="BM505" i="28"/>
  <c r="BL505" i="28"/>
  <c r="BK505" i="28"/>
  <c r="BJ505" i="28"/>
  <c r="BI505" i="28"/>
  <c r="BH505" i="28"/>
  <c r="BG505" i="28"/>
  <c r="BF505" i="28"/>
  <c r="BX504" i="28"/>
  <c r="BW504" i="28"/>
  <c r="BV504" i="28"/>
  <c r="BU504" i="28"/>
  <c r="BT504" i="28"/>
  <c r="BS504" i="28"/>
  <c r="BR504" i="28"/>
  <c r="BQ504" i="28"/>
  <c r="BP504" i="28"/>
  <c r="BO504" i="28"/>
  <c r="BN504" i="28"/>
  <c r="BM504" i="28"/>
  <c r="BL504" i="28"/>
  <c r="BK504" i="28"/>
  <c r="BJ504" i="28"/>
  <c r="BI504" i="28"/>
  <c r="BH504" i="28"/>
  <c r="BG504" i="28"/>
  <c r="BF504" i="28"/>
  <c r="BX503" i="28"/>
  <c r="BW503" i="28"/>
  <c r="BV503" i="28"/>
  <c r="BU503" i="28"/>
  <c r="BT503" i="28"/>
  <c r="BS503" i="28"/>
  <c r="BR503" i="28"/>
  <c r="BQ503" i="28"/>
  <c r="BP503" i="28"/>
  <c r="BO503" i="28"/>
  <c r="BN503" i="28"/>
  <c r="BM503" i="28"/>
  <c r="BL503" i="28"/>
  <c r="BK503" i="28"/>
  <c r="BJ503" i="28"/>
  <c r="BI503" i="28"/>
  <c r="BH503" i="28"/>
  <c r="BG503" i="28"/>
  <c r="BF503" i="28"/>
  <c r="BX502" i="28"/>
  <c r="BW502" i="28"/>
  <c r="BV502" i="28"/>
  <c r="BU502" i="28"/>
  <c r="BT502" i="28"/>
  <c r="BS502" i="28"/>
  <c r="BR502" i="28"/>
  <c r="BQ502" i="28"/>
  <c r="BP502" i="28"/>
  <c r="BO502" i="28"/>
  <c r="BN502" i="28"/>
  <c r="BM502" i="28"/>
  <c r="BL502" i="28"/>
  <c r="BK502" i="28"/>
  <c r="BJ502" i="28"/>
  <c r="BI502" i="28"/>
  <c r="BH502" i="28"/>
  <c r="BG502" i="28"/>
  <c r="BF502" i="28"/>
  <c r="BX501" i="28"/>
  <c r="BW501" i="28"/>
  <c r="BV501" i="28"/>
  <c r="BU501" i="28"/>
  <c r="BT501" i="28"/>
  <c r="BS501" i="28"/>
  <c r="BR501" i="28"/>
  <c r="BQ501" i="28"/>
  <c r="BP501" i="28"/>
  <c r="BO501" i="28"/>
  <c r="BN501" i="28"/>
  <c r="BM501" i="28"/>
  <c r="BL501" i="28"/>
  <c r="BK501" i="28"/>
  <c r="BJ501" i="28"/>
  <c r="BI501" i="28"/>
  <c r="BH501" i="28"/>
  <c r="BG501" i="28"/>
  <c r="BF501" i="28"/>
  <c r="BX500" i="28"/>
  <c r="BW500" i="28"/>
  <c r="BV500" i="28"/>
  <c r="BU500" i="28"/>
  <c r="BT500" i="28"/>
  <c r="BS500" i="28"/>
  <c r="BR500" i="28"/>
  <c r="BQ500" i="28"/>
  <c r="BP500" i="28"/>
  <c r="BO500" i="28"/>
  <c r="BN500" i="28"/>
  <c r="BM500" i="28"/>
  <c r="BL500" i="28"/>
  <c r="BK500" i="28"/>
  <c r="BJ500" i="28"/>
  <c r="BI500" i="28"/>
  <c r="BH500" i="28"/>
  <c r="BG500" i="28"/>
  <c r="BF500" i="28"/>
  <c r="BX499" i="28"/>
  <c r="BW499" i="28"/>
  <c r="BV499" i="28"/>
  <c r="BU499" i="28"/>
  <c r="BT499" i="28"/>
  <c r="BS499" i="28"/>
  <c r="BR499" i="28"/>
  <c r="BQ499" i="28"/>
  <c r="BP499" i="28"/>
  <c r="BO499" i="28"/>
  <c r="BN499" i="28"/>
  <c r="BM499" i="28"/>
  <c r="BL499" i="28"/>
  <c r="BK499" i="28"/>
  <c r="BJ499" i="28"/>
  <c r="BI499" i="28"/>
  <c r="BH499" i="28"/>
  <c r="BG499" i="28"/>
  <c r="BF499" i="28"/>
  <c r="BX498" i="28"/>
  <c r="BW498" i="28"/>
  <c r="BV498" i="28"/>
  <c r="BU498" i="28"/>
  <c r="BT498" i="28"/>
  <c r="BS498" i="28"/>
  <c r="BR498" i="28"/>
  <c r="BQ498" i="28"/>
  <c r="BP498" i="28"/>
  <c r="BO498" i="28"/>
  <c r="BN498" i="28"/>
  <c r="BM498" i="28"/>
  <c r="BL498" i="28"/>
  <c r="BK498" i="28"/>
  <c r="BJ498" i="28"/>
  <c r="BI498" i="28"/>
  <c r="BH498" i="28"/>
  <c r="BG498" i="28"/>
  <c r="BF498" i="28"/>
  <c r="BX497" i="28"/>
  <c r="BW497" i="28"/>
  <c r="BV497" i="28"/>
  <c r="BU497" i="28"/>
  <c r="BT497" i="28"/>
  <c r="BS497" i="28"/>
  <c r="BR497" i="28"/>
  <c r="BQ497" i="28"/>
  <c r="BP497" i="28"/>
  <c r="BO497" i="28"/>
  <c r="BN497" i="28"/>
  <c r="BM497" i="28"/>
  <c r="BL497" i="28"/>
  <c r="BK497" i="28"/>
  <c r="BJ497" i="28"/>
  <c r="BI497" i="28"/>
  <c r="BH497" i="28"/>
  <c r="BG497" i="28"/>
  <c r="BF497" i="28"/>
  <c r="BX496" i="28"/>
  <c r="BW496" i="28"/>
  <c r="BV496" i="28"/>
  <c r="BU496" i="28"/>
  <c r="BT496" i="28"/>
  <c r="BS496" i="28"/>
  <c r="BR496" i="28"/>
  <c r="BQ496" i="28"/>
  <c r="BP496" i="28"/>
  <c r="BO496" i="28"/>
  <c r="BN496" i="28"/>
  <c r="BM496" i="28"/>
  <c r="BL496" i="28"/>
  <c r="BK496" i="28"/>
  <c r="BJ496" i="28"/>
  <c r="BI496" i="28"/>
  <c r="BH496" i="28"/>
  <c r="BG496" i="28"/>
  <c r="BF496" i="28"/>
  <c r="BX495" i="28"/>
  <c r="BW495" i="28"/>
  <c r="BV495" i="28"/>
  <c r="BU495" i="28"/>
  <c r="BT495" i="28"/>
  <c r="BS495" i="28"/>
  <c r="BR495" i="28"/>
  <c r="BQ495" i="28"/>
  <c r="BP495" i="28"/>
  <c r="BO495" i="28"/>
  <c r="BN495" i="28"/>
  <c r="BM495" i="28"/>
  <c r="BL495" i="28"/>
  <c r="BK495" i="28"/>
  <c r="BJ495" i="28"/>
  <c r="BI495" i="28"/>
  <c r="BH495" i="28"/>
  <c r="BG495" i="28"/>
  <c r="BF495" i="28"/>
  <c r="BX494" i="28"/>
  <c r="BW494" i="28"/>
  <c r="BV494" i="28"/>
  <c r="BU494" i="28"/>
  <c r="BT494" i="28"/>
  <c r="BS494" i="28"/>
  <c r="BR494" i="28"/>
  <c r="BQ494" i="28"/>
  <c r="BP494" i="28"/>
  <c r="BO494" i="28"/>
  <c r="BN494" i="28"/>
  <c r="BM494" i="28"/>
  <c r="BL494" i="28"/>
  <c r="BK494" i="28"/>
  <c r="BJ494" i="28"/>
  <c r="BI494" i="28"/>
  <c r="BH494" i="28"/>
  <c r="BG494" i="28"/>
  <c r="BF494" i="28"/>
  <c r="BX493" i="28"/>
  <c r="BW493" i="28"/>
  <c r="BV493" i="28"/>
  <c r="BU493" i="28"/>
  <c r="BT493" i="28"/>
  <c r="BS493" i="28"/>
  <c r="BR493" i="28"/>
  <c r="BQ493" i="28"/>
  <c r="BP493" i="28"/>
  <c r="BO493" i="28"/>
  <c r="BN493" i="28"/>
  <c r="BM493" i="28"/>
  <c r="BL493" i="28"/>
  <c r="BK493" i="28"/>
  <c r="BJ493" i="28"/>
  <c r="BI493" i="28"/>
  <c r="BH493" i="28"/>
  <c r="BG493" i="28"/>
  <c r="BF493" i="28"/>
  <c r="BX492" i="28"/>
  <c r="BW492" i="28"/>
  <c r="BV492" i="28"/>
  <c r="BU492" i="28"/>
  <c r="BT492" i="28"/>
  <c r="BS492" i="28"/>
  <c r="BR492" i="28"/>
  <c r="BQ492" i="28"/>
  <c r="BP492" i="28"/>
  <c r="BO492" i="28"/>
  <c r="BN492" i="28"/>
  <c r="BM492" i="28"/>
  <c r="BL492" i="28"/>
  <c r="BK492" i="28"/>
  <c r="BJ492" i="28"/>
  <c r="BI492" i="28"/>
  <c r="BH492" i="28"/>
  <c r="BG492" i="28"/>
  <c r="BF492" i="28"/>
  <c r="BX491" i="28"/>
  <c r="BW491" i="28"/>
  <c r="BV491" i="28"/>
  <c r="BU491" i="28"/>
  <c r="BT491" i="28"/>
  <c r="BS491" i="28"/>
  <c r="BR491" i="28"/>
  <c r="BQ491" i="28"/>
  <c r="BP491" i="28"/>
  <c r="BO491" i="28"/>
  <c r="BN491" i="28"/>
  <c r="BM491" i="28"/>
  <c r="BL491" i="28"/>
  <c r="BK491" i="28"/>
  <c r="BJ491" i="28"/>
  <c r="BI491" i="28"/>
  <c r="BH491" i="28"/>
  <c r="BG491" i="28"/>
  <c r="BF491" i="28"/>
  <c r="BX490" i="28"/>
  <c r="BW490" i="28"/>
  <c r="BV490" i="28"/>
  <c r="BU490" i="28"/>
  <c r="BT490" i="28"/>
  <c r="BS490" i="28"/>
  <c r="BR490" i="28"/>
  <c r="BQ490" i="28"/>
  <c r="BP490" i="28"/>
  <c r="BO490" i="28"/>
  <c r="BN490" i="28"/>
  <c r="BM490" i="28"/>
  <c r="BL490" i="28"/>
  <c r="BK490" i="28"/>
  <c r="BJ490" i="28"/>
  <c r="BI490" i="28"/>
  <c r="BH490" i="28"/>
  <c r="BG490" i="28"/>
  <c r="BF490" i="28"/>
  <c r="BX489" i="28"/>
  <c r="BW489" i="28"/>
  <c r="BV489" i="28"/>
  <c r="BU489" i="28"/>
  <c r="BT489" i="28"/>
  <c r="BS489" i="28"/>
  <c r="BR489" i="28"/>
  <c r="BQ489" i="28"/>
  <c r="BP489" i="28"/>
  <c r="BO489" i="28"/>
  <c r="BN489" i="28"/>
  <c r="BM489" i="28"/>
  <c r="BL489" i="28"/>
  <c r="BK489" i="28"/>
  <c r="BJ489" i="28"/>
  <c r="BI489" i="28"/>
  <c r="BH489" i="28"/>
  <c r="BG489" i="28"/>
  <c r="BF489" i="28"/>
  <c r="BX488" i="28"/>
  <c r="BW488" i="28"/>
  <c r="BV488" i="28"/>
  <c r="BU488" i="28"/>
  <c r="BT488" i="28"/>
  <c r="BS488" i="28"/>
  <c r="BR488" i="28"/>
  <c r="BQ488" i="28"/>
  <c r="BP488" i="28"/>
  <c r="BO488" i="28"/>
  <c r="BN488" i="28"/>
  <c r="BM488" i="28"/>
  <c r="BL488" i="28"/>
  <c r="BK488" i="28"/>
  <c r="BJ488" i="28"/>
  <c r="BI488" i="28"/>
  <c r="BH488" i="28"/>
  <c r="BG488" i="28"/>
  <c r="BF488" i="28"/>
  <c r="BX487" i="28"/>
  <c r="BW487" i="28"/>
  <c r="BV487" i="28"/>
  <c r="BU487" i="28"/>
  <c r="BT487" i="28"/>
  <c r="BS487" i="28"/>
  <c r="BR487" i="28"/>
  <c r="BQ487" i="28"/>
  <c r="BP487" i="28"/>
  <c r="BO487" i="28"/>
  <c r="BN487" i="28"/>
  <c r="BM487" i="28"/>
  <c r="BL487" i="28"/>
  <c r="BK487" i="28"/>
  <c r="BJ487" i="28"/>
  <c r="BI487" i="28"/>
  <c r="BH487" i="28"/>
  <c r="BG487" i="28"/>
  <c r="BF487" i="28"/>
  <c r="BX486" i="28"/>
  <c r="BW486" i="28"/>
  <c r="BV486" i="28"/>
  <c r="BU486" i="28"/>
  <c r="BT486" i="28"/>
  <c r="BS486" i="28"/>
  <c r="BR486" i="28"/>
  <c r="BQ486" i="28"/>
  <c r="BP486" i="28"/>
  <c r="BO486" i="28"/>
  <c r="BN486" i="28"/>
  <c r="BM486" i="28"/>
  <c r="BL486" i="28"/>
  <c r="BK486" i="28"/>
  <c r="BJ486" i="28"/>
  <c r="BI486" i="28"/>
  <c r="BH486" i="28"/>
  <c r="BG486" i="28"/>
  <c r="BF486" i="28"/>
  <c r="BX485" i="28"/>
  <c r="BW485" i="28"/>
  <c r="BV485" i="28"/>
  <c r="BU485" i="28"/>
  <c r="BT485" i="28"/>
  <c r="BS485" i="28"/>
  <c r="BR485" i="28"/>
  <c r="BQ485" i="28"/>
  <c r="BP485" i="28"/>
  <c r="BO485" i="28"/>
  <c r="BN485" i="28"/>
  <c r="BM485" i="28"/>
  <c r="BL485" i="28"/>
  <c r="BK485" i="28"/>
  <c r="BJ485" i="28"/>
  <c r="BI485" i="28"/>
  <c r="BH485" i="28"/>
  <c r="BG485" i="28"/>
  <c r="BF485" i="28"/>
  <c r="BX484" i="28"/>
  <c r="BW484" i="28"/>
  <c r="BV484" i="28"/>
  <c r="BU484" i="28"/>
  <c r="BT484" i="28"/>
  <c r="BS484" i="28"/>
  <c r="BR484" i="28"/>
  <c r="BQ484" i="28"/>
  <c r="BP484" i="28"/>
  <c r="BO484" i="28"/>
  <c r="BN484" i="28"/>
  <c r="BM484" i="28"/>
  <c r="BL484" i="28"/>
  <c r="BK484" i="28"/>
  <c r="BJ484" i="28"/>
  <c r="BI484" i="28"/>
  <c r="BH484" i="28"/>
  <c r="BG484" i="28"/>
  <c r="BF484" i="28"/>
  <c r="BX483" i="28"/>
  <c r="BW483" i="28"/>
  <c r="BV483" i="28"/>
  <c r="BU483" i="28"/>
  <c r="BT483" i="28"/>
  <c r="BS483" i="28"/>
  <c r="BR483" i="28"/>
  <c r="BQ483" i="28"/>
  <c r="BP483" i="28"/>
  <c r="BO483" i="28"/>
  <c r="BN483" i="28"/>
  <c r="BM483" i="28"/>
  <c r="BL483" i="28"/>
  <c r="BK483" i="28"/>
  <c r="BJ483" i="28"/>
  <c r="BI483" i="28"/>
  <c r="BH483" i="28"/>
  <c r="BG483" i="28"/>
  <c r="BF483" i="28"/>
  <c r="BX482" i="28"/>
  <c r="BW482" i="28"/>
  <c r="BV482" i="28"/>
  <c r="BU482" i="28"/>
  <c r="BT482" i="28"/>
  <c r="BS482" i="28"/>
  <c r="BR482" i="28"/>
  <c r="BQ482" i="28"/>
  <c r="BP482" i="28"/>
  <c r="BO482" i="28"/>
  <c r="BN482" i="28"/>
  <c r="BM482" i="28"/>
  <c r="BL482" i="28"/>
  <c r="BK482" i="28"/>
  <c r="BJ482" i="28"/>
  <c r="BI482" i="28"/>
  <c r="BH482" i="28"/>
  <c r="BG482" i="28"/>
  <c r="BF482" i="28"/>
  <c r="BX481" i="28"/>
  <c r="BW481" i="28"/>
  <c r="BV481" i="28"/>
  <c r="BU481" i="28"/>
  <c r="BT481" i="28"/>
  <c r="BS481" i="28"/>
  <c r="BR481" i="28"/>
  <c r="BQ481" i="28"/>
  <c r="BP481" i="28"/>
  <c r="BO481" i="28"/>
  <c r="BN481" i="28"/>
  <c r="BM481" i="28"/>
  <c r="BL481" i="28"/>
  <c r="BK481" i="28"/>
  <c r="BJ481" i="28"/>
  <c r="BI481" i="28"/>
  <c r="BH481" i="28"/>
  <c r="BG481" i="28"/>
  <c r="BF481" i="28"/>
  <c r="BX480" i="28"/>
  <c r="BW480" i="28"/>
  <c r="BV480" i="28"/>
  <c r="BU480" i="28"/>
  <c r="BT480" i="28"/>
  <c r="BS480" i="28"/>
  <c r="BR480" i="28"/>
  <c r="BQ480" i="28"/>
  <c r="BP480" i="28"/>
  <c r="BO480" i="28"/>
  <c r="BN480" i="28"/>
  <c r="BM480" i="28"/>
  <c r="BL480" i="28"/>
  <c r="BK480" i="28"/>
  <c r="BJ480" i="28"/>
  <c r="BI480" i="28"/>
  <c r="BH480" i="28"/>
  <c r="BG480" i="28"/>
  <c r="BF480" i="28"/>
  <c r="BX479" i="28"/>
  <c r="BW479" i="28"/>
  <c r="BV479" i="28"/>
  <c r="BU479" i="28"/>
  <c r="BT479" i="28"/>
  <c r="BS479" i="28"/>
  <c r="BR479" i="28"/>
  <c r="BQ479" i="28"/>
  <c r="BP479" i="28"/>
  <c r="BO479" i="28"/>
  <c r="BN479" i="28"/>
  <c r="BM479" i="28"/>
  <c r="BL479" i="28"/>
  <c r="BK479" i="28"/>
  <c r="BJ479" i="28"/>
  <c r="BI479" i="28"/>
  <c r="BH479" i="28"/>
  <c r="BG479" i="28"/>
  <c r="BF479" i="28"/>
  <c r="BX478" i="28"/>
  <c r="BW478" i="28"/>
  <c r="BV478" i="28"/>
  <c r="BU478" i="28"/>
  <c r="BT478" i="28"/>
  <c r="BS478" i="28"/>
  <c r="BR478" i="28"/>
  <c r="BQ478" i="28"/>
  <c r="BP478" i="28"/>
  <c r="BO478" i="28"/>
  <c r="BN478" i="28"/>
  <c r="BM478" i="28"/>
  <c r="BL478" i="28"/>
  <c r="BK478" i="28"/>
  <c r="BJ478" i="28"/>
  <c r="BI478" i="28"/>
  <c r="BH478" i="28"/>
  <c r="BG478" i="28"/>
  <c r="BF478" i="28"/>
  <c r="BX477" i="28"/>
  <c r="BW477" i="28"/>
  <c r="BV477" i="28"/>
  <c r="BU477" i="28"/>
  <c r="BT477" i="28"/>
  <c r="BS477" i="28"/>
  <c r="BR477" i="28"/>
  <c r="BQ477" i="28"/>
  <c r="BP477" i="28"/>
  <c r="BO477" i="28"/>
  <c r="BN477" i="28"/>
  <c r="BM477" i="28"/>
  <c r="BL477" i="28"/>
  <c r="BK477" i="28"/>
  <c r="BJ477" i="28"/>
  <c r="BI477" i="28"/>
  <c r="BH477" i="28"/>
  <c r="BG477" i="28"/>
  <c r="BF477" i="28"/>
  <c r="BX476" i="28"/>
  <c r="BW476" i="28"/>
  <c r="BV476" i="28"/>
  <c r="BU476" i="28"/>
  <c r="BT476" i="28"/>
  <c r="BS476" i="28"/>
  <c r="BR476" i="28"/>
  <c r="BQ476" i="28"/>
  <c r="BP476" i="28"/>
  <c r="BO476" i="28"/>
  <c r="BN476" i="28"/>
  <c r="BM476" i="28"/>
  <c r="BL476" i="28"/>
  <c r="BK476" i="28"/>
  <c r="BJ476" i="28"/>
  <c r="BI476" i="28"/>
  <c r="BH476" i="28"/>
  <c r="BG476" i="28"/>
  <c r="BF476" i="28"/>
  <c r="BX475" i="28"/>
  <c r="BW475" i="28"/>
  <c r="BV475" i="28"/>
  <c r="BU475" i="28"/>
  <c r="BT475" i="28"/>
  <c r="BS475" i="28"/>
  <c r="BR475" i="28"/>
  <c r="BQ475" i="28"/>
  <c r="BP475" i="28"/>
  <c r="BO475" i="28"/>
  <c r="BN475" i="28"/>
  <c r="BM475" i="28"/>
  <c r="BL475" i="28"/>
  <c r="BK475" i="28"/>
  <c r="BJ475" i="28"/>
  <c r="BI475" i="28"/>
  <c r="BH475" i="28"/>
  <c r="BG475" i="28"/>
  <c r="BF475" i="28"/>
  <c r="BX474" i="28"/>
  <c r="BW474" i="28"/>
  <c r="BV474" i="28"/>
  <c r="BU474" i="28"/>
  <c r="BT474" i="28"/>
  <c r="BS474" i="28"/>
  <c r="BR474" i="28"/>
  <c r="BQ474" i="28"/>
  <c r="BP474" i="28"/>
  <c r="BO474" i="28"/>
  <c r="BN474" i="28"/>
  <c r="BM474" i="28"/>
  <c r="BL474" i="28"/>
  <c r="BK474" i="28"/>
  <c r="BJ474" i="28"/>
  <c r="BI474" i="28"/>
  <c r="BH474" i="28"/>
  <c r="BG474" i="28"/>
  <c r="BF474" i="28"/>
  <c r="BX473" i="28"/>
  <c r="BW473" i="28"/>
  <c r="BV473" i="28"/>
  <c r="BU473" i="28"/>
  <c r="BT473" i="28"/>
  <c r="BS473" i="28"/>
  <c r="BR473" i="28"/>
  <c r="BQ473" i="28"/>
  <c r="BP473" i="28"/>
  <c r="BO473" i="28"/>
  <c r="BN473" i="28"/>
  <c r="BM473" i="28"/>
  <c r="BL473" i="28"/>
  <c r="BK473" i="28"/>
  <c r="BJ473" i="28"/>
  <c r="BI473" i="28"/>
  <c r="BH473" i="28"/>
  <c r="BG473" i="28"/>
  <c r="BF473" i="28"/>
  <c r="BX472" i="28"/>
  <c r="BW472" i="28"/>
  <c r="BV472" i="28"/>
  <c r="BU472" i="28"/>
  <c r="BT472" i="28"/>
  <c r="BS472" i="28"/>
  <c r="BR472" i="28"/>
  <c r="BQ472" i="28"/>
  <c r="BP472" i="28"/>
  <c r="BO472" i="28"/>
  <c r="BN472" i="28"/>
  <c r="BM472" i="28"/>
  <c r="BL472" i="28"/>
  <c r="BK472" i="28"/>
  <c r="BJ472" i="28"/>
  <c r="BI472" i="28"/>
  <c r="BH472" i="28"/>
  <c r="BG472" i="28"/>
  <c r="BF472" i="28"/>
  <c r="BX471" i="28"/>
  <c r="BW471" i="28"/>
  <c r="BV471" i="28"/>
  <c r="BU471" i="28"/>
  <c r="BT471" i="28"/>
  <c r="BS471" i="28"/>
  <c r="BR471" i="28"/>
  <c r="BQ471" i="28"/>
  <c r="BP471" i="28"/>
  <c r="BO471" i="28"/>
  <c r="BN471" i="28"/>
  <c r="BM471" i="28"/>
  <c r="BL471" i="28"/>
  <c r="BK471" i="28"/>
  <c r="BJ471" i="28"/>
  <c r="BI471" i="28"/>
  <c r="BH471" i="28"/>
  <c r="BG471" i="28"/>
  <c r="BF471" i="28"/>
  <c r="BX470" i="28"/>
  <c r="BW470" i="28"/>
  <c r="BV470" i="28"/>
  <c r="BU470" i="28"/>
  <c r="BT470" i="28"/>
  <c r="BS470" i="28"/>
  <c r="BR470" i="28"/>
  <c r="BQ470" i="28"/>
  <c r="BP470" i="28"/>
  <c r="BO470" i="28"/>
  <c r="BN470" i="28"/>
  <c r="BM470" i="28"/>
  <c r="BL470" i="28"/>
  <c r="BK470" i="28"/>
  <c r="BJ470" i="28"/>
  <c r="BI470" i="28"/>
  <c r="BH470" i="28"/>
  <c r="BG470" i="28"/>
  <c r="BF470" i="28"/>
  <c r="BX469" i="28"/>
  <c r="BW469" i="28"/>
  <c r="BV469" i="28"/>
  <c r="BU469" i="28"/>
  <c r="BT469" i="28"/>
  <c r="BS469" i="28"/>
  <c r="BR469" i="28"/>
  <c r="BQ469" i="28"/>
  <c r="BP469" i="28"/>
  <c r="BO469" i="28"/>
  <c r="BN469" i="28"/>
  <c r="BM469" i="28"/>
  <c r="BL469" i="28"/>
  <c r="BK469" i="28"/>
  <c r="BJ469" i="28"/>
  <c r="BI469" i="28"/>
  <c r="BH469" i="28"/>
  <c r="BG469" i="28"/>
  <c r="BF469" i="28"/>
  <c r="BX468" i="28"/>
  <c r="BW468" i="28"/>
  <c r="BV468" i="28"/>
  <c r="BU468" i="28"/>
  <c r="BT468" i="28"/>
  <c r="BS468" i="28"/>
  <c r="BR468" i="28"/>
  <c r="BQ468" i="28"/>
  <c r="BP468" i="28"/>
  <c r="BO468" i="28"/>
  <c r="BN468" i="28"/>
  <c r="BM468" i="28"/>
  <c r="BL468" i="28"/>
  <c r="BK468" i="28"/>
  <c r="BJ468" i="28"/>
  <c r="BI468" i="28"/>
  <c r="BH468" i="28"/>
  <c r="BG468" i="28"/>
  <c r="BF468" i="28"/>
  <c r="BX467" i="28"/>
  <c r="BW467" i="28"/>
  <c r="BV467" i="28"/>
  <c r="BU467" i="28"/>
  <c r="BT467" i="28"/>
  <c r="BS467" i="28"/>
  <c r="BR467" i="28"/>
  <c r="BQ467" i="28"/>
  <c r="BP467" i="28"/>
  <c r="BO467" i="28"/>
  <c r="BN467" i="28"/>
  <c r="BM467" i="28"/>
  <c r="BL467" i="28"/>
  <c r="BK467" i="28"/>
  <c r="BJ467" i="28"/>
  <c r="BI467" i="28"/>
  <c r="BH467" i="28"/>
  <c r="BG467" i="28"/>
  <c r="BF467" i="28"/>
  <c r="BX466" i="28"/>
  <c r="BW466" i="28"/>
  <c r="BV466" i="28"/>
  <c r="BU466" i="28"/>
  <c r="BT466" i="28"/>
  <c r="BS466" i="28"/>
  <c r="BR466" i="28"/>
  <c r="BQ466" i="28"/>
  <c r="BP466" i="28"/>
  <c r="BO466" i="28"/>
  <c r="BN466" i="28"/>
  <c r="BM466" i="28"/>
  <c r="BL466" i="28"/>
  <c r="BK466" i="28"/>
  <c r="BJ466" i="28"/>
  <c r="BI466" i="28"/>
  <c r="BH466" i="28"/>
  <c r="BG466" i="28"/>
  <c r="BF466" i="28"/>
  <c r="BX465" i="28"/>
  <c r="BW465" i="28"/>
  <c r="BV465" i="28"/>
  <c r="BU465" i="28"/>
  <c r="BT465" i="28"/>
  <c r="BS465" i="28"/>
  <c r="BR465" i="28"/>
  <c r="BQ465" i="28"/>
  <c r="BP465" i="28"/>
  <c r="BO465" i="28"/>
  <c r="BN465" i="28"/>
  <c r="BM465" i="28"/>
  <c r="BL465" i="28"/>
  <c r="BK465" i="28"/>
  <c r="BJ465" i="28"/>
  <c r="BI465" i="28"/>
  <c r="BH465" i="28"/>
  <c r="BG465" i="28"/>
  <c r="BF465" i="28"/>
  <c r="BX464" i="28"/>
  <c r="BW464" i="28"/>
  <c r="BV464" i="28"/>
  <c r="BU464" i="28"/>
  <c r="BT464" i="28"/>
  <c r="BS464" i="28"/>
  <c r="BR464" i="28"/>
  <c r="BQ464" i="28"/>
  <c r="BP464" i="28"/>
  <c r="BO464" i="28"/>
  <c r="BN464" i="28"/>
  <c r="BM464" i="28"/>
  <c r="BL464" i="28"/>
  <c r="BK464" i="28"/>
  <c r="BJ464" i="28"/>
  <c r="BI464" i="28"/>
  <c r="BH464" i="28"/>
  <c r="BG464" i="28"/>
  <c r="BF464" i="28"/>
  <c r="BX463" i="28"/>
  <c r="BW463" i="28"/>
  <c r="BV463" i="28"/>
  <c r="BU463" i="28"/>
  <c r="BT463" i="28"/>
  <c r="BS463" i="28"/>
  <c r="BR463" i="28"/>
  <c r="BQ463" i="28"/>
  <c r="BP463" i="28"/>
  <c r="BO463" i="28"/>
  <c r="BN463" i="28"/>
  <c r="BM463" i="28"/>
  <c r="BL463" i="28"/>
  <c r="BK463" i="28"/>
  <c r="BJ463" i="28"/>
  <c r="BI463" i="28"/>
  <c r="BH463" i="28"/>
  <c r="BG463" i="28"/>
  <c r="BF463" i="28"/>
  <c r="BX462" i="28"/>
  <c r="BW462" i="28"/>
  <c r="BV462" i="28"/>
  <c r="BU462" i="28"/>
  <c r="BT462" i="28"/>
  <c r="BS462" i="28"/>
  <c r="BR462" i="28"/>
  <c r="BQ462" i="28"/>
  <c r="BP462" i="28"/>
  <c r="BO462" i="28"/>
  <c r="BN462" i="28"/>
  <c r="BM462" i="28"/>
  <c r="BL462" i="28"/>
  <c r="BK462" i="28"/>
  <c r="BJ462" i="28"/>
  <c r="BI462" i="28"/>
  <c r="BH462" i="28"/>
  <c r="BG462" i="28"/>
  <c r="BF462" i="28"/>
  <c r="BX461" i="28"/>
  <c r="BW461" i="28"/>
  <c r="BV461" i="28"/>
  <c r="BU461" i="28"/>
  <c r="BT461" i="28"/>
  <c r="BS461" i="28"/>
  <c r="BR461" i="28"/>
  <c r="BQ461" i="28"/>
  <c r="BP461" i="28"/>
  <c r="BO461" i="28"/>
  <c r="BN461" i="28"/>
  <c r="BM461" i="28"/>
  <c r="BL461" i="28"/>
  <c r="BK461" i="28"/>
  <c r="BJ461" i="28"/>
  <c r="BI461" i="28"/>
  <c r="BH461" i="28"/>
  <c r="BG461" i="28"/>
  <c r="BF461" i="28"/>
  <c r="BX460" i="28"/>
  <c r="BW460" i="28"/>
  <c r="BV460" i="28"/>
  <c r="BU460" i="28"/>
  <c r="BT460" i="28"/>
  <c r="BS460" i="28"/>
  <c r="BR460" i="28"/>
  <c r="BQ460" i="28"/>
  <c r="BP460" i="28"/>
  <c r="BO460" i="28"/>
  <c r="BN460" i="28"/>
  <c r="BM460" i="28"/>
  <c r="BL460" i="28"/>
  <c r="BK460" i="28"/>
  <c r="BJ460" i="28"/>
  <c r="BI460" i="28"/>
  <c r="BH460" i="28"/>
  <c r="BG460" i="28"/>
  <c r="BF460" i="28"/>
  <c r="BX459" i="28"/>
  <c r="BW459" i="28"/>
  <c r="BV459" i="28"/>
  <c r="BU459" i="28"/>
  <c r="BT459" i="28"/>
  <c r="BS459" i="28"/>
  <c r="BR459" i="28"/>
  <c r="BQ459" i="28"/>
  <c r="BP459" i="28"/>
  <c r="BO459" i="28"/>
  <c r="BN459" i="28"/>
  <c r="BM459" i="28"/>
  <c r="BL459" i="28"/>
  <c r="BK459" i="28"/>
  <c r="BJ459" i="28"/>
  <c r="BI459" i="28"/>
  <c r="BH459" i="28"/>
  <c r="BG459" i="28"/>
  <c r="BF459" i="28"/>
  <c r="BX458" i="28"/>
  <c r="BW458" i="28"/>
  <c r="BV458" i="28"/>
  <c r="BU458" i="28"/>
  <c r="BT458" i="28"/>
  <c r="BS458" i="28"/>
  <c r="BR458" i="28"/>
  <c r="BQ458" i="28"/>
  <c r="BP458" i="28"/>
  <c r="BO458" i="28"/>
  <c r="BN458" i="28"/>
  <c r="BM458" i="28"/>
  <c r="BL458" i="28"/>
  <c r="BK458" i="28"/>
  <c r="BJ458" i="28"/>
  <c r="BI458" i="28"/>
  <c r="BH458" i="28"/>
  <c r="BG458" i="28"/>
  <c r="BF458" i="28"/>
  <c r="BX457" i="28"/>
  <c r="BW457" i="28"/>
  <c r="BV457" i="28"/>
  <c r="BU457" i="28"/>
  <c r="BT457" i="28"/>
  <c r="BS457" i="28"/>
  <c r="BR457" i="28"/>
  <c r="BQ457" i="28"/>
  <c r="BP457" i="28"/>
  <c r="BO457" i="28"/>
  <c r="BN457" i="28"/>
  <c r="BM457" i="28"/>
  <c r="BL457" i="28"/>
  <c r="BK457" i="28"/>
  <c r="BJ457" i="28"/>
  <c r="BI457" i="28"/>
  <c r="BH457" i="28"/>
  <c r="BG457" i="28"/>
  <c r="BF457" i="28"/>
  <c r="BX456" i="28"/>
  <c r="BW456" i="28"/>
  <c r="BV456" i="28"/>
  <c r="BU456" i="28"/>
  <c r="BT456" i="28"/>
  <c r="BS456" i="28"/>
  <c r="BR456" i="28"/>
  <c r="BQ456" i="28"/>
  <c r="BP456" i="28"/>
  <c r="BO456" i="28"/>
  <c r="BN456" i="28"/>
  <c r="BM456" i="28"/>
  <c r="BL456" i="28"/>
  <c r="BK456" i="28"/>
  <c r="BJ456" i="28"/>
  <c r="BI456" i="28"/>
  <c r="BH456" i="28"/>
  <c r="BG456" i="28"/>
  <c r="BF456" i="28"/>
  <c r="BX455" i="28"/>
  <c r="BW455" i="28"/>
  <c r="BV455" i="28"/>
  <c r="BU455" i="28"/>
  <c r="BT455" i="28"/>
  <c r="BS455" i="28"/>
  <c r="BR455" i="28"/>
  <c r="BQ455" i="28"/>
  <c r="BP455" i="28"/>
  <c r="BO455" i="28"/>
  <c r="BN455" i="28"/>
  <c r="BM455" i="28"/>
  <c r="BL455" i="28"/>
  <c r="BK455" i="28"/>
  <c r="BJ455" i="28"/>
  <c r="BI455" i="28"/>
  <c r="BH455" i="28"/>
  <c r="BG455" i="28"/>
  <c r="BF455" i="28"/>
  <c r="BX454" i="28"/>
  <c r="BW454" i="28"/>
  <c r="BV454" i="28"/>
  <c r="BU454" i="28"/>
  <c r="BT454" i="28"/>
  <c r="BS454" i="28"/>
  <c r="BR454" i="28"/>
  <c r="BQ454" i="28"/>
  <c r="BP454" i="28"/>
  <c r="BO454" i="28"/>
  <c r="BN454" i="28"/>
  <c r="BM454" i="28"/>
  <c r="BL454" i="28"/>
  <c r="BK454" i="28"/>
  <c r="BJ454" i="28"/>
  <c r="BI454" i="28"/>
  <c r="BH454" i="28"/>
  <c r="BG454" i="28"/>
  <c r="BF454" i="28"/>
  <c r="BX453" i="28"/>
  <c r="BW453" i="28"/>
  <c r="BV453" i="28"/>
  <c r="BU453" i="28"/>
  <c r="BT453" i="28"/>
  <c r="BS453" i="28"/>
  <c r="BR453" i="28"/>
  <c r="BQ453" i="28"/>
  <c r="BP453" i="28"/>
  <c r="BO453" i="28"/>
  <c r="BN453" i="28"/>
  <c r="BM453" i="28"/>
  <c r="BL453" i="28"/>
  <c r="BK453" i="28"/>
  <c r="BJ453" i="28"/>
  <c r="BI453" i="28"/>
  <c r="BH453" i="28"/>
  <c r="BG453" i="28"/>
  <c r="BF453" i="28"/>
  <c r="BX452" i="28"/>
  <c r="BW452" i="28"/>
  <c r="BV452" i="28"/>
  <c r="BU452" i="28"/>
  <c r="BT452" i="28"/>
  <c r="BS452" i="28"/>
  <c r="BR452" i="28"/>
  <c r="BQ452" i="28"/>
  <c r="BP452" i="28"/>
  <c r="BO452" i="28"/>
  <c r="BN452" i="28"/>
  <c r="BM452" i="28"/>
  <c r="BL452" i="28"/>
  <c r="BK452" i="28"/>
  <c r="BJ452" i="28"/>
  <c r="BI452" i="28"/>
  <c r="BH452" i="28"/>
  <c r="BG452" i="28"/>
  <c r="BF452" i="28"/>
  <c r="BX451" i="28"/>
  <c r="BW451" i="28"/>
  <c r="BV451" i="28"/>
  <c r="BU451" i="28"/>
  <c r="BT451" i="28"/>
  <c r="BS451" i="28"/>
  <c r="BR451" i="28"/>
  <c r="BQ451" i="28"/>
  <c r="BP451" i="28"/>
  <c r="BO451" i="28"/>
  <c r="BN451" i="28"/>
  <c r="BM451" i="28"/>
  <c r="BL451" i="28"/>
  <c r="BK451" i="28"/>
  <c r="BJ451" i="28"/>
  <c r="BI451" i="28"/>
  <c r="BH451" i="28"/>
  <c r="BG451" i="28"/>
  <c r="BF451" i="28"/>
  <c r="BX450" i="28"/>
  <c r="BW450" i="28"/>
  <c r="BV450" i="28"/>
  <c r="BU450" i="28"/>
  <c r="BT450" i="28"/>
  <c r="BS450" i="28"/>
  <c r="BR450" i="28"/>
  <c r="BQ450" i="28"/>
  <c r="BP450" i="28"/>
  <c r="BO450" i="28"/>
  <c r="BN450" i="28"/>
  <c r="BM450" i="28"/>
  <c r="BL450" i="28"/>
  <c r="BK450" i="28"/>
  <c r="BJ450" i="28"/>
  <c r="BI450" i="28"/>
  <c r="BH450" i="28"/>
  <c r="BG450" i="28"/>
  <c r="BF450" i="28"/>
  <c r="BX449" i="28"/>
  <c r="BW449" i="28"/>
  <c r="BV449" i="28"/>
  <c r="BU449" i="28"/>
  <c r="BT449" i="28"/>
  <c r="BS449" i="28"/>
  <c r="BR449" i="28"/>
  <c r="BQ449" i="28"/>
  <c r="BP449" i="28"/>
  <c r="BO449" i="28"/>
  <c r="BN449" i="28"/>
  <c r="BM449" i="28"/>
  <c r="BL449" i="28"/>
  <c r="BK449" i="28"/>
  <c r="BJ449" i="28"/>
  <c r="BI449" i="28"/>
  <c r="BH449" i="28"/>
  <c r="BG449" i="28"/>
  <c r="BF449" i="28"/>
  <c r="BX448" i="28"/>
  <c r="BW448" i="28"/>
  <c r="BV448" i="28"/>
  <c r="BU448" i="28"/>
  <c r="BT448" i="28"/>
  <c r="BS448" i="28"/>
  <c r="BR448" i="28"/>
  <c r="BQ448" i="28"/>
  <c r="BP448" i="28"/>
  <c r="BO448" i="28"/>
  <c r="BN448" i="28"/>
  <c r="BM448" i="28"/>
  <c r="BL448" i="28"/>
  <c r="BK448" i="28"/>
  <c r="BJ448" i="28"/>
  <c r="BI448" i="28"/>
  <c r="BH448" i="28"/>
  <c r="BG448" i="28"/>
  <c r="BF448" i="28"/>
  <c r="BX447" i="28"/>
  <c r="BW447" i="28"/>
  <c r="BV447" i="28"/>
  <c r="BU447" i="28"/>
  <c r="BT447" i="28"/>
  <c r="BS447" i="28"/>
  <c r="BR447" i="28"/>
  <c r="BQ447" i="28"/>
  <c r="BP447" i="28"/>
  <c r="BO447" i="28"/>
  <c r="BN447" i="28"/>
  <c r="BM447" i="28"/>
  <c r="BL447" i="28"/>
  <c r="BK447" i="28"/>
  <c r="BJ447" i="28"/>
  <c r="BI447" i="28"/>
  <c r="BH447" i="28"/>
  <c r="BG447" i="28"/>
  <c r="BF447" i="28"/>
  <c r="BX446" i="28"/>
  <c r="BW446" i="28"/>
  <c r="BV446" i="28"/>
  <c r="BU446" i="28"/>
  <c r="BT446" i="28"/>
  <c r="BS446" i="28"/>
  <c r="BR446" i="28"/>
  <c r="BQ446" i="28"/>
  <c r="BP446" i="28"/>
  <c r="BO446" i="28"/>
  <c r="BN446" i="28"/>
  <c r="BM446" i="28"/>
  <c r="BL446" i="28"/>
  <c r="BK446" i="28"/>
  <c r="BJ446" i="28"/>
  <c r="BI446" i="28"/>
  <c r="BH446" i="28"/>
  <c r="BG446" i="28"/>
  <c r="BF446" i="28"/>
  <c r="BX445" i="28"/>
  <c r="BW445" i="28"/>
  <c r="BV445" i="28"/>
  <c r="BU445" i="28"/>
  <c r="BT445" i="28"/>
  <c r="BS445" i="28"/>
  <c r="BR445" i="28"/>
  <c r="BQ445" i="28"/>
  <c r="BP445" i="28"/>
  <c r="BO445" i="28"/>
  <c r="BN445" i="28"/>
  <c r="BM445" i="28"/>
  <c r="BL445" i="28"/>
  <c r="BK445" i="28"/>
  <c r="BJ445" i="28"/>
  <c r="BI445" i="28"/>
  <c r="BH445" i="28"/>
  <c r="BG445" i="28"/>
  <c r="BF445" i="28"/>
  <c r="BX444" i="28"/>
  <c r="BW444" i="28"/>
  <c r="BV444" i="28"/>
  <c r="BU444" i="28"/>
  <c r="BT444" i="28"/>
  <c r="BS444" i="28"/>
  <c r="BR444" i="28"/>
  <c r="BQ444" i="28"/>
  <c r="BP444" i="28"/>
  <c r="BO444" i="28"/>
  <c r="BN444" i="28"/>
  <c r="BM444" i="28"/>
  <c r="BL444" i="28"/>
  <c r="BK444" i="28"/>
  <c r="BJ444" i="28"/>
  <c r="BI444" i="28"/>
  <c r="BH444" i="28"/>
  <c r="BG444" i="28"/>
  <c r="BF444" i="28"/>
  <c r="BX443" i="28"/>
  <c r="BW443" i="28"/>
  <c r="BV443" i="28"/>
  <c r="BU443" i="28"/>
  <c r="BT443" i="28"/>
  <c r="BS443" i="28"/>
  <c r="BR443" i="28"/>
  <c r="BQ443" i="28"/>
  <c r="BP443" i="28"/>
  <c r="BO443" i="28"/>
  <c r="BN443" i="28"/>
  <c r="BM443" i="28"/>
  <c r="BL443" i="28"/>
  <c r="BK443" i="28"/>
  <c r="BJ443" i="28"/>
  <c r="BI443" i="28"/>
  <c r="BH443" i="28"/>
  <c r="BG443" i="28"/>
  <c r="BF443" i="28"/>
  <c r="BX442" i="28"/>
  <c r="BW442" i="28"/>
  <c r="BV442" i="28"/>
  <c r="BU442" i="28"/>
  <c r="BT442" i="28"/>
  <c r="BS442" i="28"/>
  <c r="BR442" i="28"/>
  <c r="BQ442" i="28"/>
  <c r="BP442" i="28"/>
  <c r="BO442" i="28"/>
  <c r="BN442" i="28"/>
  <c r="BM442" i="28"/>
  <c r="BL442" i="28"/>
  <c r="BK442" i="28"/>
  <c r="BJ442" i="28"/>
  <c r="BI442" i="28"/>
  <c r="BH442" i="28"/>
  <c r="BG442" i="28"/>
  <c r="BF442" i="28"/>
  <c r="BX441" i="28"/>
  <c r="BW441" i="28"/>
  <c r="BV441" i="28"/>
  <c r="BU441" i="28"/>
  <c r="BT441" i="28"/>
  <c r="BS441" i="28"/>
  <c r="BR441" i="28"/>
  <c r="BQ441" i="28"/>
  <c r="BP441" i="28"/>
  <c r="BO441" i="28"/>
  <c r="BN441" i="28"/>
  <c r="BM441" i="28"/>
  <c r="BL441" i="28"/>
  <c r="BK441" i="28"/>
  <c r="BJ441" i="28"/>
  <c r="BI441" i="28"/>
  <c r="BH441" i="28"/>
  <c r="BG441" i="28"/>
  <c r="BF441" i="28"/>
  <c r="BX440" i="28"/>
  <c r="BW440" i="28"/>
  <c r="BV440" i="28"/>
  <c r="BU440" i="28"/>
  <c r="BT440" i="28"/>
  <c r="BS440" i="28"/>
  <c r="BR440" i="28"/>
  <c r="BQ440" i="28"/>
  <c r="BP440" i="28"/>
  <c r="BO440" i="28"/>
  <c r="BN440" i="28"/>
  <c r="BM440" i="28"/>
  <c r="BL440" i="28"/>
  <c r="BK440" i="28"/>
  <c r="BJ440" i="28"/>
  <c r="BI440" i="28"/>
  <c r="BH440" i="28"/>
  <c r="BG440" i="28"/>
  <c r="BF440" i="28"/>
  <c r="BX439" i="28"/>
  <c r="BW439" i="28"/>
  <c r="BV439" i="28"/>
  <c r="BU439" i="28"/>
  <c r="BT439" i="28"/>
  <c r="BS439" i="28"/>
  <c r="BR439" i="28"/>
  <c r="BQ439" i="28"/>
  <c r="BP439" i="28"/>
  <c r="BO439" i="28"/>
  <c r="BN439" i="28"/>
  <c r="BM439" i="28"/>
  <c r="BL439" i="28"/>
  <c r="BK439" i="28"/>
  <c r="BJ439" i="28"/>
  <c r="BI439" i="28"/>
  <c r="BH439" i="28"/>
  <c r="BG439" i="28"/>
  <c r="BF439" i="28"/>
  <c r="BX438" i="28"/>
  <c r="BW438" i="28"/>
  <c r="BV438" i="28"/>
  <c r="BU438" i="28"/>
  <c r="BT438" i="28"/>
  <c r="BS438" i="28"/>
  <c r="BR438" i="28"/>
  <c r="BQ438" i="28"/>
  <c r="BP438" i="28"/>
  <c r="BO438" i="28"/>
  <c r="BN438" i="28"/>
  <c r="BM438" i="28"/>
  <c r="BL438" i="28"/>
  <c r="BK438" i="28"/>
  <c r="BJ438" i="28"/>
  <c r="BI438" i="28"/>
  <c r="BH438" i="28"/>
  <c r="BG438" i="28"/>
  <c r="BF438" i="28"/>
  <c r="BX437" i="28"/>
  <c r="BW437" i="28"/>
  <c r="BV437" i="28"/>
  <c r="BU437" i="28"/>
  <c r="BT437" i="28"/>
  <c r="BS437" i="28"/>
  <c r="BR437" i="28"/>
  <c r="BQ437" i="28"/>
  <c r="BP437" i="28"/>
  <c r="BO437" i="28"/>
  <c r="BN437" i="28"/>
  <c r="BM437" i="28"/>
  <c r="BL437" i="28"/>
  <c r="BK437" i="28"/>
  <c r="BJ437" i="28"/>
  <c r="BI437" i="28"/>
  <c r="BH437" i="28"/>
  <c r="BG437" i="28"/>
  <c r="BF437" i="28"/>
  <c r="BX436" i="28"/>
  <c r="BW436" i="28"/>
  <c r="BV436" i="28"/>
  <c r="BU436" i="28"/>
  <c r="BT436" i="28"/>
  <c r="BS436" i="28"/>
  <c r="BR436" i="28"/>
  <c r="BQ436" i="28"/>
  <c r="BP436" i="28"/>
  <c r="BO436" i="28"/>
  <c r="BN436" i="28"/>
  <c r="BM436" i="28"/>
  <c r="BL436" i="28"/>
  <c r="BK436" i="28"/>
  <c r="BJ436" i="28"/>
  <c r="BI436" i="28"/>
  <c r="BH436" i="28"/>
  <c r="BG436" i="28"/>
  <c r="BF436" i="28"/>
  <c r="BX435" i="28"/>
  <c r="BW435" i="28"/>
  <c r="BV435" i="28"/>
  <c r="BU435" i="28"/>
  <c r="BT435" i="28"/>
  <c r="BS435" i="28"/>
  <c r="BR435" i="28"/>
  <c r="BQ435" i="28"/>
  <c r="BP435" i="28"/>
  <c r="BO435" i="28"/>
  <c r="BN435" i="28"/>
  <c r="BM435" i="28"/>
  <c r="BL435" i="28"/>
  <c r="BK435" i="28"/>
  <c r="BJ435" i="28"/>
  <c r="BI435" i="28"/>
  <c r="BH435" i="28"/>
  <c r="BG435" i="28"/>
  <c r="BF435" i="28"/>
  <c r="BX434" i="28"/>
  <c r="BW434" i="28"/>
  <c r="BV434" i="28"/>
  <c r="BU434" i="28"/>
  <c r="BT434" i="28"/>
  <c r="BS434" i="28"/>
  <c r="BR434" i="28"/>
  <c r="BQ434" i="28"/>
  <c r="BP434" i="28"/>
  <c r="BO434" i="28"/>
  <c r="BN434" i="28"/>
  <c r="BM434" i="28"/>
  <c r="BL434" i="28"/>
  <c r="BK434" i="28"/>
  <c r="BJ434" i="28"/>
  <c r="BI434" i="28"/>
  <c r="BH434" i="28"/>
  <c r="BG434" i="28"/>
  <c r="BF434" i="28"/>
  <c r="BX433" i="28"/>
  <c r="BW433" i="28"/>
  <c r="BV433" i="28"/>
  <c r="BU433" i="28"/>
  <c r="BT433" i="28"/>
  <c r="BS433" i="28"/>
  <c r="BR433" i="28"/>
  <c r="BQ433" i="28"/>
  <c r="BP433" i="28"/>
  <c r="BO433" i="28"/>
  <c r="BN433" i="28"/>
  <c r="BM433" i="28"/>
  <c r="BL433" i="28"/>
  <c r="BK433" i="28"/>
  <c r="BJ433" i="28"/>
  <c r="BI433" i="28"/>
  <c r="BH433" i="28"/>
  <c r="BG433" i="28"/>
  <c r="BF433" i="28"/>
  <c r="BX432" i="28"/>
  <c r="BW432" i="28"/>
  <c r="BV432" i="28"/>
  <c r="BU432" i="28"/>
  <c r="BT432" i="28"/>
  <c r="BS432" i="28"/>
  <c r="BR432" i="28"/>
  <c r="BQ432" i="28"/>
  <c r="BP432" i="28"/>
  <c r="BO432" i="28"/>
  <c r="BN432" i="28"/>
  <c r="BM432" i="28"/>
  <c r="BL432" i="28"/>
  <c r="BK432" i="28"/>
  <c r="BJ432" i="28"/>
  <c r="BI432" i="28"/>
  <c r="BH432" i="28"/>
  <c r="BG432" i="28"/>
  <c r="BF432" i="28"/>
  <c r="BX431" i="28"/>
  <c r="BW431" i="28"/>
  <c r="BV431" i="28"/>
  <c r="BU431" i="28"/>
  <c r="BT431" i="28"/>
  <c r="BS431" i="28"/>
  <c r="BR431" i="28"/>
  <c r="BQ431" i="28"/>
  <c r="BP431" i="28"/>
  <c r="BO431" i="28"/>
  <c r="BN431" i="28"/>
  <c r="BM431" i="28"/>
  <c r="BL431" i="28"/>
  <c r="BK431" i="28"/>
  <c r="BJ431" i="28"/>
  <c r="BI431" i="28"/>
  <c r="BH431" i="28"/>
  <c r="BG431" i="28"/>
  <c r="BF431" i="28"/>
  <c r="BX430" i="28"/>
  <c r="BW430" i="28"/>
  <c r="BV430" i="28"/>
  <c r="BU430" i="28"/>
  <c r="BT430" i="28"/>
  <c r="BS430" i="28"/>
  <c r="BR430" i="28"/>
  <c r="BQ430" i="28"/>
  <c r="BP430" i="28"/>
  <c r="BO430" i="28"/>
  <c r="BN430" i="28"/>
  <c r="BM430" i="28"/>
  <c r="BL430" i="28"/>
  <c r="BK430" i="28"/>
  <c r="BJ430" i="28"/>
  <c r="BI430" i="28"/>
  <c r="BH430" i="28"/>
  <c r="BG430" i="28"/>
  <c r="BF430" i="28"/>
  <c r="BX429" i="28"/>
  <c r="BW429" i="28"/>
  <c r="BV429" i="28"/>
  <c r="BU429" i="28"/>
  <c r="BT429" i="28"/>
  <c r="BS429" i="28"/>
  <c r="BR429" i="28"/>
  <c r="BQ429" i="28"/>
  <c r="BP429" i="28"/>
  <c r="BO429" i="28"/>
  <c r="BN429" i="28"/>
  <c r="BM429" i="28"/>
  <c r="BL429" i="28"/>
  <c r="BK429" i="28"/>
  <c r="BJ429" i="28"/>
  <c r="BI429" i="28"/>
  <c r="BH429" i="28"/>
  <c r="BG429" i="28"/>
  <c r="BF429" i="28"/>
  <c r="BX428" i="28"/>
  <c r="BW428" i="28"/>
  <c r="BV428" i="28"/>
  <c r="BU428" i="28"/>
  <c r="BT428" i="28"/>
  <c r="BS428" i="28"/>
  <c r="BR428" i="28"/>
  <c r="BQ428" i="28"/>
  <c r="BP428" i="28"/>
  <c r="BO428" i="28"/>
  <c r="BN428" i="28"/>
  <c r="BM428" i="28"/>
  <c r="BL428" i="28"/>
  <c r="BK428" i="28"/>
  <c r="BJ428" i="28"/>
  <c r="BI428" i="28"/>
  <c r="BH428" i="28"/>
  <c r="BG428" i="28"/>
  <c r="BF428" i="28"/>
  <c r="BX427" i="28"/>
  <c r="BW427" i="28"/>
  <c r="BV427" i="28"/>
  <c r="BU427" i="28"/>
  <c r="BT427" i="28"/>
  <c r="BS427" i="28"/>
  <c r="BR427" i="28"/>
  <c r="BQ427" i="28"/>
  <c r="BP427" i="28"/>
  <c r="BO427" i="28"/>
  <c r="BN427" i="28"/>
  <c r="BM427" i="28"/>
  <c r="BL427" i="28"/>
  <c r="BK427" i="28"/>
  <c r="BJ427" i="28"/>
  <c r="BI427" i="28"/>
  <c r="BH427" i="28"/>
  <c r="BG427" i="28"/>
  <c r="BF427" i="28"/>
  <c r="BX426" i="28"/>
  <c r="BW426" i="28"/>
  <c r="BV426" i="28"/>
  <c r="BU426" i="28"/>
  <c r="BT426" i="28"/>
  <c r="BS426" i="28"/>
  <c r="BR426" i="28"/>
  <c r="BQ426" i="28"/>
  <c r="BP426" i="28"/>
  <c r="BO426" i="28"/>
  <c r="BN426" i="28"/>
  <c r="BM426" i="28"/>
  <c r="BL426" i="28"/>
  <c r="BK426" i="28"/>
  <c r="BJ426" i="28"/>
  <c r="BI426" i="28"/>
  <c r="BH426" i="28"/>
  <c r="BG426" i="28"/>
  <c r="BF426" i="28"/>
  <c r="BX425" i="28"/>
  <c r="BW425" i="28"/>
  <c r="BV425" i="28"/>
  <c r="BU425" i="28"/>
  <c r="BT425" i="28"/>
  <c r="BS425" i="28"/>
  <c r="BR425" i="28"/>
  <c r="BQ425" i="28"/>
  <c r="BP425" i="28"/>
  <c r="BO425" i="28"/>
  <c r="BN425" i="28"/>
  <c r="BM425" i="28"/>
  <c r="BL425" i="28"/>
  <c r="BK425" i="28"/>
  <c r="BJ425" i="28"/>
  <c r="BI425" i="28"/>
  <c r="BH425" i="28"/>
  <c r="BG425" i="28"/>
  <c r="BF425" i="28"/>
  <c r="BX424" i="28"/>
  <c r="BW424" i="28"/>
  <c r="BV424" i="28"/>
  <c r="BU424" i="28"/>
  <c r="BT424" i="28"/>
  <c r="BS424" i="28"/>
  <c r="BR424" i="28"/>
  <c r="BQ424" i="28"/>
  <c r="BP424" i="28"/>
  <c r="BO424" i="28"/>
  <c r="BN424" i="28"/>
  <c r="BM424" i="28"/>
  <c r="BL424" i="28"/>
  <c r="BK424" i="28"/>
  <c r="BJ424" i="28"/>
  <c r="BI424" i="28"/>
  <c r="BH424" i="28"/>
  <c r="BG424" i="28"/>
  <c r="BF424" i="28"/>
  <c r="BX423" i="28"/>
  <c r="BW423" i="28"/>
  <c r="BV423" i="28"/>
  <c r="BU423" i="28"/>
  <c r="BT423" i="28"/>
  <c r="BS423" i="28"/>
  <c r="BR423" i="28"/>
  <c r="BQ423" i="28"/>
  <c r="BP423" i="28"/>
  <c r="BO423" i="28"/>
  <c r="BN423" i="28"/>
  <c r="BM423" i="28"/>
  <c r="BL423" i="28"/>
  <c r="BK423" i="28"/>
  <c r="BJ423" i="28"/>
  <c r="BI423" i="28"/>
  <c r="BH423" i="28"/>
  <c r="BG423" i="28"/>
  <c r="BF423" i="28"/>
  <c r="BX422" i="28"/>
  <c r="BW422" i="28"/>
  <c r="BV422" i="28"/>
  <c r="BU422" i="28"/>
  <c r="BT422" i="28"/>
  <c r="BS422" i="28"/>
  <c r="BR422" i="28"/>
  <c r="BQ422" i="28"/>
  <c r="BP422" i="28"/>
  <c r="BO422" i="28"/>
  <c r="BN422" i="28"/>
  <c r="BM422" i="28"/>
  <c r="BL422" i="28"/>
  <c r="BK422" i="28"/>
  <c r="BJ422" i="28"/>
  <c r="BI422" i="28"/>
  <c r="BH422" i="28"/>
  <c r="BG422" i="28"/>
  <c r="BF422" i="28"/>
  <c r="BX421" i="28"/>
  <c r="BW421" i="28"/>
  <c r="BV421" i="28"/>
  <c r="BU421" i="28"/>
  <c r="BT421" i="28"/>
  <c r="BS421" i="28"/>
  <c r="BR421" i="28"/>
  <c r="BQ421" i="28"/>
  <c r="BP421" i="28"/>
  <c r="BO421" i="28"/>
  <c r="BN421" i="28"/>
  <c r="BM421" i="28"/>
  <c r="BL421" i="28"/>
  <c r="BK421" i="28"/>
  <c r="BJ421" i="28"/>
  <c r="BI421" i="28"/>
  <c r="BH421" i="28"/>
  <c r="BG421" i="28"/>
  <c r="BF421" i="28"/>
  <c r="BX420" i="28"/>
  <c r="BW420" i="28"/>
  <c r="BV420" i="28"/>
  <c r="BU420" i="28"/>
  <c r="BT420" i="28"/>
  <c r="BS420" i="28"/>
  <c r="BR420" i="28"/>
  <c r="BQ420" i="28"/>
  <c r="BP420" i="28"/>
  <c r="BO420" i="28"/>
  <c r="BN420" i="28"/>
  <c r="BM420" i="28"/>
  <c r="BL420" i="28"/>
  <c r="BK420" i="28"/>
  <c r="BJ420" i="28"/>
  <c r="BI420" i="28"/>
  <c r="BH420" i="28"/>
  <c r="BG420" i="28"/>
  <c r="BF420" i="28"/>
  <c r="BX419" i="28"/>
  <c r="BW419" i="28"/>
  <c r="BV419" i="28"/>
  <c r="BU419" i="28"/>
  <c r="BT419" i="28"/>
  <c r="BS419" i="28"/>
  <c r="BR419" i="28"/>
  <c r="BQ419" i="28"/>
  <c r="BP419" i="28"/>
  <c r="BO419" i="28"/>
  <c r="BN419" i="28"/>
  <c r="BM419" i="28"/>
  <c r="BL419" i="28"/>
  <c r="BK419" i="28"/>
  <c r="BJ419" i="28"/>
  <c r="BI419" i="28"/>
  <c r="BH419" i="28"/>
  <c r="BG419" i="28"/>
  <c r="BF419" i="28"/>
  <c r="BX418" i="28"/>
  <c r="BW418" i="28"/>
  <c r="BV418" i="28"/>
  <c r="BU418" i="28"/>
  <c r="BT418" i="28"/>
  <c r="BS418" i="28"/>
  <c r="BR418" i="28"/>
  <c r="BQ418" i="28"/>
  <c r="BP418" i="28"/>
  <c r="BO418" i="28"/>
  <c r="BN418" i="28"/>
  <c r="BM418" i="28"/>
  <c r="BL418" i="28"/>
  <c r="BK418" i="28"/>
  <c r="BJ418" i="28"/>
  <c r="BI418" i="28"/>
  <c r="BH418" i="28"/>
  <c r="BG418" i="28"/>
  <c r="BF418" i="28"/>
  <c r="BX417" i="28"/>
  <c r="BW417" i="28"/>
  <c r="BV417" i="28"/>
  <c r="BU417" i="28"/>
  <c r="BT417" i="28"/>
  <c r="BS417" i="28"/>
  <c r="BR417" i="28"/>
  <c r="BQ417" i="28"/>
  <c r="BP417" i="28"/>
  <c r="BO417" i="28"/>
  <c r="BN417" i="28"/>
  <c r="BM417" i="28"/>
  <c r="BL417" i="28"/>
  <c r="BK417" i="28"/>
  <c r="BJ417" i="28"/>
  <c r="BI417" i="28"/>
  <c r="BH417" i="28"/>
  <c r="BG417" i="28"/>
  <c r="BF417" i="28"/>
  <c r="BX416" i="28"/>
  <c r="BW416" i="28"/>
  <c r="BV416" i="28"/>
  <c r="BU416" i="28"/>
  <c r="BT416" i="28"/>
  <c r="BS416" i="28"/>
  <c r="BR416" i="28"/>
  <c r="BQ416" i="28"/>
  <c r="BP416" i="28"/>
  <c r="BO416" i="28"/>
  <c r="BN416" i="28"/>
  <c r="BM416" i="28"/>
  <c r="BL416" i="28"/>
  <c r="BK416" i="28"/>
  <c r="BJ416" i="28"/>
  <c r="BI416" i="28"/>
  <c r="BH416" i="28"/>
  <c r="BG416" i="28"/>
  <c r="BF416" i="28"/>
  <c r="BX415" i="28"/>
  <c r="BW415" i="28"/>
  <c r="BV415" i="28"/>
  <c r="BU415" i="28"/>
  <c r="BT415" i="28"/>
  <c r="BS415" i="28"/>
  <c r="BR415" i="28"/>
  <c r="BQ415" i="28"/>
  <c r="BP415" i="28"/>
  <c r="BO415" i="28"/>
  <c r="BN415" i="28"/>
  <c r="BM415" i="28"/>
  <c r="BL415" i="28"/>
  <c r="BK415" i="28"/>
  <c r="BJ415" i="28"/>
  <c r="BI415" i="28"/>
  <c r="BH415" i="28"/>
  <c r="BG415" i="28"/>
  <c r="BF415" i="28"/>
  <c r="BX414" i="28"/>
  <c r="BW414" i="28"/>
  <c r="BV414" i="28"/>
  <c r="BU414" i="28"/>
  <c r="BT414" i="28"/>
  <c r="BS414" i="28"/>
  <c r="BR414" i="28"/>
  <c r="BQ414" i="28"/>
  <c r="BP414" i="28"/>
  <c r="BO414" i="28"/>
  <c r="BN414" i="28"/>
  <c r="BM414" i="28"/>
  <c r="BL414" i="28"/>
  <c r="BK414" i="28"/>
  <c r="BJ414" i="28"/>
  <c r="BI414" i="28"/>
  <c r="BH414" i="28"/>
  <c r="BG414" i="28"/>
  <c r="BF414" i="28"/>
  <c r="BX413" i="28"/>
  <c r="BW413" i="28"/>
  <c r="BV413" i="28"/>
  <c r="BU413" i="28"/>
  <c r="BT413" i="28"/>
  <c r="BS413" i="28"/>
  <c r="BR413" i="28"/>
  <c r="BQ413" i="28"/>
  <c r="BP413" i="28"/>
  <c r="BO413" i="28"/>
  <c r="BN413" i="28"/>
  <c r="BM413" i="28"/>
  <c r="BL413" i="28"/>
  <c r="BK413" i="28"/>
  <c r="BJ413" i="28"/>
  <c r="BI413" i="28"/>
  <c r="BH413" i="28"/>
  <c r="BG413" i="28"/>
  <c r="BF413" i="28"/>
  <c r="BX412" i="28"/>
  <c r="BW412" i="28"/>
  <c r="BV412" i="28"/>
  <c r="BU412" i="28"/>
  <c r="BT412" i="28"/>
  <c r="BS412" i="28"/>
  <c r="BR412" i="28"/>
  <c r="BQ412" i="28"/>
  <c r="BP412" i="28"/>
  <c r="BO412" i="28"/>
  <c r="BN412" i="28"/>
  <c r="BM412" i="28"/>
  <c r="BL412" i="28"/>
  <c r="BK412" i="28"/>
  <c r="BJ412" i="28"/>
  <c r="BI412" i="28"/>
  <c r="BH412" i="28"/>
  <c r="BG412" i="28"/>
  <c r="BF412" i="28"/>
  <c r="BX411" i="28"/>
  <c r="BW411" i="28"/>
  <c r="BV411" i="28"/>
  <c r="BU411" i="28"/>
  <c r="BT411" i="28"/>
  <c r="BS411" i="28"/>
  <c r="BR411" i="28"/>
  <c r="BQ411" i="28"/>
  <c r="BP411" i="28"/>
  <c r="BO411" i="28"/>
  <c r="BN411" i="28"/>
  <c r="BM411" i="28"/>
  <c r="BL411" i="28"/>
  <c r="BK411" i="28"/>
  <c r="BJ411" i="28"/>
  <c r="BI411" i="28"/>
  <c r="BH411" i="28"/>
  <c r="BG411" i="28"/>
  <c r="BF411" i="28"/>
  <c r="BX410" i="28"/>
  <c r="BW410" i="28"/>
  <c r="BV410" i="28"/>
  <c r="BU410" i="28"/>
  <c r="BT410" i="28"/>
  <c r="BS410" i="28"/>
  <c r="BR410" i="28"/>
  <c r="BQ410" i="28"/>
  <c r="BP410" i="28"/>
  <c r="BO410" i="28"/>
  <c r="BN410" i="28"/>
  <c r="BM410" i="28"/>
  <c r="BL410" i="28"/>
  <c r="BK410" i="28"/>
  <c r="BJ410" i="28"/>
  <c r="BI410" i="28"/>
  <c r="BH410" i="28"/>
  <c r="BG410" i="28"/>
  <c r="BF410" i="28"/>
  <c r="BX409" i="28"/>
  <c r="BW409" i="28"/>
  <c r="BV409" i="28"/>
  <c r="BU409" i="28"/>
  <c r="BT409" i="28"/>
  <c r="BS409" i="28"/>
  <c r="BR409" i="28"/>
  <c r="BQ409" i="28"/>
  <c r="BP409" i="28"/>
  <c r="BO409" i="28"/>
  <c r="BN409" i="28"/>
  <c r="BM409" i="28"/>
  <c r="BL409" i="28"/>
  <c r="BK409" i="28"/>
  <c r="BJ409" i="28"/>
  <c r="BI409" i="28"/>
  <c r="BH409" i="28"/>
  <c r="BG409" i="28"/>
  <c r="BF409" i="28"/>
  <c r="BX408" i="28"/>
  <c r="BW408" i="28"/>
  <c r="BV408" i="28"/>
  <c r="BU408" i="28"/>
  <c r="BT408" i="28"/>
  <c r="BS408" i="28"/>
  <c r="BR408" i="28"/>
  <c r="BQ408" i="28"/>
  <c r="BP408" i="28"/>
  <c r="BO408" i="28"/>
  <c r="BN408" i="28"/>
  <c r="BM408" i="28"/>
  <c r="BL408" i="28"/>
  <c r="BK408" i="28"/>
  <c r="BJ408" i="28"/>
  <c r="BI408" i="28"/>
  <c r="BH408" i="28"/>
  <c r="BG408" i="28"/>
  <c r="BF408" i="28"/>
  <c r="BX407" i="28"/>
  <c r="BW407" i="28"/>
  <c r="BV407" i="28"/>
  <c r="BU407" i="28"/>
  <c r="BT407" i="28"/>
  <c r="BS407" i="28"/>
  <c r="BR407" i="28"/>
  <c r="BQ407" i="28"/>
  <c r="BP407" i="28"/>
  <c r="BO407" i="28"/>
  <c r="BN407" i="28"/>
  <c r="BM407" i="28"/>
  <c r="BL407" i="28"/>
  <c r="BK407" i="28"/>
  <c r="BJ407" i="28"/>
  <c r="BI407" i="28"/>
  <c r="BH407" i="28"/>
  <c r="BG407" i="28"/>
  <c r="BF407" i="28"/>
  <c r="BX406" i="28"/>
  <c r="BW406" i="28"/>
  <c r="BV406" i="28"/>
  <c r="BU406" i="28"/>
  <c r="BT406" i="28"/>
  <c r="BS406" i="28"/>
  <c r="BR406" i="28"/>
  <c r="BQ406" i="28"/>
  <c r="BP406" i="28"/>
  <c r="BO406" i="28"/>
  <c r="BN406" i="28"/>
  <c r="BM406" i="28"/>
  <c r="BL406" i="28"/>
  <c r="BK406" i="28"/>
  <c r="BJ406" i="28"/>
  <c r="BI406" i="28"/>
  <c r="BH406" i="28"/>
  <c r="BG406" i="28"/>
  <c r="BF406" i="28"/>
  <c r="BX405" i="28"/>
  <c r="BW405" i="28"/>
  <c r="BV405" i="28"/>
  <c r="BU405" i="28"/>
  <c r="BT405" i="28"/>
  <c r="BS405" i="28"/>
  <c r="BR405" i="28"/>
  <c r="BQ405" i="28"/>
  <c r="BP405" i="28"/>
  <c r="BO405" i="28"/>
  <c r="BN405" i="28"/>
  <c r="BM405" i="28"/>
  <c r="BL405" i="28"/>
  <c r="BK405" i="28"/>
  <c r="BJ405" i="28"/>
  <c r="BI405" i="28"/>
  <c r="BH405" i="28"/>
  <c r="BG405" i="28"/>
  <c r="BF405" i="28"/>
  <c r="BX404" i="28"/>
  <c r="BW404" i="28"/>
  <c r="BV404" i="28"/>
  <c r="BU404" i="28"/>
  <c r="BT404" i="28"/>
  <c r="BS404" i="28"/>
  <c r="BR404" i="28"/>
  <c r="BQ404" i="28"/>
  <c r="BP404" i="28"/>
  <c r="BO404" i="28"/>
  <c r="BN404" i="28"/>
  <c r="BM404" i="28"/>
  <c r="BL404" i="28"/>
  <c r="BK404" i="28"/>
  <c r="BJ404" i="28"/>
  <c r="BI404" i="28"/>
  <c r="BH404" i="28"/>
  <c r="BG404" i="28"/>
  <c r="BF404" i="28"/>
  <c r="BX403" i="28"/>
  <c r="BW403" i="28"/>
  <c r="BV403" i="28"/>
  <c r="BU403" i="28"/>
  <c r="BT403" i="28"/>
  <c r="BS403" i="28"/>
  <c r="BR403" i="28"/>
  <c r="BQ403" i="28"/>
  <c r="BP403" i="28"/>
  <c r="BO403" i="28"/>
  <c r="BN403" i="28"/>
  <c r="BM403" i="28"/>
  <c r="BL403" i="28"/>
  <c r="BK403" i="28"/>
  <c r="BJ403" i="28"/>
  <c r="BI403" i="28"/>
  <c r="BH403" i="28"/>
  <c r="BG403" i="28"/>
  <c r="BF403" i="28"/>
  <c r="BX402" i="28"/>
  <c r="BW402" i="28"/>
  <c r="BV402" i="28"/>
  <c r="BU402" i="28"/>
  <c r="BT402" i="28"/>
  <c r="BS402" i="28"/>
  <c r="BR402" i="28"/>
  <c r="BQ402" i="28"/>
  <c r="BP402" i="28"/>
  <c r="BO402" i="28"/>
  <c r="BN402" i="28"/>
  <c r="BM402" i="28"/>
  <c r="BL402" i="28"/>
  <c r="BK402" i="28"/>
  <c r="BJ402" i="28"/>
  <c r="BI402" i="28"/>
  <c r="BH402" i="28"/>
  <c r="BG402" i="28"/>
  <c r="BF402" i="28"/>
  <c r="BX401" i="28"/>
  <c r="BW401" i="28"/>
  <c r="BV401" i="28"/>
  <c r="BU401" i="28"/>
  <c r="BT401" i="28"/>
  <c r="BS401" i="28"/>
  <c r="BR401" i="28"/>
  <c r="BQ401" i="28"/>
  <c r="BP401" i="28"/>
  <c r="BO401" i="28"/>
  <c r="BN401" i="28"/>
  <c r="BM401" i="28"/>
  <c r="BL401" i="28"/>
  <c r="BK401" i="28"/>
  <c r="BJ401" i="28"/>
  <c r="BI401" i="28"/>
  <c r="BH401" i="28"/>
  <c r="BG401" i="28"/>
  <c r="BF401" i="28"/>
  <c r="BX400" i="28"/>
  <c r="BW400" i="28"/>
  <c r="BV400" i="28"/>
  <c r="BU400" i="28"/>
  <c r="BT400" i="28"/>
  <c r="BS400" i="28"/>
  <c r="BR400" i="28"/>
  <c r="BQ400" i="28"/>
  <c r="BP400" i="28"/>
  <c r="BO400" i="28"/>
  <c r="BN400" i="28"/>
  <c r="BM400" i="28"/>
  <c r="BL400" i="28"/>
  <c r="BK400" i="28"/>
  <c r="BJ400" i="28"/>
  <c r="BI400" i="28"/>
  <c r="BH400" i="28"/>
  <c r="BG400" i="28"/>
  <c r="BF400" i="28"/>
  <c r="BX399" i="28"/>
  <c r="BW399" i="28"/>
  <c r="BV399" i="28"/>
  <c r="BU399" i="28"/>
  <c r="BT399" i="28"/>
  <c r="BS399" i="28"/>
  <c r="BR399" i="28"/>
  <c r="BQ399" i="28"/>
  <c r="BP399" i="28"/>
  <c r="BO399" i="28"/>
  <c r="BN399" i="28"/>
  <c r="BM399" i="28"/>
  <c r="BL399" i="28"/>
  <c r="BK399" i="28"/>
  <c r="BJ399" i="28"/>
  <c r="BI399" i="28"/>
  <c r="BH399" i="28"/>
  <c r="BG399" i="28"/>
  <c r="BF399" i="28"/>
  <c r="BX398" i="28"/>
  <c r="BW398" i="28"/>
  <c r="BV398" i="28"/>
  <c r="BU398" i="28"/>
  <c r="BT398" i="28"/>
  <c r="BS398" i="28"/>
  <c r="BR398" i="28"/>
  <c r="BQ398" i="28"/>
  <c r="BP398" i="28"/>
  <c r="BO398" i="28"/>
  <c r="BN398" i="28"/>
  <c r="BM398" i="28"/>
  <c r="BL398" i="28"/>
  <c r="BK398" i="28"/>
  <c r="BJ398" i="28"/>
  <c r="BI398" i="28"/>
  <c r="BH398" i="28"/>
  <c r="BG398" i="28"/>
  <c r="BF398" i="28"/>
  <c r="BX397" i="28"/>
  <c r="BW397" i="28"/>
  <c r="BV397" i="28"/>
  <c r="BU397" i="28"/>
  <c r="BT397" i="28"/>
  <c r="BS397" i="28"/>
  <c r="BR397" i="28"/>
  <c r="BQ397" i="28"/>
  <c r="BP397" i="28"/>
  <c r="BO397" i="28"/>
  <c r="BN397" i="28"/>
  <c r="BM397" i="28"/>
  <c r="BL397" i="28"/>
  <c r="BK397" i="28"/>
  <c r="BJ397" i="28"/>
  <c r="BI397" i="28"/>
  <c r="BH397" i="28"/>
  <c r="BG397" i="28"/>
  <c r="BF397" i="28"/>
  <c r="BX396" i="28"/>
  <c r="BW396" i="28"/>
  <c r="BV396" i="28"/>
  <c r="BU396" i="28"/>
  <c r="BT396" i="28"/>
  <c r="BS396" i="28"/>
  <c r="BR396" i="28"/>
  <c r="BQ396" i="28"/>
  <c r="BP396" i="28"/>
  <c r="BO396" i="28"/>
  <c r="BN396" i="28"/>
  <c r="BM396" i="28"/>
  <c r="BL396" i="28"/>
  <c r="BK396" i="28"/>
  <c r="BJ396" i="28"/>
  <c r="BI396" i="28"/>
  <c r="BH396" i="28"/>
  <c r="BG396" i="28"/>
  <c r="BF396" i="28"/>
  <c r="BX395" i="28"/>
  <c r="BW395" i="28"/>
  <c r="BV395" i="28"/>
  <c r="BU395" i="28"/>
  <c r="BT395" i="28"/>
  <c r="BS395" i="28"/>
  <c r="BR395" i="28"/>
  <c r="BQ395" i="28"/>
  <c r="BP395" i="28"/>
  <c r="BO395" i="28"/>
  <c r="BN395" i="28"/>
  <c r="BM395" i="28"/>
  <c r="BL395" i="28"/>
  <c r="BK395" i="28"/>
  <c r="BJ395" i="28"/>
  <c r="BI395" i="28"/>
  <c r="BH395" i="28"/>
  <c r="BG395" i="28"/>
  <c r="BF395" i="28"/>
  <c r="BX394" i="28"/>
  <c r="BW394" i="28"/>
  <c r="BV394" i="28"/>
  <c r="BU394" i="28"/>
  <c r="BT394" i="28"/>
  <c r="BS394" i="28"/>
  <c r="BR394" i="28"/>
  <c r="BQ394" i="28"/>
  <c r="BP394" i="28"/>
  <c r="BO394" i="28"/>
  <c r="BN394" i="28"/>
  <c r="BM394" i="28"/>
  <c r="BL394" i="28"/>
  <c r="BK394" i="28"/>
  <c r="BJ394" i="28"/>
  <c r="BI394" i="28"/>
  <c r="BH394" i="28"/>
  <c r="BG394" i="28"/>
  <c r="BF394" i="28"/>
  <c r="BX393" i="28"/>
  <c r="BW393" i="28"/>
  <c r="BV393" i="28"/>
  <c r="BU393" i="28"/>
  <c r="BT393" i="28"/>
  <c r="BS393" i="28"/>
  <c r="BR393" i="28"/>
  <c r="BQ393" i="28"/>
  <c r="BP393" i="28"/>
  <c r="BO393" i="28"/>
  <c r="BN393" i="28"/>
  <c r="BM393" i="28"/>
  <c r="BL393" i="28"/>
  <c r="BK393" i="28"/>
  <c r="BJ393" i="28"/>
  <c r="BI393" i="28"/>
  <c r="BH393" i="28"/>
  <c r="BG393" i="28"/>
  <c r="BF393" i="28"/>
  <c r="BX392" i="28"/>
  <c r="BW392" i="28"/>
  <c r="BV392" i="28"/>
  <c r="BU392" i="28"/>
  <c r="BT392" i="28"/>
  <c r="BS392" i="28"/>
  <c r="BR392" i="28"/>
  <c r="BQ392" i="28"/>
  <c r="BP392" i="28"/>
  <c r="BO392" i="28"/>
  <c r="BN392" i="28"/>
  <c r="BM392" i="28"/>
  <c r="BL392" i="28"/>
  <c r="BK392" i="28"/>
  <c r="BJ392" i="28"/>
  <c r="BI392" i="28"/>
  <c r="BH392" i="28"/>
  <c r="BG392" i="28"/>
  <c r="BF392" i="28"/>
  <c r="BX391" i="28"/>
  <c r="BW391" i="28"/>
  <c r="BV391" i="28"/>
  <c r="BU391" i="28"/>
  <c r="BT391" i="28"/>
  <c r="BS391" i="28"/>
  <c r="BR391" i="28"/>
  <c r="BQ391" i="28"/>
  <c r="BP391" i="28"/>
  <c r="BO391" i="28"/>
  <c r="BN391" i="28"/>
  <c r="BM391" i="28"/>
  <c r="BL391" i="28"/>
  <c r="BK391" i="28"/>
  <c r="BJ391" i="28"/>
  <c r="BI391" i="28"/>
  <c r="BH391" i="28"/>
  <c r="BG391" i="28"/>
  <c r="BF391" i="28"/>
  <c r="BX390" i="28"/>
  <c r="BW390" i="28"/>
  <c r="BV390" i="28"/>
  <c r="BU390" i="28"/>
  <c r="BT390" i="28"/>
  <c r="BS390" i="28"/>
  <c r="BR390" i="28"/>
  <c r="BQ390" i="28"/>
  <c r="BP390" i="28"/>
  <c r="BO390" i="28"/>
  <c r="BN390" i="28"/>
  <c r="BM390" i="28"/>
  <c r="BL390" i="28"/>
  <c r="BK390" i="28"/>
  <c r="BJ390" i="28"/>
  <c r="BI390" i="28"/>
  <c r="BH390" i="28"/>
  <c r="BG390" i="28"/>
  <c r="BF390" i="28"/>
  <c r="BX389" i="28"/>
  <c r="BW389" i="28"/>
  <c r="BV389" i="28"/>
  <c r="BU389" i="28"/>
  <c r="BT389" i="28"/>
  <c r="BS389" i="28"/>
  <c r="BR389" i="28"/>
  <c r="BQ389" i="28"/>
  <c r="BP389" i="28"/>
  <c r="BO389" i="28"/>
  <c r="BN389" i="28"/>
  <c r="BM389" i="28"/>
  <c r="BL389" i="28"/>
  <c r="BK389" i="28"/>
  <c r="BJ389" i="28"/>
  <c r="BI389" i="28"/>
  <c r="BH389" i="28"/>
  <c r="BG389" i="28"/>
  <c r="BF389" i="28"/>
  <c r="BX388" i="28"/>
  <c r="BW388" i="28"/>
  <c r="BV388" i="28"/>
  <c r="BU388" i="28"/>
  <c r="BT388" i="28"/>
  <c r="BS388" i="28"/>
  <c r="BR388" i="28"/>
  <c r="BQ388" i="28"/>
  <c r="BP388" i="28"/>
  <c r="BO388" i="28"/>
  <c r="BN388" i="28"/>
  <c r="BM388" i="28"/>
  <c r="BL388" i="28"/>
  <c r="BK388" i="28"/>
  <c r="BJ388" i="28"/>
  <c r="BI388" i="28"/>
  <c r="BH388" i="28"/>
  <c r="BG388" i="28"/>
  <c r="BF388" i="28"/>
  <c r="BX387" i="28"/>
  <c r="BW387" i="28"/>
  <c r="BV387" i="28"/>
  <c r="BU387" i="28"/>
  <c r="BT387" i="28"/>
  <c r="BS387" i="28"/>
  <c r="BR387" i="28"/>
  <c r="BQ387" i="28"/>
  <c r="BP387" i="28"/>
  <c r="BO387" i="28"/>
  <c r="BN387" i="28"/>
  <c r="BM387" i="28"/>
  <c r="BL387" i="28"/>
  <c r="BK387" i="28"/>
  <c r="BJ387" i="28"/>
  <c r="BI387" i="28"/>
  <c r="BH387" i="28"/>
  <c r="BG387" i="28"/>
  <c r="BF387" i="28"/>
  <c r="BX386" i="28"/>
  <c r="BW386" i="28"/>
  <c r="BV386" i="28"/>
  <c r="BU386" i="28"/>
  <c r="BT386" i="28"/>
  <c r="BS386" i="28"/>
  <c r="BR386" i="28"/>
  <c r="BQ386" i="28"/>
  <c r="BP386" i="28"/>
  <c r="BO386" i="28"/>
  <c r="BN386" i="28"/>
  <c r="BM386" i="28"/>
  <c r="BL386" i="28"/>
  <c r="BK386" i="28"/>
  <c r="BJ386" i="28"/>
  <c r="BI386" i="28"/>
  <c r="BH386" i="28"/>
  <c r="BG386" i="28"/>
  <c r="BF386" i="28"/>
  <c r="BX385" i="28"/>
  <c r="BW385" i="28"/>
  <c r="BV385" i="28"/>
  <c r="BU385" i="28"/>
  <c r="BT385" i="28"/>
  <c r="BS385" i="28"/>
  <c r="BR385" i="28"/>
  <c r="BQ385" i="28"/>
  <c r="BP385" i="28"/>
  <c r="BO385" i="28"/>
  <c r="BN385" i="28"/>
  <c r="BM385" i="28"/>
  <c r="BL385" i="28"/>
  <c r="BK385" i="28"/>
  <c r="BJ385" i="28"/>
  <c r="BI385" i="28"/>
  <c r="BH385" i="28"/>
  <c r="BG385" i="28"/>
  <c r="BF385" i="28"/>
  <c r="BX384" i="28"/>
  <c r="BW384" i="28"/>
  <c r="BV384" i="28"/>
  <c r="BU384" i="28"/>
  <c r="BT384" i="28"/>
  <c r="BS384" i="28"/>
  <c r="BR384" i="28"/>
  <c r="BQ384" i="28"/>
  <c r="BP384" i="28"/>
  <c r="BO384" i="28"/>
  <c r="BN384" i="28"/>
  <c r="BM384" i="28"/>
  <c r="BL384" i="28"/>
  <c r="BK384" i="28"/>
  <c r="BJ384" i="28"/>
  <c r="BI384" i="28"/>
  <c r="BH384" i="28"/>
  <c r="BG384" i="28"/>
  <c r="BF384" i="28"/>
  <c r="BX383" i="28"/>
  <c r="BW383" i="28"/>
  <c r="BV383" i="28"/>
  <c r="BU383" i="28"/>
  <c r="BT383" i="28"/>
  <c r="BS383" i="28"/>
  <c r="BR383" i="28"/>
  <c r="BQ383" i="28"/>
  <c r="BP383" i="28"/>
  <c r="BO383" i="28"/>
  <c r="BN383" i="28"/>
  <c r="BM383" i="28"/>
  <c r="BL383" i="28"/>
  <c r="BK383" i="28"/>
  <c r="BJ383" i="28"/>
  <c r="BI383" i="28"/>
  <c r="BH383" i="28"/>
  <c r="BG383" i="28"/>
  <c r="BF383" i="28"/>
  <c r="BX382" i="28"/>
  <c r="BW382" i="28"/>
  <c r="BV382" i="28"/>
  <c r="BU382" i="28"/>
  <c r="BT382" i="28"/>
  <c r="BS382" i="28"/>
  <c r="BR382" i="28"/>
  <c r="BQ382" i="28"/>
  <c r="BP382" i="28"/>
  <c r="BO382" i="28"/>
  <c r="BN382" i="28"/>
  <c r="BM382" i="28"/>
  <c r="BL382" i="28"/>
  <c r="BK382" i="28"/>
  <c r="BJ382" i="28"/>
  <c r="BI382" i="28"/>
  <c r="BH382" i="28"/>
  <c r="BG382" i="28"/>
  <c r="BF382" i="28"/>
  <c r="BX381" i="28"/>
  <c r="BW381" i="28"/>
  <c r="BV381" i="28"/>
  <c r="BU381" i="28"/>
  <c r="BT381" i="28"/>
  <c r="BS381" i="28"/>
  <c r="BR381" i="28"/>
  <c r="BQ381" i="28"/>
  <c r="BP381" i="28"/>
  <c r="BO381" i="28"/>
  <c r="BN381" i="28"/>
  <c r="BM381" i="28"/>
  <c r="BL381" i="28"/>
  <c r="BK381" i="28"/>
  <c r="BJ381" i="28"/>
  <c r="BI381" i="28"/>
  <c r="BH381" i="28"/>
  <c r="BG381" i="28"/>
  <c r="BF381" i="28"/>
  <c r="BX380" i="28"/>
  <c r="BW380" i="28"/>
  <c r="BV380" i="28"/>
  <c r="BU380" i="28"/>
  <c r="BT380" i="28"/>
  <c r="BS380" i="28"/>
  <c r="BR380" i="28"/>
  <c r="BQ380" i="28"/>
  <c r="BP380" i="28"/>
  <c r="BO380" i="28"/>
  <c r="BN380" i="28"/>
  <c r="BM380" i="28"/>
  <c r="BL380" i="28"/>
  <c r="BK380" i="28"/>
  <c r="BJ380" i="28"/>
  <c r="BI380" i="28"/>
  <c r="BH380" i="28"/>
  <c r="BG380" i="28"/>
  <c r="BF380" i="28"/>
  <c r="BX379" i="28"/>
  <c r="BW379" i="28"/>
  <c r="BV379" i="28"/>
  <c r="BU379" i="28"/>
  <c r="BT379" i="28"/>
  <c r="BS379" i="28"/>
  <c r="BR379" i="28"/>
  <c r="BQ379" i="28"/>
  <c r="BP379" i="28"/>
  <c r="BO379" i="28"/>
  <c r="BN379" i="28"/>
  <c r="BM379" i="28"/>
  <c r="BL379" i="28"/>
  <c r="BK379" i="28"/>
  <c r="BJ379" i="28"/>
  <c r="BI379" i="28"/>
  <c r="BH379" i="28"/>
  <c r="BG379" i="28"/>
  <c r="BF379" i="28"/>
  <c r="BX378" i="28"/>
  <c r="BW378" i="28"/>
  <c r="BV378" i="28"/>
  <c r="BU378" i="28"/>
  <c r="BT378" i="28"/>
  <c r="BS378" i="28"/>
  <c r="BR378" i="28"/>
  <c r="BQ378" i="28"/>
  <c r="BP378" i="28"/>
  <c r="BO378" i="28"/>
  <c r="BN378" i="28"/>
  <c r="BM378" i="28"/>
  <c r="BL378" i="28"/>
  <c r="BK378" i="28"/>
  <c r="BJ378" i="28"/>
  <c r="BI378" i="28"/>
  <c r="BH378" i="28"/>
  <c r="BG378" i="28"/>
  <c r="BF378" i="28"/>
  <c r="BX377" i="28"/>
  <c r="BW377" i="28"/>
  <c r="BV377" i="28"/>
  <c r="BU377" i="28"/>
  <c r="BT377" i="28"/>
  <c r="BS377" i="28"/>
  <c r="BR377" i="28"/>
  <c r="BQ377" i="28"/>
  <c r="BP377" i="28"/>
  <c r="BO377" i="28"/>
  <c r="BN377" i="28"/>
  <c r="BM377" i="28"/>
  <c r="BL377" i="28"/>
  <c r="BK377" i="28"/>
  <c r="BJ377" i="28"/>
  <c r="BI377" i="28"/>
  <c r="BH377" i="28"/>
  <c r="BG377" i="28"/>
  <c r="BF377" i="28"/>
  <c r="BX376" i="28"/>
  <c r="BW376" i="28"/>
  <c r="BV376" i="28"/>
  <c r="BU376" i="28"/>
  <c r="BT376" i="28"/>
  <c r="BS376" i="28"/>
  <c r="BR376" i="28"/>
  <c r="BQ376" i="28"/>
  <c r="BP376" i="28"/>
  <c r="BO376" i="28"/>
  <c r="BN376" i="28"/>
  <c r="BM376" i="28"/>
  <c r="BL376" i="28"/>
  <c r="BK376" i="28"/>
  <c r="BJ376" i="28"/>
  <c r="BI376" i="28"/>
  <c r="BH376" i="28"/>
  <c r="BG376" i="28"/>
  <c r="BF376" i="28"/>
  <c r="BX375" i="28"/>
  <c r="BW375" i="28"/>
  <c r="BV375" i="28"/>
  <c r="BU375" i="28"/>
  <c r="BT375" i="28"/>
  <c r="BS375" i="28"/>
  <c r="BR375" i="28"/>
  <c r="BQ375" i="28"/>
  <c r="BP375" i="28"/>
  <c r="BO375" i="28"/>
  <c r="BN375" i="28"/>
  <c r="BM375" i="28"/>
  <c r="BL375" i="28"/>
  <c r="BK375" i="28"/>
  <c r="BJ375" i="28"/>
  <c r="BI375" i="28"/>
  <c r="BH375" i="28"/>
  <c r="BG375" i="28"/>
  <c r="BF375" i="28"/>
  <c r="BX374" i="28"/>
  <c r="BW374" i="28"/>
  <c r="BV374" i="28"/>
  <c r="BU374" i="28"/>
  <c r="BT374" i="28"/>
  <c r="BS374" i="28"/>
  <c r="BR374" i="28"/>
  <c r="BQ374" i="28"/>
  <c r="BP374" i="28"/>
  <c r="BO374" i="28"/>
  <c r="BN374" i="28"/>
  <c r="BM374" i="28"/>
  <c r="BL374" i="28"/>
  <c r="BK374" i="28"/>
  <c r="BJ374" i="28"/>
  <c r="BI374" i="28"/>
  <c r="BH374" i="28"/>
  <c r="BG374" i="28"/>
  <c r="BF374" i="28"/>
  <c r="BX373" i="28"/>
  <c r="BW373" i="28"/>
  <c r="BV373" i="28"/>
  <c r="BU373" i="28"/>
  <c r="BT373" i="28"/>
  <c r="BS373" i="28"/>
  <c r="BR373" i="28"/>
  <c r="BQ373" i="28"/>
  <c r="BP373" i="28"/>
  <c r="BO373" i="28"/>
  <c r="BN373" i="28"/>
  <c r="BM373" i="28"/>
  <c r="BL373" i="28"/>
  <c r="BK373" i="28"/>
  <c r="BJ373" i="28"/>
  <c r="BI373" i="28"/>
  <c r="BH373" i="28"/>
  <c r="BG373" i="28"/>
  <c r="BF373" i="28"/>
  <c r="BX372" i="28"/>
  <c r="BW372" i="28"/>
  <c r="BV372" i="28"/>
  <c r="BU372" i="28"/>
  <c r="BT372" i="28"/>
  <c r="BS372" i="28"/>
  <c r="BR372" i="28"/>
  <c r="BQ372" i="28"/>
  <c r="BP372" i="28"/>
  <c r="BO372" i="28"/>
  <c r="BN372" i="28"/>
  <c r="BM372" i="28"/>
  <c r="BL372" i="28"/>
  <c r="BK372" i="28"/>
  <c r="BJ372" i="28"/>
  <c r="BI372" i="28"/>
  <c r="BH372" i="28"/>
  <c r="BG372" i="28"/>
  <c r="BF372" i="28"/>
  <c r="BX371" i="28"/>
  <c r="BW371" i="28"/>
  <c r="BV371" i="28"/>
  <c r="BU371" i="28"/>
  <c r="BT371" i="28"/>
  <c r="BS371" i="28"/>
  <c r="BR371" i="28"/>
  <c r="BQ371" i="28"/>
  <c r="BP371" i="28"/>
  <c r="BO371" i="28"/>
  <c r="BN371" i="28"/>
  <c r="BM371" i="28"/>
  <c r="BL371" i="28"/>
  <c r="BK371" i="28"/>
  <c r="BJ371" i="28"/>
  <c r="BI371" i="28"/>
  <c r="BH371" i="28"/>
  <c r="BG371" i="28"/>
  <c r="BF371" i="28"/>
  <c r="BX370" i="28"/>
  <c r="BW370" i="28"/>
  <c r="BV370" i="28"/>
  <c r="BU370" i="28"/>
  <c r="BT370" i="28"/>
  <c r="BS370" i="28"/>
  <c r="BR370" i="28"/>
  <c r="BQ370" i="28"/>
  <c r="BP370" i="28"/>
  <c r="BO370" i="28"/>
  <c r="BN370" i="28"/>
  <c r="BM370" i="28"/>
  <c r="BL370" i="28"/>
  <c r="BK370" i="28"/>
  <c r="BJ370" i="28"/>
  <c r="BI370" i="28"/>
  <c r="BH370" i="28"/>
  <c r="BG370" i="28"/>
  <c r="BF370" i="28"/>
  <c r="BX369" i="28"/>
  <c r="BW369" i="28"/>
  <c r="BV369" i="28"/>
  <c r="BU369" i="28"/>
  <c r="BT369" i="28"/>
  <c r="BS369" i="28"/>
  <c r="BR369" i="28"/>
  <c r="BQ369" i="28"/>
  <c r="BP369" i="28"/>
  <c r="BO369" i="28"/>
  <c r="BN369" i="28"/>
  <c r="BM369" i="28"/>
  <c r="BL369" i="28"/>
  <c r="BK369" i="28"/>
  <c r="BJ369" i="28"/>
  <c r="BI369" i="28"/>
  <c r="BH369" i="28"/>
  <c r="BG369" i="28"/>
  <c r="BF369" i="28"/>
  <c r="BX368" i="28"/>
  <c r="BW368" i="28"/>
  <c r="BV368" i="28"/>
  <c r="BU368" i="28"/>
  <c r="BT368" i="28"/>
  <c r="BS368" i="28"/>
  <c r="BR368" i="28"/>
  <c r="BQ368" i="28"/>
  <c r="BP368" i="28"/>
  <c r="BO368" i="28"/>
  <c r="BN368" i="28"/>
  <c r="BM368" i="28"/>
  <c r="BL368" i="28"/>
  <c r="BK368" i="28"/>
  <c r="BJ368" i="28"/>
  <c r="BI368" i="28"/>
  <c r="BH368" i="28"/>
  <c r="BG368" i="28"/>
  <c r="BF368" i="28"/>
  <c r="BX367" i="28"/>
  <c r="BW367" i="28"/>
  <c r="BV367" i="28"/>
  <c r="BU367" i="28"/>
  <c r="BT367" i="28"/>
  <c r="BS367" i="28"/>
  <c r="BR367" i="28"/>
  <c r="BQ367" i="28"/>
  <c r="BP367" i="28"/>
  <c r="BO367" i="28"/>
  <c r="BN367" i="28"/>
  <c r="BM367" i="28"/>
  <c r="BL367" i="28"/>
  <c r="BK367" i="28"/>
  <c r="BJ367" i="28"/>
  <c r="BI367" i="28"/>
  <c r="BH367" i="28"/>
  <c r="BG367" i="28"/>
  <c r="BF367" i="28"/>
  <c r="BX366" i="28"/>
  <c r="BW366" i="28"/>
  <c r="BV366" i="28"/>
  <c r="BU366" i="28"/>
  <c r="BT366" i="28"/>
  <c r="BS366" i="28"/>
  <c r="BR366" i="28"/>
  <c r="BQ366" i="28"/>
  <c r="BP366" i="28"/>
  <c r="BO366" i="28"/>
  <c r="BN366" i="28"/>
  <c r="BM366" i="28"/>
  <c r="BL366" i="28"/>
  <c r="BK366" i="28"/>
  <c r="BJ366" i="28"/>
  <c r="BI366" i="28"/>
  <c r="BH366" i="28"/>
  <c r="BG366" i="28"/>
  <c r="BF366" i="28"/>
  <c r="BX365" i="28"/>
  <c r="BW365" i="28"/>
  <c r="BV365" i="28"/>
  <c r="BU365" i="28"/>
  <c r="BT365" i="28"/>
  <c r="BS365" i="28"/>
  <c r="BR365" i="28"/>
  <c r="BQ365" i="28"/>
  <c r="BP365" i="28"/>
  <c r="BO365" i="28"/>
  <c r="BN365" i="28"/>
  <c r="BM365" i="28"/>
  <c r="BL365" i="28"/>
  <c r="BK365" i="28"/>
  <c r="BJ365" i="28"/>
  <c r="BI365" i="28"/>
  <c r="BH365" i="28"/>
  <c r="BG365" i="28"/>
  <c r="BF365" i="28"/>
  <c r="BX364" i="28"/>
  <c r="BW364" i="28"/>
  <c r="BV364" i="28"/>
  <c r="BU364" i="28"/>
  <c r="BT364" i="28"/>
  <c r="BS364" i="28"/>
  <c r="BR364" i="28"/>
  <c r="BQ364" i="28"/>
  <c r="BP364" i="28"/>
  <c r="BO364" i="28"/>
  <c r="BN364" i="28"/>
  <c r="BM364" i="28"/>
  <c r="BL364" i="28"/>
  <c r="BK364" i="28"/>
  <c r="BJ364" i="28"/>
  <c r="BI364" i="28"/>
  <c r="BH364" i="28"/>
  <c r="BG364" i="28"/>
  <c r="BF364" i="28"/>
  <c r="BX363" i="28"/>
  <c r="BW363" i="28"/>
  <c r="BV363" i="28"/>
  <c r="BU363" i="28"/>
  <c r="BT363" i="28"/>
  <c r="BS363" i="28"/>
  <c r="BR363" i="28"/>
  <c r="BQ363" i="28"/>
  <c r="BP363" i="28"/>
  <c r="BO363" i="28"/>
  <c r="BN363" i="28"/>
  <c r="BM363" i="28"/>
  <c r="BL363" i="28"/>
  <c r="BK363" i="28"/>
  <c r="BJ363" i="28"/>
  <c r="BI363" i="28"/>
  <c r="BH363" i="28"/>
  <c r="BG363" i="28"/>
  <c r="BF363" i="28"/>
  <c r="BX362" i="28"/>
  <c r="BW362" i="28"/>
  <c r="BV362" i="28"/>
  <c r="BU362" i="28"/>
  <c r="BT362" i="28"/>
  <c r="BS362" i="28"/>
  <c r="BR362" i="28"/>
  <c r="BQ362" i="28"/>
  <c r="BP362" i="28"/>
  <c r="BO362" i="28"/>
  <c r="BN362" i="28"/>
  <c r="BM362" i="28"/>
  <c r="BL362" i="28"/>
  <c r="BK362" i="28"/>
  <c r="BJ362" i="28"/>
  <c r="BI362" i="28"/>
  <c r="BH362" i="28"/>
  <c r="BG362" i="28"/>
  <c r="BF362" i="28"/>
  <c r="BX361" i="28"/>
  <c r="BW361" i="28"/>
  <c r="BV361" i="28"/>
  <c r="BU361" i="28"/>
  <c r="BT361" i="28"/>
  <c r="BS361" i="28"/>
  <c r="BR361" i="28"/>
  <c r="BQ361" i="28"/>
  <c r="BP361" i="28"/>
  <c r="BO361" i="28"/>
  <c r="BN361" i="28"/>
  <c r="BM361" i="28"/>
  <c r="BL361" i="28"/>
  <c r="BK361" i="28"/>
  <c r="BJ361" i="28"/>
  <c r="BI361" i="28"/>
  <c r="BH361" i="28"/>
  <c r="BG361" i="28"/>
  <c r="BF361" i="28"/>
  <c r="BX360" i="28"/>
  <c r="BW360" i="28"/>
  <c r="BV360" i="28"/>
  <c r="BU360" i="28"/>
  <c r="BT360" i="28"/>
  <c r="BS360" i="28"/>
  <c r="BR360" i="28"/>
  <c r="BQ360" i="28"/>
  <c r="BP360" i="28"/>
  <c r="BO360" i="28"/>
  <c r="BN360" i="28"/>
  <c r="BM360" i="28"/>
  <c r="BL360" i="28"/>
  <c r="BK360" i="28"/>
  <c r="BJ360" i="28"/>
  <c r="BI360" i="28"/>
  <c r="BH360" i="28"/>
  <c r="BG360" i="28"/>
  <c r="BF360" i="28"/>
  <c r="BX359" i="28"/>
  <c r="BW359" i="28"/>
  <c r="BV359" i="28"/>
  <c r="BU359" i="28"/>
  <c r="BT359" i="28"/>
  <c r="BS359" i="28"/>
  <c r="BR359" i="28"/>
  <c r="BQ359" i="28"/>
  <c r="BP359" i="28"/>
  <c r="BO359" i="28"/>
  <c r="BN359" i="28"/>
  <c r="BM359" i="28"/>
  <c r="BL359" i="28"/>
  <c r="BK359" i="28"/>
  <c r="BJ359" i="28"/>
  <c r="BI359" i="28"/>
  <c r="BH359" i="28"/>
  <c r="BG359" i="28"/>
  <c r="BF359" i="28"/>
  <c r="BX358" i="28"/>
  <c r="BW358" i="28"/>
  <c r="BV358" i="28"/>
  <c r="BU358" i="28"/>
  <c r="BT358" i="28"/>
  <c r="BS358" i="28"/>
  <c r="BR358" i="28"/>
  <c r="BQ358" i="28"/>
  <c r="BP358" i="28"/>
  <c r="BO358" i="28"/>
  <c r="BN358" i="28"/>
  <c r="BM358" i="28"/>
  <c r="BL358" i="28"/>
  <c r="BK358" i="28"/>
  <c r="BJ358" i="28"/>
  <c r="BI358" i="28"/>
  <c r="BH358" i="28"/>
  <c r="BG358" i="28"/>
  <c r="BF358" i="28"/>
  <c r="BX357" i="28"/>
  <c r="BW357" i="28"/>
  <c r="BV357" i="28"/>
  <c r="BU357" i="28"/>
  <c r="BT357" i="28"/>
  <c r="BS357" i="28"/>
  <c r="BR357" i="28"/>
  <c r="BQ357" i="28"/>
  <c r="BP357" i="28"/>
  <c r="BO357" i="28"/>
  <c r="BN357" i="28"/>
  <c r="BM357" i="28"/>
  <c r="BL357" i="28"/>
  <c r="BK357" i="28"/>
  <c r="BJ357" i="28"/>
  <c r="BI357" i="28"/>
  <c r="BH357" i="28"/>
  <c r="BG357" i="28"/>
  <c r="BF357" i="28"/>
  <c r="BX356" i="28"/>
  <c r="BW356" i="28"/>
  <c r="BV356" i="28"/>
  <c r="BU356" i="28"/>
  <c r="BT356" i="28"/>
  <c r="BS356" i="28"/>
  <c r="BR356" i="28"/>
  <c r="BQ356" i="28"/>
  <c r="BP356" i="28"/>
  <c r="BO356" i="28"/>
  <c r="BN356" i="28"/>
  <c r="BM356" i="28"/>
  <c r="BL356" i="28"/>
  <c r="BK356" i="28"/>
  <c r="BJ356" i="28"/>
  <c r="BI356" i="28"/>
  <c r="BH356" i="28"/>
  <c r="BG356" i="28"/>
  <c r="BF356" i="28"/>
  <c r="BX355" i="28"/>
  <c r="BW355" i="28"/>
  <c r="BV355" i="28"/>
  <c r="BU355" i="28"/>
  <c r="BT355" i="28"/>
  <c r="BS355" i="28"/>
  <c r="BR355" i="28"/>
  <c r="BQ355" i="28"/>
  <c r="BP355" i="28"/>
  <c r="BO355" i="28"/>
  <c r="BN355" i="28"/>
  <c r="BM355" i="28"/>
  <c r="BL355" i="28"/>
  <c r="BK355" i="28"/>
  <c r="BJ355" i="28"/>
  <c r="BI355" i="28"/>
  <c r="BH355" i="28"/>
  <c r="BG355" i="28"/>
  <c r="BF355" i="28"/>
  <c r="BX354" i="28"/>
  <c r="BW354" i="28"/>
  <c r="BV354" i="28"/>
  <c r="BU354" i="28"/>
  <c r="BT354" i="28"/>
  <c r="BS354" i="28"/>
  <c r="BR354" i="28"/>
  <c r="BQ354" i="28"/>
  <c r="BP354" i="28"/>
  <c r="BO354" i="28"/>
  <c r="BN354" i="28"/>
  <c r="BM354" i="28"/>
  <c r="BL354" i="28"/>
  <c r="BK354" i="28"/>
  <c r="BJ354" i="28"/>
  <c r="BI354" i="28"/>
  <c r="BH354" i="28"/>
  <c r="BG354" i="28"/>
  <c r="BF354" i="28"/>
  <c r="BX353" i="28"/>
  <c r="BW353" i="28"/>
  <c r="BV353" i="28"/>
  <c r="BU353" i="28"/>
  <c r="BT353" i="28"/>
  <c r="BS353" i="28"/>
  <c r="BR353" i="28"/>
  <c r="BQ353" i="28"/>
  <c r="BP353" i="28"/>
  <c r="BO353" i="28"/>
  <c r="BN353" i="28"/>
  <c r="BM353" i="28"/>
  <c r="BL353" i="28"/>
  <c r="BK353" i="28"/>
  <c r="BJ353" i="28"/>
  <c r="BI353" i="28"/>
  <c r="BH353" i="28"/>
  <c r="BG353" i="28"/>
  <c r="BF353" i="28"/>
  <c r="BX352" i="28"/>
  <c r="BW352" i="28"/>
  <c r="BV352" i="28"/>
  <c r="BU352" i="28"/>
  <c r="BT352" i="28"/>
  <c r="BS352" i="28"/>
  <c r="BR352" i="28"/>
  <c r="BQ352" i="28"/>
  <c r="BP352" i="28"/>
  <c r="BO352" i="28"/>
  <c r="BN352" i="28"/>
  <c r="BM352" i="28"/>
  <c r="BL352" i="28"/>
  <c r="BK352" i="28"/>
  <c r="BJ352" i="28"/>
  <c r="BI352" i="28"/>
  <c r="BH352" i="28"/>
  <c r="BG352" i="28"/>
  <c r="BF352" i="28"/>
  <c r="BX351" i="28"/>
  <c r="BW351" i="28"/>
  <c r="BV351" i="28"/>
  <c r="BU351" i="28"/>
  <c r="BT351" i="28"/>
  <c r="BS351" i="28"/>
  <c r="BR351" i="28"/>
  <c r="BQ351" i="28"/>
  <c r="BP351" i="28"/>
  <c r="BO351" i="28"/>
  <c r="BN351" i="28"/>
  <c r="BM351" i="28"/>
  <c r="BL351" i="28"/>
  <c r="BK351" i="28"/>
  <c r="BJ351" i="28"/>
  <c r="BI351" i="28"/>
  <c r="BH351" i="28"/>
  <c r="BG351" i="28"/>
  <c r="BF351" i="28"/>
  <c r="BX350" i="28"/>
  <c r="BW350" i="28"/>
  <c r="BV350" i="28"/>
  <c r="BU350" i="28"/>
  <c r="BT350" i="28"/>
  <c r="BS350" i="28"/>
  <c r="BR350" i="28"/>
  <c r="BQ350" i="28"/>
  <c r="BP350" i="28"/>
  <c r="BO350" i="28"/>
  <c r="BN350" i="28"/>
  <c r="BM350" i="28"/>
  <c r="BL350" i="28"/>
  <c r="BK350" i="28"/>
  <c r="BJ350" i="28"/>
  <c r="BI350" i="28"/>
  <c r="BH350" i="28"/>
  <c r="BG350" i="28"/>
  <c r="BF350" i="28"/>
  <c r="BX349" i="28"/>
  <c r="BW349" i="28"/>
  <c r="BV349" i="28"/>
  <c r="BU349" i="28"/>
  <c r="BT349" i="28"/>
  <c r="BS349" i="28"/>
  <c r="BR349" i="28"/>
  <c r="BQ349" i="28"/>
  <c r="BP349" i="28"/>
  <c r="BO349" i="28"/>
  <c r="BN349" i="28"/>
  <c r="BM349" i="28"/>
  <c r="BL349" i="28"/>
  <c r="BK349" i="28"/>
  <c r="BJ349" i="28"/>
  <c r="BI349" i="28"/>
  <c r="BH349" i="28"/>
  <c r="BG349" i="28"/>
  <c r="BF349" i="28"/>
  <c r="BX348" i="28"/>
  <c r="BW348" i="28"/>
  <c r="BV348" i="28"/>
  <c r="BU348" i="28"/>
  <c r="BT348" i="28"/>
  <c r="BS348" i="28"/>
  <c r="BR348" i="28"/>
  <c r="BQ348" i="28"/>
  <c r="BP348" i="28"/>
  <c r="BO348" i="28"/>
  <c r="BN348" i="28"/>
  <c r="BM348" i="28"/>
  <c r="BL348" i="28"/>
  <c r="BK348" i="28"/>
  <c r="BJ348" i="28"/>
  <c r="BI348" i="28"/>
  <c r="BH348" i="28"/>
  <c r="BG348" i="28"/>
  <c r="BF348" i="28"/>
  <c r="BX347" i="28"/>
  <c r="BW347" i="28"/>
  <c r="BV347" i="28"/>
  <c r="BU347" i="28"/>
  <c r="BT347" i="28"/>
  <c r="BS347" i="28"/>
  <c r="BR347" i="28"/>
  <c r="BQ347" i="28"/>
  <c r="BP347" i="28"/>
  <c r="BO347" i="28"/>
  <c r="BN347" i="28"/>
  <c r="BM347" i="28"/>
  <c r="BL347" i="28"/>
  <c r="BK347" i="28"/>
  <c r="BJ347" i="28"/>
  <c r="BI347" i="28"/>
  <c r="BH347" i="28"/>
  <c r="BG347" i="28"/>
  <c r="BF347" i="28"/>
  <c r="BX346" i="28"/>
  <c r="BW346" i="28"/>
  <c r="BV346" i="28"/>
  <c r="BU346" i="28"/>
  <c r="BT346" i="28"/>
  <c r="BS346" i="28"/>
  <c r="BR346" i="28"/>
  <c r="BQ346" i="28"/>
  <c r="BP346" i="28"/>
  <c r="BO346" i="28"/>
  <c r="BN346" i="28"/>
  <c r="BM346" i="28"/>
  <c r="BL346" i="28"/>
  <c r="BK346" i="28"/>
  <c r="BJ346" i="28"/>
  <c r="BI346" i="28"/>
  <c r="BH346" i="28"/>
  <c r="BG346" i="28"/>
  <c r="BF346" i="28"/>
  <c r="BX345" i="28"/>
  <c r="BW345" i="28"/>
  <c r="BV345" i="28"/>
  <c r="BU345" i="28"/>
  <c r="BT345" i="28"/>
  <c r="BS345" i="28"/>
  <c r="BR345" i="28"/>
  <c r="BQ345" i="28"/>
  <c r="BP345" i="28"/>
  <c r="BO345" i="28"/>
  <c r="BN345" i="28"/>
  <c r="BM345" i="28"/>
  <c r="BL345" i="28"/>
  <c r="BK345" i="28"/>
  <c r="BJ345" i="28"/>
  <c r="BI345" i="28"/>
  <c r="BH345" i="28"/>
  <c r="BG345" i="28"/>
  <c r="BF345" i="28"/>
  <c r="BX344" i="28"/>
  <c r="BW344" i="28"/>
  <c r="BV344" i="28"/>
  <c r="BU344" i="28"/>
  <c r="BT344" i="28"/>
  <c r="BS344" i="28"/>
  <c r="BR344" i="28"/>
  <c r="BQ344" i="28"/>
  <c r="BP344" i="28"/>
  <c r="BO344" i="28"/>
  <c r="BN344" i="28"/>
  <c r="BM344" i="28"/>
  <c r="BL344" i="28"/>
  <c r="BK344" i="28"/>
  <c r="BJ344" i="28"/>
  <c r="BI344" i="28"/>
  <c r="BH344" i="28"/>
  <c r="BG344" i="28"/>
  <c r="BF344" i="28"/>
  <c r="BX343" i="28"/>
  <c r="BW343" i="28"/>
  <c r="BV343" i="28"/>
  <c r="BU343" i="28"/>
  <c r="BT343" i="28"/>
  <c r="BS343" i="28"/>
  <c r="BR343" i="28"/>
  <c r="BQ343" i="28"/>
  <c r="BP343" i="28"/>
  <c r="BO343" i="28"/>
  <c r="BN343" i="28"/>
  <c r="BM343" i="28"/>
  <c r="BL343" i="28"/>
  <c r="BK343" i="28"/>
  <c r="BJ343" i="28"/>
  <c r="BI343" i="28"/>
  <c r="BH343" i="28"/>
  <c r="BG343" i="28"/>
  <c r="BF343" i="28"/>
  <c r="BX342" i="28"/>
  <c r="BW342" i="28"/>
  <c r="BV342" i="28"/>
  <c r="BU342" i="28"/>
  <c r="BT342" i="28"/>
  <c r="BS342" i="28"/>
  <c r="BR342" i="28"/>
  <c r="BQ342" i="28"/>
  <c r="BP342" i="28"/>
  <c r="BO342" i="28"/>
  <c r="BN342" i="28"/>
  <c r="BM342" i="28"/>
  <c r="BL342" i="28"/>
  <c r="BK342" i="28"/>
  <c r="BJ342" i="28"/>
  <c r="BI342" i="28"/>
  <c r="BH342" i="28"/>
  <c r="BG342" i="28"/>
  <c r="BF342" i="28"/>
  <c r="BX341" i="28"/>
  <c r="BW341" i="28"/>
  <c r="BV341" i="28"/>
  <c r="BU341" i="28"/>
  <c r="BT341" i="28"/>
  <c r="BS341" i="28"/>
  <c r="BR341" i="28"/>
  <c r="BQ341" i="28"/>
  <c r="BP341" i="28"/>
  <c r="BO341" i="28"/>
  <c r="BN341" i="28"/>
  <c r="BM341" i="28"/>
  <c r="BL341" i="28"/>
  <c r="BK341" i="28"/>
  <c r="BJ341" i="28"/>
  <c r="BI341" i="28"/>
  <c r="BH341" i="28"/>
  <c r="BG341" i="28"/>
  <c r="BF341" i="28"/>
  <c r="BX340" i="28"/>
  <c r="BW340" i="28"/>
  <c r="BV340" i="28"/>
  <c r="BU340" i="28"/>
  <c r="BT340" i="28"/>
  <c r="BS340" i="28"/>
  <c r="BR340" i="28"/>
  <c r="BQ340" i="28"/>
  <c r="BP340" i="28"/>
  <c r="BO340" i="28"/>
  <c r="BN340" i="28"/>
  <c r="BM340" i="28"/>
  <c r="BL340" i="28"/>
  <c r="BK340" i="28"/>
  <c r="BJ340" i="28"/>
  <c r="BI340" i="28"/>
  <c r="BH340" i="28"/>
  <c r="BG340" i="28"/>
  <c r="BF340" i="28"/>
  <c r="BX339" i="28"/>
  <c r="BW339" i="28"/>
  <c r="BV339" i="28"/>
  <c r="BU339" i="28"/>
  <c r="BT339" i="28"/>
  <c r="BS339" i="28"/>
  <c r="BR339" i="28"/>
  <c r="BQ339" i="28"/>
  <c r="BP339" i="28"/>
  <c r="BO339" i="28"/>
  <c r="BN339" i="28"/>
  <c r="BM339" i="28"/>
  <c r="BL339" i="28"/>
  <c r="BK339" i="28"/>
  <c r="BJ339" i="28"/>
  <c r="BI339" i="28"/>
  <c r="BH339" i="28"/>
  <c r="BG339" i="28"/>
  <c r="BF339" i="28"/>
  <c r="BX338" i="28"/>
  <c r="BW338" i="28"/>
  <c r="BV338" i="28"/>
  <c r="BU338" i="28"/>
  <c r="BT338" i="28"/>
  <c r="BS338" i="28"/>
  <c r="BR338" i="28"/>
  <c r="BQ338" i="28"/>
  <c r="BP338" i="28"/>
  <c r="BO338" i="28"/>
  <c r="BN338" i="28"/>
  <c r="BM338" i="28"/>
  <c r="BL338" i="28"/>
  <c r="BK338" i="28"/>
  <c r="BJ338" i="28"/>
  <c r="BI338" i="28"/>
  <c r="BH338" i="28"/>
  <c r="BG338" i="28"/>
  <c r="BF338" i="28"/>
  <c r="BX337" i="28"/>
  <c r="BW337" i="28"/>
  <c r="BV337" i="28"/>
  <c r="BU337" i="28"/>
  <c r="BT337" i="28"/>
  <c r="BS337" i="28"/>
  <c r="BR337" i="28"/>
  <c r="BQ337" i="28"/>
  <c r="BP337" i="28"/>
  <c r="BO337" i="28"/>
  <c r="BN337" i="28"/>
  <c r="BM337" i="28"/>
  <c r="BL337" i="28"/>
  <c r="BK337" i="28"/>
  <c r="BJ337" i="28"/>
  <c r="BI337" i="28"/>
  <c r="BH337" i="28"/>
  <c r="BG337" i="28"/>
  <c r="BF337" i="28"/>
  <c r="BX336" i="28"/>
  <c r="BW336" i="28"/>
  <c r="BV336" i="28"/>
  <c r="BU336" i="28"/>
  <c r="BT336" i="28"/>
  <c r="BS336" i="28"/>
  <c r="BR336" i="28"/>
  <c r="BQ336" i="28"/>
  <c r="BP336" i="28"/>
  <c r="BO336" i="28"/>
  <c r="BN336" i="28"/>
  <c r="BM336" i="28"/>
  <c r="BL336" i="28"/>
  <c r="BK336" i="28"/>
  <c r="BJ336" i="28"/>
  <c r="BI336" i="28"/>
  <c r="BH336" i="28"/>
  <c r="BG336" i="28"/>
  <c r="BF336" i="28"/>
  <c r="BX335" i="28"/>
  <c r="BW335" i="28"/>
  <c r="BV335" i="28"/>
  <c r="BU335" i="28"/>
  <c r="BT335" i="28"/>
  <c r="BS335" i="28"/>
  <c r="BR335" i="28"/>
  <c r="BQ335" i="28"/>
  <c r="BP335" i="28"/>
  <c r="BO335" i="28"/>
  <c r="BN335" i="28"/>
  <c r="BM335" i="28"/>
  <c r="BL335" i="28"/>
  <c r="BK335" i="28"/>
  <c r="BJ335" i="28"/>
  <c r="BI335" i="28"/>
  <c r="BH335" i="28"/>
  <c r="BG335" i="28"/>
  <c r="BF335" i="28"/>
  <c r="BX334" i="28"/>
  <c r="BW334" i="28"/>
  <c r="BV334" i="28"/>
  <c r="BU334" i="28"/>
  <c r="BT334" i="28"/>
  <c r="BS334" i="28"/>
  <c r="BR334" i="28"/>
  <c r="BQ334" i="28"/>
  <c r="BP334" i="28"/>
  <c r="BO334" i="28"/>
  <c r="BN334" i="28"/>
  <c r="BM334" i="28"/>
  <c r="BL334" i="28"/>
  <c r="BK334" i="28"/>
  <c r="BJ334" i="28"/>
  <c r="BI334" i="28"/>
  <c r="BH334" i="28"/>
  <c r="BG334" i="28"/>
  <c r="BF334" i="28"/>
  <c r="BX333" i="28"/>
  <c r="BW333" i="28"/>
  <c r="BV333" i="28"/>
  <c r="BU333" i="28"/>
  <c r="BT333" i="28"/>
  <c r="BS333" i="28"/>
  <c r="BR333" i="28"/>
  <c r="BQ333" i="28"/>
  <c r="BP333" i="28"/>
  <c r="BO333" i="28"/>
  <c r="BN333" i="28"/>
  <c r="BM333" i="28"/>
  <c r="BL333" i="28"/>
  <c r="BK333" i="28"/>
  <c r="BJ333" i="28"/>
  <c r="BI333" i="28"/>
  <c r="BH333" i="28"/>
  <c r="BG333" i="28"/>
  <c r="BF333" i="28"/>
  <c r="BX332" i="28"/>
  <c r="BW332" i="28"/>
  <c r="BV332" i="28"/>
  <c r="BU332" i="28"/>
  <c r="BT332" i="28"/>
  <c r="BS332" i="28"/>
  <c r="BR332" i="28"/>
  <c r="BQ332" i="28"/>
  <c r="BP332" i="28"/>
  <c r="BO332" i="28"/>
  <c r="BN332" i="28"/>
  <c r="BM332" i="28"/>
  <c r="BL332" i="28"/>
  <c r="BK332" i="28"/>
  <c r="BJ332" i="28"/>
  <c r="BI332" i="28"/>
  <c r="BH332" i="28"/>
  <c r="BG332" i="28"/>
  <c r="BF332" i="28"/>
  <c r="BX331" i="28"/>
  <c r="BW331" i="28"/>
  <c r="BV331" i="28"/>
  <c r="BU331" i="28"/>
  <c r="BT331" i="28"/>
  <c r="BS331" i="28"/>
  <c r="BR331" i="28"/>
  <c r="BQ331" i="28"/>
  <c r="BP331" i="28"/>
  <c r="BO331" i="28"/>
  <c r="BN331" i="28"/>
  <c r="BM331" i="28"/>
  <c r="BL331" i="28"/>
  <c r="BK331" i="28"/>
  <c r="BJ331" i="28"/>
  <c r="BI331" i="28"/>
  <c r="BH331" i="28"/>
  <c r="BG331" i="28"/>
  <c r="BF331" i="28"/>
  <c r="BX330" i="28"/>
  <c r="BW330" i="28"/>
  <c r="BV330" i="28"/>
  <c r="BU330" i="28"/>
  <c r="BT330" i="28"/>
  <c r="BS330" i="28"/>
  <c r="BR330" i="28"/>
  <c r="BQ330" i="28"/>
  <c r="BP330" i="28"/>
  <c r="BO330" i="28"/>
  <c r="BN330" i="28"/>
  <c r="BM330" i="28"/>
  <c r="BL330" i="28"/>
  <c r="BK330" i="28"/>
  <c r="BJ330" i="28"/>
  <c r="BI330" i="28"/>
  <c r="BH330" i="28"/>
  <c r="BG330" i="28"/>
  <c r="BF330" i="28"/>
  <c r="BX329" i="28"/>
  <c r="BW329" i="28"/>
  <c r="BV329" i="28"/>
  <c r="BU329" i="28"/>
  <c r="BT329" i="28"/>
  <c r="BS329" i="28"/>
  <c r="BR329" i="28"/>
  <c r="BQ329" i="28"/>
  <c r="BP329" i="28"/>
  <c r="BO329" i="28"/>
  <c r="BN329" i="28"/>
  <c r="BM329" i="28"/>
  <c r="BL329" i="28"/>
  <c r="BK329" i="28"/>
  <c r="BJ329" i="28"/>
  <c r="BI329" i="28"/>
  <c r="BH329" i="28"/>
  <c r="BG329" i="28"/>
  <c r="BF329" i="28"/>
  <c r="BX328" i="28"/>
  <c r="BW328" i="28"/>
  <c r="BV328" i="28"/>
  <c r="BU328" i="28"/>
  <c r="BT328" i="28"/>
  <c r="BS328" i="28"/>
  <c r="BR328" i="28"/>
  <c r="BQ328" i="28"/>
  <c r="BP328" i="28"/>
  <c r="BO328" i="28"/>
  <c r="BN328" i="28"/>
  <c r="BM328" i="28"/>
  <c r="BL328" i="28"/>
  <c r="BK328" i="28"/>
  <c r="BJ328" i="28"/>
  <c r="BI328" i="28"/>
  <c r="BH328" i="28"/>
  <c r="BG328" i="28"/>
  <c r="BF328" i="28"/>
  <c r="BX327" i="28"/>
  <c r="BW327" i="28"/>
  <c r="BV327" i="28"/>
  <c r="BU327" i="28"/>
  <c r="BT327" i="28"/>
  <c r="BS327" i="28"/>
  <c r="BR327" i="28"/>
  <c r="BQ327" i="28"/>
  <c r="BP327" i="28"/>
  <c r="BO327" i="28"/>
  <c r="BN327" i="28"/>
  <c r="BM327" i="28"/>
  <c r="BL327" i="28"/>
  <c r="BK327" i="28"/>
  <c r="BJ327" i="28"/>
  <c r="BI327" i="28"/>
  <c r="BH327" i="28"/>
  <c r="BG327" i="28"/>
  <c r="BF327" i="28"/>
  <c r="BX326" i="28"/>
  <c r="BW326" i="28"/>
  <c r="BV326" i="28"/>
  <c r="BU326" i="28"/>
  <c r="BT326" i="28"/>
  <c r="BS326" i="28"/>
  <c r="BR326" i="28"/>
  <c r="BQ326" i="28"/>
  <c r="BP326" i="28"/>
  <c r="BO326" i="28"/>
  <c r="BN326" i="28"/>
  <c r="BM326" i="28"/>
  <c r="BL326" i="28"/>
  <c r="BK326" i="28"/>
  <c r="BJ326" i="28"/>
  <c r="BI326" i="28"/>
  <c r="BH326" i="28"/>
  <c r="BG326" i="28"/>
  <c r="BF326" i="28"/>
  <c r="BX325" i="28"/>
  <c r="BW325" i="28"/>
  <c r="BV325" i="28"/>
  <c r="BU325" i="28"/>
  <c r="BT325" i="28"/>
  <c r="BS325" i="28"/>
  <c r="BR325" i="28"/>
  <c r="BQ325" i="28"/>
  <c r="BP325" i="28"/>
  <c r="BO325" i="28"/>
  <c r="BN325" i="28"/>
  <c r="BM325" i="28"/>
  <c r="BL325" i="28"/>
  <c r="BK325" i="28"/>
  <c r="BJ325" i="28"/>
  <c r="BI325" i="28"/>
  <c r="BH325" i="28"/>
  <c r="BG325" i="28"/>
  <c r="BF325" i="28"/>
  <c r="BX324" i="28"/>
  <c r="BW324" i="28"/>
  <c r="BV324" i="28"/>
  <c r="BU324" i="28"/>
  <c r="BT324" i="28"/>
  <c r="BS324" i="28"/>
  <c r="BR324" i="28"/>
  <c r="BQ324" i="28"/>
  <c r="BP324" i="28"/>
  <c r="BO324" i="28"/>
  <c r="BN324" i="28"/>
  <c r="BM324" i="28"/>
  <c r="BL324" i="28"/>
  <c r="BK324" i="28"/>
  <c r="BJ324" i="28"/>
  <c r="BI324" i="28"/>
  <c r="BH324" i="28"/>
  <c r="BG324" i="28"/>
  <c r="BF324" i="28"/>
  <c r="BX323" i="28"/>
  <c r="BW323" i="28"/>
  <c r="BV323" i="28"/>
  <c r="BU323" i="28"/>
  <c r="BT323" i="28"/>
  <c r="BS323" i="28"/>
  <c r="BR323" i="28"/>
  <c r="BQ323" i="28"/>
  <c r="BP323" i="28"/>
  <c r="BO323" i="28"/>
  <c r="BN323" i="28"/>
  <c r="BM323" i="28"/>
  <c r="BL323" i="28"/>
  <c r="BK323" i="28"/>
  <c r="BJ323" i="28"/>
  <c r="BI323" i="28"/>
  <c r="BH323" i="28"/>
  <c r="BG323" i="28"/>
  <c r="BF323" i="28"/>
  <c r="BX322" i="28"/>
  <c r="BW322" i="28"/>
  <c r="BV322" i="28"/>
  <c r="BU322" i="28"/>
  <c r="BT322" i="28"/>
  <c r="BS322" i="28"/>
  <c r="BR322" i="28"/>
  <c r="BQ322" i="28"/>
  <c r="BP322" i="28"/>
  <c r="BO322" i="28"/>
  <c r="BN322" i="28"/>
  <c r="BM322" i="28"/>
  <c r="BL322" i="28"/>
  <c r="BK322" i="28"/>
  <c r="BJ322" i="28"/>
  <c r="BI322" i="28"/>
  <c r="BH322" i="28"/>
  <c r="BG322" i="28"/>
  <c r="BF322" i="28"/>
  <c r="BX321" i="28"/>
  <c r="BW321" i="28"/>
  <c r="BV321" i="28"/>
  <c r="BU321" i="28"/>
  <c r="BT321" i="28"/>
  <c r="BS321" i="28"/>
  <c r="BR321" i="28"/>
  <c r="BQ321" i="28"/>
  <c r="BP321" i="28"/>
  <c r="BO321" i="28"/>
  <c r="BN321" i="28"/>
  <c r="BM321" i="28"/>
  <c r="BL321" i="28"/>
  <c r="BK321" i="28"/>
  <c r="BJ321" i="28"/>
  <c r="BI321" i="28"/>
  <c r="BH321" i="28"/>
  <c r="BG321" i="28"/>
  <c r="BF321" i="28"/>
  <c r="BX320" i="28"/>
  <c r="BW320" i="28"/>
  <c r="BV320" i="28"/>
  <c r="BU320" i="28"/>
  <c r="BT320" i="28"/>
  <c r="BS320" i="28"/>
  <c r="BR320" i="28"/>
  <c r="BQ320" i="28"/>
  <c r="BP320" i="28"/>
  <c r="BO320" i="28"/>
  <c r="BN320" i="28"/>
  <c r="BM320" i="28"/>
  <c r="BL320" i="28"/>
  <c r="BK320" i="28"/>
  <c r="BJ320" i="28"/>
  <c r="BI320" i="28"/>
  <c r="BH320" i="28"/>
  <c r="BG320" i="28"/>
  <c r="BF320" i="28"/>
  <c r="BX319" i="28"/>
  <c r="BW319" i="28"/>
  <c r="BV319" i="28"/>
  <c r="BU319" i="28"/>
  <c r="BT319" i="28"/>
  <c r="BS319" i="28"/>
  <c r="BR319" i="28"/>
  <c r="BQ319" i="28"/>
  <c r="BP319" i="28"/>
  <c r="BO319" i="28"/>
  <c r="BN319" i="28"/>
  <c r="BM319" i="28"/>
  <c r="BL319" i="28"/>
  <c r="BK319" i="28"/>
  <c r="BJ319" i="28"/>
  <c r="BI319" i="28"/>
  <c r="BH319" i="28"/>
  <c r="BG319" i="28"/>
  <c r="BF319" i="28"/>
  <c r="BX318" i="28"/>
  <c r="BW318" i="28"/>
  <c r="BV318" i="28"/>
  <c r="BU318" i="28"/>
  <c r="BT318" i="28"/>
  <c r="BS318" i="28"/>
  <c r="BR318" i="28"/>
  <c r="BQ318" i="28"/>
  <c r="BP318" i="28"/>
  <c r="BO318" i="28"/>
  <c r="BN318" i="28"/>
  <c r="BM318" i="28"/>
  <c r="BL318" i="28"/>
  <c r="BK318" i="28"/>
  <c r="BJ318" i="28"/>
  <c r="BI318" i="28"/>
  <c r="BH318" i="28"/>
  <c r="BG318" i="28"/>
  <c r="BF318" i="28"/>
  <c r="BX317" i="28"/>
  <c r="BW317" i="28"/>
  <c r="BV317" i="28"/>
  <c r="BU317" i="28"/>
  <c r="BT317" i="28"/>
  <c r="BS317" i="28"/>
  <c r="BR317" i="28"/>
  <c r="BQ317" i="28"/>
  <c r="BP317" i="28"/>
  <c r="BO317" i="28"/>
  <c r="BN317" i="28"/>
  <c r="BM317" i="28"/>
  <c r="BL317" i="28"/>
  <c r="BK317" i="28"/>
  <c r="BJ317" i="28"/>
  <c r="BI317" i="28"/>
  <c r="BH317" i="28"/>
  <c r="BG317" i="28"/>
  <c r="BF317" i="28"/>
  <c r="BX316" i="28"/>
  <c r="BW316" i="28"/>
  <c r="BV316" i="28"/>
  <c r="BU316" i="28"/>
  <c r="BT316" i="28"/>
  <c r="BS316" i="28"/>
  <c r="BR316" i="28"/>
  <c r="BQ316" i="28"/>
  <c r="BP316" i="28"/>
  <c r="BO316" i="28"/>
  <c r="BN316" i="28"/>
  <c r="BM316" i="28"/>
  <c r="BL316" i="28"/>
  <c r="BK316" i="28"/>
  <c r="BJ316" i="28"/>
  <c r="BI316" i="28"/>
  <c r="BH316" i="28"/>
  <c r="BG316" i="28"/>
  <c r="BF316" i="28"/>
  <c r="BX315" i="28"/>
  <c r="BW315" i="28"/>
  <c r="BV315" i="28"/>
  <c r="BU315" i="28"/>
  <c r="BT315" i="28"/>
  <c r="BS315" i="28"/>
  <c r="BR315" i="28"/>
  <c r="BQ315" i="28"/>
  <c r="BP315" i="28"/>
  <c r="BO315" i="28"/>
  <c r="BN315" i="28"/>
  <c r="BM315" i="28"/>
  <c r="BL315" i="28"/>
  <c r="BK315" i="28"/>
  <c r="BJ315" i="28"/>
  <c r="BI315" i="28"/>
  <c r="BH315" i="28"/>
  <c r="BG315" i="28"/>
  <c r="BF315" i="28"/>
  <c r="BX314" i="28"/>
  <c r="BW314" i="28"/>
  <c r="BV314" i="28"/>
  <c r="BU314" i="28"/>
  <c r="BT314" i="28"/>
  <c r="BS314" i="28"/>
  <c r="BR314" i="28"/>
  <c r="BQ314" i="28"/>
  <c r="BP314" i="28"/>
  <c r="BO314" i="28"/>
  <c r="BN314" i="28"/>
  <c r="BM314" i="28"/>
  <c r="BL314" i="28"/>
  <c r="BK314" i="28"/>
  <c r="BJ314" i="28"/>
  <c r="BI314" i="28"/>
  <c r="BH314" i="28"/>
  <c r="BG314" i="28"/>
  <c r="BF314" i="28"/>
  <c r="BX313" i="28"/>
  <c r="BW313" i="28"/>
  <c r="BV313" i="28"/>
  <c r="BU313" i="28"/>
  <c r="BT313" i="28"/>
  <c r="BS313" i="28"/>
  <c r="BR313" i="28"/>
  <c r="BQ313" i="28"/>
  <c r="BP313" i="28"/>
  <c r="BO313" i="28"/>
  <c r="BN313" i="28"/>
  <c r="BM313" i="28"/>
  <c r="BL313" i="28"/>
  <c r="BK313" i="28"/>
  <c r="BJ313" i="28"/>
  <c r="BI313" i="28"/>
  <c r="BH313" i="28"/>
  <c r="BG313" i="28"/>
  <c r="BF313" i="28"/>
  <c r="BX312" i="28"/>
  <c r="BW312" i="28"/>
  <c r="BV312" i="28"/>
  <c r="BU312" i="28"/>
  <c r="BT312" i="28"/>
  <c r="BS312" i="28"/>
  <c r="BR312" i="28"/>
  <c r="BQ312" i="28"/>
  <c r="BP312" i="28"/>
  <c r="BO312" i="28"/>
  <c r="BN312" i="28"/>
  <c r="BM312" i="28"/>
  <c r="BL312" i="28"/>
  <c r="BK312" i="28"/>
  <c r="BJ312" i="28"/>
  <c r="BI312" i="28"/>
  <c r="BH312" i="28"/>
  <c r="BG312" i="28"/>
  <c r="BF312" i="28"/>
  <c r="BX311" i="28"/>
  <c r="BW311" i="28"/>
  <c r="BV311" i="28"/>
  <c r="BU311" i="28"/>
  <c r="BT311" i="28"/>
  <c r="BS311" i="28"/>
  <c r="BR311" i="28"/>
  <c r="BQ311" i="28"/>
  <c r="BP311" i="28"/>
  <c r="BO311" i="28"/>
  <c r="BN311" i="28"/>
  <c r="BM311" i="28"/>
  <c r="BL311" i="28"/>
  <c r="BK311" i="28"/>
  <c r="BJ311" i="28"/>
  <c r="BI311" i="28"/>
  <c r="BH311" i="28"/>
  <c r="BG311" i="28"/>
  <c r="BF311" i="28"/>
  <c r="BX310" i="28"/>
  <c r="BW310" i="28"/>
  <c r="BV310" i="28"/>
  <c r="BU310" i="28"/>
  <c r="BT310" i="28"/>
  <c r="BS310" i="28"/>
  <c r="BR310" i="28"/>
  <c r="BQ310" i="28"/>
  <c r="BP310" i="28"/>
  <c r="BO310" i="28"/>
  <c r="BN310" i="28"/>
  <c r="BM310" i="28"/>
  <c r="BL310" i="28"/>
  <c r="BK310" i="28"/>
  <c r="BJ310" i="28"/>
  <c r="BI310" i="28"/>
  <c r="BH310" i="28"/>
  <c r="BG310" i="28"/>
  <c r="BF310" i="28"/>
  <c r="BX309" i="28"/>
  <c r="BW309" i="28"/>
  <c r="BV309" i="28"/>
  <c r="BU309" i="28"/>
  <c r="BT309" i="28"/>
  <c r="BS309" i="28"/>
  <c r="BR309" i="28"/>
  <c r="BQ309" i="28"/>
  <c r="BP309" i="28"/>
  <c r="BO309" i="28"/>
  <c r="BN309" i="28"/>
  <c r="BM309" i="28"/>
  <c r="BL309" i="28"/>
  <c r="BK309" i="28"/>
  <c r="BJ309" i="28"/>
  <c r="BI309" i="28"/>
  <c r="BH309" i="28"/>
  <c r="BG309" i="28"/>
  <c r="BF309" i="28"/>
  <c r="BX308" i="28"/>
  <c r="BW308" i="28"/>
  <c r="BV308" i="28"/>
  <c r="BU308" i="28"/>
  <c r="BT308" i="28"/>
  <c r="BS308" i="28"/>
  <c r="BR308" i="28"/>
  <c r="BQ308" i="28"/>
  <c r="BP308" i="28"/>
  <c r="BO308" i="28"/>
  <c r="BN308" i="28"/>
  <c r="BM308" i="28"/>
  <c r="BL308" i="28"/>
  <c r="BK308" i="28"/>
  <c r="BJ308" i="28"/>
  <c r="BI308" i="28"/>
  <c r="BH308" i="28"/>
  <c r="BG308" i="28"/>
  <c r="BF308" i="28"/>
  <c r="BX307" i="28"/>
  <c r="BW307" i="28"/>
  <c r="BV307" i="28"/>
  <c r="BU307" i="28"/>
  <c r="BT307" i="28"/>
  <c r="BS307" i="28"/>
  <c r="BR307" i="28"/>
  <c r="BQ307" i="28"/>
  <c r="BP307" i="28"/>
  <c r="BO307" i="28"/>
  <c r="BN307" i="28"/>
  <c r="BM307" i="28"/>
  <c r="BL307" i="28"/>
  <c r="BK307" i="28"/>
  <c r="BJ307" i="28"/>
  <c r="BI307" i="28"/>
  <c r="BH307" i="28"/>
  <c r="BG307" i="28"/>
  <c r="BF307" i="28"/>
  <c r="BX306" i="28"/>
  <c r="BW306" i="28"/>
  <c r="BV306" i="28"/>
  <c r="BU306" i="28"/>
  <c r="BT306" i="28"/>
  <c r="BS306" i="28"/>
  <c r="BR306" i="28"/>
  <c r="BQ306" i="28"/>
  <c r="BP306" i="28"/>
  <c r="BO306" i="28"/>
  <c r="BN306" i="28"/>
  <c r="BM306" i="28"/>
  <c r="BL306" i="28"/>
  <c r="BK306" i="28"/>
  <c r="BJ306" i="28"/>
  <c r="BI306" i="28"/>
  <c r="BH306" i="28"/>
  <c r="BG306" i="28"/>
  <c r="BF306" i="28"/>
  <c r="BX305" i="28"/>
  <c r="BW305" i="28"/>
  <c r="BV305" i="28"/>
  <c r="BU305" i="28"/>
  <c r="BT305" i="28"/>
  <c r="BS305" i="28"/>
  <c r="BR305" i="28"/>
  <c r="BQ305" i="28"/>
  <c r="BP305" i="28"/>
  <c r="BO305" i="28"/>
  <c r="BN305" i="28"/>
  <c r="BM305" i="28"/>
  <c r="BL305" i="28"/>
  <c r="BK305" i="28"/>
  <c r="BJ305" i="28"/>
  <c r="BI305" i="28"/>
  <c r="BH305" i="28"/>
  <c r="BG305" i="28"/>
  <c r="BF305" i="28"/>
  <c r="BX304" i="28"/>
  <c r="BW304" i="28"/>
  <c r="BV304" i="28"/>
  <c r="BU304" i="28"/>
  <c r="BT304" i="28"/>
  <c r="BS304" i="28"/>
  <c r="BR304" i="28"/>
  <c r="BQ304" i="28"/>
  <c r="BP304" i="28"/>
  <c r="BO304" i="28"/>
  <c r="BN304" i="28"/>
  <c r="BM304" i="28"/>
  <c r="BL304" i="28"/>
  <c r="BK304" i="28"/>
  <c r="BJ304" i="28"/>
  <c r="BI304" i="28"/>
  <c r="BH304" i="28"/>
  <c r="BG304" i="28"/>
  <c r="BF304" i="28"/>
  <c r="BX303" i="28"/>
  <c r="BW303" i="28"/>
  <c r="BV303" i="28"/>
  <c r="BU303" i="28"/>
  <c r="BT303" i="28"/>
  <c r="BS303" i="28"/>
  <c r="BR303" i="28"/>
  <c r="BQ303" i="28"/>
  <c r="BP303" i="28"/>
  <c r="BO303" i="28"/>
  <c r="BN303" i="28"/>
  <c r="BM303" i="28"/>
  <c r="BL303" i="28"/>
  <c r="BK303" i="28"/>
  <c r="BJ303" i="28"/>
  <c r="BI303" i="28"/>
  <c r="BH303" i="28"/>
  <c r="BG303" i="28"/>
  <c r="BF303" i="28"/>
  <c r="BX302" i="28"/>
  <c r="BW302" i="28"/>
  <c r="BV302" i="28"/>
  <c r="BU302" i="28"/>
  <c r="BT302" i="28"/>
  <c r="BS302" i="28"/>
  <c r="BR302" i="28"/>
  <c r="BQ302" i="28"/>
  <c r="BP302" i="28"/>
  <c r="BO302" i="28"/>
  <c r="BN302" i="28"/>
  <c r="BM302" i="28"/>
  <c r="BL302" i="28"/>
  <c r="BK302" i="28"/>
  <c r="BJ302" i="28"/>
  <c r="BI302" i="28"/>
  <c r="BH302" i="28"/>
  <c r="BG302" i="28"/>
  <c r="BF302" i="28"/>
  <c r="BX301" i="28"/>
  <c r="BW301" i="28"/>
  <c r="BV301" i="28"/>
  <c r="BU301" i="28"/>
  <c r="BT301" i="28"/>
  <c r="BS301" i="28"/>
  <c r="BR301" i="28"/>
  <c r="BQ301" i="28"/>
  <c r="BP301" i="28"/>
  <c r="BO301" i="28"/>
  <c r="BN301" i="28"/>
  <c r="BM301" i="28"/>
  <c r="BL301" i="28"/>
  <c r="BK301" i="28"/>
  <c r="BJ301" i="28"/>
  <c r="BI301" i="28"/>
  <c r="BH301" i="28"/>
  <c r="BG301" i="28"/>
  <c r="BF301" i="28"/>
  <c r="BX300" i="28"/>
  <c r="BW300" i="28"/>
  <c r="BV300" i="28"/>
  <c r="BU300" i="28"/>
  <c r="BT300" i="28"/>
  <c r="BS300" i="28"/>
  <c r="BR300" i="28"/>
  <c r="BQ300" i="28"/>
  <c r="BP300" i="28"/>
  <c r="BO300" i="28"/>
  <c r="BN300" i="28"/>
  <c r="BM300" i="28"/>
  <c r="BL300" i="28"/>
  <c r="BK300" i="28"/>
  <c r="BJ300" i="28"/>
  <c r="BI300" i="28"/>
  <c r="BH300" i="28"/>
  <c r="BG300" i="28"/>
  <c r="BF300" i="28"/>
  <c r="BX299" i="28"/>
  <c r="BW299" i="28"/>
  <c r="BV299" i="28"/>
  <c r="BU299" i="28"/>
  <c r="BT299" i="28"/>
  <c r="BS299" i="28"/>
  <c r="BR299" i="28"/>
  <c r="BQ299" i="28"/>
  <c r="BP299" i="28"/>
  <c r="BO299" i="28"/>
  <c r="BN299" i="28"/>
  <c r="BM299" i="28"/>
  <c r="BL299" i="28"/>
  <c r="BK299" i="28"/>
  <c r="BJ299" i="28"/>
  <c r="BI299" i="28"/>
  <c r="BH299" i="28"/>
  <c r="BG299" i="28"/>
  <c r="BF299" i="28"/>
  <c r="BX298" i="28"/>
  <c r="BW298" i="28"/>
  <c r="BV298" i="28"/>
  <c r="BU298" i="28"/>
  <c r="BT298" i="28"/>
  <c r="BS298" i="28"/>
  <c r="BR298" i="28"/>
  <c r="BQ298" i="28"/>
  <c r="BP298" i="28"/>
  <c r="BO298" i="28"/>
  <c r="BN298" i="28"/>
  <c r="BM298" i="28"/>
  <c r="BL298" i="28"/>
  <c r="BK298" i="28"/>
  <c r="BJ298" i="28"/>
  <c r="BI298" i="28"/>
  <c r="BH298" i="28"/>
  <c r="BG298" i="28"/>
  <c r="BF298" i="28"/>
  <c r="BX297" i="28"/>
  <c r="BW297" i="28"/>
  <c r="BV297" i="28"/>
  <c r="BU297" i="28"/>
  <c r="BT297" i="28"/>
  <c r="BS297" i="28"/>
  <c r="BR297" i="28"/>
  <c r="BQ297" i="28"/>
  <c r="BP297" i="28"/>
  <c r="BO297" i="28"/>
  <c r="BN297" i="28"/>
  <c r="BM297" i="28"/>
  <c r="BL297" i="28"/>
  <c r="BK297" i="28"/>
  <c r="BJ297" i="28"/>
  <c r="BI297" i="28"/>
  <c r="BH297" i="28"/>
  <c r="BG297" i="28"/>
  <c r="BF297" i="28"/>
  <c r="BX296" i="28"/>
  <c r="BW296" i="28"/>
  <c r="BV296" i="28"/>
  <c r="BU296" i="28"/>
  <c r="BT296" i="28"/>
  <c r="BS296" i="28"/>
  <c r="BR296" i="28"/>
  <c r="BQ296" i="28"/>
  <c r="BP296" i="28"/>
  <c r="BO296" i="28"/>
  <c r="BN296" i="28"/>
  <c r="BM296" i="28"/>
  <c r="BL296" i="28"/>
  <c r="BK296" i="28"/>
  <c r="BJ296" i="28"/>
  <c r="BI296" i="28"/>
  <c r="BH296" i="28"/>
  <c r="BG296" i="28"/>
  <c r="BF296" i="28"/>
  <c r="BX295" i="28"/>
  <c r="BW295" i="28"/>
  <c r="BV295" i="28"/>
  <c r="BU295" i="28"/>
  <c r="BT295" i="28"/>
  <c r="BS295" i="28"/>
  <c r="BR295" i="28"/>
  <c r="BQ295" i="28"/>
  <c r="BP295" i="28"/>
  <c r="BO295" i="28"/>
  <c r="BN295" i="28"/>
  <c r="BM295" i="28"/>
  <c r="BL295" i="28"/>
  <c r="BK295" i="28"/>
  <c r="BJ295" i="28"/>
  <c r="BI295" i="28"/>
  <c r="BH295" i="28"/>
  <c r="BG295" i="28"/>
  <c r="BF295" i="28"/>
  <c r="BX294" i="28"/>
  <c r="BW294" i="28"/>
  <c r="BV294" i="28"/>
  <c r="BU294" i="28"/>
  <c r="BT294" i="28"/>
  <c r="BS294" i="28"/>
  <c r="BR294" i="28"/>
  <c r="BQ294" i="28"/>
  <c r="BP294" i="28"/>
  <c r="BO294" i="28"/>
  <c r="BN294" i="28"/>
  <c r="BM294" i="28"/>
  <c r="BL294" i="28"/>
  <c r="BK294" i="28"/>
  <c r="BJ294" i="28"/>
  <c r="BI294" i="28"/>
  <c r="BH294" i="28"/>
  <c r="BG294" i="28"/>
  <c r="BF294" i="28"/>
  <c r="BX293" i="28"/>
  <c r="BW293" i="28"/>
  <c r="BV293" i="28"/>
  <c r="BU293" i="28"/>
  <c r="BT293" i="28"/>
  <c r="BS293" i="28"/>
  <c r="BR293" i="28"/>
  <c r="BQ293" i="28"/>
  <c r="BP293" i="28"/>
  <c r="BO293" i="28"/>
  <c r="BN293" i="28"/>
  <c r="BM293" i="28"/>
  <c r="BL293" i="28"/>
  <c r="BK293" i="28"/>
  <c r="BJ293" i="28"/>
  <c r="BI293" i="28"/>
  <c r="BH293" i="28"/>
  <c r="BG293" i="28"/>
  <c r="BF293" i="28"/>
  <c r="BX292" i="28"/>
  <c r="BW292" i="28"/>
  <c r="BV292" i="28"/>
  <c r="BU292" i="28"/>
  <c r="BT292" i="28"/>
  <c r="BS292" i="28"/>
  <c r="BR292" i="28"/>
  <c r="BQ292" i="28"/>
  <c r="BP292" i="28"/>
  <c r="BO292" i="28"/>
  <c r="BN292" i="28"/>
  <c r="BM292" i="28"/>
  <c r="BL292" i="28"/>
  <c r="BK292" i="28"/>
  <c r="BJ292" i="28"/>
  <c r="BI292" i="28"/>
  <c r="BH292" i="28"/>
  <c r="BG292" i="28"/>
  <c r="BF292" i="28"/>
  <c r="BX291" i="28"/>
  <c r="BW291" i="28"/>
  <c r="BV291" i="28"/>
  <c r="BU291" i="28"/>
  <c r="BT291" i="28"/>
  <c r="BS291" i="28"/>
  <c r="BR291" i="28"/>
  <c r="BQ291" i="28"/>
  <c r="BP291" i="28"/>
  <c r="BO291" i="28"/>
  <c r="BN291" i="28"/>
  <c r="BM291" i="28"/>
  <c r="BL291" i="28"/>
  <c r="BK291" i="28"/>
  <c r="BJ291" i="28"/>
  <c r="BI291" i="28"/>
  <c r="BH291" i="28"/>
  <c r="BG291" i="28"/>
  <c r="BF291" i="28"/>
  <c r="BX290" i="28"/>
  <c r="BW290" i="28"/>
  <c r="BV290" i="28"/>
  <c r="BU290" i="28"/>
  <c r="BT290" i="28"/>
  <c r="BS290" i="28"/>
  <c r="BR290" i="28"/>
  <c r="BQ290" i="28"/>
  <c r="BP290" i="28"/>
  <c r="BO290" i="28"/>
  <c r="BN290" i="28"/>
  <c r="BM290" i="28"/>
  <c r="BL290" i="28"/>
  <c r="BK290" i="28"/>
  <c r="BJ290" i="28"/>
  <c r="BI290" i="28"/>
  <c r="BH290" i="28"/>
  <c r="BG290" i="28"/>
  <c r="BF290" i="28"/>
  <c r="BX289" i="28"/>
  <c r="BW289" i="28"/>
  <c r="BV289" i="28"/>
  <c r="BU289" i="28"/>
  <c r="BT289" i="28"/>
  <c r="BS289" i="28"/>
  <c r="BR289" i="28"/>
  <c r="BQ289" i="28"/>
  <c r="BP289" i="28"/>
  <c r="BO289" i="28"/>
  <c r="BN289" i="28"/>
  <c r="BM289" i="28"/>
  <c r="BL289" i="28"/>
  <c r="BK289" i="28"/>
  <c r="BJ289" i="28"/>
  <c r="BI289" i="28"/>
  <c r="BH289" i="28"/>
  <c r="BG289" i="28"/>
  <c r="BF289" i="28"/>
  <c r="BX288" i="28"/>
  <c r="BW288" i="28"/>
  <c r="BV288" i="28"/>
  <c r="BU288" i="28"/>
  <c r="BT288" i="28"/>
  <c r="BS288" i="28"/>
  <c r="BR288" i="28"/>
  <c r="BQ288" i="28"/>
  <c r="BP288" i="28"/>
  <c r="BO288" i="28"/>
  <c r="BN288" i="28"/>
  <c r="BM288" i="28"/>
  <c r="BL288" i="28"/>
  <c r="BK288" i="28"/>
  <c r="BJ288" i="28"/>
  <c r="BI288" i="28"/>
  <c r="BH288" i="28"/>
  <c r="BG288" i="28"/>
  <c r="BF288" i="28"/>
  <c r="BX287" i="28"/>
  <c r="BW287" i="28"/>
  <c r="BV287" i="28"/>
  <c r="BU287" i="28"/>
  <c r="BT287" i="28"/>
  <c r="BS287" i="28"/>
  <c r="BR287" i="28"/>
  <c r="BQ287" i="28"/>
  <c r="BP287" i="28"/>
  <c r="BO287" i="28"/>
  <c r="BN287" i="28"/>
  <c r="BM287" i="28"/>
  <c r="BL287" i="28"/>
  <c r="BK287" i="28"/>
  <c r="BJ287" i="28"/>
  <c r="BI287" i="28"/>
  <c r="BH287" i="28"/>
  <c r="BG287" i="28"/>
  <c r="BF287" i="28"/>
  <c r="BX286" i="28"/>
  <c r="BW286" i="28"/>
  <c r="BV286" i="28"/>
  <c r="BU286" i="28"/>
  <c r="BT286" i="28"/>
  <c r="BS286" i="28"/>
  <c r="BR286" i="28"/>
  <c r="BQ286" i="28"/>
  <c r="BP286" i="28"/>
  <c r="BO286" i="28"/>
  <c r="BN286" i="28"/>
  <c r="BM286" i="28"/>
  <c r="BL286" i="28"/>
  <c r="BK286" i="28"/>
  <c r="BJ286" i="28"/>
  <c r="BI286" i="28"/>
  <c r="BH286" i="28"/>
  <c r="BG286" i="28"/>
  <c r="BF286" i="28"/>
  <c r="BX285" i="28"/>
  <c r="BW285" i="28"/>
  <c r="BV285" i="28"/>
  <c r="BU285" i="28"/>
  <c r="BT285" i="28"/>
  <c r="BS285" i="28"/>
  <c r="BR285" i="28"/>
  <c r="BQ285" i="28"/>
  <c r="BP285" i="28"/>
  <c r="BO285" i="28"/>
  <c r="BN285" i="28"/>
  <c r="BM285" i="28"/>
  <c r="BL285" i="28"/>
  <c r="BK285" i="28"/>
  <c r="BJ285" i="28"/>
  <c r="BI285" i="28"/>
  <c r="BH285" i="28"/>
  <c r="BG285" i="28"/>
  <c r="BF285" i="28"/>
  <c r="BX284" i="28"/>
  <c r="BW284" i="28"/>
  <c r="BV284" i="28"/>
  <c r="BU284" i="28"/>
  <c r="BT284" i="28"/>
  <c r="BS284" i="28"/>
  <c r="BR284" i="28"/>
  <c r="BQ284" i="28"/>
  <c r="BP284" i="28"/>
  <c r="BO284" i="28"/>
  <c r="BN284" i="28"/>
  <c r="BM284" i="28"/>
  <c r="BL284" i="28"/>
  <c r="BK284" i="28"/>
  <c r="BJ284" i="28"/>
  <c r="BI284" i="28"/>
  <c r="BH284" i="28"/>
  <c r="BG284" i="28"/>
  <c r="BF284" i="28"/>
  <c r="BX283" i="28"/>
  <c r="BW283" i="28"/>
  <c r="BV283" i="28"/>
  <c r="BU283" i="28"/>
  <c r="BT283" i="28"/>
  <c r="BS283" i="28"/>
  <c r="BR283" i="28"/>
  <c r="BQ283" i="28"/>
  <c r="BP283" i="28"/>
  <c r="BO283" i="28"/>
  <c r="BN283" i="28"/>
  <c r="BM283" i="28"/>
  <c r="BL283" i="28"/>
  <c r="BK283" i="28"/>
  <c r="BJ283" i="28"/>
  <c r="BI283" i="28"/>
  <c r="BH283" i="28"/>
  <c r="BG283" i="28"/>
  <c r="BF283" i="28"/>
  <c r="BX282" i="28"/>
  <c r="BW282" i="28"/>
  <c r="BV282" i="28"/>
  <c r="BU282" i="28"/>
  <c r="BT282" i="28"/>
  <c r="BS282" i="28"/>
  <c r="BR282" i="28"/>
  <c r="BQ282" i="28"/>
  <c r="BP282" i="28"/>
  <c r="BO282" i="28"/>
  <c r="BN282" i="28"/>
  <c r="BM282" i="28"/>
  <c r="BL282" i="28"/>
  <c r="BK282" i="28"/>
  <c r="BJ282" i="28"/>
  <c r="BI282" i="28"/>
  <c r="BH282" i="28"/>
  <c r="BG282" i="28"/>
  <c r="BF282" i="28"/>
  <c r="BX281" i="28"/>
  <c r="BW281" i="28"/>
  <c r="BV281" i="28"/>
  <c r="BU281" i="28"/>
  <c r="BT281" i="28"/>
  <c r="BS281" i="28"/>
  <c r="BR281" i="28"/>
  <c r="BQ281" i="28"/>
  <c r="BP281" i="28"/>
  <c r="BO281" i="28"/>
  <c r="BN281" i="28"/>
  <c r="BM281" i="28"/>
  <c r="BL281" i="28"/>
  <c r="BK281" i="28"/>
  <c r="BJ281" i="28"/>
  <c r="BI281" i="28"/>
  <c r="BH281" i="28"/>
  <c r="BG281" i="28"/>
  <c r="BF281" i="28"/>
  <c r="BX280" i="28"/>
  <c r="BW280" i="28"/>
  <c r="BV280" i="28"/>
  <c r="BU280" i="28"/>
  <c r="BT280" i="28"/>
  <c r="BS280" i="28"/>
  <c r="BR280" i="28"/>
  <c r="BQ280" i="28"/>
  <c r="BP280" i="28"/>
  <c r="BO280" i="28"/>
  <c r="BN280" i="28"/>
  <c r="BM280" i="28"/>
  <c r="BL280" i="28"/>
  <c r="BK280" i="28"/>
  <c r="BJ280" i="28"/>
  <c r="BI280" i="28"/>
  <c r="BH280" i="28"/>
  <c r="BG280" i="28"/>
  <c r="BF280" i="28"/>
  <c r="BX279" i="28"/>
  <c r="BW279" i="28"/>
  <c r="BV279" i="28"/>
  <c r="BU279" i="28"/>
  <c r="BT279" i="28"/>
  <c r="BS279" i="28"/>
  <c r="BR279" i="28"/>
  <c r="BQ279" i="28"/>
  <c r="BP279" i="28"/>
  <c r="BO279" i="28"/>
  <c r="BN279" i="28"/>
  <c r="BM279" i="28"/>
  <c r="BL279" i="28"/>
  <c r="BK279" i="28"/>
  <c r="BJ279" i="28"/>
  <c r="BI279" i="28"/>
  <c r="BH279" i="28"/>
  <c r="BG279" i="28"/>
  <c r="BF279" i="28"/>
  <c r="BX278" i="28"/>
  <c r="BW278" i="28"/>
  <c r="BV278" i="28"/>
  <c r="BU278" i="28"/>
  <c r="BT278" i="28"/>
  <c r="BS278" i="28"/>
  <c r="BR278" i="28"/>
  <c r="BQ278" i="28"/>
  <c r="BP278" i="28"/>
  <c r="BO278" i="28"/>
  <c r="BN278" i="28"/>
  <c r="BM278" i="28"/>
  <c r="BL278" i="28"/>
  <c r="BK278" i="28"/>
  <c r="BJ278" i="28"/>
  <c r="BI278" i="28"/>
  <c r="BH278" i="28"/>
  <c r="BG278" i="28"/>
  <c r="BF278" i="28"/>
  <c r="BX277" i="28"/>
  <c r="BW277" i="28"/>
  <c r="BV277" i="28"/>
  <c r="BU277" i="28"/>
  <c r="BT277" i="28"/>
  <c r="BS277" i="28"/>
  <c r="BR277" i="28"/>
  <c r="BQ277" i="28"/>
  <c r="BP277" i="28"/>
  <c r="BO277" i="28"/>
  <c r="BN277" i="28"/>
  <c r="BM277" i="28"/>
  <c r="BL277" i="28"/>
  <c r="BK277" i="28"/>
  <c r="BJ277" i="28"/>
  <c r="BI277" i="28"/>
  <c r="BH277" i="28"/>
  <c r="BG277" i="28"/>
  <c r="BF277" i="28"/>
  <c r="BX276" i="28"/>
  <c r="BW276" i="28"/>
  <c r="BV276" i="28"/>
  <c r="BU276" i="28"/>
  <c r="BT276" i="28"/>
  <c r="BS276" i="28"/>
  <c r="BR276" i="28"/>
  <c r="BQ276" i="28"/>
  <c r="BP276" i="28"/>
  <c r="BO276" i="28"/>
  <c r="BN276" i="28"/>
  <c r="BM276" i="28"/>
  <c r="BL276" i="28"/>
  <c r="BK276" i="28"/>
  <c r="BJ276" i="28"/>
  <c r="BI276" i="28"/>
  <c r="BH276" i="28"/>
  <c r="BG276" i="28"/>
  <c r="BF276" i="28"/>
  <c r="BX275" i="28"/>
  <c r="BW275" i="28"/>
  <c r="BV275" i="28"/>
  <c r="BU275" i="28"/>
  <c r="BT275" i="28"/>
  <c r="BS275" i="28"/>
  <c r="BR275" i="28"/>
  <c r="BQ275" i="28"/>
  <c r="BP275" i="28"/>
  <c r="BO275" i="28"/>
  <c r="BN275" i="28"/>
  <c r="BM275" i="28"/>
  <c r="BL275" i="28"/>
  <c r="BK275" i="28"/>
  <c r="BJ275" i="28"/>
  <c r="BI275" i="28"/>
  <c r="BH275" i="28"/>
  <c r="BG275" i="28"/>
  <c r="BF275" i="28"/>
  <c r="BX274" i="28"/>
  <c r="BW274" i="28"/>
  <c r="BV274" i="28"/>
  <c r="BU274" i="28"/>
  <c r="BT274" i="28"/>
  <c r="BS274" i="28"/>
  <c r="BR274" i="28"/>
  <c r="BQ274" i="28"/>
  <c r="BP274" i="28"/>
  <c r="BO274" i="28"/>
  <c r="BN274" i="28"/>
  <c r="BM274" i="28"/>
  <c r="BL274" i="28"/>
  <c r="BK274" i="28"/>
  <c r="BJ274" i="28"/>
  <c r="BI274" i="28"/>
  <c r="BH274" i="28"/>
  <c r="BG274" i="28"/>
  <c r="BF274" i="28"/>
  <c r="BX273" i="28"/>
  <c r="BW273" i="28"/>
  <c r="BV273" i="28"/>
  <c r="BU273" i="28"/>
  <c r="BT273" i="28"/>
  <c r="BS273" i="28"/>
  <c r="BR273" i="28"/>
  <c r="BQ273" i="28"/>
  <c r="BP273" i="28"/>
  <c r="BO273" i="28"/>
  <c r="BN273" i="28"/>
  <c r="BM273" i="28"/>
  <c r="BL273" i="28"/>
  <c r="BK273" i="28"/>
  <c r="BJ273" i="28"/>
  <c r="BI273" i="28"/>
  <c r="BH273" i="28"/>
  <c r="BG273" i="28"/>
  <c r="BF273" i="28"/>
  <c r="BX272" i="28"/>
  <c r="BW272" i="28"/>
  <c r="BV272" i="28"/>
  <c r="BU272" i="28"/>
  <c r="BT272" i="28"/>
  <c r="BS272" i="28"/>
  <c r="BR272" i="28"/>
  <c r="BQ272" i="28"/>
  <c r="BP272" i="28"/>
  <c r="BO272" i="28"/>
  <c r="BN272" i="28"/>
  <c r="BM272" i="28"/>
  <c r="BL272" i="28"/>
  <c r="BK272" i="28"/>
  <c r="BJ272" i="28"/>
  <c r="BI272" i="28"/>
  <c r="BH272" i="28"/>
  <c r="BG272" i="28"/>
  <c r="BF272" i="28"/>
  <c r="BX271" i="28"/>
  <c r="BW271" i="28"/>
  <c r="BV271" i="28"/>
  <c r="BU271" i="28"/>
  <c r="BT271" i="28"/>
  <c r="BS271" i="28"/>
  <c r="BR271" i="28"/>
  <c r="BQ271" i="28"/>
  <c r="BP271" i="28"/>
  <c r="BO271" i="28"/>
  <c r="BN271" i="28"/>
  <c r="BM271" i="28"/>
  <c r="BL271" i="28"/>
  <c r="BK271" i="28"/>
  <c r="BJ271" i="28"/>
  <c r="BI271" i="28"/>
  <c r="BH271" i="28"/>
  <c r="BG271" i="28"/>
  <c r="BF271" i="28"/>
  <c r="BX270" i="28"/>
  <c r="BW270" i="28"/>
  <c r="BV270" i="28"/>
  <c r="BU270" i="28"/>
  <c r="BT270" i="28"/>
  <c r="BS270" i="28"/>
  <c r="BR270" i="28"/>
  <c r="BQ270" i="28"/>
  <c r="BP270" i="28"/>
  <c r="BO270" i="28"/>
  <c r="BN270" i="28"/>
  <c r="BM270" i="28"/>
  <c r="BL270" i="28"/>
  <c r="BK270" i="28"/>
  <c r="BJ270" i="28"/>
  <c r="BI270" i="28"/>
  <c r="BH270" i="28"/>
  <c r="BG270" i="28"/>
  <c r="BF270" i="28"/>
  <c r="BX269" i="28"/>
  <c r="BW269" i="28"/>
  <c r="BV269" i="28"/>
  <c r="BU269" i="28"/>
  <c r="BT269" i="28"/>
  <c r="BS269" i="28"/>
  <c r="BR269" i="28"/>
  <c r="BQ269" i="28"/>
  <c r="BP269" i="28"/>
  <c r="BO269" i="28"/>
  <c r="BN269" i="28"/>
  <c r="BM269" i="28"/>
  <c r="BL269" i="28"/>
  <c r="BK269" i="28"/>
  <c r="BJ269" i="28"/>
  <c r="BI269" i="28"/>
  <c r="BH269" i="28"/>
  <c r="BG269" i="28"/>
  <c r="BF269" i="28"/>
  <c r="BX268" i="28"/>
  <c r="BW268" i="28"/>
  <c r="BV268" i="28"/>
  <c r="BU268" i="28"/>
  <c r="BT268" i="28"/>
  <c r="BS268" i="28"/>
  <c r="BR268" i="28"/>
  <c r="BQ268" i="28"/>
  <c r="BP268" i="28"/>
  <c r="BO268" i="28"/>
  <c r="BN268" i="28"/>
  <c r="BM268" i="28"/>
  <c r="BL268" i="28"/>
  <c r="BK268" i="28"/>
  <c r="BJ268" i="28"/>
  <c r="BI268" i="28"/>
  <c r="BH268" i="28"/>
  <c r="BG268" i="28"/>
  <c r="BF268" i="28"/>
  <c r="BX267" i="28"/>
  <c r="BW267" i="28"/>
  <c r="BV267" i="28"/>
  <c r="BU267" i="28"/>
  <c r="BT267" i="28"/>
  <c r="BS267" i="28"/>
  <c r="BR267" i="28"/>
  <c r="BQ267" i="28"/>
  <c r="BP267" i="28"/>
  <c r="BO267" i="28"/>
  <c r="BN267" i="28"/>
  <c r="BM267" i="28"/>
  <c r="BL267" i="28"/>
  <c r="BK267" i="28"/>
  <c r="BJ267" i="28"/>
  <c r="BI267" i="28"/>
  <c r="BH267" i="28"/>
  <c r="BG267" i="28"/>
  <c r="BF267" i="28"/>
  <c r="BX266" i="28"/>
  <c r="BW266" i="28"/>
  <c r="BV266" i="28"/>
  <c r="BU266" i="28"/>
  <c r="BT266" i="28"/>
  <c r="BS266" i="28"/>
  <c r="BR266" i="28"/>
  <c r="BQ266" i="28"/>
  <c r="BP266" i="28"/>
  <c r="BO266" i="28"/>
  <c r="BN266" i="28"/>
  <c r="BM266" i="28"/>
  <c r="BL266" i="28"/>
  <c r="BK266" i="28"/>
  <c r="BJ266" i="28"/>
  <c r="BI266" i="28"/>
  <c r="BH266" i="28"/>
  <c r="BG266" i="28"/>
  <c r="BF266" i="28"/>
  <c r="BX265" i="28"/>
  <c r="BW265" i="28"/>
  <c r="BV265" i="28"/>
  <c r="BU265" i="28"/>
  <c r="BT265" i="28"/>
  <c r="BS265" i="28"/>
  <c r="BR265" i="28"/>
  <c r="BQ265" i="28"/>
  <c r="BP265" i="28"/>
  <c r="BO265" i="28"/>
  <c r="BN265" i="28"/>
  <c r="BM265" i="28"/>
  <c r="BL265" i="28"/>
  <c r="BK265" i="28"/>
  <c r="BJ265" i="28"/>
  <c r="BI265" i="28"/>
  <c r="BH265" i="28"/>
  <c r="BG265" i="28"/>
  <c r="BF265" i="28"/>
  <c r="BX264" i="28"/>
  <c r="BW264" i="28"/>
  <c r="BV264" i="28"/>
  <c r="BU264" i="28"/>
  <c r="BT264" i="28"/>
  <c r="BS264" i="28"/>
  <c r="BR264" i="28"/>
  <c r="BQ264" i="28"/>
  <c r="BP264" i="28"/>
  <c r="BO264" i="28"/>
  <c r="BN264" i="28"/>
  <c r="BM264" i="28"/>
  <c r="BL264" i="28"/>
  <c r="BK264" i="28"/>
  <c r="BJ264" i="28"/>
  <c r="BI264" i="28"/>
  <c r="BH264" i="28"/>
  <c r="BG264" i="28"/>
  <c r="BF264" i="28"/>
  <c r="BX263" i="28"/>
  <c r="BW263" i="28"/>
  <c r="BV263" i="28"/>
  <c r="BU263" i="28"/>
  <c r="BT263" i="28"/>
  <c r="BS263" i="28"/>
  <c r="BR263" i="28"/>
  <c r="BQ263" i="28"/>
  <c r="BP263" i="28"/>
  <c r="BO263" i="28"/>
  <c r="BN263" i="28"/>
  <c r="BM263" i="28"/>
  <c r="BL263" i="28"/>
  <c r="BK263" i="28"/>
  <c r="BJ263" i="28"/>
  <c r="BI263" i="28"/>
  <c r="BH263" i="28"/>
  <c r="BG263" i="28"/>
  <c r="BF263" i="28"/>
  <c r="BX262" i="28"/>
  <c r="BW262" i="28"/>
  <c r="BV262" i="28"/>
  <c r="BU262" i="28"/>
  <c r="BT262" i="28"/>
  <c r="BS262" i="28"/>
  <c r="BR262" i="28"/>
  <c r="BQ262" i="28"/>
  <c r="BP262" i="28"/>
  <c r="BO262" i="28"/>
  <c r="BN262" i="28"/>
  <c r="BM262" i="28"/>
  <c r="BL262" i="28"/>
  <c r="BK262" i="28"/>
  <c r="BJ262" i="28"/>
  <c r="BI262" i="28"/>
  <c r="BH262" i="28"/>
  <c r="BG262" i="28"/>
  <c r="BF262" i="28"/>
  <c r="BX261" i="28"/>
  <c r="BW261" i="28"/>
  <c r="BV261" i="28"/>
  <c r="BU261" i="28"/>
  <c r="BT261" i="28"/>
  <c r="BS261" i="28"/>
  <c r="BR261" i="28"/>
  <c r="BQ261" i="28"/>
  <c r="BP261" i="28"/>
  <c r="BO261" i="28"/>
  <c r="BN261" i="28"/>
  <c r="BM261" i="28"/>
  <c r="BL261" i="28"/>
  <c r="BK261" i="28"/>
  <c r="BJ261" i="28"/>
  <c r="BI261" i="28"/>
  <c r="BH261" i="28"/>
  <c r="BG261" i="28"/>
  <c r="BF261" i="28"/>
  <c r="BX260" i="28"/>
  <c r="BW260" i="28"/>
  <c r="BV260" i="28"/>
  <c r="BU260" i="28"/>
  <c r="BT260" i="28"/>
  <c r="BS260" i="28"/>
  <c r="BR260" i="28"/>
  <c r="BQ260" i="28"/>
  <c r="BP260" i="28"/>
  <c r="BO260" i="28"/>
  <c r="BN260" i="28"/>
  <c r="BM260" i="28"/>
  <c r="BL260" i="28"/>
  <c r="BK260" i="28"/>
  <c r="BJ260" i="28"/>
  <c r="BI260" i="28"/>
  <c r="BH260" i="28"/>
  <c r="BG260" i="28"/>
  <c r="BF260" i="28"/>
  <c r="BX259" i="28"/>
  <c r="BW259" i="28"/>
  <c r="BV259" i="28"/>
  <c r="BU259" i="28"/>
  <c r="BT259" i="28"/>
  <c r="BS259" i="28"/>
  <c r="BR259" i="28"/>
  <c r="BQ259" i="28"/>
  <c r="BP259" i="28"/>
  <c r="BO259" i="28"/>
  <c r="BN259" i="28"/>
  <c r="BM259" i="28"/>
  <c r="BL259" i="28"/>
  <c r="BK259" i="28"/>
  <c r="BJ259" i="28"/>
  <c r="BI259" i="28"/>
  <c r="BH259" i="28"/>
  <c r="BG259" i="28"/>
  <c r="BF259" i="28"/>
  <c r="BX258" i="28"/>
  <c r="BW258" i="28"/>
  <c r="BV258" i="28"/>
  <c r="BU258" i="28"/>
  <c r="BT258" i="28"/>
  <c r="BS258" i="28"/>
  <c r="BR258" i="28"/>
  <c r="BQ258" i="28"/>
  <c r="BP258" i="28"/>
  <c r="BO258" i="28"/>
  <c r="BN258" i="28"/>
  <c r="BM258" i="28"/>
  <c r="BL258" i="28"/>
  <c r="BK258" i="28"/>
  <c r="BJ258" i="28"/>
  <c r="BI258" i="28"/>
  <c r="BH258" i="28"/>
  <c r="BG258" i="28"/>
  <c r="BF258" i="28"/>
  <c r="BX257" i="28"/>
  <c r="BW257" i="28"/>
  <c r="BV257" i="28"/>
  <c r="BU257" i="28"/>
  <c r="BT257" i="28"/>
  <c r="BS257" i="28"/>
  <c r="BR257" i="28"/>
  <c r="BQ257" i="28"/>
  <c r="BP257" i="28"/>
  <c r="BO257" i="28"/>
  <c r="BN257" i="28"/>
  <c r="BM257" i="28"/>
  <c r="BL257" i="28"/>
  <c r="BK257" i="28"/>
  <c r="BJ257" i="28"/>
  <c r="BI257" i="28"/>
  <c r="BH257" i="28"/>
  <c r="BG257" i="28"/>
  <c r="BF257" i="28"/>
  <c r="BX256" i="28"/>
  <c r="BW256" i="28"/>
  <c r="BV256" i="28"/>
  <c r="BU256" i="28"/>
  <c r="BT256" i="28"/>
  <c r="BS256" i="28"/>
  <c r="BR256" i="28"/>
  <c r="BQ256" i="28"/>
  <c r="BP256" i="28"/>
  <c r="BO256" i="28"/>
  <c r="BN256" i="28"/>
  <c r="BM256" i="28"/>
  <c r="BL256" i="28"/>
  <c r="BK256" i="28"/>
  <c r="BJ256" i="28"/>
  <c r="BI256" i="28"/>
  <c r="BH256" i="28"/>
  <c r="BG256" i="28"/>
  <c r="BF256" i="28"/>
  <c r="BX255" i="28"/>
  <c r="BW255" i="28"/>
  <c r="BV255" i="28"/>
  <c r="BU255" i="28"/>
  <c r="BT255" i="28"/>
  <c r="BS255" i="28"/>
  <c r="BR255" i="28"/>
  <c r="BQ255" i="28"/>
  <c r="BP255" i="28"/>
  <c r="BO255" i="28"/>
  <c r="BN255" i="28"/>
  <c r="BM255" i="28"/>
  <c r="BL255" i="28"/>
  <c r="BK255" i="28"/>
  <c r="BJ255" i="28"/>
  <c r="BI255" i="28"/>
  <c r="BH255" i="28"/>
  <c r="BG255" i="28"/>
  <c r="BF255" i="28"/>
  <c r="BX254" i="28"/>
  <c r="BW254" i="28"/>
  <c r="BV254" i="28"/>
  <c r="BU254" i="28"/>
  <c r="BT254" i="28"/>
  <c r="BS254" i="28"/>
  <c r="BR254" i="28"/>
  <c r="BQ254" i="28"/>
  <c r="BP254" i="28"/>
  <c r="BO254" i="28"/>
  <c r="BN254" i="28"/>
  <c r="BM254" i="28"/>
  <c r="BL254" i="28"/>
  <c r="BK254" i="28"/>
  <c r="BJ254" i="28"/>
  <c r="BI254" i="28"/>
  <c r="BH254" i="28"/>
  <c r="BG254" i="28"/>
  <c r="BF254" i="28"/>
  <c r="BX253" i="28"/>
  <c r="BW253" i="28"/>
  <c r="BV253" i="28"/>
  <c r="BU253" i="28"/>
  <c r="BT253" i="28"/>
  <c r="BS253" i="28"/>
  <c r="BR253" i="28"/>
  <c r="BQ253" i="28"/>
  <c r="BP253" i="28"/>
  <c r="BO253" i="28"/>
  <c r="BN253" i="28"/>
  <c r="BM253" i="28"/>
  <c r="BL253" i="28"/>
  <c r="BK253" i="28"/>
  <c r="BJ253" i="28"/>
  <c r="BI253" i="28"/>
  <c r="BH253" i="28"/>
  <c r="BG253" i="28"/>
  <c r="BF253" i="28"/>
  <c r="BX252" i="28"/>
  <c r="BW252" i="28"/>
  <c r="BV252" i="28"/>
  <c r="BU252" i="28"/>
  <c r="BT252" i="28"/>
  <c r="BS252" i="28"/>
  <c r="BR252" i="28"/>
  <c r="BQ252" i="28"/>
  <c r="BP252" i="28"/>
  <c r="BO252" i="28"/>
  <c r="BN252" i="28"/>
  <c r="BM252" i="28"/>
  <c r="BL252" i="28"/>
  <c r="BK252" i="28"/>
  <c r="BJ252" i="28"/>
  <c r="BI252" i="28"/>
  <c r="BH252" i="28"/>
  <c r="BG252" i="28"/>
  <c r="BF252" i="28"/>
  <c r="BX251" i="28"/>
  <c r="BW251" i="28"/>
  <c r="BV251" i="28"/>
  <c r="BU251" i="28"/>
  <c r="BT251" i="28"/>
  <c r="BS251" i="28"/>
  <c r="BR251" i="28"/>
  <c r="BQ251" i="28"/>
  <c r="BP251" i="28"/>
  <c r="BO251" i="28"/>
  <c r="BN251" i="28"/>
  <c r="BM251" i="28"/>
  <c r="BL251" i="28"/>
  <c r="BK251" i="28"/>
  <c r="BJ251" i="28"/>
  <c r="BI251" i="28"/>
  <c r="BH251" i="28"/>
  <c r="BG251" i="28"/>
  <c r="BF251" i="28"/>
  <c r="BX250" i="28"/>
  <c r="BW250" i="28"/>
  <c r="BV250" i="28"/>
  <c r="BU250" i="28"/>
  <c r="BT250" i="28"/>
  <c r="BS250" i="28"/>
  <c r="BR250" i="28"/>
  <c r="BQ250" i="28"/>
  <c r="BP250" i="28"/>
  <c r="BO250" i="28"/>
  <c r="BN250" i="28"/>
  <c r="BM250" i="28"/>
  <c r="BL250" i="28"/>
  <c r="BK250" i="28"/>
  <c r="BJ250" i="28"/>
  <c r="BI250" i="28"/>
  <c r="BH250" i="28"/>
  <c r="BG250" i="28"/>
  <c r="BF250" i="28"/>
  <c r="BX249" i="28"/>
  <c r="BW249" i="28"/>
  <c r="BV249" i="28"/>
  <c r="BU249" i="28"/>
  <c r="BT249" i="28"/>
  <c r="BS249" i="28"/>
  <c r="BR249" i="28"/>
  <c r="BQ249" i="28"/>
  <c r="BP249" i="28"/>
  <c r="BO249" i="28"/>
  <c r="BN249" i="28"/>
  <c r="BM249" i="28"/>
  <c r="BL249" i="28"/>
  <c r="BK249" i="28"/>
  <c r="BJ249" i="28"/>
  <c r="BI249" i="28"/>
  <c r="BH249" i="28"/>
  <c r="BG249" i="28"/>
  <c r="BF249" i="28"/>
  <c r="BX248" i="28"/>
  <c r="BW248" i="28"/>
  <c r="BV248" i="28"/>
  <c r="BU248" i="28"/>
  <c r="BT248" i="28"/>
  <c r="BS248" i="28"/>
  <c r="BR248" i="28"/>
  <c r="BQ248" i="28"/>
  <c r="BP248" i="28"/>
  <c r="BO248" i="28"/>
  <c r="BN248" i="28"/>
  <c r="BM248" i="28"/>
  <c r="BL248" i="28"/>
  <c r="BK248" i="28"/>
  <c r="BJ248" i="28"/>
  <c r="BI248" i="28"/>
  <c r="BH248" i="28"/>
  <c r="BG248" i="28"/>
  <c r="BF248" i="28"/>
  <c r="BX247" i="28"/>
  <c r="BW247" i="28"/>
  <c r="BV247" i="28"/>
  <c r="BU247" i="28"/>
  <c r="BT247" i="28"/>
  <c r="BS247" i="28"/>
  <c r="BR247" i="28"/>
  <c r="BQ247" i="28"/>
  <c r="BP247" i="28"/>
  <c r="BO247" i="28"/>
  <c r="BN247" i="28"/>
  <c r="BM247" i="28"/>
  <c r="BL247" i="28"/>
  <c r="BK247" i="28"/>
  <c r="BJ247" i="28"/>
  <c r="BI247" i="28"/>
  <c r="BH247" i="28"/>
  <c r="BG247" i="28"/>
  <c r="BF247" i="28"/>
  <c r="BX246" i="28"/>
  <c r="BW246" i="28"/>
  <c r="BV246" i="28"/>
  <c r="BU246" i="28"/>
  <c r="BT246" i="28"/>
  <c r="BS246" i="28"/>
  <c r="BR246" i="28"/>
  <c r="BQ246" i="28"/>
  <c r="BP246" i="28"/>
  <c r="BO246" i="28"/>
  <c r="BN246" i="28"/>
  <c r="BM246" i="28"/>
  <c r="BL246" i="28"/>
  <c r="BK246" i="28"/>
  <c r="BJ246" i="28"/>
  <c r="BI246" i="28"/>
  <c r="BH246" i="28"/>
  <c r="BG246" i="28"/>
  <c r="BF246" i="28"/>
  <c r="BX245" i="28"/>
  <c r="BW245" i="28"/>
  <c r="BV245" i="28"/>
  <c r="BU245" i="28"/>
  <c r="BT245" i="28"/>
  <c r="BS245" i="28"/>
  <c r="BR245" i="28"/>
  <c r="BQ245" i="28"/>
  <c r="BP245" i="28"/>
  <c r="BO245" i="28"/>
  <c r="BN245" i="28"/>
  <c r="BM245" i="28"/>
  <c r="BL245" i="28"/>
  <c r="BK245" i="28"/>
  <c r="BJ245" i="28"/>
  <c r="BI245" i="28"/>
  <c r="BH245" i="28"/>
  <c r="BG245" i="28"/>
  <c r="BF245" i="28"/>
  <c r="BX244" i="28"/>
  <c r="BW244" i="28"/>
  <c r="BV244" i="28"/>
  <c r="BU244" i="28"/>
  <c r="BT244" i="28"/>
  <c r="BS244" i="28"/>
  <c r="BR244" i="28"/>
  <c r="BQ244" i="28"/>
  <c r="BP244" i="28"/>
  <c r="BO244" i="28"/>
  <c r="BN244" i="28"/>
  <c r="BM244" i="28"/>
  <c r="BL244" i="28"/>
  <c r="BK244" i="28"/>
  <c r="BJ244" i="28"/>
  <c r="BI244" i="28"/>
  <c r="BH244" i="28"/>
  <c r="BG244" i="28"/>
  <c r="BF244" i="28"/>
  <c r="BX243" i="28"/>
  <c r="BW243" i="28"/>
  <c r="BV243" i="28"/>
  <c r="BU243" i="28"/>
  <c r="BT243" i="28"/>
  <c r="BS243" i="28"/>
  <c r="BR243" i="28"/>
  <c r="BQ243" i="28"/>
  <c r="BP243" i="28"/>
  <c r="BO243" i="28"/>
  <c r="BN243" i="28"/>
  <c r="BM243" i="28"/>
  <c r="BL243" i="28"/>
  <c r="BK243" i="28"/>
  <c r="BJ243" i="28"/>
  <c r="BI243" i="28"/>
  <c r="BH243" i="28"/>
  <c r="BG243" i="28"/>
  <c r="BF243" i="28"/>
  <c r="BX242" i="28"/>
  <c r="BW242" i="28"/>
  <c r="BV242" i="28"/>
  <c r="BU242" i="28"/>
  <c r="BT242" i="28"/>
  <c r="BS242" i="28"/>
  <c r="BR242" i="28"/>
  <c r="BQ242" i="28"/>
  <c r="BP242" i="28"/>
  <c r="BO242" i="28"/>
  <c r="BN242" i="28"/>
  <c r="BM242" i="28"/>
  <c r="BL242" i="28"/>
  <c r="BK242" i="28"/>
  <c r="BJ242" i="28"/>
  <c r="BI242" i="28"/>
  <c r="BH242" i="28"/>
  <c r="BG242" i="28"/>
  <c r="BF242" i="28"/>
  <c r="BX241" i="28"/>
  <c r="BW241" i="28"/>
  <c r="BV241" i="28"/>
  <c r="BU241" i="28"/>
  <c r="BT241" i="28"/>
  <c r="BS241" i="28"/>
  <c r="BR241" i="28"/>
  <c r="BQ241" i="28"/>
  <c r="BP241" i="28"/>
  <c r="BO241" i="28"/>
  <c r="BN241" i="28"/>
  <c r="BM241" i="28"/>
  <c r="BL241" i="28"/>
  <c r="BK241" i="28"/>
  <c r="BJ241" i="28"/>
  <c r="BI241" i="28"/>
  <c r="BH241" i="28"/>
  <c r="BG241" i="28"/>
  <c r="BF241" i="28"/>
  <c r="BX240" i="28"/>
  <c r="BW240" i="28"/>
  <c r="BV240" i="28"/>
  <c r="BU240" i="28"/>
  <c r="BT240" i="28"/>
  <c r="BS240" i="28"/>
  <c r="BR240" i="28"/>
  <c r="BQ240" i="28"/>
  <c r="BP240" i="28"/>
  <c r="BO240" i="28"/>
  <c r="BN240" i="28"/>
  <c r="BM240" i="28"/>
  <c r="BL240" i="28"/>
  <c r="BK240" i="28"/>
  <c r="BJ240" i="28"/>
  <c r="BI240" i="28"/>
  <c r="BH240" i="28"/>
  <c r="BG240" i="28"/>
  <c r="BF240" i="28"/>
  <c r="BX239" i="28"/>
  <c r="BW239" i="28"/>
  <c r="BV239" i="28"/>
  <c r="BU239" i="28"/>
  <c r="BT239" i="28"/>
  <c r="BS239" i="28"/>
  <c r="BR239" i="28"/>
  <c r="BQ239" i="28"/>
  <c r="BP239" i="28"/>
  <c r="BO239" i="28"/>
  <c r="BN239" i="28"/>
  <c r="BM239" i="28"/>
  <c r="BL239" i="28"/>
  <c r="BK239" i="28"/>
  <c r="BJ239" i="28"/>
  <c r="BI239" i="28"/>
  <c r="BH239" i="28"/>
  <c r="BG239" i="28"/>
  <c r="BF239" i="28"/>
  <c r="BX238" i="28"/>
  <c r="BW238" i="28"/>
  <c r="BV238" i="28"/>
  <c r="BU238" i="28"/>
  <c r="BT238" i="28"/>
  <c r="BS238" i="28"/>
  <c r="BR238" i="28"/>
  <c r="BQ238" i="28"/>
  <c r="BP238" i="28"/>
  <c r="BO238" i="28"/>
  <c r="BN238" i="28"/>
  <c r="BM238" i="28"/>
  <c r="BL238" i="28"/>
  <c r="BK238" i="28"/>
  <c r="BJ238" i="28"/>
  <c r="BI238" i="28"/>
  <c r="BH238" i="28"/>
  <c r="BG238" i="28"/>
  <c r="BF238" i="28"/>
  <c r="BX237" i="28"/>
  <c r="BW237" i="28"/>
  <c r="BV237" i="28"/>
  <c r="BU237" i="28"/>
  <c r="BT237" i="28"/>
  <c r="BS237" i="28"/>
  <c r="BR237" i="28"/>
  <c r="BQ237" i="28"/>
  <c r="BP237" i="28"/>
  <c r="BO237" i="28"/>
  <c r="BN237" i="28"/>
  <c r="BM237" i="28"/>
  <c r="BL237" i="28"/>
  <c r="BK237" i="28"/>
  <c r="BJ237" i="28"/>
  <c r="BI237" i="28"/>
  <c r="BH237" i="28"/>
  <c r="BG237" i="28"/>
  <c r="BF237" i="28"/>
  <c r="BX236" i="28"/>
  <c r="BW236" i="28"/>
  <c r="BV236" i="28"/>
  <c r="BU236" i="28"/>
  <c r="BT236" i="28"/>
  <c r="BS236" i="28"/>
  <c r="BR236" i="28"/>
  <c r="BQ236" i="28"/>
  <c r="BP236" i="28"/>
  <c r="BO236" i="28"/>
  <c r="BN236" i="28"/>
  <c r="BM236" i="28"/>
  <c r="BL236" i="28"/>
  <c r="BK236" i="28"/>
  <c r="BJ236" i="28"/>
  <c r="BI236" i="28"/>
  <c r="BH236" i="28"/>
  <c r="BG236" i="28"/>
  <c r="BF236" i="28"/>
  <c r="BX235" i="28"/>
  <c r="BW235" i="28"/>
  <c r="BV235" i="28"/>
  <c r="BU235" i="28"/>
  <c r="BT235" i="28"/>
  <c r="BS235" i="28"/>
  <c r="BR235" i="28"/>
  <c r="BQ235" i="28"/>
  <c r="BP235" i="28"/>
  <c r="BO235" i="28"/>
  <c r="BN235" i="28"/>
  <c r="BM235" i="28"/>
  <c r="BL235" i="28"/>
  <c r="BK235" i="28"/>
  <c r="BJ235" i="28"/>
  <c r="BI235" i="28"/>
  <c r="BH235" i="28"/>
  <c r="BG235" i="28"/>
  <c r="BF235" i="28"/>
  <c r="BX234" i="28"/>
  <c r="BW234" i="28"/>
  <c r="BV234" i="28"/>
  <c r="BU234" i="28"/>
  <c r="BT234" i="28"/>
  <c r="BS234" i="28"/>
  <c r="BR234" i="28"/>
  <c r="BQ234" i="28"/>
  <c r="BP234" i="28"/>
  <c r="BO234" i="28"/>
  <c r="BN234" i="28"/>
  <c r="BM234" i="28"/>
  <c r="BL234" i="28"/>
  <c r="BK234" i="28"/>
  <c r="BJ234" i="28"/>
  <c r="BI234" i="28"/>
  <c r="BH234" i="28"/>
  <c r="BG234" i="28"/>
  <c r="BF234" i="28"/>
  <c r="BX233" i="28"/>
  <c r="BW233" i="28"/>
  <c r="BV233" i="28"/>
  <c r="BU233" i="28"/>
  <c r="BT233" i="28"/>
  <c r="BS233" i="28"/>
  <c r="BR233" i="28"/>
  <c r="BQ233" i="28"/>
  <c r="BP233" i="28"/>
  <c r="BO233" i="28"/>
  <c r="BN233" i="28"/>
  <c r="BM233" i="28"/>
  <c r="BL233" i="28"/>
  <c r="BK233" i="28"/>
  <c r="BJ233" i="28"/>
  <c r="BI233" i="28"/>
  <c r="BH233" i="28"/>
  <c r="BG233" i="28"/>
  <c r="BF233" i="28"/>
  <c r="BX232" i="28"/>
  <c r="BW232" i="28"/>
  <c r="BV232" i="28"/>
  <c r="BU232" i="28"/>
  <c r="BT232" i="28"/>
  <c r="BS232" i="28"/>
  <c r="BR232" i="28"/>
  <c r="BQ232" i="28"/>
  <c r="BP232" i="28"/>
  <c r="BO232" i="28"/>
  <c r="BN232" i="28"/>
  <c r="BM232" i="28"/>
  <c r="BL232" i="28"/>
  <c r="BK232" i="28"/>
  <c r="BJ232" i="28"/>
  <c r="BI232" i="28"/>
  <c r="BH232" i="28"/>
  <c r="BG232" i="28"/>
  <c r="BF232" i="28"/>
  <c r="BX231" i="28"/>
  <c r="BW231" i="28"/>
  <c r="BV231" i="28"/>
  <c r="BU231" i="28"/>
  <c r="BT231" i="28"/>
  <c r="BS231" i="28"/>
  <c r="BR231" i="28"/>
  <c r="BQ231" i="28"/>
  <c r="BP231" i="28"/>
  <c r="BO231" i="28"/>
  <c r="BN231" i="28"/>
  <c r="BM231" i="28"/>
  <c r="BL231" i="28"/>
  <c r="BK231" i="28"/>
  <c r="BJ231" i="28"/>
  <c r="BI231" i="28"/>
  <c r="BH231" i="28"/>
  <c r="BG231" i="28"/>
  <c r="BF231" i="28"/>
  <c r="BX230" i="28"/>
  <c r="BW230" i="28"/>
  <c r="BV230" i="28"/>
  <c r="BU230" i="28"/>
  <c r="BT230" i="28"/>
  <c r="BS230" i="28"/>
  <c r="BR230" i="28"/>
  <c r="BQ230" i="28"/>
  <c r="BP230" i="28"/>
  <c r="BO230" i="28"/>
  <c r="BN230" i="28"/>
  <c r="BM230" i="28"/>
  <c r="BL230" i="28"/>
  <c r="BK230" i="28"/>
  <c r="BJ230" i="28"/>
  <c r="BI230" i="28"/>
  <c r="BH230" i="28"/>
  <c r="BG230" i="28"/>
  <c r="BF230" i="28"/>
  <c r="BX229" i="28"/>
  <c r="BW229" i="28"/>
  <c r="BV229" i="28"/>
  <c r="BU229" i="28"/>
  <c r="BT229" i="28"/>
  <c r="BS229" i="28"/>
  <c r="BR229" i="28"/>
  <c r="BQ229" i="28"/>
  <c r="BP229" i="28"/>
  <c r="BO229" i="28"/>
  <c r="BN229" i="28"/>
  <c r="BM229" i="28"/>
  <c r="BL229" i="28"/>
  <c r="BK229" i="28"/>
  <c r="BJ229" i="28"/>
  <c r="BI229" i="28"/>
  <c r="BH229" i="28"/>
  <c r="BG229" i="28"/>
  <c r="BF229" i="28"/>
  <c r="BX228" i="28"/>
  <c r="BW228" i="28"/>
  <c r="BV228" i="28"/>
  <c r="BU228" i="28"/>
  <c r="BT228" i="28"/>
  <c r="BS228" i="28"/>
  <c r="BR228" i="28"/>
  <c r="BQ228" i="28"/>
  <c r="BP228" i="28"/>
  <c r="BO228" i="28"/>
  <c r="BN228" i="28"/>
  <c r="BM228" i="28"/>
  <c r="BL228" i="28"/>
  <c r="BK228" i="28"/>
  <c r="BJ228" i="28"/>
  <c r="BI228" i="28"/>
  <c r="BH228" i="28"/>
  <c r="BG228" i="28"/>
  <c r="BF228" i="28"/>
  <c r="BX227" i="28"/>
  <c r="BW227" i="28"/>
  <c r="BV227" i="28"/>
  <c r="BU227" i="28"/>
  <c r="BT227" i="28"/>
  <c r="BS227" i="28"/>
  <c r="BR227" i="28"/>
  <c r="BQ227" i="28"/>
  <c r="BP227" i="28"/>
  <c r="BO227" i="28"/>
  <c r="BN227" i="28"/>
  <c r="BM227" i="28"/>
  <c r="BL227" i="28"/>
  <c r="BK227" i="28"/>
  <c r="BJ227" i="28"/>
  <c r="BI227" i="28"/>
  <c r="BH227" i="28"/>
  <c r="BG227" i="28"/>
  <c r="BF227" i="28"/>
  <c r="BX226" i="28"/>
  <c r="BW226" i="28"/>
  <c r="BV226" i="28"/>
  <c r="BU226" i="28"/>
  <c r="BT226" i="28"/>
  <c r="BS226" i="28"/>
  <c r="BR226" i="28"/>
  <c r="BQ226" i="28"/>
  <c r="BP226" i="28"/>
  <c r="BO226" i="28"/>
  <c r="BN226" i="28"/>
  <c r="BM226" i="28"/>
  <c r="BL226" i="28"/>
  <c r="BK226" i="28"/>
  <c r="BJ226" i="28"/>
  <c r="BI226" i="28"/>
  <c r="BH226" i="28"/>
  <c r="BG226" i="28"/>
  <c r="BF226" i="28"/>
  <c r="BX225" i="28"/>
  <c r="BW225" i="28"/>
  <c r="BV225" i="28"/>
  <c r="BU225" i="28"/>
  <c r="BT225" i="28"/>
  <c r="BS225" i="28"/>
  <c r="BR225" i="28"/>
  <c r="BQ225" i="28"/>
  <c r="BP225" i="28"/>
  <c r="BO225" i="28"/>
  <c r="BN225" i="28"/>
  <c r="BM225" i="28"/>
  <c r="BL225" i="28"/>
  <c r="BK225" i="28"/>
  <c r="BJ225" i="28"/>
  <c r="BI225" i="28"/>
  <c r="BH225" i="28"/>
  <c r="BG225" i="28"/>
  <c r="BF225" i="28"/>
  <c r="BX224" i="28"/>
  <c r="BW224" i="28"/>
  <c r="BV224" i="28"/>
  <c r="BU224" i="28"/>
  <c r="BT224" i="28"/>
  <c r="BS224" i="28"/>
  <c r="BR224" i="28"/>
  <c r="BQ224" i="28"/>
  <c r="BP224" i="28"/>
  <c r="BO224" i="28"/>
  <c r="BN224" i="28"/>
  <c r="BM224" i="28"/>
  <c r="BL224" i="28"/>
  <c r="BK224" i="28"/>
  <c r="BJ224" i="28"/>
  <c r="BI224" i="28"/>
  <c r="BH224" i="28"/>
  <c r="BG224" i="28"/>
  <c r="BF224" i="28"/>
  <c r="BX223" i="28"/>
  <c r="BW223" i="28"/>
  <c r="BV223" i="28"/>
  <c r="BU223" i="28"/>
  <c r="BT223" i="28"/>
  <c r="BS223" i="28"/>
  <c r="BR223" i="28"/>
  <c r="BQ223" i="28"/>
  <c r="BP223" i="28"/>
  <c r="BO223" i="28"/>
  <c r="BN223" i="28"/>
  <c r="BM223" i="28"/>
  <c r="BL223" i="28"/>
  <c r="BK223" i="28"/>
  <c r="BJ223" i="28"/>
  <c r="BI223" i="28"/>
  <c r="BH223" i="28"/>
  <c r="BG223" i="28"/>
  <c r="BF223" i="28"/>
  <c r="BX222" i="28"/>
  <c r="BW222" i="28"/>
  <c r="BV222" i="28"/>
  <c r="BU222" i="28"/>
  <c r="BT222" i="28"/>
  <c r="BS222" i="28"/>
  <c r="BR222" i="28"/>
  <c r="BQ222" i="28"/>
  <c r="BP222" i="28"/>
  <c r="BO222" i="28"/>
  <c r="BN222" i="28"/>
  <c r="BM222" i="28"/>
  <c r="BL222" i="28"/>
  <c r="BK222" i="28"/>
  <c r="BJ222" i="28"/>
  <c r="BI222" i="28"/>
  <c r="BH222" i="28"/>
  <c r="BG222" i="28"/>
  <c r="BF222" i="28"/>
  <c r="BX221" i="28"/>
  <c r="BW221" i="28"/>
  <c r="BV221" i="28"/>
  <c r="BU221" i="28"/>
  <c r="BT221" i="28"/>
  <c r="BS221" i="28"/>
  <c r="BR221" i="28"/>
  <c r="BQ221" i="28"/>
  <c r="BP221" i="28"/>
  <c r="BO221" i="28"/>
  <c r="BN221" i="28"/>
  <c r="BM221" i="28"/>
  <c r="BL221" i="28"/>
  <c r="BK221" i="28"/>
  <c r="BJ221" i="28"/>
  <c r="BI221" i="28"/>
  <c r="BH221" i="28"/>
  <c r="BG221" i="28"/>
  <c r="BF221" i="28"/>
  <c r="BX220" i="28"/>
  <c r="BW220" i="28"/>
  <c r="BV220" i="28"/>
  <c r="BU220" i="28"/>
  <c r="BT220" i="28"/>
  <c r="BS220" i="28"/>
  <c r="BR220" i="28"/>
  <c r="BQ220" i="28"/>
  <c r="BP220" i="28"/>
  <c r="BO220" i="28"/>
  <c r="BN220" i="28"/>
  <c r="BM220" i="28"/>
  <c r="BL220" i="28"/>
  <c r="BK220" i="28"/>
  <c r="BJ220" i="28"/>
  <c r="BI220" i="28"/>
  <c r="BH220" i="28"/>
  <c r="BG220" i="28"/>
  <c r="BF220" i="28"/>
  <c r="BX219" i="28"/>
  <c r="BW219" i="28"/>
  <c r="BV219" i="28"/>
  <c r="BU219" i="28"/>
  <c r="BT219" i="28"/>
  <c r="BS219" i="28"/>
  <c r="BR219" i="28"/>
  <c r="BQ219" i="28"/>
  <c r="BP219" i="28"/>
  <c r="BO219" i="28"/>
  <c r="BN219" i="28"/>
  <c r="BM219" i="28"/>
  <c r="BL219" i="28"/>
  <c r="BK219" i="28"/>
  <c r="BJ219" i="28"/>
  <c r="BI219" i="28"/>
  <c r="BH219" i="28"/>
  <c r="BG219" i="28"/>
  <c r="BF219" i="28"/>
  <c r="BX218" i="28"/>
  <c r="BW218" i="28"/>
  <c r="BV218" i="28"/>
  <c r="BU218" i="28"/>
  <c r="BT218" i="28"/>
  <c r="BS218" i="28"/>
  <c r="BR218" i="28"/>
  <c r="BQ218" i="28"/>
  <c r="BP218" i="28"/>
  <c r="BO218" i="28"/>
  <c r="BN218" i="28"/>
  <c r="BM218" i="28"/>
  <c r="BL218" i="28"/>
  <c r="BK218" i="28"/>
  <c r="BJ218" i="28"/>
  <c r="BI218" i="28"/>
  <c r="BH218" i="28"/>
  <c r="BG218" i="28"/>
  <c r="BF218" i="28"/>
  <c r="BX217" i="28"/>
  <c r="BW217" i="28"/>
  <c r="BV217" i="28"/>
  <c r="BU217" i="28"/>
  <c r="BT217" i="28"/>
  <c r="BS217" i="28"/>
  <c r="BR217" i="28"/>
  <c r="BQ217" i="28"/>
  <c r="BP217" i="28"/>
  <c r="BO217" i="28"/>
  <c r="BN217" i="28"/>
  <c r="BM217" i="28"/>
  <c r="BL217" i="28"/>
  <c r="BK217" i="28"/>
  <c r="BJ217" i="28"/>
  <c r="BI217" i="28"/>
  <c r="BH217" i="28"/>
  <c r="BG217" i="28"/>
  <c r="BF217" i="28"/>
  <c r="BX216" i="28"/>
  <c r="BW216" i="28"/>
  <c r="BV216" i="28"/>
  <c r="BU216" i="28"/>
  <c r="BT216" i="28"/>
  <c r="BS216" i="28"/>
  <c r="BR216" i="28"/>
  <c r="BQ216" i="28"/>
  <c r="BP216" i="28"/>
  <c r="BO216" i="28"/>
  <c r="BN216" i="28"/>
  <c r="BM216" i="28"/>
  <c r="BL216" i="28"/>
  <c r="BK216" i="28"/>
  <c r="BJ216" i="28"/>
  <c r="BI216" i="28"/>
  <c r="BH216" i="28"/>
  <c r="BG216" i="28"/>
  <c r="BF216" i="28"/>
  <c r="BX215" i="28"/>
  <c r="BW215" i="28"/>
  <c r="BV215" i="28"/>
  <c r="BU215" i="28"/>
  <c r="BT215" i="28"/>
  <c r="BS215" i="28"/>
  <c r="BR215" i="28"/>
  <c r="BQ215" i="28"/>
  <c r="BP215" i="28"/>
  <c r="BO215" i="28"/>
  <c r="BN215" i="28"/>
  <c r="BM215" i="28"/>
  <c r="BL215" i="28"/>
  <c r="BK215" i="28"/>
  <c r="BJ215" i="28"/>
  <c r="BI215" i="28"/>
  <c r="BH215" i="28"/>
  <c r="BG215" i="28"/>
  <c r="BF215" i="28"/>
  <c r="BX214" i="28"/>
  <c r="BW214" i="28"/>
  <c r="BV214" i="28"/>
  <c r="BU214" i="28"/>
  <c r="BT214" i="28"/>
  <c r="BS214" i="28"/>
  <c r="BR214" i="28"/>
  <c r="BQ214" i="28"/>
  <c r="BP214" i="28"/>
  <c r="BO214" i="28"/>
  <c r="BN214" i="28"/>
  <c r="BM214" i="28"/>
  <c r="BL214" i="28"/>
  <c r="BK214" i="28"/>
  <c r="BJ214" i="28"/>
  <c r="BI214" i="28"/>
  <c r="BH214" i="28"/>
  <c r="BG214" i="28"/>
  <c r="BF214" i="28"/>
  <c r="BX213" i="28"/>
  <c r="BW213" i="28"/>
  <c r="BV213" i="28"/>
  <c r="BU213" i="28"/>
  <c r="BT213" i="28"/>
  <c r="BS213" i="28"/>
  <c r="BR213" i="28"/>
  <c r="BQ213" i="28"/>
  <c r="BP213" i="28"/>
  <c r="BO213" i="28"/>
  <c r="BN213" i="28"/>
  <c r="BM213" i="28"/>
  <c r="BL213" i="28"/>
  <c r="BK213" i="28"/>
  <c r="BJ213" i="28"/>
  <c r="BI213" i="28"/>
  <c r="BH213" i="28"/>
  <c r="BG213" i="28"/>
  <c r="BF213" i="28"/>
  <c r="BX212" i="28"/>
  <c r="BW212" i="28"/>
  <c r="BV212" i="28"/>
  <c r="BU212" i="28"/>
  <c r="BT212" i="28"/>
  <c r="BS212" i="28"/>
  <c r="BR212" i="28"/>
  <c r="BQ212" i="28"/>
  <c r="BP212" i="28"/>
  <c r="BO212" i="28"/>
  <c r="BN212" i="28"/>
  <c r="BM212" i="28"/>
  <c r="BL212" i="28"/>
  <c r="BK212" i="28"/>
  <c r="BJ212" i="28"/>
  <c r="BI212" i="28"/>
  <c r="BH212" i="28"/>
  <c r="BG212" i="28"/>
  <c r="BF212" i="28"/>
  <c r="BX211" i="28"/>
  <c r="BW211" i="28"/>
  <c r="BV211" i="28"/>
  <c r="BU211" i="28"/>
  <c r="BT211" i="28"/>
  <c r="BS211" i="28"/>
  <c r="BR211" i="28"/>
  <c r="BQ211" i="28"/>
  <c r="BP211" i="28"/>
  <c r="BO211" i="28"/>
  <c r="BN211" i="28"/>
  <c r="BM211" i="28"/>
  <c r="BL211" i="28"/>
  <c r="BK211" i="28"/>
  <c r="BJ211" i="28"/>
  <c r="BI211" i="28"/>
  <c r="BH211" i="28"/>
  <c r="BG211" i="28"/>
  <c r="BF211" i="28"/>
  <c r="BX210" i="28"/>
  <c r="BW210" i="28"/>
  <c r="BV210" i="28"/>
  <c r="BU210" i="28"/>
  <c r="BT210" i="28"/>
  <c r="BS210" i="28"/>
  <c r="BR210" i="28"/>
  <c r="BQ210" i="28"/>
  <c r="BP210" i="28"/>
  <c r="BO210" i="28"/>
  <c r="BN210" i="28"/>
  <c r="BM210" i="28"/>
  <c r="BL210" i="28"/>
  <c r="BK210" i="28"/>
  <c r="BJ210" i="28"/>
  <c r="BI210" i="28"/>
  <c r="BH210" i="28"/>
  <c r="BG210" i="28"/>
  <c r="BF210" i="28"/>
  <c r="BX209" i="28"/>
  <c r="BW209" i="28"/>
  <c r="BV209" i="28"/>
  <c r="BU209" i="28"/>
  <c r="BT209" i="28"/>
  <c r="BS209" i="28"/>
  <c r="BR209" i="28"/>
  <c r="BQ209" i="28"/>
  <c r="BP209" i="28"/>
  <c r="BO209" i="28"/>
  <c r="BN209" i="28"/>
  <c r="BM209" i="28"/>
  <c r="BL209" i="28"/>
  <c r="BK209" i="28"/>
  <c r="BJ209" i="28"/>
  <c r="BI209" i="28"/>
  <c r="BH209" i="28"/>
  <c r="BG209" i="28"/>
  <c r="BF209" i="28"/>
  <c r="BX208" i="28"/>
  <c r="BW208" i="28"/>
  <c r="BV208" i="28"/>
  <c r="BU208" i="28"/>
  <c r="BT208" i="28"/>
  <c r="BS208" i="28"/>
  <c r="BR208" i="28"/>
  <c r="BQ208" i="28"/>
  <c r="BP208" i="28"/>
  <c r="BO208" i="28"/>
  <c r="BN208" i="28"/>
  <c r="BM208" i="28"/>
  <c r="BL208" i="28"/>
  <c r="BK208" i="28"/>
  <c r="BJ208" i="28"/>
  <c r="BI208" i="28"/>
  <c r="BH208" i="28"/>
  <c r="BG208" i="28"/>
  <c r="BF208" i="28"/>
  <c r="BX207" i="28"/>
  <c r="BW207" i="28"/>
  <c r="BV207" i="28"/>
  <c r="BU207" i="28"/>
  <c r="BT207" i="28"/>
  <c r="BS207" i="28"/>
  <c r="BR207" i="28"/>
  <c r="BQ207" i="28"/>
  <c r="BP207" i="28"/>
  <c r="BO207" i="28"/>
  <c r="BN207" i="28"/>
  <c r="BM207" i="28"/>
  <c r="BL207" i="28"/>
  <c r="BK207" i="28"/>
  <c r="BJ207" i="28"/>
  <c r="BI207" i="28"/>
  <c r="BH207" i="28"/>
  <c r="BG207" i="28"/>
  <c r="BF207" i="28"/>
  <c r="BX206" i="28"/>
  <c r="BW206" i="28"/>
  <c r="BV206" i="28"/>
  <c r="BU206" i="28"/>
  <c r="BT206" i="28"/>
  <c r="BS206" i="28"/>
  <c r="BR206" i="28"/>
  <c r="BQ206" i="28"/>
  <c r="BP206" i="28"/>
  <c r="BO206" i="28"/>
  <c r="BN206" i="28"/>
  <c r="BM206" i="28"/>
  <c r="BL206" i="28"/>
  <c r="BK206" i="28"/>
  <c r="BJ206" i="28"/>
  <c r="BI206" i="28"/>
  <c r="BH206" i="28"/>
  <c r="BG206" i="28"/>
  <c r="BF206" i="28"/>
  <c r="BX205" i="28"/>
  <c r="BW205" i="28"/>
  <c r="BV205" i="28"/>
  <c r="BU205" i="28"/>
  <c r="BT205" i="28"/>
  <c r="BS205" i="28"/>
  <c r="BR205" i="28"/>
  <c r="BQ205" i="28"/>
  <c r="BP205" i="28"/>
  <c r="BO205" i="28"/>
  <c r="BN205" i="28"/>
  <c r="BM205" i="28"/>
  <c r="BL205" i="28"/>
  <c r="BK205" i="28"/>
  <c r="BJ205" i="28"/>
  <c r="BI205" i="28"/>
  <c r="BH205" i="28"/>
  <c r="BG205" i="28"/>
  <c r="BF205" i="28"/>
  <c r="BX204" i="28"/>
  <c r="BW204" i="28"/>
  <c r="BV204" i="28"/>
  <c r="BU204" i="28"/>
  <c r="BT204" i="28"/>
  <c r="BS204" i="28"/>
  <c r="BR204" i="28"/>
  <c r="BQ204" i="28"/>
  <c r="BP204" i="28"/>
  <c r="BO204" i="28"/>
  <c r="BN204" i="28"/>
  <c r="BM204" i="28"/>
  <c r="BL204" i="28"/>
  <c r="BK204" i="28"/>
  <c r="BJ204" i="28"/>
  <c r="BI204" i="28"/>
  <c r="BH204" i="28"/>
  <c r="BG204" i="28"/>
  <c r="BF204" i="28"/>
  <c r="BX203" i="28"/>
  <c r="BW203" i="28"/>
  <c r="BV203" i="28"/>
  <c r="BU203" i="28"/>
  <c r="BT203" i="28"/>
  <c r="BS203" i="28"/>
  <c r="BR203" i="28"/>
  <c r="BQ203" i="28"/>
  <c r="BP203" i="28"/>
  <c r="BO203" i="28"/>
  <c r="BN203" i="28"/>
  <c r="BM203" i="28"/>
  <c r="BL203" i="28"/>
  <c r="BK203" i="28"/>
  <c r="BJ203" i="28"/>
  <c r="BI203" i="28"/>
  <c r="BH203" i="28"/>
  <c r="BG203" i="28"/>
  <c r="BF203" i="28"/>
  <c r="BX202" i="28"/>
  <c r="BW202" i="28"/>
  <c r="BV202" i="28"/>
  <c r="BU202" i="28"/>
  <c r="BT202" i="28"/>
  <c r="BS202" i="28"/>
  <c r="BR202" i="28"/>
  <c r="BQ202" i="28"/>
  <c r="BP202" i="28"/>
  <c r="BO202" i="28"/>
  <c r="BN202" i="28"/>
  <c r="BM202" i="28"/>
  <c r="BL202" i="28"/>
  <c r="BK202" i="28"/>
  <c r="BJ202" i="28"/>
  <c r="BI202" i="28"/>
  <c r="BH202" i="28"/>
  <c r="BG202" i="28"/>
  <c r="BF202" i="28"/>
  <c r="BX201" i="28"/>
  <c r="BW201" i="28"/>
  <c r="BV201" i="28"/>
  <c r="BU201" i="28"/>
  <c r="BT201" i="28"/>
  <c r="BS201" i="28"/>
  <c r="BR201" i="28"/>
  <c r="BQ201" i="28"/>
  <c r="BP201" i="28"/>
  <c r="BO201" i="28"/>
  <c r="BN201" i="28"/>
  <c r="BM201" i="28"/>
  <c r="BL201" i="28"/>
  <c r="BK201" i="28"/>
  <c r="BJ201" i="28"/>
  <c r="BI201" i="28"/>
  <c r="BH201" i="28"/>
  <c r="BG201" i="28"/>
  <c r="BF201" i="28"/>
  <c r="BX200" i="28"/>
  <c r="BW200" i="28"/>
  <c r="BV200" i="28"/>
  <c r="BU200" i="28"/>
  <c r="BT200" i="28"/>
  <c r="BS200" i="28"/>
  <c r="BR200" i="28"/>
  <c r="BQ200" i="28"/>
  <c r="BP200" i="28"/>
  <c r="BO200" i="28"/>
  <c r="BN200" i="28"/>
  <c r="BM200" i="28"/>
  <c r="BL200" i="28"/>
  <c r="BK200" i="28"/>
  <c r="BJ200" i="28"/>
  <c r="BI200" i="28"/>
  <c r="BH200" i="28"/>
  <c r="BG200" i="28"/>
  <c r="BF200" i="28"/>
  <c r="BX199" i="28"/>
  <c r="BW199" i="28"/>
  <c r="BV199" i="28"/>
  <c r="BU199" i="28"/>
  <c r="BT199" i="28"/>
  <c r="BS199" i="28"/>
  <c r="BR199" i="28"/>
  <c r="BQ199" i="28"/>
  <c r="BP199" i="28"/>
  <c r="BO199" i="28"/>
  <c r="BN199" i="28"/>
  <c r="BM199" i="28"/>
  <c r="BL199" i="28"/>
  <c r="BK199" i="28"/>
  <c r="BJ199" i="28"/>
  <c r="BI199" i="28"/>
  <c r="BH199" i="28"/>
  <c r="BG199" i="28"/>
  <c r="BF199" i="28"/>
  <c r="BX198" i="28"/>
  <c r="BW198" i="28"/>
  <c r="BV198" i="28"/>
  <c r="BU198" i="28"/>
  <c r="BT198" i="28"/>
  <c r="BS198" i="28"/>
  <c r="BR198" i="28"/>
  <c r="BQ198" i="28"/>
  <c r="BP198" i="28"/>
  <c r="BO198" i="28"/>
  <c r="BN198" i="28"/>
  <c r="BM198" i="28"/>
  <c r="BL198" i="28"/>
  <c r="BK198" i="28"/>
  <c r="BJ198" i="28"/>
  <c r="BI198" i="28"/>
  <c r="BH198" i="28"/>
  <c r="BG198" i="28"/>
  <c r="BF198" i="28"/>
  <c r="BX197" i="28"/>
  <c r="BW197" i="28"/>
  <c r="BV197" i="28"/>
  <c r="BU197" i="28"/>
  <c r="BT197" i="28"/>
  <c r="BS197" i="28"/>
  <c r="BR197" i="28"/>
  <c r="BQ197" i="28"/>
  <c r="BP197" i="28"/>
  <c r="BO197" i="28"/>
  <c r="BN197" i="28"/>
  <c r="BM197" i="28"/>
  <c r="BL197" i="28"/>
  <c r="BK197" i="28"/>
  <c r="BJ197" i="28"/>
  <c r="BI197" i="28"/>
  <c r="BH197" i="28"/>
  <c r="BG197" i="28"/>
  <c r="BF197" i="28"/>
  <c r="BX196" i="28"/>
  <c r="BW196" i="28"/>
  <c r="BV196" i="28"/>
  <c r="BU196" i="28"/>
  <c r="BT196" i="28"/>
  <c r="BS196" i="28"/>
  <c r="BR196" i="28"/>
  <c r="BQ196" i="28"/>
  <c r="BP196" i="28"/>
  <c r="BO196" i="28"/>
  <c r="BN196" i="28"/>
  <c r="BM196" i="28"/>
  <c r="BL196" i="28"/>
  <c r="BK196" i="28"/>
  <c r="BJ196" i="28"/>
  <c r="BI196" i="28"/>
  <c r="BH196" i="28"/>
  <c r="BG196" i="28"/>
  <c r="BF196" i="28"/>
  <c r="BX195" i="28"/>
  <c r="BW195" i="28"/>
  <c r="BV195" i="28"/>
  <c r="BU195" i="28"/>
  <c r="BT195" i="28"/>
  <c r="BS195" i="28"/>
  <c r="BR195" i="28"/>
  <c r="BQ195" i="28"/>
  <c r="BP195" i="28"/>
  <c r="BO195" i="28"/>
  <c r="BN195" i="28"/>
  <c r="BM195" i="28"/>
  <c r="BL195" i="28"/>
  <c r="BK195" i="28"/>
  <c r="BJ195" i="28"/>
  <c r="BI195" i="28"/>
  <c r="BH195" i="28"/>
  <c r="BG195" i="28"/>
  <c r="BF195" i="28"/>
  <c r="BX194" i="28"/>
  <c r="BW194" i="28"/>
  <c r="BV194" i="28"/>
  <c r="BU194" i="28"/>
  <c r="BT194" i="28"/>
  <c r="BS194" i="28"/>
  <c r="BR194" i="28"/>
  <c r="BQ194" i="28"/>
  <c r="BP194" i="28"/>
  <c r="BO194" i="28"/>
  <c r="BN194" i="28"/>
  <c r="BM194" i="28"/>
  <c r="BL194" i="28"/>
  <c r="BK194" i="28"/>
  <c r="BJ194" i="28"/>
  <c r="BI194" i="28"/>
  <c r="BH194" i="28"/>
  <c r="BG194" i="28"/>
  <c r="BF194" i="28"/>
  <c r="BX193" i="28"/>
  <c r="BW193" i="28"/>
  <c r="BV193" i="28"/>
  <c r="BU193" i="28"/>
  <c r="BT193" i="28"/>
  <c r="BS193" i="28"/>
  <c r="BR193" i="28"/>
  <c r="BQ193" i="28"/>
  <c r="BP193" i="28"/>
  <c r="BO193" i="28"/>
  <c r="BN193" i="28"/>
  <c r="BM193" i="28"/>
  <c r="BL193" i="28"/>
  <c r="BK193" i="28"/>
  <c r="BJ193" i="28"/>
  <c r="BI193" i="28"/>
  <c r="BH193" i="28"/>
  <c r="BG193" i="28"/>
  <c r="BF193" i="28"/>
  <c r="BX192" i="28"/>
  <c r="BW192" i="28"/>
  <c r="BV192" i="28"/>
  <c r="BU192" i="28"/>
  <c r="BT192" i="28"/>
  <c r="BS192" i="28"/>
  <c r="BR192" i="28"/>
  <c r="BQ192" i="28"/>
  <c r="BP192" i="28"/>
  <c r="BO192" i="28"/>
  <c r="BN192" i="28"/>
  <c r="BM192" i="28"/>
  <c r="BL192" i="28"/>
  <c r="BK192" i="28"/>
  <c r="BJ192" i="28"/>
  <c r="BI192" i="28"/>
  <c r="BH192" i="28"/>
  <c r="BG192" i="28"/>
  <c r="BF192" i="28"/>
  <c r="BX191" i="28"/>
  <c r="BW191" i="28"/>
  <c r="BV191" i="28"/>
  <c r="BU191" i="28"/>
  <c r="BT191" i="28"/>
  <c r="BS191" i="28"/>
  <c r="BR191" i="28"/>
  <c r="BQ191" i="28"/>
  <c r="BP191" i="28"/>
  <c r="BO191" i="28"/>
  <c r="BN191" i="28"/>
  <c r="BM191" i="28"/>
  <c r="BL191" i="28"/>
  <c r="BK191" i="28"/>
  <c r="BJ191" i="28"/>
  <c r="BI191" i="28"/>
  <c r="BH191" i="28"/>
  <c r="BG191" i="28"/>
  <c r="BF191" i="28"/>
  <c r="BX190" i="28"/>
  <c r="BW190" i="28"/>
  <c r="BV190" i="28"/>
  <c r="BU190" i="28"/>
  <c r="BT190" i="28"/>
  <c r="BS190" i="28"/>
  <c r="BR190" i="28"/>
  <c r="BQ190" i="28"/>
  <c r="BP190" i="28"/>
  <c r="BO190" i="28"/>
  <c r="BN190" i="28"/>
  <c r="BM190" i="28"/>
  <c r="BL190" i="28"/>
  <c r="BK190" i="28"/>
  <c r="BJ190" i="28"/>
  <c r="BI190" i="28"/>
  <c r="BH190" i="28"/>
  <c r="BG190" i="28"/>
  <c r="BF190" i="28"/>
  <c r="BX189" i="28"/>
  <c r="BW189" i="28"/>
  <c r="BV189" i="28"/>
  <c r="BU189" i="28"/>
  <c r="BT189" i="28"/>
  <c r="BS189" i="28"/>
  <c r="BR189" i="28"/>
  <c r="BQ189" i="28"/>
  <c r="BP189" i="28"/>
  <c r="BO189" i="28"/>
  <c r="BN189" i="28"/>
  <c r="BM189" i="28"/>
  <c r="BL189" i="28"/>
  <c r="BK189" i="28"/>
  <c r="BJ189" i="28"/>
  <c r="BI189" i="28"/>
  <c r="BH189" i="28"/>
  <c r="BG189" i="28"/>
  <c r="BF189" i="28"/>
  <c r="BX188" i="28"/>
  <c r="BW188" i="28"/>
  <c r="BV188" i="28"/>
  <c r="BU188" i="28"/>
  <c r="BT188" i="28"/>
  <c r="BS188" i="28"/>
  <c r="BR188" i="28"/>
  <c r="BQ188" i="28"/>
  <c r="BP188" i="28"/>
  <c r="BO188" i="28"/>
  <c r="BN188" i="28"/>
  <c r="BM188" i="28"/>
  <c r="BL188" i="28"/>
  <c r="BK188" i="28"/>
  <c r="BJ188" i="28"/>
  <c r="BI188" i="28"/>
  <c r="BH188" i="28"/>
  <c r="BG188" i="28"/>
  <c r="BF188" i="28"/>
  <c r="BX187" i="28"/>
  <c r="BW187" i="28"/>
  <c r="BV187" i="28"/>
  <c r="BU187" i="28"/>
  <c r="BT187" i="28"/>
  <c r="BS187" i="28"/>
  <c r="BR187" i="28"/>
  <c r="BQ187" i="28"/>
  <c r="BP187" i="28"/>
  <c r="BO187" i="28"/>
  <c r="BN187" i="28"/>
  <c r="BM187" i="28"/>
  <c r="BL187" i="28"/>
  <c r="BK187" i="28"/>
  <c r="BJ187" i="28"/>
  <c r="BI187" i="28"/>
  <c r="BH187" i="28"/>
  <c r="BG187" i="28"/>
  <c r="BF187" i="28"/>
  <c r="BX186" i="28"/>
  <c r="BW186" i="28"/>
  <c r="BV186" i="28"/>
  <c r="BU186" i="28"/>
  <c r="BT186" i="28"/>
  <c r="BS186" i="28"/>
  <c r="BR186" i="28"/>
  <c r="BQ186" i="28"/>
  <c r="BP186" i="28"/>
  <c r="BO186" i="28"/>
  <c r="BN186" i="28"/>
  <c r="BM186" i="28"/>
  <c r="BL186" i="28"/>
  <c r="BK186" i="28"/>
  <c r="BJ186" i="28"/>
  <c r="BI186" i="28"/>
  <c r="BH186" i="28"/>
  <c r="BG186" i="28"/>
  <c r="BF186" i="28"/>
  <c r="BQ3" i="12" l="1"/>
  <c r="BQ4" i="12"/>
  <c r="BQ5" i="12"/>
  <c r="BQ6" i="12"/>
  <c r="BQ7" i="12"/>
  <c r="BQ8" i="12"/>
  <c r="BQ9" i="12"/>
  <c r="BQ10" i="12"/>
  <c r="BQ11" i="12"/>
  <c r="BQ12" i="12"/>
  <c r="BQ13" i="12"/>
  <c r="BQ14" i="12"/>
  <c r="BQ15" i="12"/>
  <c r="BQ16" i="12"/>
  <c r="BQ17" i="12"/>
  <c r="BQ18" i="12"/>
  <c r="BQ19" i="12"/>
  <c r="BQ20" i="12"/>
  <c r="BQ21" i="12"/>
  <c r="BQ22" i="12"/>
  <c r="BQ23" i="12"/>
  <c r="BQ24" i="12"/>
  <c r="BQ25" i="12"/>
  <c r="BQ26" i="12"/>
  <c r="BQ27" i="12"/>
  <c r="BQ28" i="12"/>
  <c r="BQ29" i="12"/>
  <c r="BQ30" i="12"/>
  <c r="BQ31" i="12"/>
  <c r="BQ32" i="12"/>
  <c r="BQ33" i="12"/>
  <c r="BQ34" i="12"/>
  <c r="BQ35" i="12"/>
  <c r="BQ36" i="12"/>
  <c r="BQ37" i="12"/>
  <c r="BQ38" i="12"/>
  <c r="BQ39" i="12"/>
  <c r="BQ40" i="12"/>
  <c r="BQ41" i="12"/>
  <c r="BQ42" i="12"/>
  <c r="BQ43" i="12"/>
  <c r="BQ44" i="12"/>
  <c r="BQ45" i="12"/>
  <c r="BQ46" i="12"/>
  <c r="BQ47" i="12"/>
  <c r="BQ48" i="12"/>
  <c r="BQ49" i="12"/>
  <c r="BQ50" i="12"/>
  <c r="BQ51" i="12"/>
  <c r="BQ52" i="12"/>
  <c r="BQ53" i="12"/>
  <c r="BQ54" i="12"/>
  <c r="BQ55" i="12"/>
  <c r="BQ56" i="12"/>
  <c r="BQ57" i="12"/>
  <c r="BQ58" i="12"/>
  <c r="BQ59" i="12"/>
  <c r="BQ60" i="12"/>
  <c r="BQ61" i="12"/>
  <c r="BQ62" i="12"/>
  <c r="BQ63" i="12"/>
  <c r="BQ64" i="12"/>
  <c r="BQ65" i="12"/>
  <c r="BQ66" i="12"/>
  <c r="BQ67" i="12"/>
  <c r="BQ68" i="12"/>
  <c r="BQ69" i="12"/>
  <c r="BQ70" i="12"/>
  <c r="BQ71" i="12"/>
  <c r="BQ72" i="12"/>
  <c r="BQ73" i="12"/>
  <c r="BQ74" i="12"/>
  <c r="BQ75" i="12"/>
  <c r="BQ76" i="12"/>
  <c r="BQ77" i="12"/>
  <c r="BQ78" i="12"/>
  <c r="BQ79" i="12"/>
  <c r="BQ80" i="12"/>
  <c r="BQ81" i="12"/>
  <c r="BQ82" i="12"/>
  <c r="BQ83" i="12"/>
  <c r="BQ84" i="12"/>
  <c r="BQ85" i="12"/>
  <c r="BQ86" i="12"/>
  <c r="BQ87" i="12"/>
  <c r="BQ88" i="12"/>
  <c r="BQ89" i="12"/>
  <c r="BQ90" i="12"/>
  <c r="BQ91" i="12"/>
  <c r="BQ92" i="12"/>
  <c r="BQ93" i="12"/>
  <c r="BQ94" i="12"/>
  <c r="BQ95" i="12"/>
  <c r="BQ96" i="12"/>
  <c r="BQ97" i="12"/>
  <c r="BQ98" i="12"/>
  <c r="BQ99" i="12"/>
  <c r="BQ100" i="12"/>
  <c r="BQ101" i="12"/>
  <c r="BQ102" i="12"/>
  <c r="BQ103" i="12"/>
  <c r="BQ104" i="12"/>
  <c r="BQ105" i="12"/>
  <c r="BQ106" i="12"/>
  <c r="BQ107" i="12"/>
  <c r="BQ108" i="12"/>
  <c r="BQ109" i="12"/>
  <c r="BQ110" i="12"/>
  <c r="BQ111" i="12"/>
  <c r="BQ112" i="12"/>
  <c r="BQ113" i="12"/>
  <c r="BQ114" i="12"/>
  <c r="BQ115" i="12"/>
  <c r="BQ116" i="12"/>
  <c r="BQ117" i="12"/>
  <c r="BQ118" i="12"/>
  <c r="BQ119" i="12"/>
  <c r="BQ120" i="12"/>
  <c r="BQ121" i="12"/>
  <c r="BQ122" i="12"/>
  <c r="BQ123" i="12"/>
  <c r="BQ124" i="12"/>
  <c r="BQ125" i="12"/>
  <c r="BQ126" i="12"/>
  <c r="BQ127" i="12"/>
  <c r="BQ128" i="12"/>
  <c r="BQ129" i="12"/>
  <c r="BQ130" i="12"/>
  <c r="BQ131" i="12"/>
  <c r="BQ132" i="12"/>
  <c r="BQ133" i="12"/>
  <c r="BQ134" i="12"/>
  <c r="BQ135" i="12"/>
  <c r="BQ136" i="12"/>
  <c r="BQ137" i="12"/>
  <c r="BQ138" i="12"/>
  <c r="BQ139" i="12"/>
  <c r="BQ140" i="12"/>
  <c r="BQ141" i="12"/>
  <c r="BQ142" i="12"/>
  <c r="BQ143" i="12"/>
  <c r="BQ144" i="12"/>
  <c r="BQ145" i="12"/>
  <c r="BQ146" i="12"/>
  <c r="BQ147" i="12"/>
  <c r="BQ148" i="12"/>
  <c r="BQ149" i="12"/>
  <c r="BQ150" i="12"/>
  <c r="BQ151" i="12"/>
  <c r="BQ152" i="12"/>
  <c r="BQ153" i="12"/>
  <c r="BQ154" i="12"/>
  <c r="BQ155" i="12"/>
  <c r="BQ156" i="12"/>
  <c r="BQ157" i="12"/>
  <c r="BQ158" i="12"/>
  <c r="BQ159" i="12"/>
  <c r="BQ160" i="12"/>
  <c r="BQ161" i="12"/>
  <c r="BQ162" i="12"/>
  <c r="BQ163" i="12"/>
  <c r="BQ164" i="12"/>
  <c r="BQ165" i="12"/>
  <c r="BQ166" i="12"/>
  <c r="BQ167" i="12"/>
  <c r="BQ168" i="12"/>
  <c r="BQ169" i="12"/>
  <c r="BQ170" i="12"/>
  <c r="BQ171" i="12"/>
  <c r="BQ172" i="12"/>
  <c r="BQ173" i="12"/>
  <c r="BQ174" i="12"/>
  <c r="BQ175" i="12"/>
  <c r="BQ176" i="12"/>
  <c r="BQ177" i="12"/>
  <c r="BQ178" i="12"/>
  <c r="BQ179" i="12"/>
  <c r="BQ180" i="12"/>
  <c r="BQ181" i="12"/>
  <c r="BQ182" i="12"/>
  <c r="BQ183" i="12"/>
  <c r="BQ184" i="12"/>
  <c r="BQ185" i="12"/>
  <c r="BQ2" i="12"/>
  <c r="BE3" i="4" l="1"/>
  <c r="BE4" i="4"/>
  <c r="BE5" i="4"/>
  <c r="BE6" i="4"/>
  <c r="BE7" i="4"/>
  <c r="BE8" i="4"/>
  <c r="BE9" i="4"/>
  <c r="BE10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100" i="4"/>
  <c r="BE101" i="4"/>
  <c r="BE102" i="4"/>
  <c r="BE103" i="4"/>
  <c r="BE104" i="4"/>
  <c r="BE105" i="4"/>
  <c r="BE106" i="4"/>
  <c r="BE107" i="4"/>
  <c r="BE108" i="4"/>
  <c r="BE109" i="4"/>
  <c r="BE110" i="4"/>
  <c r="BE111" i="4"/>
  <c r="BE112" i="4"/>
  <c r="BE113" i="4"/>
  <c r="BE114" i="4"/>
  <c r="BE115" i="4"/>
  <c r="BE116" i="4"/>
  <c r="BE117" i="4"/>
  <c r="BE118" i="4"/>
  <c r="BE119" i="4"/>
  <c r="BE120" i="4"/>
  <c r="BE121" i="4"/>
  <c r="BE122" i="4"/>
  <c r="BE123" i="4"/>
  <c r="BE124" i="4"/>
  <c r="BE125" i="4"/>
  <c r="BE126" i="4"/>
  <c r="BE127" i="4"/>
  <c r="BE128" i="4"/>
  <c r="BE129" i="4"/>
  <c r="BE130" i="4"/>
  <c r="BE131" i="4"/>
  <c r="BE132" i="4"/>
  <c r="BE133" i="4"/>
  <c r="BE134" i="4"/>
  <c r="BE135" i="4"/>
  <c r="BE136" i="4"/>
  <c r="BE137" i="4"/>
  <c r="BE138" i="4"/>
  <c r="BE139" i="4"/>
  <c r="BE140" i="4"/>
  <c r="BE141" i="4"/>
  <c r="BE142" i="4"/>
  <c r="BE143" i="4"/>
  <c r="BE144" i="4"/>
  <c r="BE145" i="4"/>
  <c r="BE146" i="4"/>
  <c r="BE147" i="4"/>
  <c r="BE148" i="4"/>
  <c r="BE149" i="4"/>
  <c r="BE150" i="4"/>
  <c r="BE151" i="4"/>
  <c r="BE152" i="4"/>
  <c r="BE153" i="4"/>
  <c r="BE154" i="4"/>
  <c r="BE155" i="4"/>
  <c r="BE156" i="4"/>
  <c r="BE157" i="4"/>
  <c r="BE158" i="4"/>
  <c r="BE159" i="4"/>
  <c r="BE160" i="4"/>
  <c r="BE161" i="4"/>
  <c r="BE162" i="4"/>
  <c r="BE163" i="4"/>
  <c r="BE164" i="4"/>
  <c r="BE165" i="4"/>
  <c r="BE166" i="4"/>
  <c r="BE167" i="4"/>
  <c r="BE168" i="4"/>
  <c r="BE169" i="4"/>
  <c r="BE170" i="4"/>
  <c r="BE171" i="4"/>
  <c r="BE172" i="4"/>
  <c r="BE173" i="4"/>
  <c r="BE174" i="4"/>
  <c r="BE175" i="4"/>
  <c r="BE176" i="4"/>
  <c r="BE177" i="4"/>
  <c r="BE178" i="4"/>
  <c r="BE179" i="4"/>
  <c r="BE180" i="4"/>
  <c r="BE181" i="4"/>
  <c r="BE182" i="4"/>
  <c r="BE183" i="4"/>
  <c r="BE2" i="4"/>
  <c r="BE2" i="18" s="1"/>
  <c r="BM183" i="4"/>
  <c r="BL183" i="4"/>
  <c r="BK183" i="4"/>
  <c r="BJ183" i="4"/>
  <c r="BI183" i="4"/>
  <c r="BH183" i="4"/>
  <c r="BG183" i="4"/>
  <c r="BF183" i="4"/>
  <c r="BD183" i="4"/>
  <c r="BC183" i="4"/>
  <c r="BB183" i="4"/>
  <c r="BA183" i="4"/>
  <c r="AZ183" i="4"/>
  <c r="BM182" i="4"/>
  <c r="BL182" i="4"/>
  <c r="BK182" i="4"/>
  <c r="BJ182" i="4"/>
  <c r="BI182" i="4"/>
  <c r="BH182" i="4"/>
  <c r="BG182" i="4"/>
  <c r="BF182" i="4"/>
  <c r="BD182" i="4"/>
  <c r="BC182" i="4"/>
  <c r="BB182" i="4"/>
  <c r="BA182" i="4"/>
  <c r="AZ182" i="4"/>
  <c r="BM181" i="4"/>
  <c r="BL181" i="4"/>
  <c r="BK181" i="4"/>
  <c r="BJ181" i="4"/>
  <c r="BI181" i="4"/>
  <c r="BH181" i="4"/>
  <c r="BG181" i="4"/>
  <c r="BF181" i="4"/>
  <c r="BD181" i="4"/>
  <c r="BC181" i="4"/>
  <c r="BB181" i="4"/>
  <c r="BA181" i="4"/>
  <c r="AZ181" i="4"/>
  <c r="BM180" i="4"/>
  <c r="BL180" i="4"/>
  <c r="BK180" i="4"/>
  <c r="BJ180" i="4"/>
  <c r="BI180" i="4"/>
  <c r="BH180" i="4"/>
  <c r="BG180" i="4"/>
  <c r="BF180" i="4"/>
  <c r="BD180" i="4"/>
  <c r="BC180" i="4"/>
  <c r="BB180" i="4"/>
  <c r="BA180" i="4"/>
  <c r="AZ180" i="4"/>
  <c r="BM179" i="4"/>
  <c r="BL179" i="4"/>
  <c r="BK179" i="4"/>
  <c r="BJ179" i="4"/>
  <c r="BI179" i="4"/>
  <c r="BH179" i="4"/>
  <c r="BG179" i="4"/>
  <c r="BF179" i="4"/>
  <c r="BD179" i="4"/>
  <c r="BC179" i="4"/>
  <c r="BB179" i="4"/>
  <c r="BA179" i="4"/>
  <c r="AZ179" i="4"/>
  <c r="BM178" i="4"/>
  <c r="BL178" i="4"/>
  <c r="BK178" i="4"/>
  <c r="BJ178" i="4"/>
  <c r="BI178" i="4"/>
  <c r="BH178" i="4"/>
  <c r="BG178" i="4"/>
  <c r="BF178" i="4"/>
  <c r="BD178" i="4"/>
  <c r="BC178" i="4"/>
  <c r="BB178" i="4"/>
  <c r="BA178" i="4"/>
  <c r="AZ178" i="4"/>
  <c r="BM177" i="4"/>
  <c r="BL177" i="4"/>
  <c r="BK177" i="4"/>
  <c r="BJ177" i="4"/>
  <c r="BI177" i="4"/>
  <c r="BH177" i="4"/>
  <c r="BG177" i="4"/>
  <c r="BF177" i="4"/>
  <c r="BD177" i="4"/>
  <c r="BC177" i="4"/>
  <c r="BB177" i="4"/>
  <c r="BA177" i="4"/>
  <c r="AZ177" i="4"/>
  <c r="BM176" i="4"/>
  <c r="BL176" i="4"/>
  <c r="BK176" i="4"/>
  <c r="BJ176" i="4"/>
  <c r="BI176" i="4"/>
  <c r="BH176" i="4"/>
  <c r="BG176" i="4"/>
  <c r="BF176" i="4"/>
  <c r="BD176" i="4"/>
  <c r="BC176" i="4"/>
  <c r="BB176" i="4"/>
  <c r="BA176" i="4"/>
  <c r="AZ176" i="4"/>
  <c r="BM175" i="4"/>
  <c r="BL175" i="4"/>
  <c r="BK175" i="4"/>
  <c r="BJ175" i="4"/>
  <c r="BI175" i="4"/>
  <c r="BH175" i="4"/>
  <c r="BG175" i="4"/>
  <c r="BF175" i="4"/>
  <c r="BD175" i="4"/>
  <c r="BC175" i="4"/>
  <c r="BB175" i="4"/>
  <c r="BA175" i="4"/>
  <c r="AZ175" i="4"/>
  <c r="BM174" i="4"/>
  <c r="BL174" i="4"/>
  <c r="BK174" i="4"/>
  <c r="BJ174" i="4"/>
  <c r="BI174" i="4"/>
  <c r="BH174" i="4"/>
  <c r="BG174" i="4"/>
  <c r="BF174" i="4"/>
  <c r="BD174" i="4"/>
  <c r="BC174" i="4"/>
  <c r="BB174" i="4"/>
  <c r="BA174" i="4"/>
  <c r="AZ174" i="4"/>
  <c r="BM173" i="4"/>
  <c r="BL173" i="4"/>
  <c r="BK173" i="4"/>
  <c r="BJ173" i="4"/>
  <c r="BI173" i="4"/>
  <c r="BH173" i="4"/>
  <c r="BG173" i="4"/>
  <c r="BF173" i="4"/>
  <c r="BD173" i="4"/>
  <c r="BC173" i="4"/>
  <c r="BB173" i="4"/>
  <c r="BA173" i="4"/>
  <c r="AZ173" i="4"/>
  <c r="BM172" i="4"/>
  <c r="BL172" i="4"/>
  <c r="BK172" i="4"/>
  <c r="BJ172" i="4"/>
  <c r="BI172" i="4"/>
  <c r="BH172" i="4"/>
  <c r="BG172" i="4"/>
  <c r="BF172" i="4"/>
  <c r="BD172" i="4"/>
  <c r="BC172" i="4"/>
  <c r="BB172" i="4"/>
  <c r="BA172" i="4"/>
  <c r="AZ172" i="4"/>
  <c r="BM171" i="4"/>
  <c r="BL171" i="4"/>
  <c r="BK171" i="4"/>
  <c r="BJ171" i="4"/>
  <c r="BI171" i="4"/>
  <c r="BH171" i="4"/>
  <c r="BG171" i="4"/>
  <c r="BF171" i="4"/>
  <c r="BD171" i="4"/>
  <c r="BC171" i="4"/>
  <c r="BB171" i="4"/>
  <c r="BA171" i="4"/>
  <c r="AZ171" i="4"/>
  <c r="BM170" i="4"/>
  <c r="BL170" i="4"/>
  <c r="BK170" i="4"/>
  <c r="BJ170" i="4"/>
  <c r="BI170" i="4"/>
  <c r="BH170" i="4"/>
  <c r="BG170" i="4"/>
  <c r="BF170" i="4"/>
  <c r="BD170" i="4"/>
  <c r="BC170" i="4"/>
  <c r="BB170" i="4"/>
  <c r="BA170" i="4"/>
  <c r="AZ170" i="4"/>
  <c r="BM169" i="4"/>
  <c r="BL169" i="4"/>
  <c r="BK169" i="4"/>
  <c r="BJ169" i="4"/>
  <c r="BI169" i="4"/>
  <c r="BH169" i="4"/>
  <c r="BG169" i="4"/>
  <c r="BF169" i="4"/>
  <c r="BD169" i="4"/>
  <c r="BC169" i="4"/>
  <c r="BB169" i="4"/>
  <c r="BA169" i="4"/>
  <c r="AZ169" i="4"/>
  <c r="BM168" i="4"/>
  <c r="BL168" i="4"/>
  <c r="BK168" i="4"/>
  <c r="BJ168" i="4"/>
  <c r="BI168" i="4"/>
  <c r="BH168" i="4"/>
  <c r="BG168" i="4"/>
  <c r="BF168" i="4"/>
  <c r="BD168" i="4"/>
  <c r="BC168" i="4"/>
  <c r="BB168" i="4"/>
  <c r="BA168" i="4"/>
  <c r="AZ168" i="4"/>
  <c r="BM167" i="4"/>
  <c r="BL167" i="4"/>
  <c r="BK167" i="4"/>
  <c r="BJ167" i="4"/>
  <c r="BI167" i="4"/>
  <c r="BH167" i="4"/>
  <c r="BG167" i="4"/>
  <c r="BF167" i="4"/>
  <c r="BD167" i="4"/>
  <c r="BC167" i="4"/>
  <c r="BB167" i="4"/>
  <c r="BA167" i="4"/>
  <c r="AZ167" i="4"/>
  <c r="BM166" i="4"/>
  <c r="BL166" i="4"/>
  <c r="BK166" i="4"/>
  <c r="BJ166" i="4"/>
  <c r="BI166" i="4"/>
  <c r="BH166" i="4"/>
  <c r="BG166" i="4"/>
  <c r="BF166" i="4"/>
  <c r="BD166" i="4"/>
  <c r="BC166" i="4"/>
  <c r="BB166" i="4"/>
  <c r="BA166" i="4"/>
  <c r="AZ166" i="4"/>
  <c r="BM165" i="4"/>
  <c r="BL165" i="4"/>
  <c r="BK165" i="4"/>
  <c r="BJ165" i="4"/>
  <c r="BI165" i="4"/>
  <c r="BH165" i="4"/>
  <c r="BG165" i="4"/>
  <c r="BF165" i="4"/>
  <c r="BD165" i="4"/>
  <c r="BC165" i="4"/>
  <c r="BB165" i="4"/>
  <c r="BA165" i="4"/>
  <c r="AZ165" i="4"/>
  <c r="BM164" i="4"/>
  <c r="BL164" i="4"/>
  <c r="BK164" i="4"/>
  <c r="BJ164" i="4"/>
  <c r="BI164" i="4"/>
  <c r="BH164" i="4"/>
  <c r="BG164" i="4"/>
  <c r="BF164" i="4"/>
  <c r="BD164" i="4"/>
  <c r="BC164" i="4"/>
  <c r="BB164" i="4"/>
  <c r="BA164" i="4"/>
  <c r="AZ164" i="4"/>
  <c r="BM163" i="4"/>
  <c r="BL163" i="4"/>
  <c r="BK163" i="4"/>
  <c r="BJ163" i="4"/>
  <c r="BI163" i="4"/>
  <c r="BH163" i="4"/>
  <c r="BG163" i="4"/>
  <c r="BF163" i="4"/>
  <c r="BD163" i="4"/>
  <c r="BC163" i="4"/>
  <c r="BB163" i="4"/>
  <c r="BA163" i="4"/>
  <c r="AZ163" i="4"/>
  <c r="BM162" i="4"/>
  <c r="BL162" i="4"/>
  <c r="BK162" i="4"/>
  <c r="BJ162" i="4"/>
  <c r="BI162" i="4"/>
  <c r="BH162" i="4"/>
  <c r="BG162" i="4"/>
  <c r="BF162" i="4"/>
  <c r="BD162" i="4"/>
  <c r="BC162" i="4"/>
  <c r="BB162" i="4"/>
  <c r="BA162" i="4"/>
  <c r="AZ162" i="4"/>
  <c r="BM161" i="4"/>
  <c r="BL161" i="4"/>
  <c r="BK161" i="4"/>
  <c r="BJ161" i="4"/>
  <c r="BI161" i="4"/>
  <c r="BH161" i="4"/>
  <c r="BG161" i="4"/>
  <c r="BF161" i="4"/>
  <c r="BD161" i="4"/>
  <c r="BC161" i="4"/>
  <c r="BB161" i="4"/>
  <c r="BA161" i="4"/>
  <c r="AZ161" i="4"/>
  <c r="BM160" i="4"/>
  <c r="BL160" i="4"/>
  <c r="BK160" i="4"/>
  <c r="BJ160" i="4"/>
  <c r="BI160" i="4"/>
  <c r="BH160" i="4"/>
  <c r="BG160" i="4"/>
  <c r="BF160" i="4"/>
  <c r="BD160" i="4"/>
  <c r="BC160" i="4"/>
  <c r="BB160" i="4"/>
  <c r="BA160" i="4"/>
  <c r="AZ160" i="4"/>
  <c r="BM159" i="4"/>
  <c r="BL159" i="4"/>
  <c r="BK159" i="4"/>
  <c r="BJ159" i="4"/>
  <c r="BI159" i="4"/>
  <c r="BH159" i="4"/>
  <c r="BG159" i="4"/>
  <c r="BF159" i="4"/>
  <c r="BD159" i="4"/>
  <c r="BC159" i="4"/>
  <c r="BB159" i="4"/>
  <c r="BA159" i="4"/>
  <c r="AZ159" i="4"/>
  <c r="BM158" i="4"/>
  <c r="BL158" i="4"/>
  <c r="BK158" i="4"/>
  <c r="BJ158" i="4"/>
  <c r="BI158" i="4"/>
  <c r="BH158" i="4"/>
  <c r="BG158" i="4"/>
  <c r="BF158" i="4"/>
  <c r="BD158" i="4"/>
  <c r="BC158" i="4"/>
  <c r="BB158" i="4"/>
  <c r="BA158" i="4"/>
  <c r="AZ158" i="4"/>
  <c r="BM157" i="4"/>
  <c r="BL157" i="4"/>
  <c r="BK157" i="4"/>
  <c r="BJ157" i="4"/>
  <c r="BI157" i="4"/>
  <c r="BH157" i="4"/>
  <c r="BG157" i="4"/>
  <c r="BF157" i="4"/>
  <c r="BD157" i="4"/>
  <c r="BC157" i="4"/>
  <c r="BB157" i="4"/>
  <c r="BA157" i="4"/>
  <c r="AZ157" i="4"/>
  <c r="BM156" i="4"/>
  <c r="BL156" i="4"/>
  <c r="BK156" i="4"/>
  <c r="BJ156" i="4"/>
  <c r="BI156" i="4"/>
  <c r="BH156" i="4"/>
  <c r="BG156" i="4"/>
  <c r="BF156" i="4"/>
  <c r="BD156" i="4"/>
  <c r="BC156" i="4"/>
  <c r="BB156" i="4"/>
  <c r="BA156" i="4"/>
  <c r="AZ156" i="4"/>
  <c r="BM155" i="4"/>
  <c r="BL155" i="4"/>
  <c r="BK155" i="4"/>
  <c r="BJ155" i="4"/>
  <c r="BI155" i="4"/>
  <c r="BH155" i="4"/>
  <c r="BG155" i="4"/>
  <c r="BF155" i="4"/>
  <c r="BD155" i="4"/>
  <c r="BC155" i="4"/>
  <c r="BB155" i="4"/>
  <c r="BA155" i="4"/>
  <c r="AZ155" i="4"/>
  <c r="BM154" i="4"/>
  <c r="BL154" i="4"/>
  <c r="BK154" i="4"/>
  <c r="BJ154" i="4"/>
  <c r="BI154" i="4"/>
  <c r="BH154" i="4"/>
  <c r="BG154" i="4"/>
  <c r="BF154" i="4"/>
  <c r="BD154" i="4"/>
  <c r="BC154" i="4"/>
  <c r="BB154" i="4"/>
  <c r="BA154" i="4"/>
  <c r="AZ154" i="4"/>
  <c r="BM153" i="4"/>
  <c r="BL153" i="4"/>
  <c r="BK153" i="4"/>
  <c r="BJ153" i="4"/>
  <c r="BI153" i="4"/>
  <c r="BH153" i="4"/>
  <c r="BG153" i="4"/>
  <c r="BF153" i="4"/>
  <c r="BD153" i="4"/>
  <c r="BC153" i="4"/>
  <c r="BB153" i="4"/>
  <c r="BA153" i="4"/>
  <c r="AZ153" i="4"/>
  <c r="BM152" i="4"/>
  <c r="BL152" i="4"/>
  <c r="BK152" i="4"/>
  <c r="BJ152" i="4"/>
  <c r="BI152" i="4"/>
  <c r="BH152" i="4"/>
  <c r="BG152" i="4"/>
  <c r="BF152" i="4"/>
  <c r="BD152" i="4"/>
  <c r="BC152" i="4"/>
  <c r="BB152" i="4"/>
  <c r="BA152" i="4"/>
  <c r="AZ152" i="4"/>
  <c r="BM151" i="4"/>
  <c r="BL151" i="4"/>
  <c r="BK151" i="4"/>
  <c r="BJ151" i="4"/>
  <c r="BI151" i="4"/>
  <c r="BH151" i="4"/>
  <c r="BG151" i="4"/>
  <c r="BF151" i="4"/>
  <c r="BD151" i="4"/>
  <c r="BC151" i="4"/>
  <c r="BB151" i="4"/>
  <c r="BA151" i="4"/>
  <c r="AZ151" i="4"/>
  <c r="BM150" i="4"/>
  <c r="BL150" i="4"/>
  <c r="BK150" i="4"/>
  <c r="BJ150" i="4"/>
  <c r="BI150" i="4"/>
  <c r="BH150" i="4"/>
  <c r="BG150" i="4"/>
  <c r="BF150" i="4"/>
  <c r="BD150" i="4"/>
  <c r="BC150" i="4"/>
  <c r="BB150" i="4"/>
  <c r="BA150" i="4"/>
  <c r="AZ150" i="4"/>
  <c r="BM149" i="4"/>
  <c r="BL149" i="4"/>
  <c r="BK149" i="4"/>
  <c r="BJ149" i="4"/>
  <c r="BI149" i="4"/>
  <c r="BH149" i="4"/>
  <c r="BG149" i="4"/>
  <c r="BF149" i="4"/>
  <c r="BD149" i="4"/>
  <c r="BC149" i="4"/>
  <c r="BB149" i="4"/>
  <c r="BA149" i="4"/>
  <c r="AZ149" i="4"/>
  <c r="BM148" i="4"/>
  <c r="BL148" i="4"/>
  <c r="BK148" i="4"/>
  <c r="BJ148" i="4"/>
  <c r="BI148" i="4"/>
  <c r="BH148" i="4"/>
  <c r="BG148" i="4"/>
  <c r="BF148" i="4"/>
  <c r="BD148" i="4"/>
  <c r="BC148" i="4"/>
  <c r="BB148" i="4"/>
  <c r="BA148" i="4"/>
  <c r="AZ148" i="4"/>
  <c r="BM147" i="4"/>
  <c r="BL147" i="4"/>
  <c r="BK147" i="4"/>
  <c r="BJ147" i="4"/>
  <c r="BI147" i="4"/>
  <c r="BH147" i="4"/>
  <c r="BG147" i="4"/>
  <c r="BF147" i="4"/>
  <c r="BD147" i="4"/>
  <c r="BC147" i="4"/>
  <c r="BB147" i="4"/>
  <c r="BA147" i="4"/>
  <c r="AZ147" i="4"/>
  <c r="BM146" i="4"/>
  <c r="BL146" i="4"/>
  <c r="BK146" i="4"/>
  <c r="BJ146" i="4"/>
  <c r="BI146" i="4"/>
  <c r="BH146" i="4"/>
  <c r="BG146" i="4"/>
  <c r="BF146" i="4"/>
  <c r="BD146" i="4"/>
  <c r="BC146" i="4"/>
  <c r="BB146" i="4"/>
  <c r="BA146" i="4"/>
  <c r="AZ146" i="4"/>
  <c r="BM145" i="4"/>
  <c r="BL145" i="4"/>
  <c r="BK145" i="4"/>
  <c r="BJ145" i="4"/>
  <c r="BI145" i="4"/>
  <c r="BH145" i="4"/>
  <c r="BG145" i="4"/>
  <c r="BF145" i="4"/>
  <c r="BD145" i="4"/>
  <c r="BC145" i="4"/>
  <c r="BB145" i="4"/>
  <c r="BA145" i="4"/>
  <c r="AZ145" i="4"/>
  <c r="BM144" i="4"/>
  <c r="BL144" i="4"/>
  <c r="BK144" i="4"/>
  <c r="BJ144" i="4"/>
  <c r="BI144" i="4"/>
  <c r="BH144" i="4"/>
  <c r="BG144" i="4"/>
  <c r="BF144" i="4"/>
  <c r="BD144" i="4"/>
  <c r="BC144" i="4"/>
  <c r="BB144" i="4"/>
  <c r="BA144" i="4"/>
  <c r="AZ144" i="4"/>
  <c r="BM143" i="4"/>
  <c r="BL143" i="4"/>
  <c r="BK143" i="4"/>
  <c r="BJ143" i="4"/>
  <c r="BI143" i="4"/>
  <c r="BH143" i="4"/>
  <c r="BG143" i="4"/>
  <c r="BF143" i="4"/>
  <c r="BD143" i="4"/>
  <c r="BC143" i="4"/>
  <c r="BB143" i="4"/>
  <c r="BA143" i="4"/>
  <c r="AZ143" i="4"/>
  <c r="BM142" i="4"/>
  <c r="BL142" i="4"/>
  <c r="BK142" i="4"/>
  <c r="BJ142" i="4"/>
  <c r="BI142" i="4"/>
  <c r="BH142" i="4"/>
  <c r="BG142" i="4"/>
  <c r="BF142" i="4"/>
  <c r="BD142" i="4"/>
  <c r="BC142" i="4"/>
  <c r="BB142" i="4"/>
  <c r="BA142" i="4"/>
  <c r="AZ142" i="4"/>
  <c r="BM141" i="4"/>
  <c r="BL141" i="4"/>
  <c r="BK141" i="4"/>
  <c r="BJ141" i="4"/>
  <c r="BI141" i="4"/>
  <c r="BH141" i="4"/>
  <c r="BG141" i="4"/>
  <c r="BF141" i="4"/>
  <c r="BD141" i="4"/>
  <c r="BC141" i="4"/>
  <c r="BB141" i="4"/>
  <c r="BA141" i="4"/>
  <c r="AZ141" i="4"/>
  <c r="BM140" i="4"/>
  <c r="BL140" i="4"/>
  <c r="BK140" i="4"/>
  <c r="BJ140" i="4"/>
  <c r="BI140" i="4"/>
  <c r="BH140" i="4"/>
  <c r="BG140" i="4"/>
  <c r="BF140" i="4"/>
  <c r="BD140" i="4"/>
  <c r="BC140" i="4"/>
  <c r="BB140" i="4"/>
  <c r="BA140" i="4"/>
  <c r="AZ140" i="4"/>
  <c r="BM139" i="4"/>
  <c r="BL139" i="4"/>
  <c r="BK139" i="4"/>
  <c r="BJ139" i="4"/>
  <c r="BI139" i="4"/>
  <c r="BH139" i="4"/>
  <c r="BG139" i="4"/>
  <c r="BF139" i="4"/>
  <c r="BD139" i="4"/>
  <c r="BC139" i="4"/>
  <c r="BB139" i="4"/>
  <c r="BA139" i="4"/>
  <c r="AZ139" i="4"/>
  <c r="BM138" i="4"/>
  <c r="BL138" i="4"/>
  <c r="BK138" i="4"/>
  <c r="BJ138" i="4"/>
  <c r="BI138" i="4"/>
  <c r="BH138" i="4"/>
  <c r="BG138" i="4"/>
  <c r="BF138" i="4"/>
  <c r="BD138" i="4"/>
  <c r="BC138" i="4"/>
  <c r="BB138" i="4"/>
  <c r="BA138" i="4"/>
  <c r="AZ138" i="4"/>
  <c r="BM137" i="4"/>
  <c r="BL137" i="4"/>
  <c r="BK137" i="4"/>
  <c r="BJ137" i="4"/>
  <c r="BI137" i="4"/>
  <c r="BH137" i="4"/>
  <c r="BG137" i="4"/>
  <c r="BF137" i="4"/>
  <c r="BD137" i="4"/>
  <c r="BC137" i="4"/>
  <c r="BB137" i="4"/>
  <c r="BA137" i="4"/>
  <c r="AZ137" i="4"/>
  <c r="BM136" i="4"/>
  <c r="BL136" i="4"/>
  <c r="BK136" i="4"/>
  <c r="BJ136" i="4"/>
  <c r="BI136" i="4"/>
  <c r="BH136" i="4"/>
  <c r="BG136" i="4"/>
  <c r="BF136" i="4"/>
  <c r="BD136" i="4"/>
  <c r="BC136" i="4"/>
  <c r="BB136" i="4"/>
  <c r="BA136" i="4"/>
  <c r="AZ136" i="4"/>
  <c r="BM135" i="4"/>
  <c r="BL135" i="4"/>
  <c r="BK135" i="4"/>
  <c r="BJ135" i="4"/>
  <c r="BI135" i="4"/>
  <c r="BH135" i="4"/>
  <c r="BG135" i="4"/>
  <c r="BF135" i="4"/>
  <c r="BD135" i="4"/>
  <c r="BC135" i="4"/>
  <c r="BB135" i="4"/>
  <c r="BA135" i="4"/>
  <c r="AZ135" i="4"/>
  <c r="BM134" i="4"/>
  <c r="BL134" i="4"/>
  <c r="BK134" i="4"/>
  <c r="BJ134" i="4"/>
  <c r="BI134" i="4"/>
  <c r="BH134" i="4"/>
  <c r="BG134" i="4"/>
  <c r="BF134" i="4"/>
  <c r="BD134" i="4"/>
  <c r="BC134" i="4"/>
  <c r="BB134" i="4"/>
  <c r="BA134" i="4"/>
  <c r="AZ134" i="4"/>
  <c r="BM133" i="4"/>
  <c r="BL133" i="4"/>
  <c r="BK133" i="4"/>
  <c r="BJ133" i="4"/>
  <c r="BI133" i="4"/>
  <c r="BH133" i="4"/>
  <c r="BG133" i="4"/>
  <c r="BF133" i="4"/>
  <c r="BD133" i="4"/>
  <c r="BC133" i="4"/>
  <c r="BB133" i="4"/>
  <c r="BA133" i="4"/>
  <c r="AZ133" i="4"/>
  <c r="BM132" i="4"/>
  <c r="BL132" i="4"/>
  <c r="BK132" i="4"/>
  <c r="BJ132" i="4"/>
  <c r="BI132" i="4"/>
  <c r="BH132" i="4"/>
  <c r="BG132" i="4"/>
  <c r="BF132" i="4"/>
  <c r="BD132" i="4"/>
  <c r="BC132" i="4"/>
  <c r="BB132" i="4"/>
  <c r="BA132" i="4"/>
  <c r="AZ132" i="4"/>
  <c r="BM131" i="4"/>
  <c r="BL131" i="4"/>
  <c r="BK131" i="4"/>
  <c r="BJ131" i="4"/>
  <c r="BI131" i="4"/>
  <c r="BH131" i="4"/>
  <c r="BG131" i="4"/>
  <c r="BF131" i="4"/>
  <c r="BD131" i="4"/>
  <c r="BC131" i="4"/>
  <c r="BB131" i="4"/>
  <c r="BA131" i="4"/>
  <c r="AZ131" i="4"/>
  <c r="BM130" i="4"/>
  <c r="BL130" i="4"/>
  <c r="BK130" i="4"/>
  <c r="BJ130" i="4"/>
  <c r="BI130" i="4"/>
  <c r="BH130" i="4"/>
  <c r="BG130" i="4"/>
  <c r="BF130" i="4"/>
  <c r="BD130" i="4"/>
  <c r="BC130" i="4"/>
  <c r="BB130" i="4"/>
  <c r="BA130" i="4"/>
  <c r="AZ130" i="4"/>
  <c r="BM129" i="4"/>
  <c r="BL129" i="4"/>
  <c r="BK129" i="4"/>
  <c r="BJ129" i="4"/>
  <c r="BI129" i="4"/>
  <c r="BH129" i="4"/>
  <c r="BG129" i="4"/>
  <c r="BF129" i="4"/>
  <c r="BD129" i="4"/>
  <c r="BC129" i="4"/>
  <c r="BB129" i="4"/>
  <c r="BA129" i="4"/>
  <c r="AZ129" i="4"/>
  <c r="BM128" i="4"/>
  <c r="BL128" i="4"/>
  <c r="BK128" i="4"/>
  <c r="BJ128" i="4"/>
  <c r="BI128" i="4"/>
  <c r="BH128" i="4"/>
  <c r="BG128" i="4"/>
  <c r="BF128" i="4"/>
  <c r="BD128" i="4"/>
  <c r="BC128" i="4"/>
  <c r="BB128" i="4"/>
  <c r="BA128" i="4"/>
  <c r="AZ128" i="4"/>
  <c r="BM127" i="4"/>
  <c r="BL127" i="4"/>
  <c r="BK127" i="4"/>
  <c r="BJ127" i="4"/>
  <c r="BI127" i="4"/>
  <c r="BH127" i="4"/>
  <c r="BG127" i="4"/>
  <c r="BF127" i="4"/>
  <c r="BD127" i="4"/>
  <c r="BC127" i="4"/>
  <c r="BB127" i="4"/>
  <c r="BA127" i="4"/>
  <c r="AZ127" i="4"/>
  <c r="BM126" i="4"/>
  <c r="BL126" i="4"/>
  <c r="BK126" i="4"/>
  <c r="BJ126" i="4"/>
  <c r="BI126" i="4"/>
  <c r="BH126" i="4"/>
  <c r="BG126" i="4"/>
  <c r="BF126" i="4"/>
  <c r="BD126" i="4"/>
  <c r="BC126" i="4"/>
  <c r="BB126" i="4"/>
  <c r="BA126" i="4"/>
  <c r="AZ126" i="4"/>
  <c r="BM125" i="4"/>
  <c r="BL125" i="4"/>
  <c r="BK125" i="4"/>
  <c r="BJ125" i="4"/>
  <c r="BI125" i="4"/>
  <c r="BH125" i="4"/>
  <c r="BG125" i="4"/>
  <c r="BF125" i="4"/>
  <c r="BD125" i="4"/>
  <c r="BC125" i="4"/>
  <c r="BB125" i="4"/>
  <c r="BA125" i="4"/>
  <c r="AZ125" i="4"/>
  <c r="BM124" i="4"/>
  <c r="BL124" i="4"/>
  <c r="BK124" i="4"/>
  <c r="BJ124" i="4"/>
  <c r="BI124" i="4"/>
  <c r="BH124" i="4"/>
  <c r="BG124" i="4"/>
  <c r="BF124" i="4"/>
  <c r="BD124" i="4"/>
  <c r="BC124" i="4"/>
  <c r="BB124" i="4"/>
  <c r="BA124" i="4"/>
  <c r="AZ124" i="4"/>
  <c r="BM123" i="4"/>
  <c r="BL123" i="4"/>
  <c r="BK123" i="4"/>
  <c r="BJ123" i="4"/>
  <c r="BI123" i="4"/>
  <c r="BH123" i="4"/>
  <c r="BG123" i="4"/>
  <c r="BF123" i="4"/>
  <c r="BD123" i="4"/>
  <c r="BC123" i="4"/>
  <c r="BB123" i="4"/>
  <c r="BA123" i="4"/>
  <c r="AZ123" i="4"/>
  <c r="BM122" i="4"/>
  <c r="BL122" i="4"/>
  <c r="BK122" i="4"/>
  <c r="BJ122" i="4"/>
  <c r="BI122" i="4"/>
  <c r="BH122" i="4"/>
  <c r="BG122" i="4"/>
  <c r="BF122" i="4"/>
  <c r="BD122" i="4"/>
  <c r="BC122" i="4"/>
  <c r="BB122" i="4"/>
  <c r="BA122" i="4"/>
  <c r="AZ122" i="4"/>
  <c r="BM121" i="4"/>
  <c r="BL121" i="4"/>
  <c r="BK121" i="4"/>
  <c r="BJ121" i="4"/>
  <c r="BI121" i="4"/>
  <c r="BH121" i="4"/>
  <c r="BG121" i="4"/>
  <c r="BF121" i="4"/>
  <c r="BD121" i="4"/>
  <c r="BC121" i="4"/>
  <c r="BB121" i="4"/>
  <c r="BA121" i="4"/>
  <c r="AZ121" i="4"/>
  <c r="BM120" i="4"/>
  <c r="BL120" i="4"/>
  <c r="BK120" i="4"/>
  <c r="BJ120" i="4"/>
  <c r="BI120" i="4"/>
  <c r="BH120" i="4"/>
  <c r="BG120" i="4"/>
  <c r="BF120" i="4"/>
  <c r="BD120" i="4"/>
  <c r="BC120" i="4"/>
  <c r="BB120" i="4"/>
  <c r="BA120" i="4"/>
  <c r="AZ120" i="4"/>
  <c r="BM119" i="4"/>
  <c r="BL119" i="4"/>
  <c r="BK119" i="4"/>
  <c r="BJ119" i="4"/>
  <c r="BI119" i="4"/>
  <c r="BH119" i="4"/>
  <c r="BG119" i="4"/>
  <c r="BF119" i="4"/>
  <c r="BD119" i="4"/>
  <c r="BC119" i="4"/>
  <c r="BB119" i="4"/>
  <c r="BA119" i="4"/>
  <c r="AZ119" i="4"/>
  <c r="BM118" i="4"/>
  <c r="BL118" i="4"/>
  <c r="BK118" i="4"/>
  <c r="BJ118" i="4"/>
  <c r="BI118" i="4"/>
  <c r="BH118" i="4"/>
  <c r="BG118" i="4"/>
  <c r="BF118" i="4"/>
  <c r="BD118" i="4"/>
  <c r="BC118" i="4"/>
  <c r="BB118" i="4"/>
  <c r="BA118" i="4"/>
  <c r="AZ118" i="4"/>
  <c r="BM117" i="4"/>
  <c r="BL117" i="4"/>
  <c r="BK117" i="4"/>
  <c r="BJ117" i="4"/>
  <c r="BI117" i="4"/>
  <c r="BH117" i="4"/>
  <c r="BG117" i="4"/>
  <c r="BF117" i="4"/>
  <c r="BD117" i="4"/>
  <c r="BC117" i="4"/>
  <c r="BB117" i="4"/>
  <c r="BA117" i="4"/>
  <c r="AZ117" i="4"/>
  <c r="BM116" i="4"/>
  <c r="BL116" i="4"/>
  <c r="BK116" i="4"/>
  <c r="BJ116" i="4"/>
  <c r="BI116" i="4"/>
  <c r="BH116" i="4"/>
  <c r="BG116" i="4"/>
  <c r="BF116" i="4"/>
  <c r="BD116" i="4"/>
  <c r="BC116" i="4"/>
  <c r="BB116" i="4"/>
  <c r="BA116" i="4"/>
  <c r="AZ116" i="4"/>
  <c r="BM115" i="4"/>
  <c r="BL115" i="4"/>
  <c r="BK115" i="4"/>
  <c r="BJ115" i="4"/>
  <c r="BI115" i="4"/>
  <c r="BH115" i="4"/>
  <c r="BG115" i="4"/>
  <c r="BF115" i="4"/>
  <c r="BD115" i="4"/>
  <c r="BC115" i="4"/>
  <c r="BB115" i="4"/>
  <c r="BA115" i="4"/>
  <c r="AZ115" i="4"/>
  <c r="BM114" i="4"/>
  <c r="BL114" i="4"/>
  <c r="BK114" i="4"/>
  <c r="BJ114" i="4"/>
  <c r="BI114" i="4"/>
  <c r="BH114" i="4"/>
  <c r="BG114" i="4"/>
  <c r="BF114" i="4"/>
  <c r="BD114" i="4"/>
  <c r="BC114" i="4"/>
  <c r="BB114" i="4"/>
  <c r="BA114" i="4"/>
  <c r="AZ114" i="4"/>
  <c r="BM113" i="4"/>
  <c r="BL113" i="4"/>
  <c r="BK113" i="4"/>
  <c r="BJ113" i="4"/>
  <c r="BI113" i="4"/>
  <c r="BH113" i="4"/>
  <c r="BG113" i="4"/>
  <c r="BF113" i="4"/>
  <c r="BD113" i="4"/>
  <c r="BC113" i="4"/>
  <c r="BB113" i="4"/>
  <c r="BA113" i="4"/>
  <c r="AZ113" i="4"/>
  <c r="BM112" i="4"/>
  <c r="BL112" i="4"/>
  <c r="BK112" i="4"/>
  <c r="BJ112" i="4"/>
  <c r="BI112" i="4"/>
  <c r="BH112" i="4"/>
  <c r="BG112" i="4"/>
  <c r="BF112" i="4"/>
  <c r="BD112" i="4"/>
  <c r="BC112" i="4"/>
  <c r="BB112" i="4"/>
  <c r="BA112" i="4"/>
  <c r="AZ112" i="4"/>
  <c r="BM111" i="4"/>
  <c r="BL111" i="4"/>
  <c r="BK111" i="4"/>
  <c r="BJ111" i="4"/>
  <c r="BI111" i="4"/>
  <c r="BH111" i="4"/>
  <c r="BG111" i="4"/>
  <c r="BF111" i="4"/>
  <c r="BD111" i="4"/>
  <c r="BC111" i="4"/>
  <c r="BB111" i="4"/>
  <c r="BA111" i="4"/>
  <c r="AZ111" i="4"/>
  <c r="BM110" i="4"/>
  <c r="BL110" i="4"/>
  <c r="BK110" i="4"/>
  <c r="BJ110" i="4"/>
  <c r="BI110" i="4"/>
  <c r="BH110" i="4"/>
  <c r="BG110" i="4"/>
  <c r="BF110" i="4"/>
  <c r="BD110" i="4"/>
  <c r="BC110" i="4"/>
  <c r="BB110" i="4"/>
  <c r="BA110" i="4"/>
  <c r="AZ110" i="4"/>
  <c r="BM109" i="4"/>
  <c r="BL109" i="4"/>
  <c r="BK109" i="4"/>
  <c r="BJ109" i="4"/>
  <c r="BI109" i="4"/>
  <c r="BH109" i="4"/>
  <c r="BG109" i="4"/>
  <c r="BF109" i="4"/>
  <c r="BD109" i="4"/>
  <c r="BC109" i="4"/>
  <c r="BB109" i="4"/>
  <c r="BA109" i="4"/>
  <c r="AZ109" i="4"/>
  <c r="BM108" i="4"/>
  <c r="BL108" i="4"/>
  <c r="BK108" i="4"/>
  <c r="BJ108" i="4"/>
  <c r="BI108" i="4"/>
  <c r="BH108" i="4"/>
  <c r="BG108" i="4"/>
  <c r="BF108" i="4"/>
  <c r="BD108" i="4"/>
  <c r="BC108" i="4"/>
  <c r="BB108" i="4"/>
  <c r="BA108" i="4"/>
  <c r="AZ108" i="4"/>
  <c r="BM107" i="4"/>
  <c r="BL107" i="4"/>
  <c r="BK107" i="4"/>
  <c r="BJ107" i="4"/>
  <c r="BI107" i="4"/>
  <c r="BH107" i="4"/>
  <c r="BG107" i="4"/>
  <c r="BF107" i="4"/>
  <c r="BD107" i="4"/>
  <c r="BC107" i="4"/>
  <c r="BB107" i="4"/>
  <c r="BA107" i="4"/>
  <c r="AZ107" i="4"/>
  <c r="BM106" i="4"/>
  <c r="BL106" i="4"/>
  <c r="BK106" i="4"/>
  <c r="BJ106" i="4"/>
  <c r="BI106" i="4"/>
  <c r="BH106" i="4"/>
  <c r="BG106" i="4"/>
  <c r="BF106" i="4"/>
  <c r="BD106" i="4"/>
  <c r="BC106" i="4"/>
  <c r="BB106" i="4"/>
  <c r="BA106" i="4"/>
  <c r="AZ106" i="4"/>
  <c r="BM105" i="4"/>
  <c r="BL105" i="4"/>
  <c r="BK105" i="4"/>
  <c r="BJ105" i="4"/>
  <c r="BI105" i="4"/>
  <c r="BH105" i="4"/>
  <c r="BG105" i="4"/>
  <c r="BF105" i="4"/>
  <c r="BD105" i="4"/>
  <c r="BC105" i="4"/>
  <c r="BB105" i="4"/>
  <c r="BA105" i="4"/>
  <c r="AZ105" i="4"/>
  <c r="BM104" i="4"/>
  <c r="BL104" i="4"/>
  <c r="BK104" i="4"/>
  <c r="BJ104" i="4"/>
  <c r="BI104" i="4"/>
  <c r="BH104" i="4"/>
  <c r="BG104" i="4"/>
  <c r="BF104" i="4"/>
  <c r="BD104" i="4"/>
  <c r="BC104" i="4"/>
  <c r="BB104" i="4"/>
  <c r="BA104" i="4"/>
  <c r="AZ104" i="4"/>
  <c r="BM103" i="4"/>
  <c r="BL103" i="4"/>
  <c r="BK103" i="4"/>
  <c r="BJ103" i="4"/>
  <c r="BI103" i="4"/>
  <c r="BH103" i="4"/>
  <c r="BG103" i="4"/>
  <c r="BF103" i="4"/>
  <c r="BD103" i="4"/>
  <c r="BC103" i="4"/>
  <c r="BB103" i="4"/>
  <c r="BA103" i="4"/>
  <c r="AZ103" i="4"/>
  <c r="BM102" i="4"/>
  <c r="BL102" i="4"/>
  <c r="BK102" i="4"/>
  <c r="BJ102" i="4"/>
  <c r="BI102" i="4"/>
  <c r="BH102" i="4"/>
  <c r="BG102" i="4"/>
  <c r="BF102" i="4"/>
  <c r="BD102" i="4"/>
  <c r="BC102" i="4"/>
  <c r="BB102" i="4"/>
  <c r="BA102" i="4"/>
  <c r="AZ102" i="4"/>
  <c r="BM101" i="4"/>
  <c r="BL101" i="4"/>
  <c r="BK101" i="4"/>
  <c r="BJ101" i="4"/>
  <c r="BI101" i="4"/>
  <c r="BH101" i="4"/>
  <c r="BG101" i="4"/>
  <c r="BF101" i="4"/>
  <c r="BD101" i="4"/>
  <c r="BC101" i="4"/>
  <c r="BB101" i="4"/>
  <c r="BA101" i="4"/>
  <c r="AZ101" i="4"/>
  <c r="BM100" i="4"/>
  <c r="BL100" i="4"/>
  <c r="BK100" i="4"/>
  <c r="BJ100" i="4"/>
  <c r="BI100" i="4"/>
  <c r="BH100" i="4"/>
  <c r="BG100" i="4"/>
  <c r="BF100" i="4"/>
  <c r="BD100" i="4"/>
  <c r="BC100" i="4"/>
  <c r="BB100" i="4"/>
  <c r="BA100" i="4"/>
  <c r="AZ100" i="4"/>
  <c r="BM33" i="4"/>
  <c r="BL33" i="4"/>
  <c r="BK33" i="4"/>
  <c r="BJ33" i="4"/>
  <c r="BI33" i="4"/>
  <c r="BH33" i="4"/>
  <c r="BG33" i="4"/>
  <c r="BF33" i="4"/>
  <c r="BD33" i="4"/>
  <c r="BC33" i="4"/>
  <c r="BB33" i="4"/>
  <c r="BA33" i="4"/>
  <c r="AZ33" i="4"/>
  <c r="BM32" i="4"/>
  <c r="BL32" i="4"/>
  <c r="BK32" i="4"/>
  <c r="BJ32" i="4"/>
  <c r="BI32" i="4"/>
  <c r="BH32" i="4"/>
  <c r="BG32" i="4"/>
  <c r="BF32" i="4"/>
  <c r="BD32" i="4"/>
  <c r="BC32" i="4"/>
  <c r="BB32" i="4"/>
  <c r="BA32" i="4"/>
  <c r="AZ32" i="4"/>
  <c r="BM31" i="4"/>
  <c r="BL31" i="4"/>
  <c r="BK31" i="4"/>
  <c r="BJ31" i="4"/>
  <c r="BI31" i="4"/>
  <c r="BH31" i="4"/>
  <c r="BG31" i="4"/>
  <c r="BF31" i="4"/>
  <c r="BD31" i="4"/>
  <c r="BC31" i="4"/>
  <c r="BB31" i="4"/>
  <c r="BA31" i="4"/>
  <c r="AZ31" i="4"/>
  <c r="BM30" i="4"/>
  <c r="BL30" i="4"/>
  <c r="BK30" i="4"/>
  <c r="BJ30" i="4"/>
  <c r="BI30" i="4"/>
  <c r="BH30" i="4"/>
  <c r="BG30" i="4"/>
  <c r="BF30" i="4"/>
  <c r="BD30" i="4"/>
  <c r="BC30" i="4"/>
  <c r="BB30" i="4"/>
  <c r="BA30" i="4"/>
  <c r="AZ30" i="4"/>
  <c r="BM29" i="4"/>
  <c r="BL29" i="4"/>
  <c r="BK29" i="4"/>
  <c r="BJ29" i="4"/>
  <c r="BI29" i="4"/>
  <c r="BH29" i="4"/>
  <c r="BG29" i="4"/>
  <c r="BF29" i="4"/>
  <c r="BD29" i="4"/>
  <c r="BC29" i="4"/>
  <c r="BB29" i="4"/>
  <c r="BA29" i="4"/>
  <c r="AZ29" i="4"/>
  <c r="BM28" i="4"/>
  <c r="BL28" i="4"/>
  <c r="BK28" i="4"/>
  <c r="BJ28" i="4"/>
  <c r="BI28" i="4"/>
  <c r="BH28" i="4"/>
  <c r="BG28" i="4"/>
  <c r="BF28" i="4"/>
  <c r="BD28" i="4"/>
  <c r="BC28" i="4"/>
  <c r="BB28" i="4"/>
  <c r="BA28" i="4"/>
  <c r="AZ28" i="4"/>
  <c r="BM27" i="4"/>
  <c r="BL27" i="4"/>
  <c r="BK27" i="4"/>
  <c r="BJ27" i="4"/>
  <c r="BI27" i="4"/>
  <c r="BH27" i="4"/>
  <c r="BG27" i="4"/>
  <c r="BF27" i="4"/>
  <c r="BD27" i="4"/>
  <c r="BC27" i="4"/>
  <c r="BB27" i="4"/>
  <c r="BA27" i="4"/>
  <c r="AZ27" i="4"/>
  <c r="BM26" i="4"/>
  <c r="BL26" i="4"/>
  <c r="BK26" i="4"/>
  <c r="BJ26" i="4"/>
  <c r="BI26" i="4"/>
  <c r="BH26" i="4"/>
  <c r="BG26" i="4"/>
  <c r="BF26" i="4"/>
  <c r="BD26" i="4"/>
  <c r="BC26" i="4"/>
  <c r="BB26" i="4"/>
  <c r="BA26" i="4"/>
  <c r="AZ26" i="4"/>
  <c r="BM25" i="4"/>
  <c r="BL25" i="4"/>
  <c r="BK25" i="4"/>
  <c r="BJ25" i="4"/>
  <c r="BI25" i="4"/>
  <c r="BH25" i="4"/>
  <c r="BG25" i="4"/>
  <c r="BF25" i="4"/>
  <c r="BD25" i="4"/>
  <c r="BC25" i="4"/>
  <c r="BB25" i="4"/>
  <c r="BA25" i="4"/>
  <c r="AZ25" i="4"/>
  <c r="BM24" i="4"/>
  <c r="BL24" i="4"/>
  <c r="BK24" i="4"/>
  <c r="BJ24" i="4"/>
  <c r="BI24" i="4"/>
  <c r="BH24" i="4"/>
  <c r="BG24" i="4"/>
  <c r="BF24" i="4"/>
  <c r="BD24" i="4"/>
  <c r="BC24" i="4"/>
  <c r="BB24" i="4"/>
  <c r="BA24" i="4"/>
  <c r="AZ24" i="4"/>
  <c r="BM23" i="4"/>
  <c r="BL23" i="4"/>
  <c r="BK23" i="4"/>
  <c r="BJ23" i="4"/>
  <c r="BI23" i="4"/>
  <c r="BH23" i="4"/>
  <c r="BG23" i="4"/>
  <c r="BF23" i="4"/>
  <c r="BD23" i="4"/>
  <c r="BC23" i="4"/>
  <c r="BB23" i="4"/>
  <c r="BA23" i="4"/>
  <c r="AZ23" i="4"/>
  <c r="BM22" i="4"/>
  <c r="BL22" i="4"/>
  <c r="BK22" i="4"/>
  <c r="BJ22" i="4"/>
  <c r="BI22" i="4"/>
  <c r="BH22" i="4"/>
  <c r="BG22" i="4"/>
  <c r="BF22" i="4"/>
  <c r="BD22" i="4"/>
  <c r="BC22" i="4"/>
  <c r="BB22" i="4"/>
  <c r="BA22" i="4"/>
  <c r="AZ22" i="4"/>
  <c r="BM21" i="4"/>
  <c r="BL21" i="4"/>
  <c r="BK21" i="4"/>
  <c r="BJ21" i="4"/>
  <c r="BI21" i="4"/>
  <c r="BH21" i="4"/>
  <c r="BG21" i="4"/>
  <c r="BF21" i="4"/>
  <c r="BD21" i="4"/>
  <c r="BC21" i="4"/>
  <c r="BB21" i="4"/>
  <c r="BA21" i="4"/>
  <c r="AZ21" i="4"/>
  <c r="BM20" i="4"/>
  <c r="BL20" i="4"/>
  <c r="BK20" i="4"/>
  <c r="BJ20" i="4"/>
  <c r="BI20" i="4"/>
  <c r="BH20" i="4"/>
  <c r="BG20" i="4"/>
  <c r="BF20" i="4"/>
  <c r="BD20" i="4"/>
  <c r="BC20" i="4"/>
  <c r="BB20" i="4"/>
  <c r="BA20" i="4"/>
  <c r="AZ20" i="4"/>
  <c r="BM19" i="4"/>
  <c r="BL19" i="4"/>
  <c r="BK19" i="4"/>
  <c r="BJ19" i="4"/>
  <c r="BI19" i="4"/>
  <c r="BH19" i="4"/>
  <c r="BG19" i="4"/>
  <c r="BF19" i="4"/>
  <c r="BD19" i="4"/>
  <c r="BC19" i="4"/>
  <c r="BB19" i="4"/>
  <c r="BA19" i="4"/>
  <c r="AZ19" i="4"/>
  <c r="BM18" i="4"/>
  <c r="BL18" i="4"/>
  <c r="BK18" i="4"/>
  <c r="BJ18" i="4"/>
  <c r="BI18" i="4"/>
  <c r="BH18" i="4"/>
  <c r="BG18" i="4"/>
  <c r="BF18" i="4"/>
  <c r="BD18" i="4"/>
  <c r="BC18" i="4"/>
  <c r="BB18" i="4"/>
  <c r="BA18" i="4"/>
  <c r="AZ18" i="4"/>
  <c r="BM17" i="4"/>
  <c r="BL17" i="4"/>
  <c r="BK17" i="4"/>
  <c r="BJ17" i="4"/>
  <c r="BI17" i="4"/>
  <c r="BH17" i="4"/>
  <c r="BG17" i="4"/>
  <c r="BF17" i="4"/>
  <c r="BD17" i="4"/>
  <c r="BC17" i="4"/>
  <c r="BB17" i="4"/>
  <c r="BA17" i="4"/>
  <c r="AZ17" i="4"/>
  <c r="BM16" i="4"/>
  <c r="BL16" i="4"/>
  <c r="BK16" i="4"/>
  <c r="BJ16" i="4"/>
  <c r="BI16" i="4"/>
  <c r="BH16" i="4"/>
  <c r="BG16" i="4"/>
  <c r="BF16" i="4"/>
  <c r="BD16" i="4"/>
  <c r="BC16" i="4"/>
  <c r="BB16" i="4"/>
  <c r="BA16" i="4"/>
  <c r="AZ16" i="4"/>
  <c r="BM15" i="4"/>
  <c r="BL15" i="4"/>
  <c r="BK15" i="4"/>
  <c r="BJ15" i="4"/>
  <c r="BI15" i="4"/>
  <c r="BH15" i="4"/>
  <c r="BG15" i="4"/>
  <c r="BF15" i="4"/>
  <c r="BD15" i="4"/>
  <c r="BC15" i="4"/>
  <c r="BB15" i="4"/>
  <c r="BA15" i="4"/>
  <c r="AZ15" i="4"/>
  <c r="BM14" i="4"/>
  <c r="BL14" i="4"/>
  <c r="BK14" i="4"/>
  <c r="BJ14" i="4"/>
  <c r="BI14" i="4"/>
  <c r="BH14" i="4"/>
  <c r="BG14" i="4"/>
  <c r="BF14" i="4"/>
  <c r="BD14" i="4"/>
  <c r="BC14" i="4"/>
  <c r="BB14" i="4"/>
  <c r="BA14" i="4"/>
  <c r="AZ14" i="4"/>
  <c r="BM13" i="4"/>
  <c r="BL13" i="4"/>
  <c r="BK13" i="4"/>
  <c r="BJ13" i="4"/>
  <c r="BI13" i="4"/>
  <c r="BH13" i="4"/>
  <c r="BG13" i="4"/>
  <c r="BF13" i="4"/>
  <c r="BD13" i="4"/>
  <c r="BC13" i="4"/>
  <c r="BB13" i="4"/>
  <c r="BA13" i="4"/>
  <c r="AZ13" i="4"/>
  <c r="BM12" i="4"/>
  <c r="BL12" i="4"/>
  <c r="BK12" i="4"/>
  <c r="BJ12" i="4"/>
  <c r="BI12" i="4"/>
  <c r="BH12" i="4"/>
  <c r="BG12" i="4"/>
  <c r="BF12" i="4"/>
  <c r="BD12" i="4"/>
  <c r="BC12" i="4"/>
  <c r="BB12" i="4"/>
  <c r="BA12" i="4"/>
  <c r="AZ12" i="4"/>
  <c r="BM11" i="4"/>
  <c r="BL11" i="4"/>
  <c r="BK11" i="4"/>
  <c r="BJ11" i="4"/>
  <c r="BI11" i="4"/>
  <c r="BH11" i="4"/>
  <c r="BG11" i="4"/>
  <c r="BF11" i="4"/>
  <c r="BD11" i="4"/>
  <c r="BC11" i="4"/>
  <c r="BB11" i="4"/>
  <c r="BA11" i="4"/>
  <c r="AZ11" i="4"/>
  <c r="BM10" i="4"/>
  <c r="BL10" i="4"/>
  <c r="BK10" i="4"/>
  <c r="BJ10" i="4"/>
  <c r="BI10" i="4"/>
  <c r="BH10" i="4"/>
  <c r="BG10" i="4"/>
  <c r="BF10" i="4"/>
  <c r="BD10" i="4"/>
  <c r="BC10" i="4"/>
  <c r="BB10" i="4"/>
  <c r="BA10" i="4"/>
  <c r="AZ10" i="4"/>
  <c r="BM9" i="4"/>
  <c r="BL9" i="4"/>
  <c r="BK9" i="4"/>
  <c r="BJ9" i="4"/>
  <c r="BI9" i="4"/>
  <c r="BH9" i="4"/>
  <c r="BG9" i="4"/>
  <c r="BF9" i="4"/>
  <c r="BD9" i="4"/>
  <c r="BC9" i="4"/>
  <c r="BB9" i="4"/>
  <c r="BA9" i="4"/>
  <c r="AZ9" i="4"/>
  <c r="BM8" i="4"/>
  <c r="BL8" i="4"/>
  <c r="BK8" i="4"/>
  <c r="BJ8" i="4"/>
  <c r="BI8" i="4"/>
  <c r="BH8" i="4"/>
  <c r="BG8" i="4"/>
  <c r="BF8" i="4"/>
  <c r="BD8" i="4"/>
  <c r="BC8" i="4"/>
  <c r="BB8" i="4"/>
  <c r="BA8" i="4"/>
  <c r="AZ8" i="4"/>
  <c r="BM7" i="4"/>
  <c r="BL7" i="4"/>
  <c r="BK7" i="4"/>
  <c r="BJ7" i="4"/>
  <c r="BI7" i="4"/>
  <c r="BH7" i="4"/>
  <c r="BG7" i="4"/>
  <c r="BF7" i="4"/>
  <c r="BD7" i="4"/>
  <c r="BC7" i="4"/>
  <c r="BB7" i="4"/>
  <c r="BA7" i="4"/>
  <c r="AZ7" i="4"/>
  <c r="BM6" i="4"/>
  <c r="BL6" i="4"/>
  <c r="BK6" i="4"/>
  <c r="BJ6" i="4"/>
  <c r="BI6" i="4"/>
  <c r="BH6" i="4"/>
  <c r="BG6" i="4"/>
  <c r="BF6" i="4"/>
  <c r="BD6" i="4"/>
  <c r="BC6" i="4"/>
  <c r="BB6" i="4"/>
  <c r="BA6" i="4"/>
  <c r="AZ6" i="4"/>
  <c r="BM5" i="4"/>
  <c r="BL5" i="4"/>
  <c r="BK5" i="4"/>
  <c r="BJ5" i="4"/>
  <c r="BI5" i="4"/>
  <c r="BH5" i="4"/>
  <c r="BG5" i="4"/>
  <c r="BF5" i="4"/>
  <c r="BD5" i="4"/>
  <c r="BC5" i="4"/>
  <c r="BB5" i="4"/>
  <c r="BA5" i="4"/>
  <c r="AZ5" i="4"/>
  <c r="BM4" i="4"/>
  <c r="BL4" i="4"/>
  <c r="BK4" i="4"/>
  <c r="BJ4" i="4"/>
  <c r="BI4" i="4"/>
  <c r="BH4" i="4"/>
  <c r="BG4" i="4"/>
  <c r="BF4" i="4"/>
  <c r="BD4" i="4"/>
  <c r="BC4" i="4"/>
  <c r="BB4" i="4"/>
  <c r="BA4" i="4"/>
  <c r="AZ4" i="4"/>
  <c r="BM3" i="4"/>
  <c r="BL3" i="4"/>
  <c r="BK3" i="4"/>
  <c r="BJ3" i="4"/>
  <c r="BI3" i="4"/>
  <c r="BH3" i="4"/>
  <c r="BG3" i="4"/>
  <c r="BF3" i="4"/>
  <c r="BD3" i="4"/>
  <c r="BC3" i="4"/>
  <c r="BB3" i="4"/>
  <c r="BA3" i="4"/>
  <c r="AZ3" i="4"/>
  <c r="AU113" i="4"/>
  <c r="AT113" i="4"/>
  <c r="AR113" i="4"/>
  <c r="AQ113" i="4"/>
  <c r="AO113" i="4"/>
  <c r="AM113" i="4"/>
  <c r="AL113" i="4"/>
  <c r="AK113" i="4"/>
  <c r="AJ113" i="4"/>
  <c r="AI113" i="4"/>
  <c r="AH113" i="4"/>
  <c r="AG113" i="4"/>
  <c r="AU112" i="4"/>
  <c r="AT112" i="4"/>
  <c r="AR112" i="4"/>
  <c r="AQ112" i="4"/>
  <c r="AO112" i="4"/>
  <c r="AM112" i="4"/>
  <c r="AL112" i="4"/>
  <c r="AK112" i="4"/>
  <c r="AJ112" i="4"/>
  <c r="AI112" i="4"/>
  <c r="AH112" i="4"/>
  <c r="AG112" i="4"/>
  <c r="AU111" i="4"/>
  <c r="AT111" i="4"/>
  <c r="AR111" i="4"/>
  <c r="AQ111" i="4"/>
  <c r="AO111" i="4"/>
  <c r="AM111" i="4"/>
  <c r="AL111" i="4"/>
  <c r="AK111" i="4"/>
  <c r="AJ111" i="4"/>
  <c r="AI111" i="4"/>
  <c r="AH111" i="4"/>
  <c r="AG111" i="4"/>
  <c r="AU110" i="4"/>
  <c r="AT110" i="4"/>
  <c r="AR110" i="4"/>
  <c r="AQ110" i="4"/>
  <c r="AO110" i="4"/>
  <c r="AM110" i="4"/>
  <c r="AL110" i="4"/>
  <c r="AK110" i="4"/>
  <c r="AJ110" i="4"/>
  <c r="AI110" i="4"/>
  <c r="AH110" i="4"/>
  <c r="AG110" i="4"/>
  <c r="AU109" i="4"/>
  <c r="AT109" i="4"/>
  <c r="AR109" i="4"/>
  <c r="AQ109" i="4"/>
  <c r="AO109" i="4"/>
  <c r="AM109" i="4"/>
  <c r="AL109" i="4"/>
  <c r="AK109" i="4"/>
  <c r="AJ109" i="4"/>
  <c r="AI109" i="4"/>
  <c r="AH109" i="4"/>
  <c r="AG109" i="4"/>
  <c r="AU108" i="4"/>
  <c r="AT108" i="4"/>
  <c r="AR108" i="4"/>
  <c r="AQ108" i="4"/>
  <c r="AO108" i="4"/>
  <c r="AM108" i="4"/>
  <c r="AL108" i="4"/>
  <c r="AK108" i="4"/>
  <c r="AJ108" i="4"/>
  <c r="AI108" i="4"/>
  <c r="AH108" i="4"/>
  <c r="AG108" i="4"/>
  <c r="AU107" i="4"/>
  <c r="AT107" i="4"/>
  <c r="AR107" i="4"/>
  <c r="AQ107" i="4"/>
  <c r="AO107" i="4"/>
  <c r="AM107" i="4"/>
  <c r="AL107" i="4"/>
  <c r="AK107" i="4"/>
  <c r="AJ107" i="4"/>
  <c r="AI107" i="4"/>
  <c r="AH107" i="4"/>
  <c r="AG107" i="4"/>
  <c r="AU106" i="4"/>
  <c r="AT106" i="4"/>
  <c r="X106" i="4" s="1"/>
  <c r="AR106" i="4"/>
  <c r="AQ106" i="4"/>
  <c r="AO106" i="4"/>
  <c r="AM106" i="4"/>
  <c r="AL106" i="4"/>
  <c r="AK106" i="4"/>
  <c r="AJ106" i="4"/>
  <c r="AI106" i="4"/>
  <c r="AH106" i="4"/>
  <c r="AG106" i="4"/>
  <c r="AU105" i="4"/>
  <c r="AT105" i="4"/>
  <c r="AR105" i="4"/>
  <c r="AQ105" i="4"/>
  <c r="AO105" i="4"/>
  <c r="AM105" i="4"/>
  <c r="AL105" i="4"/>
  <c r="AK105" i="4"/>
  <c r="AJ105" i="4"/>
  <c r="AI105" i="4"/>
  <c r="AH105" i="4"/>
  <c r="AG105" i="4"/>
  <c r="AU104" i="4"/>
  <c r="AT104" i="4"/>
  <c r="AR104" i="4"/>
  <c r="AQ104" i="4"/>
  <c r="AO104" i="4"/>
  <c r="AM104" i="4"/>
  <c r="AL104" i="4"/>
  <c r="AK104" i="4"/>
  <c r="AJ104" i="4"/>
  <c r="AI104" i="4"/>
  <c r="AH104" i="4"/>
  <c r="AG104" i="4"/>
  <c r="AU103" i="4"/>
  <c r="AT103" i="4"/>
  <c r="AR103" i="4"/>
  <c r="AQ103" i="4"/>
  <c r="AO103" i="4"/>
  <c r="AM103" i="4"/>
  <c r="AL103" i="4"/>
  <c r="AK103" i="4"/>
  <c r="AJ103" i="4"/>
  <c r="AI103" i="4"/>
  <c r="AH103" i="4"/>
  <c r="AG103" i="4"/>
  <c r="AU102" i="4"/>
  <c r="AT102" i="4"/>
  <c r="AR102" i="4"/>
  <c r="AQ102" i="4"/>
  <c r="AO102" i="4"/>
  <c r="AM102" i="4"/>
  <c r="AL102" i="4"/>
  <c r="AK102" i="4"/>
  <c r="AJ102" i="4"/>
  <c r="AI102" i="4"/>
  <c r="AH102" i="4"/>
  <c r="AG102" i="4"/>
  <c r="AU101" i="4"/>
  <c r="AT101" i="4"/>
  <c r="AR101" i="4"/>
  <c r="AQ101" i="4"/>
  <c r="AO101" i="4"/>
  <c r="AM101" i="4"/>
  <c r="AL101" i="4"/>
  <c r="AK101" i="4"/>
  <c r="AJ101" i="4"/>
  <c r="AI101" i="4"/>
  <c r="AH101" i="4"/>
  <c r="AG101" i="4"/>
  <c r="AU100" i="4"/>
  <c r="AT100" i="4"/>
  <c r="AR100" i="4"/>
  <c r="AQ100" i="4"/>
  <c r="AO100" i="4"/>
  <c r="AM100" i="4"/>
  <c r="AL100" i="4"/>
  <c r="AK100" i="4"/>
  <c r="AJ100" i="4"/>
  <c r="AI100" i="4"/>
  <c r="AH100" i="4"/>
  <c r="AG100" i="4"/>
  <c r="AU33" i="4"/>
  <c r="AT33" i="4"/>
  <c r="X33" i="4" s="1"/>
  <c r="AR33" i="4"/>
  <c r="AQ33" i="4"/>
  <c r="AO33" i="4"/>
  <c r="AM33" i="4"/>
  <c r="AL33" i="4"/>
  <c r="AK33" i="4"/>
  <c r="AJ33" i="4"/>
  <c r="AI33" i="4"/>
  <c r="AH33" i="4"/>
  <c r="AG33" i="4"/>
  <c r="AU32" i="4"/>
  <c r="AT32" i="4"/>
  <c r="X32" i="4" s="1"/>
  <c r="AR32" i="4"/>
  <c r="AQ32" i="4"/>
  <c r="AO32" i="4"/>
  <c r="AM32" i="4"/>
  <c r="AL32" i="4"/>
  <c r="AK32" i="4"/>
  <c r="AJ32" i="4"/>
  <c r="AI32" i="4"/>
  <c r="AH32" i="4"/>
  <c r="AG32" i="4"/>
  <c r="AU31" i="4"/>
  <c r="AT31" i="4"/>
  <c r="X31" i="4" s="1"/>
  <c r="AR31" i="4"/>
  <c r="AQ31" i="4"/>
  <c r="AO31" i="4"/>
  <c r="AM31" i="4"/>
  <c r="AL31" i="4"/>
  <c r="AK31" i="4"/>
  <c r="AJ31" i="4"/>
  <c r="AI31" i="4"/>
  <c r="AH31" i="4"/>
  <c r="AG31" i="4"/>
  <c r="AU30" i="4"/>
  <c r="AT30" i="4"/>
  <c r="X30" i="4" s="1"/>
  <c r="AR30" i="4"/>
  <c r="AQ30" i="4"/>
  <c r="AO30" i="4"/>
  <c r="AM30" i="4"/>
  <c r="AL30" i="4"/>
  <c r="AK30" i="4"/>
  <c r="AJ30" i="4"/>
  <c r="AI30" i="4"/>
  <c r="AH30" i="4"/>
  <c r="AG30" i="4"/>
  <c r="AU29" i="4"/>
  <c r="AT29" i="4"/>
  <c r="X29" i="4" s="1"/>
  <c r="AR29" i="4"/>
  <c r="AQ29" i="4"/>
  <c r="AO29" i="4"/>
  <c r="AM29" i="4"/>
  <c r="AL29" i="4"/>
  <c r="AK29" i="4"/>
  <c r="AJ29" i="4"/>
  <c r="AI29" i="4"/>
  <c r="AH29" i="4"/>
  <c r="AG29" i="4"/>
  <c r="AU28" i="4"/>
  <c r="AT28" i="4"/>
  <c r="X28" i="4" s="1"/>
  <c r="AR28" i="4"/>
  <c r="AQ28" i="4"/>
  <c r="AO28" i="4"/>
  <c r="AM28" i="4"/>
  <c r="AL28" i="4"/>
  <c r="AK28" i="4"/>
  <c r="AJ28" i="4"/>
  <c r="AI28" i="4"/>
  <c r="AH28" i="4"/>
  <c r="AG28" i="4"/>
  <c r="AU27" i="4"/>
  <c r="AT27" i="4"/>
  <c r="X27" i="4" s="1"/>
  <c r="AR27" i="4"/>
  <c r="AQ27" i="4"/>
  <c r="AO27" i="4"/>
  <c r="AM27" i="4"/>
  <c r="AL27" i="4"/>
  <c r="AK27" i="4"/>
  <c r="AJ27" i="4"/>
  <c r="AI27" i="4"/>
  <c r="AH27" i="4"/>
  <c r="AG27" i="4"/>
  <c r="AU26" i="4"/>
  <c r="AT26" i="4"/>
  <c r="X26" i="4" s="1"/>
  <c r="AR26" i="4"/>
  <c r="AQ26" i="4"/>
  <c r="AO26" i="4"/>
  <c r="AM26" i="4"/>
  <c r="AL26" i="4"/>
  <c r="AK26" i="4"/>
  <c r="AJ26" i="4"/>
  <c r="AI26" i="4"/>
  <c r="AH26" i="4"/>
  <c r="AG26" i="4"/>
  <c r="AU25" i="4"/>
  <c r="AT25" i="4"/>
  <c r="X25" i="4" s="1"/>
  <c r="AR25" i="4"/>
  <c r="AQ25" i="4"/>
  <c r="AO25" i="4"/>
  <c r="AM25" i="4"/>
  <c r="AL25" i="4"/>
  <c r="AK25" i="4"/>
  <c r="AJ25" i="4"/>
  <c r="AI25" i="4"/>
  <c r="AH25" i="4"/>
  <c r="AG25" i="4"/>
  <c r="AU24" i="4"/>
  <c r="AT24" i="4"/>
  <c r="X24" i="4" s="1"/>
  <c r="AR24" i="4"/>
  <c r="AQ24" i="4"/>
  <c r="AO24" i="4"/>
  <c r="AM24" i="4"/>
  <c r="AL24" i="4"/>
  <c r="AK24" i="4"/>
  <c r="AJ24" i="4"/>
  <c r="AI24" i="4"/>
  <c r="AH24" i="4"/>
  <c r="AG24" i="4"/>
  <c r="AU23" i="4"/>
  <c r="AT23" i="4"/>
  <c r="X23" i="4" s="1"/>
  <c r="AR23" i="4"/>
  <c r="AQ23" i="4"/>
  <c r="AO23" i="4"/>
  <c r="AM23" i="4"/>
  <c r="AL23" i="4"/>
  <c r="AK23" i="4"/>
  <c r="AJ23" i="4"/>
  <c r="AI23" i="4"/>
  <c r="AH23" i="4"/>
  <c r="AG23" i="4"/>
  <c r="AU22" i="4"/>
  <c r="AT22" i="4"/>
  <c r="X22" i="4" s="1"/>
  <c r="AR22" i="4"/>
  <c r="AQ22" i="4"/>
  <c r="AO22" i="4"/>
  <c r="AM22" i="4"/>
  <c r="AL22" i="4"/>
  <c r="AK22" i="4"/>
  <c r="AJ22" i="4"/>
  <c r="AI22" i="4"/>
  <c r="AH22" i="4"/>
  <c r="AG22" i="4"/>
  <c r="AU21" i="4"/>
  <c r="AT21" i="4"/>
  <c r="X21" i="4" s="1"/>
  <c r="AR21" i="4"/>
  <c r="AQ21" i="4"/>
  <c r="AO21" i="4"/>
  <c r="AM21" i="4"/>
  <c r="AL21" i="4"/>
  <c r="AK21" i="4"/>
  <c r="AJ21" i="4"/>
  <c r="AI21" i="4"/>
  <c r="AH21" i="4"/>
  <c r="AG21" i="4"/>
  <c r="AU20" i="4"/>
  <c r="AT20" i="4"/>
  <c r="X20" i="4" s="1"/>
  <c r="AR20" i="4"/>
  <c r="AQ20" i="4"/>
  <c r="AO20" i="4"/>
  <c r="AM20" i="4"/>
  <c r="AL20" i="4"/>
  <c r="AK20" i="4"/>
  <c r="AJ20" i="4"/>
  <c r="AI20" i="4"/>
  <c r="AH20" i="4"/>
  <c r="AG20" i="4"/>
  <c r="AU19" i="4"/>
  <c r="AT19" i="4"/>
  <c r="X19" i="4" s="1"/>
  <c r="AR19" i="4"/>
  <c r="AQ19" i="4"/>
  <c r="AO19" i="4"/>
  <c r="AM19" i="4"/>
  <c r="AL19" i="4"/>
  <c r="AK19" i="4"/>
  <c r="AJ19" i="4"/>
  <c r="AI19" i="4"/>
  <c r="AH19" i="4"/>
  <c r="AG19" i="4"/>
  <c r="AU18" i="4"/>
  <c r="AT18" i="4"/>
  <c r="X18" i="4" s="1"/>
  <c r="AR18" i="4"/>
  <c r="AQ18" i="4"/>
  <c r="AO18" i="4"/>
  <c r="AM18" i="4"/>
  <c r="AL18" i="4"/>
  <c r="AK18" i="4"/>
  <c r="AJ18" i="4"/>
  <c r="AI18" i="4"/>
  <c r="AH18" i="4"/>
  <c r="AG18" i="4"/>
  <c r="AU17" i="4"/>
  <c r="AT17" i="4"/>
  <c r="X17" i="4" s="1"/>
  <c r="AR17" i="4"/>
  <c r="AQ17" i="4"/>
  <c r="AO17" i="4"/>
  <c r="AM17" i="4"/>
  <c r="AL17" i="4"/>
  <c r="AK17" i="4"/>
  <c r="AJ17" i="4"/>
  <c r="AI17" i="4"/>
  <c r="AH17" i="4"/>
  <c r="AG17" i="4"/>
  <c r="AU16" i="4"/>
  <c r="AT16" i="4"/>
  <c r="X16" i="4" s="1"/>
  <c r="AR16" i="4"/>
  <c r="AQ16" i="4"/>
  <c r="AO16" i="4"/>
  <c r="AM16" i="4"/>
  <c r="AL16" i="4"/>
  <c r="AK16" i="4"/>
  <c r="AJ16" i="4"/>
  <c r="AI16" i="4"/>
  <c r="AH16" i="4"/>
  <c r="AG16" i="4"/>
  <c r="AU15" i="4"/>
  <c r="AT15" i="4"/>
  <c r="X15" i="4" s="1"/>
  <c r="AR15" i="4"/>
  <c r="AQ15" i="4"/>
  <c r="AO15" i="4"/>
  <c r="AM15" i="4"/>
  <c r="AL15" i="4"/>
  <c r="AK15" i="4"/>
  <c r="AJ15" i="4"/>
  <c r="AI15" i="4"/>
  <c r="AH15" i="4"/>
  <c r="AG15" i="4"/>
  <c r="AU14" i="4"/>
  <c r="AT14" i="4"/>
  <c r="X14" i="4" s="1"/>
  <c r="AR14" i="4"/>
  <c r="AQ14" i="4"/>
  <c r="AO14" i="4"/>
  <c r="AM14" i="4"/>
  <c r="AL14" i="4"/>
  <c r="AK14" i="4"/>
  <c r="AJ14" i="4"/>
  <c r="AI14" i="4"/>
  <c r="AH14" i="4"/>
  <c r="AG14" i="4"/>
  <c r="AU13" i="4"/>
  <c r="AT13" i="4"/>
  <c r="X13" i="4" s="1"/>
  <c r="AR13" i="4"/>
  <c r="AQ13" i="4"/>
  <c r="AO13" i="4"/>
  <c r="AM13" i="4"/>
  <c r="AL13" i="4"/>
  <c r="AK13" i="4"/>
  <c r="AJ13" i="4"/>
  <c r="AI13" i="4"/>
  <c r="AH13" i="4"/>
  <c r="AG13" i="4"/>
  <c r="AU12" i="4"/>
  <c r="AT12" i="4"/>
  <c r="X12" i="4" s="1"/>
  <c r="AR12" i="4"/>
  <c r="AQ12" i="4"/>
  <c r="AO12" i="4"/>
  <c r="AM12" i="4"/>
  <c r="AL12" i="4"/>
  <c r="AK12" i="4"/>
  <c r="AJ12" i="4"/>
  <c r="AI12" i="4"/>
  <c r="AH12" i="4"/>
  <c r="AG12" i="4"/>
  <c r="AU11" i="4"/>
  <c r="AT11" i="4"/>
  <c r="X11" i="4" s="1"/>
  <c r="AR11" i="4"/>
  <c r="AQ11" i="4"/>
  <c r="AO11" i="4"/>
  <c r="AM11" i="4"/>
  <c r="AL11" i="4"/>
  <c r="AK11" i="4"/>
  <c r="AJ11" i="4"/>
  <c r="AI11" i="4"/>
  <c r="AH11" i="4"/>
  <c r="AG11" i="4"/>
  <c r="AU10" i="4"/>
  <c r="AT10" i="4"/>
  <c r="X10" i="4" s="1"/>
  <c r="AR10" i="4"/>
  <c r="AQ10" i="4"/>
  <c r="AO10" i="4"/>
  <c r="AM10" i="4"/>
  <c r="AL10" i="4"/>
  <c r="AK10" i="4"/>
  <c r="AJ10" i="4"/>
  <c r="AI10" i="4"/>
  <c r="AH10" i="4"/>
  <c r="AG10" i="4"/>
  <c r="AU9" i="4"/>
  <c r="AT9" i="4"/>
  <c r="X9" i="4" s="1"/>
  <c r="AR9" i="4"/>
  <c r="AQ9" i="4"/>
  <c r="AO9" i="4"/>
  <c r="AM9" i="4"/>
  <c r="AL9" i="4"/>
  <c r="AK9" i="4"/>
  <c r="AJ9" i="4"/>
  <c r="AI9" i="4"/>
  <c r="AH9" i="4"/>
  <c r="AG9" i="4"/>
  <c r="AU8" i="4"/>
  <c r="AT8" i="4"/>
  <c r="X8" i="4" s="1"/>
  <c r="AR8" i="4"/>
  <c r="AQ8" i="4"/>
  <c r="AO8" i="4"/>
  <c r="AM8" i="4"/>
  <c r="AL8" i="4"/>
  <c r="AK8" i="4"/>
  <c r="AJ8" i="4"/>
  <c r="AI8" i="4"/>
  <c r="AH8" i="4"/>
  <c r="AG8" i="4"/>
  <c r="AU7" i="4"/>
  <c r="AT7" i="4"/>
  <c r="X7" i="4" s="1"/>
  <c r="AR7" i="4"/>
  <c r="AQ7" i="4"/>
  <c r="AO7" i="4"/>
  <c r="AM7" i="4"/>
  <c r="AL7" i="4"/>
  <c r="AK7" i="4"/>
  <c r="AJ7" i="4"/>
  <c r="AI7" i="4"/>
  <c r="AH7" i="4"/>
  <c r="AG7" i="4"/>
  <c r="AU6" i="4"/>
  <c r="AT6" i="4"/>
  <c r="X6" i="4" s="1"/>
  <c r="AR6" i="4"/>
  <c r="AQ6" i="4"/>
  <c r="AO6" i="4"/>
  <c r="AM6" i="4"/>
  <c r="AL6" i="4"/>
  <c r="AK6" i="4"/>
  <c r="AJ6" i="4"/>
  <c r="AI6" i="4"/>
  <c r="AH6" i="4"/>
  <c r="AG6" i="4"/>
  <c r="AU5" i="4"/>
  <c r="AT5" i="4"/>
  <c r="X5" i="4" s="1"/>
  <c r="AR5" i="4"/>
  <c r="AQ5" i="4"/>
  <c r="AO5" i="4"/>
  <c r="AM5" i="4"/>
  <c r="AL5" i="4"/>
  <c r="AK5" i="4"/>
  <c r="AJ5" i="4"/>
  <c r="AI5" i="4"/>
  <c r="AH5" i="4"/>
  <c r="AG5" i="4"/>
  <c r="AU4" i="4"/>
  <c r="AT4" i="4"/>
  <c r="X4" i="4" s="1"/>
  <c r="AR4" i="4"/>
  <c r="AQ4" i="4"/>
  <c r="AO4" i="4"/>
  <c r="AM4" i="4"/>
  <c r="AL4" i="4"/>
  <c r="AK4" i="4"/>
  <c r="AJ4" i="4"/>
  <c r="AI4" i="4"/>
  <c r="AH4" i="4"/>
  <c r="AG4" i="4"/>
  <c r="AU3" i="4"/>
  <c r="AT3" i="4"/>
  <c r="X3" i="4" s="1"/>
  <c r="AR3" i="4"/>
  <c r="AQ3" i="4"/>
  <c r="AO3" i="4"/>
  <c r="AM3" i="4"/>
  <c r="AL3" i="4"/>
  <c r="AK3" i="4"/>
  <c r="AJ3" i="4"/>
  <c r="AI3" i="4"/>
  <c r="AH3" i="4"/>
  <c r="AG3" i="4"/>
  <c r="BG2" i="4"/>
  <c r="BM2" i="4"/>
  <c r="AT2" i="4"/>
  <c r="BE2" i="27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2" i="4"/>
  <c r="X100" i="4"/>
  <c r="X101" i="4"/>
  <c r="X102" i="4"/>
  <c r="X103" i="4"/>
  <c r="X104" i="4"/>
  <c r="X105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2" i="4" l="1"/>
  <c r="K14" i="4" l="1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CG2" i="18" s="1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13" i="24" l="1"/>
  <c r="K12" i="24"/>
  <c r="K3" i="24" l="1"/>
  <c r="G2" i="18" l="1"/>
  <c r="C17" i="5" s="1"/>
  <c r="AK4" i="24"/>
  <c r="AJ4" i="24"/>
  <c r="AI4" i="24"/>
  <c r="AE4" i="24"/>
  <c r="AA4" i="24"/>
  <c r="BM113" i="27" l="1"/>
  <c r="BL113" i="27"/>
  <c r="BK113" i="27"/>
  <c r="BJ113" i="27"/>
  <c r="BI113" i="27"/>
  <c r="BH113" i="27"/>
  <c r="BG113" i="27"/>
  <c r="BF113" i="27"/>
  <c r="BE113" i="27"/>
  <c r="BD113" i="27"/>
  <c r="BC113" i="27"/>
  <c r="BB113" i="27"/>
  <c r="BA113" i="27"/>
  <c r="AZ113" i="27"/>
  <c r="BM112" i="27"/>
  <c r="BL112" i="27"/>
  <c r="BK112" i="27"/>
  <c r="BJ112" i="27"/>
  <c r="BI112" i="27"/>
  <c r="BH112" i="27"/>
  <c r="BG112" i="27"/>
  <c r="BF112" i="27"/>
  <c r="BE112" i="27"/>
  <c r="BD112" i="27"/>
  <c r="BC112" i="27"/>
  <c r="BB112" i="27"/>
  <c r="BA112" i="27"/>
  <c r="AZ112" i="27"/>
  <c r="BM111" i="27"/>
  <c r="BL111" i="27"/>
  <c r="BK111" i="27"/>
  <c r="BJ111" i="27"/>
  <c r="BI111" i="27"/>
  <c r="BH111" i="27"/>
  <c r="BG111" i="27"/>
  <c r="BF111" i="27"/>
  <c r="BE111" i="27"/>
  <c r="BD111" i="27"/>
  <c r="BC111" i="27"/>
  <c r="BB111" i="27"/>
  <c r="BA111" i="27"/>
  <c r="AZ111" i="27"/>
  <c r="BM110" i="27"/>
  <c r="BL110" i="27"/>
  <c r="BK110" i="27"/>
  <c r="BJ110" i="27"/>
  <c r="BI110" i="27"/>
  <c r="BH110" i="27"/>
  <c r="BG110" i="27"/>
  <c r="BF110" i="27"/>
  <c r="BE110" i="27"/>
  <c r="BD110" i="27"/>
  <c r="BC110" i="27"/>
  <c r="BB110" i="27"/>
  <c r="BA110" i="27"/>
  <c r="AZ110" i="27"/>
  <c r="BM109" i="27"/>
  <c r="BL109" i="27"/>
  <c r="BK109" i="27"/>
  <c r="BJ109" i="27"/>
  <c r="BI109" i="27"/>
  <c r="BH109" i="27"/>
  <c r="BG109" i="27"/>
  <c r="BF109" i="27"/>
  <c r="BE109" i="27"/>
  <c r="BD109" i="27"/>
  <c r="BC109" i="27"/>
  <c r="BB109" i="27"/>
  <c r="BA109" i="27"/>
  <c r="AZ109" i="27"/>
  <c r="BM108" i="27"/>
  <c r="BL108" i="27"/>
  <c r="BK108" i="27"/>
  <c r="BJ108" i="27"/>
  <c r="BI108" i="27"/>
  <c r="BH108" i="27"/>
  <c r="BG108" i="27"/>
  <c r="BF108" i="27"/>
  <c r="BE108" i="27"/>
  <c r="BD108" i="27"/>
  <c r="BC108" i="27"/>
  <c r="BB108" i="27"/>
  <c r="BA108" i="27"/>
  <c r="AZ108" i="27"/>
  <c r="BM107" i="27"/>
  <c r="BL107" i="27"/>
  <c r="BK107" i="27"/>
  <c r="BJ107" i="27"/>
  <c r="BI107" i="27"/>
  <c r="BH107" i="27"/>
  <c r="BG107" i="27"/>
  <c r="BF107" i="27"/>
  <c r="BE107" i="27"/>
  <c r="BD107" i="27"/>
  <c r="BC107" i="27"/>
  <c r="BB107" i="27"/>
  <c r="BA107" i="27"/>
  <c r="AZ107" i="27"/>
  <c r="BM106" i="27"/>
  <c r="BL106" i="27"/>
  <c r="BK106" i="27"/>
  <c r="BJ106" i="27"/>
  <c r="BI106" i="27"/>
  <c r="BH106" i="27"/>
  <c r="BG106" i="27"/>
  <c r="BF106" i="27"/>
  <c r="BE106" i="27"/>
  <c r="BD106" i="27"/>
  <c r="BC106" i="27"/>
  <c r="BB106" i="27"/>
  <c r="BA106" i="27"/>
  <c r="AZ106" i="27"/>
  <c r="BM105" i="27"/>
  <c r="BL105" i="27"/>
  <c r="BK105" i="27"/>
  <c r="BJ105" i="27"/>
  <c r="BI105" i="27"/>
  <c r="BH105" i="27"/>
  <c r="BG105" i="27"/>
  <c r="BF105" i="27"/>
  <c r="BE105" i="27"/>
  <c r="BD105" i="27"/>
  <c r="BC105" i="27"/>
  <c r="BB105" i="27"/>
  <c r="BA105" i="27"/>
  <c r="AZ105" i="27"/>
  <c r="BM104" i="27"/>
  <c r="BL104" i="27"/>
  <c r="BK104" i="27"/>
  <c r="BJ104" i="27"/>
  <c r="BI104" i="27"/>
  <c r="BH104" i="27"/>
  <c r="BG104" i="27"/>
  <c r="BF104" i="27"/>
  <c r="BE104" i="27"/>
  <c r="BD104" i="27"/>
  <c r="BC104" i="27"/>
  <c r="BB104" i="27"/>
  <c r="BA104" i="27"/>
  <c r="AZ104" i="27"/>
  <c r="BM103" i="27"/>
  <c r="BL103" i="27"/>
  <c r="BK103" i="27"/>
  <c r="BJ103" i="27"/>
  <c r="BI103" i="27"/>
  <c r="BH103" i="27"/>
  <c r="BG103" i="27"/>
  <c r="BF103" i="27"/>
  <c r="BE103" i="27"/>
  <c r="BD103" i="27"/>
  <c r="BC103" i="27"/>
  <c r="BB103" i="27"/>
  <c r="BA103" i="27"/>
  <c r="AZ103" i="27"/>
  <c r="BM102" i="27"/>
  <c r="BL102" i="27"/>
  <c r="BK102" i="27"/>
  <c r="BJ102" i="27"/>
  <c r="BI102" i="27"/>
  <c r="BH102" i="27"/>
  <c r="BG102" i="27"/>
  <c r="BF102" i="27"/>
  <c r="BE102" i="27"/>
  <c r="BD102" i="27"/>
  <c r="BC102" i="27"/>
  <c r="BB102" i="27"/>
  <c r="BA102" i="27"/>
  <c r="AZ102" i="27"/>
  <c r="BM101" i="27"/>
  <c r="BL101" i="27"/>
  <c r="BK101" i="27"/>
  <c r="BJ101" i="27"/>
  <c r="BI101" i="27"/>
  <c r="BH101" i="27"/>
  <c r="BG101" i="27"/>
  <c r="BF101" i="27"/>
  <c r="BE101" i="27"/>
  <c r="BD101" i="27"/>
  <c r="BC101" i="27"/>
  <c r="BB101" i="27"/>
  <c r="BA101" i="27"/>
  <c r="AZ101" i="27"/>
  <c r="BM100" i="27"/>
  <c r="BL100" i="27"/>
  <c r="BK100" i="27"/>
  <c r="BJ100" i="27"/>
  <c r="BI100" i="27"/>
  <c r="BH100" i="27"/>
  <c r="BG100" i="27"/>
  <c r="BF100" i="27"/>
  <c r="BE100" i="27"/>
  <c r="BD100" i="27"/>
  <c r="BC100" i="27"/>
  <c r="BB100" i="27"/>
  <c r="BA100" i="27"/>
  <c r="AZ100" i="27"/>
  <c r="BM99" i="27"/>
  <c r="BL99" i="27"/>
  <c r="BK99" i="27"/>
  <c r="BJ99" i="27"/>
  <c r="BI99" i="27"/>
  <c r="BH99" i="27"/>
  <c r="BG99" i="27"/>
  <c r="BF99" i="27"/>
  <c r="BE99" i="27"/>
  <c r="BD99" i="27"/>
  <c r="BC99" i="27"/>
  <c r="BB99" i="27"/>
  <c r="BA99" i="27"/>
  <c r="AZ99" i="27"/>
  <c r="BM98" i="27"/>
  <c r="BL98" i="27"/>
  <c r="BK98" i="27"/>
  <c r="BJ98" i="27"/>
  <c r="BI98" i="27"/>
  <c r="BH98" i="27"/>
  <c r="BG98" i="27"/>
  <c r="BF98" i="27"/>
  <c r="BE98" i="27"/>
  <c r="BD98" i="27"/>
  <c r="BC98" i="27"/>
  <c r="BB98" i="27"/>
  <c r="BA98" i="27"/>
  <c r="AZ98" i="27"/>
  <c r="BM97" i="27"/>
  <c r="BL97" i="27"/>
  <c r="BK97" i="27"/>
  <c r="BJ97" i="27"/>
  <c r="BI97" i="27"/>
  <c r="BH97" i="27"/>
  <c r="BG97" i="27"/>
  <c r="BF97" i="27"/>
  <c r="BE97" i="27"/>
  <c r="BD97" i="27"/>
  <c r="BC97" i="27"/>
  <c r="BB97" i="27"/>
  <c r="BA97" i="27"/>
  <c r="AZ97" i="27"/>
  <c r="BM96" i="27"/>
  <c r="BL96" i="27"/>
  <c r="BK96" i="27"/>
  <c r="BJ96" i="27"/>
  <c r="BI96" i="27"/>
  <c r="BH96" i="27"/>
  <c r="BG96" i="27"/>
  <c r="BF96" i="27"/>
  <c r="BE96" i="27"/>
  <c r="BD96" i="27"/>
  <c r="BC96" i="27"/>
  <c r="BB96" i="27"/>
  <c r="BA96" i="27"/>
  <c r="AZ96" i="27"/>
  <c r="BM95" i="27"/>
  <c r="BL95" i="27"/>
  <c r="BK95" i="27"/>
  <c r="BJ95" i="27"/>
  <c r="BI95" i="27"/>
  <c r="BH95" i="27"/>
  <c r="BG95" i="27"/>
  <c r="BF95" i="27"/>
  <c r="BE95" i="27"/>
  <c r="BD95" i="27"/>
  <c r="BC95" i="27"/>
  <c r="BB95" i="27"/>
  <c r="BA95" i="27"/>
  <c r="AZ95" i="27"/>
  <c r="BM94" i="27"/>
  <c r="BL94" i="27"/>
  <c r="BK94" i="27"/>
  <c r="BJ94" i="27"/>
  <c r="BI94" i="27"/>
  <c r="BH94" i="27"/>
  <c r="BG94" i="27"/>
  <c r="BF94" i="27"/>
  <c r="BE94" i="27"/>
  <c r="BD94" i="27"/>
  <c r="BC94" i="27"/>
  <c r="BB94" i="27"/>
  <c r="BA94" i="27"/>
  <c r="AZ94" i="27"/>
  <c r="BM93" i="27"/>
  <c r="BL93" i="27"/>
  <c r="BK93" i="27"/>
  <c r="BJ93" i="27"/>
  <c r="BI93" i="27"/>
  <c r="BH93" i="27"/>
  <c r="BG93" i="27"/>
  <c r="BF93" i="27"/>
  <c r="BE93" i="27"/>
  <c r="BD93" i="27"/>
  <c r="BC93" i="27"/>
  <c r="BB93" i="27"/>
  <c r="BA93" i="27"/>
  <c r="AZ93" i="27"/>
  <c r="BM92" i="27"/>
  <c r="BL92" i="27"/>
  <c r="BK92" i="27"/>
  <c r="BJ92" i="27"/>
  <c r="BI92" i="27"/>
  <c r="BH92" i="27"/>
  <c r="BG92" i="27"/>
  <c r="BF92" i="27"/>
  <c r="BE92" i="27"/>
  <c r="BD92" i="27"/>
  <c r="BC92" i="27"/>
  <c r="BB92" i="27"/>
  <c r="BA92" i="27"/>
  <c r="AZ92" i="27"/>
  <c r="BM91" i="27"/>
  <c r="BL91" i="27"/>
  <c r="BK91" i="27"/>
  <c r="BJ91" i="27"/>
  <c r="BI91" i="27"/>
  <c r="BH91" i="27"/>
  <c r="BG91" i="27"/>
  <c r="BF91" i="27"/>
  <c r="BE91" i="27"/>
  <c r="BD91" i="27"/>
  <c r="BC91" i="27"/>
  <c r="BB91" i="27"/>
  <c r="BA91" i="27"/>
  <c r="AZ91" i="27"/>
  <c r="BM90" i="27"/>
  <c r="BL90" i="27"/>
  <c r="BK90" i="27"/>
  <c r="BJ90" i="27"/>
  <c r="BI90" i="27"/>
  <c r="BH90" i="27"/>
  <c r="BG90" i="27"/>
  <c r="BF90" i="27"/>
  <c r="BE90" i="27"/>
  <c r="BD90" i="27"/>
  <c r="BC90" i="27"/>
  <c r="BB90" i="27"/>
  <c r="BA90" i="27"/>
  <c r="AZ90" i="27"/>
  <c r="BM89" i="27"/>
  <c r="BL89" i="27"/>
  <c r="BK89" i="27"/>
  <c r="BJ89" i="27"/>
  <c r="BI89" i="27"/>
  <c r="BH89" i="27"/>
  <c r="BG89" i="27"/>
  <c r="BF89" i="27"/>
  <c r="BE89" i="27"/>
  <c r="BD89" i="27"/>
  <c r="BC89" i="27"/>
  <c r="BB89" i="27"/>
  <c r="BA89" i="27"/>
  <c r="AZ89" i="27"/>
  <c r="BM88" i="27"/>
  <c r="BL88" i="27"/>
  <c r="BK88" i="27"/>
  <c r="BJ88" i="27"/>
  <c r="BI88" i="27"/>
  <c r="BH88" i="27"/>
  <c r="BG88" i="27"/>
  <c r="BF88" i="27"/>
  <c r="BE88" i="27"/>
  <c r="BD88" i="27"/>
  <c r="BC88" i="27"/>
  <c r="BB88" i="27"/>
  <c r="BA88" i="27"/>
  <c r="AZ88" i="27"/>
  <c r="BM87" i="27"/>
  <c r="BL87" i="27"/>
  <c r="BK87" i="27"/>
  <c r="BJ87" i="27"/>
  <c r="BI87" i="27"/>
  <c r="BH87" i="27"/>
  <c r="BG87" i="27"/>
  <c r="BF87" i="27"/>
  <c r="BE87" i="27"/>
  <c r="BD87" i="27"/>
  <c r="BC87" i="27"/>
  <c r="BB87" i="27"/>
  <c r="BA87" i="27"/>
  <c r="AZ87" i="27"/>
  <c r="BM86" i="27"/>
  <c r="BL86" i="27"/>
  <c r="BK86" i="27"/>
  <c r="BJ86" i="27"/>
  <c r="BI86" i="27"/>
  <c r="BH86" i="27"/>
  <c r="BG86" i="27"/>
  <c r="BF86" i="27"/>
  <c r="BE86" i="27"/>
  <c r="BD86" i="27"/>
  <c r="BC86" i="27"/>
  <c r="BB86" i="27"/>
  <c r="BA86" i="27"/>
  <c r="AZ86" i="27"/>
  <c r="BM85" i="27"/>
  <c r="BL85" i="27"/>
  <c r="BK85" i="27"/>
  <c r="BJ85" i="27"/>
  <c r="BI85" i="27"/>
  <c r="BH85" i="27"/>
  <c r="BG85" i="27"/>
  <c r="BF85" i="27"/>
  <c r="BE85" i="27"/>
  <c r="BD85" i="27"/>
  <c r="BC85" i="27"/>
  <c r="BB85" i="27"/>
  <c r="BA85" i="27"/>
  <c r="AZ85" i="27"/>
  <c r="BM84" i="27"/>
  <c r="BL84" i="27"/>
  <c r="BK84" i="27"/>
  <c r="BJ84" i="27"/>
  <c r="BI84" i="27"/>
  <c r="BH84" i="27"/>
  <c r="BG84" i="27"/>
  <c r="BF84" i="27"/>
  <c r="BE84" i="27"/>
  <c r="BD84" i="27"/>
  <c r="BC84" i="27"/>
  <c r="BB84" i="27"/>
  <c r="BA84" i="27"/>
  <c r="AZ84" i="27"/>
  <c r="BM83" i="27"/>
  <c r="BL83" i="27"/>
  <c r="BK83" i="27"/>
  <c r="BJ83" i="27"/>
  <c r="BI83" i="27"/>
  <c r="BH83" i="27"/>
  <c r="BG83" i="27"/>
  <c r="BF83" i="27"/>
  <c r="BE83" i="27"/>
  <c r="BD83" i="27"/>
  <c r="BC83" i="27"/>
  <c r="BB83" i="27"/>
  <c r="BA83" i="27"/>
  <c r="AZ83" i="27"/>
  <c r="BM82" i="27"/>
  <c r="BL82" i="27"/>
  <c r="BK82" i="27"/>
  <c r="BJ82" i="27"/>
  <c r="BI82" i="27"/>
  <c r="BH82" i="27"/>
  <c r="BG82" i="27"/>
  <c r="BF82" i="27"/>
  <c r="BE82" i="27"/>
  <c r="BD82" i="27"/>
  <c r="BC82" i="27"/>
  <c r="BB82" i="27"/>
  <c r="BA82" i="27"/>
  <c r="AZ82" i="27"/>
  <c r="BM81" i="27"/>
  <c r="BL81" i="27"/>
  <c r="BK81" i="27"/>
  <c r="BJ81" i="27"/>
  <c r="BI81" i="27"/>
  <c r="BH81" i="27"/>
  <c r="BG81" i="27"/>
  <c r="BF81" i="27"/>
  <c r="BE81" i="27"/>
  <c r="BD81" i="27"/>
  <c r="BC81" i="27"/>
  <c r="BB81" i="27"/>
  <c r="BA81" i="27"/>
  <c r="AZ81" i="27"/>
  <c r="BM80" i="27"/>
  <c r="BL80" i="27"/>
  <c r="BK80" i="27"/>
  <c r="BJ80" i="27"/>
  <c r="BI80" i="27"/>
  <c r="BH80" i="27"/>
  <c r="BG80" i="27"/>
  <c r="BF80" i="27"/>
  <c r="BE80" i="27"/>
  <c r="BD80" i="27"/>
  <c r="BC80" i="27"/>
  <c r="BB80" i="27"/>
  <c r="BA80" i="27"/>
  <c r="AZ80" i="27"/>
  <c r="BM79" i="27"/>
  <c r="BL79" i="27"/>
  <c r="BK79" i="27"/>
  <c r="BJ79" i="27"/>
  <c r="BI79" i="27"/>
  <c r="BH79" i="27"/>
  <c r="BG79" i="27"/>
  <c r="BF79" i="27"/>
  <c r="BE79" i="27"/>
  <c r="BD79" i="27"/>
  <c r="BC79" i="27"/>
  <c r="BB79" i="27"/>
  <c r="BA79" i="27"/>
  <c r="AZ79" i="27"/>
  <c r="BM78" i="27"/>
  <c r="BL78" i="27"/>
  <c r="BK78" i="27"/>
  <c r="BJ78" i="27"/>
  <c r="BI78" i="27"/>
  <c r="BH78" i="27"/>
  <c r="BG78" i="27"/>
  <c r="BF78" i="27"/>
  <c r="BE78" i="27"/>
  <c r="BD78" i="27"/>
  <c r="BC78" i="27"/>
  <c r="BB78" i="27"/>
  <c r="BA78" i="27"/>
  <c r="AZ78" i="27"/>
  <c r="BM77" i="27"/>
  <c r="BL77" i="27"/>
  <c r="BK77" i="27"/>
  <c r="BJ77" i="27"/>
  <c r="BI77" i="27"/>
  <c r="BH77" i="27"/>
  <c r="BG77" i="27"/>
  <c r="BF77" i="27"/>
  <c r="BE77" i="27"/>
  <c r="BD77" i="27"/>
  <c r="BC77" i="27"/>
  <c r="BB77" i="27"/>
  <c r="BA77" i="27"/>
  <c r="AZ77" i="27"/>
  <c r="BM76" i="27"/>
  <c r="BL76" i="27"/>
  <c r="BK76" i="27"/>
  <c r="BJ76" i="27"/>
  <c r="BI76" i="27"/>
  <c r="BH76" i="27"/>
  <c r="BG76" i="27"/>
  <c r="BF76" i="27"/>
  <c r="BE76" i="27"/>
  <c r="BD76" i="27"/>
  <c r="BC76" i="27"/>
  <c r="BB76" i="27"/>
  <c r="BA76" i="27"/>
  <c r="AZ76" i="27"/>
  <c r="BM75" i="27"/>
  <c r="BL75" i="27"/>
  <c r="BK75" i="27"/>
  <c r="BJ75" i="27"/>
  <c r="BI75" i="27"/>
  <c r="BH75" i="27"/>
  <c r="BG75" i="27"/>
  <c r="BF75" i="27"/>
  <c r="BE75" i="27"/>
  <c r="BD75" i="27"/>
  <c r="BC75" i="27"/>
  <c r="BB75" i="27"/>
  <c r="BA75" i="27"/>
  <c r="AZ75" i="27"/>
  <c r="BM74" i="27"/>
  <c r="BL74" i="27"/>
  <c r="BK74" i="27"/>
  <c r="BJ74" i="27"/>
  <c r="BI74" i="27"/>
  <c r="BH74" i="27"/>
  <c r="BG74" i="27"/>
  <c r="BF74" i="27"/>
  <c r="BE74" i="27"/>
  <c r="BD74" i="27"/>
  <c r="BC74" i="27"/>
  <c r="BB74" i="27"/>
  <c r="BA74" i="27"/>
  <c r="AZ74" i="27"/>
  <c r="BM73" i="27"/>
  <c r="BL73" i="27"/>
  <c r="BK73" i="27"/>
  <c r="BJ73" i="27"/>
  <c r="BI73" i="27"/>
  <c r="BH73" i="27"/>
  <c r="BG73" i="27"/>
  <c r="BF73" i="27"/>
  <c r="BE73" i="27"/>
  <c r="BD73" i="27"/>
  <c r="BC73" i="27"/>
  <c r="BB73" i="27"/>
  <c r="BA73" i="27"/>
  <c r="AZ73" i="27"/>
  <c r="BM72" i="27"/>
  <c r="BL72" i="27"/>
  <c r="BK72" i="27"/>
  <c r="BJ72" i="27"/>
  <c r="BI72" i="27"/>
  <c r="BH72" i="27"/>
  <c r="BG72" i="27"/>
  <c r="BF72" i="27"/>
  <c r="BE72" i="27"/>
  <c r="BD72" i="27"/>
  <c r="BC72" i="27"/>
  <c r="BB72" i="27"/>
  <c r="BA72" i="27"/>
  <c r="AZ72" i="27"/>
  <c r="BM71" i="27"/>
  <c r="BL71" i="27"/>
  <c r="BK71" i="27"/>
  <c r="BJ71" i="27"/>
  <c r="BI71" i="27"/>
  <c r="BH71" i="27"/>
  <c r="BG71" i="27"/>
  <c r="BF71" i="27"/>
  <c r="BE71" i="27"/>
  <c r="BD71" i="27"/>
  <c r="BC71" i="27"/>
  <c r="BB71" i="27"/>
  <c r="BA71" i="27"/>
  <c r="AZ71" i="27"/>
  <c r="BM70" i="27"/>
  <c r="BL70" i="27"/>
  <c r="BK70" i="27"/>
  <c r="BJ70" i="27"/>
  <c r="BI70" i="27"/>
  <c r="BH70" i="27"/>
  <c r="BG70" i="27"/>
  <c r="BF70" i="27"/>
  <c r="BE70" i="27"/>
  <c r="BD70" i="27"/>
  <c r="BC70" i="27"/>
  <c r="BB70" i="27"/>
  <c r="BA70" i="27"/>
  <c r="AZ70" i="27"/>
  <c r="BM69" i="27"/>
  <c r="BL69" i="27"/>
  <c r="BK69" i="27"/>
  <c r="BJ69" i="27"/>
  <c r="BI69" i="27"/>
  <c r="BH69" i="27"/>
  <c r="BG69" i="27"/>
  <c r="BF69" i="27"/>
  <c r="BE69" i="27"/>
  <c r="BD69" i="27"/>
  <c r="BC69" i="27"/>
  <c r="BB69" i="27"/>
  <c r="BA69" i="27"/>
  <c r="AZ69" i="27"/>
  <c r="BM68" i="27"/>
  <c r="BL68" i="27"/>
  <c r="BK68" i="27"/>
  <c r="BJ68" i="27"/>
  <c r="BI68" i="27"/>
  <c r="BH68" i="27"/>
  <c r="BG68" i="27"/>
  <c r="BF68" i="27"/>
  <c r="BE68" i="27"/>
  <c r="BD68" i="27"/>
  <c r="BC68" i="27"/>
  <c r="BB68" i="27"/>
  <c r="BA68" i="27"/>
  <c r="AZ68" i="27"/>
  <c r="BM67" i="27"/>
  <c r="BL67" i="27"/>
  <c r="BK67" i="27"/>
  <c r="BJ67" i="27"/>
  <c r="BI67" i="27"/>
  <c r="BH67" i="27"/>
  <c r="BG67" i="27"/>
  <c r="BF67" i="27"/>
  <c r="BE67" i="27"/>
  <c r="BD67" i="27"/>
  <c r="BC67" i="27"/>
  <c r="BB67" i="27"/>
  <c r="BA67" i="27"/>
  <c r="AZ67" i="27"/>
  <c r="BM66" i="27"/>
  <c r="BL66" i="27"/>
  <c r="BK66" i="27"/>
  <c r="BJ66" i="27"/>
  <c r="BI66" i="27"/>
  <c r="BH66" i="27"/>
  <c r="BG66" i="27"/>
  <c r="BF66" i="27"/>
  <c r="BE66" i="27"/>
  <c r="BD66" i="27"/>
  <c r="BC66" i="27"/>
  <c r="BB66" i="27"/>
  <c r="BA66" i="27"/>
  <c r="AZ66" i="27"/>
  <c r="BM65" i="27"/>
  <c r="BL65" i="27"/>
  <c r="BK65" i="27"/>
  <c r="BJ65" i="27"/>
  <c r="BI65" i="27"/>
  <c r="BH65" i="27"/>
  <c r="BG65" i="27"/>
  <c r="BF65" i="27"/>
  <c r="BE65" i="27"/>
  <c r="BD65" i="27"/>
  <c r="BC65" i="27"/>
  <c r="BB65" i="27"/>
  <c r="BA65" i="27"/>
  <c r="AZ65" i="27"/>
  <c r="BM64" i="27"/>
  <c r="BL64" i="27"/>
  <c r="BK64" i="27"/>
  <c r="BJ64" i="27"/>
  <c r="BI64" i="27"/>
  <c r="BH64" i="27"/>
  <c r="BG64" i="27"/>
  <c r="BF64" i="27"/>
  <c r="BE64" i="27"/>
  <c r="BD64" i="27"/>
  <c r="BC64" i="27"/>
  <c r="BB64" i="27"/>
  <c r="BA64" i="27"/>
  <c r="AZ64" i="27"/>
  <c r="BM63" i="27"/>
  <c r="BL63" i="27"/>
  <c r="BK63" i="27"/>
  <c r="BJ63" i="27"/>
  <c r="BI63" i="27"/>
  <c r="BH63" i="27"/>
  <c r="BG63" i="27"/>
  <c r="BF63" i="27"/>
  <c r="BE63" i="27"/>
  <c r="BD63" i="27"/>
  <c r="BC63" i="27"/>
  <c r="BB63" i="27"/>
  <c r="BA63" i="27"/>
  <c r="AZ63" i="27"/>
  <c r="BM62" i="27"/>
  <c r="BL62" i="27"/>
  <c r="BK62" i="27"/>
  <c r="BJ62" i="27"/>
  <c r="BI62" i="27"/>
  <c r="BH62" i="27"/>
  <c r="BG62" i="27"/>
  <c r="BF62" i="27"/>
  <c r="BE62" i="27"/>
  <c r="BD62" i="27"/>
  <c r="BC62" i="27"/>
  <c r="BB62" i="27"/>
  <c r="BA62" i="27"/>
  <c r="AZ62" i="27"/>
  <c r="BM61" i="27"/>
  <c r="BL61" i="27"/>
  <c r="BK61" i="27"/>
  <c r="BJ61" i="27"/>
  <c r="BI61" i="27"/>
  <c r="BH61" i="27"/>
  <c r="BG61" i="27"/>
  <c r="BF61" i="27"/>
  <c r="BE61" i="27"/>
  <c r="BD61" i="27"/>
  <c r="BC61" i="27"/>
  <c r="BB61" i="27"/>
  <c r="BA61" i="27"/>
  <c r="AZ61" i="27"/>
  <c r="BM60" i="27"/>
  <c r="BL60" i="27"/>
  <c r="BK60" i="27"/>
  <c r="BJ60" i="27"/>
  <c r="BI60" i="27"/>
  <c r="BH60" i="27"/>
  <c r="BG60" i="27"/>
  <c r="BF60" i="27"/>
  <c r="BE60" i="27"/>
  <c r="BD60" i="27"/>
  <c r="BC60" i="27"/>
  <c r="BB60" i="27"/>
  <c r="BA60" i="27"/>
  <c r="AZ60" i="27"/>
  <c r="BM59" i="27"/>
  <c r="BL59" i="27"/>
  <c r="BK59" i="27"/>
  <c r="BJ59" i="27"/>
  <c r="BI59" i="27"/>
  <c r="BH59" i="27"/>
  <c r="BG59" i="27"/>
  <c r="BF59" i="27"/>
  <c r="BE59" i="27"/>
  <c r="BD59" i="27"/>
  <c r="BC59" i="27"/>
  <c r="BB59" i="27"/>
  <c r="BA59" i="27"/>
  <c r="AZ59" i="27"/>
  <c r="BM58" i="27"/>
  <c r="BL58" i="27"/>
  <c r="BK58" i="27"/>
  <c r="BJ58" i="27"/>
  <c r="BI58" i="27"/>
  <c r="BH58" i="27"/>
  <c r="BG58" i="27"/>
  <c r="BF58" i="27"/>
  <c r="BE58" i="27"/>
  <c r="BD58" i="27"/>
  <c r="BC58" i="27"/>
  <c r="BB58" i="27"/>
  <c r="BA58" i="27"/>
  <c r="AZ58" i="27"/>
  <c r="BM57" i="27"/>
  <c r="BL57" i="27"/>
  <c r="BK57" i="27"/>
  <c r="BJ57" i="27"/>
  <c r="BI57" i="27"/>
  <c r="BH57" i="27"/>
  <c r="BG57" i="27"/>
  <c r="BF57" i="27"/>
  <c r="BE57" i="27"/>
  <c r="BD57" i="27"/>
  <c r="BC57" i="27"/>
  <c r="BB57" i="27"/>
  <c r="BA57" i="27"/>
  <c r="AZ57" i="27"/>
  <c r="BM56" i="27"/>
  <c r="BL56" i="27"/>
  <c r="BK56" i="27"/>
  <c r="BJ56" i="27"/>
  <c r="BI56" i="27"/>
  <c r="BH56" i="27"/>
  <c r="BG56" i="27"/>
  <c r="BF56" i="27"/>
  <c r="BE56" i="27"/>
  <c r="BD56" i="27"/>
  <c r="BC56" i="27"/>
  <c r="BB56" i="27"/>
  <c r="BA56" i="27"/>
  <c r="AZ56" i="27"/>
  <c r="BM55" i="27"/>
  <c r="BL55" i="27"/>
  <c r="BK55" i="27"/>
  <c r="BJ55" i="27"/>
  <c r="BI55" i="27"/>
  <c r="BH55" i="27"/>
  <c r="BG55" i="27"/>
  <c r="BF55" i="27"/>
  <c r="BE55" i="27"/>
  <c r="BD55" i="27"/>
  <c r="BC55" i="27"/>
  <c r="BB55" i="27"/>
  <c r="BA55" i="27"/>
  <c r="AZ55" i="27"/>
  <c r="BM54" i="27"/>
  <c r="BL54" i="27"/>
  <c r="BK54" i="27"/>
  <c r="BJ54" i="27"/>
  <c r="BI54" i="27"/>
  <c r="BH54" i="27"/>
  <c r="BG54" i="27"/>
  <c r="BF54" i="27"/>
  <c r="BE54" i="27"/>
  <c r="BD54" i="27"/>
  <c r="BC54" i="27"/>
  <c r="BB54" i="27"/>
  <c r="BA54" i="27"/>
  <c r="AZ54" i="27"/>
  <c r="BM53" i="27"/>
  <c r="BL53" i="27"/>
  <c r="BK53" i="27"/>
  <c r="BJ53" i="27"/>
  <c r="BI53" i="27"/>
  <c r="BH53" i="27"/>
  <c r="BG53" i="27"/>
  <c r="BF53" i="27"/>
  <c r="BE53" i="27"/>
  <c r="BD53" i="27"/>
  <c r="BC53" i="27"/>
  <c r="BB53" i="27"/>
  <c r="BA53" i="27"/>
  <c r="AZ53" i="27"/>
  <c r="BM52" i="27"/>
  <c r="BL52" i="27"/>
  <c r="BK52" i="27"/>
  <c r="BJ52" i="27"/>
  <c r="BI52" i="27"/>
  <c r="BH52" i="27"/>
  <c r="BG52" i="27"/>
  <c r="BF52" i="27"/>
  <c r="BE52" i="27"/>
  <c r="BD52" i="27"/>
  <c r="BC52" i="27"/>
  <c r="BB52" i="27"/>
  <c r="BA52" i="27"/>
  <c r="AZ52" i="27"/>
  <c r="BM51" i="27"/>
  <c r="BL51" i="27"/>
  <c r="BK51" i="27"/>
  <c r="BJ51" i="27"/>
  <c r="BI51" i="27"/>
  <c r="BH51" i="27"/>
  <c r="BG51" i="27"/>
  <c r="BF51" i="27"/>
  <c r="BE51" i="27"/>
  <c r="BD51" i="27"/>
  <c r="BC51" i="27"/>
  <c r="BB51" i="27"/>
  <c r="BA51" i="27"/>
  <c r="AZ51" i="27"/>
  <c r="BM50" i="27"/>
  <c r="BL50" i="27"/>
  <c r="BK50" i="27"/>
  <c r="BJ50" i="27"/>
  <c r="BI50" i="27"/>
  <c r="BH50" i="27"/>
  <c r="BG50" i="27"/>
  <c r="BF50" i="27"/>
  <c r="BE50" i="27"/>
  <c r="BD50" i="27"/>
  <c r="BC50" i="27"/>
  <c r="BB50" i="27"/>
  <c r="BA50" i="27"/>
  <c r="AZ50" i="27"/>
  <c r="BM49" i="27"/>
  <c r="BL49" i="27"/>
  <c r="BK49" i="27"/>
  <c r="BJ49" i="27"/>
  <c r="BI49" i="27"/>
  <c r="BH49" i="27"/>
  <c r="BG49" i="27"/>
  <c r="BF49" i="27"/>
  <c r="BE49" i="27"/>
  <c r="BD49" i="27"/>
  <c r="BC49" i="27"/>
  <c r="BB49" i="27"/>
  <c r="BA49" i="27"/>
  <c r="AZ49" i="27"/>
  <c r="BM48" i="27"/>
  <c r="BL48" i="27"/>
  <c r="BK48" i="27"/>
  <c r="BJ48" i="27"/>
  <c r="BI48" i="27"/>
  <c r="BH48" i="27"/>
  <c r="BG48" i="27"/>
  <c r="BF48" i="27"/>
  <c r="BE48" i="27"/>
  <c r="BD48" i="27"/>
  <c r="BC48" i="27"/>
  <c r="BB48" i="27"/>
  <c r="BA48" i="27"/>
  <c r="AZ48" i="27"/>
  <c r="BM47" i="27"/>
  <c r="BL47" i="27"/>
  <c r="BK47" i="27"/>
  <c r="BJ47" i="27"/>
  <c r="BI47" i="27"/>
  <c r="BH47" i="27"/>
  <c r="BG47" i="27"/>
  <c r="BF47" i="27"/>
  <c r="BE47" i="27"/>
  <c r="BD47" i="27"/>
  <c r="BC47" i="27"/>
  <c r="BB47" i="27"/>
  <c r="BA47" i="27"/>
  <c r="AZ47" i="27"/>
  <c r="BM46" i="27"/>
  <c r="BL46" i="27"/>
  <c r="BK46" i="27"/>
  <c r="BJ46" i="27"/>
  <c r="BI46" i="27"/>
  <c r="BH46" i="27"/>
  <c r="BG46" i="27"/>
  <c r="BF46" i="27"/>
  <c r="BE46" i="27"/>
  <c r="BD46" i="27"/>
  <c r="BC46" i="27"/>
  <c r="BB46" i="27"/>
  <c r="BA46" i="27"/>
  <c r="AZ46" i="27"/>
  <c r="BM45" i="27"/>
  <c r="BL45" i="27"/>
  <c r="BK45" i="27"/>
  <c r="BJ45" i="27"/>
  <c r="BI45" i="27"/>
  <c r="BH45" i="27"/>
  <c r="BG45" i="27"/>
  <c r="BF45" i="27"/>
  <c r="BE45" i="27"/>
  <c r="BD45" i="27"/>
  <c r="BC45" i="27"/>
  <c r="BB45" i="27"/>
  <c r="BA45" i="27"/>
  <c r="AZ45" i="27"/>
  <c r="BM44" i="27"/>
  <c r="BL44" i="27"/>
  <c r="BK44" i="27"/>
  <c r="BJ44" i="27"/>
  <c r="BI44" i="27"/>
  <c r="BH44" i="27"/>
  <c r="BG44" i="27"/>
  <c r="BF44" i="27"/>
  <c r="BE44" i="27"/>
  <c r="BD44" i="27"/>
  <c r="BC44" i="27"/>
  <c r="BB44" i="27"/>
  <c r="BA44" i="27"/>
  <c r="AZ44" i="27"/>
  <c r="BM43" i="27"/>
  <c r="BL43" i="27"/>
  <c r="BK43" i="27"/>
  <c r="BJ43" i="27"/>
  <c r="BI43" i="27"/>
  <c r="BH43" i="27"/>
  <c r="BG43" i="27"/>
  <c r="BF43" i="27"/>
  <c r="BE43" i="27"/>
  <c r="BD43" i="27"/>
  <c r="BC43" i="27"/>
  <c r="BB43" i="27"/>
  <c r="BA43" i="27"/>
  <c r="AZ43" i="27"/>
  <c r="BM42" i="27"/>
  <c r="BL42" i="27"/>
  <c r="BK42" i="27"/>
  <c r="BJ42" i="27"/>
  <c r="BI42" i="27"/>
  <c r="BH42" i="27"/>
  <c r="BG42" i="27"/>
  <c r="BF42" i="27"/>
  <c r="BE42" i="27"/>
  <c r="BD42" i="27"/>
  <c r="BC42" i="27"/>
  <c r="BB42" i="27"/>
  <c r="BA42" i="27"/>
  <c r="AZ42" i="27"/>
  <c r="BM41" i="27"/>
  <c r="BL41" i="27"/>
  <c r="BK41" i="27"/>
  <c r="BJ41" i="27"/>
  <c r="BI41" i="27"/>
  <c r="BH41" i="27"/>
  <c r="BG41" i="27"/>
  <c r="BF41" i="27"/>
  <c r="BE41" i="27"/>
  <c r="BD41" i="27"/>
  <c r="BC41" i="27"/>
  <c r="BB41" i="27"/>
  <c r="BA41" i="27"/>
  <c r="AZ41" i="27"/>
  <c r="BM40" i="27"/>
  <c r="BL40" i="27"/>
  <c r="BK40" i="27"/>
  <c r="BJ40" i="27"/>
  <c r="BI40" i="27"/>
  <c r="BH40" i="27"/>
  <c r="BG40" i="27"/>
  <c r="BF40" i="27"/>
  <c r="BE40" i="27"/>
  <c r="BD40" i="27"/>
  <c r="BC40" i="27"/>
  <c r="BB40" i="27"/>
  <c r="BA40" i="27"/>
  <c r="AZ40" i="27"/>
  <c r="BM39" i="27"/>
  <c r="BL39" i="27"/>
  <c r="BK39" i="27"/>
  <c r="BJ39" i="27"/>
  <c r="BI39" i="27"/>
  <c r="BH39" i="27"/>
  <c r="BG39" i="27"/>
  <c r="BF39" i="27"/>
  <c r="BE39" i="27"/>
  <c r="BD39" i="27"/>
  <c r="BC39" i="27"/>
  <c r="BB39" i="27"/>
  <c r="BA39" i="27"/>
  <c r="AZ39" i="27"/>
  <c r="BM38" i="27"/>
  <c r="BL38" i="27"/>
  <c r="BK38" i="27"/>
  <c r="BJ38" i="27"/>
  <c r="BI38" i="27"/>
  <c r="BH38" i="27"/>
  <c r="BG38" i="27"/>
  <c r="BF38" i="27"/>
  <c r="BE38" i="27"/>
  <c r="BD38" i="27"/>
  <c r="BC38" i="27"/>
  <c r="BB38" i="27"/>
  <c r="BA38" i="27"/>
  <c r="AZ38" i="27"/>
  <c r="BM37" i="27"/>
  <c r="BL37" i="27"/>
  <c r="BK37" i="27"/>
  <c r="BJ37" i="27"/>
  <c r="BI37" i="27"/>
  <c r="BH37" i="27"/>
  <c r="BG37" i="27"/>
  <c r="BF37" i="27"/>
  <c r="BE37" i="27"/>
  <c r="BD37" i="27"/>
  <c r="BC37" i="27"/>
  <c r="BB37" i="27"/>
  <c r="BA37" i="27"/>
  <c r="AZ37" i="27"/>
  <c r="BM36" i="27"/>
  <c r="BL36" i="27"/>
  <c r="BK36" i="27"/>
  <c r="BJ36" i="27"/>
  <c r="BI36" i="27"/>
  <c r="BH36" i="27"/>
  <c r="BG36" i="27"/>
  <c r="BF36" i="27"/>
  <c r="BE36" i="27"/>
  <c r="BD36" i="27"/>
  <c r="BC36" i="27"/>
  <c r="BB36" i="27"/>
  <c r="BA36" i="27"/>
  <c r="AZ36" i="27"/>
  <c r="BM35" i="27"/>
  <c r="BL35" i="27"/>
  <c r="BK35" i="27"/>
  <c r="BJ35" i="27"/>
  <c r="BI35" i="27"/>
  <c r="BH35" i="27"/>
  <c r="BG35" i="27"/>
  <c r="BF35" i="27"/>
  <c r="BE35" i="27"/>
  <c r="BD35" i="27"/>
  <c r="BC35" i="27"/>
  <c r="BB35" i="27"/>
  <c r="BA35" i="27"/>
  <c r="AZ35" i="27"/>
  <c r="BM34" i="27"/>
  <c r="BL34" i="27"/>
  <c r="BK34" i="27"/>
  <c r="BJ34" i="27"/>
  <c r="BI34" i="27"/>
  <c r="BH34" i="27"/>
  <c r="BG34" i="27"/>
  <c r="BF34" i="27"/>
  <c r="BE34" i="27"/>
  <c r="BD34" i="27"/>
  <c r="BC34" i="27"/>
  <c r="BB34" i="27"/>
  <c r="BA34" i="27"/>
  <c r="AZ34" i="27"/>
  <c r="BM33" i="27"/>
  <c r="BL33" i="27"/>
  <c r="BK33" i="27"/>
  <c r="BJ33" i="27"/>
  <c r="BI33" i="27"/>
  <c r="BH33" i="27"/>
  <c r="BG33" i="27"/>
  <c r="BF33" i="27"/>
  <c r="BE33" i="27"/>
  <c r="BD33" i="27"/>
  <c r="BC33" i="27"/>
  <c r="BB33" i="27"/>
  <c r="BA33" i="27"/>
  <c r="AZ33" i="27"/>
  <c r="BM32" i="27"/>
  <c r="BL32" i="27"/>
  <c r="BK32" i="27"/>
  <c r="BJ32" i="27"/>
  <c r="BI32" i="27"/>
  <c r="BH32" i="27"/>
  <c r="BG32" i="27"/>
  <c r="BF32" i="27"/>
  <c r="BE32" i="27"/>
  <c r="BD32" i="27"/>
  <c r="BC32" i="27"/>
  <c r="BB32" i="27"/>
  <c r="BA32" i="27"/>
  <c r="AZ32" i="27"/>
  <c r="BM31" i="27"/>
  <c r="BL31" i="27"/>
  <c r="BK31" i="27"/>
  <c r="BJ31" i="27"/>
  <c r="BI31" i="27"/>
  <c r="BH31" i="27"/>
  <c r="BG31" i="27"/>
  <c r="BF31" i="27"/>
  <c r="BE31" i="27"/>
  <c r="BD31" i="27"/>
  <c r="BC31" i="27"/>
  <c r="BB31" i="27"/>
  <c r="BA31" i="27"/>
  <c r="AZ31" i="27"/>
  <c r="BM30" i="27"/>
  <c r="BL30" i="27"/>
  <c r="BK30" i="27"/>
  <c r="BJ30" i="27"/>
  <c r="BI30" i="27"/>
  <c r="BH30" i="27"/>
  <c r="BG30" i="27"/>
  <c r="BF30" i="27"/>
  <c r="BE30" i="27"/>
  <c r="BD30" i="27"/>
  <c r="BC30" i="27"/>
  <c r="BB30" i="27"/>
  <c r="BA30" i="27"/>
  <c r="AZ30" i="27"/>
  <c r="BM29" i="27"/>
  <c r="BL29" i="27"/>
  <c r="BK29" i="27"/>
  <c r="BJ29" i="27"/>
  <c r="BI29" i="27"/>
  <c r="BH29" i="27"/>
  <c r="BG29" i="27"/>
  <c r="BF29" i="27"/>
  <c r="BE29" i="27"/>
  <c r="BD29" i="27"/>
  <c r="BC29" i="27"/>
  <c r="BB29" i="27"/>
  <c r="BA29" i="27"/>
  <c r="AZ29" i="27"/>
  <c r="BM28" i="27"/>
  <c r="BL28" i="27"/>
  <c r="BK28" i="27"/>
  <c r="BJ28" i="27"/>
  <c r="BI28" i="27"/>
  <c r="BH28" i="27"/>
  <c r="BG28" i="27"/>
  <c r="BF28" i="27"/>
  <c r="BE28" i="27"/>
  <c r="BD28" i="27"/>
  <c r="BC28" i="27"/>
  <c r="BB28" i="27"/>
  <c r="BA28" i="27"/>
  <c r="AZ28" i="27"/>
  <c r="BM27" i="27"/>
  <c r="BL27" i="27"/>
  <c r="BK27" i="27"/>
  <c r="BJ27" i="27"/>
  <c r="BI27" i="27"/>
  <c r="BH27" i="27"/>
  <c r="BG27" i="27"/>
  <c r="BF27" i="27"/>
  <c r="BE27" i="27"/>
  <c r="BD27" i="27"/>
  <c r="BC27" i="27"/>
  <c r="BB27" i="27"/>
  <c r="BA27" i="27"/>
  <c r="AZ27" i="27"/>
  <c r="BM26" i="27"/>
  <c r="BL26" i="27"/>
  <c r="BK26" i="27"/>
  <c r="BJ26" i="27"/>
  <c r="BI26" i="27"/>
  <c r="BH26" i="27"/>
  <c r="BG26" i="27"/>
  <c r="BF26" i="27"/>
  <c r="BE26" i="27"/>
  <c r="BD26" i="27"/>
  <c r="BC26" i="27"/>
  <c r="BB26" i="27"/>
  <c r="BA26" i="27"/>
  <c r="AZ26" i="27"/>
  <c r="BM25" i="27"/>
  <c r="BL25" i="27"/>
  <c r="BK25" i="27"/>
  <c r="BJ25" i="27"/>
  <c r="BI25" i="27"/>
  <c r="BH25" i="27"/>
  <c r="BG25" i="27"/>
  <c r="BF25" i="27"/>
  <c r="BE25" i="27"/>
  <c r="BD25" i="27"/>
  <c r="BC25" i="27"/>
  <c r="BB25" i="27"/>
  <c r="BA25" i="27"/>
  <c r="AZ25" i="27"/>
  <c r="BM24" i="27"/>
  <c r="BL24" i="27"/>
  <c r="BK24" i="27"/>
  <c r="BJ24" i="27"/>
  <c r="BI24" i="27"/>
  <c r="BH24" i="27"/>
  <c r="BG24" i="27"/>
  <c r="BF24" i="27"/>
  <c r="BE24" i="27"/>
  <c r="BD24" i="27"/>
  <c r="BC24" i="27"/>
  <c r="BB24" i="27"/>
  <c r="BA24" i="27"/>
  <c r="AZ24" i="27"/>
  <c r="BM23" i="27"/>
  <c r="BL23" i="27"/>
  <c r="BK23" i="27"/>
  <c r="BJ23" i="27"/>
  <c r="BI23" i="27"/>
  <c r="BH23" i="27"/>
  <c r="BG23" i="27"/>
  <c r="BF23" i="27"/>
  <c r="BE23" i="27"/>
  <c r="BD23" i="27"/>
  <c r="BC23" i="27"/>
  <c r="BB23" i="27"/>
  <c r="BA23" i="27"/>
  <c r="AZ23" i="27"/>
  <c r="BM22" i="27"/>
  <c r="BL22" i="27"/>
  <c r="BK22" i="27"/>
  <c r="BJ22" i="27"/>
  <c r="BI22" i="27"/>
  <c r="BH22" i="27"/>
  <c r="BG22" i="27"/>
  <c r="BF22" i="27"/>
  <c r="BE22" i="27"/>
  <c r="BD22" i="27"/>
  <c r="BC22" i="27"/>
  <c r="BB22" i="27"/>
  <c r="BA22" i="27"/>
  <c r="AZ22" i="27"/>
  <c r="BM21" i="27"/>
  <c r="BL21" i="27"/>
  <c r="BK21" i="27"/>
  <c r="BJ21" i="27"/>
  <c r="BI21" i="27"/>
  <c r="BH21" i="27"/>
  <c r="BG21" i="27"/>
  <c r="BF21" i="27"/>
  <c r="BE21" i="27"/>
  <c r="BD21" i="27"/>
  <c r="BC21" i="27"/>
  <c r="BB21" i="27"/>
  <c r="BA21" i="27"/>
  <c r="AZ21" i="27"/>
  <c r="BM20" i="27"/>
  <c r="BL20" i="27"/>
  <c r="BK20" i="27"/>
  <c r="BJ20" i="27"/>
  <c r="BI20" i="27"/>
  <c r="BH20" i="27"/>
  <c r="BG20" i="27"/>
  <c r="BF20" i="27"/>
  <c r="BE20" i="27"/>
  <c r="BD20" i="27"/>
  <c r="BC20" i="27"/>
  <c r="BB20" i="27"/>
  <c r="BA20" i="27"/>
  <c r="AZ20" i="27"/>
  <c r="BM19" i="27"/>
  <c r="BL19" i="27"/>
  <c r="BK19" i="27"/>
  <c r="BJ19" i="27"/>
  <c r="BI19" i="27"/>
  <c r="BH19" i="27"/>
  <c r="BG19" i="27"/>
  <c r="BF19" i="27"/>
  <c r="BE19" i="27"/>
  <c r="BD19" i="27"/>
  <c r="BC19" i="27"/>
  <c r="BB19" i="27"/>
  <c r="BA19" i="27"/>
  <c r="AZ19" i="27"/>
  <c r="BM18" i="27"/>
  <c r="BL18" i="27"/>
  <c r="BK18" i="27"/>
  <c r="BJ18" i="27"/>
  <c r="BI18" i="27"/>
  <c r="BH18" i="27"/>
  <c r="BG18" i="27"/>
  <c r="BF18" i="27"/>
  <c r="BE18" i="27"/>
  <c r="BD18" i="27"/>
  <c r="BC18" i="27"/>
  <c r="BB18" i="27"/>
  <c r="BA18" i="27"/>
  <c r="AZ18" i="27"/>
  <c r="BM17" i="27"/>
  <c r="BL17" i="27"/>
  <c r="BK17" i="27"/>
  <c r="BJ17" i="27"/>
  <c r="BI17" i="27"/>
  <c r="BH17" i="27"/>
  <c r="BG17" i="27"/>
  <c r="BF17" i="27"/>
  <c r="BE17" i="27"/>
  <c r="BD17" i="27"/>
  <c r="BC17" i="27"/>
  <c r="BB17" i="27"/>
  <c r="BA17" i="27"/>
  <c r="AZ17" i="27"/>
  <c r="BM16" i="27"/>
  <c r="BL16" i="27"/>
  <c r="BK16" i="27"/>
  <c r="BJ16" i="27"/>
  <c r="BI16" i="27"/>
  <c r="BH16" i="27"/>
  <c r="BG16" i="27"/>
  <c r="BF16" i="27"/>
  <c r="BE16" i="27"/>
  <c r="BD16" i="27"/>
  <c r="BC16" i="27"/>
  <c r="BB16" i="27"/>
  <c r="BA16" i="27"/>
  <c r="AZ16" i="27"/>
  <c r="BM15" i="27"/>
  <c r="BL15" i="27"/>
  <c r="BK15" i="27"/>
  <c r="BJ15" i="27"/>
  <c r="BI15" i="27"/>
  <c r="BH15" i="27"/>
  <c r="BG15" i="27"/>
  <c r="BF15" i="27"/>
  <c r="BE15" i="27"/>
  <c r="BD15" i="27"/>
  <c r="BC15" i="27"/>
  <c r="BB15" i="27"/>
  <c r="BA15" i="27"/>
  <c r="AZ15" i="27"/>
  <c r="BM14" i="27"/>
  <c r="BL14" i="27"/>
  <c r="BK14" i="27"/>
  <c r="BJ14" i="27"/>
  <c r="BI14" i="27"/>
  <c r="BH14" i="27"/>
  <c r="BG14" i="27"/>
  <c r="BF14" i="27"/>
  <c r="BE14" i="27"/>
  <c r="BD14" i="27"/>
  <c r="BC14" i="27"/>
  <c r="BB14" i="27"/>
  <c r="BA14" i="27"/>
  <c r="AZ14" i="27"/>
  <c r="BM13" i="27"/>
  <c r="BL13" i="27"/>
  <c r="BK13" i="27"/>
  <c r="BJ13" i="27"/>
  <c r="BI13" i="27"/>
  <c r="BH13" i="27"/>
  <c r="BG13" i="27"/>
  <c r="BF13" i="27"/>
  <c r="BE13" i="27"/>
  <c r="BD13" i="27"/>
  <c r="BC13" i="27"/>
  <c r="BB13" i="27"/>
  <c r="BA13" i="27"/>
  <c r="AZ13" i="27"/>
  <c r="BM12" i="27"/>
  <c r="BL12" i="27"/>
  <c r="BK12" i="27"/>
  <c r="BJ12" i="27"/>
  <c r="BI12" i="27"/>
  <c r="BH12" i="27"/>
  <c r="BG12" i="27"/>
  <c r="BF12" i="27"/>
  <c r="BE12" i="27"/>
  <c r="BD12" i="27"/>
  <c r="BC12" i="27"/>
  <c r="BB12" i="27"/>
  <c r="BA12" i="27"/>
  <c r="AZ12" i="27"/>
  <c r="BM11" i="27"/>
  <c r="BL11" i="27"/>
  <c r="BK11" i="27"/>
  <c r="BJ11" i="27"/>
  <c r="BI11" i="27"/>
  <c r="BH11" i="27"/>
  <c r="BG11" i="27"/>
  <c r="BF11" i="27"/>
  <c r="BE11" i="27"/>
  <c r="BD11" i="27"/>
  <c r="BC11" i="27"/>
  <c r="BB11" i="27"/>
  <c r="BA11" i="27"/>
  <c r="AZ11" i="27"/>
  <c r="BM10" i="27"/>
  <c r="BL10" i="27"/>
  <c r="BK10" i="27"/>
  <c r="BJ10" i="27"/>
  <c r="BI10" i="27"/>
  <c r="BH10" i="27"/>
  <c r="BG10" i="27"/>
  <c r="BF10" i="27"/>
  <c r="BE10" i="27"/>
  <c r="BD10" i="27"/>
  <c r="BC10" i="27"/>
  <c r="BB10" i="27"/>
  <c r="BA10" i="27"/>
  <c r="AZ10" i="27"/>
  <c r="BM9" i="27"/>
  <c r="BL9" i="27"/>
  <c r="BK9" i="27"/>
  <c r="BJ9" i="27"/>
  <c r="BI9" i="27"/>
  <c r="BH9" i="27"/>
  <c r="BG9" i="27"/>
  <c r="BF9" i="27"/>
  <c r="BE9" i="27"/>
  <c r="BD9" i="27"/>
  <c r="BC9" i="27"/>
  <c r="BB9" i="27"/>
  <c r="BA9" i="27"/>
  <c r="AZ9" i="27"/>
  <c r="BM8" i="27"/>
  <c r="BL8" i="27"/>
  <c r="BK8" i="27"/>
  <c r="BJ8" i="27"/>
  <c r="BI8" i="27"/>
  <c r="BH8" i="27"/>
  <c r="BG8" i="27"/>
  <c r="BF8" i="27"/>
  <c r="BE8" i="27"/>
  <c r="BD8" i="27"/>
  <c r="BC8" i="27"/>
  <c r="BB8" i="27"/>
  <c r="BA8" i="27"/>
  <c r="AZ8" i="27"/>
  <c r="BM7" i="27"/>
  <c r="BL7" i="27"/>
  <c r="BK7" i="27"/>
  <c r="BJ7" i="27"/>
  <c r="BI7" i="27"/>
  <c r="BH7" i="27"/>
  <c r="BG7" i="27"/>
  <c r="BF7" i="27"/>
  <c r="BE7" i="27"/>
  <c r="BD7" i="27"/>
  <c r="BC7" i="27"/>
  <c r="BB7" i="27"/>
  <c r="BA7" i="27"/>
  <c r="AZ7" i="27"/>
  <c r="BM6" i="27"/>
  <c r="BL6" i="27"/>
  <c r="BK6" i="27"/>
  <c r="BJ6" i="27"/>
  <c r="BI6" i="27"/>
  <c r="BH6" i="27"/>
  <c r="BG6" i="27"/>
  <c r="BF6" i="27"/>
  <c r="BE6" i="27"/>
  <c r="BD6" i="27"/>
  <c r="BC6" i="27"/>
  <c r="BB6" i="27"/>
  <c r="BA6" i="27"/>
  <c r="AZ6" i="27"/>
  <c r="BM5" i="27"/>
  <c r="BL5" i="27"/>
  <c r="BK5" i="27"/>
  <c r="BJ5" i="27"/>
  <c r="BI5" i="27"/>
  <c r="BH5" i="27"/>
  <c r="BG5" i="27"/>
  <c r="BF5" i="27"/>
  <c r="BE5" i="27"/>
  <c r="BD5" i="27"/>
  <c r="BC5" i="27"/>
  <c r="BB5" i="27"/>
  <c r="BA5" i="27"/>
  <c r="AZ5" i="27"/>
  <c r="BM4" i="27"/>
  <c r="BL4" i="27"/>
  <c r="BK4" i="27"/>
  <c r="BJ4" i="27"/>
  <c r="BI4" i="27"/>
  <c r="BH4" i="27"/>
  <c r="BG4" i="27"/>
  <c r="BF4" i="27"/>
  <c r="BE4" i="27"/>
  <c r="BD4" i="27"/>
  <c r="BC4" i="27"/>
  <c r="BB4" i="27"/>
  <c r="BA4" i="27"/>
  <c r="AZ4" i="27"/>
  <c r="BM3" i="27"/>
  <c r="BL3" i="27"/>
  <c r="BK3" i="27"/>
  <c r="BJ3" i="27"/>
  <c r="BI3" i="27"/>
  <c r="BH3" i="27"/>
  <c r="BG3" i="27"/>
  <c r="BF3" i="27"/>
  <c r="BE3" i="27"/>
  <c r="BD3" i="27"/>
  <c r="BC3" i="27"/>
  <c r="BB3" i="27"/>
  <c r="BA3" i="27"/>
  <c r="AZ3" i="27"/>
  <c r="AU113" i="27"/>
  <c r="AT113" i="27"/>
  <c r="AR113" i="27"/>
  <c r="AQ113" i="27"/>
  <c r="AO113" i="27"/>
  <c r="AM113" i="27"/>
  <c r="AL113" i="27"/>
  <c r="AK113" i="27"/>
  <c r="AJ113" i="27"/>
  <c r="AI113" i="27"/>
  <c r="AH113" i="27"/>
  <c r="AG113" i="27"/>
  <c r="AU112" i="27"/>
  <c r="AT112" i="27"/>
  <c r="AR112" i="27"/>
  <c r="AQ112" i="27"/>
  <c r="AO112" i="27"/>
  <c r="AM112" i="27"/>
  <c r="AL112" i="27"/>
  <c r="AK112" i="27"/>
  <c r="AJ112" i="27"/>
  <c r="AI112" i="27"/>
  <c r="AH112" i="27"/>
  <c r="AG112" i="27"/>
  <c r="AU111" i="27"/>
  <c r="AT111" i="27"/>
  <c r="AR111" i="27"/>
  <c r="AQ111" i="27"/>
  <c r="AO111" i="27"/>
  <c r="AM111" i="27"/>
  <c r="AL111" i="27"/>
  <c r="AK111" i="27"/>
  <c r="AJ111" i="27"/>
  <c r="AI111" i="27"/>
  <c r="AH111" i="27"/>
  <c r="AG111" i="27"/>
  <c r="AU110" i="27"/>
  <c r="AT110" i="27"/>
  <c r="AR110" i="27"/>
  <c r="AQ110" i="27"/>
  <c r="AO110" i="27"/>
  <c r="AM110" i="27"/>
  <c r="AL110" i="27"/>
  <c r="AK110" i="27"/>
  <c r="AJ110" i="27"/>
  <c r="AI110" i="27"/>
  <c r="AH110" i="27"/>
  <c r="AG110" i="27"/>
  <c r="AU109" i="27"/>
  <c r="AT109" i="27"/>
  <c r="AR109" i="27"/>
  <c r="AQ109" i="27"/>
  <c r="AO109" i="27"/>
  <c r="AM109" i="27"/>
  <c r="AL109" i="27"/>
  <c r="AK109" i="27"/>
  <c r="AJ109" i="27"/>
  <c r="AI109" i="27"/>
  <c r="AH109" i="27"/>
  <c r="AG109" i="27"/>
  <c r="AU108" i="27"/>
  <c r="AT108" i="27"/>
  <c r="AR108" i="27"/>
  <c r="AQ108" i="27"/>
  <c r="AO108" i="27"/>
  <c r="AM108" i="27"/>
  <c r="AL108" i="27"/>
  <c r="AK108" i="27"/>
  <c r="AJ108" i="27"/>
  <c r="AI108" i="27"/>
  <c r="AH108" i="27"/>
  <c r="AG108" i="27"/>
  <c r="AU107" i="27"/>
  <c r="AT107" i="27"/>
  <c r="AR107" i="27"/>
  <c r="AQ107" i="27"/>
  <c r="AO107" i="27"/>
  <c r="AM107" i="27"/>
  <c r="AL107" i="27"/>
  <c r="AK107" i="27"/>
  <c r="AJ107" i="27"/>
  <c r="AI107" i="27"/>
  <c r="AH107" i="27"/>
  <c r="AG107" i="27"/>
  <c r="AU106" i="27"/>
  <c r="AT106" i="27"/>
  <c r="AR106" i="27"/>
  <c r="AQ106" i="27"/>
  <c r="AO106" i="27"/>
  <c r="AM106" i="27"/>
  <c r="AL106" i="27"/>
  <c r="AK106" i="27"/>
  <c r="AJ106" i="27"/>
  <c r="AI106" i="27"/>
  <c r="AH106" i="27"/>
  <c r="AG106" i="27"/>
  <c r="AU105" i="27"/>
  <c r="AT105" i="27"/>
  <c r="AR105" i="27"/>
  <c r="AQ105" i="27"/>
  <c r="AO105" i="27"/>
  <c r="AM105" i="27"/>
  <c r="AL105" i="27"/>
  <c r="AK105" i="27"/>
  <c r="AJ105" i="27"/>
  <c r="AI105" i="27"/>
  <c r="AH105" i="27"/>
  <c r="AG105" i="27"/>
  <c r="AU104" i="27"/>
  <c r="AT104" i="27"/>
  <c r="AR104" i="27"/>
  <c r="AQ104" i="27"/>
  <c r="AO104" i="27"/>
  <c r="AM104" i="27"/>
  <c r="AL104" i="27"/>
  <c r="AK104" i="27"/>
  <c r="AJ104" i="27"/>
  <c r="AI104" i="27"/>
  <c r="AH104" i="27"/>
  <c r="AG104" i="27"/>
  <c r="AU103" i="27"/>
  <c r="AT103" i="27"/>
  <c r="AR103" i="27"/>
  <c r="AQ103" i="27"/>
  <c r="AO103" i="27"/>
  <c r="AM103" i="27"/>
  <c r="AL103" i="27"/>
  <c r="AK103" i="27"/>
  <c r="AJ103" i="27"/>
  <c r="AI103" i="27"/>
  <c r="AH103" i="27"/>
  <c r="AG103" i="27"/>
  <c r="AU102" i="27"/>
  <c r="AT102" i="27"/>
  <c r="AR102" i="27"/>
  <c r="AQ102" i="27"/>
  <c r="AO102" i="27"/>
  <c r="AM102" i="27"/>
  <c r="AL102" i="27"/>
  <c r="AK102" i="27"/>
  <c r="AJ102" i="27"/>
  <c r="AI102" i="27"/>
  <c r="AH102" i="27"/>
  <c r="AG102" i="27"/>
  <c r="AU101" i="27"/>
  <c r="AT101" i="27"/>
  <c r="AR101" i="27"/>
  <c r="AQ101" i="27"/>
  <c r="AO101" i="27"/>
  <c r="AM101" i="27"/>
  <c r="AL101" i="27"/>
  <c r="AK101" i="27"/>
  <c r="AJ101" i="27"/>
  <c r="AI101" i="27"/>
  <c r="AH101" i="27"/>
  <c r="AG101" i="27"/>
  <c r="AU100" i="27"/>
  <c r="AT100" i="27"/>
  <c r="AR100" i="27"/>
  <c r="AQ100" i="27"/>
  <c r="AO100" i="27"/>
  <c r="AM100" i="27"/>
  <c r="AL100" i="27"/>
  <c r="AK100" i="27"/>
  <c r="AJ100" i="27"/>
  <c r="AI100" i="27"/>
  <c r="AH100" i="27"/>
  <c r="AG100" i="27"/>
  <c r="AU99" i="27"/>
  <c r="AT99" i="27"/>
  <c r="AR99" i="27"/>
  <c r="AQ99" i="27"/>
  <c r="AO99" i="27"/>
  <c r="AM99" i="27"/>
  <c r="AL99" i="27"/>
  <c r="AK99" i="27"/>
  <c r="AJ99" i="27"/>
  <c r="AI99" i="27"/>
  <c r="AH99" i="27"/>
  <c r="AG99" i="27"/>
  <c r="AU98" i="27"/>
  <c r="AT98" i="27"/>
  <c r="AR98" i="27"/>
  <c r="AQ98" i="27"/>
  <c r="AO98" i="27"/>
  <c r="AM98" i="27"/>
  <c r="AL98" i="27"/>
  <c r="AK98" i="27"/>
  <c r="AJ98" i="27"/>
  <c r="AI98" i="27"/>
  <c r="AH98" i="27"/>
  <c r="AG98" i="27"/>
  <c r="AU97" i="27"/>
  <c r="AT97" i="27"/>
  <c r="AR97" i="27"/>
  <c r="AQ97" i="27"/>
  <c r="AO97" i="27"/>
  <c r="AM97" i="27"/>
  <c r="AL97" i="27"/>
  <c r="AK97" i="27"/>
  <c r="AJ97" i="27"/>
  <c r="AI97" i="27"/>
  <c r="AH97" i="27"/>
  <c r="AG97" i="27"/>
  <c r="AU96" i="27"/>
  <c r="AT96" i="27"/>
  <c r="AR96" i="27"/>
  <c r="AQ96" i="27"/>
  <c r="AO96" i="27"/>
  <c r="AM96" i="27"/>
  <c r="AL96" i="27"/>
  <c r="AK96" i="27"/>
  <c r="AJ96" i="27"/>
  <c r="AI96" i="27"/>
  <c r="AH96" i="27"/>
  <c r="AG96" i="27"/>
  <c r="AU95" i="27"/>
  <c r="AT95" i="27"/>
  <c r="AR95" i="27"/>
  <c r="AQ95" i="27"/>
  <c r="AO95" i="27"/>
  <c r="AM95" i="27"/>
  <c r="AL95" i="27"/>
  <c r="AK95" i="27"/>
  <c r="AJ95" i="27"/>
  <c r="AI95" i="27"/>
  <c r="AH95" i="27"/>
  <c r="AG95" i="27"/>
  <c r="AU94" i="27"/>
  <c r="AT94" i="27"/>
  <c r="AR94" i="27"/>
  <c r="AQ94" i="27"/>
  <c r="AO94" i="27"/>
  <c r="AM94" i="27"/>
  <c r="AL94" i="27"/>
  <c r="AK94" i="27"/>
  <c r="AJ94" i="27"/>
  <c r="AI94" i="27"/>
  <c r="AH94" i="27"/>
  <c r="AG94" i="27"/>
  <c r="AU93" i="27"/>
  <c r="AT93" i="27"/>
  <c r="AR93" i="27"/>
  <c r="AQ93" i="27"/>
  <c r="AO93" i="27"/>
  <c r="AM93" i="27"/>
  <c r="AL93" i="27"/>
  <c r="AK93" i="27"/>
  <c r="AJ93" i="27"/>
  <c r="AI93" i="27"/>
  <c r="AH93" i="27"/>
  <c r="AG93" i="27"/>
  <c r="AU92" i="27"/>
  <c r="AT92" i="27"/>
  <c r="AR92" i="27"/>
  <c r="AQ92" i="27"/>
  <c r="AO92" i="27"/>
  <c r="AM92" i="27"/>
  <c r="AL92" i="27"/>
  <c r="AK92" i="27"/>
  <c r="AJ92" i="27"/>
  <c r="AI92" i="27"/>
  <c r="AH92" i="27"/>
  <c r="AG92" i="27"/>
  <c r="AU91" i="27"/>
  <c r="AT91" i="27"/>
  <c r="AR91" i="27"/>
  <c r="AQ91" i="27"/>
  <c r="AO91" i="27"/>
  <c r="AM91" i="27"/>
  <c r="AL91" i="27"/>
  <c r="AK91" i="27"/>
  <c r="AJ91" i="27"/>
  <c r="AI91" i="27"/>
  <c r="AH91" i="27"/>
  <c r="AG91" i="27"/>
  <c r="AU90" i="27"/>
  <c r="AT90" i="27"/>
  <c r="AR90" i="27"/>
  <c r="AQ90" i="27"/>
  <c r="AO90" i="27"/>
  <c r="AM90" i="27"/>
  <c r="AL90" i="27"/>
  <c r="AK90" i="27"/>
  <c r="AJ90" i="27"/>
  <c r="AI90" i="27"/>
  <c r="AH90" i="27"/>
  <c r="AG90" i="27"/>
  <c r="AU89" i="27"/>
  <c r="AT89" i="27"/>
  <c r="AR89" i="27"/>
  <c r="AQ89" i="27"/>
  <c r="AO89" i="27"/>
  <c r="AM89" i="27"/>
  <c r="AL89" i="27"/>
  <c r="AK89" i="27"/>
  <c r="AJ89" i="27"/>
  <c r="AI89" i="27"/>
  <c r="AH89" i="27"/>
  <c r="AG89" i="27"/>
  <c r="AU88" i="27"/>
  <c r="AT88" i="27"/>
  <c r="AR88" i="27"/>
  <c r="AQ88" i="27"/>
  <c r="AO88" i="27"/>
  <c r="AM88" i="27"/>
  <c r="AL88" i="27"/>
  <c r="AK88" i="27"/>
  <c r="AJ88" i="27"/>
  <c r="AI88" i="27"/>
  <c r="AH88" i="27"/>
  <c r="AG88" i="27"/>
  <c r="AU87" i="27"/>
  <c r="AT87" i="27"/>
  <c r="AR87" i="27"/>
  <c r="AQ87" i="27"/>
  <c r="AO87" i="27"/>
  <c r="AM87" i="27"/>
  <c r="AL87" i="27"/>
  <c r="AK87" i="27"/>
  <c r="AJ87" i="27"/>
  <c r="AI87" i="27"/>
  <c r="AH87" i="27"/>
  <c r="AG87" i="27"/>
  <c r="AU86" i="27"/>
  <c r="AT86" i="27"/>
  <c r="AR86" i="27"/>
  <c r="AQ86" i="27"/>
  <c r="AO86" i="27"/>
  <c r="AM86" i="27"/>
  <c r="AL86" i="27"/>
  <c r="AK86" i="27"/>
  <c r="AJ86" i="27"/>
  <c r="AI86" i="27"/>
  <c r="AH86" i="27"/>
  <c r="AG86" i="27"/>
  <c r="AU85" i="27"/>
  <c r="AT85" i="27"/>
  <c r="AR85" i="27"/>
  <c r="AQ85" i="27"/>
  <c r="AO85" i="27"/>
  <c r="AM85" i="27"/>
  <c r="AL85" i="27"/>
  <c r="AK85" i="27"/>
  <c r="AJ85" i="27"/>
  <c r="AI85" i="27"/>
  <c r="AH85" i="27"/>
  <c r="AG85" i="27"/>
  <c r="AU84" i="27"/>
  <c r="AT84" i="27"/>
  <c r="AR84" i="27"/>
  <c r="AQ84" i="27"/>
  <c r="AO84" i="27"/>
  <c r="AM84" i="27"/>
  <c r="AL84" i="27"/>
  <c r="AK84" i="27"/>
  <c r="AJ84" i="27"/>
  <c r="AI84" i="27"/>
  <c r="AH84" i="27"/>
  <c r="AG84" i="27"/>
  <c r="AU83" i="27"/>
  <c r="AT83" i="27"/>
  <c r="AR83" i="27"/>
  <c r="AQ83" i="27"/>
  <c r="AO83" i="27"/>
  <c r="AM83" i="27"/>
  <c r="AL83" i="27"/>
  <c r="AK83" i="27"/>
  <c r="AJ83" i="27"/>
  <c r="AI83" i="27"/>
  <c r="AH83" i="27"/>
  <c r="AG83" i="27"/>
  <c r="AU82" i="27"/>
  <c r="AT82" i="27"/>
  <c r="AR82" i="27"/>
  <c r="AQ82" i="27"/>
  <c r="AO82" i="27"/>
  <c r="AM82" i="27"/>
  <c r="AL82" i="27"/>
  <c r="AK82" i="27"/>
  <c r="AJ82" i="27"/>
  <c r="AI82" i="27"/>
  <c r="AH82" i="27"/>
  <c r="AG82" i="27"/>
  <c r="AU81" i="27"/>
  <c r="AT81" i="27"/>
  <c r="AR81" i="27"/>
  <c r="AQ81" i="27"/>
  <c r="AO81" i="27"/>
  <c r="AM81" i="27"/>
  <c r="AL81" i="27"/>
  <c r="AK81" i="27"/>
  <c r="AJ81" i="27"/>
  <c r="AI81" i="27"/>
  <c r="AH81" i="27"/>
  <c r="AG81" i="27"/>
  <c r="AU80" i="27"/>
  <c r="AT80" i="27"/>
  <c r="AR80" i="27"/>
  <c r="AQ80" i="27"/>
  <c r="AO80" i="27"/>
  <c r="AM80" i="27"/>
  <c r="AL80" i="27"/>
  <c r="AK80" i="27"/>
  <c r="AJ80" i="27"/>
  <c r="AI80" i="27"/>
  <c r="AH80" i="27"/>
  <c r="AG80" i="27"/>
  <c r="AU79" i="27"/>
  <c r="AT79" i="27"/>
  <c r="AR79" i="27"/>
  <c r="AQ79" i="27"/>
  <c r="AO79" i="27"/>
  <c r="AM79" i="27"/>
  <c r="AL79" i="27"/>
  <c r="AK79" i="27"/>
  <c r="AJ79" i="27"/>
  <c r="AI79" i="27"/>
  <c r="AH79" i="27"/>
  <c r="AG79" i="27"/>
  <c r="AU78" i="27"/>
  <c r="AT78" i="27"/>
  <c r="AR78" i="27"/>
  <c r="AQ78" i="27"/>
  <c r="AO78" i="27"/>
  <c r="AM78" i="27"/>
  <c r="AL78" i="27"/>
  <c r="AK78" i="27"/>
  <c r="AJ78" i="27"/>
  <c r="AI78" i="27"/>
  <c r="AH78" i="27"/>
  <c r="AG78" i="27"/>
  <c r="AU77" i="27"/>
  <c r="AT77" i="27"/>
  <c r="AR77" i="27"/>
  <c r="AQ77" i="27"/>
  <c r="AO77" i="27"/>
  <c r="AM77" i="27"/>
  <c r="AL77" i="27"/>
  <c r="AK77" i="27"/>
  <c r="AJ77" i="27"/>
  <c r="AI77" i="27"/>
  <c r="AH77" i="27"/>
  <c r="AG77" i="27"/>
  <c r="AU76" i="27"/>
  <c r="AT76" i="27"/>
  <c r="AR76" i="27"/>
  <c r="AQ76" i="27"/>
  <c r="AO76" i="27"/>
  <c r="AM76" i="27"/>
  <c r="AL76" i="27"/>
  <c r="AK76" i="27"/>
  <c r="AJ76" i="27"/>
  <c r="AI76" i="27"/>
  <c r="AH76" i="27"/>
  <c r="AG76" i="27"/>
  <c r="AU75" i="27"/>
  <c r="AT75" i="27"/>
  <c r="AR75" i="27"/>
  <c r="AQ75" i="27"/>
  <c r="AO75" i="27"/>
  <c r="AM75" i="27"/>
  <c r="AL75" i="27"/>
  <c r="AK75" i="27"/>
  <c r="AJ75" i="27"/>
  <c r="AI75" i="27"/>
  <c r="AH75" i="27"/>
  <c r="AG75" i="27"/>
  <c r="AU74" i="27"/>
  <c r="AT74" i="27"/>
  <c r="AR74" i="27"/>
  <c r="AQ74" i="27"/>
  <c r="AO74" i="27"/>
  <c r="AM74" i="27"/>
  <c r="AL74" i="27"/>
  <c r="AK74" i="27"/>
  <c r="AJ74" i="27"/>
  <c r="AI74" i="27"/>
  <c r="AH74" i="27"/>
  <c r="AG74" i="27"/>
  <c r="AU73" i="27"/>
  <c r="AT73" i="27"/>
  <c r="AR73" i="27"/>
  <c r="AQ73" i="27"/>
  <c r="AO73" i="27"/>
  <c r="AM73" i="27"/>
  <c r="AL73" i="27"/>
  <c r="AK73" i="27"/>
  <c r="AJ73" i="27"/>
  <c r="AI73" i="27"/>
  <c r="AH73" i="27"/>
  <c r="AG73" i="27"/>
  <c r="AU72" i="27"/>
  <c r="AT72" i="27"/>
  <c r="AR72" i="27"/>
  <c r="AQ72" i="27"/>
  <c r="AO72" i="27"/>
  <c r="AM72" i="27"/>
  <c r="AL72" i="27"/>
  <c r="AK72" i="27"/>
  <c r="AJ72" i="27"/>
  <c r="AI72" i="27"/>
  <c r="AH72" i="27"/>
  <c r="AG72" i="27"/>
  <c r="AU71" i="27"/>
  <c r="AT71" i="27"/>
  <c r="AR71" i="27"/>
  <c r="AQ71" i="27"/>
  <c r="AO71" i="27"/>
  <c r="AM71" i="27"/>
  <c r="AL71" i="27"/>
  <c r="AK71" i="27"/>
  <c r="AJ71" i="27"/>
  <c r="AI71" i="27"/>
  <c r="AH71" i="27"/>
  <c r="AG71" i="27"/>
  <c r="AU70" i="27"/>
  <c r="AT70" i="27"/>
  <c r="AR70" i="27"/>
  <c r="AQ70" i="27"/>
  <c r="AO70" i="27"/>
  <c r="AM70" i="27"/>
  <c r="AL70" i="27"/>
  <c r="AK70" i="27"/>
  <c r="AJ70" i="27"/>
  <c r="AI70" i="27"/>
  <c r="AH70" i="27"/>
  <c r="AG70" i="27"/>
  <c r="AU69" i="27"/>
  <c r="AT69" i="27"/>
  <c r="AR69" i="27"/>
  <c r="AQ69" i="27"/>
  <c r="AO69" i="27"/>
  <c r="AM69" i="27"/>
  <c r="AL69" i="27"/>
  <c r="AK69" i="27"/>
  <c r="AJ69" i="27"/>
  <c r="AI69" i="27"/>
  <c r="AH69" i="27"/>
  <c r="AG69" i="27"/>
  <c r="AU68" i="27"/>
  <c r="AT68" i="27"/>
  <c r="AR68" i="27"/>
  <c r="AQ68" i="27"/>
  <c r="AO68" i="27"/>
  <c r="AM68" i="27"/>
  <c r="AL68" i="27"/>
  <c r="AK68" i="27"/>
  <c r="AJ68" i="27"/>
  <c r="AI68" i="27"/>
  <c r="AH68" i="27"/>
  <c r="AG68" i="27"/>
  <c r="AU67" i="27"/>
  <c r="AT67" i="27"/>
  <c r="AR67" i="27"/>
  <c r="AQ67" i="27"/>
  <c r="AO67" i="27"/>
  <c r="AM67" i="27"/>
  <c r="AL67" i="27"/>
  <c r="AK67" i="27"/>
  <c r="AJ67" i="27"/>
  <c r="AI67" i="27"/>
  <c r="AH67" i="27"/>
  <c r="AG67" i="27"/>
  <c r="AU66" i="27"/>
  <c r="AT66" i="27"/>
  <c r="AR66" i="27"/>
  <c r="AQ66" i="27"/>
  <c r="AO66" i="27"/>
  <c r="AM66" i="27"/>
  <c r="AL66" i="27"/>
  <c r="AK66" i="27"/>
  <c r="AJ66" i="27"/>
  <c r="AI66" i="27"/>
  <c r="AH66" i="27"/>
  <c r="AG66" i="27"/>
  <c r="AU65" i="27"/>
  <c r="AT65" i="27"/>
  <c r="AR65" i="27"/>
  <c r="AQ65" i="27"/>
  <c r="AO65" i="27"/>
  <c r="AM65" i="27"/>
  <c r="AL65" i="27"/>
  <c r="AK65" i="27"/>
  <c r="AJ65" i="27"/>
  <c r="AI65" i="27"/>
  <c r="AH65" i="27"/>
  <c r="AG65" i="27"/>
  <c r="AU64" i="27"/>
  <c r="AT64" i="27"/>
  <c r="AR64" i="27"/>
  <c r="AQ64" i="27"/>
  <c r="AO64" i="27"/>
  <c r="AM64" i="27"/>
  <c r="AL64" i="27"/>
  <c r="AK64" i="27"/>
  <c r="AJ64" i="27"/>
  <c r="AI64" i="27"/>
  <c r="AH64" i="27"/>
  <c r="AG64" i="27"/>
  <c r="AU63" i="27"/>
  <c r="AT63" i="27"/>
  <c r="AR63" i="27"/>
  <c r="AQ63" i="27"/>
  <c r="AO63" i="27"/>
  <c r="AM63" i="27"/>
  <c r="AL63" i="27"/>
  <c r="AK63" i="27"/>
  <c r="AJ63" i="27"/>
  <c r="AI63" i="27"/>
  <c r="AH63" i="27"/>
  <c r="AG63" i="27"/>
  <c r="AU62" i="27"/>
  <c r="AT62" i="27"/>
  <c r="AR62" i="27"/>
  <c r="AQ62" i="27"/>
  <c r="AO62" i="27"/>
  <c r="AM62" i="27"/>
  <c r="AL62" i="27"/>
  <c r="AK62" i="27"/>
  <c r="AJ62" i="27"/>
  <c r="AI62" i="27"/>
  <c r="AH62" i="27"/>
  <c r="AG62" i="27"/>
  <c r="AU61" i="27"/>
  <c r="AT61" i="27"/>
  <c r="AR61" i="27"/>
  <c r="AQ61" i="27"/>
  <c r="AO61" i="27"/>
  <c r="AM61" i="27"/>
  <c r="AL61" i="27"/>
  <c r="AK61" i="27"/>
  <c r="AJ61" i="27"/>
  <c r="AI61" i="27"/>
  <c r="AH61" i="27"/>
  <c r="AG61" i="27"/>
  <c r="AU60" i="27"/>
  <c r="AT60" i="27"/>
  <c r="AR60" i="27"/>
  <c r="AQ60" i="27"/>
  <c r="AO60" i="27"/>
  <c r="AM60" i="27"/>
  <c r="AL60" i="27"/>
  <c r="AK60" i="27"/>
  <c r="AJ60" i="27"/>
  <c r="AI60" i="27"/>
  <c r="AH60" i="27"/>
  <c r="AG60" i="27"/>
  <c r="AU59" i="27"/>
  <c r="AT59" i="27"/>
  <c r="AR59" i="27"/>
  <c r="AQ59" i="27"/>
  <c r="AO59" i="27"/>
  <c r="AM59" i="27"/>
  <c r="AL59" i="27"/>
  <c r="AK59" i="27"/>
  <c r="AJ59" i="27"/>
  <c r="AI59" i="27"/>
  <c r="AH59" i="27"/>
  <c r="AG59" i="27"/>
  <c r="AU58" i="27"/>
  <c r="AT58" i="27"/>
  <c r="AR58" i="27"/>
  <c r="AQ58" i="27"/>
  <c r="AO58" i="27"/>
  <c r="AM58" i="27"/>
  <c r="AL58" i="27"/>
  <c r="AK58" i="27"/>
  <c r="AJ58" i="27"/>
  <c r="AI58" i="27"/>
  <c r="AH58" i="27"/>
  <c r="AG58" i="27"/>
  <c r="AU57" i="27"/>
  <c r="AT57" i="27"/>
  <c r="AR57" i="27"/>
  <c r="AQ57" i="27"/>
  <c r="AO57" i="27"/>
  <c r="AM57" i="27"/>
  <c r="AL57" i="27"/>
  <c r="AK57" i="27"/>
  <c r="AJ57" i="27"/>
  <c r="AI57" i="27"/>
  <c r="AH57" i="27"/>
  <c r="AG57" i="27"/>
  <c r="AU56" i="27"/>
  <c r="AT56" i="27"/>
  <c r="AR56" i="27"/>
  <c r="AQ56" i="27"/>
  <c r="AO56" i="27"/>
  <c r="AM56" i="27"/>
  <c r="AL56" i="27"/>
  <c r="AK56" i="27"/>
  <c r="AJ56" i="27"/>
  <c r="AI56" i="27"/>
  <c r="AH56" i="27"/>
  <c r="AG56" i="27"/>
  <c r="AU55" i="27"/>
  <c r="AT55" i="27"/>
  <c r="AR55" i="27"/>
  <c r="AQ55" i="27"/>
  <c r="AO55" i="27"/>
  <c r="AM55" i="27"/>
  <c r="AL55" i="27"/>
  <c r="AK55" i="27"/>
  <c r="AJ55" i="27"/>
  <c r="AI55" i="27"/>
  <c r="AH55" i="27"/>
  <c r="AG55" i="27"/>
  <c r="AU54" i="27"/>
  <c r="AT54" i="27"/>
  <c r="AR54" i="27"/>
  <c r="AQ54" i="27"/>
  <c r="AO54" i="27"/>
  <c r="AM54" i="27"/>
  <c r="AL54" i="27"/>
  <c r="AK54" i="27"/>
  <c r="AJ54" i="27"/>
  <c r="AI54" i="27"/>
  <c r="AH54" i="27"/>
  <c r="AG54" i="27"/>
  <c r="AU53" i="27"/>
  <c r="AT53" i="27"/>
  <c r="AR53" i="27"/>
  <c r="AQ53" i="27"/>
  <c r="AO53" i="27"/>
  <c r="AM53" i="27"/>
  <c r="AL53" i="27"/>
  <c r="AK53" i="27"/>
  <c r="AJ53" i="27"/>
  <c r="AI53" i="27"/>
  <c r="AH53" i="27"/>
  <c r="AG53" i="27"/>
  <c r="AU52" i="27"/>
  <c r="AT52" i="27"/>
  <c r="AR52" i="27"/>
  <c r="AQ52" i="27"/>
  <c r="AO52" i="27"/>
  <c r="AM52" i="27"/>
  <c r="AL52" i="27"/>
  <c r="AK52" i="27"/>
  <c r="AJ52" i="27"/>
  <c r="AI52" i="27"/>
  <c r="AH52" i="27"/>
  <c r="AG52" i="27"/>
  <c r="AU51" i="27"/>
  <c r="AT51" i="27"/>
  <c r="AR51" i="27"/>
  <c r="AQ51" i="27"/>
  <c r="AO51" i="27"/>
  <c r="AM51" i="27"/>
  <c r="AL51" i="27"/>
  <c r="AK51" i="27"/>
  <c r="AJ51" i="27"/>
  <c r="AI51" i="27"/>
  <c r="AH51" i="27"/>
  <c r="AG51" i="27"/>
  <c r="AU50" i="27"/>
  <c r="AT50" i="27"/>
  <c r="AR50" i="27"/>
  <c r="AQ50" i="27"/>
  <c r="AO50" i="27"/>
  <c r="AM50" i="27"/>
  <c r="AL50" i="27"/>
  <c r="AK50" i="27"/>
  <c r="AJ50" i="27"/>
  <c r="AI50" i="27"/>
  <c r="AH50" i="27"/>
  <c r="AG50" i="27"/>
  <c r="AU49" i="27"/>
  <c r="AT49" i="27"/>
  <c r="AR49" i="27"/>
  <c r="AQ49" i="27"/>
  <c r="AO49" i="27"/>
  <c r="AM49" i="27"/>
  <c r="AL49" i="27"/>
  <c r="AK49" i="27"/>
  <c r="AJ49" i="27"/>
  <c r="AI49" i="27"/>
  <c r="AH49" i="27"/>
  <c r="AG49" i="27"/>
  <c r="AU48" i="27"/>
  <c r="AT48" i="27"/>
  <c r="AR48" i="27"/>
  <c r="AQ48" i="27"/>
  <c r="AO48" i="27"/>
  <c r="AM48" i="27"/>
  <c r="AL48" i="27"/>
  <c r="AK48" i="27"/>
  <c r="AJ48" i="27"/>
  <c r="AI48" i="27"/>
  <c r="AH48" i="27"/>
  <c r="AG48" i="27"/>
  <c r="AU47" i="27"/>
  <c r="AT47" i="27"/>
  <c r="AR47" i="27"/>
  <c r="AQ47" i="27"/>
  <c r="AO47" i="27"/>
  <c r="AM47" i="27"/>
  <c r="AL47" i="27"/>
  <c r="AK47" i="27"/>
  <c r="AJ47" i="27"/>
  <c r="AI47" i="27"/>
  <c r="AH47" i="27"/>
  <c r="AG47" i="27"/>
  <c r="AU46" i="27"/>
  <c r="AT46" i="27"/>
  <c r="AR46" i="27"/>
  <c r="AQ46" i="27"/>
  <c r="AO46" i="27"/>
  <c r="AM46" i="27"/>
  <c r="AL46" i="27"/>
  <c r="AK46" i="27"/>
  <c r="AJ46" i="27"/>
  <c r="AI46" i="27"/>
  <c r="AH46" i="27"/>
  <c r="AG46" i="27"/>
  <c r="AU45" i="27"/>
  <c r="AT45" i="27"/>
  <c r="AR45" i="27"/>
  <c r="AQ45" i="27"/>
  <c r="AO45" i="27"/>
  <c r="AM45" i="27"/>
  <c r="AL45" i="27"/>
  <c r="AK45" i="27"/>
  <c r="AJ45" i="27"/>
  <c r="AI45" i="27"/>
  <c r="AH45" i="27"/>
  <c r="AG45" i="27"/>
  <c r="AU44" i="27"/>
  <c r="AT44" i="27"/>
  <c r="AR44" i="27"/>
  <c r="AQ44" i="27"/>
  <c r="AO44" i="27"/>
  <c r="AM44" i="27"/>
  <c r="AL44" i="27"/>
  <c r="AK44" i="27"/>
  <c r="AJ44" i="27"/>
  <c r="AI44" i="27"/>
  <c r="AH44" i="27"/>
  <c r="AG44" i="27"/>
  <c r="AU43" i="27"/>
  <c r="AT43" i="27"/>
  <c r="AR43" i="27"/>
  <c r="AQ43" i="27"/>
  <c r="AO43" i="27"/>
  <c r="AM43" i="27"/>
  <c r="AL43" i="27"/>
  <c r="AK43" i="27"/>
  <c r="AJ43" i="27"/>
  <c r="AI43" i="27"/>
  <c r="AH43" i="27"/>
  <c r="AG43" i="27"/>
  <c r="AU42" i="27"/>
  <c r="AT42" i="27"/>
  <c r="AR42" i="27"/>
  <c r="AQ42" i="27"/>
  <c r="AO42" i="27"/>
  <c r="AM42" i="27"/>
  <c r="AL42" i="27"/>
  <c r="AK42" i="27"/>
  <c r="AJ42" i="27"/>
  <c r="AI42" i="27"/>
  <c r="AH42" i="27"/>
  <c r="AG42" i="27"/>
  <c r="AU41" i="27"/>
  <c r="AT41" i="27"/>
  <c r="AR41" i="27"/>
  <c r="AQ41" i="27"/>
  <c r="AO41" i="27"/>
  <c r="AM41" i="27"/>
  <c r="AL41" i="27"/>
  <c r="AK41" i="27"/>
  <c r="AJ41" i="27"/>
  <c r="AI41" i="27"/>
  <c r="AH41" i="27"/>
  <c r="AG41" i="27"/>
  <c r="AU40" i="27"/>
  <c r="AT40" i="27"/>
  <c r="AR40" i="27"/>
  <c r="AQ40" i="27"/>
  <c r="AO40" i="27"/>
  <c r="AM40" i="27"/>
  <c r="AL40" i="27"/>
  <c r="AK40" i="27"/>
  <c r="AJ40" i="27"/>
  <c r="AI40" i="27"/>
  <c r="AH40" i="27"/>
  <c r="AG40" i="27"/>
  <c r="AU39" i="27"/>
  <c r="AT39" i="27"/>
  <c r="AR39" i="27"/>
  <c r="AQ39" i="27"/>
  <c r="AO39" i="27"/>
  <c r="AM39" i="27"/>
  <c r="AL39" i="27"/>
  <c r="AK39" i="27"/>
  <c r="AJ39" i="27"/>
  <c r="AI39" i="27"/>
  <c r="AH39" i="27"/>
  <c r="AG39" i="27"/>
  <c r="AU38" i="27"/>
  <c r="AT38" i="27"/>
  <c r="AR38" i="27"/>
  <c r="AQ38" i="27"/>
  <c r="AO38" i="27"/>
  <c r="AM38" i="27"/>
  <c r="AL38" i="27"/>
  <c r="AK38" i="27"/>
  <c r="AJ38" i="27"/>
  <c r="AI38" i="27"/>
  <c r="AH38" i="27"/>
  <c r="AG38" i="27"/>
  <c r="AU37" i="27"/>
  <c r="AT37" i="27"/>
  <c r="AR37" i="27"/>
  <c r="AQ37" i="27"/>
  <c r="AO37" i="27"/>
  <c r="AM37" i="27"/>
  <c r="AL37" i="27"/>
  <c r="AK37" i="27"/>
  <c r="AJ37" i="27"/>
  <c r="AI37" i="27"/>
  <c r="AH37" i="27"/>
  <c r="AG37" i="27"/>
  <c r="AU36" i="27"/>
  <c r="AT36" i="27"/>
  <c r="AR36" i="27"/>
  <c r="AQ36" i="27"/>
  <c r="AO36" i="27"/>
  <c r="AM36" i="27"/>
  <c r="AL36" i="27"/>
  <c r="AK36" i="27"/>
  <c r="AJ36" i="27"/>
  <c r="AI36" i="27"/>
  <c r="AH36" i="27"/>
  <c r="AG36" i="27"/>
  <c r="AU35" i="27"/>
  <c r="AT35" i="27"/>
  <c r="AR35" i="27"/>
  <c r="AQ35" i="27"/>
  <c r="AO35" i="27"/>
  <c r="AM35" i="27"/>
  <c r="AL35" i="27"/>
  <c r="AK35" i="27"/>
  <c r="AJ35" i="27"/>
  <c r="AI35" i="27"/>
  <c r="AH35" i="27"/>
  <c r="AG35" i="27"/>
  <c r="AU34" i="27"/>
  <c r="AT34" i="27"/>
  <c r="AR34" i="27"/>
  <c r="AQ34" i="27"/>
  <c r="AO34" i="27"/>
  <c r="AM34" i="27"/>
  <c r="AL34" i="27"/>
  <c r="AK34" i="27"/>
  <c r="AJ34" i="27"/>
  <c r="AI34" i="27"/>
  <c r="AH34" i="27"/>
  <c r="AG34" i="27"/>
  <c r="AU33" i="27"/>
  <c r="AT33" i="27"/>
  <c r="AR33" i="27"/>
  <c r="AQ33" i="27"/>
  <c r="AO33" i="27"/>
  <c r="AM33" i="27"/>
  <c r="AL33" i="27"/>
  <c r="AK33" i="27"/>
  <c r="AJ33" i="27"/>
  <c r="AI33" i="27"/>
  <c r="AH33" i="27"/>
  <c r="AG33" i="27"/>
  <c r="AU32" i="27"/>
  <c r="AT32" i="27"/>
  <c r="AR32" i="27"/>
  <c r="AQ32" i="27"/>
  <c r="AO32" i="27"/>
  <c r="AM32" i="27"/>
  <c r="AL32" i="27"/>
  <c r="AK32" i="27"/>
  <c r="AJ32" i="27"/>
  <c r="AI32" i="27"/>
  <c r="AH32" i="27"/>
  <c r="AG32" i="27"/>
  <c r="AU31" i="27"/>
  <c r="AT31" i="27"/>
  <c r="AR31" i="27"/>
  <c r="AQ31" i="27"/>
  <c r="AO31" i="27"/>
  <c r="AM31" i="27"/>
  <c r="AL31" i="27"/>
  <c r="AK31" i="27"/>
  <c r="AJ31" i="27"/>
  <c r="AI31" i="27"/>
  <c r="AH31" i="27"/>
  <c r="AG31" i="27"/>
  <c r="AU30" i="27"/>
  <c r="AT30" i="27"/>
  <c r="AR30" i="27"/>
  <c r="AQ30" i="27"/>
  <c r="AO30" i="27"/>
  <c r="AM30" i="27"/>
  <c r="AL30" i="27"/>
  <c r="AK30" i="27"/>
  <c r="AJ30" i="27"/>
  <c r="AI30" i="27"/>
  <c r="AH30" i="27"/>
  <c r="AG30" i="27"/>
  <c r="AU29" i="27"/>
  <c r="AT29" i="27"/>
  <c r="AR29" i="27"/>
  <c r="AQ29" i="27"/>
  <c r="AO29" i="27"/>
  <c r="AM29" i="27"/>
  <c r="AL29" i="27"/>
  <c r="AK29" i="27"/>
  <c r="AJ29" i="27"/>
  <c r="AI29" i="27"/>
  <c r="AH29" i="27"/>
  <c r="AG29" i="27"/>
  <c r="AU28" i="27"/>
  <c r="AT28" i="27"/>
  <c r="AR28" i="27"/>
  <c r="AQ28" i="27"/>
  <c r="AO28" i="27"/>
  <c r="AM28" i="27"/>
  <c r="AL28" i="27"/>
  <c r="AK28" i="27"/>
  <c r="AJ28" i="27"/>
  <c r="AI28" i="27"/>
  <c r="AH28" i="27"/>
  <c r="AG28" i="27"/>
  <c r="AU27" i="27"/>
  <c r="AT27" i="27"/>
  <c r="AR27" i="27"/>
  <c r="AQ27" i="27"/>
  <c r="AO27" i="27"/>
  <c r="AM27" i="27"/>
  <c r="AL27" i="27"/>
  <c r="AK27" i="27"/>
  <c r="AJ27" i="27"/>
  <c r="AI27" i="27"/>
  <c r="AH27" i="27"/>
  <c r="AG27" i="27"/>
  <c r="AU26" i="27"/>
  <c r="AT26" i="27"/>
  <c r="AR26" i="27"/>
  <c r="AQ26" i="27"/>
  <c r="AO26" i="27"/>
  <c r="AM26" i="27"/>
  <c r="AL26" i="27"/>
  <c r="AK26" i="27"/>
  <c r="AJ26" i="27"/>
  <c r="AI26" i="27"/>
  <c r="AH26" i="27"/>
  <c r="AG26" i="27"/>
  <c r="AU25" i="27"/>
  <c r="AT25" i="27"/>
  <c r="AR25" i="27"/>
  <c r="AQ25" i="27"/>
  <c r="AO25" i="27"/>
  <c r="AM25" i="27"/>
  <c r="AL25" i="27"/>
  <c r="AK25" i="27"/>
  <c r="AJ25" i="27"/>
  <c r="AI25" i="27"/>
  <c r="AH25" i="27"/>
  <c r="AG25" i="27"/>
  <c r="AU24" i="27"/>
  <c r="AT24" i="27"/>
  <c r="AR24" i="27"/>
  <c r="AQ24" i="27"/>
  <c r="AO24" i="27"/>
  <c r="AM24" i="27"/>
  <c r="AL24" i="27"/>
  <c r="AK24" i="27"/>
  <c r="AJ24" i="27"/>
  <c r="AI24" i="27"/>
  <c r="AH24" i="27"/>
  <c r="AG24" i="27"/>
  <c r="AU23" i="27"/>
  <c r="AT23" i="27"/>
  <c r="AR23" i="27"/>
  <c r="AQ23" i="27"/>
  <c r="AO23" i="27"/>
  <c r="AM23" i="27"/>
  <c r="AL23" i="27"/>
  <c r="AK23" i="27"/>
  <c r="AJ23" i="27"/>
  <c r="AI23" i="27"/>
  <c r="AH23" i="27"/>
  <c r="AG23" i="27"/>
  <c r="AU22" i="27"/>
  <c r="AT22" i="27"/>
  <c r="AR22" i="27"/>
  <c r="AQ22" i="27"/>
  <c r="AO22" i="27"/>
  <c r="AM22" i="27"/>
  <c r="AL22" i="27"/>
  <c r="AK22" i="27"/>
  <c r="AJ22" i="27"/>
  <c r="AI22" i="27"/>
  <c r="AH22" i="27"/>
  <c r="AG22" i="27"/>
  <c r="AU21" i="27"/>
  <c r="AT21" i="27"/>
  <c r="AR21" i="27"/>
  <c r="AQ21" i="27"/>
  <c r="AO21" i="27"/>
  <c r="AM21" i="27"/>
  <c r="AL21" i="27"/>
  <c r="AK21" i="27"/>
  <c r="AJ21" i="27"/>
  <c r="AI21" i="27"/>
  <c r="AH21" i="27"/>
  <c r="AG21" i="27"/>
  <c r="AU20" i="27"/>
  <c r="AT20" i="27"/>
  <c r="AR20" i="27"/>
  <c r="AQ20" i="27"/>
  <c r="AO20" i="27"/>
  <c r="AM20" i="27"/>
  <c r="AL20" i="27"/>
  <c r="AK20" i="27"/>
  <c r="AJ20" i="27"/>
  <c r="AI20" i="27"/>
  <c r="AH20" i="27"/>
  <c r="AG20" i="27"/>
  <c r="AU19" i="27"/>
  <c r="AT19" i="27"/>
  <c r="AR19" i="27"/>
  <c r="AQ19" i="27"/>
  <c r="AO19" i="27"/>
  <c r="AM19" i="27"/>
  <c r="AL19" i="27"/>
  <c r="AK19" i="27"/>
  <c r="AJ19" i="27"/>
  <c r="AI19" i="27"/>
  <c r="AH19" i="27"/>
  <c r="AG19" i="27"/>
  <c r="AU18" i="27"/>
  <c r="AT18" i="27"/>
  <c r="AR18" i="27"/>
  <c r="AQ18" i="27"/>
  <c r="AO18" i="27"/>
  <c r="AM18" i="27"/>
  <c r="AL18" i="27"/>
  <c r="AK18" i="27"/>
  <c r="AJ18" i="27"/>
  <c r="AI18" i="27"/>
  <c r="AH18" i="27"/>
  <c r="AG18" i="27"/>
  <c r="AU17" i="27"/>
  <c r="AT17" i="27"/>
  <c r="AR17" i="27"/>
  <c r="AQ17" i="27"/>
  <c r="AO17" i="27"/>
  <c r="AM17" i="27"/>
  <c r="AL17" i="27"/>
  <c r="AK17" i="27"/>
  <c r="AJ17" i="27"/>
  <c r="AI17" i="27"/>
  <c r="AH17" i="27"/>
  <c r="AG17" i="27"/>
  <c r="AU16" i="27"/>
  <c r="AT16" i="27"/>
  <c r="AR16" i="27"/>
  <c r="AQ16" i="27"/>
  <c r="AO16" i="27"/>
  <c r="AM16" i="27"/>
  <c r="AL16" i="27"/>
  <c r="AK16" i="27"/>
  <c r="AJ16" i="27"/>
  <c r="AI16" i="27"/>
  <c r="AH16" i="27"/>
  <c r="AG16" i="27"/>
  <c r="AU15" i="27"/>
  <c r="AT15" i="27"/>
  <c r="AR15" i="27"/>
  <c r="AQ15" i="27"/>
  <c r="AO15" i="27"/>
  <c r="AM15" i="27"/>
  <c r="AL15" i="27"/>
  <c r="AK15" i="27"/>
  <c r="AJ15" i="27"/>
  <c r="AI15" i="27"/>
  <c r="AH15" i="27"/>
  <c r="AG15" i="27"/>
  <c r="AU14" i="27"/>
  <c r="AT14" i="27"/>
  <c r="AR14" i="27"/>
  <c r="AQ14" i="27"/>
  <c r="AO14" i="27"/>
  <c r="AM14" i="27"/>
  <c r="AL14" i="27"/>
  <c r="AK14" i="27"/>
  <c r="AJ14" i="27"/>
  <c r="AI14" i="27"/>
  <c r="AH14" i="27"/>
  <c r="AG14" i="27"/>
  <c r="AU13" i="27"/>
  <c r="AT13" i="27"/>
  <c r="AR13" i="27"/>
  <c r="AQ13" i="27"/>
  <c r="AO13" i="27"/>
  <c r="AM13" i="27"/>
  <c r="AL13" i="27"/>
  <c r="AK13" i="27"/>
  <c r="AJ13" i="27"/>
  <c r="AI13" i="27"/>
  <c r="AH13" i="27"/>
  <c r="AG13" i="27"/>
  <c r="AU12" i="27"/>
  <c r="AT12" i="27"/>
  <c r="AR12" i="27"/>
  <c r="AQ12" i="27"/>
  <c r="AO12" i="27"/>
  <c r="AM12" i="27"/>
  <c r="AL12" i="27"/>
  <c r="AK12" i="27"/>
  <c r="AJ12" i="27"/>
  <c r="AI12" i="27"/>
  <c r="AH12" i="27"/>
  <c r="AG12" i="27"/>
  <c r="AU11" i="27"/>
  <c r="AT11" i="27"/>
  <c r="AR11" i="27"/>
  <c r="AQ11" i="27"/>
  <c r="AO11" i="27"/>
  <c r="AM11" i="27"/>
  <c r="AL11" i="27"/>
  <c r="AK11" i="27"/>
  <c r="AJ11" i="27"/>
  <c r="AI11" i="27"/>
  <c r="AH11" i="27"/>
  <c r="AG11" i="27"/>
  <c r="AU10" i="27"/>
  <c r="AT10" i="27"/>
  <c r="AR10" i="27"/>
  <c r="AQ10" i="27"/>
  <c r="AO10" i="27"/>
  <c r="AM10" i="27"/>
  <c r="AL10" i="27"/>
  <c r="AK10" i="27"/>
  <c r="AJ10" i="27"/>
  <c r="AI10" i="27"/>
  <c r="AH10" i="27"/>
  <c r="AG10" i="27"/>
  <c r="AU9" i="27"/>
  <c r="AT9" i="27"/>
  <c r="AR9" i="27"/>
  <c r="AQ9" i="27"/>
  <c r="AO9" i="27"/>
  <c r="AM9" i="27"/>
  <c r="AL9" i="27"/>
  <c r="AK9" i="27"/>
  <c r="AJ9" i="27"/>
  <c r="AI9" i="27"/>
  <c r="AH9" i="27"/>
  <c r="AG9" i="27"/>
  <c r="AU8" i="27"/>
  <c r="AT8" i="27"/>
  <c r="AR8" i="27"/>
  <c r="AQ8" i="27"/>
  <c r="AO8" i="27"/>
  <c r="AM8" i="27"/>
  <c r="AL8" i="27"/>
  <c r="AK8" i="27"/>
  <c r="AJ8" i="27"/>
  <c r="AI8" i="27"/>
  <c r="AH8" i="27"/>
  <c r="AG8" i="27"/>
  <c r="AU7" i="27"/>
  <c r="AT7" i="27"/>
  <c r="AR7" i="27"/>
  <c r="AQ7" i="27"/>
  <c r="AO7" i="27"/>
  <c r="AM7" i="27"/>
  <c r="AL7" i="27"/>
  <c r="AK7" i="27"/>
  <c r="AJ7" i="27"/>
  <c r="AI7" i="27"/>
  <c r="AH7" i="27"/>
  <c r="AG7" i="27"/>
  <c r="AU6" i="27"/>
  <c r="AT6" i="27"/>
  <c r="AR6" i="27"/>
  <c r="AQ6" i="27"/>
  <c r="AO6" i="27"/>
  <c r="AM6" i="27"/>
  <c r="AL6" i="27"/>
  <c r="AK6" i="27"/>
  <c r="AJ6" i="27"/>
  <c r="AI6" i="27"/>
  <c r="AH6" i="27"/>
  <c r="AG6" i="27"/>
  <c r="AU5" i="27"/>
  <c r="AT5" i="27"/>
  <c r="AR5" i="27"/>
  <c r="AQ5" i="27"/>
  <c r="AO5" i="27"/>
  <c r="AM5" i="27"/>
  <c r="AL5" i="27"/>
  <c r="AK5" i="27"/>
  <c r="AJ5" i="27"/>
  <c r="AI5" i="27"/>
  <c r="AH5" i="27"/>
  <c r="AG5" i="27"/>
  <c r="AU4" i="27"/>
  <c r="AT4" i="27"/>
  <c r="AR4" i="27"/>
  <c r="AQ4" i="27"/>
  <c r="AO4" i="27"/>
  <c r="AM4" i="27"/>
  <c r="AL4" i="27"/>
  <c r="AK4" i="27"/>
  <c r="AJ4" i="27"/>
  <c r="AI4" i="27"/>
  <c r="AH4" i="27"/>
  <c r="AG4" i="27"/>
  <c r="AU3" i="27"/>
  <c r="AT3" i="27"/>
  <c r="AR3" i="27"/>
  <c r="AQ3" i="27"/>
  <c r="AO3" i="27"/>
  <c r="AM3" i="27"/>
  <c r="AL3" i="27"/>
  <c r="AK3" i="27"/>
  <c r="AJ3" i="27"/>
  <c r="AI3" i="27"/>
  <c r="AH3" i="27"/>
  <c r="AG3" i="27"/>
  <c r="K11" i="24" l="1"/>
  <c r="K19" i="5" s="1"/>
  <c r="K10" i="24"/>
  <c r="K8" i="24"/>
  <c r="K2" i="4" l="1"/>
  <c r="K3" i="4"/>
  <c r="K4" i="4"/>
  <c r="K5" i="4"/>
  <c r="K6" i="4"/>
  <c r="K7" i="4"/>
  <c r="K8" i="4"/>
  <c r="K9" i="4"/>
  <c r="K10" i="4"/>
  <c r="K11" i="4"/>
  <c r="K12" i="4"/>
  <c r="K13" i="4"/>
  <c r="CJ2" i="18" l="1"/>
  <c r="V6" i="7"/>
  <c r="AK2" i="17"/>
  <c r="AN2" i="17"/>
  <c r="AJ2" i="17"/>
  <c r="IQ3" i="16"/>
  <c r="IQ4" i="16"/>
  <c r="IQ5" i="16"/>
  <c r="IQ6" i="16"/>
  <c r="IQ7" i="16"/>
  <c r="IQ8" i="16"/>
  <c r="IQ9" i="16"/>
  <c r="IQ10" i="16"/>
  <c r="IQ11" i="16"/>
  <c r="IQ12" i="16"/>
  <c r="IQ13" i="16"/>
  <c r="IQ14" i="16"/>
  <c r="IQ15" i="16"/>
  <c r="IQ16" i="16"/>
  <c r="IQ17" i="16"/>
  <c r="IQ18" i="16"/>
  <c r="IQ19" i="16"/>
  <c r="IQ20" i="16"/>
  <c r="IQ21" i="16"/>
  <c r="IQ22" i="16"/>
  <c r="IQ23" i="16"/>
  <c r="IQ24" i="16"/>
  <c r="IQ25" i="16"/>
  <c r="IQ26" i="16"/>
  <c r="IQ27" i="16"/>
  <c r="IQ28" i="16"/>
  <c r="IQ29" i="16"/>
  <c r="IQ30" i="16"/>
  <c r="IQ31" i="16"/>
  <c r="IQ32" i="16"/>
  <c r="IQ33" i="16"/>
  <c r="IQ34" i="16"/>
  <c r="IQ35" i="16"/>
  <c r="IQ36" i="16"/>
  <c r="IQ37" i="16"/>
  <c r="IQ38" i="16"/>
  <c r="IQ39" i="16"/>
  <c r="IQ40" i="16"/>
  <c r="IQ41" i="16"/>
  <c r="IQ42" i="16"/>
  <c r="IQ43" i="16"/>
  <c r="IQ44" i="16"/>
  <c r="IQ45" i="16"/>
  <c r="IQ2" i="16"/>
  <c r="V3" i="7"/>
  <c r="K6" i="5" s="1"/>
  <c r="AR2" i="27" l="1"/>
  <c r="K4" i="24" s="1"/>
  <c r="BG2" i="27"/>
  <c r="G2" i="26" s="1"/>
  <c r="C17" i="24" s="1"/>
  <c r="V2" i="26"/>
  <c r="C10" i="24" s="1"/>
  <c r="BQ3" i="28"/>
  <c r="BQ4" i="28"/>
  <c r="BQ5" i="28"/>
  <c r="BQ6" i="28"/>
  <c r="BQ7" i="28"/>
  <c r="BQ8" i="28"/>
  <c r="BQ9" i="28"/>
  <c r="BQ10" i="28"/>
  <c r="BQ11" i="28"/>
  <c r="BQ12" i="28"/>
  <c r="BQ13" i="28"/>
  <c r="BQ14" i="28"/>
  <c r="BQ15" i="28"/>
  <c r="BQ16" i="28"/>
  <c r="BQ17" i="28"/>
  <c r="BQ18" i="28"/>
  <c r="BQ19" i="28"/>
  <c r="BQ20" i="28"/>
  <c r="BQ21" i="28"/>
  <c r="BQ22" i="28"/>
  <c r="BQ23" i="28"/>
  <c r="BQ24" i="28"/>
  <c r="BQ25" i="28"/>
  <c r="BQ26" i="28"/>
  <c r="BQ27" i="28"/>
  <c r="BQ28" i="28"/>
  <c r="BQ29" i="28"/>
  <c r="BQ30" i="28"/>
  <c r="BQ31" i="28"/>
  <c r="BQ32" i="28"/>
  <c r="BQ33" i="28"/>
  <c r="BQ34" i="28"/>
  <c r="BQ35" i="28"/>
  <c r="BQ36" i="28"/>
  <c r="BQ37" i="28"/>
  <c r="BQ38" i="28"/>
  <c r="BQ39" i="28"/>
  <c r="BQ40" i="28"/>
  <c r="BQ41" i="28"/>
  <c r="BQ42" i="28"/>
  <c r="BQ43" i="28"/>
  <c r="BQ44" i="28"/>
  <c r="BQ45" i="28"/>
  <c r="BQ46" i="28"/>
  <c r="BQ47" i="28"/>
  <c r="BQ48" i="28"/>
  <c r="BQ49" i="28"/>
  <c r="BQ50" i="28"/>
  <c r="BQ51" i="28"/>
  <c r="BQ52" i="28"/>
  <c r="BQ53" i="28"/>
  <c r="BQ54" i="28"/>
  <c r="BQ55" i="28"/>
  <c r="BQ56" i="28"/>
  <c r="BQ57" i="28"/>
  <c r="BQ58" i="28"/>
  <c r="BQ59" i="28"/>
  <c r="BQ60" i="28"/>
  <c r="BQ61" i="28"/>
  <c r="BQ62" i="28"/>
  <c r="BQ63" i="28"/>
  <c r="BQ64" i="28"/>
  <c r="BQ65" i="28"/>
  <c r="BQ66" i="28"/>
  <c r="BQ67" i="28"/>
  <c r="BQ68" i="28"/>
  <c r="BQ69" i="28"/>
  <c r="BQ70" i="28"/>
  <c r="BQ71" i="28"/>
  <c r="BQ72" i="28"/>
  <c r="BQ73" i="28"/>
  <c r="BQ74" i="28"/>
  <c r="BQ75" i="28"/>
  <c r="BQ76" i="28"/>
  <c r="BQ77" i="28"/>
  <c r="BQ78" i="28"/>
  <c r="BQ79" i="28"/>
  <c r="BQ80" i="28"/>
  <c r="BQ81" i="28"/>
  <c r="BQ82" i="28"/>
  <c r="BQ83" i="28"/>
  <c r="BQ84" i="28"/>
  <c r="BQ85" i="28"/>
  <c r="BQ86" i="28"/>
  <c r="BQ87" i="28"/>
  <c r="BQ88" i="28"/>
  <c r="BQ89" i="28"/>
  <c r="BQ90" i="28"/>
  <c r="BQ91" i="28"/>
  <c r="BQ92" i="28"/>
  <c r="BQ93" i="28"/>
  <c r="BQ94" i="28"/>
  <c r="BQ95" i="28"/>
  <c r="BQ96" i="28"/>
  <c r="BQ97" i="28"/>
  <c r="BQ98" i="28"/>
  <c r="BQ99" i="28"/>
  <c r="BQ100" i="28"/>
  <c r="BQ101" i="28"/>
  <c r="BQ102" i="28"/>
  <c r="BQ103" i="28"/>
  <c r="BQ104" i="28"/>
  <c r="BQ105" i="28"/>
  <c r="BQ106" i="28"/>
  <c r="BQ107" i="28"/>
  <c r="BQ108" i="28"/>
  <c r="BQ109" i="28"/>
  <c r="BQ110" i="28"/>
  <c r="BQ111" i="28"/>
  <c r="BQ112" i="28"/>
  <c r="BQ113" i="28"/>
  <c r="BQ114" i="28"/>
  <c r="BQ115" i="28"/>
  <c r="BQ116" i="28"/>
  <c r="BQ117" i="28"/>
  <c r="BQ118" i="28"/>
  <c r="BQ119" i="28"/>
  <c r="BQ120" i="28"/>
  <c r="BQ121" i="28"/>
  <c r="BQ122" i="28"/>
  <c r="BQ123" i="28"/>
  <c r="BQ124" i="28"/>
  <c r="BQ125" i="28"/>
  <c r="BQ126" i="28"/>
  <c r="BQ127" i="28"/>
  <c r="BQ128" i="28"/>
  <c r="BQ129" i="28"/>
  <c r="BQ130" i="28"/>
  <c r="BQ131" i="28"/>
  <c r="BQ132" i="28"/>
  <c r="BQ133" i="28"/>
  <c r="BQ134" i="28"/>
  <c r="BQ135" i="28"/>
  <c r="BQ136" i="28"/>
  <c r="BQ137" i="28"/>
  <c r="BQ138" i="28"/>
  <c r="BQ139" i="28"/>
  <c r="BQ140" i="28"/>
  <c r="BQ141" i="28"/>
  <c r="BQ142" i="28"/>
  <c r="BQ143" i="28"/>
  <c r="BQ144" i="28"/>
  <c r="BQ145" i="28"/>
  <c r="BQ146" i="28"/>
  <c r="BQ147" i="28"/>
  <c r="BQ148" i="28"/>
  <c r="BQ149" i="28"/>
  <c r="BQ150" i="28"/>
  <c r="BQ151" i="28"/>
  <c r="BQ152" i="28"/>
  <c r="BQ153" i="28"/>
  <c r="BQ154" i="28"/>
  <c r="BQ155" i="28"/>
  <c r="BQ156" i="28"/>
  <c r="BQ157" i="28"/>
  <c r="BQ158" i="28"/>
  <c r="BQ159" i="28"/>
  <c r="BQ160" i="28"/>
  <c r="BQ161" i="28"/>
  <c r="BQ162" i="28"/>
  <c r="BQ163" i="28"/>
  <c r="BQ164" i="28"/>
  <c r="BQ165" i="28"/>
  <c r="BQ166" i="28"/>
  <c r="BQ167" i="28"/>
  <c r="BQ168" i="28"/>
  <c r="BQ169" i="28"/>
  <c r="BQ170" i="28"/>
  <c r="BQ171" i="28"/>
  <c r="BQ172" i="28"/>
  <c r="BQ173" i="28"/>
  <c r="BQ174" i="28"/>
  <c r="BQ175" i="28"/>
  <c r="BQ176" i="28"/>
  <c r="BQ177" i="28"/>
  <c r="BQ178" i="28"/>
  <c r="BQ179" i="28"/>
  <c r="BQ180" i="28"/>
  <c r="BQ181" i="28"/>
  <c r="BQ182" i="28"/>
  <c r="BQ183" i="28"/>
  <c r="BQ184" i="28"/>
  <c r="BQ185" i="28"/>
  <c r="BQ2" i="28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2" i="27"/>
  <c r="B3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4" i="27"/>
  <c r="J3" i="27"/>
  <c r="J2" i="27"/>
  <c r="BJ2" i="27"/>
  <c r="BH2" i="27"/>
  <c r="AT2" i="27"/>
  <c r="X80" i="27"/>
  <c r="X81" i="27"/>
  <c r="X82" i="27"/>
  <c r="X83" i="27"/>
  <c r="X84" i="27"/>
  <c r="X85" i="27"/>
  <c r="X86" i="27"/>
  <c r="X87" i="27"/>
  <c r="X88" i="27"/>
  <c r="X89" i="27"/>
  <c r="X90" i="27"/>
  <c r="X91" i="27"/>
  <c r="X92" i="27"/>
  <c r="X93" i="27"/>
  <c r="X94" i="27"/>
  <c r="X95" i="27"/>
  <c r="X96" i="27"/>
  <c r="X97" i="27"/>
  <c r="X98" i="27"/>
  <c r="X99" i="27"/>
  <c r="X100" i="27"/>
  <c r="X101" i="27"/>
  <c r="X102" i="27"/>
  <c r="X103" i="27"/>
  <c r="X104" i="27"/>
  <c r="X105" i="27"/>
  <c r="X106" i="27"/>
  <c r="X107" i="27"/>
  <c r="X108" i="27"/>
  <c r="X109" i="27"/>
  <c r="X110" i="27"/>
  <c r="X111" i="27"/>
  <c r="X112" i="27"/>
  <c r="X113" i="27"/>
  <c r="X38" i="27"/>
  <c r="X39" i="27"/>
  <c r="X40" i="27"/>
  <c r="X41" i="27"/>
  <c r="X42" i="27"/>
  <c r="X43" i="27"/>
  <c r="X44" i="27"/>
  <c r="X45" i="27"/>
  <c r="X46" i="27"/>
  <c r="X47" i="27"/>
  <c r="X48" i="27"/>
  <c r="X49" i="27"/>
  <c r="X50" i="27"/>
  <c r="X51" i="27"/>
  <c r="X52" i="27"/>
  <c r="X53" i="27"/>
  <c r="X54" i="27"/>
  <c r="X55" i="27"/>
  <c r="X56" i="27"/>
  <c r="X57" i="27"/>
  <c r="X58" i="27"/>
  <c r="X59" i="27"/>
  <c r="X60" i="27"/>
  <c r="X61" i="27"/>
  <c r="X62" i="27"/>
  <c r="X63" i="27"/>
  <c r="X64" i="27"/>
  <c r="X65" i="27"/>
  <c r="X66" i="27"/>
  <c r="X67" i="27"/>
  <c r="X68" i="27"/>
  <c r="X69" i="27"/>
  <c r="X70" i="27"/>
  <c r="X71" i="27"/>
  <c r="X72" i="27"/>
  <c r="X73" i="27"/>
  <c r="X74" i="27"/>
  <c r="X75" i="27"/>
  <c r="X76" i="27"/>
  <c r="X77" i="27"/>
  <c r="X78" i="27"/>
  <c r="X79" i="27"/>
  <c r="X3" i="27"/>
  <c r="X4" i="27"/>
  <c r="X5" i="27"/>
  <c r="X6" i="27"/>
  <c r="X7" i="27"/>
  <c r="X8" i="27"/>
  <c r="X9" i="27"/>
  <c r="X10" i="27"/>
  <c r="X11" i="27"/>
  <c r="X12" i="27"/>
  <c r="X13" i="27"/>
  <c r="X14" i="27"/>
  <c r="X15" i="27"/>
  <c r="X16" i="27"/>
  <c r="X17" i="27"/>
  <c r="X18" i="27"/>
  <c r="X19" i="27"/>
  <c r="X20" i="27"/>
  <c r="X21" i="27"/>
  <c r="X22" i="27"/>
  <c r="X23" i="27"/>
  <c r="X24" i="27"/>
  <c r="X25" i="27"/>
  <c r="X26" i="27"/>
  <c r="X27" i="27"/>
  <c r="X28" i="27"/>
  <c r="X29" i="27"/>
  <c r="X30" i="27"/>
  <c r="X31" i="27"/>
  <c r="X32" i="27"/>
  <c r="X33" i="27"/>
  <c r="X34" i="27"/>
  <c r="X35" i="27"/>
  <c r="X36" i="27"/>
  <c r="X37" i="27"/>
  <c r="X2" i="27"/>
  <c r="BM2" i="27"/>
  <c r="BL2" i="27"/>
  <c r="E2" i="26" s="1"/>
  <c r="C16" i="24" s="1"/>
  <c r="BK2" i="27"/>
  <c r="BI2" i="27"/>
  <c r="BF2" i="27"/>
  <c r="BF2" i="26" s="1"/>
  <c r="AM2" i="26" s="1"/>
  <c r="AK2" i="27"/>
  <c r="BD2" i="27"/>
  <c r="AJ2" i="27"/>
  <c r="BC2" i="27"/>
  <c r="AI2" i="27"/>
  <c r="BB2" i="27"/>
  <c r="AH2" i="27"/>
  <c r="BA2" i="27"/>
  <c r="AG2" i="27"/>
  <c r="AZ2" i="27"/>
  <c r="AO2" i="27"/>
  <c r="AD2" i="26"/>
  <c r="AC2" i="26"/>
  <c r="AB2" i="26"/>
  <c r="AQ2" i="27"/>
  <c r="W2" i="26" s="1"/>
  <c r="N2" i="26"/>
  <c r="AM2" i="27"/>
  <c r="H2" i="26" s="1"/>
  <c r="C11" i="24" s="1"/>
  <c r="F2" i="26"/>
  <c r="BX185" i="28"/>
  <c r="BW185" i="28"/>
  <c r="BV185" i="28"/>
  <c r="BU185" i="28"/>
  <c r="BT185" i="28"/>
  <c r="BS185" i="28"/>
  <c r="BR185" i="28"/>
  <c r="BP185" i="28"/>
  <c r="BO185" i="28"/>
  <c r="BN185" i="28"/>
  <c r="BM185" i="28"/>
  <c r="BL185" i="28"/>
  <c r="BK185" i="28"/>
  <c r="BJ185" i="28"/>
  <c r="BI185" i="28"/>
  <c r="BH185" i="28"/>
  <c r="BG185" i="28"/>
  <c r="BF185" i="28"/>
  <c r="BX184" i="28"/>
  <c r="BW184" i="28"/>
  <c r="BV184" i="28"/>
  <c r="BU184" i="28"/>
  <c r="BT184" i="28"/>
  <c r="BS184" i="28"/>
  <c r="BR184" i="28"/>
  <c r="BP184" i="28"/>
  <c r="BO184" i="28"/>
  <c r="BN184" i="28"/>
  <c r="BM184" i="28"/>
  <c r="BL184" i="28"/>
  <c r="BK184" i="28"/>
  <c r="BJ184" i="28"/>
  <c r="BI184" i="28"/>
  <c r="BH184" i="28"/>
  <c r="BG184" i="28"/>
  <c r="BF184" i="28"/>
  <c r="BX183" i="28"/>
  <c r="BW183" i="28"/>
  <c r="BV183" i="28"/>
  <c r="BU183" i="28"/>
  <c r="BT183" i="28"/>
  <c r="BS183" i="28"/>
  <c r="BR183" i="28"/>
  <c r="BP183" i="28"/>
  <c r="BO183" i="28"/>
  <c r="BN183" i="28"/>
  <c r="BM183" i="28"/>
  <c r="BL183" i="28"/>
  <c r="BK183" i="28"/>
  <c r="BJ183" i="28"/>
  <c r="BI183" i="28"/>
  <c r="BH183" i="28"/>
  <c r="BG183" i="28"/>
  <c r="BF183" i="28"/>
  <c r="BX182" i="28"/>
  <c r="BW182" i="28"/>
  <c r="BV182" i="28"/>
  <c r="BU182" i="28"/>
  <c r="BT182" i="28"/>
  <c r="BS182" i="28"/>
  <c r="BR182" i="28"/>
  <c r="BP182" i="28"/>
  <c r="BO182" i="28"/>
  <c r="BN182" i="28"/>
  <c r="BM182" i="28"/>
  <c r="BL182" i="28"/>
  <c r="BK182" i="28"/>
  <c r="BJ182" i="28"/>
  <c r="BI182" i="28"/>
  <c r="BH182" i="28"/>
  <c r="BG182" i="28"/>
  <c r="BF182" i="28"/>
  <c r="BX181" i="28"/>
  <c r="BW181" i="28"/>
  <c r="BV181" i="28"/>
  <c r="BU181" i="28"/>
  <c r="BT181" i="28"/>
  <c r="BS181" i="28"/>
  <c r="BR181" i="28"/>
  <c r="BP181" i="28"/>
  <c r="BO181" i="28"/>
  <c r="BN181" i="28"/>
  <c r="BM181" i="28"/>
  <c r="BL181" i="28"/>
  <c r="BK181" i="28"/>
  <c r="BJ181" i="28"/>
  <c r="BI181" i="28"/>
  <c r="BH181" i="28"/>
  <c r="BG181" i="28"/>
  <c r="BF181" i="28"/>
  <c r="BX180" i="28"/>
  <c r="BW180" i="28"/>
  <c r="BV180" i="28"/>
  <c r="BU180" i="28"/>
  <c r="BT180" i="28"/>
  <c r="BS180" i="28"/>
  <c r="BR180" i="28"/>
  <c r="BP180" i="28"/>
  <c r="BO180" i="28"/>
  <c r="BN180" i="28"/>
  <c r="BM180" i="28"/>
  <c r="BL180" i="28"/>
  <c r="BK180" i="28"/>
  <c r="BJ180" i="28"/>
  <c r="BI180" i="28"/>
  <c r="BH180" i="28"/>
  <c r="BG180" i="28"/>
  <c r="BF180" i="28"/>
  <c r="BX179" i="28"/>
  <c r="BW179" i="28"/>
  <c r="BV179" i="28"/>
  <c r="BU179" i="28"/>
  <c r="BT179" i="28"/>
  <c r="BS179" i="28"/>
  <c r="BR179" i="28"/>
  <c r="BP179" i="28"/>
  <c r="BO179" i="28"/>
  <c r="BN179" i="28"/>
  <c r="BM179" i="28"/>
  <c r="BL179" i="28"/>
  <c r="BK179" i="28"/>
  <c r="BJ179" i="28"/>
  <c r="BI179" i="28"/>
  <c r="BH179" i="28"/>
  <c r="BG179" i="28"/>
  <c r="BF179" i="28"/>
  <c r="BX178" i="28"/>
  <c r="BW178" i="28"/>
  <c r="BV178" i="28"/>
  <c r="BU178" i="28"/>
  <c r="BT178" i="28"/>
  <c r="BS178" i="28"/>
  <c r="BR178" i="28"/>
  <c r="BP178" i="28"/>
  <c r="BO178" i="28"/>
  <c r="BN178" i="28"/>
  <c r="BM178" i="28"/>
  <c r="BL178" i="28"/>
  <c r="BK178" i="28"/>
  <c r="BJ178" i="28"/>
  <c r="BI178" i="28"/>
  <c r="BH178" i="28"/>
  <c r="BG178" i="28"/>
  <c r="BF178" i="28"/>
  <c r="BX177" i="28"/>
  <c r="BW177" i="28"/>
  <c r="BV177" i="28"/>
  <c r="BU177" i="28"/>
  <c r="BT177" i="28"/>
  <c r="BS177" i="28"/>
  <c r="BR177" i="28"/>
  <c r="BP177" i="28"/>
  <c r="BO177" i="28"/>
  <c r="BN177" i="28"/>
  <c r="BM177" i="28"/>
  <c r="BL177" i="28"/>
  <c r="BK177" i="28"/>
  <c r="BJ177" i="28"/>
  <c r="BI177" i="28"/>
  <c r="BH177" i="28"/>
  <c r="BG177" i="28"/>
  <c r="BF177" i="28"/>
  <c r="BX176" i="28"/>
  <c r="BW176" i="28"/>
  <c r="BV176" i="28"/>
  <c r="BU176" i="28"/>
  <c r="BT176" i="28"/>
  <c r="BS176" i="28"/>
  <c r="BR176" i="28"/>
  <c r="BP176" i="28"/>
  <c r="BO176" i="28"/>
  <c r="BN176" i="28"/>
  <c r="BM176" i="28"/>
  <c r="BL176" i="28"/>
  <c r="BK176" i="28"/>
  <c r="BJ176" i="28"/>
  <c r="BI176" i="28"/>
  <c r="BH176" i="28"/>
  <c r="BG176" i="28"/>
  <c r="BF176" i="28"/>
  <c r="BX175" i="28"/>
  <c r="BW175" i="28"/>
  <c r="BV175" i="28"/>
  <c r="BU175" i="28"/>
  <c r="BT175" i="28"/>
  <c r="BS175" i="28"/>
  <c r="BR175" i="28"/>
  <c r="BP175" i="28"/>
  <c r="BO175" i="28"/>
  <c r="BN175" i="28"/>
  <c r="BM175" i="28"/>
  <c r="BL175" i="28"/>
  <c r="BK175" i="28"/>
  <c r="BJ175" i="28"/>
  <c r="BI175" i="28"/>
  <c r="BH175" i="28"/>
  <c r="BG175" i="28"/>
  <c r="BF175" i="28"/>
  <c r="BX174" i="28"/>
  <c r="BW174" i="28"/>
  <c r="BV174" i="28"/>
  <c r="BU174" i="28"/>
  <c r="BT174" i="28"/>
  <c r="BS174" i="28"/>
  <c r="BR174" i="28"/>
  <c r="BP174" i="28"/>
  <c r="BO174" i="28"/>
  <c r="BN174" i="28"/>
  <c r="BM174" i="28"/>
  <c r="BL174" i="28"/>
  <c r="BK174" i="28"/>
  <c r="BJ174" i="28"/>
  <c r="BI174" i="28"/>
  <c r="BH174" i="28"/>
  <c r="BG174" i="28"/>
  <c r="BF174" i="28"/>
  <c r="BX173" i="28"/>
  <c r="BW173" i="28"/>
  <c r="BV173" i="28"/>
  <c r="BU173" i="28"/>
  <c r="BT173" i="28"/>
  <c r="BS173" i="28"/>
  <c r="BR173" i="28"/>
  <c r="BP173" i="28"/>
  <c r="BO173" i="28"/>
  <c r="BN173" i="28"/>
  <c r="BM173" i="28"/>
  <c r="BL173" i="28"/>
  <c r="BK173" i="28"/>
  <c r="BJ173" i="28"/>
  <c r="BI173" i="28"/>
  <c r="BH173" i="28"/>
  <c r="BG173" i="28"/>
  <c r="BF173" i="28"/>
  <c r="BX172" i="28"/>
  <c r="BW172" i="28"/>
  <c r="BV172" i="28"/>
  <c r="BU172" i="28"/>
  <c r="BT172" i="28"/>
  <c r="BS172" i="28"/>
  <c r="BR172" i="28"/>
  <c r="BP172" i="28"/>
  <c r="BO172" i="28"/>
  <c r="BN172" i="28"/>
  <c r="BM172" i="28"/>
  <c r="BL172" i="28"/>
  <c r="BK172" i="28"/>
  <c r="BJ172" i="28"/>
  <c r="BI172" i="28"/>
  <c r="BH172" i="28"/>
  <c r="BG172" i="28"/>
  <c r="BF172" i="28"/>
  <c r="BX171" i="28"/>
  <c r="BW171" i="28"/>
  <c r="BV171" i="28"/>
  <c r="BU171" i="28"/>
  <c r="BT171" i="28"/>
  <c r="BS171" i="28"/>
  <c r="BR171" i="28"/>
  <c r="BP171" i="28"/>
  <c r="BO171" i="28"/>
  <c r="BN171" i="28"/>
  <c r="BM171" i="28"/>
  <c r="BL171" i="28"/>
  <c r="BK171" i="28"/>
  <c r="BJ171" i="28"/>
  <c r="BI171" i="28"/>
  <c r="BH171" i="28"/>
  <c r="BG171" i="28"/>
  <c r="BF171" i="28"/>
  <c r="BX170" i="28"/>
  <c r="BW170" i="28"/>
  <c r="BV170" i="28"/>
  <c r="BU170" i="28"/>
  <c r="BT170" i="28"/>
  <c r="BS170" i="28"/>
  <c r="BR170" i="28"/>
  <c r="BP170" i="28"/>
  <c r="BO170" i="28"/>
  <c r="BN170" i="28"/>
  <c r="BM170" i="28"/>
  <c r="BL170" i="28"/>
  <c r="BK170" i="28"/>
  <c r="BJ170" i="28"/>
  <c r="BI170" i="28"/>
  <c r="BH170" i="28"/>
  <c r="BG170" i="28"/>
  <c r="BF170" i="28"/>
  <c r="BX169" i="28"/>
  <c r="BW169" i="28"/>
  <c r="BV169" i="28"/>
  <c r="BU169" i="28"/>
  <c r="BT169" i="28"/>
  <c r="BS169" i="28"/>
  <c r="BR169" i="28"/>
  <c r="BP169" i="28"/>
  <c r="BO169" i="28"/>
  <c r="BN169" i="28"/>
  <c r="BM169" i="28"/>
  <c r="BL169" i="28"/>
  <c r="BK169" i="28"/>
  <c r="BJ169" i="28"/>
  <c r="BI169" i="28"/>
  <c r="BH169" i="28"/>
  <c r="BG169" i="28"/>
  <c r="BF169" i="28"/>
  <c r="BX168" i="28"/>
  <c r="BW168" i="28"/>
  <c r="BV168" i="28"/>
  <c r="BU168" i="28"/>
  <c r="BT168" i="28"/>
  <c r="BS168" i="28"/>
  <c r="BR168" i="28"/>
  <c r="BP168" i="28"/>
  <c r="BO168" i="28"/>
  <c r="BN168" i="28"/>
  <c r="BM168" i="28"/>
  <c r="BL168" i="28"/>
  <c r="BK168" i="28"/>
  <c r="BJ168" i="28"/>
  <c r="BI168" i="28"/>
  <c r="BH168" i="28"/>
  <c r="BG168" i="28"/>
  <c r="BF168" i="28"/>
  <c r="BX167" i="28"/>
  <c r="BW167" i="28"/>
  <c r="BV167" i="28"/>
  <c r="BU167" i="28"/>
  <c r="BT167" i="28"/>
  <c r="BS167" i="28"/>
  <c r="BR167" i="28"/>
  <c r="BP167" i="28"/>
  <c r="BO167" i="28"/>
  <c r="BN167" i="28"/>
  <c r="BM167" i="28"/>
  <c r="BL167" i="28"/>
  <c r="BK167" i="28"/>
  <c r="BJ167" i="28"/>
  <c r="BI167" i="28"/>
  <c r="BH167" i="28"/>
  <c r="BG167" i="28"/>
  <c r="BF167" i="28"/>
  <c r="BX166" i="28"/>
  <c r="BW166" i="28"/>
  <c r="BV166" i="28"/>
  <c r="BU166" i="28"/>
  <c r="BT166" i="28"/>
  <c r="BS166" i="28"/>
  <c r="BR166" i="28"/>
  <c r="BP166" i="28"/>
  <c r="BO166" i="28"/>
  <c r="BN166" i="28"/>
  <c r="BM166" i="28"/>
  <c r="BL166" i="28"/>
  <c r="BK166" i="28"/>
  <c r="BJ166" i="28"/>
  <c r="BI166" i="28"/>
  <c r="BH166" i="28"/>
  <c r="BG166" i="28"/>
  <c r="BF166" i="28"/>
  <c r="BX165" i="28"/>
  <c r="BW165" i="28"/>
  <c r="BV165" i="28"/>
  <c r="BU165" i="28"/>
  <c r="BT165" i="28"/>
  <c r="BS165" i="28"/>
  <c r="BR165" i="28"/>
  <c r="BP165" i="28"/>
  <c r="BO165" i="28"/>
  <c r="BN165" i="28"/>
  <c r="BM165" i="28"/>
  <c r="BL165" i="28"/>
  <c r="BK165" i="28"/>
  <c r="BJ165" i="28"/>
  <c r="BI165" i="28"/>
  <c r="BH165" i="28"/>
  <c r="BG165" i="28"/>
  <c r="BF165" i="28"/>
  <c r="BX164" i="28"/>
  <c r="BW164" i="28"/>
  <c r="BV164" i="28"/>
  <c r="BU164" i="28"/>
  <c r="BT164" i="28"/>
  <c r="BS164" i="28"/>
  <c r="BR164" i="28"/>
  <c r="BP164" i="28"/>
  <c r="BO164" i="28"/>
  <c r="BN164" i="28"/>
  <c r="BM164" i="28"/>
  <c r="BL164" i="28"/>
  <c r="BK164" i="28"/>
  <c r="BJ164" i="28"/>
  <c r="BI164" i="28"/>
  <c r="BH164" i="28"/>
  <c r="BG164" i="28"/>
  <c r="BF164" i="28"/>
  <c r="BX163" i="28"/>
  <c r="BW163" i="28"/>
  <c r="BV163" i="28"/>
  <c r="BU163" i="28"/>
  <c r="BT163" i="28"/>
  <c r="BS163" i="28"/>
  <c r="BR163" i="28"/>
  <c r="BP163" i="28"/>
  <c r="BO163" i="28"/>
  <c r="BN163" i="28"/>
  <c r="BM163" i="28"/>
  <c r="BL163" i="28"/>
  <c r="BK163" i="28"/>
  <c r="BJ163" i="28"/>
  <c r="BI163" i="28"/>
  <c r="BH163" i="28"/>
  <c r="BG163" i="28"/>
  <c r="BF163" i="28"/>
  <c r="BX162" i="28"/>
  <c r="BW162" i="28"/>
  <c r="BV162" i="28"/>
  <c r="BU162" i="28"/>
  <c r="BT162" i="28"/>
  <c r="BS162" i="28"/>
  <c r="BR162" i="28"/>
  <c r="BP162" i="28"/>
  <c r="BO162" i="28"/>
  <c r="BN162" i="28"/>
  <c r="BM162" i="28"/>
  <c r="BL162" i="28"/>
  <c r="BK162" i="28"/>
  <c r="BJ162" i="28"/>
  <c r="BI162" i="28"/>
  <c r="BH162" i="28"/>
  <c r="BG162" i="28"/>
  <c r="BF162" i="28"/>
  <c r="BX161" i="28"/>
  <c r="BW161" i="28"/>
  <c r="BV161" i="28"/>
  <c r="BU161" i="28"/>
  <c r="BT161" i="28"/>
  <c r="BS161" i="28"/>
  <c r="BR161" i="28"/>
  <c r="BP161" i="28"/>
  <c r="BO161" i="28"/>
  <c r="BN161" i="28"/>
  <c r="BM161" i="28"/>
  <c r="BL161" i="28"/>
  <c r="BK161" i="28"/>
  <c r="BJ161" i="28"/>
  <c r="BI161" i="28"/>
  <c r="BH161" i="28"/>
  <c r="BG161" i="28"/>
  <c r="BF161" i="28"/>
  <c r="BX160" i="28"/>
  <c r="BW160" i="28"/>
  <c r="BV160" i="28"/>
  <c r="BU160" i="28"/>
  <c r="BT160" i="28"/>
  <c r="BS160" i="28"/>
  <c r="BR160" i="28"/>
  <c r="BP160" i="28"/>
  <c r="BO160" i="28"/>
  <c r="BN160" i="28"/>
  <c r="BM160" i="28"/>
  <c r="BL160" i="28"/>
  <c r="BK160" i="28"/>
  <c r="BJ160" i="28"/>
  <c r="BI160" i="28"/>
  <c r="BH160" i="28"/>
  <c r="BG160" i="28"/>
  <c r="BF160" i="28"/>
  <c r="BX159" i="28"/>
  <c r="BW159" i="28"/>
  <c r="BV159" i="28"/>
  <c r="BU159" i="28"/>
  <c r="BT159" i="28"/>
  <c r="BS159" i="28"/>
  <c r="BR159" i="28"/>
  <c r="BP159" i="28"/>
  <c r="BO159" i="28"/>
  <c r="BN159" i="28"/>
  <c r="BM159" i="28"/>
  <c r="BL159" i="28"/>
  <c r="BK159" i="28"/>
  <c r="BJ159" i="28"/>
  <c r="BI159" i="28"/>
  <c r="BH159" i="28"/>
  <c r="BG159" i="28"/>
  <c r="BF159" i="28"/>
  <c r="BX158" i="28"/>
  <c r="BW158" i="28"/>
  <c r="BV158" i="28"/>
  <c r="BU158" i="28"/>
  <c r="BT158" i="28"/>
  <c r="BS158" i="28"/>
  <c r="BR158" i="28"/>
  <c r="BP158" i="28"/>
  <c r="BO158" i="28"/>
  <c r="BN158" i="28"/>
  <c r="BM158" i="28"/>
  <c r="BL158" i="28"/>
  <c r="BK158" i="28"/>
  <c r="BJ158" i="28"/>
  <c r="BI158" i="28"/>
  <c r="BH158" i="28"/>
  <c r="BG158" i="28"/>
  <c r="BF158" i="28"/>
  <c r="BX157" i="28"/>
  <c r="BW157" i="28"/>
  <c r="BV157" i="28"/>
  <c r="BU157" i="28"/>
  <c r="BT157" i="28"/>
  <c r="BS157" i="28"/>
  <c r="BR157" i="28"/>
  <c r="BP157" i="28"/>
  <c r="BO157" i="28"/>
  <c r="BN157" i="28"/>
  <c r="BM157" i="28"/>
  <c r="BL157" i="28"/>
  <c r="BK157" i="28"/>
  <c r="BJ157" i="28"/>
  <c r="BI157" i="28"/>
  <c r="BH157" i="28"/>
  <c r="BG157" i="28"/>
  <c r="BF157" i="28"/>
  <c r="BX156" i="28"/>
  <c r="BW156" i="28"/>
  <c r="BV156" i="28"/>
  <c r="BU156" i="28"/>
  <c r="BT156" i="28"/>
  <c r="BS156" i="28"/>
  <c r="BR156" i="28"/>
  <c r="BP156" i="28"/>
  <c r="BO156" i="28"/>
  <c r="BN156" i="28"/>
  <c r="BM156" i="28"/>
  <c r="BL156" i="28"/>
  <c r="BK156" i="28"/>
  <c r="BJ156" i="28"/>
  <c r="BI156" i="28"/>
  <c r="BH156" i="28"/>
  <c r="BG156" i="28"/>
  <c r="BF156" i="28"/>
  <c r="BX155" i="28"/>
  <c r="BW155" i="28"/>
  <c r="BV155" i="28"/>
  <c r="BU155" i="28"/>
  <c r="BT155" i="28"/>
  <c r="BS155" i="28"/>
  <c r="BR155" i="28"/>
  <c r="BP155" i="28"/>
  <c r="BO155" i="28"/>
  <c r="BN155" i="28"/>
  <c r="BM155" i="28"/>
  <c r="BL155" i="28"/>
  <c r="BK155" i="28"/>
  <c r="BJ155" i="28"/>
  <c r="BI155" i="28"/>
  <c r="BH155" i="28"/>
  <c r="BG155" i="28"/>
  <c r="BF155" i="28"/>
  <c r="BX154" i="28"/>
  <c r="BW154" i="28"/>
  <c r="BV154" i="28"/>
  <c r="BU154" i="28"/>
  <c r="BT154" i="28"/>
  <c r="BS154" i="28"/>
  <c r="BR154" i="28"/>
  <c r="BP154" i="28"/>
  <c r="BO154" i="28"/>
  <c r="BN154" i="28"/>
  <c r="BM154" i="28"/>
  <c r="BL154" i="28"/>
  <c r="BK154" i="28"/>
  <c r="BJ154" i="28"/>
  <c r="BI154" i="28"/>
  <c r="BH154" i="28"/>
  <c r="BG154" i="28"/>
  <c r="BF154" i="28"/>
  <c r="BX153" i="28"/>
  <c r="BW153" i="28"/>
  <c r="BV153" i="28"/>
  <c r="BU153" i="28"/>
  <c r="BT153" i="28"/>
  <c r="BS153" i="28"/>
  <c r="BR153" i="28"/>
  <c r="BP153" i="28"/>
  <c r="BO153" i="28"/>
  <c r="BN153" i="28"/>
  <c r="BM153" i="28"/>
  <c r="BL153" i="28"/>
  <c r="BK153" i="28"/>
  <c r="BJ153" i="28"/>
  <c r="BI153" i="28"/>
  <c r="BH153" i="28"/>
  <c r="BG153" i="28"/>
  <c r="BF153" i="28"/>
  <c r="BX152" i="28"/>
  <c r="BW152" i="28"/>
  <c r="BV152" i="28"/>
  <c r="BU152" i="28"/>
  <c r="BT152" i="28"/>
  <c r="BS152" i="28"/>
  <c r="BR152" i="28"/>
  <c r="BP152" i="28"/>
  <c r="BO152" i="28"/>
  <c r="BN152" i="28"/>
  <c r="BM152" i="28"/>
  <c r="BL152" i="28"/>
  <c r="BK152" i="28"/>
  <c r="BJ152" i="28"/>
  <c r="BI152" i="28"/>
  <c r="BH152" i="28"/>
  <c r="BG152" i="28"/>
  <c r="BF152" i="28"/>
  <c r="BX151" i="28"/>
  <c r="BW151" i="28"/>
  <c r="BV151" i="28"/>
  <c r="BU151" i="28"/>
  <c r="BT151" i="28"/>
  <c r="BS151" i="28"/>
  <c r="BR151" i="28"/>
  <c r="BP151" i="28"/>
  <c r="BO151" i="28"/>
  <c r="BN151" i="28"/>
  <c r="BM151" i="28"/>
  <c r="BL151" i="28"/>
  <c r="BK151" i="28"/>
  <c r="BJ151" i="28"/>
  <c r="BI151" i="28"/>
  <c r="BH151" i="28"/>
  <c r="BG151" i="28"/>
  <c r="BF151" i="28"/>
  <c r="BX150" i="28"/>
  <c r="BW150" i="28"/>
  <c r="BV150" i="28"/>
  <c r="BU150" i="28"/>
  <c r="BT150" i="28"/>
  <c r="BS150" i="28"/>
  <c r="BR150" i="28"/>
  <c r="BP150" i="28"/>
  <c r="BO150" i="28"/>
  <c r="BN150" i="28"/>
  <c r="BM150" i="28"/>
  <c r="BL150" i="28"/>
  <c r="BK150" i="28"/>
  <c r="BJ150" i="28"/>
  <c r="BI150" i="28"/>
  <c r="BH150" i="28"/>
  <c r="BG150" i="28"/>
  <c r="BF150" i="28"/>
  <c r="BX149" i="28"/>
  <c r="BW149" i="28"/>
  <c r="BV149" i="28"/>
  <c r="BU149" i="28"/>
  <c r="BT149" i="28"/>
  <c r="BS149" i="28"/>
  <c r="BR149" i="28"/>
  <c r="BP149" i="28"/>
  <c r="BO149" i="28"/>
  <c r="BN149" i="28"/>
  <c r="BM149" i="28"/>
  <c r="BL149" i="28"/>
  <c r="BK149" i="28"/>
  <c r="BJ149" i="28"/>
  <c r="BI149" i="28"/>
  <c r="BH149" i="28"/>
  <c r="BG149" i="28"/>
  <c r="BF149" i="28"/>
  <c r="BX148" i="28"/>
  <c r="BW148" i="28"/>
  <c r="BV148" i="28"/>
  <c r="BU148" i="28"/>
  <c r="BT148" i="28"/>
  <c r="BS148" i="28"/>
  <c r="BR148" i="28"/>
  <c r="BP148" i="28"/>
  <c r="BO148" i="28"/>
  <c r="BN148" i="28"/>
  <c r="BM148" i="28"/>
  <c r="BL148" i="28"/>
  <c r="BK148" i="28"/>
  <c r="BJ148" i="28"/>
  <c r="BI148" i="28"/>
  <c r="BH148" i="28"/>
  <c r="BG148" i="28"/>
  <c r="BF148" i="28"/>
  <c r="BX147" i="28"/>
  <c r="BW147" i="28"/>
  <c r="BV147" i="28"/>
  <c r="BU147" i="28"/>
  <c r="BT147" i="28"/>
  <c r="BS147" i="28"/>
  <c r="BR147" i="28"/>
  <c r="BP147" i="28"/>
  <c r="BO147" i="28"/>
  <c r="BN147" i="28"/>
  <c r="BM147" i="28"/>
  <c r="BL147" i="28"/>
  <c r="BK147" i="28"/>
  <c r="BJ147" i="28"/>
  <c r="BI147" i="28"/>
  <c r="BH147" i="28"/>
  <c r="BG147" i="28"/>
  <c r="BF147" i="28"/>
  <c r="BX146" i="28"/>
  <c r="BW146" i="28"/>
  <c r="BV146" i="28"/>
  <c r="BU146" i="28"/>
  <c r="BT146" i="28"/>
  <c r="BS146" i="28"/>
  <c r="BR146" i="28"/>
  <c r="BP146" i="28"/>
  <c r="BO146" i="28"/>
  <c r="BN146" i="28"/>
  <c r="BM146" i="28"/>
  <c r="BL146" i="28"/>
  <c r="BK146" i="28"/>
  <c r="BJ146" i="28"/>
  <c r="BI146" i="28"/>
  <c r="BH146" i="28"/>
  <c r="BG146" i="28"/>
  <c r="BF146" i="28"/>
  <c r="BX145" i="28"/>
  <c r="BW145" i="28"/>
  <c r="BV145" i="28"/>
  <c r="BU145" i="28"/>
  <c r="BT145" i="28"/>
  <c r="BS145" i="28"/>
  <c r="BR145" i="28"/>
  <c r="BP145" i="28"/>
  <c r="BO145" i="28"/>
  <c r="BN145" i="28"/>
  <c r="BM145" i="28"/>
  <c r="BL145" i="28"/>
  <c r="BK145" i="28"/>
  <c r="BJ145" i="28"/>
  <c r="BI145" i="28"/>
  <c r="BH145" i="28"/>
  <c r="BG145" i="28"/>
  <c r="BF145" i="28"/>
  <c r="BX144" i="28"/>
  <c r="BW144" i="28"/>
  <c r="BV144" i="28"/>
  <c r="BU144" i="28"/>
  <c r="BT144" i="28"/>
  <c r="BS144" i="28"/>
  <c r="BR144" i="28"/>
  <c r="BP144" i="28"/>
  <c r="BO144" i="28"/>
  <c r="BN144" i="28"/>
  <c r="BM144" i="28"/>
  <c r="BL144" i="28"/>
  <c r="BK144" i="28"/>
  <c r="BJ144" i="28"/>
  <c r="BI144" i="28"/>
  <c r="BH144" i="28"/>
  <c r="BG144" i="28"/>
  <c r="BF144" i="28"/>
  <c r="BX143" i="28"/>
  <c r="BW143" i="28"/>
  <c r="BV143" i="28"/>
  <c r="BU143" i="28"/>
  <c r="BT143" i="28"/>
  <c r="BS143" i="28"/>
  <c r="BR143" i="28"/>
  <c r="BP143" i="28"/>
  <c r="BO143" i="28"/>
  <c r="BN143" i="28"/>
  <c r="BM143" i="28"/>
  <c r="BL143" i="28"/>
  <c r="BK143" i="28"/>
  <c r="BJ143" i="28"/>
  <c r="BI143" i="28"/>
  <c r="BH143" i="28"/>
  <c r="BG143" i="28"/>
  <c r="BF143" i="28"/>
  <c r="BX142" i="28"/>
  <c r="BW142" i="28"/>
  <c r="BV142" i="28"/>
  <c r="BU142" i="28"/>
  <c r="BT142" i="28"/>
  <c r="BS142" i="28"/>
  <c r="BR142" i="28"/>
  <c r="BP142" i="28"/>
  <c r="BO142" i="28"/>
  <c r="BN142" i="28"/>
  <c r="BM142" i="28"/>
  <c r="BL142" i="28"/>
  <c r="BK142" i="28"/>
  <c r="BJ142" i="28"/>
  <c r="BI142" i="28"/>
  <c r="BH142" i="28"/>
  <c r="BG142" i="28"/>
  <c r="BF142" i="28"/>
  <c r="BX141" i="28"/>
  <c r="BW141" i="28"/>
  <c r="BV141" i="28"/>
  <c r="BU141" i="28"/>
  <c r="BT141" i="28"/>
  <c r="BS141" i="28"/>
  <c r="BR141" i="28"/>
  <c r="BP141" i="28"/>
  <c r="BO141" i="28"/>
  <c r="BN141" i="28"/>
  <c r="BM141" i="28"/>
  <c r="BL141" i="28"/>
  <c r="BK141" i="28"/>
  <c r="BJ141" i="28"/>
  <c r="BI141" i="28"/>
  <c r="BH141" i="28"/>
  <c r="BG141" i="28"/>
  <c r="BF141" i="28"/>
  <c r="BX140" i="28"/>
  <c r="BW140" i="28"/>
  <c r="BV140" i="28"/>
  <c r="BU140" i="28"/>
  <c r="BT140" i="28"/>
  <c r="BS140" i="28"/>
  <c r="BR140" i="28"/>
  <c r="BP140" i="28"/>
  <c r="BO140" i="28"/>
  <c r="BN140" i="28"/>
  <c r="BM140" i="28"/>
  <c r="BL140" i="28"/>
  <c r="BK140" i="28"/>
  <c r="BJ140" i="28"/>
  <c r="BI140" i="28"/>
  <c r="BH140" i="28"/>
  <c r="BG140" i="28"/>
  <c r="BF140" i="28"/>
  <c r="BX139" i="28"/>
  <c r="BW139" i="28"/>
  <c r="BV139" i="28"/>
  <c r="BU139" i="28"/>
  <c r="BT139" i="28"/>
  <c r="BS139" i="28"/>
  <c r="BR139" i="28"/>
  <c r="BP139" i="28"/>
  <c r="BO139" i="28"/>
  <c r="BN139" i="28"/>
  <c r="BM139" i="28"/>
  <c r="BL139" i="28"/>
  <c r="BK139" i="28"/>
  <c r="BJ139" i="28"/>
  <c r="BI139" i="28"/>
  <c r="BH139" i="28"/>
  <c r="BG139" i="28"/>
  <c r="BF139" i="28"/>
  <c r="BX138" i="28"/>
  <c r="BW138" i="28"/>
  <c r="BV138" i="28"/>
  <c r="BU138" i="28"/>
  <c r="BT138" i="28"/>
  <c r="BS138" i="28"/>
  <c r="BR138" i="28"/>
  <c r="BP138" i="28"/>
  <c r="BO138" i="28"/>
  <c r="BN138" i="28"/>
  <c r="BM138" i="28"/>
  <c r="BL138" i="28"/>
  <c r="BK138" i="28"/>
  <c r="BJ138" i="28"/>
  <c r="BI138" i="28"/>
  <c r="BH138" i="28"/>
  <c r="BG138" i="28"/>
  <c r="BF138" i="28"/>
  <c r="BX137" i="28"/>
  <c r="BW137" i="28"/>
  <c r="BV137" i="28"/>
  <c r="BU137" i="28"/>
  <c r="BT137" i="28"/>
  <c r="BS137" i="28"/>
  <c r="BR137" i="28"/>
  <c r="BP137" i="28"/>
  <c r="BO137" i="28"/>
  <c r="BN137" i="28"/>
  <c r="BM137" i="28"/>
  <c r="BL137" i="28"/>
  <c r="BK137" i="28"/>
  <c r="BJ137" i="28"/>
  <c r="BI137" i="28"/>
  <c r="BH137" i="28"/>
  <c r="BG137" i="28"/>
  <c r="BF137" i="28"/>
  <c r="BX136" i="28"/>
  <c r="BW136" i="28"/>
  <c r="BV136" i="28"/>
  <c r="BU136" i="28"/>
  <c r="BT136" i="28"/>
  <c r="BS136" i="28"/>
  <c r="BR136" i="28"/>
  <c r="BP136" i="28"/>
  <c r="BO136" i="28"/>
  <c r="BN136" i="28"/>
  <c r="BM136" i="28"/>
  <c r="BL136" i="28"/>
  <c r="BK136" i="28"/>
  <c r="BJ136" i="28"/>
  <c r="BI136" i="28"/>
  <c r="BH136" i="28"/>
  <c r="BG136" i="28"/>
  <c r="BF136" i="28"/>
  <c r="BX135" i="28"/>
  <c r="BW135" i="28"/>
  <c r="BV135" i="28"/>
  <c r="BU135" i="28"/>
  <c r="BT135" i="28"/>
  <c r="BS135" i="28"/>
  <c r="BR135" i="28"/>
  <c r="BP135" i="28"/>
  <c r="BO135" i="28"/>
  <c r="BN135" i="28"/>
  <c r="BM135" i="28"/>
  <c r="BL135" i="28"/>
  <c r="BK135" i="28"/>
  <c r="BJ135" i="28"/>
  <c r="BI135" i="28"/>
  <c r="BH135" i="28"/>
  <c r="BG135" i="28"/>
  <c r="BF135" i="28"/>
  <c r="BX134" i="28"/>
  <c r="BW134" i="28"/>
  <c r="BV134" i="28"/>
  <c r="BU134" i="28"/>
  <c r="BT134" i="28"/>
  <c r="BS134" i="28"/>
  <c r="BR134" i="28"/>
  <c r="BP134" i="28"/>
  <c r="BO134" i="28"/>
  <c r="BN134" i="28"/>
  <c r="BM134" i="28"/>
  <c r="BL134" i="28"/>
  <c r="BK134" i="28"/>
  <c r="BJ134" i="28"/>
  <c r="BI134" i="28"/>
  <c r="BH134" i="28"/>
  <c r="BG134" i="28"/>
  <c r="BF134" i="28"/>
  <c r="BX133" i="28"/>
  <c r="BW133" i="28"/>
  <c r="BV133" i="28"/>
  <c r="BU133" i="28"/>
  <c r="BT133" i="28"/>
  <c r="BS133" i="28"/>
  <c r="BR133" i="28"/>
  <c r="BP133" i="28"/>
  <c r="BO133" i="28"/>
  <c r="BN133" i="28"/>
  <c r="BM133" i="28"/>
  <c r="BL133" i="28"/>
  <c r="BK133" i="28"/>
  <c r="BJ133" i="28"/>
  <c r="BI133" i="28"/>
  <c r="BH133" i="28"/>
  <c r="BG133" i="28"/>
  <c r="BF133" i="28"/>
  <c r="BX132" i="28"/>
  <c r="BW132" i="28"/>
  <c r="BV132" i="28"/>
  <c r="BU132" i="28"/>
  <c r="BT132" i="28"/>
  <c r="BS132" i="28"/>
  <c r="BR132" i="28"/>
  <c r="BP132" i="28"/>
  <c r="BO132" i="28"/>
  <c r="BN132" i="28"/>
  <c r="BM132" i="28"/>
  <c r="BL132" i="28"/>
  <c r="BK132" i="28"/>
  <c r="BJ132" i="28"/>
  <c r="BI132" i="28"/>
  <c r="BH132" i="28"/>
  <c r="BG132" i="28"/>
  <c r="BF132" i="28"/>
  <c r="BX131" i="28"/>
  <c r="BW131" i="28"/>
  <c r="BV131" i="28"/>
  <c r="BU131" i="28"/>
  <c r="BT131" i="28"/>
  <c r="BS131" i="28"/>
  <c r="BR131" i="28"/>
  <c r="BP131" i="28"/>
  <c r="BO131" i="28"/>
  <c r="BN131" i="28"/>
  <c r="BM131" i="28"/>
  <c r="BL131" i="28"/>
  <c r="BK131" i="28"/>
  <c r="BJ131" i="28"/>
  <c r="BI131" i="28"/>
  <c r="BH131" i="28"/>
  <c r="BG131" i="28"/>
  <c r="BF131" i="28"/>
  <c r="BX130" i="28"/>
  <c r="BW130" i="28"/>
  <c r="BV130" i="28"/>
  <c r="BU130" i="28"/>
  <c r="BT130" i="28"/>
  <c r="BS130" i="28"/>
  <c r="BR130" i="28"/>
  <c r="BP130" i="28"/>
  <c r="BO130" i="28"/>
  <c r="BN130" i="28"/>
  <c r="BM130" i="28"/>
  <c r="BL130" i="28"/>
  <c r="BK130" i="28"/>
  <c r="BJ130" i="28"/>
  <c r="BI130" i="28"/>
  <c r="BH130" i="28"/>
  <c r="BG130" i="28"/>
  <c r="BF130" i="28"/>
  <c r="BX129" i="28"/>
  <c r="BW129" i="28"/>
  <c r="BV129" i="28"/>
  <c r="BU129" i="28"/>
  <c r="BT129" i="28"/>
  <c r="BS129" i="28"/>
  <c r="BR129" i="28"/>
  <c r="BP129" i="28"/>
  <c r="BO129" i="28"/>
  <c r="BN129" i="28"/>
  <c r="BM129" i="28"/>
  <c r="BL129" i="28"/>
  <c r="BK129" i="28"/>
  <c r="BJ129" i="28"/>
  <c r="BI129" i="28"/>
  <c r="BH129" i="28"/>
  <c r="BG129" i="28"/>
  <c r="BF129" i="28"/>
  <c r="BX128" i="28"/>
  <c r="BW128" i="28"/>
  <c r="BV128" i="28"/>
  <c r="BU128" i="28"/>
  <c r="BT128" i="28"/>
  <c r="BS128" i="28"/>
  <c r="BR128" i="28"/>
  <c r="BP128" i="28"/>
  <c r="BO128" i="28"/>
  <c r="BN128" i="28"/>
  <c r="BM128" i="28"/>
  <c r="BL128" i="28"/>
  <c r="BK128" i="28"/>
  <c r="BJ128" i="28"/>
  <c r="BI128" i="28"/>
  <c r="BH128" i="28"/>
  <c r="BG128" i="28"/>
  <c r="BF128" i="28"/>
  <c r="BX127" i="28"/>
  <c r="BW127" i="28"/>
  <c r="BV127" i="28"/>
  <c r="BU127" i="28"/>
  <c r="BT127" i="28"/>
  <c r="BS127" i="28"/>
  <c r="BR127" i="28"/>
  <c r="BP127" i="28"/>
  <c r="BO127" i="28"/>
  <c r="BN127" i="28"/>
  <c r="BM127" i="28"/>
  <c r="BL127" i="28"/>
  <c r="BK127" i="28"/>
  <c r="BJ127" i="28"/>
  <c r="BI127" i="28"/>
  <c r="BH127" i="28"/>
  <c r="BG127" i="28"/>
  <c r="BF127" i="28"/>
  <c r="BX126" i="28"/>
  <c r="BW126" i="28"/>
  <c r="BV126" i="28"/>
  <c r="BU126" i="28"/>
  <c r="BT126" i="28"/>
  <c r="BS126" i="28"/>
  <c r="BR126" i="28"/>
  <c r="BP126" i="28"/>
  <c r="BO126" i="28"/>
  <c r="BN126" i="28"/>
  <c r="BM126" i="28"/>
  <c r="BL126" i="28"/>
  <c r="BK126" i="28"/>
  <c r="BJ126" i="28"/>
  <c r="BI126" i="28"/>
  <c r="BH126" i="28"/>
  <c r="BG126" i="28"/>
  <c r="BF126" i="28"/>
  <c r="BX125" i="28"/>
  <c r="BW125" i="28"/>
  <c r="BV125" i="28"/>
  <c r="BU125" i="28"/>
  <c r="BT125" i="28"/>
  <c r="BS125" i="28"/>
  <c r="BR125" i="28"/>
  <c r="BP125" i="28"/>
  <c r="BO125" i="28"/>
  <c r="BN125" i="28"/>
  <c r="BM125" i="28"/>
  <c r="BL125" i="28"/>
  <c r="BK125" i="28"/>
  <c r="BJ125" i="28"/>
  <c r="BI125" i="28"/>
  <c r="BH125" i="28"/>
  <c r="BG125" i="28"/>
  <c r="BF125" i="28"/>
  <c r="BX124" i="28"/>
  <c r="BW124" i="28"/>
  <c r="BV124" i="28"/>
  <c r="BU124" i="28"/>
  <c r="BT124" i="28"/>
  <c r="BS124" i="28"/>
  <c r="BR124" i="28"/>
  <c r="BP124" i="28"/>
  <c r="BO124" i="28"/>
  <c r="BN124" i="28"/>
  <c r="BM124" i="28"/>
  <c r="BL124" i="28"/>
  <c r="BK124" i="28"/>
  <c r="BJ124" i="28"/>
  <c r="BI124" i="28"/>
  <c r="BH124" i="28"/>
  <c r="BG124" i="28"/>
  <c r="BF124" i="28"/>
  <c r="BX123" i="28"/>
  <c r="BW123" i="28"/>
  <c r="BV123" i="28"/>
  <c r="BU123" i="28"/>
  <c r="BT123" i="28"/>
  <c r="BS123" i="28"/>
  <c r="BR123" i="28"/>
  <c r="BP123" i="28"/>
  <c r="BO123" i="28"/>
  <c r="BN123" i="28"/>
  <c r="BM123" i="28"/>
  <c r="BL123" i="28"/>
  <c r="BK123" i="28"/>
  <c r="BJ123" i="28"/>
  <c r="BI123" i="28"/>
  <c r="BH123" i="28"/>
  <c r="BG123" i="28"/>
  <c r="BF123" i="28"/>
  <c r="BX122" i="28"/>
  <c r="BW122" i="28"/>
  <c r="BV122" i="28"/>
  <c r="BU122" i="28"/>
  <c r="BT122" i="28"/>
  <c r="BS122" i="28"/>
  <c r="BR122" i="28"/>
  <c r="BP122" i="28"/>
  <c r="BO122" i="28"/>
  <c r="BN122" i="28"/>
  <c r="BM122" i="28"/>
  <c r="BL122" i="28"/>
  <c r="BK122" i="28"/>
  <c r="BJ122" i="28"/>
  <c r="BI122" i="28"/>
  <c r="BH122" i="28"/>
  <c r="BG122" i="28"/>
  <c r="BF122" i="28"/>
  <c r="BX121" i="28"/>
  <c r="BW121" i="28"/>
  <c r="BV121" i="28"/>
  <c r="BU121" i="28"/>
  <c r="BT121" i="28"/>
  <c r="BS121" i="28"/>
  <c r="BR121" i="28"/>
  <c r="BP121" i="28"/>
  <c r="BO121" i="28"/>
  <c r="BN121" i="28"/>
  <c r="BM121" i="28"/>
  <c r="BL121" i="28"/>
  <c r="BK121" i="28"/>
  <c r="BJ121" i="28"/>
  <c r="BI121" i="28"/>
  <c r="BH121" i="28"/>
  <c r="BG121" i="28"/>
  <c r="BF121" i="28"/>
  <c r="BX120" i="28"/>
  <c r="BW120" i="28"/>
  <c r="BV120" i="28"/>
  <c r="BU120" i="28"/>
  <c r="BT120" i="28"/>
  <c r="BS120" i="28"/>
  <c r="BR120" i="28"/>
  <c r="BP120" i="28"/>
  <c r="BO120" i="28"/>
  <c r="BN120" i="28"/>
  <c r="BM120" i="28"/>
  <c r="BL120" i="28"/>
  <c r="BK120" i="28"/>
  <c r="BJ120" i="28"/>
  <c r="BI120" i="28"/>
  <c r="BH120" i="28"/>
  <c r="BG120" i="28"/>
  <c r="BF120" i="28"/>
  <c r="BX119" i="28"/>
  <c r="BW119" i="28"/>
  <c r="BV119" i="28"/>
  <c r="BU119" i="28"/>
  <c r="BT119" i="28"/>
  <c r="BS119" i="28"/>
  <c r="BR119" i="28"/>
  <c r="BP119" i="28"/>
  <c r="BO119" i="28"/>
  <c r="BN119" i="28"/>
  <c r="BM119" i="28"/>
  <c r="BL119" i="28"/>
  <c r="BK119" i="28"/>
  <c r="BJ119" i="28"/>
  <c r="BI119" i="28"/>
  <c r="BH119" i="28"/>
  <c r="BG119" i="28"/>
  <c r="BF119" i="28"/>
  <c r="BX118" i="28"/>
  <c r="BW118" i="28"/>
  <c r="BV118" i="28"/>
  <c r="BU118" i="28"/>
  <c r="BT118" i="28"/>
  <c r="BS118" i="28"/>
  <c r="BR118" i="28"/>
  <c r="BP118" i="28"/>
  <c r="BO118" i="28"/>
  <c r="BN118" i="28"/>
  <c r="BM118" i="28"/>
  <c r="BL118" i="28"/>
  <c r="BK118" i="28"/>
  <c r="BJ118" i="28"/>
  <c r="BI118" i="28"/>
  <c r="BH118" i="28"/>
  <c r="BG118" i="28"/>
  <c r="BF118" i="28"/>
  <c r="BX117" i="28"/>
  <c r="BW117" i="28"/>
  <c r="BV117" i="28"/>
  <c r="BU117" i="28"/>
  <c r="BT117" i="28"/>
  <c r="BS117" i="28"/>
  <c r="BR117" i="28"/>
  <c r="BP117" i="28"/>
  <c r="BO117" i="28"/>
  <c r="BN117" i="28"/>
  <c r="BM117" i="28"/>
  <c r="BL117" i="28"/>
  <c r="BK117" i="28"/>
  <c r="BJ117" i="28"/>
  <c r="BI117" i="28"/>
  <c r="BH117" i="28"/>
  <c r="BG117" i="28"/>
  <c r="BF117" i="28"/>
  <c r="BX116" i="28"/>
  <c r="BW116" i="28"/>
  <c r="BV116" i="28"/>
  <c r="BU116" i="28"/>
  <c r="BT116" i="28"/>
  <c r="BS116" i="28"/>
  <c r="BR116" i="28"/>
  <c r="BP116" i="28"/>
  <c r="BO116" i="28"/>
  <c r="BN116" i="28"/>
  <c r="BM116" i="28"/>
  <c r="BL116" i="28"/>
  <c r="BK116" i="28"/>
  <c r="BJ116" i="28"/>
  <c r="BI116" i="28"/>
  <c r="BH116" i="28"/>
  <c r="BG116" i="28"/>
  <c r="BF116" i="28"/>
  <c r="BX115" i="28"/>
  <c r="BW115" i="28"/>
  <c r="BV115" i="28"/>
  <c r="BU115" i="28"/>
  <c r="BT115" i="28"/>
  <c r="BS115" i="28"/>
  <c r="BR115" i="28"/>
  <c r="BP115" i="28"/>
  <c r="BO115" i="28"/>
  <c r="BN115" i="28"/>
  <c r="BM115" i="28"/>
  <c r="BL115" i="28"/>
  <c r="BK115" i="28"/>
  <c r="BJ115" i="28"/>
  <c r="BI115" i="28"/>
  <c r="BH115" i="28"/>
  <c r="BG115" i="28"/>
  <c r="BF115" i="28"/>
  <c r="BX114" i="28"/>
  <c r="BW114" i="28"/>
  <c r="BV114" i="28"/>
  <c r="BU114" i="28"/>
  <c r="BT114" i="28"/>
  <c r="BS114" i="28"/>
  <c r="BR114" i="28"/>
  <c r="BP114" i="28"/>
  <c r="BO114" i="28"/>
  <c r="BN114" i="28"/>
  <c r="BM114" i="28"/>
  <c r="BL114" i="28"/>
  <c r="BK114" i="28"/>
  <c r="BJ114" i="28"/>
  <c r="BI114" i="28"/>
  <c r="BH114" i="28"/>
  <c r="BG114" i="28"/>
  <c r="BF114" i="28"/>
  <c r="BX113" i="28"/>
  <c r="BW113" i="28"/>
  <c r="BV113" i="28"/>
  <c r="BU113" i="28"/>
  <c r="BT113" i="28"/>
  <c r="BS113" i="28"/>
  <c r="BR113" i="28"/>
  <c r="BP113" i="28"/>
  <c r="BO113" i="28"/>
  <c r="BN113" i="28"/>
  <c r="BM113" i="28"/>
  <c r="BL113" i="28"/>
  <c r="BK113" i="28"/>
  <c r="BJ113" i="28"/>
  <c r="BI113" i="28"/>
  <c r="BH113" i="28"/>
  <c r="BG113" i="28"/>
  <c r="BF113" i="28"/>
  <c r="BX112" i="28"/>
  <c r="BW112" i="28"/>
  <c r="BV112" i="28"/>
  <c r="BU112" i="28"/>
  <c r="BT112" i="28"/>
  <c r="BS112" i="28"/>
  <c r="BR112" i="28"/>
  <c r="BP112" i="28"/>
  <c r="BO112" i="28"/>
  <c r="BN112" i="28"/>
  <c r="BM112" i="28"/>
  <c r="BL112" i="28"/>
  <c r="BK112" i="28"/>
  <c r="BJ112" i="28"/>
  <c r="BI112" i="28"/>
  <c r="BH112" i="28"/>
  <c r="BG112" i="28"/>
  <c r="BF112" i="28"/>
  <c r="BX111" i="28"/>
  <c r="BW111" i="28"/>
  <c r="BV111" i="28"/>
  <c r="BU111" i="28"/>
  <c r="BT111" i="28"/>
  <c r="BS111" i="28"/>
  <c r="BR111" i="28"/>
  <c r="BP111" i="28"/>
  <c r="BO111" i="28"/>
  <c r="BN111" i="28"/>
  <c r="BM111" i="28"/>
  <c r="BL111" i="28"/>
  <c r="BK111" i="28"/>
  <c r="BJ111" i="28"/>
  <c r="BI111" i="28"/>
  <c r="BH111" i="28"/>
  <c r="BG111" i="28"/>
  <c r="BF111" i="28"/>
  <c r="BX110" i="28"/>
  <c r="BW110" i="28"/>
  <c r="BV110" i="28"/>
  <c r="BU110" i="28"/>
  <c r="BT110" i="28"/>
  <c r="BS110" i="28"/>
  <c r="BR110" i="28"/>
  <c r="BP110" i="28"/>
  <c r="BO110" i="28"/>
  <c r="BN110" i="28"/>
  <c r="BM110" i="28"/>
  <c r="BL110" i="28"/>
  <c r="BK110" i="28"/>
  <c r="BJ110" i="28"/>
  <c r="BI110" i="28"/>
  <c r="BH110" i="28"/>
  <c r="BG110" i="28"/>
  <c r="BF110" i="28"/>
  <c r="BX109" i="28"/>
  <c r="BW109" i="28"/>
  <c r="BV109" i="28"/>
  <c r="BU109" i="28"/>
  <c r="BT109" i="28"/>
  <c r="BS109" i="28"/>
  <c r="BR109" i="28"/>
  <c r="BP109" i="28"/>
  <c r="BO109" i="28"/>
  <c r="BN109" i="28"/>
  <c r="BM109" i="28"/>
  <c r="BL109" i="28"/>
  <c r="BK109" i="28"/>
  <c r="BJ109" i="28"/>
  <c r="BI109" i="28"/>
  <c r="BH109" i="28"/>
  <c r="BG109" i="28"/>
  <c r="BF109" i="28"/>
  <c r="BX108" i="28"/>
  <c r="BW108" i="28"/>
  <c r="BV108" i="28"/>
  <c r="BU108" i="28"/>
  <c r="BT108" i="28"/>
  <c r="BS108" i="28"/>
  <c r="BR108" i="28"/>
  <c r="BP108" i="28"/>
  <c r="BO108" i="28"/>
  <c r="BN108" i="28"/>
  <c r="BM108" i="28"/>
  <c r="BL108" i="28"/>
  <c r="BK108" i="28"/>
  <c r="BJ108" i="28"/>
  <c r="BI108" i="28"/>
  <c r="BH108" i="28"/>
  <c r="BG108" i="28"/>
  <c r="BF108" i="28"/>
  <c r="BX107" i="28"/>
  <c r="BW107" i="28"/>
  <c r="BV107" i="28"/>
  <c r="BU107" i="28"/>
  <c r="BT107" i="28"/>
  <c r="BS107" i="28"/>
  <c r="BR107" i="28"/>
  <c r="BP107" i="28"/>
  <c r="BO107" i="28"/>
  <c r="BN107" i="28"/>
  <c r="BM107" i="28"/>
  <c r="BL107" i="28"/>
  <c r="BK107" i="28"/>
  <c r="BJ107" i="28"/>
  <c r="BI107" i="28"/>
  <c r="BH107" i="28"/>
  <c r="BG107" i="28"/>
  <c r="BF107" i="28"/>
  <c r="BX106" i="28"/>
  <c r="BW106" i="28"/>
  <c r="BV106" i="28"/>
  <c r="BU106" i="28"/>
  <c r="BT106" i="28"/>
  <c r="BS106" i="28"/>
  <c r="BR106" i="28"/>
  <c r="BP106" i="28"/>
  <c r="BO106" i="28"/>
  <c r="BN106" i="28"/>
  <c r="BM106" i="28"/>
  <c r="BL106" i="28"/>
  <c r="BK106" i="28"/>
  <c r="BJ106" i="28"/>
  <c r="BI106" i="28"/>
  <c r="BH106" i="28"/>
  <c r="BG106" i="28"/>
  <c r="BF106" i="28"/>
  <c r="BX105" i="28"/>
  <c r="BW105" i="28"/>
  <c r="BV105" i="28"/>
  <c r="BU105" i="28"/>
  <c r="BT105" i="28"/>
  <c r="BS105" i="28"/>
  <c r="BR105" i="28"/>
  <c r="BP105" i="28"/>
  <c r="BO105" i="28"/>
  <c r="BN105" i="28"/>
  <c r="BM105" i="28"/>
  <c r="BL105" i="28"/>
  <c r="BK105" i="28"/>
  <c r="BJ105" i="28"/>
  <c r="BI105" i="28"/>
  <c r="BH105" i="28"/>
  <c r="BG105" i="28"/>
  <c r="BF105" i="28"/>
  <c r="BX104" i="28"/>
  <c r="BW104" i="28"/>
  <c r="BV104" i="28"/>
  <c r="BU104" i="28"/>
  <c r="BT104" i="28"/>
  <c r="BS104" i="28"/>
  <c r="BR104" i="28"/>
  <c r="BP104" i="28"/>
  <c r="BO104" i="28"/>
  <c r="BN104" i="28"/>
  <c r="BM104" i="28"/>
  <c r="BL104" i="28"/>
  <c r="BK104" i="28"/>
  <c r="BJ104" i="28"/>
  <c r="BI104" i="28"/>
  <c r="BH104" i="28"/>
  <c r="BG104" i="28"/>
  <c r="BF104" i="28"/>
  <c r="BX103" i="28"/>
  <c r="BW103" i="28"/>
  <c r="BV103" i="28"/>
  <c r="BU103" i="28"/>
  <c r="BT103" i="28"/>
  <c r="BS103" i="28"/>
  <c r="BR103" i="28"/>
  <c r="BP103" i="28"/>
  <c r="BO103" i="28"/>
  <c r="BN103" i="28"/>
  <c r="BM103" i="28"/>
  <c r="BL103" i="28"/>
  <c r="BK103" i="28"/>
  <c r="BJ103" i="28"/>
  <c r="BI103" i="28"/>
  <c r="BH103" i="28"/>
  <c r="BG103" i="28"/>
  <c r="BF103" i="28"/>
  <c r="BX102" i="28"/>
  <c r="BW102" i="28"/>
  <c r="BV102" i="28"/>
  <c r="BU102" i="28"/>
  <c r="BT102" i="28"/>
  <c r="BS102" i="28"/>
  <c r="BR102" i="28"/>
  <c r="BP102" i="28"/>
  <c r="BO102" i="28"/>
  <c r="BN102" i="28"/>
  <c r="BM102" i="28"/>
  <c r="BL102" i="28"/>
  <c r="BK102" i="28"/>
  <c r="BJ102" i="28"/>
  <c r="BI102" i="28"/>
  <c r="BH102" i="28"/>
  <c r="BG102" i="28"/>
  <c r="BF102" i="28"/>
  <c r="BX101" i="28"/>
  <c r="BW101" i="28"/>
  <c r="BV101" i="28"/>
  <c r="BU101" i="28"/>
  <c r="BT101" i="28"/>
  <c r="BS101" i="28"/>
  <c r="BR101" i="28"/>
  <c r="BP101" i="28"/>
  <c r="BO101" i="28"/>
  <c r="BN101" i="28"/>
  <c r="BM101" i="28"/>
  <c r="BL101" i="28"/>
  <c r="BK101" i="28"/>
  <c r="BJ101" i="28"/>
  <c r="BI101" i="28"/>
  <c r="BH101" i="28"/>
  <c r="BG101" i="28"/>
  <c r="BF101" i="28"/>
  <c r="BX100" i="28"/>
  <c r="BW100" i="28"/>
  <c r="BV100" i="28"/>
  <c r="BU100" i="28"/>
  <c r="BT100" i="28"/>
  <c r="BS100" i="28"/>
  <c r="BR100" i="28"/>
  <c r="BP100" i="28"/>
  <c r="BO100" i="28"/>
  <c r="BN100" i="28"/>
  <c r="BM100" i="28"/>
  <c r="BL100" i="28"/>
  <c r="BK100" i="28"/>
  <c r="BJ100" i="28"/>
  <c r="BI100" i="28"/>
  <c r="BH100" i="28"/>
  <c r="BG100" i="28"/>
  <c r="BF100" i="28"/>
  <c r="BX99" i="28"/>
  <c r="BW99" i="28"/>
  <c r="BV99" i="28"/>
  <c r="BU99" i="28"/>
  <c r="BT99" i="28"/>
  <c r="BS99" i="28"/>
  <c r="BR99" i="28"/>
  <c r="BP99" i="28"/>
  <c r="BO99" i="28"/>
  <c r="BN99" i="28"/>
  <c r="BM99" i="28"/>
  <c r="BL99" i="28"/>
  <c r="BK99" i="28"/>
  <c r="BJ99" i="28"/>
  <c r="BI99" i="28"/>
  <c r="BH99" i="28"/>
  <c r="BG99" i="28"/>
  <c r="BF99" i="28"/>
  <c r="BX98" i="28"/>
  <c r="BW98" i="28"/>
  <c r="BV98" i="28"/>
  <c r="BU98" i="28"/>
  <c r="BT98" i="28"/>
  <c r="BS98" i="28"/>
  <c r="BR98" i="28"/>
  <c r="BP98" i="28"/>
  <c r="BO98" i="28"/>
  <c r="BN98" i="28"/>
  <c r="BM98" i="28"/>
  <c r="BL98" i="28"/>
  <c r="BK98" i="28"/>
  <c r="BJ98" i="28"/>
  <c r="BI98" i="28"/>
  <c r="BH98" i="28"/>
  <c r="BG98" i="28"/>
  <c r="BF98" i="28"/>
  <c r="BX97" i="28"/>
  <c r="BW97" i="28"/>
  <c r="BV97" i="28"/>
  <c r="BU97" i="28"/>
  <c r="BT97" i="28"/>
  <c r="BS97" i="28"/>
  <c r="BR97" i="28"/>
  <c r="BP97" i="28"/>
  <c r="BO97" i="28"/>
  <c r="BN97" i="28"/>
  <c r="BM97" i="28"/>
  <c r="BL97" i="28"/>
  <c r="BK97" i="28"/>
  <c r="BJ97" i="28"/>
  <c r="BI97" i="28"/>
  <c r="BH97" i="28"/>
  <c r="BG97" i="28"/>
  <c r="BF97" i="28"/>
  <c r="BX96" i="28"/>
  <c r="BW96" i="28"/>
  <c r="BV96" i="28"/>
  <c r="BU96" i="28"/>
  <c r="BT96" i="28"/>
  <c r="BS96" i="28"/>
  <c r="BR96" i="28"/>
  <c r="BP96" i="28"/>
  <c r="BO96" i="28"/>
  <c r="BN96" i="28"/>
  <c r="BM96" i="28"/>
  <c r="BL96" i="28"/>
  <c r="BK96" i="28"/>
  <c r="BJ96" i="28"/>
  <c r="BI96" i="28"/>
  <c r="BH96" i="28"/>
  <c r="BG96" i="28"/>
  <c r="BF96" i="28"/>
  <c r="BX95" i="28"/>
  <c r="BW95" i="28"/>
  <c r="BV95" i="28"/>
  <c r="BU95" i="28"/>
  <c r="BT95" i="28"/>
  <c r="BS95" i="28"/>
  <c r="BR95" i="28"/>
  <c r="BP95" i="28"/>
  <c r="BO95" i="28"/>
  <c r="BN95" i="28"/>
  <c r="BM95" i="28"/>
  <c r="BL95" i="28"/>
  <c r="BK95" i="28"/>
  <c r="BJ95" i="28"/>
  <c r="BI95" i="28"/>
  <c r="BH95" i="28"/>
  <c r="BG95" i="28"/>
  <c r="BF95" i="28"/>
  <c r="BX94" i="28"/>
  <c r="BW94" i="28"/>
  <c r="BV94" i="28"/>
  <c r="BU94" i="28"/>
  <c r="BT94" i="28"/>
  <c r="BS94" i="28"/>
  <c r="BR94" i="28"/>
  <c r="BP94" i="28"/>
  <c r="BO94" i="28"/>
  <c r="BN94" i="28"/>
  <c r="BM94" i="28"/>
  <c r="BL94" i="28"/>
  <c r="BK94" i="28"/>
  <c r="BJ94" i="28"/>
  <c r="BI94" i="28"/>
  <c r="BH94" i="28"/>
  <c r="BG94" i="28"/>
  <c r="BF94" i="28"/>
  <c r="BX93" i="28"/>
  <c r="BW93" i="28"/>
  <c r="BV93" i="28"/>
  <c r="BU93" i="28"/>
  <c r="BT93" i="28"/>
  <c r="BS93" i="28"/>
  <c r="BR93" i="28"/>
  <c r="BP93" i="28"/>
  <c r="BO93" i="28"/>
  <c r="BN93" i="28"/>
  <c r="BM93" i="28"/>
  <c r="BL93" i="28"/>
  <c r="BK93" i="28"/>
  <c r="BJ93" i="28"/>
  <c r="BI93" i="28"/>
  <c r="BH93" i="28"/>
  <c r="BG93" i="28"/>
  <c r="BF93" i="28"/>
  <c r="BX92" i="28"/>
  <c r="BW92" i="28"/>
  <c r="BV92" i="28"/>
  <c r="BU92" i="28"/>
  <c r="BT92" i="28"/>
  <c r="BS92" i="28"/>
  <c r="BR92" i="28"/>
  <c r="BP92" i="28"/>
  <c r="BO92" i="28"/>
  <c r="BN92" i="28"/>
  <c r="BM92" i="28"/>
  <c r="BL92" i="28"/>
  <c r="BK92" i="28"/>
  <c r="BJ92" i="28"/>
  <c r="BI92" i="28"/>
  <c r="BH92" i="28"/>
  <c r="BG92" i="28"/>
  <c r="BF92" i="28"/>
  <c r="BX91" i="28"/>
  <c r="BW91" i="28"/>
  <c r="BV91" i="28"/>
  <c r="BU91" i="28"/>
  <c r="BT91" i="28"/>
  <c r="BS91" i="28"/>
  <c r="BR91" i="28"/>
  <c r="BP91" i="28"/>
  <c r="BO91" i="28"/>
  <c r="BN91" i="28"/>
  <c r="BM91" i="28"/>
  <c r="BL91" i="28"/>
  <c r="BK91" i="28"/>
  <c r="BJ91" i="28"/>
  <c r="BI91" i="28"/>
  <c r="BH91" i="28"/>
  <c r="BG91" i="28"/>
  <c r="BF91" i="28"/>
  <c r="BX90" i="28"/>
  <c r="BW90" i="28"/>
  <c r="BV90" i="28"/>
  <c r="BU90" i="28"/>
  <c r="BT90" i="28"/>
  <c r="BS90" i="28"/>
  <c r="BR90" i="28"/>
  <c r="BP90" i="28"/>
  <c r="BO90" i="28"/>
  <c r="BN90" i="28"/>
  <c r="BM90" i="28"/>
  <c r="BL90" i="28"/>
  <c r="BK90" i="28"/>
  <c r="BJ90" i="28"/>
  <c r="BI90" i="28"/>
  <c r="BH90" i="28"/>
  <c r="BG90" i="28"/>
  <c r="BF90" i="28"/>
  <c r="BX89" i="28"/>
  <c r="BW89" i="28"/>
  <c r="BV89" i="28"/>
  <c r="BU89" i="28"/>
  <c r="BT89" i="28"/>
  <c r="BS89" i="28"/>
  <c r="BR89" i="28"/>
  <c r="BP89" i="28"/>
  <c r="BO89" i="28"/>
  <c r="BN89" i="28"/>
  <c r="BM89" i="28"/>
  <c r="BL89" i="28"/>
  <c r="BK89" i="28"/>
  <c r="BJ89" i="28"/>
  <c r="BI89" i="28"/>
  <c r="BH89" i="28"/>
  <c r="BG89" i="28"/>
  <c r="BF89" i="28"/>
  <c r="BX88" i="28"/>
  <c r="BW88" i="28"/>
  <c r="BV88" i="28"/>
  <c r="BU88" i="28"/>
  <c r="BT88" i="28"/>
  <c r="BS88" i="28"/>
  <c r="BR88" i="28"/>
  <c r="BP88" i="28"/>
  <c r="BO88" i="28"/>
  <c r="BN88" i="28"/>
  <c r="BM88" i="28"/>
  <c r="BL88" i="28"/>
  <c r="BK88" i="28"/>
  <c r="BJ88" i="28"/>
  <c r="BI88" i="28"/>
  <c r="BH88" i="28"/>
  <c r="BG88" i="28"/>
  <c r="BF88" i="28"/>
  <c r="BX87" i="28"/>
  <c r="BW87" i="28"/>
  <c r="BV87" i="28"/>
  <c r="BU87" i="28"/>
  <c r="BT87" i="28"/>
  <c r="BS87" i="28"/>
  <c r="BR87" i="28"/>
  <c r="BP87" i="28"/>
  <c r="BO87" i="28"/>
  <c r="BN87" i="28"/>
  <c r="BM87" i="28"/>
  <c r="BL87" i="28"/>
  <c r="BK87" i="28"/>
  <c r="BJ87" i="28"/>
  <c r="BI87" i="28"/>
  <c r="BH87" i="28"/>
  <c r="BG87" i="28"/>
  <c r="BF87" i="28"/>
  <c r="BX86" i="28"/>
  <c r="BW86" i="28"/>
  <c r="BV86" i="28"/>
  <c r="BU86" i="28"/>
  <c r="BT86" i="28"/>
  <c r="BS86" i="28"/>
  <c r="BR86" i="28"/>
  <c r="BP86" i="28"/>
  <c r="BO86" i="28"/>
  <c r="BN86" i="28"/>
  <c r="BM86" i="28"/>
  <c r="BL86" i="28"/>
  <c r="BK86" i="28"/>
  <c r="BJ86" i="28"/>
  <c r="BI86" i="28"/>
  <c r="BH86" i="28"/>
  <c r="BG86" i="28"/>
  <c r="BF86" i="28"/>
  <c r="BX85" i="28"/>
  <c r="BW85" i="28"/>
  <c r="BV85" i="28"/>
  <c r="BU85" i="28"/>
  <c r="BT85" i="28"/>
  <c r="BS85" i="28"/>
  <c r="BR85" i="28"/>
  <c r="BP85" i="28"/>
  <c r="BO85" i="28"/>
  <c r="BN85" i="28"/>
  <c r="BM85" i="28"/>
  <c r="BL85" i="28"/>
  <c r="BK85" i="28"/>
  <c r="BJ85" i="28"/>
  <c r="BI85" i="28"/>
  <c r="BH85" i="28"/>
  <c r="BG85" i="28"/>
  <c r="BF85" i="28"/>
  <c r="BX84" i="28"/>
  <c r="BW84" i="28"/>
  <c r="BV84" i="28"/>
  <c r="BU84" i="28"/>
  <c r="BT84" i="28"/>
  <c r="BS84" i="28"/>
  <c r="BR84" i="28"/>
  <c r="BP84" i="28"/>
  <c r="BO84" i="28"/>
  <c r="BN84" i="28"/>
  <c r="BM84" i="28"/>
  <c r="BL84" i="28"/>
  <c r="BK84" i="28"/>
  <c r="BJ84" i="28"/>
  <c r="BI84" i="28"/>
  <c r="BH84" i="28"/>
  <c r="BG84" i="28"/>
  <c r="BF84" i="28"/>
  <c r="BX83" i="28"/>
  <c r="BW83" i="28"/>
  <c r="BV83" i="28"/>
  <c r="BU83" i="28"/>
  <c r="BT83" i="28"/>
  <c r="BS83" i="28"/>
  <c r="BR83" i="28"/>
  <c r="BP83" i="28"/>
  <c r="BO83" i="28"/>
  <c r="BN83" i="28"/>
  <c r="BM83" i="28"/>
  <c r="BL83" i="28"/>
  <c r="BK83" i="28"/>
  <c r="BJ83" i="28"/>
  <c r="BI83" i="28"/>
  <c r="BH83" i="28"/>
  <c r="BG83" i="28"/>
  <c r="BF83" i="28"/>
  <c r="BX82" i="28"/>
  <c r="BW82" i="28"/>
  <c r="BV82" i="28"/>
  <c r="BU82" i="28"/>
  <c r="BT82" i="28"/>
  <c r="BS82" i="28"/>
  <c r="BR82" i="28"/>
  <c r="BP82" i="28"/>
  <c r="BO82" i="28"/>
  <c r="BN82" i="28"/>
  <c r="BM82" i="28"/>
  <c r="BL82" i="28"/>
  <c r="BK82" i="28"/>
  <c r="BJ82" i="28"/>
  <c r="BI82" i="28"/>
  <c r="BH82" i="28"/>
  <c r="BG82" i="28"/>
  <c r="BF82" i="28"/>
  <c r="BX81" i="28"/>
  <c r="BW81" i="28"/>
  <c r="BV81" i="28"/>
  <c r="BU81" i="28"/>
  <c r="BT81" i="28"/>
  <c r="BS81" i="28"/>
  <c r="BR81" i="28"/>
  <c r="BP81" i="28"/>
  <c r="BO81" i="28"/>
  <c r="BN81" i="28"/>
  <c r="BM81" i="28"/>
  <c r="BL81" i="28"/>
  <c r="BK81" i="28"/>
  <c r="BJ81" i="28"/>
  <c r="BI81" i="28"/>
  <c r="BH81" i="28"/>
  <c r="BG81" i="28"/>
  <c r="BF81" i="28"/>
  <c r="BX80" i="28"/>
  <c r="BW80" i="28"/>
  <c r="BV80" i="28"/>
  <c r="BU80" i="28"/>
  <c r="BT80" i="28"/>
  <c r="BS80" i="28"/>
  <c r="BR80" i="28"/>
  <c r="BP80" i="28"/>
  <c r="BO80" i="28"/>
  <c r="BN80" i="28"/>
  <c r="BM80" i="28"/>
  <c r="BL80" i="28"/>
  <c r="BK80" i="28"/>
  <c r="BJ80" i="28"/>
  <c r="BI80" i="28"/>
  <c r="BH80" i="28"/>
  <c r="BG80" i="28"/>
  <c r="BF80" i="28"/>
  <c r="BX79" i="28"/>
  <c r="BW79" i="28"/>
  <c r="BV79" i="28"/>
  <c r="BU79" i="28"/>
  <c r="BT79" i="28"/>
  <c r="BS79" i="28"/>
  <c r="BR79" i="28"/>
  <c r="BP79" i="28"/>
  <c r="BO79" i="28"/>
  <c r="BN79" i="28"/>
  <c r="BM79" i="28"/>
  <c r="BL79" i="28"/>
  <c r="BK79" i="28"/>
  <c r="BJ79" i="28"/>
  <c r="BI79" i="28"/>
  <c r="BH79" i="28"/>
  <c r="BG79" i="28"/>
  <c r="BF79" i="28"/>
  <c r="BX78" i="28"/>
  <c r="BW78" i="28"/>
  <c r="BV78" i="28"/>
  <c r="BU78" i="28"/>
  <c r="BT78" i="28"/>
  <c r="BS78" i="28"/>
  <c r="BR78" i="28"/>
  <c r="BP78" i="28"/>
  <c r="BO78" i="28"/>
  <c r="BN78" i="28"/>
  <c r="BM78" i="28"/>
  <c r="BL78" i="28"/>
  <c r="BK78" i="28"/>
  <c r="BJ78" i="28"/>
  <c r="BI78" i="28"/>
  <c r="BH78" i="28"/>
  <c r="BG78" i="28"/>
  <c r="BF78" i="28"/>
  <c r="BX77" i="28"/>
  <c r="BW77" i="28"/>
  <c r="BV77" i="28"/>
  <c r="BU77" i="28"/>
  <c r="BT77" i="28"/>
  <c r="BS77" i="28"/>
  <c r="BR77" i="28"/>
  <c r="BP77" i="28"/>
  <c r="BO77" i="28"/>
  <c r="BN77" i="28"/>
  <c r="BM77" i="28"/>
  <c r="BL77" i="28"/>
  <c r="BK77" i="28"/>
  <c r="BJ77" i="28"/>
  <c r="BI77" i="28"/>
  <c r="BH77" i="28"/>
  <c r="BG77" i="28"/>
  <c r="BF77" i="28"/>
  <c r="BX76" i="28"/>
  <c r="BW76" i="28"/>
  <c r="BV76" i="28"/>
  <c r="BU76" i="28"/>
  <c r="BT76" i="28"/>
  <c r="BS76" i="28"/>
  <c r="BR76" i="28"/>
  <c r="BP76" i="28"/>
  <c r="BO76" i="28"/>
  <c r="BN76" i="28"/>
  <c r="BM76" i="28"/>
  <c r="BL76" i="28"/>
  <c r="BK76" i="28"/>
  <c r="BJ76" i="28"/>
  <c r="BI76" i="28"/>
  <c r="BH76" i="28"/>
  <c r="BG76" i="28"/>
  <c r="BF76" i="28"/>
  <c r="BX75" i="28"/>
  <c r="BW75" i="28"/>
  <c r="BV75" i="28"/>
  <c r="BU75" i="28"/>
  <c r="BT75" i="28"/>
  <c r="BS75" i="28"/>
  <c r="BR75" i="28"/>
  <c r="BP75" i="28"/>
  <c r="BO75" i="28"/>
  <c r="BN75" i="28"/>
  <c r="BM75" i="28"/>
  <c r="BL75" i="28"/>
  <c r="BK75" i="28"/>
  <c r="BJ75" i="28"/>
  <c r="BI75" i="28"/>
  <c r="BH75" i="28"/>
  <c r="BG75" i="28"/>
  <c r="BF75" i="28"/>
  <c r="BX74" i="28"/>
  <c r="BW74" i="28"/>
  <c r="BV74" i="28"/>
  <c r="BU74" i="28"/>
  <c r="BT74" i="28"/>
  <c r="BS74" i="28"/>
  <c r="BR74" i="28"/>
  <c r="BP74" i="28"/>
  <c r="BO74" i="28"/>
  <c r="BN74" i="28"/>
  <c r="BM74" i="28"/>
  <c r="BL74" i="28"/>
  <c r="BK74" i="28"/>
  <c r="BJ74" i="28"/>
  <c r="BI74" i="28"/>
  <c r="BH74" i="28"/>
  <c r="BG74" i="28"/>
  <c r="BF74" i="28"/>
  <c r="BX73" i="28"/>
  <c r="BW73" i="28"/>
  <c r="BV73" i="28"/>
  <c r="BU73" i="28"/>
  <c r="BT73" i="28"/>
  <c r="BS73" i="28"/>
  <c r="BR73" i="28"/>
  <c r="BP73" i="28"/>
  <c r="BO73" i="28"/>
  <c r="BN73" i="28"/>
  <c r="BM73" i="28"/>
  <c r="BL73" i="28"/>
  <c r="BK73" i="28"/>
  <c r="BJ73" i="28"/>
  <c r="BI73" i="28"/>
  <c r="BH73" i="28"/>
  <c r="BG73" i="28"/>
  <c r="BF73" i="28"/>
  <c r="BX72" i="28"/>
  <c r="BW72" i="28"/>
  <c r="BV72" i="28"/>
  <c r="BU72" i="28"/>
  <c r="BT72" i="28"/>
  <c r="BS72" i="28"/>
  <c r="BR72" i="28"/>
  <c r="BP72" i="28"/>
  <c r="BO72" i="28"/>
  <c r="BN72" i="28"/>
  <c r="BM72" i="28"/>
  <c r="BL72" i="28"/>
  <c r="BK72" i="28"/>
  <c r="BJ72" i="28"/>
  <c r="BI72" i="28"/>
  <c r="BH72" i="28"/>
  <c r="BG72" i="28"/>
  <c r="BF72" i="28"/>
  <c r="BX71" i="28"/>
  <c r="BW71" i="28"/>
  <c r="BV71" i="28"/>
  <c r="BU71" i="28"/>
  <c r="BT71" i="28"/>
  <c r="BS71" i="28"/>
  <c r="BR71" i="28"/>
  <c r="BP71" i="28"/>
  <c r="BO71" i="28"/>
  <c r="BN71" i="28"/>
  <c r="BM71" i="28"/>
  <c r="BL71" i="28"/>
  <c r="BK71" i="28"/>
  <c r="BJ71" i="28"/>
  <c r="BI71" i="28"/>
  <c r="BH71" i="28"/>
  <c r="BG71" i="28"/>
  <c r="BF71" i="28"/>
  <c r="BX70" i="28"/>
  <c r="BW70" i="28"/>
  <c r="BV70" i="28"/>
  <c r="BU70" i="28"/>
  <c r="BT70" i="28"/>
  <c r="BS70" i="28"/>
  <c r="BR70" i="28"/>
  <c r="BP70" i="28"/>
  <c r="BO70" i="28"/>
  <c r="BN70" i="28"/>
  <c r="BM70" i="28"/>
  <c r="BL70" i="28"/>
  <c r="BK70" i="28"/>
  <c r="BJ70" i="28"/>
  <c r="BI70" i="28"/>
  <c r="BH70" i="28"/>
  <c r="BG70" i="28"/>
  <c r="BF70" i="28"/>
  <c r="BX69" i="28"/>
  <c r="BW69" i="28"/>
  <c r="BV69" i="28"/>
  <c r="BU69" i="28"/>
  <c r="BT69" i="28"/>
  <c r="BS69" i="28"/>
  <c r="BR69" i="28"/>
  <c r="BP69" i="28"/>
  <c r="BO69" i="28"/>
  <c r="BN69" i="28"/>
  <c r="BM69" i="28"/>
  <c r="BL69" i="28"/>
  <c r="BK69" i="28"/>
  <c r="BJ69" i="28"/>
  <c r="BI69" i="28"/>
  <c r="BH69" i="28"/>
  <c r="BG69" i="28"/>
  <c r="BF69" i="28"/>
  <c r="BX68" i="28"/>
  <c r="BW68" i="28"/>
  <c r="BV68" i="28"/>
  <c r="BU68" i="28"/>
  <c r="BT68" i="28"/>
  <c r="BS68" i="28"/>
  <c r="BR68" i="28"/>
  <c r="BP68" i="28"/>
  <c r="BO68" i="28"/>
  <c r="BN68" i="28"/>
  <c r="BM68" i="28"/>
  <c r="BL68" i="28"/>
  <c r="BK68" i="28"/>
  <c r="BJ68" i="28"/>
  <c r="BI68" i="28"/>
  <c r="BH68" i="28"/>
  <c r="BG68" i="28"/>
  <c r="BF68" i="28"/>
  <c r="BX67" i="28"/>
  <c r="BW67" i="28"/>
  <c r="BV67" i="28"/>
  <c r="BU67" i="28"/>
  <c r="BT67" i="28"/>
  <c r="BS67" i="28"/>
  <c r="BR67" i="28"/>
  <c r="BP67" i="28"/>
  <c r="BO67" i="28"/>
  <c r="BN67" i="28"/>
  <c r="BM67" i="28"/>
  <c r="BL67" i="28"/>
  <c r="BK67" i="28"/>
  <c r="BJ67" i="28"/>
  <c r="BI67" i="28"/>
  <c r="BH67" i="28"/>
  <c r="BG67" i="28"/>
  <c r="BF67" i="28"/>
  <c r="BX66" i="28"/>
  <c r="BW66" i="28"/>
  <c r="BV66" i="28"/>
  <c r="BU66" i="28"/>
  <c r="BT66" i="28"/>
  <c r="BS66" i="28"/>
  <c r="BR66" i="28"/>
  <c r="BP66" i="28"/>
  <c r="BO66" i="28"/>
  <c r="BN66" i="28"/>
  <c r="BM66" i="28"/>
  <c r="BL66" i="28"/>
  <c r="BK66" i="28"/>
  <c r="BJ66" i="28"/>
  <c r="BI66" i="28"/>
  <c r="BH66" i="28"/>
  <c r="BG66" i="28"/>
  <c r="BF66" i="28"/>
  <c r="BX65" i="28"/>
  <c r="BW65" i="28"/>
  <c r="BV65" i="28"/>
  <c r="BU65" i="28"/>
  <c r="BT65" i="28"/>
  <c r="BS65" i="28"/>
  <c r="BR65" i="28"/>
  <c r="BP65" i="28"/>
  <c r="BO65" i="28"/>
  <c r="BN65" i="28"/>
  <c r="BM65" i="28"/>
  <c r="BL65" i="28"/>
  <c r="BK65" i="28"/>
  <c r="BJ65" i="28"/>
  <c r="BI65" i="28"/>
  <c r="BH65" i="28"/>
  <c r="BG65" i="28"/>
  <c r="BF65" i="28"/>
  <c r="BX64" i="28"/>
  <c r="BW64" i="28"/>
  <c r="BV64" i="28"/>
  <c r="BU64" i="28"/>
  <c r="BT64" i="28"/>
  <c r="BS64" i="28"/>
  <c r="BR64" i="28"/>
  <c r="BP64" i="28"/>
  <c r="BO64" i="28"/>
  <c r="BN64" i="28"/>
  <c r="BM64" i="28"/>
  <c r="BL64" i="28"/>
  <c r="BK64" i="28"/>
  <c r="BJ64" i="28"/>
  <c r="BI64" i="28"/>
  <c r="BH64" i="28"/>
  <c r="BG64" i="28"/>
  <c r="BF64" i="28"/>
  <c r="BX63" i="28"/>
  <c r="BW63" i="28"/>
  <c r="BV63" i="28"/>
  <c r="BU63" i="28"/>
  <c r="BT63" i="28"/>
  <c r="BS63" i="28"/>
  <c r="BR63" i="28"/>
  <c r="BP63" i="28"/>
  <c r="BO63" i="28"/>
  <c r="BN63" i="28"/>
  <c r="BM63" i="28"/>
  <c r="BL63" i="28"/>
  <c r="BK63" i="28"/>
  <c r="BJ63" i="28"/>
  <c r="BI63" i="28"/>
  <c r="BH63" i="28"/>
  <c r="BG63" i="28"/>
  <c r="BF63" i="28"/>
  <c r="BX62" i="28"/>
  <c r="BW62" i="28"/>
  <c r="BV62" i="28"/>
  <c r="BU62" i="28"/>
  <c r="BT62" i="28"/>
  <c r="BS62" i="28"/>
  <c r="BR62" i="28"/>
  <c r="BP62" i="28"/>
  <c r="BO62" i="28"/>
  <c r="BN62" i="28"/>
  <c r="BM62" i="28"/>
  <c r="BL62" i="28"/>
  <c r="BK62" i="28"/>
  <c r="BJ62" i="28"/>
  <c r="BI62" i="28"/>
  <c r="BH62" i="28"/>
  <c r="BG62" i="28"/>
  <c r="BF62" i="28"/>
  <c r="BX61" i="28"/>
  <c r="BW61" i="28"/>
  <c r="BV61" i="28"/>
  <c r="BU61" i="28"/>
  <c r="BT61" i="28"/>
  <c r="BS61" i="28"/>
  <c r="BR61" i="28"/>
  <c r="BP61" i="28"/>
  <c r="BO61" i="28"/>
  <c r="BN61" i="28"/>
  <c r="BM61" i="28"/>
  <c r="BL61" i="28"/>
  <c r="BK61" i="28"/>
  <c r="BJ61" i="28"/>
  <c r="BI61" i="28"/>
  <c r="BH61" i="28"/>
  <c r="BG61" i="28"/>
  <c r="BF61" i="28"/>
  <c r="BX60" i="28"/>
  <c r="BW60" i="28"/>
  <c r="BV60" i="28"/>
  <c r="BU60" i="28"/>
  <c r="BT60" i="28"/>
  <c r="BS60" i="28"/>
  <c r="BR60" i="28"/>
  <c r="BP60" i="28"/>
  <c r="BO60" i="28"/>
  <c r="BN60" i="28"/>
  <c r="BM60" i="28"/>
  <c r="BL60" i="28"/>
  <c r="BK60" i="28"/>
  <c r="BJ60" i="28"/>
  <c r="BI60" i="28"/>
  <c r="BH60" i="28"/>
  <c r="BG60" i="28"/>
  <c r="BF60" i="28"/>
  <c r="BX59" i="28"/>
  <c r="BW59" i="28"/>
  <c r="BV59" i="28"/>
  <c r="BU59" i="28"/>
  <c r="BT59" i="28"/>
  <c r="BS59" i="28"/>
  <c r="BR59" i="28"/>
  <c r="BP59" i="28"/>
  <c r="BO59" i="28"/>
  <c r="BN59" i="28"/>
  <c r="BM59" i="28"/>
  <c r="BL59" i="28"/>
  <c r="BK59" i="28"/>
  <c r="BJ59" i="28"/>
  <c r="BI59" i="28"/>
  <c r="BH59" i="28"/>
  <c r="BG59" i="28"/>
  <c r="BF59" i="28"/>
  <c r="BX58" i="28"/>
  <c r="BW58" i="28"/>
  <c r="BV58" i="28"/>
  <c r="BU58" i="28"/>
  <c r="BT58" i="28"/>
  <c r="BS58" i="28"/>
  <c r="BR58" i="28"/>
  <c r="BP58" i="28"/>
  <c r="BO58" i="28"/>
  <c r="BN58" i="28"/>
  <c r="BM58" i="28"/>
  <c r="BL58" i="28"/>
  <c r="BK58" i="28"/>
  <c r="BJ58" i="28"/>
  <c r="BI58" i="28"/>
  <c r="BH58" i="28"/>
  <c r="BG58" i="28"/>
  <c r="BF58" i="28"/>
  <c r="BX57" i="28"/>
  <c r="BW57" i="28"/>
  <c r="BV57" i="28"/>
  <c r="BU57" i="28"/>
  <c r="BT57" i="28"/>
  <c r="BS57" i="28"/>
  <c r="BR57" i="28"/>
  <c r="BP57" i="28"/>
  <c r="BO57" i="28"/>
  <c r="BN57" i="28"/>
  <c r="BM57" i="28"/>
  <c r="BL57" i="28"/>
  <c r="BK57" i="28"/>
  <c r="BJ57" i="28"/>
  <c r="BI57" i="28"/>
  <c r="BH57" i="28"/>
  <c r="BG57" i="28"/>
  <c r="BF57" i="28"/>
  <c r="BX56" i="28"/>
  <c r="BW56" i="28"/>
  <c r="BV56" i="28"/>
  <c r="BU56" i="28"/>
  <c r="BT56" i="28"/>
  <c r="BS56" i="28"/>
  <c r="BR56" i="28"/>
  <c r="BP56" i="28"/>
  <c r="BO56" i="28"/>
  <c r="BN56" i="28"/>
  <c r="BM56" i="28"/>
  <c r="BL56" i="28"/>
  <c r="BK56" i="28"/>
  <c r="BJ56" i="28"/>
  <c r="BI56" i="28"/>
  <c r="BH56" i="28"/>
  <c r="BG56" i="28"/>
  <c r="BF56" i="28"/>
  <c r="BX55" i="28"/>
  <c r="BW55" i="28"/>
  <c r="BV55" i="28"/>
  <c r="BU55" i="28"/>
  <c r="BT55" i="28"/>
  <c r="BS55" i="28"/>
  <c r="BR55" i="28"/>
  <c r="BP55" i="28"/>
  <c r="BO55" i="28"/>
  <c r="BN55" i="28"/>
  <c r="BM55" i="28"/>
  <c r="BL55" i="28"/>
  <c r="BK55" i="28"/>
  <c r="BJ55" i="28"/>
  <c r="BI55" i="28"/>
  <c r="BH55" i="28"/>
  <c r="BG55" i="28"/>
  <c r="BF55" i="28"/>
  <c r="BX54" i="28"/>
  <c r="BW54" i="28"/>
  <c r="BV54" i="28"/>
  <c r="BU54" i="28"/>
  <c r="BT54" i="28"/>
  <c r="BS54" i="28"/>
  <c r="BR54" i="28"/>
  <c r="BP54" i="28"/>
  <c r="BO54" i="28"/>
  <c r="BN54" i="28"/>
  <c r="BM54" i="28"/>
  <c r="BL54" i="28"/>
  <c r="BK54" i="28"/>
  <c r="BJ54" i="28"/>
  <c r="BI54" i="28"/>
  <c r="BH54" i="28"/>
  <c r="BG54" i="28"/>
  <c r="BF54" i="28"/>
  <c r="BX53" i="28"/>
  <c r="BW53" i="28"/>
  <c r="BV53" i="28"/>
  <c r="BU53" i="28"/>
  <c r="BT53" i="28"/>
  <c r="BS53" i="28"/>
  <c r="BR53" i="28"/>
  <c r="BP53" i="28"/>
  <c r="BO53" i="28"/>
  <c r="BN53" i="28"/>
  <c r="BM53" i="28"/>
  <c r="BL53" i="28"/>
  <c r="BK53" i="28"/>
  <c r="BJ53" i="28"/>
  <c r="BI53" i="28"/>
  <c r="BH53" i="28"/>
  <c r="BG53" i="28"/>
  <c r="BF53" i="28"/>
  <c r="BX52" i="28"/>
  <c r="BW52" i="28"/>
  <c r="BV52" i="28"/>
  <c r="BU52" i="28"/>
  <c r="BT52" i="28"/>
  <c r="BS52" i="28"/>
  <c r="BR52" i="28"/>
  <c r="BP52" i="28"/>
  <c r="BO52" i="28"/>
  <c r="BN52" i="28"/>
  <c r="BM52" i="28"/>
  <c r="BL52" i="28"/>
  <c r="BK52" i="28"/>
  <c r="BJ52" i="28"/>
  <c r="BI52" i="28"/>
  <c r="BH52" i="28"/>
  <c r="BG52" i="28"/>
  <c r="BF52" i="28"/>
  <c r="BX51" i="28"/>
  <c r="BW51" i="28"/>
  <c r="BV51" i="28"/>
  <c r="BU51" i="28"/>
  <c r="BT51" i="28"/>
  <c r="BS51" i="28"/>
  <c r="BR51" i="28"/>
  <c r="BP51" i="28"/>
  <c r="BO51" i="28"/>
  <c r="BN51" i="28"/>
  <c r="BM51" i="28"/>
  <c r="BL51" i="28"/>
  <c r="BK51" i="28"/>
  <c r="BJ51" i="28"/>
  <c r="BI51" i="28"/>
  <c r="BH51" i="28"/>
  <c r="BG51" i="28"/>
  <c r="BF51" i="28"/>
  <c r="BX50" i="28"/>
  <c r="BW50" i="28"/>
  <c r="BV50" i="28"/>
  <c r="BU50" i="28"/>
  <c r="BT50" i="28"/>
  <c r="BS50" i="28"/>
  <c r="BR50" i="28"/>
  <c r="BP50" i="28"/>
  <c r="BO50" i="28"/>
  <c r="BN50" i="28"/>
  <c r="BM50" i="28"/>
  <c r="BL50" i="28"/>
  <c r="BK50" i="28"/>
  <c r="BJ50" i="28"/>
  <c r="BI50" i="28"/>
  <c r="BH50" i="28"/>
  <c r="BG50" i="28"/>
  <c r="BF50" i="28"/>
  <c r="BX49" i="28"/>
  <c r="BW49" i="28"/>
  <c r="BV49" i="28"/>
  <c r="BU49" i="28"/>
  <c r="BT49" i="28"/>
  <c r="BS49" i="28"/>
  <c r="BR49" i="28"/>
  <c r="BP49" i="28"/>
  <c r="BO49" i="28"/>
  <c r="BN49" i="28"/>
  <c r="BM49" i="28"/>
  <c r="BL49" i="28"/>
  <c r="BK49" i="28"/>
  <c r="BJ49" i="28"/>
  <c r="BI49" i="28"/>
  <c r="BH49" i="28"/>
  <c r="BG49" i="28"/>
  <c r="BF49" i="28"/>
  <c r="BX48" i="28"/>
  <c r="BW48" i="28"/>
  <c r="BV48" i="28"/>
  <c r="BU48" i="28"/>
  <c r="BT48" i="28"/>
  <c r="BS48" i="28"/>
  <c r="BR48" i="28"/>
  <c r="BP48" i="28"/>
  <c r="BO48" i="28"/>
  <c r="BN48" i="28"/>
  <c r="BM48" i="28"/>
  <c r="BL48" i="28"/>
  <c r="BK48" i="28"/>
  <c r="BJ48" i="28"/>
  <c r="BI48" i="28"/>
  <c r="BH48" i="28"/>
  <c r="BG48" i="28"/>
  <c r="BF48" i="28"/>
  <c r="BX47" i="28"/>
  <c r="BW47" i="28"/>
  <c r="BV47" i="28"/>
  <c r="BU47" i="28"/>
  <c r="BT47" i="28"/>
  <c r="BS47" i="28"/>
  <c r="BR47" i="28"/>
  <c r="BP47" i="28"/>
  <c r="BO47" i="28"/>
  <c r="BN47" i="28"/>
  <c r="BM47" i="28"/>
  <c r="BL47" i="28"/>
  <c r="BK47" i="28"/>
  <c r="BJ47" i="28"/>
  <c r="BI47" i="28"/>
  <c r="BH47" i="28"/>
  <c r="BG47" i="28"/>
  <c r="BF47" i="28"/>
  <c r="BX46" i="28"/>
  <c r="BW46" i="28"/>
  <c r="BV46" i="28"/>
  <c r="BU46" i="28"/>
  <c r="BT46" i="28"/>
  <c r="BS46" i="28"/>
  <c r="BR46" i="28"/>
  <c r="BP46" i="28"/>
  <c r="BO46" i="28"/>
  <c r="BN46" i="28"/>
  <c r="BM46" i="28"/>
  <c r="BL46" i="28"/>
  <c r="BK46" i="28"/>
  <c r="BJ46" i="28"/>
  <c r="BI46" i="28"/>
  <c r="BH46" i="28"/>
  <c r="BG46" i="28"/>
  <c r="BF46" i="28"/>
  <c r="BX45" i="28"/>
  <c r="BW45" i="28"/>
  <c r="BV45" i="28"/>
  <c r="BU45" i="28"/>
  <c r="BT45" i="28"/>
  <c r="BS45" i="28"/>
  <c r="BR45" i="28"/>
  <c r="BP45" i="28"/>
  <c r="BO45" i="28"/>
  <c r="BN45" i="28"/>
  <c r="BM45" i="28"/>
  <c r="BL45" i="28"/>
  <c r="BK45" i="28"/>
  <c r="BJ45" i="28"/>
  <c r="BI45" i="28"/>
  <c r="BH45" i="28"/>
  <c r="BG45" i="28"/>
  <c r="BF45" i="28"/>
  <c r="BX44" i="28"/>
  <c r="BW44" i="28"/>
  <c r="BV44" i="28"/>
  <c r="BU44" i="28"/>
  <c r="BT44" i="28"/>
  <c r="BS44" i="28"/>
  <c r="BR44" i="28"/>
  <c r="BP44" i="28"/>
  <c r="BO44" i="28"/>
  <c r="BN44" i="28"/>
  <c r="BM44" i="28"/>
  <c r="BL44" i="28"/>
  <c r="BK44" i="28"/>
  <c r="BJ44" i="28"/>
  <c r="BI44" i="28"/>
  <c r="BH44" i="28"/>
  <c r="BG44" i="28"/>
  <c r="BF44" i="28"/>
  <c r="BX43" i="28"/>
  <c r="BW43" i="28"/>
  <c r="BV43" i="28"/>
  <c r="BU43" i="28"/>
  <c r="BT43" i="28"/>
  <c r="BS43" i="28"/>
  <c r="BR43" i="28"/>
  <c r="BP43" i="28"/>
  <c r="BO43" i="28"/>
  <c r="BN43" i="28"/>
  <c r="BM43" i="28"/>
  <c r="BL43" i="28"/>
  <c r="BK43" i="28"/>
  <c r="BJ43" i="28"/>
  <c r="BI43" i="28"/>
  <c r="BH43" i="28"/>
  <c r="BG43" i="28"/>
  <c r="BF43" i="28"/>
  <c r="BX42" i="28"/>
  <c r="BW42" i="28"/>
  <c r="BV42" i="28"/>
  <c r="BU42" i="28"/>
  <c r="BT42" i="28"/>
  <c r="BS42" i="28"/>
  <c r="BR42" i="28"/>
  <c r="BP42" i="28"/>
  <c r="BO42" i="28"/>
  <c r="BN42" i="28"/>
  <c r="BM42" i="28"/>
  <c r="BL42" i="28"/>
  <c r="BK42" i="28"/>
  <c r="BJ42" i="28"/>
  <c r="BI42" i="28"/>
  <c r="BH42" i="28"/>
  <c r="BG42" i="28"/>
  <c r="BF42" i="28"/>
  <c r="BX41" i="28"/>
  <c r="BW41" i="28"/>
  <c r="BV41" i="28"/>
  <c r="BU41" i="28"/>
  <c r="BT41" i="28"/>
  <c r="BS41" i="28"/>
  <c r="BR41" i="28"/>
  <c r="BP41" i="28"/>
  <c r="BO41" i="28"/>
  <c r="BN41" i="28"/>
  <c r="BM41" i="28"/>
  <c r="BL41" i="28"/>
  <c r="BK41" i="28"/>
  <c r="BJ41" i="28"/>
  <c r="BI41" i="28"/>
  <c r="BH41" i="28"/>
  <c r="BG41" i="28"/>
  <c r="BF41" i="28"/>
  <c r="BX40" i="28"/>
  <c r="BW40" i="28"/>
  <c r="BV40" i="28"/>
  <c r="BU40" i="28"/>
  <c r="BT40" i="28"/>
  <c r="BS40" i="28"/>
  <c r="BR40" i="28"/>
  <c r="BP40" i="28"/>
  <c r="BO40" i="28"/>
  <c r="BN40" i="28"/>
  <c r="BM40" i="28"/>
  <c r="BL40" i="28"/>
  <c r="BK40" i="28"/>
  <c r="BJ40" i="28"/>
  <c r="BI40" i="28"/>
  <c r="BH40" i="28"/>
  <c r="BG40" i="28"/>
  <c r="BF40" i="28"/>
  <c r="BX39" i="28"/>
  <c r="BW39" i="28"/>
  <c r="BV39" i="28"/>
  <c r="BU39" i="28"/>
  <c r="BT39" i="28"/>
  <c r="BS39" i="28"/>
  <c r="BR39" i="28"/>
  <c r="BP39" i="28"/>
  <c r="BO39" i="28"/>
  <c r="BN39" i="28"/>
  <c r="BM39" i="28"/>
  <c r="BL39" i="28"/>
  <c r="BK39" i="28"/>
  <c r="BJ39" i="28"/>
  <c r="BI39" i="28"/>
  <c r="BH39" i="28"/>
  <c r="BG39" i="28"/>
  <c r="BF39" i="28"/>
  <c r="BX38" i="28"/>
  <c r="BW38" i="28"/>
  <c r="BV38" i="28"/>
  <c r="BU38" i="28"/>
  <c r="BT38" i="28"/>
  <c r="BS38" i="28"/>
  <c r="BR38" i="28"/>
  <c r="BP38" i="28"/>
  <c r="BO38" i="28"/>
  <c r="BN38" i="28"/>
  <c r="BM38" i="28"/>
  <c r="BL38" i="28"/>
  <c r="BK38" i="28"/>
  <c r="BJ38" i="28"/>
  <c r="BI38" i="28"/>
  <c r="BH38" i="28"/>
  <c r="BG38" i="28"/>
  <c r="BF38" i="28"/>
  <c r="BX37" i="28"/>
  <c r="BW37" i="28"/>
  <c r="BV37" i="28"/>
  <c r="BU37" i="28"/>
  <c r="BT37" i="28"/>
  <c r="BS37" i="28"/>
  <c r="BR37" i="28"/>
  <c r="BP37" i="28"/>
  <c r="BO37" i="28"/>
  <c r="BN37" i="28"/>
  <c r="BM37" i="28"/>
  <c r="BL37" i="28"/>
  <c r="BK37" i="28"/>
  <c r="BJ37" i="28"/>
  <c r="BI37" i="28"/>
  <c r="BH37" i="28"/>
  <c r="BG37" i="28"/>
  <c r="BF37" i="28"/>
  <c r="BX36" i="28"/>
  <c r="BW36" i="28"/>
  <c r="BV36" i="28"/>
  <c r="BU36" i="28"/>
  <c r="BT36" i="28"/>
  <c r="BS36" i="28"/>
  <c r="BR36" i="28"/>
  <c r="BP36" i="28"/>
  <c r="BO36" i="28"/>
  <c r="BN36" i="28"/>
  <c r="BM36" i="28"/>
  <c r="BL36" i="28"/>
  <c r="BK36" i="28"/>
  <c r="BJ36" i="28"/>
  <c r="BI36" i="28"/>
  <c r="BH36" i="28"/>
  <c r="BG36" i="28"/>
  <c r="BF36" i="28"/>
  <c r="BX35" i="28"/>
  <c r="BW35" i="28"/>
  <c r="BV35" i="28"/>
  <c r="BU35" i="28"/>
  <c r="BT35" i="28"/>
  <c r="BS35" i="28"/>
  <c r="BR35" i="28"/>
  <c r="BP35" i="28"/>
  <c r="BO35" i="28"/>
  <c r="BN35" i="28"/>
  <c r="BM35" i="28"/>
  <c r="BL35" i="28"/>
  <c r="BK35" i="28"/>
  <c r="BJ35" i="28"/>
  <c r="BI35" i="28"/>
  <c r="BH35" i="28"/>
  <c r="BG35" i="28"/>
  <c r="BF35" i="28"/>
  <c r="BX34" i="28"/>
  <c r="BW34" i="28"/>
  <c r="BV34" i="28"/>
  <c r="BU34" i="28"/>
  <c r="BT34" i="28"/>
  <c r="BS34" i="28"/>
  <c r="BR34" i="28"/>
  <c r="BP34" i="28"/>
  <c r="BO34" i="28"/>
  <c r="BN34" i="28"/>
  <c r="BM34" i="28"/>
  <c r="BL34" i="28"/>
  <c r="BK34" i="28"/>
  <c r="BJ34" i="28"/>
  <c r="BI34" i="28"/>
  <c r="BH34" i="28"/>
  <c r="BG34" i="28"/>
  <c r="BF34" i="28"/>
  <c r="BX33" i="28"/>
  <c r="BW33" i="28"/>
  <c r="BV33" i="28"/>
  <c r="BU33" i="28"/>
  <c r="BT33" i="28"/>
  <c r="BS33" i="28"/>
  <c r="BR33" i="28"/>
  <c r="BP33" i="28"/>
  <c r="BO33" i="28"/>
  <c r="BN33" i="28"/>
  <c r="BM33" i="28"/>
  <c r="BL33" i="28"/>
  <c r="BK33" i="28"/>
  <c r="BJ33" i="28"/>
  <c r="BI33" i="28"/>
  <c r="BH33" i="28"/>
  <c r="BG33" i="28"/>
  <c r="BF33" i="28"/>
  <c r="BX32" i="28"/>
  <c r="BW32" i="28"/>
  <c r="BV32" i="28"/>
  <c r="BU32" i="28"/>
  <c r="BT32" i="28"/>
  <c r="BS32" i="28"/>
  <c r="BR32" i="28"/>
  <c r="BP32" i="28"/>
  <c r="BO32" i="28"/>
  <c r="BN32" i="28"/>
  <c r="BM32" i="28"/>
  <c r="BL32" i="28"/>
  <c r="BK32" i="28"/>
  <c r="BJ32" i="28"/>
  <c r="BI32" i="28"/>
  <c r="BH32" i="28"/>
  <c r="BG32" i="28"/>
  <c r="BF32" i="28"/>
  <c r="BX31" i="28"/>
  <c r="BW31" i="28"/>
  <c r="BV31" i="28"/>
  <c r="BU31" i="28"/>
  <c r="BT31" i="28"/>
  <c r="BS31" i="28"/>
  <c r="BR31" i="28"/>
  <c r="BP31" i="28"/>
  <c r="BO31" i="28"/>
  <c r="BN31" i="28"/>
  <c r="BM31" i="28"/>
  <c r="BL31" i="28"/>
  <c r="BK31" i="28"/>
  <c r="BJ31" i="28"/>
  <c r="BI31" i="28"/>
  <c r="BH31" i="28"/>
  <c r="BG31" i="28"/>
  <c r="BF31" i="28"/>
  <c r="BX30" i="28"/>
  <c r="BW30" i="28"/>
  <c r="BV30" i="28"/>
  <c r="BU30" i="28"/>
  <c r="BT30" i="28"/>
  <c r="BS30" i="28"/>
  <c r="BR30" i="28"/>
  <c r="BP30" i="28"/>
  <c r="BO30" i="28"/>
  <c r="BN30" i="28"/>
  <c r="BM30" i="28"/>
  <c r="BL30" i="28"/>
  <c r="BK30" i="28"/>
  <c r="BJ30" i="28"/>
  <c r="BI30" i="28"/>
  <c r="BH30" i="28"/>
  <c r="BG30" i="28"/>
  <c r="BF30" i="28"/>
  <c r="BX29" i="28"/>
  <c r="BW29" i="28"/>
  <c r="BV29" i="28"/>
  <c r="BU29" i="28"/>
  <c r="BT29" i="28"/>
  <c r="BS29" i="28"/>
  <c r="BR29" i="28"/>
  <c r="BP29" i="28"/>
  <c r="BO29" i="28"/>
  <c r="BN29" i="28"/>
  <c r="BM29" i="28"/>
  <c r="BL29" i="28"/>
  <c r="BK29" i="28"/>
  <c r="BJ29" i="28"/>
  <c r="BI29" i="28"/>
  <c r="BH29" i="28"/>
  <c r="BG29" i="28"/>
  <c r="BF29" i="28"/>
  <c r="BX28" i="28"/>
  <c r="BW28" i="28"/>
  <c r="BV28" i="28"/>
  <c r="BU28" i="28"/>
  <c r="BT28" i="28"/>
  <c r="BS28" i="28"/>
  <c r="BR28" i="28"/>
  <c r="BP28" i="28"/>
  <c r="BO28" i="28"/>
  <c r="BN28" i="28"/>
  <c r="BM28" i="28"/>
  <c r="BL28" i="28"/>
  <c r="BK28" i="28"/>
  <c r="BJ28" i="28"/>
  <c r="BI28" i="28"/>
  <c r="BH28" i="28"/>
  <c r="BG28" i="28"/>
  <c r="BF28" i="28"/>
  <c r="BX27" i="28"/>
  <c r="BW27" i="28"/>
  <c r="BV27" i="28"/>
  <c r="BU27" i="28"/>
  <c r="BT27" i="28"/>
  <c r="BS27" i="28"/>
  <c r="BR27" i="28"/>
  <c r="BP27" i="28"/>
  <c r="BO27" i="28"/>
  <c r="BN27" i="28"/>
  <c r="BM27" i="28"/>
  <c r="BL27" i="28"/>
  <c r="BK27" i="28"/>
  <c r="BJ27" i="28"/>
  <c r="BI27" i="28"/>
  <c r="BH27" i="28"/>
  <c r="BG27" i="28"/>
  <c r="BF27" i="28"/>
  <c r="BX26" i="28"/>
  <c r="BW26" i="28"/>
  <c r="BV26" i="28"/>
  <c r="BU26" i="28"/>
  <c r="BT26" i="28"/>
  <c r="BS26" i="28"/>
  <c r="BR26" i="28"/>
  <c r="BP26" i="28"/>
  <c r="BO26" i="28"/>
  <c r="BN26" i="28"/>
  <c r="BM26" i="28"/>
  <c r="BL26" i="28"/>
  <c r="BK26" i="28"/>
  <c r="BJ26" i="28"/>
  <c r="BI26" i="28"/>
  <c r="BH26" i="28"/>
  <c r="BG26" i="28"/>
  <c r="BF26" i="28"/>
  <c r="BX25" i="28"/>
  <c r="BW25" i="28"/>
  <c r="BV25" i="28"/>
  <c r="BU25" i="28"/>
  <c r="BT25" i="28"/>
  <c r="BS25" i="28"/>
  <c r="BR25" i="28"/>
  <c r="BP25" i="28"/>
  <c r="BO25" i="28"/>
  <c r="BN25" i="28"/>
  <c r="BM25" i="28"/>
  <c r="BL25" i="28"/>
  <c r="BK25" i="28"/>
  <c r="BJ25" i="28"/>
  <c r="BI25" i="28"/>
  <c r="BH25" i="28"/>
  <c r="BG25" i="28"/>
  <c r="BF25" i="28"/>
  <c r="BX24" i="28"/>
  <c r="BW24" i="28"/>
  <c r="BV24" i="28"/>
  <c r="BU24" i="28"/>
  <c r="BT24" i="28"/>
  <c r="BS24" i="28"/>
  <c r="BR24" i="28"/>
  <c r="BP24" i="28"/>
  <c r="BO24" i="28"/>
  <c r="BN24" i="28"/>
  <c r="BM24" i="28"/>
  <c r="BL24" i="28"/>
  <c r="BK24" i="28"/>
  <c r="BJ24" i="28"/>
  <c r="BI24" i="28"/>
  <c r="BH24" i="28"/>
  <c r="BG24" i="28"/>
  <c r="BF24" i="28"/>
  <c r="BX23" i="28"/>
  <c r="BW23" i="28"/>
  <c r="BV23" i="28"/>
  <c r="BU23" i="28"/>
  <c r="BT23" i="28"/>
  <c r="BS23" i="28"/>
  <c r="BR23" i="28"/>
  <c r="BP23" i="28"/>
  <c r="BO23" i="28"/>
  <c r="BN23" i="28"/>
  <c r="BM23" i="28"/>
  <c r="BL23" i="28"/>
  <c r="BK23" i="28"/>
  <c r="BJ23" i="28"/>
  <c r="BI23" i="28"/>
  <c r="BH23" i="28"/>
  <c r="BG23" i="28"/>
  <c r="BF23" i="28"/>
  <c r="BX22" i="28"/>
  <c r="BW22" i="28"/>
  <c r="BV22" i="28"/>
  <c r="BU22" i="28"/>
  <c r="BT22" i="28"/>
  <c r="BS22" i="28"/>
  <c r="BR22" i="28"/>
  <c r="BP22" i="28"/>
  <c r="BO22" i="28"/>
  <c r="BN22" i="28"/>
  <c r="BM22" i="28"/>
  <c r="BL22" i="28"/>
  <c r="BK22" i="28"/>
  <c r="BJ22" i="28"/>
  <c r="BI22" i="28"/>
  <c r="BH22" i="28"/>
  <c r="BG22" i="28"/>
  <c r="BF22" i="28"/>
  <c r="BX21" i="28"/>
  <c r="BW21" i="28"/>
  <c r="BV21" i="28"/>
  <c r="BU21" i="28"/>
  <c r="BT21" i="28"/>
  <c r="BS21" i="28"/>
  <c r="BR21" i="28"/>
  <c r="BP21" i="28"/>
  <c r="BO21" i="28"/>
  <c r="BN21" i="28"/>
  <c r="BM21" i="28"/>
  <c r="BL21" i="28"/>
  <c r="BK21" i="28"/>
  <c r="BJ21" i="28"/>
  <c r="BI21" i="28"/>
  <c r="BH21" i="28"/>
  <c r="BG21" i="28"/>
  <c r="BF21" i="28"/>
  <c r="BX20" i="28"/>
  <c r="BW20" i="28"/>
  <c r="BV20" i="28"/>
  <c r="BU20" i="28"/>
  <c r="BT20" i="28"/>
  <c r="BS20" i="28"/>
  <c r="BR20" i="28"/>
  <c r="BP20" i="28"/>
  <c r="BO20" i="28"/>
  <c r="BN20" i="28"/>
  <c r="BM20" i="28"/>
  <c r="BL20" i="28"/>
  <c r="BK20" i="28"/>
  <c r="BJ20" i="28"/>
  <c r="BI20" i="28"/>
  <c r="BH20" i="28"/>
  <c r="BG20" i="28"/>
  <c r="BF20" i="28"/>
  <c r="BX19" i="28"/>
  <c r="BW19" i="28"/>
  <c r="BV19" i="28"/>
  <c r="BU19" i="28"/>
  <c r="BT19" i="28"/>
  <c r="BS19" i="28"/>
  <c r="BR19" i="28"/>
  <c r="BP19" i="28"/>
  <c r="BO19" i="28"/>
  <c r="BN19" i="28"/>
  <c r="BM19" i="28"/>
  <c r="BL19" i="28"/>
  <c r="BK19" i="28"/>
  <c r="BJ19" i="28"/>
  <c r="BI19" i="28"/>
  <c r="BH19" i="28"/>
  <c r="BG19" i="28"/>
  <c r="BF19" i="28"/>
  <c r="BX18" i="28"/>
  <c r="BW18" i="28"/>
  <c r="BV18" i="28"/>
  <c r="BU18" i="28"/>
  <c r="BT18" i="28"/>
  <c r="BS18" i="28"/>
  <c r="BR18" i="28"/>
  <c r="BP18" i="28"/>
  <c r="BO18" i="28"/>
  <c r="BN18" i="28"/>
  <c r="BM18" i="28"/>
  <c r="BL18" i="28"/>
  <c r="BK18" i="28"/>
  <c r="BJ18" i="28"/>
  <c r="BI18" i="28"/>
  <c r="BH18" i="28"/>
  <c r="BG18" i="28"/>
  <c r="BF18" i="28"/>
  <c r="BX17" i="28"/>
  <c r="BW17" i="28"/>
  <c r="BV17" i="28"/>
  <c r="BU17" i="28"/>
  <c r="BT17" i="28"/>
  <c r="BS17" i="28"/>
  <c r="BR17" i="28"/>
  <c r="BP17" i="28"/>
  <c r="BO17" i="28"/>
  <c r="BN17" i="28"/>
  <c r="BM17" i="28"/>
  <c r="BL17" i="28"/>
  <c r="BK17" i="28"/>
  <c r="BJ17" i="28"/>
  <c r="BI17" i="28"/>
  <c r="BH17" i="28"/>
  <c r="BG17" i="28"/>
  <c r="BF17" i="28"/>
  <c r="BX16" i="28"/>
  <c r="BW16" i="28"/>
  <c r="BV16" i="28"/>
  <c r="BU16" i="28"/>
  <c r="BT16" i="28"/>
  <c r="BS16" i="28"/>
  <c r="BR16" i="28"/>
  <c r="BP16" i="28"/>
  <c r="BO16" i="28"/>
  <c r="BN16" i="28"/>
  <c r="BM16" i="28"/>
  <c r="BL16" i="28"/>
  <c r="BK16" i="28"/>
  <c r="BJ16" i="28"/>
  <c r="BI16" i="28"/>
  <c r="BH16" i="28"/>
  <c r="BG16" i="28"/>
  <c r="BF16" i="28"/>
  <c r="BX15" i="28"/>
  <c r="BW15" i="28"/>
  <c r="BV15" i="28"/>
  <c r="BU15" i="28"/>
  <c r="BT15" i="28"/>
  <c r="BS15" i="28"/>
  <c r="BR15" i="28"/>
  <c r="BP15" i="28"/>
  <c r="BO15" i="28"/>
  <c r="BN15" i="28"/>
  <c r="BM15" i="28"/>
  <c r="BL15" i="28"/>
  <c r="BK15" i="28"/>
  <c r="BJ15" i="28"/>
  <c r="BI15" i="28"/>
  <c r="BH15" i="28"/>
  <c r="BG15" i="28"/>
  <c r="BF15" i="28"/>
  <c r="BX14" i="28"/>
  <c r="BW14" i="28"/>
  <c r="BV14" i="28"/>
  <c r="BU14" i="28"/>
  <c r="BT14" i="28"/>
  <c r="BS14" i="28"/>
  <c r="BR14" i="28"/>
  <c r="BP14" i="28"/>
  <c r="BO14" i="28"/>
  <c r="BN14" i="28"/>
  <c r="BM14" i="28"/>
  <c r="BL14" i="28"/>
  <c r="BK14" i="28"/>
  <c r="BJ14" i="28"/>
  <c r="BI14" i="28"/>
  <c r="BH14" i="28"/>
  <c r="BG14" i="28"/>
  <c r="BF14" i="28"/>
  <c r="BX13" i="28"/>
  <c r="BW13" i="28"/>
  <c r="BV13" i="28"/>
  <c r="BU13" i="28"/>
  <c r="BT13" i="28"/>
  <c r="BS13" i="28"/>
  <c r="BR13" i="28"/>
  <c r="BP13" i="28"/>
  <c r="BO13" i="28"/>
  <c r="BN13" i="28"/>
  <c r="BM13" i="28"/>
  <c r="BL13" i="28"/>
  <c r="BK13" i="28"/>
  <c r="BJ13" i="28"/>
  <c r="BI13" i="28"/>
  <c r="BH13" i="28"/>
  <c r="BG13" i="28"/>
  <c r="BF13" i="28"/>
  <c r="BX12" i="28"/>
  <c r="BW12" i="28"/>
  <c r="BV12" i="28"/>
  <c r="BU12" i="28"/>
  <c r="BT12" i="28"/>
  <c r="BS12" i="28"/>
  <c r="BR12" i="28"/>
  <c r="BP12" i="28"/>
  <c r="BO12" i="28"/>
  <c r="BN12" i="28"/>
  <c r="BM12" i="28"/>
  <c r="BL12" i="28"/>
  <c r="BK12" i="28"/>
  <c r="BJ12" i="28"/>
  <c r="BI12" i="28"/>
  <c r="BH12" i="28"/>
  <c r="BG12" i="28"/>
  <c r="BF12" i="28"/>
  <c r="BX11" i="28"/>
  <c r="BW11" i="28"/>
  <c r="BV11" i="28"/>
  <c r="BU11" i="28"/>
  <c r="BT11" i="28"/>
  <c r="BS11" i="28"/>
  <c r="BR11" i="28"/>
  <c r="BP11" i="28"/>
  <c r="BO11" i="28"/>
  <c r="BN11" i="28"/>
  <c r="BM11" i="28"/>
  <c r="BL11" i="28"/>
  <c r="BK11" i="28"/>
  <c r="BJ11" i="28"/>
  <c r="BI11" i="28"/>
  <c r="BH11" i="28"/>
  <c r="BG11" i="28"/>
  <c r="BF11" i="28"/>
  <c r="BX10" i="28"/>
  <c r="BW10" i="28"/>
  <c r="BV10" i="28"/>
  <c r="BU10" i="28"/>
  <c r="BT10" i="28"/>
  <c r="BS10" i="28"/>
  <c r="BR10" i="28"/>
  <c r="BP10" i="28"/>
  <c r="BO10" i="28"/>
  <c r="BN10" i="28"/>
  <c r="BM10" i="28"/>
  <c r="BL10" i="28"/>
  <c r="BK10" i="28"/>
  <c r="BJ10" i="28"/>
  <c r="BI10" i="28"/>
  <c r="BH10" i="28"/>
  <c r="BG10" i="28"/>
  <c r="BF10" i="28"/>
  <c r="BX9" i="28"/>
  <c r="BW9" i="28"/>
  <c r="BV9" i="28"/>
  <c r="BU9" i="28"/>
  <c r="BT9" i="28"/>
  <c r="BS9" i="28"/>
  <c r="BR9" i="28"/>
  <c r="BP9" i="28"/>
  <c r="BO9" i="28"/>
  <c r="BN9" i="28"/>
  <c r="BM9" i="28"/>
  <c r="BL9" i="28"/>
  <c r="BK9" i="28"/>
  <c r="BJ9" i="28"/>
  <c r="BI9" i="28"/>
  <c r="BH9" i="28"/>
  <c r="BG9" i="28"/>
  <c r="BF9" i="28"/>
  <c r="BX8" i="28"/>
  <c r="BW8" i="28"/>
  <c r="BV8" i="28"/>
  <c r="BU8" i="28"/>
  <c r="BT8" i="28"/>
  <c r="BS8" i="28"/>
  <c r="BR8" i="28"/>
  <c r="BP8" i="28"/>
  <c r="BO8" i="28"/>
  <c r="BN8" i="28"/>
  <c r="BM8" i="28"/>
  <c r="BL8" i="28"/>
  <c r="BK8" i="28"/>
  <c r="BJ8" i="28"/>
  <c r="BI8" i="28"/>
  <c r="BH8" i="28"/>
  <c r="BG8" i="28"/>
  <c r="BF8" i="28"/>
  <c r="BX7" i="28"/>
  <c r="BW7" i="28"/>
  <c r="BV7" i="28"/>
  <c r="BU7" i="28"/>
  <c r="BT7" i="28"/>
  <c r="BS7" i="28"/>
  <c r="BR7" i="28"/>
  <c r="BP7" i="28"/>
  <c r="BO7" i="28"/>
  <c r="BN7" i="28"/>
  <c r="BM7" i="28"/>
  <c r="BL7" i="28"/>
  <c r="BK7" i="28"/>
  <c r="BJ7" i="28"/>
  <c r="BI7" i="28"/>
  <c r="BH7" i="28"/>
  <c r="BG7" i="28"/>
  <c r="BF7" i="28"/>
  <c r="BX6" i="28"/>
  <c r="BW6" i="28"/>
  <c r="BV6" i="28"/>
  <c r="BU6" i="28"/>
  <c r="BT6" i="28"/>
  <c r="BS6" i="28"/>
  <c r="BR6" i="28"/>
  <c r="BP6" i="28"/>
  <c r="BO6" i="28"/>
  <c r="BN6" i="28"/>
  <c r="BM6" i="28"/>
  <c r="BL6" i="28"/>
  <c r="BK6" i="28"/>
  <c r="BJ6" i="28"/>
  <c r="BI6" i="28"/>
  <c r="BH6" i="28"/>
  <c r="BG6" i="28"/>
  <c r="BF6" i="28"/>
  <c r="BX5" i="28"/>
  <c r="BW5" i="28"/>
  <c r="BV5" i="28"/>
  <c r="BU5" i="28"/>
  <c r="BT5" i="28"/>
  <c r="BS5" i="28"/>
  <c r="BR5" i="28"/>
  <c r="BP5" i="28"/>
  <c r="BO5" i="28"/>
  <c r="BN5" i="28"/>
  <c r="BM5" i="28"/>
  <c r="BL5" i="28"/>
  <c r="BK5" i="28"/>
  <c r="BJ5" i="28"/>
  <c r="BI5" i="28"/>
  <c r="BH5" i="28"/>
  <c r="BG5" i="28"/>
  <c r="BF5" i="28"/>
  <c r="BX4" i="28"/>
  <c r="BW4" i="28"/>
  <c r="BV4" i="28"/>
  <c r="BU4" i="28"/>
  <c r="BT4" i="28"/>
  <c r="BS4" i="28"/>
  <c r="BR4" i="28"/>
  <c r="BP4" i="28"/>
  <c r="BO4" i="28"/>
  <c r="BN4" i="28"/>
  <c r="BM4" i="28"/>
  <c r="BL4" i="28"/>
  <c r="BK4" i="28"/>
  <c r="BJ4" i="28"/>
  <c r="BI4" i="28"/>
  <c r="BH4" i="28"/>
  <c r="BG4" i="28"/>
  <c r="BF4" i="28"/>
  <c r="BX3" i="28"/>
  <c r="BW3" i="28"/>
  <c r="BV3" i="28"/>
  <c r="BU3" i="28"/>
  <c r="BT3" i="28"/>
  <c r="BS3" i="28"/>
  <c r="BR3" i="28"/>
  <c r="BP3" i="28"/>
  <c r="BO3" i="28"/>
  <c r="BN3" i="28"/>
  <c r="BM3" i="28"/>
  <c r="BL3" i="28"/>
  <c r="BK3" i="28"/>
  <c r="BJ3" i="28"/>
  <c r="BI3" i="28"/>
  <c r="BH3" i="28"/>
  <c r="BG3" i="28"/>
  <c r="BF3" i="28"/>
  <c r="BX2" i="28"/>
  <c r="BW2" i="28"/>
  <c r="BV2" i="28"/>
  <c r="BU2" i="28"/>
  <c r="BT2" i="28"/>
  <c r="BS2" i="28"/>
  <c r="BR2" i="28"/>
  <c r="BP2" i="28"/>
  <c r="BO2" i="28"/>
  <c r="BN2" i="28"/>
  <c r="BM2" i="28"/>
  <c r="BL2" i="28"/>
  <c r="BK2" i="28"/>
  <c r="BJ2" i="28"/>
  <c r="BI2" i="28"/>
  <c r="BH2" i="28"/>
  <c r="BG2" i="28"/>
  <c r="BF2" i="28"/>
  <c r="BN2" i="4"/>
  <c r="F2" i="18" s="1"/>
  <c r="BL2" i="4"/>
  <c r="BL2" i="18" s="1"/>
  <c r="BK2" i="4"/>
  <c r="BJ2" i="4"/>
  <c r="AR2" i="4"/>
  <c r="K4" i="5" s="1"/>
  <c r="BI2" i="4"/>
  <c r="BH2" i="4"/>
  <c r="AM2" i="4"/>
  <c r="BF2" i="4"/>
  <c r="BF2" i="18" s="1"/>
  <c r="AM2" i="18" s="1"/>
  <c r="AK2" i="4"/>
  <c r="BD2" i="4"/>
  <c r="AJ2" i="4"/>
  <c r="BC2" i="4"/>
  <c r="DW2" i="4" s="1"/>
  <c r="AI2" i="4"/>
  <c r="BB2" i="4"/>
  <c r="AH2" i="4"/>
  <c r="BA2" i="4"/>
  <c r="AG2" i="4"/>
  <c r="AZ2" i="4"/>
  <c r="C4" i="24"/>
  <c r="AU2" i="27"/>
  <c r="AL2" i="27"/>
  <c r="AT2" i="26"/>
  <c r="AO2" i="4"/>
  <c r="AQ2" i="4"/>
  <c r="W2" i="18" s="1"/>
  <c r="AU2" i="4"/>
  <c r="BX2" i="4" s="1"/>
  <c r="AU2" i="26"/>
  <c r="AH4" i="24"/>
  <c r="AG4" i="24"/>
  <c r="AF4" i="24"/>
  <c r="AC4" i="24"/>
  <c r="AB4" i="24"/>
  <c r="BX3" i="4"/>
  <c r="BX8" i="4"/>
  <c r="BX16" i="4"/>
  <c r="BX24" i="4"/>
  <c r="CF2" i="4"/>
  <c r="AL2" i="17"/>
  <c r="F11" i="5"/>
  <c r="F10" i="5"/>
  <c r="F6" i="5"/>
  <c r="F5" i="5"/>
  <c r="Q2" i="23"/>
  <c r="P2" i="23"/>
  <c r="O2" i="23"/>
  <c r="N2" i="23"/>
  <c r="M2" i="23"/>
  <c r="L2" i="23"/>
  <c r="K2" i="23"/>
  <c r="I2" i="23"/>
  <c r="H2" i="23"/>
  <c r="BU3" i="12"/>
  <c r="BU4" i="12"/>
  <c r="BU5" i="12"/>
  <c r="BU6" i="12"/>
  <c r="BU7" i="12"/>
  <c r="BU8" i="12"/>
  <c r="BU9" i="12"/>
  <c r="BU10" i="12"/>
  <c r="BU11" i="12"/>
  <c r="BU12" i="12"/>
  <c r="BU13" i="12"/>
  <c r="BU14" i="12"/>
  <c r="BU15" i="12"/>
  <c r="BU16" i="12"/>
  <c r="BU17" i="12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3" i="12"/>
  <c r="BU74" i="12"/>
  <c r="BU75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03" i="12"/>
  <c r="BU104" i="12"/>
  <c r="BU105" i="12"/>
  <c r="BU106" i="12"/>
  <c r="BU107" i="12"/>
  <c r="BU108" i="12"/>
  <c r="BU109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2" i="12"/>
  <c r="H1" i="19"/>
  <c r="H2" i="19"/>
  <c r="BT3" i="12"/>
  <c r="BT4" i="12"/>
  <c r="BT5" i="12"/>
  <c r="BT6" i="12"/>
  <c r="BT7" i="12"/>
  <c r="BT8" i="12"/>
  <c r="BT9" i="12"/>
  <c r="BT10" i="12"/>
  <c r="BT11" i="12"/>
  <c r="BT12" i="12"/>
  <c r="BT13" i="12"/>
  <c r="BT14" i="12"/>
  <c r="BT15" i="12"/>
  <c r="BT16" i="12"/>
  <c r="BT17" i="12"/>
  <c r="BT18" i="12"/>
  <c r="BT19" i="12"/>
  <c r="BT20" i="12"/>
  <c r="BT21" i="12"/>
  <c r="BT22" i="12"/>
  <c r="BT23" i="12"/>
  <c r="BT24" i="12"/>
  <c r="BT25" i="12"/>
  <c r="BT26" i="12"/>
  <c r="BT27" i="12"/>
  <c r="BT28" i="12"/>
  <c r="BT29" i="12"/>
  <c r="BT30" i="12"/>
  <c r="BT31" i="12"/>
  <c r="BT32" i="12"/>
  <c r="BT33" i="12"/>
  <c r="BT34" i="12"/>
  <c r="BT35" i="12"/>
  <c r="BT36" i="12"/>
  <c r="BT37" i="12"/>
  <c r="BT38" i="12"/>
  <c r="BT39" i="12"/>
  <c r="BT40" i="12"/>
  <c r="BT41" i="12"/>
  <c r="BT42" i="12"/>
  <c r="BT43" i="12"/>
  <c r="BT44" i="12"/>
  <c r="BT45" i="12"/>
  <c r="BT46" i="12"/>
  <c r="BT47" i="12"/>
  <c r="BT48" i="12"/>
  <c r="BT49" i="12"/>
  <c r="BT50" i="12"/>
  <c r="BT51" i="12"/>
  <c r="BT52" i="12"/>
  <c r="BT53" i="12"/>
  <c r="BT54" i="12"/>
  <c r="BT55" i="12"/>
  <c r="BT56" i="12"/>
  <c r="BT57" i="12"/>
  <c r="BT58" i="12"/>
  <c r="BT59" i="12"/>
  <c r="BT60" i="12"/>
  <c r="BT61" i="12"/>
  <c r="BT62" i="12"/>
  <c r="BT63" i="12"/>
  <c r="BT64" i="12"/>
  <c r="BT65" i="12"/>
  <c r="BT66" i="12"/>
  <c r="BT67" i="12"/>
  <c r="BT68" i="12"/>
  <c r="BT69" i="12"/>
  <c r="BT70" i="12"/>
  <c r="BT71" i="12"/>
  <c r="BT72" i="12"/>
  <c r="BT73" i="12"/>
  <c r="BT74" i="12"/>
  <c r="BT75" i="12"/>
  <c r="BT76" i="12"/>
  <c r="BT77" i="12"/>
  <c r="BT78" i="12"/>
  <c r="BT79" i="12"/>
  <c r="BT80" i="12"/>
  <c r="BT81" i="12"/>
  <c r="BT82" i="12"/>
  <c r="BT83" i="12"/>
  <c r="BT84" i="12"/>
  <c r="BT85" i="12"/>
  <c r="BT86" i="12"/>
  <c r="BT87" i="12"/>
  <c r="BT88" i="12"/>
  <c r="BT89" i="12"/>
  <c r="BT90" i="12"/>
  <c r="BT91" i="12"/>
  <c r="BT92" i="12"/>
  <c r="BT93" i="12"/>
  <c r="BT94" i="12"/>
  <c r="BT95" i="12"/>
  <c r="BT96" i="12"/>
  <c r="BT97" i="12"/>
  <c r="BT98" i="12"/>
  <c r="BT99" i="12"/>
  <c r="BT100" i="12"/>
  <c r="BT101" i="12"/>
  <c r="BT102" i="12"/>
  <c r="BT103" i="12"/>
  <c r="BT104" i="12"/>
  <c r="BT105" i="12"/>
  <c r="BT106" i="12"/>
  <c r="BT107" i="12"/>
  <c r="BT108" i="12"/>
  <c r="BT109" i="12"/>
  <c r="BT110" i="12"/>
  <c r="BT111" i="12"/>
  <c r="BT112" i="12"/>
  <c r="BT113" i="12"/>
  <c r="BT114" i="12"/>
  <c r="BT115" i="12"/>
  <c r="BT116" i="12"/>
  <c r="BT117" i="12"/>
  <c r="BT118" i="12"/>
  <c r="BT119" i="12"/>
  <c r="BT120" i="12"/>
  <c r="BT121" i="12"/>
  <c r="BT122" i="12"/>
  <c r="BT123" i="12"/>
  <c r="BT124" i="12"/>
  <c r="BT125" i="12"/>
  <c r="BT126" i="12"/>
  <c r="BT127" i="12"/>
  <c r="BT128" i="12"/>
  <c r="BT129" i="12"/>
  <c r="BT130" i="12"/>
  <c r="BT131" i="12"/>
  <c r="BT132" i="12"/>
  <c r="BT133" i="12"/>
  <c r="BT134" i="12"/>
  <c r="BT135" i="12"/>
  <c r="BT136" i="12"/>
  <c r="BT137" i="12"/>
  <c r="BT138" i="12"/>
  <c r="BT139" i="12"/>
  <c r="BT140" i="12"/>
  <c r="BT141" i="12"/>
  <c r="BT142" i="12"/>
  <c r="BT143" i="12"/>
  <c r="BT144" i="12"/>
  <c r="BT145" i="12"/>
  <c r="BT146" i="12"/>
  <c r="BT147" i="12"/>
  <c r="BT148" i="12"/>
  <c r="BT149" i="12"/>
  <c r="BT150" i="12"/>
  <c r="BT151" i="12"/>
  <c r="BT152" i="12"/>
  <c r="BT153" i="12"/>
  <c r="BT154" i="12"/>
  <c r="BT155" i="12"/>
  <c r="BT156" i="12"/>
  <c r="BT157" i="12"/>
  <c r="BT158" i="12"/>
  <c r="BT159" i="12"/>
  <c r="BT160" i="12"/>
  <c r="BT161" i="12"/>
  <c r="BT162" i="12"/>
  <c r="BT163" i="12"/>
  <c r="BT164" i="12"/>
  <c r="BT165" i="12"/>
  <c r="BT166" i="12"/>
  <c r="BT167" i="12"/>
  <c r="BT168" i="12"/>
  <c r="BT169" i="12"/>
  <c r="BT170" i="12"/>
  <c r="BT171" i="12"/>
  <c r="BT172" i="12"/>
  <c r="BT173" i="12"/>
  <c r="BT174" i="12"/>
  <c r="BT175" i="12"/>
  <c r="BT176" i="12"/>
  <c r="BT177" i="12"/>
  <c r="BT178" i="12"/>
  <c r="BT179" i="12"/>
  <c r="BT180" i="12"/>
  <c r="BT181" i="12"/>
  <c r="BT182" i="12"/>
  <c r="BT183" i="12"/>
  <c r="BT184" i="12"/>
  <c r="BT185" i="12"/>
  <c r="BT2" i="12"/>
  <c r="BO3" i="12"/>
  <c r="BO4" i="12"/>
  <c r="BO5" i="12"/>
  <c r="BO6" i="12"/>
  <c r="BO7" i="12"/>
  <c r="BO8" i="12"/>
  <c r="BO9" i="12"/>
  <c r="BO10" i="12"/>
  <c r="BO11" i="12"/>
  <c r="BO12" i="12"/>
  <c r="BO13" i="12"/>
  <c r="BO14" i="12"/>
  <c r="BO15" i="12"/>
  <c r="BO16" i="12"/>
  <c r="BO17" i="12"/>
  <c r="BO18" i="12"/>
  <c r="BO19" i="12"/>
  <c r="BO20" i="12"/>
  <c r="BO21" i="12"/>
  <c r="BO22" i="12"/>
  <c r="BO23" i="12"/>
  <c r="BO24" i="12"/>
  <c r="BO25" i="12"/>
  <c r="BO26" i="12"/>
  <c r="BO27" i="12"/>
  <c r="BO28" i="12"/>
  <c r="BO29" i="12"/>
  <c r="BO30" i="12"/>
  <c r="BO31" i="12"/>
  <c r="BO32" i="12"/>
  <c r="BO33" i="12"/>
  <c r="BO34" i="12"/>
  <c r="BO35" i="12"/>
  <c r="BO36" i="12"/>
  <c r="BO37" i="12"/>
  <c r="BO38" i="12"/>
  <c r="BO39" i="12"/>
  <c r="BO40" i="12"/>
  <c r="BO41" i="12"/>
  <c r="BO42" i="12"/>
  <c r="BO43" i="12"/>
  <c r="BO44" i="12"/>
  <c r="BO45" i="12"/>
  <c r="BO46" i="12"/>
  <c r="BO47" i="12"/>
  <c r="BO48" i="12"/>
  <c r="BO49" i="12"/>
  <c r="BO50" i="12"/>
  <c r="BO51" i="12"/>
  <c r="BO52" i="12"/>
  <c r="BO53" i="12"/>
  <c r="BO54" i="12"/>
  <c r="BO55" i="12"/>
  <c r="BO56" i="12"/>
  <c r="BO57" i="12"/>
  <c r="BO58" i="12"/>
  <c r="BO59" i="12"/>
  <c r="BO60" i="12"/>
  <c r="BO61" i="12"/>
  <c r="BO62" i="12"/>
  <c r="BO63" i="12"/>
  <c r="BO64" i="12"/>
  <c r="BO65" i="12"/>
  <c r="BO66" i="12"/>
  <c r="BO67" i="12"/>
  <c r="BO68" i="12"/>
  <c r="BO69" i="12"/>
  <c r="BO70" i="12"/>
  <c r="BO71" i="12"/>
  <c r="BO72" i="12"/>
  <c r="BO73" i="12"/>
  <c r="BO74" i="12"/>
  <c r="BO75" i="12"/>
  <c r="BO76" i="12"/>
  <c r="BO77" i="12"/>
  <c r="BO78" i="12"/>
  <c r="BO79" i="12"/>
  <c r="BO80" i="12"/>
  <c r="BO81" i="12"/>
  <c r="BO82" i="12"/>
  <c r="BO83" i="12"/>
  <c r="BO84" i="12"/>
  <c r="BO85" i="12"/>
  <c r="BO86" i="12"/>
  <c r="BO87" i="12"/>
  <c r="BO88" i="12"/>
  <c r="BO89" i="12"/>
  <c r="BO90" i="12"/>
  <c r="BO91" i="12"/>
  <c r="BO92" i="12"/>
  <c r="BO93" i="12"/>
  <c r="BO94" i="12"/>
  <c r="BO95" i="12"/>
  <c r="BO96" i="12"/>
  <c r="BO97" i="12"/>
  <c r="BO98" i="12"/>
  <c r="BO99" i="12"/>
  <c r="BO100" i="12"/>
  <c r="BO101" i="12"/>
  <c r="BO102" i="12"/>
  <c r="BO103" i="12"/>
  <c r="BO104" i="12"/>
  <c r="BO105" i="12"/>
  <c r="BO106" i="12"/>
  <c r="BO107" i="12"/>
  <c r="BO108" i="12"/>
  <c r="BO109" i="12"/>
  <c r="BO110" i="12"/>
  <c r="BO111" i="12"/>
  <c r="BO112" i="12"/>
  <c r="BO113" i="12"/>
  <c r="BO114" i="12"/>
  <c r="BO115" i="12"/>
  <c r="BO116" i="12"/>
  <c r="BO117" i="12"/>
  <c r="BO118" i="12"/>
  <c r="BO119" i="12"/>
  <c r="BO120" i="12"/>
  <c r="BO121" i="12"/>
  <c r="BO122" i="12"/>
  <c r="BO123" i="12"/>
  <c r="BO124" i="12"/>
  <c r="BO125" i="12"/>
  <c r="BO126" i="12"/>
  <c r="BO127" i="12"/>
  <c r="BO128" i="12"/>
  <c r="BO129" i="12"/>
  <c r="BO130" i="12"/>
  <c r="BO131" i="12"/>
  <c r="BO132" i="12"/>
  <c r="BO133" i="12"/>
  <c r="BO134" i="12"/>
  <c r="BO135" i="12"/>
  <c r="BO136" i="12"/>
  <c r="BO137" i="12"/>
  <c r="BO138" i="12"/>
  <c r="BO139" i="12"/>
  <c r="BO140" i="12"/>
  <c r="BO141" i="12"/>
  <c r="BO142" i="12"/>
  <c r="BO143" i="12"/>
  <c r="BO144" i="12"/>
  <c r="BO145" i="12"/>
  <c r="BO146" i="12"/>
  <c r="BO147" i="12"/>
  <c r="BO148" i="12"/>
  <c r="BO149" i="12"/>
  <c r="BO150" i="12"/>
  <c r="BO151" i="12"/>
  <c r="BO152" i="12"/>
  <c r="BO153" i="12"/>
  <c r="BO154" i="12"/>
  <c r="BO155" i="12"/>
  <c r="BO156" i="12"/>
  <c r="BO157" i="12"/>
  <c r="BO158" i="12"/>
  <c r="BO159" i="12"/>
  <c r="BO160" i="12"/>
  <c r="BO161" i="12"/>
  <c r="BO162" i="12"/>
  <c r="BO163" i="12"/>
  <c r="BO164" i="12"/>
  <c r="BO165" i="12"/>
  <c r="BO166" i="12"/>
  <c r="BO167" i="12"/>
  <c r="BO168" i="12"/>
  <c r="BO169" i="12"/>
  <c r="BO170" i="12"/>
  <c r="BO171" i="12"/>
  <c r="BO172" i="12"/>
  <c r="BO173" i="12"/>
  <c r="BO174" i="12"/>
  <c r="BO175" i="12"/>
  <c r="BO176" i="12"/>
  <c r="BO177" i="12"/>
  <c r="BO178" i="12"/>
  <c r="BO179" i="12"/>
  <c r="BO180" i="12"/>
  <c r="BO181" i="12"/>
  <c r="BO182" i="12"/>
  <c r="BO183" i="12"/>
  <c r="BO184" i="12"/>
  <c r="BO185" i="12"/>
  <c r="BO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N71" i="12"/>
  <c r="BN72" i="12"/>
  <c r="BN73" i="12"/>
  <c r="BN74" i="12"/>
  <c r="BN75" i="12"/>
  <c r="BN76" i="12"/>
  <c r="BN77" i="12"/>
  <c r="BN78" i="12"/>
  <c r="BN79" i="12"/>
  <c r="BN80" i="12"/>
  <c r="BN81" i="12"/>
  <c r="BN82" i="12"/>
  <c r="BN83" i="12"/>
  <c r="BN84" i="12"/>
  <c r="BN85" i="12"/>
  <c r="BN86" i="12"/>
  <c r="BN87" i="12"/>
  <c r="BN88" i="12"/>
  <c r="BN89" i="12"/>
  <c r="BN90" i="12"/>
  <c r="BN91" i="12"/>
  <c r="BN92" i="12"/>
  <c r="BN93" i="12"/>
  <c r="BN94" i="12"/>
  <c r="BN95" i="12"/>
  <c r="BN96" i="12"/>
  <c r="BN97" i="12"/>
  <c r="BN98" i="12"/>
  <c r="BN99" i="12"/>
  <c r="BN100" i="12"/>
  <c r="BN101" i="12"/>
  <c r="BN102" i="12"/>
  <c r="BN103" i="12"/>
  <c r="BN104" i="12"/>
  <c r="BN105" i="12"/>
  <c r="BN106" i="12"/>
  <c r="BN107" i="12"/>
  <c r="BN108" i="12"/>
  <c r="BN109" i="12"/>
  <c r="BN110" i="12"/>
  <c r="BN111" i="12"/>
  <c r="BN112" i="12"/>
  <c r="BN113" i="12"/>
  <c r="BN114" i="12"/>
  <c r="BN115" i="12"/>
  <c r="BN116" i="12"/>
  <c r="BN117" i="12"/>
  <c r="BN118" i="12"/>
  <c r="BN119" i="12"/>
  <c r="BN120" i="12"/>
  <c r="BN121" i="12"/>
  <c r="BN122" i="12"/>
  <c r="BN123" i="12"/>
  <c r="BN124" i="12"/>
  <c r="BN125" i="12"/>
  <c r="BN126" i="12"/>
  <c r="BN127" i="12"/>
  <c r="BN128" i="12"/>
  <c r="BN129" i="12"/>
  <c r="BN130" i="12"/>
  <c r="BN131" i="12"/>
  <c r="BN132" i="12"/>
  <c r="BN133" i="12"/>
  <c r="BN134" i="12"/>
  <c r="BN135" i="12"/>
  <c r="BN136" i="12"/>
  <c r="BN137" i="12"/>
  <c r="BN138" i="12"/>
  <c r="BN139" i="12"/>
  <c r="BN140" i="12"/>
  <c r="BN141" i="12"/>
  <c r="BN142" i="12"/>
  <c r="BN143" i="12"/>
  <c r="BN144" i="12"/>
  <c r="BN145" i="12"/>
  <c r="BN146" i="12"/>
  <c r="BN147" i="12"/>
  <c r="BN148" i="12"/>
  <c r="BN149" i="12"/>
  <c r="BN150" i="12"/>
  <c r="BN151" i="12"/>
  <c r="BN152" i="12"/>
  <c r="BN153" i="12"/>
  <c r="BN154" i="12"/>
  <c r="BN155" i="12"/>
  <c r="BN156" i="12"/>
  <c r="BN157" i="12"/>
  <c r="BN158" i="12"/>
  <c r="BN159" i="12"/>
  <c r="BN160" i="12"/>
  <c r="BN161" i="12"/>
  <c r="BN162" i="12"/>
  <c r="BN163" i="12"/>
  <c r="BN164" i="12"/>
  <c r="BN165" i="12"/>
  <c r="BN166" i="12"/>
  <c r="BN167" i="12"/>
  <c r="BN168" i="12"/>
  <c r="BN169" i="12"/>
  <c r="BN170" i="12"/>
  <c r="BN171" i="12"/>
  <c r="BN172" i="12"/>
  <c r="BN173" i="12"/>
  <c r="BN174" i="12"/>
  <c r="BN175" i="12"/>
  <c r="BN176" i="12"/>
  <c r="BN177" i="12"/>
  <c r="BN178" i="12"/>
  <c r="BN179" i="12"/>
  <c r="BN180" i="12"/>
  <c r="BN181" i="12"/>
  <c r="BN182" i="12"/>
  <c r="BN183" i="12"/>
  <c r="BN184" i="12"/>
  <c r="BN185" i="12"/>
  <c r="BN2" i="12"/>
  <c r="BP185" i="12"/>
  <c r="BP184" i="12"/>
  <c r="BP183" i="12"/>
  <c r="BP182" i="12"/>
  <c r="BP181" i="12"/>
  <c r="BP180" i="12"/>
  <c r="BP179" i="12"/>
  <c r="BP178" i="12"/>
  <c r="BP177" i="12"/>
  <c r="BP176" i="12"/>
  <c r="BP175" i="12"/>
  <c r="BP174" i="12"/>
  <c r="BP173" i="12"/>
  <c r="BP172" i="12"/>
  <c r="BP171" i="12"/>
  <c r="BP170" i="12"/>
  <c r="BP169" i="12"/>
  <c r="BP168" i="12"/>
  <c r="BP167" i="12"/>
  <c r="BP166" i="12"/>
  <c r="BP165" i="12"/>
  <c r="BP164" i="12"/>
  <c r="BP163" i="12"/>
  <c r="BP162" i="12"/>
  <c r="BP161" i="12"/>
  <c r="BP160" i="12"/>
  <c r="BP159" i="12"/>
  <c r="BP158" i="12"/>
  <c r="BP157" i="12"/>
  <c r="BP156" i="12"/>
  <c r="BP155" i="12"/>
  <c r="BP154" i="12"/>
  <c r="BP153" i="12"/>
  <c r="BP152" i="12"/>
  <c r="BP151" i="12"/>
  <c r="BP150" i="12"/>
  <c r="BP149" i="12"/>
  <c r="BP148" i="12"/>
  <c r="BP147" i="12"/>
  <c r="BP146" i="12"/>
  <c r="BP145" i="12"/>
  <c r="BP144" i="12"/>
  <c r="BP143" i="12"/>
  <c r="BP142" i="12"/>
  <c r="BP141" i="12"/>
  <c r="BP140" i="12"/>
  <c r="BP139" i="12"/>
  <c r="BP138" i="12"/>
  <c r="BP137" i="12"/>
  <c r="BP136" i="12"/>
  <c r="BP135" i="12"/>
  <c r="BP134" i="12"/>
  <c r="BP133" i="12"/>
  <c r="BP132" i="12"/>
  <c r="BP131" i="12"/>
  <c r="BP130" i="12"/>
  <c r="BP129" i="12"/>
  <c r="BP128" i="12"/>
  <c r="BP127" i="12"/>
  <c r="BP126" i="12"/>
  <c r="BP125" i="12"/>
  <c r="BP124" i="12"/>
  <c r="BP123" i="12"/>
  <c r="BP122" i="12"/>
  <c r="BP121" i="12"/>
  <c r="BP120" i="12"/>
  <c r="BP119" i="12"/>
  <c r="BP118" i="12"/>
  <c r="BP117" i="12"/>
  <c r="BP116" i="12"/>
  <c r="BP115" i="12"/>
  <c r="BP114" i="12"/>
  <c r="BP113" i="12"/>
  <c r="BP112" i="12"/>
  <c r="BP111" i="12"/>
  <c r="BP110" i="12"/>
  <c r="BP109" i="12"/>
  <c r="BP108" i="12"/>
  <c r="BP107" i="12"/>
  <c r="BP106" i="12"/>
  <c r="BP105" i="12"/>
  <c r="BP104" i="12"/>
  <c r="BP103" i="12"/>
  <c r="BP102" i="12"/>
  <c r="BP101" i="12"/>
  <c r="BP100" i="12"/>
  <c r="BP99" i="12"/>
  <c r="BP98" i="12"/>
  <c r="BP97" i="12"/>
  <c r="BP96" i="12"/>
  <c r="BP95" i="12"/>
  <c r="BP94" i="12"/>
  <c r="BP93" i="12"/>
  <c r="BP92" i="12"/>
  <c r="BP91" i="12"/>
  <c r="BP90" i="12"/>
  <c r="BP89" i="12"/>
  <c r="BP88" i="12"/>
  <c r="BP87" i="12"/>
  <c r="BP86" i="12"/>
  <c r="BP85" i="12"/>
  <c r="BP84" i="12"/>
  <c r="BP83" i="12"/>
  <c r="BP82" i="12"/>
  <c r="BP81" i="12"/>
  <c r="BP80" i="12"/>
  <c r="BP79" i="12"/>
  <c r="BP78" i="12"/>
  <c r="BP77" i="12"/>
  <c r="BP76" i="12"/>
  <c r="BP75" i="12"/>
  <c r="BP74" i="12"/>
  <c r="BP73" i="12"/>
  <c r="BP72" i="12"/>
  <c r="BP71" i="12"/>
  <c r="BP70" i="12"/>
  <c r="BP69" i="12"/>
  <c r="BP68" i="12"/>
  <c r="BP67" i="12"/>
  <c r="BP66" i="12"/>
  <c r="BP65" i="12"/>
  <c r="BP64" i="12"/>
  <c r="BP63" i="12"/>
  <c r="BP62" i="12"/>
  <c r="BP61" i="12"/>
  <c r="BP60" i="12"/>
  <c r="BP59" i="12"/>
  <c r="BP58" i="12"/>
  <c r="BP57" i="12"/>
  <c r="BP56" i="12"/>
  <c r="BP55" i="12"/>
  <c r="BP54" i="12"/>
  <c r="BP53" i="12"/>
  <c r="BP52" i="12"/>
  <c r="BP51" i="12"/>
  <c r="BP50" i="12"/>
  <c r="BP49" i="12"/>
  <c r="BP48" i="12"/>
  <c r="BP47" i="12"/>
  <c r="BP46" i="12"/>
  <c r="BP45" i="12"/>
  <c r="BP44" i="12"/>
  <c r="BP43" i="12"/>
  <c r="BP42" i="12"/>
  <c r="BP41" i="12"/>
  <c r="BP40" i="12"/>
  <c r="BP39" i="12"/>
  <c r="BP38" i="12"/>
  <c r="BP37" i="12"/>
  <c r="BP36" i="12"/>
  <c r="BP35" i="12"/>
  <c r="BP34" i="12"/>
  <c r="BP33" i="12"/>
  <c r="BP32" i="12"/>
  <c r="BP31" i="12"/>
  <c r="BP30" i="12"/>
  <c r="BP29" i="12"/>
  <c r="BP28" i="12"/>
  <c r="BP27" i="12"/>
  <c r="BP26" i="12"/>
  <c r="BP25" i="12"/>
  <c r="BP24" i="12"/>
  <c r="BP23" i="12"/>
  <c r="BP22" i="12"/>
  <c r="BP21" i="12"/>
  <c r="BP20" i="12"/>
  <c r="BP19" i="12"/>
  <c r="BP18" i="12"/>
  <c r="BP17" i="12"/>
  <c r="BP16" i="12"/>
  <c r="BP15" i="12"/>
  <c r="BP14" i="12"/>
  <c r="BP13" i="12"/>
  <c r="BP12" i="12"/>
  <c r="BP11" i="12"/>
  <c r="BP10" i="12"/>
  <c r="BP9" i="12"/>
  <c r="BP8" i="12"/>
  <c r="BP7" i="12"/>
  <c r="BP6" i="12"/>
  <c r="BP5" i="12"/>
  <c r="BP4" i="12"/>
  <c r="BP3" i="12"/>
  <c r="BP2" i="12"/>
  <c r="BJ185" i="12"/>
  <c r="BI185" i="12"/>
  <c r="BH185" i="12"/>
  <c r="BJ184" i="12"/>
  <c r="BI184" i="12"/>
  <c r="BH184" i="12"/>
  <c r="BJ183" i="12"/>
  <c r="BI183" i="12"/>
  <c r="BH183" i="12"/>
  <c r="BJ182" i="12"/>
  <c r="BI182" i="12"/>
  <c r="BH182" i="12"/>
  <c r="BJ181" i="12"/>
  <c r="BI181" i="12"/>
  <c r="BH181" i="12"/>
  <c r="BJ180" i="12"/>
  <c r="BI180" i="12"/>
  <c r="BH180" i="12"/>
  <c r="BJ179" i="12"/>
  <c r="BI179" i="12"/>
  <c r="BH179" i="12"/>
  <c r="BJ178" i="12"/>
  <c r="BI178" i="12"/>
  <c r="BH178" i="12"/>
  <c r="BJ177" i="12"/>
  <c r="BI177" i="12"/>
  <c r="BH177" i="12"/>
  <c r="BJ176" i="12"/>
  <c r="BI176" i="12"/>
  <c r="BH176" i="12"/>
  <c r="BJ175" i="12"/>
  <c r="BI175" i="12"/>
  <c r="BH175" i="12"/>
  <c r="BJ174" i="12"/>
  <c r="BI174" i="12"/>
  <c r="BH174" i="12"/>
  <c r="BJ173" i="12"/>
  <c r="BI173" i="12"/>
  <c r="BH173" i="12"/>
  <c r="BJ172" i="12"/>
  <c r="BI172" i="12"/>
  <c r="BH172" i="12"/>
  <c r="BJ171" i="12"/>
  <c r="BI171" i="12"/>
  <c r="BH171" i="12"/>
  <c r="BJ170" i="12"/>
  <c r="BI170" i="12"/>
  <c r="BH170" i="12"/>
  <c r="BJ169" i="12"/>
  <c r="BI169" i="12"/>
  <c r="BH169" i="12"/>
  <c r="BJ168" i="12"/>
  <c r="BI168" i="12"/>
  <c r="BH168" i="12"/>
  <c r="BJ167" i="12"/>
  <c r="BI167" i="12"/>
  <c r="BH167" i="12"/>
  <c r="BJ166" i="12"/>
  <c r="BI166" i="12"/>
  <c r="BH166" i="12"/>
  <c r="BJ165" i="12"/>
  <c r="BI165" i="12"/>
  <c r="BH165" i="12"/>
  <c r="BJ164" i="12"/>
  <c r="BI164" i="12"/>
  <c r="BH164" i="12"/>
  <c r="BJ163" i="12"/>
  <c r="BI163" i="12"/>
  <c r="BH163" i="12"/>
  <c r="BJ162" i="12"/>
  <c r="BI162" i="12"/>
  <c r="BH162" i="12"/>
  <c r="BJ161" i="12"/>
  <c r="BI161" i="12"/>
  <c r="BH161" i="12"/>
  <c r="BJ160" i="12"/>
  <c r="BI160" i="12"/>
  <c r="BH160" i="12"/>
  <c r="BJ159" i="12"/>
  <c r="BI159" i="12"/>
  <c r="BH159" i="12"/>
  <c r="BJ158" i="12"/>
  <c r="BI158" i="12"/>
  <c r="BH158" i="12"/>
  <c r="BJ157" i="12"/>
  <c r="BI157" i="12"/>
  <c r="BH157" i="12"/>
  <c r="BJ156" i="12"/>
  <c r="BI156" i="12"/>
  <c r="BH156" i="12"/>
  <c r="BJ155" i="12"/>
  <c r="BI155" i="12"/>
  <c r="BH155" i="12"/>
  <c r="BJ154" i="12"/>
  <c r="BI154" i="12"/>
  <c r="BH154" i="12"/>
  <c r="BJ153" i="12"/>
  <c r="BI153" i="12"/>
  <c r="BH153" i="12"/>
  <c r="BJ152" i="12"/>
  <c r="BI152" i="12"/>
  <c r="BH152" i="12"/>
  <c r="BJ151" i="12"/>
  <c r="BI151" i="12"/>
  <c r="BH151" i="12"/>
  <c r="BJ150" i="12"/>
  <c r="BI150" i="12"/>
  <c r="BH150" i="12"/>
  <c r="BJ149" i="12"/>
  <c r="BI149" i="12"/>
  <c r="BH149" i="12"/>
  <c r="BJ148" i="12"/>
  <c r="BI148" i="12"/>
  <c r="BH148" i="12"/>
  <c r="BJ147" i="12"/>
  <c r="BI147" i="12"/>
  <c r="BH147" i="12"/>
  <c r="BJ146" i="12"/>
  <c r="BI146" i="12"/>
  <c r="BH146" i="12"/>
  <c r="BJ145" i="12"/>
  <c r="BI145" i="12"/>
  <c r="BH145" i="12"/>
  <c r="BJ144" i="12"/>
  <c r="BI144" i="12"/>
  <c r="BH144" i="12"/>
  <c r="BJ143" i="12"/>
  <c r="BI143" i="12"/>
  <c r="BH143" i="12"/>
  <c r="BJ142" i="12"/>
  <c r="BI142" i="12"/>
  <c r="BH142" i="12"/>
  <c r="BJ141" i="12"/>
  <c r="BI141" i="12"/>
  <c r="BH141" i="12"/>
  <c r="BJ140" i="12"/>
  <c r="BI140" i="12"/>
  <c r="BH140" i="12"/>
  <c r="BJ139" i="12"/>
  <c r="BI139" i="12"/>
  <c r="BH139" i="12"/>
  <c r="BJ138" i="12"/>
  <c r="BI138" i="12"/>
  <c r="BH138" i="12"/>
  <c r="BJ137" i="12"/>
  <c r="BI137" i="12"/>
  <c r="BH137" i="12"/>
  <c r="BJ136" i="12"/>
  <c r="BI136" i="12"/>
  <c r="BH136" i="12"/>
  <c r="BJ135" i="12"/>
  <c r="BI135" i="12"/>
  <c r="BH135" i="12"/>
  <c r="BJ134" i="12"/>
  <c r="BI134" i="12"/>
  <c r="BH134" i="12"/>
  <c r="BJ133" i="12"/>
  <c r="BI133" i="12"/>
  <c r="BH133" i="12"/>
  <c r="BJ132" i="12"/>
  <c r="BI132" i="12"/>
  <c r="BH132" i="12"/>
  <c r="BJ131" i="12"/>
  <c r="BI131" i="12"/>
  <c r="BH131" i="12"/>
  <c r="BJ130" i="12"/>
  <c r="BI130" i="12"/>
  <c r="BH130" i="12"/>
  <c r="BJ129" i="12"/>
  <c r="BI129" i="12"/>
  <c r="BH129" i="12"/>
  <c r="BJ128" i="12"/>
  <c r="BI128" i="12"/>
  <c r="BH128" i="12"/>
  <c r="BJ127" i="12"/>
  <c r="BI127" i="12"/>
  <c r="BH127" i="12"/>
  <c r="BJ126" i="12"/>
  <c r="BI126" i="12"/>
  <c r="BH126" i="12"/>
  <c r="BJ125" i="12"/>
  <c r="BI125" i="12"/>
  <c r="BH125" i="12"/>
  <c r="BJ124" i="12"/>
  <c r="BI124" i="12"/>
  <c r="BH124" i="12"/>
  <c r="BJ123" i="12"/>
  <c r="BI123" i="12"/>
  <c r="BH123" i="12"/>
  <c r="BJ122" i="12"/>
  <c r="BI122" i="12"/>
  <c r="BH122" i="12"/>
  <c r="BJ121" i="12"/>
  <c r="BI121" i="12"/>
  <c r="BH121" i="12"/>
  <c r="BJ120" i="12"/>
  <c r="BI120" i="12"/>
  <c r="BH120" i="12"/>
  <c r="BJ119" i="12"/>
  <c r="BI119" i="12"/>
  <c r="BH119" i="12"/>
  <c r="BJ118" i="12"/>
  <c r="BI118" i="12"/>
  <c r="BH118" i="12"/>
  <c r="BJ117" i="12"/>
  <c r="BI117" i="12"/>
  <c r="BH117" i="12"/>
  <c r="BJ116" i="12"/>
  <c r="BI116" i="12"/>
  <c r="BH116" i="12"/>
  <c r="BJ115" i="12"/>
  <c r="BI115" i="12"/>
  <c r="BH115" i="12"/>
  <c r="BJ114" i="12"/>
  <c r="BI114" i="12"/>
  <c r="BH114" i="12"/>
  <c r="BJ113" i="12"/>
  <c r="BI113" i="12"/>
  <c r="BH113" i="12"/>
  <c r="BJ112" i="12"/>
  <c r="BI112" i="12"/>
  <c r="BH112" i="12"/>
  <c r="BJ111" i="12"/>
  <c r="BI111" i="12"/>
  <c r="BH111" i="12"/>
  <c r="BJ110" i="12"/>
  <c r="BI110" i="12"/>
  <c r="BH110" i="12"/>
  <c r="BJ109" i="12"/>
  <c r="BI109" i="12"/>
  <c r="BH109" i="12"/>
  <c r="BJ108" i="12"/>
  <c r="BI108" i="12"/>
  <c r="BH108" i="12"/>
  <c r="BJ107" i="12"/>
  <c r="BI107" i="12"/>
  <c r="BH107" i="12"/>
  <c r="BJ106" i="12"/>
  <c r="BI106" i="12"/>
  <c r="BH106" i="12"/>
  <c r="BJ105" i="12"/>
  <c r="BI105" i="12"/>
  <c r="BH105" i="12"/>
  <c r="BJ104" i="12"/>
  <c r="BI104" i="12"/>
  <c r="BH104" i="12"/>
  <c r="BJ103" i="12"/>
  <c r="BI103" i="12"/>
  <c r="BH103" i="12"/>
  <c r="BJ102" i="12"/>
  <c r="BI102" i="12"/>
  <c r="BH102" i="12"/>
  <c r="BJ101" i="12"/>
  <c r="BI101" i="12"/>
  <c r="BH101" i="12"/>
  <c r="BJ100" i="12"/>
  <c r="BI100" i="12"/>
  <c r="BH100" i="12"/>
  <c r="BJ99" i="12"/>
  <c r="BI99" i="12"/>
  <c r="BH99" i="12"/>
  <c r="BJ98" i="12"/>
  <c r="BI98" i="12"/>
  <c r="BH98" i="12"/>
  <c r="BJ97" i="12"/>
  <c r="BI97" i="12"/>
  <c r="BH97" i="12"/>
  <c r="BJ96" i="12"/>
  <c r="BI96" i="12"/>
  <c r="BH96" i="12"/>
  <c r="BJ95" i="12"/>
  <c r="BI95" i="12"/>
  <c r="BH95" i="12"/>
  <c r="BJ94" i="12"/>
  <c r="BI94" i="12"/>
  <c r="BH94" i="12"/>
  <c r="BJ93" i="12"/>
  <c r="BI93" i="12"/>
  <c r="BH93" i="12"/>
  <c r="BJ92" i="12"/>
  <c r="BI92" i="12"/>
  <c r="BH92" i="12"/>
  <c r="BJ91" i="12"/>
  <c r="BI91" i="12"/>
  <c r="BH91" i="12"/>
  <c r="BJ90" i="12"/>
  <c r="BI90" i="12"/>
  <c r="BH90" i="12"/>
  <c r="BJ89" i="12"/>
  <c r="BI89" i="12"/>
  <c r="BH89" i="12"/>
  <c r="BJ88" i="12"/>
  <c r="BI88" i="12"/>
  <c r="BH88" i="12"/>
  <c r="BJ87" i="12"/>
  <c r="BI87" i="12"/>
  <c r="BH87" i="12"/>
  <c r="BJ86" i="12"/>
  <c r="BI86" i="12"/>
  <c r="BH86" i="12"/>
  <c r="BJ85" i="12"/>
  <c r="BI85" i="12"/>
  <c r="BH85" i="12"/>
  <c r="BJ84" i="12"/>
  <c r="BI84" i="12"/>
  <c r="BH84" i="12"/>
  <c r="BJ83" i="12"/>
  <c r="BI83" i="12"/>
  <c r="BH83" i="12"/>
  <c r="BJ82" i="12"/>
  <c r="BI82" i="12"/>
  <c r="BH82" i="12"/>
  <c r="BJ81" i="12"/>
  <c r="BI81" i="12"/>
  <c r="BH81" i="12"/>
  <c r="BJ80" i="12"/>
  <c r="BI80" i="12"/>
  <c r="BH80" i="12"/>
  <c r="BJ79" i="12"/>
  <c r="BI79" i="12"/>
  <c r="BH79" i="12"/>
  <c r="BJ78" i="12"/>
  <c r="BI78" i="12"/>
  <c r="BH78" i="12"/>
  <c r="BJ77" i="12"/>
  <c r="BI77" i="12"/>
  <c r="BH77" i="12"/>
  <c r="BJ76" i="12"/>
  <c r="BI76" i="12"/>
  <c r="BH76" i="12"/>
  <c r="BJ75" i="12"/>
  <c r="BI75" i="12"/>
  <c r="BH75" i="12"/>
  <c r="BJ74" i="12"/>
  <c r="BI74" i="12"/>
  <c r="BH74" i="12"/>
  <c r="BJ73" i="12"/>
  <c r="BI73" i="12"/>
  <c r="BH73" i="12"/>
  <c r="BJ72" i="12"/>
  <c r="BI72" i="12"/>
  <c r="BH72" i="12"/>
  <c r="BJ71" i="12"/>
  <c r="BI71" i="12"/>
  <c r="BH71" i="12"/>
  <c r="BJ70" i="12"/>
  <c r="BI70" i="12"/>
  <c r="BH70" i="12"/>
  <c r="BJ69" i="12"/>
  <c r="BI69" i="12"/>
  <c r="BH69" i="12"/>
  <c r="BJ68" i="12"/>
  <c r="BI68" i="12"/>
  <c r="BH68" i="12"/>
  <c r="BJ67" i="12"/>
  <c r="BI67" i="12"/>
  <c r="BH67" i="12"/>
  <c r="BJ66" i="12"/>
  <c r="BI66" i="12"/>
  <c r="BH66" i="12"/>
  <c r="BJ65" i="12"/>
  <c r="BI65" i="12"/>
  <c r="BH65" i="12"/>
  <c r="BJ64" i="12"/>
  <c r="BI64" i="12"/>
  <c r="BH64" i="12"/>
  <c r="BJ63" i="12"/>
  <c r="BI63" i="12"/>
  <c r="BH63" i="12"/>
  <c r="BJ62" i="12"/>
  <c r="BI62" i="12"/>
  <c r="BH62" i="12"/>
  <c r="BJ61" i="12"/>
  <c r="BI61" i="12"/>
  <c r="BH61" i="12"/>
  <c r="BJ60" i="12"/>
  <c r="BI60" i="12"/>
  <c r="BH60" i="12"/>
  <c r="BJ59" i="12"/>
  <c r="BI59" i="12"/>
  <c r="BH59" i="12"/>
  <c r="BJ58" i="12"/>
  <c r="BI58" i="12"/>
  <c r="BH58" i="12"/>
  <c r="BJ57" i="12"/>
  <c r="BI57" i="12"/>
  <c r="BH57" i="12"/>
  <c r="BJ56" i="12"/>
  <c r="BI56" i="12"/>
  <c r="BH56" i="12"/>
  <c r="BJ55" i="12"/>
  <c r="BI55" i="12"/>
  <c r="BH55" i="12"/>
  <c r="BJ54" i="12"/>
  <c r="BI54" i="12"/>
  <c r="BH54" i="12"/>
  <c r="BJ53" i="12"/>
  <c r="BI53" i="12"/>
  <c r="BH53" i="12"/>
  <c r="BJ52" i="12"/>
  <c r="BI52" i="12"/>
  <c r="BH52" i="12"/>
  <c r="BJ51" i="12"/>
  <c r="BI51" i="12"/>
  <c r="BH51" i="12"/>
  <c r="BJ50" i="12"/>
  <c r="BI50" i="12"/>
  <c r="BH50" i="12"/>
  <c r="BJ49" i="12"/>
  <c r="BI49" i="12"/>
  <c r="BH49" i="12"/>
  <c r="BJ48" i="12"/>
  <c r="BI48" i="12"/>
  <c r="BH48" i="12"/>
  <c r="BJ47" i="12"/>
  <c r="BI47" i="12"/>
  <c r="BH47" i="12"/>
  <c r="BJ46" i="12"/>
  <c r="BI46" i="12"/>
  <c r="BH46" i="12"/>
  <c r="BJ45" i="12"/>
  <c r="BI45" i="12"/>
  <c r="BH45" i="12"/>
  <c r="BJ44" i="12"/>
  <c r="BI44" i="12"/>
  <c r="BH44" i="12"/>
  <c r="BJ43" i="12"/>
  <c r="BI43" i="12"/>
  <c r="BH43" i="12"/>
  <c r="BJ42" i="12"/>
  <c r="BI42" i="12"/>
  <c r="BH42" i="12"/>
  <c r="BJ41" i="12"/>
  <c r="BI41" i="12"/>
  <c r="BH41" i="12"/>
  <c r="BJ40" i="12"/>
  <c r="BI40" i="12"/>
  <c r="BH40" i="12"/>
  <c r="BJ39" i="12"/>
  <c r="BI39" i="12"/>
  <c r="BH39" i="12"/>
  <c r="BJ38" i="12"/>
  <c r="BI38" i="12"/>
  <c r="BH38" i="12"/>
  <c r="BJ37" i="12"/>
  <c r="BI37" i="12"/>
  <c r="BH37" i="12"/>
  <c r="BJ36" i="12"/>
  <c r="BI36" i="12"/>
  <c r="BH36" i="12"/>
  <c r="BJ35" i="12"/>
  <c r="BI35" i="12"/>
  <c r="BH35" i="12"/>
  <c r="BJ34" i="12"/>
  <c r="BI34" i="12"/>
  <c r="BH34" i="12"/>
  <c r="BJ33" i="12"/>
  <c r="BI33" i="12"/>
  <c r="BH33" i="12"/>
  <c r="BJ32" i="12"/>
  <c r="BI32" i="12"/>
  <c r="BH32" i="12"/>
  <c r="BJ31" i="12"/>
  <c r="BI31" i="12"/>
  <c r="BH31" i="12"/>
  <c r="BJ30" i="12"/>
  <c r="BI30" i="12"/>
  <c r="BH30" i="12"/>
  <c r="BJ29" i="12"/>
  <c r="BI29" i="12"/>
  <c r="BH29" i="12"/>
  <c r="BJ28" i="12"/>
  <c r="BI28" i="12"/>
  <c r="BH28" i="12"/>
  <c r="BJ27" i="12"/>
  <c r="BI27" i="12"/>
  <c r="BH27" i="12"/>
  <c r="BJ26" i="12"/>
  <c r="BI26" i="12"/>
  <c r="BH26" i="12"/>
  <c r="BJ25" i="12"/>
  <c r="BI25" i="12"/>
  <c r="BH25" i="12"/>
  <c r="BJ24" i="12"/>
  <c r="BI24" i="12"/>
  <c r="BH24" i="12"/>
  <c r="BJ23" i="12"/>
  <c r="BI23" i="12"/>
  <c r="BH23" i="12"/>
  <c r="BJ22" i="12"/>
  <c r="BI22" i="12"/>
  <c r="BH22" i="12"/>
  <c r="BJ21" i="12"/>
  <c r="BI21" i="12"/>
  <c r="BH21" i="12"/>
  <c r="BJ20" i="12"/>
  <c r="BI20" i="12"/>
  <c r="BH20" i="12"/>
  <c r="BJ19" i="12"/>
  <c r="BI19" i="12"/>
  <c r="BH19" i="12"/>
  <c r="BJ18" i="12"/>
  <c r="BI18" i="12"/>
  <c r="BH18" i="12"/>
  <c r="BJ17" i="12"/>
  <c r="BI17" i="12"/>
  <c r="BH17" i="12"/>
  <c r="BJ16" i="12"/>
  <c r="BI16" i="12"/>
  <c r="BH16" i="12"/>
  <c r="BJ15" i="12"/>
  <c r="BI15" i="12"/>
  <c r="BH15" i="12"/>
  <c r="BJ14" i="12"/>
  <c r="BI14" i="12"/>
  <c r="BH14" i="12"/>
  <c r="BJ13" i="12"/>
  <c r="BI13" i="12"/>
  <c r="BH13" i="12"/>
  <c r="BJ12" i="12"/>
  <c r="BI12" i="12"/>
  <c r="BH12" i="12"/>
  <c r="BJ11" i="12"/>
  <c r="BI11" i="12"/>
  <c r="BH11" i="12"/>
  <c r="BJ10" i="12"/>
  <c r="BI10" i="12"/>
  <c r="BH10" i="12"/>
  <c r="BJ9" i="12"/>
  <c r="BI9" i="12"/>
  <c r="BH9" i="12"/>
  <c r="BJ8" i="12"/>
  <c r="BI8" i="12"/>
  <c r="BH8" i="12"/>
  <c r="BJ7" i="12"/>
  <c r="BI7" i="12"/>
  <c r="BH7" i="12"/>
  <c r="BJ6" i="12"/>
  <c r="BI6" i="12"/>
  <c r="BH6" i="12"/>
  <c r="BJ5" i="12"/>
  <c r="BI5" i="12"/>
  <c r="BH5" i="12"/>
  <c r="BJ4" i="12"/>
  <c r="BI4" i="12"/>
  <c r="BH4" i="12"/>
  <c r="BJ3" i="12"/>
  <c r="BI3" i="12"/>
  <c r="BH3" i="12"/>
  <c r="BJ2" i="12"/>
  <c r="BI2" i="12"/>
  <c r="BH2" i="12"/>
  <c r="K13" i="5"/>
  <c r="K12" i="5"/>
  <c r="BX185" i="12"/>
  <c r="BX184" i="12"/>
  <c r="BX183" i="12"/>
  <c r="BX182" i="12"/>
  <c r="BX181" i="12"/>
  <c r="BX180" i="12"/>
  <c r="BX179" i="12"/>
  <c r="BX178" i="12"/>
  <c r="BX177" i="12"/>
  <c r="BX176" i="12"/>
  <c r="BX175" i="12"/>
  <c r="BX174" i="12"/>
  <c r="BX173" i="12"/>
  <c r="BX172" i="12"/>
  <c r="BX171" i="12"/>
  <c r="BX170" i="12"/>
  <c r="BX169" i="12"/>
  <c r="BX168" i="12"/>
  <c r="BX167" i="12"/>
  <c r="BX166" i="12"/>
  <c r="BX165" i="12"/>
  <c r="BX164" i="12"/>
  <c r="BX163" i="12"/>
  <c r="BX162" i="12"/>
  <c r="BX161" i="12"/>
  <c r="BX160" i="12"/>
  <c r="BX159" i="12"/>
  <c r="BX158" i="12"/>
  <c r="BX157" i="12"/>
  <c r="BX156" i="12"/>
  <c r="BX155" i="12"/>
  <c r="BX154" i="12"/>
  <c r="BX153" i="12"/>
  <c r="BX152" i="12"/>
  <c r="BX151" i="12"/>
  <c r="BX150" i="12"/>
  <c r="BX149" i="12"/>
  <c r="BX148" i="12"/>
  <c r="BX147" i="12"/>
  <c r="BX146" i="12"/>
  <c r="BX145" i="12"/>
  <c r="BX144" i="12"/>
  <c r="BX143" i="12"/>
  <c r="BX142" i="12"/>
  <c r="BX141" i="12"/>
  <c r="BX140" i="12"/>
  <c r="BX139" i="12"/>
  <c r="BX138" i="12"/>
  <c r="BX137" i="12"/>
  <c r="BX136" i="12"/>
  <c r="BX135" i="12"/>
  <c r="BX134" i="12"/>
  <c r="BX133" i="12"/>
  <c r="BX132" i="12"/>
  <c r="BX131" i="12"/>
  <c r="BX130" i="12"/>
  <c r="BX129" i="12"/>
  <c r="BX128" i="12"/>
  <c r="BX127" i="12"/>
  <c r="BX126" i="12"/>
  <c r="BX125" i="12"/>
  <c r="BX124" i="12"/>
  <c r="BX123" i="12"/>
  <c r="BX122" i="12"/>
  <c r="BX121" i="12"/>
  <c r="BX120" i="12"/>
  <c r="BX119" i="12"/>
  <c r="BX118" i="12"/>
  <c r="BX117" i="12"/>
  <c r="BX116" i="12"/>
  <c r="BX115" i="12"/>
  <c r="BX114" i="12"/>
  <c r="BX113" i="12"/>
  <c r="BX112" i="12"/>
  <c r="BX111" i="12"/>
  <c r="BX110" i="12"/>
  <c r="BX109" i="12"/>
  <c r="BX108" i="12"/>
  <c r="BX107" i="12"/>
  <c r="BX106" i="12"/>
  <c r="BX105" i="12"/>
  <c r="BX104" i="12"/>
  <c r="BX103" i="12"/>
  <c r="BX102" i="12"/>
  <c r="BX101" i="12"/>
  <c r="BX100" i="12"/>
  <c r="BX99" i="12"/>
  <c r="BX98" i="12"/>
  <c r="BX97" i="12"/>
  <c r="BX96" i="12"/>
  <c r="BX95" i="12"/>
  <c r="BX94" i="12"/>
  <c r="BX93" i="12"/>
  <c r="BX92" i="12"/>
  <c r="BX91" i="12"/>
  <c r="BX90" i="12"/>
  <c r="BX89" i="12"/>
  <c r="BX88" i="12"/>
  <c r="BX87" i="12"/>
  <c r="BX86" i="12"/>
  <c r="BX85" i="12"/>
  <c r="BX84" i="12"/>
  <c r="BX83" i="12"/>
  <c r="BX82" i="12"/>
  <c r="BX81" i="12"/>
  <c r="BX80" i="12"/>
  <c r="BX79" i="12"/>
  <c r="BX78" i="12"/>
  <c r="BX77" i="12"/>
  <c r="BX76" i="12"/>
  <c r="BX75" i="12"/>
  <c r="BX74" i="12"/>
  <c r="BX73" i="12"/>
  <c r="BX72" i="12"/>
  <c r="BX71" i="12"/>
  <c r="BX70" i="12"/>
  <c r="BX69" i="12"/>
  <c r="BX68" i="12"/>
  <c r="BX67" i="12"/>
  <c r="BX66" i="12"/>
  <c r="BX65" i="12"/>
  <c r="BX64" i="12"/>
  <c r="BX63" i="12"/>
  <c r="BX62" i="12"/>
  <c r="BX61" i="12"/>
  <c r="BX60" i="12"/>
  <c r="BX59" i="12"/>
  <c r="BX58" i="12"/>
  <c r="BX57" i="12"/>
  <c r="BX56" i="12"/>
  <c r="BX55" i="12"/>
  <c r="BX54" i="12"/>
  <c r="BX53" i="12"/>
  <c r="BX52" i="12"/>
  <c r="BX51" i="12"/>
  <c r="BX50" i="12"/>
  <c r="BX49" i="12"/>
  <c r="BX48" i="12"/>
  <c r="BX47" i="12"/>
  <c r="BX46" i="12"/>
  <c r="BX45" i="12"/>
  <c r="BX44" i="12"/>
  <c r="BX43" i="12"/>
  <c r="BX42" i="12"/>
  <c r="BX41" i="12"/>
  <c r="BX40" i="12"/>
  <c r="BX39" i="12"/>
  <c r="BX38" i="12"/>
  <c r="BX37" i="12"/>
  <c r="BX36" i="12"/>
  <c r="BX35" i="12"/>
  <c r="BX34" i="12"/>
  <c r="BX33" i="12"/>
  <c r="BX32" i="12"/>
  <c r="BX31" i="12"/>
  <c r="BX30" i="12"/>
  <c r="BX29" i="12"/>
  <c r="BX28" i="12"/>
  <c r="BX27" i="12"/>
  <c r="BX26" i="12"/>
  <c r="BX25" i="12"/>
  <c r="BX24" i="12"/>
  <c r="BX23" i="12"/>
  <c r="BX22" i="12"/>
  <c r="BX21" i="12"/>
  <c r="BX20" i="12"/>
  <c r="BX19" i="12"/>
  <c r="BX18" i="12"/>
  <c r="BX17" i="12"/>
  <c r="BX16" i="12"/>
  <c r="BX15" i="12"/>
  <c r="BX14" i="12"/>
  <c r="BX13" i="12"/>
  <c r="BX12" i="12"/>
  <c r="BX11" i="12"/>
  <c r="BX10" i="12"/>
  <c r="BX9" i="12"/>
  <c r="BX8" i="12"/>
  <c r="BX7" i="12"/>
  <c r="BX6" i="12"/>
  <c r="BX5" i="12"/>
  <c r="BX4" i="12"/>
  <c r="BX3" i="12"/>
  <c r="BX2" i="12"/>
  <c r="BK3" i="12"/>
  <c r="BK4" i="12"/>
  <c r="BK5" i="12"/>
  <c r="BK6" i="12"/>
  <c r="BK7" i="12"/>
  <c r="BK8" i="12"/>
  <c r="BK9" i="12"/>
  <c r="BK10" i="12"/>
  <c r="BK11" i="12"/>
  <c r="BK12" i="12"/>
  <c r="BK13" i="12"/>
  <c r="BK14" i="12"/>
  <c r="BK15" i="12"/>
  <c r="BK16" i="12"/>
  <c r="BK17" i="12"/>
  <c r="BK18" i="12"/>
  <c r="BK19" i="12"/>
  <c r="BK20" i="12"/>
  <c r="BK21" i="12"/>
  <c r="BK22" i="12"/>
  <c r="BK23" i="12"/>
  <c r="BK24" i="12"/>
  <c r="BK25" i="12"/>
  <c r="BK26" i="12"/>
  <c r="BK27" i="12"/>
  <c r="BK28" i="12"/>
  <c r="BK29" i="12"/>
  <c r="BK30" i="12"/>
  <c r="BK31" i="12"/>
  <c r="BK32" i="12"/>
  <c r="BK33" i="12"/>
  <c r="BK34" i="12"/>
  <c r="BK35" i="12"/>
  <c r="BK36" i="12"/>
  <c r="BK37" i="12"/>
  <c r="BK38" i="12"/>
  <c r="BK39" i="12"/>
  <c r="BK40" i="12"/>
  <c r="BK41" i="12"/>
  <c r="BK42" i="12"/>
  <c r="BK43" i="12"/>
  <c r="BK44" i="12"/>
  <c r="BK45" i="12"/>
  <c r="BK46" i="12"/>
  <c r="BK47" i="12"/>
  <c r="BK48" i="12"/>
  <c r="BK49" i="12"/>
  <c r="BK50" i="12"/>
  <c r="BK51" i="12"/>
  <c r="BK52" i="12"/>
  <c r="BK53" i="12"/>
  <c r="BK54" i="12"/>
  <c r="BK55" i="12"/>
  <c r="BK56" i="12"/>
  <c r="BK57" i="12"/>
  <c r="BK58" i="12"/>
  <c r="BK59" i="12"/>
  <c r="BK60" i="12"/>
  <c r="BK61" i="12"/>
  <c r="BK62" i="12"/>
  <c r="BK63" i="12"/>
  <c r="BK64" i="12"/>
  <c r="BK65" i="12"/>
  <c r="BK66" i="12"/>
  <c r="BK67" i="12"/>
  <c r="BK68" i="12"/>
  <c r="BK69" i="12"/>
  <c r="BK70" i="12"/>
  <c r="BK71" i="12"/>
  <c r="BK72" i="12"/>
  <c r="BK73" i="12"/>
  <c r="BK74" i="12"/>
  <c r="BK75" i="12"/>
  <c r="BK76" i="12"/>
  <c r="BK77" i="12"/>
  <c r="BK78" i="12"/>
  <c r="BK79" i="12"/>
  <c r="BK80" i="12"/>
  <c r="BK81" i="12"/>
  <c r="BK82" i="12"/>
  <c r="BK83" i="12"/>
  <c r="BK84" i="12"/>
  <c r="BK85" i="12"/>
  <c r="BK86" i="12"/>
  <c r="BK87" i="12"/>
  <c r="BK88" i="12"/>
  <c r="BK89" i="12"/>
  <c r="BK90" i="12"/>
  <c r="BK91" i="12"/>
  <c r="BK92" i="12"/>
  <c r="BK93" i="12"/>
  <c r="BK94" i="12"/>
  <c r="BK95" i="12"/>
  <c r="BK96" i="12"/>
  <c r="BK97" i="12"/>
  <c r="BK98" i="12"/>
  <c r="BK99" i="12"/>
  <c r="BK100" i="12"/>
  <c r="BK101" i="12"/>
  <c r="BK102" i="12"/>
  <c r="BK103" i="12"/>
  <c r="BK104" i="12"/>
  <c r="BK105" i="12"/>
  <c r="BK106" i="12"/>
  <c r="BK107" i="12"/>
  <c r="BK108" i="12"/>
  <c r="BK109" i="12"/>
  <c r="BK110" i="12"/>
  <c r="BK111" i="12"/>
  <c r="BK112" i="12"/>
  <c r="BK113" i="12"/>
  <c r="BK114" i="12"/>
  <c r="BK115" i="12"/>
  <c r="BK116" i="12"/>
  <c r="BK117" i="12"/>
  <c r="BK118" i="12"/>
  <c r="BK119" i="12"/>
  <c r="BK120" i="12"/>
  <c r="BK121" i="12"/>
  <c r="BK122" i="12"/>
  <c r="BK123" i="12"/>
  <c r="BK124" i="12"/>
  <c r="BK125" i="12"/>
  <c r="BK126" i="12"/>
  <c r="BK127" i="12"/>
  <c r="BK128" i="12"/>
  <c r="BK129" i="12"/>
  <c r="BK130" i="12"/>
  <c r="BK131" i="12"/>
  <c r="BK132" i="12"/>
  <c r="BK133" i="12"/>
  <c r="BK134" i="12"/>
  <c r="BK135" i="12"/>
  <c r="BK136" i="12"/>
  <c r="BK137" i="12"/>
  <c r="BK138" i="12"/>
  <c r="BK139" i="12"/>
  <c r="BK140" i="12"/>
  <c r="BK141" i="12"/>
  <c r="BK142" i="12"/>
  <c r="BK143" i="12"/>
  <c r="BK144" i="12"/>
  <c r="BK145" i="12"/>
  <c r="BK146" i="12"/>
  <c r="BK147" i="12"/>
  <c r="BK148" i="12"/>
  <c r="BK149" i="12"/>
  <c r="BK150" i="12"/>
  <c r="BK151" i="12"/>
  <c r="BK152" i="12"/>
  <c r="BK153" i="12"/>
  <c r="BK154" i="12"/>
  <c r="BK155" i="12"/>
  <c r="BK156" i="12"/>
  <c r="BK157" i="12"/>
  <c r="BK158" i="12"/>
  <c r="BK159" i="12"/>
  <c r="BK160" i="12"/>
  <c r="BK161" i="12"/>
  <c r="BK162" i="12"/>
  <c r="BK163" i="12"/>
  <c r="BK164" i="12"/>
  <c r="BK165" i="12"/>
  <c r="BK166" i="12"/>
  <c r="BK167" i="12"/>
  <c r="BK168" i="12"/>
  <c r="BK169" i="12"/>
  <c r="BK170" i="12"/>
  <c r="BK171" i="12"/>
  <c r="BK172" i="12"/>
  <c r="BK173" i="12"/>
  <c r="BK174" i="12"/>
  <c r="BK175" i="12"/>
  <c r="BK176" i="12"/>
  <c r="BK177" i="12"/>
  <c r="BK178" i="12"/>
  <c r="BK179" i="12"/>
  <c r="BK180" i="12"/>
  <c r="BK181" i="12"/>
  <c r="BK182" i="12"/>
  <c r="BK183" i="12"/>
  <c r="BK184" i="12"/>
  <c r="BK185" i="12"/>
  <c r="BK2" i="12"/>
  <c r="K14" i="5" s="1"/>
  <c r="H4" i="1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2" i="9"/>
  <c r="R2" i="9" s="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BW3" i="12"/>
  <c r="BW4" i="12"/>
  <c r="BW5" i="12"/>
  <c r="BW6" i="12"/>
  <c r="BW7" i="12"/>
  <c r="BW8" i="12"/>
  <c r="BW9" i="12"/>
  <c r="BW10" i="12"/>
  <c r="BW11" i="12"/>
  <c r="BW12" i="12"/>
  <c r="BW13" i="12"/>
  <c r="BW14" i="12"/>
  <c r="BW15" i="12"/>
  <c r="BW16" i="12"/>
  <c r="BW17" i="12"/>
  <c r="BW18" i="12"/>
  <c r="BW19" i="12"/>
  <c r="BW20" i="12"/>
  <c r="BW21" i="12"/>
  <c r="BW22" i="12"/>
  <c r="BW23" i="12"/>
  <c r="BW24" i="12"/>
  <c r="BW25" i="12"/>
  <c r="BW26" i="12"/>
  <c r="BW27" i="12"/>
  <c r="BW28" i="12"/>
  <c r="BW29" i="12"/>
  <c r="BW30" i="12"/>
  <c r="BW31" i="12"/>
  <c r="BW32" i="12"/>
  <c r="BW33" i="12"/>
  <c r="BW34" i="12"/>
  <c r="BW35" i="12"/>
  <c r="BW36" i="12"/>
  <c r="BW37" i="12"/>
  <c r="BW38" i="12"/>
  <c r="BW39" i="12"/>
  <c r="BW40" i="12"/>
  <c r="BW41" i="12"/>
  <c r="BW42" i="12"/>
  <c r="BW43" i="12"/>
  <c r="BW44" i="12"/>
  <c r="BW45" i="12"/>
  <c r="BW46" i="12"/>
  <c r="BW47" i="12"/>
  <c r="BW48" i="12"/>
  <c r="BW49" i="12"/>
  <c r="BW50" i="12"/>
  <c r="BW51" i="12"/>
  <c r="BW52" i="12"/>
  <c r="BW53" i="12"/>
  <c r="BW54" i="12"/>
  <c r="BW55" i="12"/>
  <c r="BW56" i="12"/>
  <c r="BW57" i="12"/>
  <c r="BW58" i="12"/>
  <c r="BW59" i="12"/>
  <c r="BW60" i="12"/>
  <c r="BW61" i="12"/>
  <c r="BW62" i="12"/>
  <c r="BW63" i="12"/>
  <c r="BW64" i="12"/>
  <c r="BW65" i="12"/>
  <c r="BW66" i="12"/>
  <c r="BW67" i="12"/>
  <c r="BW68" i="12"/>
  <c r="BW69" i="12"/>
  <c r="BW70" i="12"/>
  <c r="BW71" i="12"/>
  <c r="BW72" i="12"/>
  <c r="BW73" i="12"/>
  <c r="BW74" i="12"/>
  <c r="BW75" i="12"/>
  <c r="BW76" i="12"/>
  <c r="BW77" i="12"/>
  <c r="BW78" i="12"/>
  <c r="BW79" i="12"/>
  <c r="BW80" i="12"/>
  <c r="BW81" i="12"/>
  <c r="BW82" i="12"/>
  <c r="BW83" i="12"/>
  <c r="BW84" i="12"/>
  <c r="BW85" i="12"/>
  <c r="BW86" i="12"/>
  <c r="BW87" i="12"/>
  <c r="BW88" i="12"/>
  <c r="BW89" i="12"/>
  <c r="BW90" i="12"/>
  <c r="BW91" i="12"/>
  <c r="BW92" i="12"/>
  <c r="BW93" i="12"/>
  <c r="BW94" i="12"/>
  <c r="BW95" i="12"/>
  <c r="BW96" i="12"/>
  <c r="BW97" i="12"/>
  <c r="BW98" i="12"/>
  <c r="BW99" i="12"/>
  <c r="BW100" i="12"/>
  <c r="BW101" i="12"/>
  <c r="BW102" i="12"/>
  <c r="BW103" i="12"/>
  <c r="BW104" i="12"/>
  <c r="BW105" i="12"/>
  <c r="BW106" i="12"/>
  <c r="BW107" i="12"/>
  <c r="BW108" i="12"/>
  <c r="BW109" i="12"/>
  <c r="BW110" i="12"/>
  <c r="BW111" i="12"/>
  <c r="BW112" i="12"/>
  <c r="BW113" i="12"/>
  <c r="BW114" i="12"/>
  <c r="BW115" i="12"/>
  <c r="BW116" i="12"/>
  <c r="BW117" i="12"/>
  <c r="BW118" i="12"/>
  <c r="BW119" i="12"/>
  <c r="BW120" i="12"/>
  <c r="BW121" i="12"/>
  <c r="BW122" i="12"/>
  <c r="BW123" i="12"/>
  <c r="BW124" i="12"/>
  <c r="BW125" i="12"/>
  <c r="BW126" i="12"/>
  <c r="BW127" i="12"/>
  <c r="BW128" i="12"/>
  <c r="BW129" i="12"/>
  <c r="BW130" i="12"/>
  <c r="BW131" i="12"/>
  <c r="BW132" i="12"/>
  <c r="BW133" i="12"/>
  <c r="BW134" i="12"/>
  <c r="BW135" i="12"/>
  <c r="BW136" i="12"/>
  <c r="BW137" i="12"/>
  <c r="BW138" i="12"/>
  <c r="BW139" i="12"/>
  <c r="BW140" i="12"/>
  <c r="BW141" i="12"/>
  <c r="BW142" i="12"/>
  <c r="BW143" i="12"/>
  <c r="BW144" i="12"/>
  <c r="BW145" i="12"/>
  <c r="BW146" i="12"/>
  <c r="BW147" i="12"/>
  <c r="BW148" i="12"/>
  <c r="BW149" i="12"/>
  <c r="BW150" i="12"/>
  <c r="BW151" i="12"/>
  <c r="BW152" i="12"/>
  <c r="BW153" i="12"/>
  <c r="BW154" i="12"/>
  <c r="BW155" i="12"/>
  <c r="BW156" i="12"/>
  <c r="BW157" i="12"/>
  <c r="BW158" i="12"/>
  <c r="BW159" i="12"/>
  <c r="BW160" i="12"/>
  <c r="BW161" i="12"/>
  <c r="BW162" i="12"/>
  <c r="BW163" i="12"/>
  <c r="BW164" i="12"/>
  <c r="BW165" i="12"/>
  <c r="BW166" i="12"/>
  <c r="BW167" i="12"/>
  <c r="BW168" i="12"/>
  <c r="BW169" i="12"/>
  <c r="BW170" i="12"/>
  <c r="BW171" i="12"/>
  <c r="BW172" i="12"/>
  <c r="BW173" i="12"/>
  <c r="BW174" i="12"/>
  <c r="BW175" i="12"/>
  <c r="BW176" i="12"/>
  <c r="BW177" i="12"/>
  <c r="BW178" i="12"/>
  <c r="BW179" i="12"/>
  <c r="BW180" i="12"/>
  <c r="BW181" i="12"/>
  <c r="BW182" i="12"/>
  <c r="BW183" i="12"/>
  <c r="BW184" i="12"/>
  <c r="BW185" i="12"/>
  <c r="BW2" i="12"/>
  <c r="IS3" i="16"/>
  <c r="IS4" i="16"/>
  <c r="IS5" i="16"/>
  <c r="IS6" i="16"/>
  <c r="IS7" i="16"/>
  <c r="IS8" i="16"/>
  <c r="IS9" i="16"/>
  <c r="IS10" i="16"/>
  <c r="IS11" i="16"/>
  <c r="IS12" i="16"/>
  <c r="IS13" i="16"/>
  <c r="IS14" i="16"/>
  <c r="IS15" i="16"/>
  <c r="IS16" i="16"/>
  <c r="IS17" i="16"/>
  <c r="IS18" i="16"/>
  <c r="IS19" i="16"/>
  <c r="IS20" i="16"/>
  <c r="IS21" i="16"/>
  <c r="IS22" i="16"/>
  <c r="IS23" i="16"/>
  <c r="IS24" i="16"/>
  <c r="IS25" i="16"/>
  <c r="IS26" i="16"/>
  <c r="IS27" i="16"/>
  <c r="IS28" i="16"/>
  <c r="IS29" i="16"/>
  <c r="IS30" i="16"/>
  <c r="IS31" i="16"/>
  <c r="IS32" i="16"/>
  <c r="IS33" i="16"/>
  <c r="IS34" i="16"/>
  <c r="IS35" i="16"/>
  <c r="IS36" i="16"/>
  <c r="IS37" i="16"/>
  <c r="IS38" i="16"/>
  <c r="IS39" i="16"/>
  <c r="IS40" i="16"/>
  <c r="IS41" i="16"/>
  <c r="IS42" i="16"/>
  <c r="IS43" i="16"/>
  <c r="IS44" i="16"/>
  <c r="IS45" i="16"/>
  <c r="IS2" i="16"/>
  <c r="I2" i="3"/>
  <c r="P2" i="3"/>
  <c r="O2" i="3"/>
  <c r="N2" i="3"/>
  <c r="M2" i="3"/>
  <c r="K2" i="3"/>
  <c r="IP3" i="16"/>
  <c r="IP4" i="16"/>
  <c r="IP5" i="16"/>
  <c r="IP6" i="16"/>
  <c r="IP7" i="16"/>
  <c r="IP8" i="16"/>
  <c r="IP9" i="16"/>
  <c r="IP10" i="16"/>
  <c r="IP11" i="16"/>
  <c r="IP12" i="16"/>
  <c r="IP13" i="16"/>
  <c r="IP14" i="16"/>
  <c r="IP15" i="16"/>
  <c r="IP16" i="16"/>
  <c r="IP17" i="16"/>
  <c r="IP18" i="16"/>
  <c r="IP19" i="16"/>
  <c r="IP20" i="16"/>
  <c r="IP21" i="16"/>
  <c r="IP22" i="16"/>
  <c r="IP23" i="16"/>
  <c r="IP24" i="16"/>
  <c r="IP25" i="16"/>
  <c r="IP26" i="16"/>
  <c r="IP27" i="16"/>
  <c r="IP28" i="16"/>
  <c r="IP29" i="16"/>
  <c r="IP30" i="16"/>
  <c r="IP31" i="16"/>
  <c r="IP32" i="16"/>
  <c r="IP33" i="16"/>
  <c r="IP34" i="16"/>
  <c r="IP35" i="16"/>
  <c r="IP36" i="16"/>
  <c r="IP37" i="16"/>
  <c r="IP38" i="16"/>
  <c r="IP39" i="16"/>
  <c r="IP40" i="16"/>
  <c r="IP41" i="16"/>
  <c r="IP42" i="16"/>
  <c r="IP43" i="16"/>
  <c r="IP44" i="16"/>
  <c r="IP45" i="16"/>
  <c r="IP2" i="16"/>
  <c r="IR39" i="16"/>
  <c r="IR40" i="16"/>
  <c r="IR41" i="16"/>
  <c r="IR42" i="16"/>
  <c r="IR43" i="16"/>
  <c r="IR44" i="16"/>
  <c r="IR45" i="16"/>
  <c r="IR30" i="16"/>
  <c r="IR31" i="16"/>
  <c r="IR32" i="16"/>
  <c r="IR33" i="16"/>
  <c r="IR34" i="16"/>
  <c r="IR35" i="16"/>
  <c r="IR36" i="16"/>
  <c r="IR37" i="16"/>
  <c r="IR38" i="16"/>
  <c r="IR13" i="16"/>
  <c r="IR14" i="16"/>
  <c r="IR15" i="16"/>
  <c r="IR16" i="16"/>
  <c r="IR17" i="16"/>
  <c r="IR18" i="16"/>
  <c r="IR19" i="16"/>
  <c r="IR20" i="16"/>
  <c r="IR21" i="16"/>
  <c r="IR22" i="16"/>
  <c r="IR23" i="16"/>
  <c r="IR24" i="16"/>
  <c r="IR25" i="16"/>
  <c r="IR26" i="16"/>
  <c r="IR27" i="16"/>
  <c r="IR28" i="16"/>
  <c r="IR29" i="16"/>
  <c r="IR12" i="16"/>
  <c r="IR11" i="16"/>
  <c r="IR10" i="16"/>
  <c r="IR9" i="16"/>
  <c r="IR8" i="16"/>
  <c r="IR7" i="16"/>
  <c r="IR6" i="16"/>
  <c r="IR5" i="16"/>
  <c r="IR4" i="16"/>
  <c r="IR3" i="16"/>
  <c r="IR2" i="16"/>
  <c r="BV3" i="12"/>
  <c r="BV4" i="12"/>
  <c r="BV5" i="12"/>
  <c r="BV6" i="12"/>
  <c r="BV7" i="12"/>
  <c r="BV8" i="12"/>
  <c r="BV9" i="12"/>
  <c r="BV10" i="12"/>
  <c r="BV11" i="12"/>
  <c r="BV12" i="12"/>
  <c r="BV13" i="12"/>
  <c r="BV14" i="12"/>
  <c r="BV15" i="12"/>
  <c r="BV16" i="12"/>
  <c r="BV17" i="12"/>
  <c r="BV18" i="12"/>
  <c r="BV19" i="12"/>
  <c r="BV20" i="12"/>
  <c r="BV21" i="12"/>
  <c r="BV22" i="12"/>
  <c r="BV23" i="12"/>
  <c r="BV24" i="12"/>
  <c r="BV25" i="12"/>
  <c r="BV26" i="12"/>
  <c r="BV27" i="12"/>
  <c r="BV28" i="12"/>
  <c r="BV29" i="12"/>
  <c r="BV30" i="12"/>
  <c r="BV31" i="12"/>
  <c r="BV32" i="12"/>
  <c r="BV33" i="12"/>
  <c r="BV34" i="12"/>
  <c r="BV35" i="12"/>
  <c r="BV36" i="12"/>
  <c r="BV37" i="12"/>
  <c r="BV38" i="12"/>
  <c r="BV39" i="12"/>
  <c r="BV40" i="12"/>
  <c r="BV41" i="12"/>
  <c r="BV42" i="12"/>
  <c r="BV43" i="12"/>
  <c r="BV44" i="12"/>
  <c r="BV45" i="12"/>
  <c r="BV46" i="12"/>
  <c r="BV47" i="12"/>
  <c r="BV48" i="12"/>
  <c r="BV49" i="12"/>
  <c r="BV50" i="12"/>
  <c r="BV51" i="12"/>
  <c r="BV52" i="12"/>
  <c r="BV53" i="12"/>
  <c r="BV54" i="12"/>
  <c r="BV55" i="12"/>
  <c r="BV56" i="12"/>
  <c r="BV57" i="12"/>
  <c r="BV58" i="12"/>
  <c r="BV59" i="12"/>
  <c r="BV60" i="12"/>
  <c r="BV61" i="12"/>
  <c r="BV62" i="12"/>
  <c r="BV63" i="12"/>
  <c r="BV64" i="12"/>
  <c r="BV65" i="12"/>
  <c r="BV66" i="12"/>
  <c r="BV67" i="12"/>
  <c r="BV68" i="12"/>
  <c r="BV69" i="12"/>
  <c r="BV70" i="12"/>
  <c r="BV71" i="12"/>
  <c r="BV72" i="12"/>
  <c r="BV73" i="12"/>
  <c r="BV74" i="12"/>
  <c r="BV75" i="12"/>
  <c r="BV76" i="12"/>
  <c r="BV77" i="12"/>
  <c r="BV78" i="12"/>
  <c r="BV79" i="12"/>
  <c r="BV80" i="12"/>
  <c r="BV81" i="12"/>
  <c r="BV82" i="12"/>
  <c r="BV83" i="12"/>
  <c r="BV84" i="12"/>
  <c r="BV85" i="12"/>
  <c r="BV86" i="12"/>
  <c r="BV87" i="12"/>
  <c r="BV88" i="12"/>
  <c r="BV89" i="12"/>
  <c r="BV90" i="12"/>
  <c r="BV91" i="12"/>
  <c r="BV92" i="12"/>
  <c r="BV93" i="12"/>
  <c r="BV94" i="12"/>
  <c r="BV95" i="12"/>
  <c r="BV96" i="12"/>
  <c r="BV97" i="12"/>
  <c r="BV98" i="12"/>
  <c r="BV99" i="12"/>
  <c r="BV100" i="12"/>
  <c r="BV101" i="12"/>
  <c r="BV102" i="12"/>
  <c r="BV103" i="12"/>
  <c r="BV104" i="12"/>
  <c r="BV105" i="12"/>
  <c r="BV106" i="12"/>
  <c r="BV107" i="12"/>
  <c r="BV108" i="12"/>
  <c r="BV109" i="12"/>
  <c r="BV110" i="12"/>
  <c r="BV111" i="12"/>
  <c r="BV112" i="12"/>
  <c r="BV113" i="12"/>
  <c r="BV114" i="12"/>
  <c r="BV115" i="12"/>
  <c r="BV116" i="12"/>
  <c r="BV117" i="12"/>
  <c r="BV118" i="12"/>
  <c r="BV119" i="12"/>
  <c r="BV120" i="12"/>
  <c r="BV121" i="12"/>
  <c r="BV122" i="12"/>
  <c r="BV123" i="12"/>
  <c r="BV124" i="12"/>
  <c r="BV125" i="12"/>
  <c r="BV126" i="12"/>
  <c r="BV127" i="12"/>
  <c r="BV128" i="12"/>
  <c r="BV129" i="12"/>
  <c r="BV130" i="12"/>
  <c r="BV131" i="12"/>
  <c r="BV132" i="12"/>
  <c r="BV133" i="12"/>
  <c r="BV134" i="12"/>
  <c r="BV135" i="12"/>
  <c r="BV136" i="12"/>
  <c r="BV137" i="12"/>
  <c r="BV138" i="12"/>
  <c r="BV139" i="12"/>
  <c r="BV140" i="12"/>
  <c r="BV141" i="12"/>
  <c r="BV142" i="12"/>
  <c r="BV143" i="12"/>
  <c r="BV144" i="12"/>
  <c r="BV145" i="12"/>
  <c r="BV146" i="12"/>
  <c r="BV147" i="12"/>
  <c r="BV148" i="12"/>
  <c r="BV149" i="12"/>
  <c r="BV150" i="12"/>
  <c r="BV151" i="12"/>
  <c r="BV152" i="12"/>
  <c r="BV153" i="12"/>
  <c r="BV154" i="12"/>
  <c r="BV155" i="12"/>
  <c r="BV156" i="12"/>
  <c r="BV157" i="12"/>
  <c r="BV158" i="12"/>
  <c r="BV159" i="12"/>
  <c r="BV160" i="12"/>
  <c r="BV161" i="12"/>
  <c r="BV162" i="12"/>
  <c r="BV163" i="12"/>
  <c r="BV164" i="12"/>
  <c r="BV165" i="12"/>
  <c r="BV166" i="12"/>
  <c r="BV167" i="12"/>
  <c r="BV168" i="12"/>
  <c r="BV169" i="12"/>
  <c r="BV170" i="12"/>
  <c r="BV171" i="12"/>
  <c r="BV172" i="12"/>
  <c r="BV173" i="12"/>
  <c r="BV174" i="12"/>
  <c r="BV175" i="12"/>
  <c r="BV176" i="12"/>
  <c r="BV177" i="12"/>
  <c r="BV178" i="12"/>
  <c r="BV179" i="12"/>
  <c r="BV180" i="12"/>
  <c r="BV181" i="12"/>
  <c r="BV182" i="12"/>
  <c r="BV183" i="12"/>
  <c r="BV184" i="12"/>
  <c r="BV185" i="12"/>
  <c r="BV2" i="12"/>
  <c r="R2" i="20"/>
  <c r="Q2" i="20"/>
  <c r="P2" i="20"/>
  <c r="O2" i="20"/>
  <c r="N2" i="20"/>
  <c r="M2" i="20"/>
  <c r="L2" i="20"/>
  <c r="K2" i="20"/>
  <c r="I2" i="20"/>
  <c r="H2" i="20"/>
  <c r="N2" i="10"/>
  <c r="M2" i="10"/>
  <c r="L2" i="10"/>
  <c r="CI2" i="4"/>
  <c r="G11" i="5"/>
  <c r="CG2" i="4"/>
  <c r="G10" i="5" s="1"/>
  <c r="AD2" i="18"/>
  <c r="H2" i="3"/>
  <c r="Q2" i="3"/>
  <c r="R2" i="3"/>
  <c r="AC4" i="5"/>
  <c r="AB4" i="5"/>
  <c r="AH4" i="5"/>
  <c r="AG4" i="5"/>
  <c r="K8" i="5"/>
  <c r="K7" i="5"/>
  <c r="AF4" i="5"/>
  <c r="AE4" i="5"/>
  <c r="AA4" i="5"/>
  <c r="BX4" i="4"/>
  <c r="BX5" i="4"/>
  <c r="BX10" i="4"/>
  <c r="BX12" i="4"/>
  <c r="BX13" i="4"/>
  <c r="BX18" i="4"/>
  <c r="BX21" i="4"/>
  <c r="BX26" i="4"/>
  <c r="BX29" i="4"/>
  <c r="BX33" i="4"/>
  <c r="BX32" i="4"/>
  <c r="BX31" i="4"/>
  <c r="BX30" i="4"/>
  <c r="DY3" i="4"/>
  <c r="DX3" i="4"/>
  <c r="DZ3" i="4"/>
  <c r="DT3" i="4"/>
  <c r="BF2" i="12"/>
  <c r="BG2" i="12"/>
  <c r="BL2" i="12"/>
  <c r="BM2" i="12"/>
  <c r="BR2" i="12"/>
  <c r="BS2" i="12"/>
  <c r="BF3" i="12"/>
  <c r="BG3" i="12"/>
  <c r="BL3" i="12"/>
  <c r="BM3" i="12"/>
  <c r="BR3" i="12"/>
  <c r="BS3" i="12"/>
  <c r="BF4" i="12"/>
  <c r="BG4" i="12"/>
  <c r="BL4" i="12"/>
  <c r="BM4" i="12"/>
  <c r="BR4" i="12"/>
  <c r="BS4" i="12"/>
  <c r="BF5" i="12"/>
  <c r="BG5" i="12"/>
  <c r="BL5" i="12"/>
  <c r="BM5" i="12"/>
  <c r="BR5" i="12"/>
  <c r="BS5" i="12"/>
  <c r="BF6" i="12"/>
  <c r="BG6" i="12"/>
  <c r="BL6" i="12"/>
  <c r="BM6" i="12"/>
  <c r="BR6" i="12"/>
  <c r="BS6" i="12"/>
  <c r="BF7" i="12"/>
  <c r="BG7" i="12"/>
  <c r="BL7" i="12"/>
  <c r="BM7" i="12"/>
  <c r="BR7" i="12"/>
  <c r="BS7" i="12"/>
  <c r="BF8" i="12"/>
  <c r="BG8" i="12"/>
  <c r="BL8" i="12"/>
  <c r="BM8" i="12"/>
  <c r="BR8" i="12"/>
  <c r="BS8" i="12"/>
  <c r="BF9" i="12"/>
  <c r="BG9" i="12"/>
  <c r="BL9" i="12"/>
  <c r="BM9" i="12"/>
  <c r="BR9" i="12"/>
  <c r="BS9" i="12"/>
  <c r="BF10" i="12"/>
  <c r="BG10" i="12"/>
  <c r="BL10" i="12"/>
  <c r="BM10" i="12"/>
  <c r="BR10" i="12"/>
  <c r="BS10" i="12"/>
  <c r="BF11" i="12"/>
  <c r="BG11" i="12"/>
  <c r="BL11" i="12"/>
  <c r="BM11" i="12"/>
  <c r="BR11" i="12"/>
  <c r="BS11" i="12"/>
  <c r="BF12" i="12"/>
  <c r="BG12" i="12"/>
  <c r="BL12" i="12"/>
  <c r="BM12" i="12"/>
  <c r="BR12" i="12"/>
  <c r="BS12" i="12"/>
  <c r="BF13" i="12"/>
  <c r="BG13" i="12"/>
  <c r="BL13" i="12"/>
  <c r="BM13" i="12"/>
  <c r="BR13" i="12"/>
  <c r="BS13" i="12"/>
  <c r="BF14" i="12"/>
  <c r="BG14" i="12"/>
  <c r="BL14" i="12"/>
  <c r="BM14" i="12"/>
  <c r="BR14" i="12"/>
  <c r="BS14" i="12"/>
  <c r="BF15" i="12"/>
  <c r="BG15" i="12"/>
  <c r="BL15" i="12"/>
  <c r="BM15" i="12"/>
  <c r="BR15" i="12"/>
  <c r="BS15" i="12"/>
  <c r="BF16" i="12"/>
  <c r="BG16" i="12"/>
  <c r="BL16" i="12"/>
  <c r="BM16" i="12"/>
  <c r="BR16" i="12"/>
  <c r="BS16" i="12"/>
  <c r="BF17" i="12"/>
  <c r="BG17" i="12"/>
  <c r="BL17" i="12"/>
  <c r="BM17" i="12"/>
  <c r="BR17" i="12"/>
  <c r="BS17" i="12"/>
  <c r="BF18" i="12"/>
  <c r="BG18" i="12"/>
  <c r="BL18" i="12"/>
  <c r="BM18" i="12"/>
  <c r="BR18" i="12"/>
  <c r="BS18" i="12"/>
  <c r="BF19" i="12"/>
  <c r="BG19" i="12"/>
  <c r="BL19" i="12"/>
  <c r="BM19" i="12"/>
  <c r="BR19" i="12"/>
  <c r="BS19" i="12"/>
  <c r="BF20" i="12"/>
  <c r="BG20" i="12"/>
  <c r="BL20" i="12"/>
  <c r="BM20" i="12"/>
  <c r="BR20" i="12"/>
  <c r="BS20" i="12"/>
  <c r="BF21" i="12"/>
  <c r="BG21" i="12"/>
  <c r="BL21" i="12"/>
  <c r="BM21" i="12"/>
  <c r="BR21" i="12"/>
  <c r="BS21" i="12"/>
  <c r="BF22" i="12"/>
  <c r="BG22" i="12"/>
  <c r="BL22" i="12"/>
  <c r="BM22" i="12"/>
  <c r="BR22" i="12"/>
  <c r="BS22" i="12"/>
  <c r="BF23" i="12"/>
  <c r="BG23" i="12"/>
  <c r="BL23" i="12"/>
  <c r="BM23" i="12"/>
  <c r="BR23" i="12"/>
  <c r="BS23" i="12"/>
  <c r="BF24" i="12"/>
  <c r="BG24" i="12"/>
  <c r="BL24" i="12"/>
  <c r="BM24" i="12"/>
  <c r="BR24" i="12"/>
  <c r="BS24" i="12"/>
  <c r="BF25" i="12"/>
  <c r="BG25" i="12"/>
  <c r="BL25" i="12"/>
  <c r="BM25" i="12"/>
  <c r="BR25" i="12"/>
  <c r="BS25" i="12"/>
  <c r="BF26" i="12"/>
  <c r="BG26" i="12"/>
  <c r="BL26" i="12"/>
  <c r="BM26" i="12"/>
  <c r="BR26" i="12"/>
  <c r="BS26" i="12"/>
  <c r="BF27" i="12"/>
  <c r="BG27" i="12"/>
  <c r="BL27" i="12"/>
  <c r="BM27" i="12"/>
  <c r="BR27" i="12"/>
  <c r="BS27" i="12"/>
  <c r="BF28" i="12"/>
  <c r="BG28" i="12"/>
  <c r="BL28" i="12"/>
  <c r="BM28" i="12"/>
  <c r="BR28" i="12"/>
  <c r="BS28" i="12"/>
  <c r="BF29" i="12"/>
  <c r="BG29" i="12"/>
  <c r="BL29" i="12"/>
  <c r="BM29" i="12"/>
  <c r="BR29" i="12"/>
  <c r="BS29" i="12"/>
  <c r="BF30" i="12"/>
  <c r="BG30" i="12"/>
  <c r="BL30" i="12"/>
  <c r="BM30" i="12"/>
  <c r="BR30" i="12"/>
  <c r="BS30" i="12"/>
  <c r="BF31" i="12"/>
  <c r="BG31" i="12"/>
  <c r="BL31" i="12"/>
  <c r="BM31" i="12"/>
  <c r="BR31" i="12"/>
  <c r="BS31" i="12"/>
  <c r="BF32" i="12"/>
  <c r="BG32" i="12"/>
  <c r="BL32" i="12"/>
  <c r="BM32" i="12"/>
  <c r="BR32" i="12"/>
  <c r="BS32" i="12"/>
  <c r="BF33" i="12"/>
  <c r="BG33" i="12"/>
  <c r="BL33" i="12"/>
  <c r="BM33" i="12"/>
  <c r="BR33" i="12"/>
  <c r="BS33" i="12"/>
  <c r="BF34" i="12"/>
  <c r="BG34" i="12"/>
  <c r="BL34" i="12"/>
  <c r="BM34" i="12"/>
  <c r="BR34" i="12"/>
  <c r="BS34" i="12"/>
  <c r="BF35" i="12"/>
  <c r="BG35" i="12"/>
  <c r="BL35" i="12"/>
  <c r="BM35" i="12"/>
  <c r="BR35" i="12"/>
  <c r="BS35" i="12"/>
  <c r="BF36" i="12"/>
  <c r="BG36" i="12"/>
  <c r="BL36" i="12"/>
  <c r="BM36" i="12"/>
  <c r="BR36" i="12"/>
  <c r="BS36" i="12"/>
  <c r="BF37" i="12"/>
  <c r="BG37" i="12"/>
  <c r="BL37" i="12"/>
  <c r="BM37" i="12"/>
  <c r="BR37" i="12"/>
  <c r="BS37" i="12"/>
  <c r="BF38" i="12"/>
  <c r="BG38" i="12"/>
  <c r="BL38" i="12"/>
  <c r="BM38" i="12"/>
  <c r="BR38" i="12"/>
  <c r="BS38" i="12"/>
  <c r="BF39" i="12"/>
  <c r="BG39" i="12"/>
  <c r="BL39" i="12"/>
  <c r="BM39" i="12"/>
  <c r="BR39" i="12"/>
  <c r="BS39" i="12"/>
  <c r="BF40" i="12"/>
  <c r="BG40" i="12"/>
  <c r="BL40" i="12"/>
  <c r="BM40" i="12"/>
  <c r="BR40" i="12"/>
  <c r="BS40" i="12"/>
  <c r="BF41" i="12"/>
  <c r="BG41" i="12"/>
  <c r="BL41" i="12"/>
  <c r="BM41" i="12"/>
  <c r="BR41" i="12"/>
  <c r="BS41" i="12"/>
  <c r="BF42" i="12"/>
  <c r="BG42" i="12"/>
  <c r="BL42" i="12"/>
  <c r="BM42" i="12"/>
  <c r="BR42" i="12"/>
  <c r="BS42" i="12"/>
  <c r="BF43" i="12"/>
  <c r="BG43" i="12"/>
  <c r="BL43" i="12"/>
  <c r="BM43" i="12"/>
  <c r="BR43" i="12"/>
  <c r="BS43" i="12"/>
  <c r="BF44" i="12"/>
  <c r="BG44" i="12"/>
  <c r="BL44" i="12"/>
  <c r="BM44" i="12"/>
  <c r="BR44" i="12"/>
  <c r="BS44" i="12"/>
  <c r="BF45" i="12"/>
  <c r="BG45" i="12"/>
  <c r="BL45" i="12"/>
  <c r="BM45" i="12"/>
  <c r="BR45" i="12"/>
  <c r="BS45" i="12"/>
  <c r="BF46" i="12"/>
  <c r="BG46" i="12"/>
  <c r="BL46" i="12"/>
  <c r="BM46" i="12"/>
  <c r="BR46" i="12"/>
  <c r="BS46" i="12"/>
  <c r="BF47" i="12"/>
  <c r="BG47" i="12"/>
  <c r="BL47" i="12"/>
  <c r="BM47" i="12"/>
  <c r="BR47" i="12"/>
  <c r="BS47" i="12"/>
  <c r="BF48" i="12"/>
  <c r="BG48" i="12"/>
  <c r="BL48" i="12"/>
  <c r="BM48" i="12"/>
  <c r="BR48" i="12"/>
  <c r="BS48" i="12"/>
  <c r="BF49" i="12"/>
  <c r="BG49" i="12"/>
  <c r="BL49" i="12"/>
  <c r="BM49" i="12"/>
  <c r="BR49" i="12"/>
  <c r="BS49" i="12"/>
  <c r="BF50" i="12"/>
  <c r="BG50" i="12"/>
  <c r="BL50" i="12"/>
  <c r="BM50" i="12"/>
  <c r="BR50" i="12"/>
  <c r="BS50" i="12"/>
  <c r="BF51" i="12"/>
  <c r="BG51" i="12"/>
  <c r="BL51" i="12"/>
  <c r="BM51" i="12"/>
  <c r="BR51" i="12"/>
  <c r="BS51" i="12"/>
  <c r="BF52" i="12"/>
  <c r="BG52" i="12"/>
  <c r="BL52" i="12"/>
  <c r="BM52" i="12"/>
  <c r="BR52" i="12"/>
  <c r="BS52" i="12"/>
  <c r="BF53" i="12"/>
  <c r="BG53" i="12"/>
  <c r="BL53" i="12"/>
  <c r="BM53" i="12"/>
  <c r="BR53" i="12"/>
  <c r="BS53" i="12"/>
  <c r="BF54" i="12"/>
  <c r="BG54" i="12"/>
  <c r="BL54" i="12"/>
  <c r="BM54" i="12"/>
  <c r="BR54" i="12"/>
  <c r="BS54" i="12"/>
  <c r="BF55" i="12"/>
  <c r="BG55" i="12"/>
  <c r="BL55" i="12"/>
  <c r="BM55" i="12"/>
  <c r="BR55" i="12"/>
  <c r="BS55" i="12"/>
  <c r="BF56" i="12"/>
  <c r="BG56" i="12"/>
  <c r="BL56" i="12"/>
  <c r="BM56" i="12"/>
  <c r="BR56" i="12"/>
  <c r="BS56" i="12"/>
  <c r="BF57" i="12"/>
  <c r="BG57" i="12"/>
  <c r="BL57" i="12"/>
  <c r="BM57" i="12"/>
  <c r="BR57" i="12"/>
  <c r="BS57" i="12"/>
  <c r="BF58" i="12"/>
  <c r="BG58" i="12"/>
  <c r="BL58" i="12"/>
  <c r="BM58" i="12"/>
  <c r="BR58" i="12"/>
  <c r="BS58" i="12"/>
  <c r="BF59" i="12"/>
  <c r="BG59" i="12"/>
  <c r="BL59" i="12"/>
  <c r="BM59" i="12"/>
  <c r="BR59" i="12"/>
  <c r="BS59" i="12"/>
  <c r="BF60" i="12"/>
  <c r="BG60" i="12"/>
  <c r="BL60" i="12"/>
  <c r="BM60" i="12"/>
  <c r="BR60" i="12"/>
  <c r="BS60" i="12"/>
  <c r="BF61" i="12"/>
  <c r="BG61" i="12"/>
  <c r="BL61" i="12"/>
  <c r="BM61" i="12"/>
  <c r="BR61" i="12"/>
  <c r="BS61" i="12"/>
  <c r="BF62" i="12"/>
  <c r="BG62" i="12"/>
  <c r="BL62" i="12"/>
  <c r="BM62" i="12"/>
  <c r="BR62" i="12"/>
  <c r="BS62" i="12"/>
  <c r="BF63" i="12"/>
  <c r="BG63" i="12"/>
  <c r="BL63" i="12"/>
  <c r="BM63" i="12"/>
  <c r="BR63" i="12"/>
  <c r="BS63" i="12"/>
  <c r="BF64" i="12"/>
  <c r="BG64" i="12"/>
  <c r="BL64" i="12"/>
  <c r="BM64" i="12"/>
  <c r="BR64" i="12"/>
  <c r="BS64" i="12"/>
  <c r="BF65" i="12"/>
  <c r="BG65" i="12"/>
  <c r="BL65" i="12"/>
  <c r="BM65" i="12"/>
  <c r="BR65" i="12"/>
  <c r="BS65" i="12"/>
  <c r="BF66" i="12"/>
  <c r="BG66" i="12"/>
  <c r="BL66" i="12"/>
  <c r="BM66" i="12"/>
  <c r="BR66" i="12"/>
  <c r="BS66" i="12"/>
  <c r="BF67" i="12"/>
  <c r="BG67" i="12"/>
  <c r="BL67" i="12"/>
  <c r="BM67" i="12"/>
  <c r="BR67" i="12"/>
  <c r="BS67" i="12"/>
  <c r="BF68" i="12"/>
  <c r="BG68" i="12"/>
  <c r="BL68" i="12"/>
  <c r="BM68" i="12"/>
  <c r="BR68" i="12"/>
  <c r="BS68" i="12"/>
  <c r="BF69" i="12"/>
  <c r="BG69" i="12"/>
  <c r="BL69" i="12"/>
  <c r="BM69" i="12"/>
  <c r="BR69" i="12"/>
  <c r="BS69" i="12"/>
  <c r="BF70" i="12"/>
  <c r="BG70" i="12"/>
  <c r="BL70" i="12"/>
  <c r="BM70" i="12"/>
  <c r="BR70" i="12"/>
  <c r="BS70" i="12"/>
  <c r="BF71" i="12"/>
  <c r="BG71" i="12"/>
  <c r="BL71" i="12"/>
  <c r="BM71" i="12"/>
  <c r="BR71" i="12"/>
  <c r="BS71" i="12"/>
  <c r="BF72" i="12"/>
  <c r="BG72" i="12"/>
  <c r="BL72" i="12"/>
  <c r="BM72" i="12"/>
  <c r="BR72" i="12"/>
  <c r="BS72" i="12"/>
  <c r="BF73" i="12"/>
  <c r="BG73" i="12"/>
  <c r="BL73" i="12"/>
  <c r="BM73" i="12"/>
  <c r="BR73" i="12"/>
  <c r="BS73" i="12"/>
  <c r="BF74" i="12"/>
  <c r="BG74" i="12"/>
  <c r="BL74" i="12"/>
  <c r="BM74" i="12"/>
  <c r="BR74" i="12"/>
  <c r="BS74" i="12"/>
  <c r="BF75" i="12"/>
  <c r="BG75" i="12"/>
  <c r="BL75" i="12"/>
  <c r="BM75" i="12"/>
  <c r="BR75" i="12"/>
  <c r="BS75" i="12"/>
  <c r="BF76" i="12"/>
  <c r="BG76" i="12"/>
  <c r="BL76" i="12"/>
  <c r="BM76" i="12"/>
  <c r="BR76" i="12"/>
  <c r="BS76" i="12"/>
  <c r="BF77" i="12"/>
  <c r="BG77" i="12"/>
  <c r="BL77" i="12"/>
  <c r="BM77" i="12"/>
  <c r="BR77" i="12"/>
  <c r="BS77" i="12"/>
  <c r="BF78" i="12"/>
  <c r="BG78" i="12"/>
  <c r="BL78" i="12"/>
  <c r="BM78" i="12"/>
  <c r="BR78" i="12"/>
  <c r="BS78" i="12"/>
  <c r="BF79" i="12"/>
  <c r="BG79" i="12"/>
  <c r="BL79" i="12"/>
  <c r="BM79" i="12"/>
  <c r="BR79" i="12"/>
  <c r="BS79" i="12"/>
  <c r="BF80" i="12"/>
  <c r="BG80" i="12"/>
  <c r="BL80" i="12"/>
  <c r="BM80" i="12"/>
  <c r="BR80" i="12"/>
  <c r="BS80" i="12"/>
  <c r="BF81" i="12"/>
  <c r="BG81" i="12"/>
  <c r="BL81" i="12"/>
  <c r="BM81" i="12"/>
  <c r="BR81" i="12"/>
  <c r="BS81" i="12"/>
  <c r="BF82" i="12"/>
  <c r="BG82" i="12"/>
  <c r="BL82" i="12"/>
  <c r="BM82" i="12"/>
  <c r="BR82" i="12"/>
  <c r="BS82" i="12"/>
  <c r="BF83" i="12"/>
  <c r="BG83" i="12"/>
  <c r="BL83" i="12"/>
  <c r="BM83" i="12"/>
  <c r="BR83" i="12"/>
  <c r="BS83" i="12"/>
  <c r="BF84" i="12"/>
  <c r="BG84" i="12"/>
  <c r="BL84" i="12"/>
  <c r="BM84" i="12"/>
  <c r="BR84" i="12"/>
  <c r="BS84" i="12"/>
  <c r="BF85" i="12"/>
  <c r="BG85" i="12"/>
  <c r="BL85" i="12"/>
  <c r="BM85" i="12"/>
  <c r="BR85" i="12"/>
  <c r="BS85" i="12"/>
  <c r="BF86" i="12"/>
  <c r="BG86" i="12"/>
  <c r="BL86" i="12"/>
  <c r="BM86" i="12"/>
  <c r="BR86" i="12"/>
  <c r="BS86" i="12"/>
  <c r="BF87" i="12"/>
  <c r="BG87" i="12"/>
  <c r="BL87" i="12"/>
  <c r="BM87" i="12"/>
  <c r="BR87" i="12"/>
  <c r="BS87" i="12"/>
  <c r="BF88" i="12"/>
  <c r="BG88" i="12"/>
  <c r="BL88" i="12"/>
  <c r="BM88" i="12"/>
  <c r="BR88" i="12"/>
  <c r="BS88" i="12"/>
  <c r="BF89" i="12"/>
  <c r="BG89" i="12"/>
  <c r="BL89" i="12"/>
  <c r="BM89" i="12"/>
  <c r="BR89" i="12"/>
  <c r="BS89" i="12"/>
  <c r="BF90" i="12"/>
  <c r="BG90" i="12"/>
  <c r="BL90" i="12"/>
  <c r="BM90" i="12"/>
  <c r="BR90" i="12"/>
  <c r="BS90" i="12"/>
  <c r="BF91" i="12"/>
  <c r="BG91" i="12"/>
  <c r="BL91" i="12"/>
  <c r="BM91" i="12"/>
  <c r="BR91" i="12"/>
  <c r="BS91" i="12"/>
  <c r="BF92" i="12"/>
  <c r="BG92" i="12"/>
  <c r="BL92" i="12"/>
  <c r="BM92" i="12"/>
  <c r="BR92" i="12"/>
  <c r="BS92" i="12"/>
  <c r="BF93" i="12"/>
  <c r="BG93" i="12"/>
  <c r="BL93" i="12"/>
  <c r="BM93" i="12"/>
  <c r="BR93" i="12"/>
  <c r="BS93" i="12"/>
  <c r="BF94" i="12"/>
  <c r="BG94" i="12"/>
  <c r="BL94" i="12"/>
  <c r="BM94" i="12"/>
  <c r="BR94" i="12"/>
  <c r="BS94" i="12"/>
  <c r="BF95" i="12"/>
  <c r="BG95" i="12"/>
  <c r="BL95" i="12"/>
  <c r="BM95" i="12"/>
  <c r="BR95" i="12"/>
  <c r="BS95" i="12"/>
  <c r="BF96" i="12"/>
  <c r="BG96" i="12"/>
  <c r="BL96" i="12"/>
  <c r="BM96" i="12"/>
  <c r="BR96" i="12"/>
  <c r="BS96" i="12"/>
  <c r="BF97" i="12"/>
  <c r="BG97" i="12"/>
  <c r="BL97" i="12"/>
  <c r="BM97" i="12"/>
  <c r="BR97" i="12"/>
  <c r="BS97" i="12"/>
  <c r="BF98" i="12"/>
  <c r="BG98" i="12"/>
  <c r="BL98" i="12"/>
  <c r="BM98" i="12"/>
  <c r="BR98" i="12"/>
  <c r="BS98" i="12"/>
  <c r="BF99" i="12"/>
  <c r="BG99" i="12"/>
  <c r="BL99" i="12"/>
  <c r="BM99" i="12"/>
  <c r="BR99" i="12"/>
  <c r="BS99" i="12"/>
  <c r="BF100" i="12"/>
  <c r="BG100" i="12"/>
  <c r="BL100" i="12"/>
  <c r="BM100" i="12"/>
  <c r="BR100" i="12"/>
  <c r="BS100" i="12"/>
  <c r="BF101" i="12"/>
  <c r="BG101" i="12"/>
  <c r="BL101" i="12"/>
  <c r="BM101" i="12"/>
  <c r="BR101" i="12"/>
  <c r="BS101" i="12"/>
  <c r="BF102" i="12"/>
  <c r="BG102" i="12"/>
  <c r="BL102" i="12"/>
  <c r="BM102" i="12"/>
  <c r="BR102" i="12"/>
  <c r="BS102" i="12"/>
  <c r="BF103" i="12"/>
  <c r="BG103" i="12"/>
  <c r="BL103" i="12"/>
  <c r="BM103" i="12"/>
  <c r="BR103" i="12"/>
  <c r="BS103" i="12"/>
  <c r="BF104" i="12"/>
  <c r="BG104" i="12"/>
  <c r="BL104" i="12"/>
  <c r="BM104" i="12"/>
  <c r="BR104" i="12"/>
  <c r="BS104" i="12"/>
  <c r="BF105" i="12"/>
  <c r="BG105" i="12"/>
  <c r="BL105" i="12"/>
  <c r="BM105" i="12"/>
  <c r="BR105" i="12"/>
  <c r="BS105" i="12"/>
  <c r="BF106" i="12"/>
  <c r="BG106" i="12"/>
  <c r="BL106" i="12"/>
  <c r="BM106" i="12"/>
  <c r="BR106" i="12"/>
  <c r="BS106" i="12"/>
  <c r="BF107" i="12"/>
  <c r="BG107" i="12"/>
  <c r="BL107" i="12"/>
  <c r="BM107" i="12"/>
  <c r="BR107" i="12"/>
  <c r="BS107" i="12"/>
  <c r="BF108" i="12"/>
  <c r="BG108" i="12"/>
  <c r="BL108" i="12"/>
  <c r="BM108" i="12"/>
  <c r="BR108" i="12"/>
  <c r="BS108" i="12"/>
  <c r="BF109" i="12"/>
  <c r="BG109" i="12"/>
  <c r="BL109" i="12"/>
  <c r="BM109" i="12"/>
  <c r="BR109" i="12"/>
  <c r="BS109" i="12"/>
  <c r="BF110" i="12"/>
  <c r="BG110" i="12"/>
  <c r="BL110" i="12"/>
  <c r="BM110" i="12"/>
  <c r="BR110" i="12"/>
  <c r="BS110" i="12"/>
  <c r="BF111" i="12"/>
  <c r="BG111" i="12"/>
  <c r="BL111" i="12"/>
  <c r="BM111" i="12"/>
  <c r="BR111" i="12"/>
  <c r="BS111" i="12"/>
  <c r="BF112" i="12"/>
  <c r="BG112" i="12"/>
  <c r="BL112" i="12"/>
  <c r="BM112" i="12"/>
  <c r="BR112" i="12"/>
  <c r="BS112" i="12"/>
  <c r="BF113" i="12"/>
  <c r="BG113" i="12"/>
  <c r="BL113" i="12"/>
  <c r="BM113" i="12"/>
  <c r="BR113" i="12"/>
  <c r="BS113" i="12"/>
  <c r="BF114" i="12"/>
  <c r="BG114" i="12"/>
  <c r="BL114" i="12"/>
  <c r="BM114" i="12"/>
  <c r="BR114" i="12"/>
  <c r="BS114" i="12"/>
  <c r="BF115" i="12"/>
  <c r="BG115" i="12"/>
  <c r="BL115" i="12"/>
  <c r="BM115" i="12"/>
  <c r="BR115" i="12"/>
  <c r="BS115" i="12"/>
  <c r="BF116" i="12"/>
  <c r="BG116" i="12"/>
  <c r="BL116" i="12"/>
  <c r="BM116" i="12"/>
  <c r="BR116" i="12"/>
  <c r="BS116" i="12"/>
  <c r="BF117" i="12"/>
  <c r="BG117" i="12"/>
  <c r="BL117" i="12"/>
  <c r="BM117" i="12"/>
  <c r="BR117" i="12"/>
  <c r="BS117" i="12"/>
  <c r="BF118" i="12"/>
  <c r="BG118" i="12"/>
  <c r="BL118" i="12"/>
  <c r="BM118" i="12"/>
  <c r="BR118" i="12"/>
  <c r="BS118" i="12"/>
  <c r="BF119" i="12"/>
  <c r="BG119" i="12"/>
  <c r="BL119" i="12"/>
  <c r="BM119" i="12"/>
  <c r="BR119" i="12"/>
  <c r="BS119" i="12"/>
  <c r="BF120" i="12"/>
  <c r="BG120" i="12"/>
  <c r="BL120" i="12"/>
  <c r="BM120" i="12"/>
  <c r="BR120" i="12"/>
  <c r="BS120" i="12"/>
  <c r="BF121" i="12"/>
  <c r="BG121" i="12"/>
  <c r="BL121" i="12"/>
  <c r="BM121" i="12"/>
  <c r="BR121" i="12"/>
  <c r="BS121" i="12"/>
  <c r="BF122" i="12"/>
  <c r="BG122" i="12"/>
  <c r="BL122" i="12"/>
  <c r="BM122" i="12"/>
  <c r="BR122" i="12"/>
  <c r="BS122" i="12"/>
  <c r="BF123" i="12"/>
  <c r="BG123" i="12"/>
  <c r="BL123" i="12"/>
  <c r="BM123" i="12"/>
  <c r="BR123" i="12"/>
  <c r="BS123" i="12"/>
  <c r="BF124" i="12"/>
  <c r="BG124" i="12"/>
  <c r="BL124" i="12"/>
  <c r="BM124" i="12"/>
  <c r="BR124" i="12"/>
  <c r="BS124" i="12"/>
  <c r="BF125" i="12"/>
  <c r="BG125" i="12"/>
  <c r="BL125" i="12"/>
  <c r="BM125" i="12"/>
  <c r="BR125" i="12"/>
  <c r="BS125" i="12"/>
  <c r="BF126" i="12"/>
  <c r="BG126" i="12"/>
  <c r="BL126" i="12"/>
  <c r="BM126" i="12"/>
  <c r="BR126" i="12"/>
  <c r="BS126" i="12"/>
  <c r="BF127" i="12"/>
  <c r="BG127" i="12"/>
  <c r="BL127" i="12"/>
  <c r="BM127" i="12"/>
  <c r="BR127" i="12"/>
  <c r="BS127" i="12"/>
  <c r="BF128" i="12"/>
  <c r="BG128" i="12"/>
  <c r="BL128" i="12"/>
  <c r="BM128" i="12"/>
  <c r="BR128" i="12"/>
  <c r="BS128" i="12"/>
  <c r="BF129" i="12"/>
  <c r="BG129" i="12"/>
  <c r="BL129" i="12"/>
  <c r="BM129" i="12"/>
  <c r="BR129" i="12"/>
  <c r="BS129" i="12"/>
  <c r="BF130" i="12"/>
  <c r="BG130" i="12"/>
  <c r="BL130" i="12"/>
  <c r="BM130" i="12"/>
  <c r="BR130" i="12"/>
  <c r="BS130" i="12"/>
  <c r="BF131" i="12"/>
  <c r="BG131" i="12"/>
  <c r="BL131" i="12"/>
  <c r="BM131" i="12"/>
  <c r="BR131" i="12"/>
  <c r="BS131" i="12"/>
  <c r="BF132" i="12"/>
  <c r="BG132" i="12"/>
  <c r="BL132" i="12"/>
  <c r="BM132" i="12"/>
  <c r="BR132" i="12"/>
  <c r="BS132" i="12"/>
  <c r="BF133" i="12"/>
  <c r="BG133" i="12"/>
  <c r="BL133" i="12"/>
  <c r="BM133" i="12"/>
  <c r="BR133" i="12"/>
  <c r="BS133" i="12"/>
  <c r="BF134" i="12"/>
  <c r="BG134" i="12"/>
  <c r="BL134" i="12"/>
  <c r="BM134" i="12"/>
  <c r="BR134" i="12"/>
  <c r="BS134" i="12"/>
  <c r="BF135" i="12"/>
  <c r="BG135" i="12"/>
  <c r="BL135" i="12"/>
  <c r="BM135" i="12"/>
  <c r="BR135" i="12"/>
  <c r="BS135" i="12"/>
  <c r="BF136" i="12"/>
  <c r="BG136" i="12"/>
  <c r="BL136" i="12"/>
  <c r="BM136" i="12"/>
  <c r="BR136" i="12"/>
  <c r="BS136" i="12"/>
  <c r="BF137" i="12"/>
  <c r="BG137" i="12"/>
  <c r="BL137" i="12"/>
  <c r="BM137" i="12"/>
  <c r="BR137" i="12"/>
  <c r="BS137" i="12"/>
  <c r="BF138" i="12"/>
  <c r="BG138" i="12"/>
  <c r="BL138" i="12"/>
  <c r="BM138" i="12"/>
  <c r="BR138" i="12"/>
  <c r="BS138" i="12"/>
  <c r="BF139" i="12"/>
  <c r="BG139" i="12"/>
  <c r="BL139" i="12"/>
  <c r="BM139" i="12"/>
  <c r="BR139" i="12"/>
  <c r="BS139" i="12"/>
  <c r="BF140" i="12"/>
  <c r="BG140" i="12"/>
  <c r="BL140" i="12"/>
  <c r="BM140" i="12"/>
  <c r="BR140" i="12"/>
  <c r="BS140" i="12"/>
  <c r="BF141" i="12"/>
  <c r="BG141" i="12"/>
  <c r="BL141" i="12"/>
  <c r="BM141" i="12"/>
  <c r="BR141" i="12"/>
  <c r="BS141" i="12"/>
  <c r="BF142" i="12"/>
  <c r="BG142" i="12"/>
  <c r="BL142" i="12"/>
  <c r="BM142" i="12"/>
  <c r="BR142" i="12"/>
  <c r="BS142" i="12"/>
  <c r="BF143" i="12"/>
  <c r="BG143" i="12"/>
  <c r="BL143" i="12"/>
  <c r="BM143" i="12"/>
  <c r="BR143" i="12"/>
  <c r="BS143" i="12"/>
  <c r="BF144" i="12"/>
  <c r="BG144" i="12"/>
  <c r="BL144" i="12"/>
  <c r="BM144" i="12"/>
  <c r="BR144" i="12"/>
  <c r="BS144" i="12"/>
  <c r="BF145" i="12"/>
  <c r="BG145" i="12"/>
  <c r="BL145" i="12"/>
  <c r="BM145" i="12"/>
  <c r="BR145" i="12"/>
  <c r="BS145" i="12"/>
  <c r="BF146" i="12"/>
  <c r="BG146" i="12"/>
  <c r="BL146" i="12"/>
  <c r="BM146" i="12"/>
  <c r="BR146" i="12"/>
  <c r="BS146" i="12"/>
  <c r="BF147" i="12"/>
  <c r="BG147" i="12"/>
  <c r="BL147" i="12"/>
  <c r="BM147" i="12"/>
  <c r="BR147" i="12"/>
  <c r="BS147" i="12"/>
  <c r="BF148" i="12"/>
  <c r="BG148" i="12"/>
  <c r="BL148" i="12"/>
  <c r="BM148" i="12"/>
  <c r="BR148" i="12"/>
  <c r="BS148" i="12"/>
  <c r="BF149" i="12"/>
  <c r="BG149" i="12"/>
  <c r="BL149" i="12"/>
  <c r="BM149" i="12"/>
  <c r="BR149" i="12"/>
  <c r="BS149" i="12"/>
  <c r="BF150" i="12"/>
  <c r="BG150" i="12"/>
  <c r="BL150" i="12"/>
  <c r="BM150" i="12"/>
  <c r="BR150" i="12"/>
  <c r="BS150" i="12"/>
  <c r="BF151" i="12"/>
  <c r="BG151" i="12"/>
  <c r="BL151" i="12"/>
  <c r="BM151" i="12"/>
  <c r="BR151" i="12"/>
  <c r="BS151" i="12"/>
  <c r="BF152" i="12"/>
  <c r="BG152" i="12"/>
  <c r="BL152" i="12"/>
  <c r="BM152" i="12"/>
  <c r="BR152" i="12"/>
  <c r="BS152" i="12"/>
  <c r="BF153" i="12"/>
  <c r="BG153" i="12"/>
  <c r="BL153" i="12"/>
  <c r="BM153" i="12"/>
  <c r="BR153" i="12"/>
  <c r="BS153" i="12"/>
  <c r="BF154" i="12"/>
  <c r="BG154" i="12"/>
  <c r="BL154" i="12"/>
  <c r="BM154" i="12"/>
  <c r="BR154" i="12"/>
  <c r="BS154" i="12"/>
  <c r="BF155" i="12"/>
  <c r="BG155" i="12"/>
  <c r="BL155" i="12"/>
  <c r="BM155" i="12"/>
  <c r="BR155" i="12"/>
  <c r="BS155" i="12"/>
  <c r="BF156" i="12"/>
  <c r="BG156" i="12"/>
  <c r="BL156" i="12"/>
  <c r="BM156" i="12"/>
  <c r="BR156" i="12"/>
  <c r="BS156" i="12"/>
  <c r="BF157" i="12"/>
  <c r="BG157" i="12"/>
  <c r="BL157" i="12"/>
  <c r="BM157" i="12"/>
  <c r="BR157" i="12"/>
  <c r="BS157" i="12"/>
  <c r="BF158" i="12"/>
  <c r="BG158" i="12"/>
  <c r="BL158" i="12"/>
  <c r="BM158" i="12"/>
  <c r="BR158" i="12"/>
  <c r="BS158" i="12"/>
  <c r="BF159" i="12"/>
  <c r="BG159" i="12"/>
  <c r="BL159" i="12"/>
  <c r="BM159" i="12"/>
  <c r="BR159" i="12"/>
  <c r="BS159" i="12"/>
  <c r="BF160" i="12"/>
  <c r="BG160" i="12"/>
  <c r="BL160" i="12"/>
  <c r="BM160" i="12"/>
  <c r="BR160" i="12"/>
  <c r="BS160" i="12"/>
  <c r="BF161" i="12"/>
  <c r="BG161" i="12"/>
  <c r="BL161" i="12"/>
  <c r="BM161" i="12"/>
  <c r="BR161" i="12"/>
  <c r="BS161" i="12"/>
  <c r="BF162" i="12"/>
  <c r="BG162" i="12"/>
  <c r="BL162" i="12"/>
  <c r="BM162" i="12"/>
  <c r="BR162" i="12"/>
  <c r="BS162" i="12"/>
  <c r="BF163" i="12"/>
  <c r="BG163" i="12"/>
  <c r="BL163" i="12"/>
  <c r="BM163" i="12"/>
  <c r="BR163" i="12"/>
  <c r="BS163" i="12"/>
  <c r="BF164" i="12"/>
  <c r="BG164" i="12"/>
  <c r="BL164" i="12"/>
  <c r="BM164" i="12"/>
  <c r="BR164" i="12"/>
  <c r="BS164" i="12"/>
  <c r="BF165" i="12"/>
  <c r="BG165" i="12"/>
  <c r="BL165" i="12"/>
  <c r="BM165" i="12"/>
  <c r="BR165" i="12"/>
  <c r="BS165" i="12"/>
  <c r="BF166" i="12"/>
  <c r="BG166" i="12"/>
  <c r="BL166" i="12"/>
  <c r="BM166" i="12"/>
  <c r="BR166" i="12"/>
  <c r="BS166" i="12"/>
  <c r="BF167" i="12"/>
  <c r="BG167" i="12"/>
  <c r="BL167" i="12"/>
  <c r="BM167" i="12"/>
  <c r="BR167" i="12"/>
  <c r="BS167" i="12"/>
  <c r="BF168" i="12"/>
  <c r="BG168" i="12"/>
  <c r="BL168" i="12"/>
  <c r="BM168" i="12"/>
  <c r="BR168" i="12"/>
  <c r="BS168" i="12"/>
  <c r="BF169" i="12"/>
  <c r="BG169" i="12"/>
  <c r="BL169" i="12"/>
  <c r="BM169" i="12"/>
  <c r="BR169" i="12"/>
  <c r="BS169" i="12"/>
  <c r="BF170" i="12"/>
  <c r="BG170" i="12"/>
  <c r="BL170" i="12"/>
  <c r="BM170" i="12"/>
  <c r="BR170" i="12"/>
  <c r="BS170" i="12"/>
  <c r="BF171" i="12"/>
  <c r="BG171" i="12"/>
  <c r="BL171" i="12"/>
  <c r="BM171" i="12"/>
  <c r="BR171" i="12"/>
  <c r="BS171" i="12"/>
  <c r="BF172" i="12"/>
  <c r="BG172" i="12"/>
  <c r="BL172" i="12"/>
  <c r="BM172" i="12"/>
  <c r="BR172" i="12"/>
  <c r="BS172" i="12"/>
  <c r="BF173" i="12"/>
  <c r="BG173" i="12"/>
  <c r="BL173" i="12"/>
  <c r="BM173" i="12"/>
  <c r="BR173" i="12"/>
  <c r="BS173" i="12"/>
  <c r="BF174" i="12"/>
  <c r="BG174" i="12"/>
  <c r="BL174" i="12"/>
  <c r="BM174" i="12"/>
  <c r="BR174" i="12"/>
  <c r="BS174" i="12"/>
  <c r="BF175" i="12"/>
  <c r="BG175" i="12"/>
  <c r="BL175" i="12"/>
  <c r="BM175" i="12"/>
  <c r="BR175" i="12"/>
  <c r="BS175" i="12"/>
  <c r="BF176" i="12"/>
  <c r="BG176" i="12"/>
  <c r="BL176" i="12"/>
  <c r="BM176" i="12"/>
  <c r="BR176" i="12"/>
  <c r="BS176" i="12"/>
  <c r="BF177" i="12"/>
  <c r="BG177" i="12"/>
  <c r="BL177" i="12"/>
  <c r="BM177" i="12"/>
  <c r="BR177" i="12"/>
  <c r="BS177" i="12"/>
  <c r="BF178" i="12"/>
  <c r="BG178" i="12"/>
  <c r="BL178" i="12"/>
  <c r="BM178" i="12"/>
  <c r="BR178" i="12"/>
  <c r="BS178" i="12"/>
  <c r="BF179" i="12"/>
  <c r="BG179" i="12"/>
  <c r="BL179" i="12"/>
  <c r="BM179" i="12"/>
  <c r="BR179" i="12"/>
  <c r="BS179" i="12"/>
  <c r="BF180" i="12"/>
  <c r="BG180" i="12"/>
  <c r="BL180" i="12"/>
  <c r="BM180" i="12"/>
  <c r="BR180" i="12"/>
  <c r="BS180" i="12"/>
  <c r="BF181" i="12"/>
  <c r="BG181" i="12"/>
  <c r="BL181" i="12"/>
  <c r="BM181" i="12"/>
  <c r="BR181" i="12"/>
  <c r="BS181" i="12"/>
  <c r="BF182" i="12"/>
  <c r="BG182" i="12"/>
  <c r="BL182" i="12"/>
  <c r="BM182" i="12"/>
  <c r="BR182" i="12"/>
  <c r="BS182" i="12"/>
  <c r="BF183" i="12"/>
  <c r="BG183" i="12"/>
  <c r="BL183" i="12"/>
  <c r="BM183" i="12"/>
  <c r="BR183" i="12"/>
  <c r="BS183" i="12"/>
  <c r="BF184" i="12"/>
  <c r="BG184" i="12"/>
  <c r="BL184" i="12"/>
  <c r="BM184" i="12"/>
  <c r="BR184" i="12"/>
  <c r="BS184" i="12"/>
  <c r="BF185" i="12"/>
  <c r="BG185" i="12"/>
  <c r="BL185" i="12"/>
  <c r="BM185" i="12"/>
  <c r="BR185" i="12"/>
  <c r="BS185" i="12"/>
  <c r="DT6" i="4"/>
  <c r="DU6" i="4"/>
  <c r="DV6" i="4"/>
  <c r="DW6" i="4"/>
  <c r="DX6" i="4"/>
  <c r="DY6" i="4"/>
  <c r="DZ6" i="4"/>
  <c r="EB6" i="4"/>
  <c r="EC6" i="4"/>
  <c r="ED6" i="4"/>
  <c r="EE6" i="4"/>
  <c r="EF6" i="4"/>
  <c r="EG6" i="4"/>
  <c r="DT7" i="4"/>
  <c r="DU7" i="4"/>
  <c r="DV7" i="4"/>
  <c r="DW7" i="4"/>
  <c r="DX7" i="4"/>
  <c r="DY7" i="4"/>
  <c r="DZ7" i="4"/>
  <c r="EB7" i="4"/>
  <c r="EC7" i="4"/>
  <c r="ED7" i="4"/>
  <c r="EE7" i="4"/>
  <c r="EF7" i="4"/>
  <c r="EG7" i="4"/>
  <c r="DT8" i="4"/>
  <c r="DU8" i="4"/>
  <c r="DV8" i="4"/>
  <c r="DW8" i="4"/>
  <c r="DX8" i="4"/>
  <c r="DY8" i="4"/>
  <c r="DZ8" i="4"/>
  <c r="EB8" i="4"/>
  <c r="EC8" i="4"/>
  <c r="ED8" i="4"/>
  <c r="EE8" i="4"/>
  <c r="EF8" i="4"/>
  <c r="EG8" i="4"/>
  <c r="DT9" i="4"/>
  <c r="DU9" i="4"/>
  <c r="DV9" i="4"/>
  <c r="DW9" i="4"/>
  <c r="DX9" i="4"/>
  <c r="DY9" i="4"/>
  <c r="DZ9" i="4"/>
  <c r="EB9" i="4"/>
  <c r="EC9" i="4"/>
  <c r="ED9" i="4"/>
  <c r="EE9" i="4"/>
  <c r="EF9" i="4"/>
  <c r="EG9" i="4"/>
  <c r="DT10" i="4"/>
  <c r="DU10" i="4"/>
  <c r="DV10" i="4"/>
  <c r="DW10" i="4"/>
  <c r="DX10" i="4"/>
  <c r="DY10" i="4"/>
  <c r="DZ10" i="4"/>
  <c r="EB10" i="4"/>
  <c r="EC10" i="4"/>
  <c r="ED10" i="4"/>
  <c r="EE10" i="4"/>
  <c r="EF10" i="4"/>
  <c r="EG10" i="4"/>
  <c r="DT11" i="4"/>
  <c r="DU11" i="4"/>
  <c r="DV11" i="4"/>
  <c r="DW11" i="4"/>
  <c r="DX11" i="4"/>
  <c r="DY11" i="4"/>
  <c r="DZ11" i="4"/>
  <c r="EB11" i="4"/>
  <c r="EC11" i="4"/>
  <c r="ED11" i="4"/>
  <c r="EE11" i="4"/>
  <c r="EF11" i="4"/>
  <c r="EG11" i="4"/>
  <c r="DT12" i="4"/>
  <c r="DU12" i="4"/>
  <c r="DV12" i="4"/>
  <c r="DW12" i="4"/>
  <c r="DX12" i="4"/>
  <c r="DY12" i="4"/>
  <c r="DZ12" i="4"/>
  <c r="EB12" i="4"/>
  <c r="EC12" i="4"/>
  <c r="ED12" i="4"/>
  <c r="EE12" i="4"/>
  <c r="EF12" i="4"/>
  <c r="EG12" i="4"/>
  <c r="DT13" i="4"/>
  <c r="DU13" i="4"/>
  <c r="DV13" i="4"/>
  <c r="DW13" i="4"/>
  <c r="DX13" i="4"/>
  <c r="DY13" i="4"/>
  <c r="DZ13" i="4"/>
  <c r="EB13" i="4"/>
  <c r="EC13" i="4"/>
  <c r="ED13" i="4"/>
  <c r="EE13" i="4"/>
  <c r="EF13" i="4"/>
  <c r="EG13" i="4"/>
  <c r="DT14" i="4"/>
  <c r="DU14" i="4"/>
  <c r="DV14" i="4"/>
  <c r="DW14" i="4"/>
  <c r="DX14" i="4"/>
  <c r="DY14" i="4"/>
  <c r="DZ14" i="4"/>
  <c r="EB14" i="4"/>
  <c r="EC14" i="4"/>
  <c r="ED14" i="4"/>
  <c r="EE14" i="4"/>
  <c r="EF14" i="4"/>
  <c r="EG14" i="4"/>
  <c r="DT15" i="4"/>
  <c r="DU15" i="4"/>
  <c r="DV15" i="4"/>
  <c r="DW15" i="4"/>
  <c r="DX15" i="4"/>
  <c r="DY15" i="4"/>
  <c r="DZ15" i="4"/>
  <c r="EB15" i="4"/>
  <c r="EC15" i="4"/>
  <c r="ED15" i="4"/>
  <c r="EE15" i="4"/>
  <c r="EF15" i="4"/>
  <c r="EG15" i="4"/>
  <c r="DT16" i="4"/>
  <c r="DU16" i="4"/>
  <c r="DV16" i="4"/>
  <c r="DW16" i="4"/>
  <c r="DX16" i="4"/>
  <c r="DY16" i="4"/>
  <c r="DZ16" i="4"/>
  <c r="EB16" i="4"/>
  <c r="EC16" i="4"/>
  <c r="ED16" i="4"/>
  <c r="EE16" i="4"/>
  <c r="EF16" i="4"/>
  <c r="EG16" i="4"/>
  <c r="O6" i="9"/>
  <c r="Q6" i="9" s="1"/>
  <c r="P6" i="9"/>
  <c r="O7" i="9"/>
  <c r="Q7" i="9" s="1"/>
  <c r="P7" i="9"/>
  <c r="O8" i="9"/>
  <c r="Q8" i="9" s="1"/>
  <c r="P8" i="9"/>
  <c r="O9" i="9"/>
  <c r="Q9" i="9" s="1"/>
  <c r="P9" i="9"/>
  <c r="O10" i="9"/>
  <c r="Q10" i="9" s="1"/>
  <c r="P10" i="9"/>
  <c r="O11" i="9"/>
  <c r="Q11" i="9" s="1"/>
  <c r="P11" i="9"/>
  <c r="O12" i="9"/>
  <c r="Q12" i="9" s="1"/>
  <c r="P12" i="9"/>
  <c r="O13" i="9"/>
  <c r="Q13" i="9" s="1"/>
  <c r="P13" i="9"/>
  <c r="O14" i="9"/>
  <c r="Q14" i="9" s="1"/>
  <c r="P14" i="9"/>
  <c r="O15" i="9"/>
  <c r="Q15" i="9" s="1"/>
  <c r="P15" i="9"/>
  <c r="O16" i="9"/>
  <c r="Q16" i="9" s="1"/>
  <c r="P16" i="9"/>
  <c r="O17" i="9"/>
  <c r="Q17" i="9" s="1"/>
  <c r="P17" i="9"/>
  <c r="O18" i="9"/>
  <c r="Q18" i="9" s="1"/>
  <c r="P18" i="9"/>
  <c r="O19" i="9"/>
  <c r="Q19" i="9" s="1"/>
  <c r="P19" i="9"/>
  <c r="O20" i="9"/>
  <c r="Q20" i="9" s="1"/>
  <c r="P20" i="9"/>
  <c r="O21" i="9"/>
  <c r="Q21" i="9" s="1"/>
  <c r="P21" i="9"/>
  <c r="O22" i="9"/>
  <c r="Q22" i="9" s="1"/>
  <c r="P22" i="9"/>
  <c r="O23" i="9"/>
  <c r="Q23" i="9" s="1"/>
  <c r="P23" i="9"/>
  <c r="O24" i="9"/>
  <c r="Q24" i="9" s="1"/>
  <c r="P24" i="9"/>
  <c r="O25" i="9"/>
  <c r="Q25" i="9" s="1"/>
  <c r="P25" i="9"/>
  <c r="O26" i="9"/>
  <c r="Q26" i="9" s="1"/>
  <c r="P26" i="9"/>
  <c r="O27" i="9"/>
  <c r="Q27" i="9" s="1"/>
  <c r="P27" i="9"/>
  <c r="O28" i="9"/>
  <c r="Q28" i="9" s="1"/>
  <c r="P28" i="9"/>
  <c r="O29" i="9"/>
  <c r="Q29" i="9" s="1"/>
  <c r="P29" i="9"/>
  <c r="O30" i="9"/>
  <c r="Q30" i="9" s="1"/>
  <c r="P30" i="9"/>
  <c r="O31" i="9"/>
  <c r="Q31" i="9" s="1"/>
  <c r="P31" i="9"/>
  <c r="O32" i="9"/>
  <c r="Q32" i="9" s="1"/>
  <c r="P32" i="9"/>
  <c r="O33" i="9"/>
  <c r="Q33" i="9" s="1"/>
  <c r="P33" i="9"/>
  <c r="O34" i="9"/>
  <c r="Q34" i="9" s="1"/>
  <c r="P34" i="9"/>
  <c r="O35" i="9"/>
  <c r="Q35" i="9" s="1"/>
  <c r="P35" i="9"/>
  <c r="O36" i="9"/>
  <c r="Q36" i="9" s="1"/>
  <c r="P36" i="9"/>
  <c r="O37" i="9"/>
  <c r="Q37" i="9" s="1"/>
  <c r="P37" i="9"/>
  <c r="O38" i="9"/>
  <c r="Q38" i="9" s="1"/>
  <c r="P38" i="9"/>
  <c r="O39" i="9"/>
  <c r="Q39" i="9" s="1"/>
  <c r="P39" i="9"/>
  <c r="O40" i="9"/>
  <c r="Q40" i="9" s="1"/>
  <c r="P40" i="9"/>
  <c r="O41" i="9"/>
  <c r="Q41" i="9" s="1"/>
  <c r="P41" i="9"/>
  <c r="O42" i="9"/>
  <c r="Q42" i="9" s="1"/>
  <c r="P42" i="9"/>
  <c r="O43" i="9"/>
  <c r="Q43" i="9" s="1"/>
  <c r="P43" i="9"/>
  <c r="O44" i="9"/>
  <c r="Q44" i="9" s="1"/>
  <c r="P44" i="9"/>
  <c r="O45" i="9"/>
  <c r="Q45" i="9" s="1"/>
  <c r="P45" i="9"/>
  <c r="O46" i="9"/>
  <c r="Q46" i="9" s="1"/>
  <c r="P46" i="9"/>
  <c r="O47" i="9"/>
  <c r="Q47" i="9" s="1"/>
  <c r="P47" i="9"/>
  <c r="O48" i="9"/>
  <c r="Q48" i="9" s="1"/>
  <c r="P48" i="9"/>
  <c r="O49" i="9"/>
  <c r="Q49" i="9" s="1"/>
  <c r="P49" i="9"/>
  <c r="O50" i="9"/>
  <c r="Q50" i="9" s="1"/>
  <c r="P50" i="9"/>
  <c r="O51" i="9"/>
  <c r="Q51" i="9" s="1"/>
  <c r="P51" i="9"/>
  <c r="O52" i="9"/>
  <c r="Q52" i="9" s="1"/>
  <c r="P52" i="9"/>
  <c r="O53" i="9"/>
  <c r="Q53" i="9" s="1"/>
  <c r="P53" i="9"/>
  <c r="O54" i="9"/>
  <c r="Q54" i="9" s="1"/>
  <c r="P54" i="9"/>
  <c r="O55" i="9"/>
  <c r="Q55" i="9" s="1"/>
  <c r="P55" i="9"/>
  <c r="O56" i="9"/>
  <c r="Q56" i="9" s="1"/>
  <c r="P56" i="9"/>
  <c r="O57" i="9"/>
  <c r="Q57" i="9" s="1"/>
  <c r="P57" i="9"/>
  <c r="O58" i="9"/>
  <c r="Q58" i="9" s="1"/>
  <c r="P58" i="9"/>
  <c r="O59" i="9"/>
  <c r="Q59" i="9" s="1"/>
  <c r="P59" i="9"/>
  <c r="O60" i="9"/>
  <c r="Q60" i="9" s="1"/>
  <c r="P60" i="9"/>
  <c r="O61" i="9"/>
  <c r="Q61" i="9" s="1"/>
  <c r="P61" i="9"/>
  <c r="O62" i="9"/>
  <c r="Q62" i="9" s="1"/>
  <c r="P62" i="9"/>
  <c r="O63" i="9"/>
  <c r="Q63" i="9" s="1"/>
  <c r="P63" i="9"/>
  <c r="O64" i="9"/>
  <c r="Q64" i="9" s="1"/>
  <c r="P64" i="9"/>
  <c r="O65" i="9"/>
  <c r="Q65" i="9" s="1"/>
  <c r="P65" i="9"/>
  <c r="O66" i="9"/>
  <c r="Q66" i="9" s="1"/>
  <c r="P66" i="9"/>
  <c r="O67" i="9"/>
  <c r="Q67" i="9" s="1"/>
  <c r="P67" i="9"/>
  <c r="O68" i="9"/>
  <c r="Q68" i="9" s="1"/>
  <c r="P68" i="9"/>
  <c r="O69" i="9"/>
  <c r="Q69" i="9" s="1"/>
  <c r="P69" i="9"/>
  <c r="O70" i="9"/>
  <c r="Q70" i="9" s="1"/>
  <c r="P70" i="9"/>
  <c r="O71" i="9"/>
  <c r="Q71" i="9" s="1"/>
  <c r="P71" i="9"/>
  <c r="O72" i="9"/>
  <c r="Q72" i="9" s="1"/>
  <c r="P72" i="9"/>
  <c r="O73" i="9"/>
  <c r="Q73" i="9" s="1"/>
  <c r="P73" i="9"/>
  <c r="O74" i="9"/>
  <c r="Q74" i="9" s="1"/>
  <c r="P74" i="9"/>
  <c r="O75" i="9"/>
  <c r="Q75" i="9" s="1"/>
  <c r="P75" i="9"/>
  <c r="O76" i="9"/>
  <c r="Q76" i="9" s="1"/>
  <c r="P76" i="9"/>
  <c r="O77" i="9"/>
  <c r="Q77" i="9" s="1"/>
  <c r="P77" i="9"/>
  <c r="O78" i="9"/>
  <c r="Q78" i="9" s="1"/>
  <c r="P78" i="9"/>
  <c r="O79" i="9"/>
  <c r="Q79" i="9" s="1"/>
  <c r="P79" i="9"/>
  <c r="O80" i="9"/>
  <c r="Q80" i="9" s="1"/>
  <c r="P80" i="9"/>
  <c r="O81" i="9"/>
  <c r="Q81" i="9" s="1"/>
  <c r="P81" i="9"/>
  <c r="O82" i="9"/>
  <c r="Q82" i="9" s="1"/>
  <c r="P82" i="9"/>
  <c r="O83" i="9"/>
  <c r="Q83" i="9" s="1"/>
  <c r="P83" i="9"/>
  <c r="O84" i="9"/>
  <c r="Q84" i="9" s="1"/>
  <c r="P84" i="9"/>
  <c r="O85" i="9"/>
  <c r="Q85" i="9" s="1"/>
  <c r="P85" i="9"/>
  <c r="O86" i="9"/>
  <c r="Q86" i="9" s="1"/>
  <c r="P86" i="9"/>
  <c r="O87" i="9"/>
  <c r="Q87" i="9" s="1"/>
  <c r="P87" i="9"/>
  <c r="O88" i="9"/>
  <c r="Q88" i="9" s="1"/>
  <c r="P88" i="9"/>
  <c r="O89" i="9"/>
  <c r="Q89" i="9" s="1"/>
  <c r="P89" i="9"/>
  <c r="O90" i="9"/>
  <c r="Q90" i="9" s="1"/>
  <c r="P90" i="9"/>
  <c r="O91" i="9"/>
  <c r="Q91" i="9" s="1"/>
  <c r="P91" i="9"/>
  <c r="O92" i="9"/>
  <c r="Q92" i="9" s="1"/>
  <c r="P92" i="9"/>
  <c r="O93" i="9"/>
  <c r="Q93" i="9" s="1"/>
  <c r="P93" i="9"/>
  <c r="O94" i="9"/>
  <c r="Q94" i="9" s="1"/>
  <c r="P94" i="9"/>
  <c r="O95" i="9"/>
  <c r="Q95" i="9" s="1"/>
  <c r="P95" i="9"/>
  <c r="O96" i="9"/>
  <c r="Q96" i="9" s="1"/>
  <c r="P96" i="9"/>
  <c r="O97" i="9"/>
  <c r="Q97" i="9" s="1"/>
  <c r="P97" i="9"/>
  <c r="O98" i="9"/>
  <c r="Q98" i="9" s="1"/>
  <c r="P98" i="9"/>
  <c r="O99" i="9"/>
  <c r="Q99" i="9" s="1"/>
  <c r="P99" i="9"/>
  <c r="O100" i="9"/>
  <c r="Q100" i="9" s="1"/>
  <c r="P100" i="9"/>
  <c r="O101" i="9"/>
  <c r="Q101" i="9" s="1"/>
  <c r="P101" i="9"/>
  <c r="O102" i="9"/>
  <c r="Q102" i="9" s="1"/>
  <c r="P102" i="9"/>
  <c r="O103" i="9"/>
  <c r="Q103" i="9" s="1"/>
  <c r="P103" i="9"/>
  <c r="O104" i="9"/>
  <c r="Q104" i="9" s="1"/>
  <c r="P104" i="9"/>
  <c r="O105" i="9"/>
  <c r="Q105" i="9" s="1"/>
  <c r="P105" i="9"/>
  <c r="O106" i="9"/>
  <c r="Q106" i="9" s="1"/>
  <c r="P106" i="9"/>
  <c r="O107" i="9"/>
  <c r="Q107" i="9" s="1"/>
  <c r="P107" i="9"/>
  <c r="O108" i="9"/>
  <c r="Q108" i="9" s="1"/>
  <c r="P108" i="9"/>
  <c r="O109" i="9"/>
  <c r="Q109" i="9" s="1"/>
  <c r="P109" i="9"/>
  <c r="O110" i="9"/>
  <c r="Q110" i="9" s="1"/>
  <c r="P110" i="9"/>
  <c r="O111" i="9"/>
  <c r="Q111" i="9" s="1"/>
  <c r="P111" i="9"/>
  <c r="O112" i="9"/>
  <c r="Q112" i="9" s="1"/>
  <c r="P112" i="9"/>
  <c r="O113" i="9"/>
  <c r="Q113" i="9" s="1"/>
  <c r="P113" i="9"/>
  <c r="O114" i="9"/>
  <c r="Q114" i="9" s="1"/>
  <c r="P114" i="9"/>
  <c r="O115" i="9"/>
  <c r="Q115" i="9" s="1"/>
  <c r="P115" i="9"/>
  <c r="O116" i="9"/>
  <c r="Q116" i="9" s="1"/>
  <c r="P116" i="9"/>
  <c r="O117" i="9"/>
  <c r="Q117" i="9" s="1"/>
  <c r="P117" i="9"/>
  <c r="O118" i="9"/>
  <c r="Q118" i="9" s="1"/>
  <c r="P118" i="9"/>
  <c r="O119" i="9"/>
  <c r="Q119" i="9" s="1"/>
  <c r="P119" i="9"/>
  <c r="O120" i="9"/>
  <c r="Q120" i="9" s="1"/>
  <c r="P120" i="9"/>
  <c r="O121" i="9"/>
  <c r="Q121" i="9" s="1"/>
  <c r="P121" i="9"/>
  <c r="O122" i="9"/>
  <c r="Q122" i="9" s="1"/>
  <c r="P122" i="9"/>
  <c r="O123" i="9"/>
  <c r="Q123" i="9" s="1"/>
  <c r="P123" i="9"/>
  <c r="O124" i="9"/>
  <c r="Q124" i="9" s="1"/>
  <c r="P124" i="9"/>
  <c r="O125" i="9"/>
  <c r="Q125" i="9" s="1"/>
  <c r="P125" i="9"/>
  <c r="O126" i="9"/>
  <c r="Q126" i="9" s="1"/>
  <c r="P126" i="9"/>
  <c r="O127" i="9"/>
  <c r="Q127" i="9" s="1"/>
  <c r="P127" i="9"/>
  <c r="O128" i="9"/>
  <c r="Q128" i="9" s="1"/>
  <c r="P128" i="9"/>
  <c r="O129" i="9"/>
  <c r="Q129" i="9" s="1"/>
  <c r="P129" i="9"/>
  <c r="O130" i="9"/>
  <c r="Q130" i="9" s="1"/>
  <c r="P130" i="9"/>
  <c r="O131" i="9"/>
  <c r="Q131" i="9" s="1"/>
  <c r="P131" i="9"/>
  <c r="O132" i="9"/>
  <c r="Q132" i="9" s="1"/>
  <c r="P132" i="9"/>
  <c r="O133" i="9"/>
  <c r="Q133" i="9" s="1"/>
  <c r="P133" i="9"/>
  <c r="O134" i="9"/>
  <c r="Q134" i="9" s="1"/>
  <c r="P134" i="9"/>
  <c r="O135" i="9"/>
  <c r="Q135" i="9" s="1"/>
  <c r="P135" i="9"/>
  <c r="O136" i="9"/>
  <c r="Q136" i="9" s="1"/>
  <c r="P136" i="9"/>
  <c r="O137" i="9"/>
  <c r="Q137" i="9" s="1"/>
  <c r="P137" i="9"/>
  <c r="O138" i="9"/>
  <c r="Q138" i="9" s="1"/>
  <c r="P138" i="9"/>
  <c r="O139" i="9"/>
  <c r="Q139" i="9" s="1"/>
  <c r="P139" i="9"/>
  <c r="O140" i="9"/>
  <c r="Q140" i="9" s="1"/>
  <c r="P140" i="9"/>
  <c r="O141" i="9"/>
  <c r="Q141" i="9" s="1"/>
  <c r="P141" i="9"/>
  <c r="O142" i="9"/>
  <c r="Q142" i="9" s="1"/>
  <c r="P142" i="9"/>
  <c r="O143" i="9"/>
  <c r="Q143" i="9" s="1"/>
  <c r="P143" i="9"/>
  <c r="O144" i="9"/>
  <c r="Q144" i="9" s="1"/>
  <c r="P144" i="9"/>
  <c r="O145" i="9"/>
  <c r="Q145" i="9" s="1"/>
  <c r="P145" i="9"/>
  <c r="O146" i="9"/>
  <c r="Q146" i="9" s="1"/>
  <c r="P146" i="9"/>
  <c r="O147" i="9"/>
  <c r="Q147" i="9" s="1"/>
  <c r="P147" i="9"/>
  <c r="O148" i="9"/>
  <c r="Q148" i="9" s="1"/>
  <c r="P148" i="9"/>
  <c r="O149" i="9"/>
  <c r="Q149" i="9" s="1"/>
  <c r="P149" i="9"/>
  <c r="O150" i="9"/>
  <c r="Q150" i="9" s="1"/>
  <c r="P150" i="9"/>
  <c r="O151" i="9"/>
  <c r="Q151" i="9" s="1"/>
  <c r="P151" i="9"/>
  <c r="O152" i="9"/>
  <c r="Q152" i="9" s="1"/>
  <c r="P152" i="9"/>
  <c r="O153" i="9"/>
  <c r="Q153" i="9" s="1"/>
  <c r="P153" i="9"/>
  <c r="O154" i="9"/>
  <c r="Q154" i="9" s="1"/>
  <c r="P154" i="9"/>
  <c r="O155" i="9"/>
  <c r="Q155" i="9" s="1"/>
  <c r="P155" i="9"/>
  <c r="O156" i="9"/>
  <c r="Q156" i="9" s="1"/>
  <c r="P156" i="9"/>
  <c r="O157" i="9"/>
  <c r="Q157" i="9" s="1"/>
  <c r="P157" i="9"/>
  <c r="O158" i="9"/>
  <c r="Q158" i="9" s="1"/>
  <c r="P158" i="9"/>
  <c r="O159" i="9"/>
  <c r="Q159" i="9" s="1"/>
  <c r="P159" i="9"/>
  <c r="O160" i="9"/>
  <c r="Q160" i="9" s="1"/>
  <c r="P160" i="9"/>
  <c r="O161" i="9"/>
  <c r="Q161" i="9" s="1"/>
  <c r="P161" i="9"/>
  <c r="O162" i="9"/>
  <c r="Q162" i="9" s="1"/>
  <c r="P162" i="9"/>
  <c r="O163" i="9"/>
  <c r="Q163" i="9" s="1"/>
  <c r="P163" i="9"/>
  <c r="O164" i="9"/>
  <c r="Q164" i="9" s="1"/>
  <c r="P164" i="9"/>
  <c r="O165" i="9"/>
  <c r="Q165" i="9" s="1"/>
  <c r="P165" i="9"/>
  <c r="O166" i="9"/>
  <c r="Q166" i="9" s="1"/>
  <c r="P166" i="9"/>
  <c r="O167" i="9"/>
  <c r="Q167" i="9" s="1"/>
  <c r="P167" i="9"/>
  <c r="O168" i="9"/>
  <c r="Q168" i="9" s="1"/>
  <c r="P168" i="9"/>
  <c r="O169" i="9"/>
  <c r="Q169" i="9" s="1"/>
  <c r="P169" i="9"/>
  <c r="O170" i="9"/>
  <c r="Q170" i="9" s="1"/>
  <c r="P170" i="9"/>
  <c r="O171" i="9"/>
  <c r="Q171" i="9" s="1"/>
  <c r="P171" i="9"/>
  <c r="O172" i="9"/>
  <c r="Q172" i="9" s="1"/>
  <c r="P172" i="9"/>
  <c r="O173" i="9"/>
  <c r="Q173" i="9" s="1"/>
  <c r="P173" i="9"/>
  <c r="O174" i="9"/>
  <c r="Q174" i="9" s="1"/>
  <c r="P174" i="9"/>
  <c r="O175" i="9"/>
  <c r="Q175" i="9" s="1"/>
  <c r="P175" i="9"/>
  <c r="O176" i="9"/>
  <c r="Q176" i="9" s="1"/>
  <c r="P176" i="9"/>
  <c r="O177" i="9"/>
  <c r="Q177" i="9" s="1"/>
  <c r="P177" i="9"/>
  <c r="O178" i="9"/>
  <c r="Q178" i="9" s="1"/>
  <c r="P178" i="9"/>
  <c r="O179" i="9"/>
  <c r="Q179" i="9" s="1"/>
  <c r="P179" i="9"/>
  <c r="O180" i="9"/>
  <c r="Q180" i="9" s="1"/>
  <c r="P180" i="9"/>
  <c r="O181" i="9"/>
  <c r="Q181" i="9" s="1"/>
  <c r="P181" i="9"/>
  <c r="O182" i="9"/>
  <c r="Q182" i="9" s="1"/>
  <c r="P182" i="9"/>
  <c r="O183" i="9"/>
  <c r="Q183" i="9" s="1"/>
  <c r="P183" i="9"/>
  <c r="O184" i="9"/>
  <c r="Q184" i="9" s="1"/>
  <c r="P184" i="9"/>
  <c r="P5" i="9"/>
  <c r="O5" i="9"/>
  <c r="Q5" i="9" s="1"/>
  <c r="P4" i="9"/>
  <c r="O4" i="9"/>
  <c r="Q4" i="9" s="1"/>
  <c r="P3" i="9"/>
  <c r="O3" i="9"/>
  <c r="Q3" i="9" s="1"/>
  <c r="P2" i="9"/>
  <c r="O2" i="9"/>
  <c r="Q2" i="9" s="1"/>
  <c r="N1" i="9"/>
  <c r="V5" i="7"/>
  <c r="V4" i="7"/>
  <c r="C18" i="5"/>
  <c r="V2" i="7"/>
  <c r="V1" i="7"/>
  <c r="R2" i="15"/>
  <c r="Q2" i="15"/>
  <c r="P2" i="15"/>
  <c r="O2" i="15"/>
  <c r="N2" i="15"/>
  <c r="M2" i="15"/>
  <c r="L2" i="15"/>
  <c r="K2" i="15"/>
  <c r="I2" i="15"/>
  <c r="H2" i="15"/>
  <c r="R2" i="10"/>
  <c r="Q2" i="10"/>
  <c r="P2" i="10"/>
  <c r="O2" i="10"/>
  <c r="K2" i="10"/>
  <c r="I2" i="10"/>
  <c r="H2" i="10"/>
  <c r="L2" i="3"/>
  <c r="K3" i="5"/>
  <c r="Z4" i="5" s="1"/>
  <c r="AU2" i="18"/>
  <c r="ED3" i="4"/>
  <c r="DX4" i="4"/>
  <c r="EF4" i="4"/>
  <c r="EC4" i="4"/>
  <c r="DU3" i="4"/>
  <c r="EE4" i="4"/>
  <c r="DV3" i="4"/>
  <c r="EC3" i="4"/>
  <c r="EE3" i="4"/>
  <c r="EF3" i="4"/>
  <c r="EG3" i="4"/>
  <c r="DY4" i="4"/>
  <c r="DU4" i="4"/>
  <c r="DW3" i="4"/>
  <c r="Q2" i="18"/>
  <c r="V2" i="18"/>
  <c r="AL2" i="4"/>
  <c r="DT4" i="4"/>
  <c r="EB4" i="4"/>
  <c r="DV4" i="4"/>
  <c r="DZ4" i="4"/>
  <c r="ED4" i="4"/>
  <c r="EG4" i="4"/>
  <c r="DW4" i="4"/>
  <c r="EC2" i="4"/>
  <c r="EF2" i="4"/>
  <c r="DY2" i="4"/>
  <c r="AL2" i="18"/>
  <c r="BB2" i="18"/>
  <c r="AI2" i="18" s="1"/>
  <c r="EG2" i="4"/>
  <c r="DX2" i="4"/>
  <c r="EE2" i="4"/>
  <c r="DV2" i="4"/>
  <c r="ED2" i="4"/>
  <c r="DU2" i="4"/>
  <c r="EB2" i="4"/>
  <c r="K24" i="24" l="1"/>
  <c r="K21" i="24"/>
  <c r="K20" i="24"/>
  <c r="K25" i="24"/>
  <c r="R54" i="9"/>
  <c r="R46" i="9"/>
  <c r="R22" i="9"/>
  <c r="R122" i="9"/>
  <c r="R113" i="9"/>
  <c r="R182" i="9"/>
  <c r="R79" i="9"/>
  <c r="R47" i="9"/>
  <c r="R39" i="9"/>
  <c r="R128" i="9"/>
  <c r="R23" i="9"/>
  <c r="R15" i="9"/>
  <c r="R180" i="9"/>
  <c r="R53" i="9"/>
  <c r="R116" i="9"/>
  <c r="R84" i="9"/>
  <c r="R76" i="9"/>
  <c r="R68" i="9"/>
  <c r="R52" i="9"/>
  <c r="R139" i="9"/>
  <c r="R169" i="9"/>
  <c r="R115" i="9"/>
  <c r="R75" i="9"/>
  <c r="R161" i="9"/>
  <c r="R153" i="9"/>
  <c r="R81" i="9"/>
  <c r="R64" i="9"/>
  <c r="BI2" i="26"/>
  <c r="R86" i="9"/>
  <c r="R66" i="9"/>
  <c r="R157" i="9"/>
  <c r="R183" i="9"/>
  <c r="R160" i="9"/>
  <c r="R152" i="9"/>
  <c r="R144" i="9"/>
  <c r="R107" i="9"/>
  <c r="R99" i="9"/>
  <c r="R91" i="9"/>
  <c r="R83" i="9"/>
  <c r="R14" i="9"/>
  <c r="R44" i="9"/>
  <c r="R11" i="9"/>
  <c r="R141" i="9"/>
  <c r="R175" i="9"/>
  <c r="R167" i="9"/>
  <c r="R121" i="9"/>
  <c r="R90" i="9"/>
  <c r="R82" i="9"/>
  <c r="R74" i="9"/>
  <c r="R37" i="9"/>
  <c r="R21" i="9"/>
  <c r="R5" i="9"/>
  <c r="R55" i="9"/>
  <c r="R51" i="9"/>
  <c r="R117" i="9"/>
  <c r="R142" i="9"/>
  <c r="R134" i="9"/>
  <c r="R105" i="9"/>
  <c r="R97" i="9"/>
  <c r="R89" i="9"/>
  <c r="R58" i="9"/>
  <c r="R20" i="9"/>
  <c r="R12" i="9"/>
  <c r="R149" i="9"/>
  <c r="R133" i="9"/>
  <c r="R126" i="9"/>
  <c r="R119" i="9"/>
  <c r="R96" i="9"/>
  <c r="R88" i="9"/>
  <c r="R80" i="9"/>
  <c r="R43" i="9"/>
  <c r="R35" i="9"/>
  <c r="R27" i="9"/>
  <c r="R19" i="9"/>
  <c r="R36" i="9"/>
  <c r="R17" i="9"/>
  <c r="R29" i="9"/>
  <c r="R148" i="9"/>
  <c r="R140" i="9"/>
  <c r="R132" i="9"/>
  <c r="R111" i="9"/>
  <c r="R103" i="9"/>
  <c r="R87" i="9"/>
  <c r="R26" i="9"/>
  <c r="R18" i="9"/>
  <c r="R10" i="9"/>
  <c r="R41" i="9"/>
  <c r="R6" i="9"/>
  <c r="R171" i="9"/>
  <c r="R163" i="9"/>
  <c r="R155" i="9"/>
  <c r="R147" i="9"/>
  <c r="R78" i="9"/>
  <c r="R70" i="9"/>
  <c r="R49" i="9"/>
  <c r="R33" i="9"/>
  <c r="R25" i="9"/>
  <c r="R7" i="9"/>
  <c r="R154" i="9"/>
  <c r="R146" i="9"/>
  <c r="R138" i="9"/>
  <c r="R101" i="9"/>
  <c r="R93" i="9"/>
  <c r="R85" i="9"/>
  <c r="R62" i="9"/>
  <c r="R32" i="9"/>
  <c r="R24" i="9"/>
  <c r="R16" i="9"/>
  <c r="R30" i="9"/>
  <c r="R94" i="9"/>
  <c r="R63" i="9"/>
  <c r="R59" i="9"/>
  <c r="R123" i="9"/>
  <c r="R181" i="9"/>
  <c r="R137" i="9"/>
  <c r="R109" i="9"/>
  <c r="R45" i="9"/>
  <c r="R3" i="9"/>
  <c r="R168" i="9"/>
  <c r="R162" i="9"/>
  <c r="R156" i="9"/>
  <c r="R104" i="9"/>
  <c r="R98" i="9"/>
  <c r="R92" i="9"/>
  <c r="R40" i="9"/>
  <c r="R34" i="9"/>
  <c r="R28" i="9"/>
  <c r="R38" i="9"/>
  <c r="R102" i="9"/>
  <c r="R71" i="9"/>
  <c r="R114" i="9"/>
  <c r="R67" i="9"/>
  <c r="R131" i="9"/>
  <c r="R179" i="9"/>
  <c r="R166" i="9"/>
  <c r="R151" i="9"/>
  <c r="R135" i="9"/>
  <c r="R177" i="9"/>
  <c r="R184" i="9"/>
  <c r="R129" i="9"/>
  <c r="R165" i="9"/>
  <c r="R178" i="9"/>
  <c r="R120" i="9"/>
  <c r="R31" i="9"/>
  <c r="R95" i="9"/>
  <c r="R57" i="9"/>
  <c r="R174" i="9"/>
  <c r="R145" i="9"/>
  <c r="R127" i="9"/>
  <c r="R77" i="9"/>
  <c r="R13" i="9"/>
  <c r="R136" i="9"/>
  <c r="R130" i="9"/>
  <c r="R124" i="9"/>
  <c r="R72" i="9"/>
  <c r="R118" i="9"/>
  <c r="R60" i="9"/>
  <c r="R8" i="9"/>
  <c r="I2" i="18"/>
  <c r="BH2" i="18"/>
  <c r="S2" i="26"/>
  <c r="C9" i="24" s="1"/>
  <c r="R172" i="9"/>
  <c r="R108" i="9"/>
  <c r="R65" i="9"/>
  <c r="R42" i="9"/>
  <c r="R4" i="9"/>
  <c r="R173" i="9"/>
  <c r="R159" i="9"/>
  <c r="R143" i="9"/>
  <c r="R69" i="9"/>
  <c r="R9" i="9"/>
  <c r="R176" i="9"/>
  <c r="R170" i="9"/>
  <c r="R164" i="9"/>
  <c r="R112" i="9"/>
  <c r="R106" i="9"/>
  <c r="R100" i="9"/>
  <c r="R48" i="9"/>
  <c r="R110" i="9"/>
  <c r="R150" i="9"/>
  <c r="R56" i="9"/>
  <c r="R73" i="9"/>
  <c r="R50" i="9"/>
  <c r="R158" i="9"/>
  <c r="R125" i="9"/>
  <c r="R61" i="9"/>
  <c r="O4" i="24"/>
  <c r="N4" i="24"/>
  <c r="BK2" i="26"/>
  <c r="Y2" i="26"/>
  <c r="C15" i="24" s="1"/>
  <c r="BH2" i="26"/>
  <c r="I2" i="26"/>
  <c r="C12" i="24" s="1"/>
  <c r="BA2" i="26"/>
  <c r="AH2" i="26" s="1"/>
  <c r="J2" i="26"/>
  <c r="C13" i="24" s="1"/>
  <c r="AP2" i="26"/>
  <c r="E2" i="18"/>
  <c r="EF2" i="18" s="1"/>
  <c r="BI2" i="18"/>
  <c r="J2" i="18"/>
  <c r="C13" i="5" s="1"/>
  <c r="Y2" i="18"/>
  <c r="BK2" i="18"/>
  <c r="CD30" i="4"/>
  <c r="O2" i="26"/>
  <c r="C5" i="24" s="1"/>
  <c r="BD2" i="26"/>
  <c r="AK2" i="26" s="1"/>
  <c r="BE2" i="26"/>
  <c r="AL2" i="26" s="1"/>
  <c r="Q2" i="26"/>
  <c r="C7" i="24" s="1"/>
  <c r="R2" i="26"/>
  <c r="C8" i="24" s="1"/>
  <c r="BY32" i="4"/>
  <c r="BZ32" i="4" s="1"/>
  <c r="H2" i="18"/>
  <c r="DD2" i="18" s="1"/>
  <c r="AJ4" i="5"/>
  <c r="BJ2" i="26"/>
  <c r="AQ2" i="26" s="1"/>
  <c r="AD4" i="24"/>
  <c r="Z4" i="24"/>
  <c r="AR2" i="26"/>
  <c r="C14" i="24" s="1"/>
  <c r="BB2" i="26"/>
  <c r="AI2" i="26" s="1"/>
  <c r="BL2" i="26"/>
  <c r="AS2" i="26"/>
  <c r="AZ2" i="26"/>
  <c r="AG2" i="26" s="1"/>
  <c r="BC2" i="26"/>
  <c r="AJ2" i="26" s="1"/>
  <c r="P2" i="26"/>
  <c r="C6" i="24" s="1"/>
  <c r="AO2" i="26"/>
  <c r="AP2" i="18"/>
  <c r="AZ2" i="18"/>
  <c r="AG2" i="18" s="1"/>
  <c r="CJ2" i="4"/>
  <c r="AC2" i="18" s="1"/>
  <c r="BY3" i="4"/>
  <c r="BZ3" i="4" s="1"/>
  <c r="BY31" i="4"/>
  <c r="BZ31" i="4" s="1"/>
  <c r="BY33" i="4"/>
  <c r="BZ33" i="4" s="1"/>
  <c r="CD33" i="4"/>
  <c r="BY29" i="4"/>
  <c r="BZ29" i="4" s="1"/>
  <c r="CD32" i="4"/>
  <c r="CD31" i="4"/>
  <c r="BY30" i="4"/>
  <c r="BZ30" i="4" s="1"/>
  <c r="CD29" i="4"/>
  <c r="AO2" i="18"/>
  <c r="DK2" i="18"/>
  <c r="P2" i="18"/>
  <c r="BD2" i="18"/>
  <c r="AK2" i="18" s="1"/>
  <c r="CD3" i="4"/>
  <c r="CD4" i="4"/>
  <c r="BY4" i="4"/>
  <c r="BY13" i="4"/>
  <c r="CD13" i="4"/>
  <c r="BY18" i="4"/>
  <c r="CD18" i="4"/>
  <c r="CD12" i="4"/>
  <c r="BY12" i="4"/>
  <c r="BY24" i="4"/>
  <c r="CD24" i="4"/>
  <c r="BY21" i="4"/>
  <c r="CD21" i="4"/>
  <c r="BY5" i="4"/>
  <c r="CD5" i="4"/>
  <c r="BY16" i="4"/>
  <c r="CD16" i="4"/>
  <c r="BY26" i="4"/>
  <c r="CD26" i="4"/>
  <c r="BY10" i="4"/>
  <c r="CD10" i="4"/>
  <c r="BY8" i="4"/>
  <c r="CD8" i="4"/>
  <c r="BX27" i="4"/>
  <c r="BX19" i="4"/>
  <c r="BX11" i="4"/>
  <c r="BX22" i="4"/>
  <c r="BX14" i="4"/>
  <c r="BX6" i="4"/>
  <c r="BX25" i="4"/>
  <c r="BX17" i="4"/>
  <c r="BX9" i="4"/>
  <c r="BX28" i="4"/>
  <c r="BX20" i="4"/>
  <c r="BX23" i="4"/>
  <c r="BX15" i="4"/>
  <c r="BX7" i="4"/>
  <c r="BC2" i="18"/>
  <c r="AJ2" i="18" s="1"/>
  <c r="BA2" i="18"/>
  <c r="AH2" i="18" s="1"/>
  <c r="S2" i="18"/>
  <c r="DX2" i="18" s="1"/>
  <c r="K17" i="5"/>
  <c r="R2" i="18"/>
  <c r="C7" i="5"/>
  <c r="DT2" i="4"/>
  <c r="DZ2" i="4"/>
  <c r="O2" i="18"/>
  <c r="C10" i="5"/>
  <c r="H3" i="19" s="1"/>
  <c r="EB3" i="4"/>
  <c r="AS2" i="18"/>
  <c r="AB2" i="18"/>
  <c r="CD2" i="4"/>
  <c r="CD2" i="18" s="1"/>
  <c r="BY2" i="4"/>
  <c r="DV2" i="18"/>
  <c r="DA2" i="18"/>
  <c r="AD4" i="5"/>
  <c r="AR2" i="18"/>
  <c r="BJ2" i="18"/>
  <c r="CX2" i="18"/>
  <c r="DY2" i="18"/>
  <c r="EG2" i="18"/>
  <c r="AK4" i="5"/>
  <c r="EC2" i="18" l="1"/>
  <c r="EE2" i="18"/>
  <c r="C15" i="5"/>
  <c r="C16" i="5"/>
  <c r="DZ2" i="18"/>
  <c r="C11" i="5"/>
  <c r="DL2" i="18"/>
  <c r="BY2" i="18"/>
  <c r="G15" i="5"/>
  <c r="C12" i="5"/>
  <c r="DC2" i="18"/>
  <c r="G13" i="5"/>
  <c r="CZ2" i="18"/>
  <c r="C5" i="5"/>
  <c r="DU2" i="18"/>
  <c r="C6" i="5"/>
  <c r="BY25" i="4"/>
  <c r="CD25" i="4"/>
  <c r="BZ24" i="4"/>
  <c r="CD20" i="4"/>
  <c r="BY20" i="4"/>
  <c r="BZ10" i="4"/>
  <c r="BZ5" i="4"/>
  <c r="BZ12" i="4"/>
  <c r="BY23" i="4"/>
  <c r="CD23" i="4"/>
  <c r="BZ13" i="4"/>
  <c r="BY7" i="4"/>
  <c r="CD7" i="4"/>
  <c r="BY9" i="4"/>
  <c r="CD9" i="4"/>
  <c r="CD6" i="4"/>
  <c r="BY6" i="4"/>
  <c r="CD14" i="4"/>
  <c r="BY14" i="4"/>
  <c r="BY11" i="4"/>
  <c r="CD11" i="4"/>
  <c r="BZ26" i="4"/>
  <c r="BY15" i="4"/>
  <c r="CD15" i="4"/>
  <c r="BY19" i="4"/>
  <c r="CD19" i="4"/>
  <c r="BZ8" i="4"/>
  <c r="BZ21" i="4"/>
  <c r="BZ4" i="4"/>
  <c r="CD22" i="4"/>
  <c r="BY22" i="4"/>
  <c r="BY27" i="4"/>
  <c r="CD27" i="4"/>
  <c r="BZ18" i="4"/>
  <c r="BY17" i="4"/>
  <c r="CD17" i="4"/>
  <c r="CD28" i="4"/>
  <c r="BY28" i="4"/>
  <c r="AT1" i="24"/>
  <c r="BZ16" i="4"/>
  <c r="C9" i="5"/>
  <c r="DB2" i="18"/>
  <c r="K16" i="5"/>
  <c r="C8" i="5"/>
  <c r="DW2" i="18"/>
  <c r="N4" i="5"/>
  <c r="AT1" i="5" s="1"/>
  <c r="CY2" i="18"/>
  <c r="C14" i="5"/>
  <c r="DT2" i="18"/>
  <c r="AI4" i="5"/>
  <c r="K9" i="5"/>
  <c r="O4" i="5" s="1"/>
  <c r="G14" i="5"/>
  <c r="AQ2" i="18"/>
  <c r="DJ2" i="18" s="1"/>
  <c r="ED2" i="18"/>
  <c r="DI2" i="18"/>
  <c r="G9" i="5"/>
  <c r="BZ2" i="4"/>
  <c r="CC2" i="18"/>
  <c r="G8" i="5" s="1"/>
  <c r="N2" i="18"/>
  <c r="EB2" i="18" l="1"/>
  <c r="BZ19" i="4"/>
  <c r="BZ28" i="4"/>
  <c r="BZ27" i="4"/>
  <c r="BZ11" i="4"/>
  <c r="BZ9" i="4"/>
  <c r="BZ17" i="4"/>
  <c r="BZ14" i="4"/>
  <c r="BZ22" i="4"/>
  <c r="BZ15" i="4"/>
  <c r="BZ23" i="4"/>
  <c r="BZ25" i="4"/>
  <c r="BZ6" i="4"/>
  <c r="BZ7" i="4"/>
  <c r="BZ20" i="4"/>
  <c r="CA2" i="18"/>
  <c r="G6" i="5" s="1"/>
  <c r="L2" i="18"/>
  <c r="DG2" i="18" s="1"/>
  <c r="DE2" i="18"/>
  <c r="G4" i="5"/>
  <c r="BZ2" i="18"/>
  <c r="G5" i="5" s="1"/>
  <c r="K2" i="18"/>
  <c r="DF2" i="18" s="1"/>
  <c r="M2" i="18" l="1"/>
  <c r="DH2" i="18" s="1"/>
  <c r="CB2" i="18"/>
  <c r="G7" i="5" s="1"/>
</calcChain>
</file>

<file path=xl/sharedStrings.xml><?xml version="1.0" encoding="utf-8"?>
<sst xmlns="http://schemas.openxmlformats.org/spreadsheetml/2006/main" count="568" uniqueCount="193">
  <si>
    <t>S.No</t>
  </si>
  <si>
    <t>Verification Parameters</t>
  </si>
  <si>
    <t>Invoice No</t>
  </si>
  <si>
    <t>Final GRPO Proceed Status</t>
  </si>
  <si>
    <t>Final AP Proceed Status</t>
  </si>
  <si>
    <t>Mill</t>
  </si>
  <si>
    <t>Specification</t>
  </si>
  <si>
    <t>Coat</t>
  </si>
  <si>
    <t>Thickness</t>
  </si>
  <si>
    <t>Width</t>
  </si>
  <si>
    <t>Length</t>
  </si>
  <si>
    <t>INVOICE NO</t>
  </si>
  <si>
    <t>NET WT</t>
  </si>
  <si>
    <t xml:space="preserve">Unit Price </t>
  </si>
  <si>
    <t>TOTAL PRICE</t>
  </si>
  <si>
    <t>Shipper Code</t>
  </si>
  <si>
    <t>PO No</t>
  </si>
  <si>
    <t>HSN</t>
  </si>
  <si>
    <t>Size</t>
  </si>
  <si>
    <t>YZA</t>
  </si>
  <si>
    <t>PCS</t>
  </si>
  <si>
    <t>Gross WT</t>
  </si>
  <si>
    <t>NTwt</t>
  </si>
  <si>
    <t>Rate</t>
  </si>
  <si>
    <t>Total Value</t>
  </si>
  <si>
    <t>CGST</t>
  </si>
  <si>
    <t>IGST</t>
  </si>
  <si>
    <t>TCS</t>
  </si>
  <si>
    <t>TOTAL</t>
  </si>
  <si>
    <t>Grade</t>
  </si>
  <si>
    <t>T</t>
  </si>
  <si>
    <t>W</t>
  </si>
  <si>
    <t>L</t>
  </si>
  <si>
    <t>Concat</t>
  </si>
  <si>
    <t>Coil No</t>
  </si>
  <si>
    <t>Invoice Date</t>
  </si>
  <si>
    <t>TOTAL TAX</t>
  </si>
  <si>
    <t>SCAMS DATA</t>
  </si>
  <si>
    <t>SCAMS SPEC</t>
  </si>
  <si>
    <t>SCAMS COAT</t>
  </si>
  <si>
    <t>SCAMS T</t>
  </si>
  <si>
    <t>SCAMS W</t>
  </si>
  <si>
    <t>SCAMS L</t>
  </si>
  <si>
    <t>SCAMS INVOICE NO</t>
  </si>
  <si>
    <t>SCAMS NET WT</t>
  </si>
  <si>
    <t>SCAMS GROSS WT</t>
  </si>
  <si>
    <t xml:space="preserve">SCAMS Unit Price </t>
  </si>
  <si>
    <t>SCAMS TOTAL PRICE</t>
  </si>
  <si>
    <t>SCAMS Invoice Date</t>
  </si>
  <si>
    <t>SCAMS Unit No</t>
  </si>
  <si>
    <t>GRPO SPEC</t>
  </si>
  <si>
    <t>GRPO COAT</t>
  </si>
  <si>
    <t>GRPO T</t>
  </si>
  <si>
    <t>GRPO W</t>
  </si>
  <si>
    <t>GRPO L</t>
  </si>
  <si>
    <t>GRPO INVOICE NO</t>
  </si>
  <si>
    <t>GRPO NET WT</t>
  </si>
  <si>
    <t>GRPO GROSS WT</t>
  </si>
  <si>
    <t xml:space="preserve">GRPO Unit Price </t>
  </si>
  <si>
    <t>GRPO TOTAL PRICE</t>
  </si>
  <si>
    <t>GRPO Shipper Code</t>
  </si>
  <si>
    <t>GRPO PO No</t>
  </si>
  <si>
    <t>GRPO HSN</t>
  </si>
  <si>
    <t>GRPO MILL</t>
  </si>
  <si>
    <t>AP</t>
  </si>
  <si>
    <t>AP Unit No</t>
  </si>
  <si>
    <t>AP Material Value</t>
  </si>
  <si>
    <t>AP CGST</t>
  </si>
  <si>
    <t>AP SGST</t>
  </si>
  <si>
    <t>AP TCS</t>
  </si>
  <si>
    <t>AP TAX (CGST+IGST+TCS)</t>
  </si>
  <si>
    <t>TOTAL MATERIAL VALUE</t>
  </si>
  <si>
    <t>TOTAL CGST</t>
  </si>
  <si>
    <t>TOTAL SGST</t>
  </si>
  <si>
    <t>TOTAL TCS</t>
  </si>
  <si>
    <t>Net Wt</t>
  </si>
  <si>
    <t>Total Material Value</t>
  </si>
  <si>
    <t>Total CGST</t>
  </si>
  <si>
    <t>Total IGST</t>
  </si>
  <si>
    <t>Total Invoice Value</t>
  </si>
  <si>
    <t>HSN CODE</t>
  </si>
  <si>
    <t>total</t>
  </si>
  <si>
    <t>UOM</t>
  </si>
  <si>
    <t>SPEC</t>
  </si>
  <si>
    <t>COAT</t>
  </si>
  <si>
    <t>MILL</t>
  </si>
  <si>
    <t>INVOICEDATE</t>
  </si>
  <si>
    <t>RATE</t>
  </si>
  <si>
    <t>PONO</t>
  </si>
  <si>
    <t>EX RATE</t>
  </si>
  <si>
    <t>Shipper code</t>
  </si>
  <si>
    <t>NA</t>
  </si>
  <si>
    <t>Total Tax</t>
  </si>
  <si>
    <t>INVOICE DATA</t>
  </si>
  <si>
    <t>OK</t>
  </si>
  <si>
    <t>GRPO DATA</t>
  </si>
  <si>
    <t>TOTAL INVOICE VALUE</t>
  </si>
  <si>
    <t>No of Line Items</t>
  </si>
  <si>
    <t>Date Time of Incoming Material Report Refresh</t>
  </si>
  <si>
    <t>Count</t>
  </si>
  <si>
    <t>Date of GRPO</t>
  </si>
  <si>
    <t>Date of AP Booking</t>
  </si>
  <si>
    <t>No of Items</t>
  </si>
  <si>
    <t>Total Wt</t>
  </si>
  <si>
    <t>GRPO Status</t>
  </si>
  <si>
    <t>AP Status</t>
  </si>
  <si>
    <t>Total Tax Value</t>
  </si>
  <si>
    <t>GRPO Generation Validation</t>
  </si>
  <si>
    <t>Status</t>
  </si>
  <si>
    <t>Date Time of GRPO Report Refresh</t>
  </si>
  <si>
    <t>IncomingMaterialReportRetryStatus</t>
  </si>
  <si>
    <t>GRPOReportRetryStatus</t>
  </si>
  <si>
    <t>Field</t>
  </si>
  <si>
    <t>Date and Time</t>
  </si>
  <si>
    <t>GRPO</t>
  </si>
  <si>
    <t>GRPO Refresh Y/N</t>
  </si>
  <si>
    <t>Rounding Off</t>
  </si>
  <si>
    <t>Pending</t>
  </si>
  <si>
    <t>AP Generation Validation</t>
  </si>
  <si>
    <t>AP TDS</t>
  </si>
  <si>
    <t>AP TAX (CGST+SGST+TDS)</t>
  </si>
  <si>
    <t>AP Unit Price</t>
  </si>
  <si>
    <t>HSN UPDATE</t>
  </si>
  <si>
    <t>Invoice Date Month</t>
  </si>
  <si>
    <t>Inward Date Month</t>
  </si>
  <si>
    <t>Posting Date Status</t>
  </si>
  <si>
    <t>New Posting Date</t>
  </si>
  <si>
    <t>New Document Date</t>
  </si>
  <si>
    <t>Current Month</t>
  </si>
  <si>
    <t>Recpt Date</t>
  </si>
  <si>
    <t>Log Update</t>
  </si>
  <si>
    <t>NSC</t>
  </si>
  <si>
    <t>BOE Exchange Rate</t>
  </si>
  <si>
    <t>GRPO Exchange Rate</t>
  </si>
  <si>
    <t>Exchange Rate Status</t>
  </si>
  <si>
    <t>Line Items Status</t>
  </si>
  <si>
    <t>Exchange Rate</t>
  </si>
  <si>
    <t>ok</t>
  </si>
  <si>
    <t>Total Price</t>
  </si>
  <si>
    <t>Final GRPO' GRPO Proceed Status</t>
  </si>
  <si>
    <t>No of Line Items As Per Invoice No with " / " in GRPO Wizard</t>
  </si>
  <si>
    <t>No of Line Items As Per Invoice No without " / " in GRPO Wizard</t>
  </si>
  <si>
    <t>Total No of Line Items in GRPO Wizard</t>
  </si>
  <si>
    <t>Total No of Line Items in Invoice</t>
  </si>
  <si>
    <t>No of line Items In Invoice</t>
  </si>
  <si>
    <t>PASS</t>
  </si>
  <si>
    <t>Index for GRPO Data Entry with Slash</t>
  </si>
  <si>
    <t>S.NO</t>
  </si>
  <si>
    <t>SALES NO</t>
  </si>
  <si>
    <t>No of Coil</t>
  </si>
  <si>
    <t xml:space="preserve">COIL NO </t>
  </si>
  <si>
    <t xml:space="preserve">THICK </t>
  </si>
  <si>
    <t xml:space="preserve">WIDTH </t>
  </si>
  <si>
    <t>LENGTH</t>
  </si>
  <si>
    <t xml:space="preserve">WT </t>
  </si>
  <si>
    <t>Unit Price</t>
  </si>
  <si>
    <t>Pallet</t>
  </si>
  <si>
    <t>Date</t>
  </si>
  <si>
    <t>Column1</t>
  </si>
  <si>
    <t>Column2</t>
  </si>
  <si>
    <t>Column3</t>
  </si>
  <si>
    <t>BOE SPEC</t>
  </si>
  <si>
    <t>Invoice Spec</t>
  </si>
  <si>
    <t>Invoice Spec Status</t>
  </si>
  <si>
    <t>Invoice Size</t>
  </si>
  <si>
    <t>Invoice Size Status</t>
  </si>
  <si>
    <t>BOE Netwt Status</t>
  </si>
  <si>
    <t>BOE Price</t>
  </si>
  <si>
    <t>BOE Total Price</t>
  </si>
  <si>
    <t>BOE IGST</t>
  </si>
  <si>
    <t>BOE SWS</t>
  </si>
  <si>
    <t>BOE BCD</t>
  </si>
  <si>
    <t>BOE EXCHANGE RATE</t>
  </si>
  <si>
    <t>BOE HSN</t>
  </si>
  <si>
    <t>Inv No</t>
  </si>
  <si>
    <t>AP Invoice Data</t>
  </si>
  <si>
    <t>AP TAX (CGST+IGST+TDS)</t>
  </si>
  <si>
    <t>AP UNIT PRICE</t>
  </si>
  <si>
    <t>TOTAL TDS</t>
  </si>
  <si>
    <t>TOTAL TAX(CGST+SGST)</t>
  </si>
  <si>
    <t>GRPO Exchange Rate with /</t>
  </si>
  <si>
    <t>Exchange Rate Status with /</t>
  </si>
  <si>
    <t>Final GRPO'  Proceed Status with slash</t>
  </si>
  <si>
    <t>Total No of Line Items for Autofill with Slash</t>
  </si>
  <si>
    <t>Total No of Line Items for Autofill without Slash</t>
  </si>
  <si>
    <t>GRPO Unit Price Allowance</t>
  </si>
  <si>
    <t>AP Unit Price Allowance</t>
  </si>
  <si>
    <t>AP IGST</t>
  </si>
  <si>
    <t>AP TAX (IGST+TDS)</t>
  </si>
  <si>
    <t>TOTAL IGST</t>
  </si>
  <si>
    <t>TOTAL TAX(IGST)</t>
  </si>
  <si>
    <t>TAX CODE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</si>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</sst>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5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NumberFormat="1" applyFill="1" applyAlignment="1" applyProtection="1"/>
    <xf numFmtId="4" fontId="0" fillId="0" borderId="0" xfId="0" applyNumberFormat="1" applyFill="1" applyAlignment="1" applyProtection="1"/>
    <xf numFmtId="0" fontId="3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top"/>
    </xf>
    <xf numFmtId="0" fontId="2" fillId="0" borderId="0" xfId="0" applyNumberFormat="1" applyFont="1" applyFill="1" applyAlignment="1" applyProtection="1">
      <alignment horizontal="center" vertical="center" wrapText="1"/>
    </xf>
    <xf numFmtId="0" fontId="0" fillId="3" borderId="0" xfId="0" applyNumberFormat="1" applyFill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Alignment="1" applyProtection="1"/>
    <xf numFmtId="14" fontId="0" fillId="0" borderId="0" xfId="0" applyNumberFormat="1" applyFill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3" fillId="3" borderId="0" xfId="0" applyNumberFormat="1" applyFont="1" applyFill="1" applyAlignment="1" applyProtection="1">
      <alignment horizontal="left" vertical="top"/>
    </xf>
    <xf numFmtId="0" fontId="3" fillId="3" borderId="0" xfId="0" applyNumberFormat="1" applyFont="1" applyFill="1" applyAlignment="1" applyProtection="1">
      <alignment horizontal="center" vertical="center"/>
    </xf>
    <xf numFmtId="0" fontId="4" fillId="4" borderId="0" xfId="0" applyNumberFormat="1" applyFont="1" applyFill="1" applyAlignment="1" applyProtection="1">
      <alignment horizontal="center" vertical="center"/>
    </xf>
    <xf numFmtId="0" fontId="0" fillId="4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wrapText="1"/>
    </xf>
    <xf numFmtId="0" fontId="2" fillId="0" borderId="0" xfId="0" applyFont="1"/>
    <xf numFmtId="0" fontId="2" fillId="5" borderId="1" xfId="0" applyNumberFormat="1" applyFont="1" applyFill="1" applyBorder="1" applyAlignment="1" applyProtection="1"/>
    <xf numFmtId="0" fontId="2" fillId="5" borderId="1" xfId="0" applyNumberFormat="1" applyFon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/>
    <xf numFmtId="0" fontId="0" fillId="0" borderId="1" xfId="0" applyBorder="1"/>
    <xf numFmtId="0" fontId="2" fillId="7" borderId="1" xfId="0" applyNumberFormat="1" applyFont="1" applyFill="1" applyBorder="1" applyAlignment="1" applyProtection="1"/>
    <xf numFmtId="0" fontId="2" fillId="7" borderId="1" xfId="0" applyFont="1" applyFill="1" applyBorder="1"/>
    <xf numFmtId="0" fontId="0" fillId="8" borderId="1" xfId="0" applyFill="1" applyBorder="1"/>
    <xf numFmtId="0" fontId="2" fillId="9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  <xf numFmtId="49" fontId="0" fillId="0" borderId="1" xfId="0" applyNumberFormat="1" applyFill="1" applyBorder="1" applyAlignment="1" applyProtection="1"/>
    <xf numFmtId="49" fontId="0" fillId="0" borderId="0" xfId="0" applyNumberFormat="1" applyAlignment="1">
      <alignment horizontal="center" vertical="center"/>
    </xf>
    <xf numFmtId="4" fontId="0" fillId="0" borderId="0" xfId="0" applyNumberFormat="1"/>
    <xf numFmtId="164" fontId="0" fillId="0" borderId="1" xfId="0" applyNumberFormat="1" applyFill="1" applyBorder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left"/>
    </xf>
    <xf numFmtId="0" fontId="0" fillId="0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/>
    <xf numFmtId="49" fontId="0" fillId="0" borderId="0" xfId="0" applyNumberFormat="1"/>
    <xf numFmtId="49" fontId="0" fillId="0" borderId="0" xfId="0" applyNumberFormat="1" applyFill="1" applyAlignment="1" applyProtection="1"/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left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vertical="center" wrapText="1"/>
    </xf>
    <xf numFmtId="15" fontId="0" fillId="0" borderId="0" xfId="0" applyNumberFormat="1" applyAlignment="1">
      <alignment vertical="center" wrapText="1"/>
    </xf>
    <xf numFmtId="15" fontId="0" fillId="0" borderId="0" xfId="0" applyNumberFormat="1"/>
    <xf numFmtId="0" fontId="2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applyNumberFormat="1" applyFill="1" applyBorder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horizontal="center" vertical="center"/>
    </xf>
    <xf numFmtId="0" fontId="2" fillId="3" borderId="0" xfId="0" applyNumberFormat="1" applyFont="1" applyFill="1" applyAlignment="1" applyProtection="1">
      <alignment horizontal="center" vertical="center"/>
    </xf>
    <xf numFmtId="0" fontId="2" fillId="10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2" fillId="9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2" fillId="9" borderId="0" xfId="0" quotePrefix="1" applyNumberFormat="1" applyFont="1" applyFill="1" applyBorder="1" applyAlignment="1" applyProtection="1">
      <alignment horizontal="center" wrapText="1"/>
    </xf>
    <xf numFmtId="0" fontId="2" fillId="9" borderId="2" xfId="0" quotePrefix="1" applyNumberFormat="1" applyFont="1" applyFill="1" applyBorder="1" applyAlignment="1" applyProtection="1">
      <alignment horizontal="center" wrapText="1"/>
    </xf>
    <xf numFmtId="0" fontId="2" fillId="5" borderId="1" xfId="0" applyNumberFormat="1" applyFont="1" applyFill="1" applyBorder="1" applyAlignment="1" applyProtection="1">
      <alignment horizontal="center" wrapText="1"/>
    </xf>
    <xf numFmtId="0" fontId="2" fillId="6" borderId="1" xfId="0" applyNumberFormat="1" applyFont="1" applyFill="1" applyBorder="1" applyAlignment="1" applyProtection="1">
      <alignment horizontal="center" wrapText="1"/>
    </xf>
    <xf numFmtId="0" fontId="0" fillId="0" borderId="0" xfId="0" applyNumberFormat="1" applyFill="1" applyAlignment="1" applyProtection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/Accounts%20Payable%20Booking/Data/Output/Processed%20Invoices/JCAPCP/3000066343%2013-09-21%2009.51%20AM/JCAPCP%20Invoice%20300006634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sac\AppData\Local\Microsoft\Windows\INetCache\Content.Outlook\1UR46FCF\TATA%20Invoice%20247280705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PA/Accounts%20Payable%20Booking/Data/Input/NSC/Files%20To%20be%20Processed/VN-0834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sac\AppData\Local\Microsoft\Windows\INetCache\Content.Outlook\1UR46FCF\JCAPCP%20Invoice%2030000683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RPA/Accounts%20Payable%20Booking/Data/Input/NSC/Files%20To%20be%20Processed/VN-083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nfig"/>
      <sheetName val="Logs"/>
      <sheetName val="Validation"/>
      <sheetName val="Split_WO_Size"/>
      <sheetName val="Final"/>
      <sheetName val="Split_W_Size"/>
      <sheetName val="Split_W_OnlySize"/>
      <sheetName val="Split_W_OnlyMatvalue"/>
      <sheetName val="Split_W_SizeIGST"/>
      <sheetName val="AP"/>
      <sheetName val="Tax"/>
      <sheetName val="GRPO Wiz"/>
      <sheetName val="Incoming Material Report"/>
      <sheetName val="MASTER"/>
      <sheetName val="SPEC"/>
      <sheetName val="Details"/>
      <sheetName val="CoilN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nfig"/>
      <sheetName val="Logs"/>
      <sheetName val="Validation"/>
      <sheetName val="Split_WO_Size"/>
      <sheetName val="Final"/>
      <sheetName val="Split_W_Size"/>
      <sheetName val="Split_W_OnlySize"/>
      <sheetName val="Split_W_OnlySizeIGST"/>
      <sheetName val="Split_W_OnlyMatvalue"/>
      <sheetName val="AP"/>
      <sheetName val="Tax"/>
      <sheetName val="GRPO Wiz"/>
      <sheetName val="Incoming Material Report"/>
      <sheetName val="MASTER"/>
      <sheetName val="SPEC"/>
      <sheetName val="Details"/>
      <sheetName val="CoilNo"/>
      <sheetName val="count"/>
      <sheetName val="HS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PO Pass Line Items"/>
      <sheetName val="GRPO Pass Line Items with Slash"/>
      <sheetName val="Config GRPO"/>
      <sheetName val="Validation GRPO"/>
      <sheetName val="Final GRPO"/>
      <sheetName val="GRPO Wiz Individual"/>
      <sheetName val="Logs"/>
      <sheetName val="Validation"/>
      <sheetName val="Split_WO_Size"/>
      <sheetName val="Config"/>
      <sheetName val="Final"/>
      <sheetName val="Split_W_Size"/>
      <sheetName val="Split_W_OnlySize"/>
      <sheetName val="Split_W_OnlySizeIGST"/>
      <sheetName val="Split_W_OnlyMatvalue"/>
      <sheetName val="AP"/>
      <sheetName val="Tax"/>
      <sheetName val="GRPO Wiz"/>
      <sheetName val="Incoming Material Report"/>
      <sheetName val="MASTER"/>
      <sheetName val="SPEC"/>
      <sheetName val="Details"/>
      <sheetName val="CoilNo"/>
      <sheetName val="count"/>
      <sheetName val="HS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nfig"/>
      <sheetName val="Logs"/>
      <sheetName val="Validation"/>
      <sheetName val="Split_WO_Size"/>
      <sheetName val="Final"/>
      <sheetName val="Split_W_Size"/>
      <sheetName val="Split_W_OnlySize"/>
      <sheetName val="Split_W_OnlyMatvalue"/>
      <sheetName val="Split_W_SizeIGST"/>
      <sheetName val="AP"/>
      <sheetName val="Tax"/>
      <sheetName val="GRPO Wiz"/>
      <sheetName val="Incoming Material Report"/>
      <sheetName val="MASTER"/>
      <sheetName val="SPEC"/>
      <sheetName val="Details"/>
      <sheetName val="CoilN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PO Pass Line Items"/>
      <sheetName val="GRPO Pass Line Items with Slash"/>
      <sheetName val="Config GRPO"/>
      <sheetName val="Validation GRPO"/>
      <sheetName val="Final GRPO"/>
      <sheetName val="GRPO Wiz Individual"/>
      <sheetName val="Logs"/>
      <sheetName val="Validation"/>
      <sheetName val="Split_WO_Size"/>
      <sheetName val="Config"/>
      <sheetName val="Final"/>
      <sheetName val="Split_W_Size"/>
      <sheetName val="Split_W_OnlySize"/>
      <sheetName val="Split_W_OnlySizeIGST"/>
      <sheetName val="Split_W_OnlyMatvalue"/>
      <sheetName val="AP"/>
      <sheetName val="Tax"/>
      <sheetName val="GRPO Wiz"/>
      <sheetName val="Incoming Material Report"/>
      <sheetName val="MASTER"/>
      <sheetName val="SPEC"/>
      <sheetName val="Details"/>
      <sheetName val="CoilNo"/>
      <sheetName val="count"/>
      <sheetName val="HS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14"/>
  <sheetViews>
    <sheetView topLeftCell="W1" zoomScale="85" zoomScaleNormal="85" workbookViewId="0">
      <selection activeCell="AF2" sqref="AF2"/>
    </sheetView>
  </sheetViews>
  <sheetFormatPr defaultRowHeight="15" x14ac:dyDescent="0.25"/>
  <cols>
    <col min="2" max="2" width="11.140625" bestFit="1" customWidth="1"/>
    <col min="4" max="4" width="11" bestFit="1" customWidth="1"/>
    <col min="5" max="5" width="11.140625" bestFit="1" customWidth="1"/>
    <col min="7" max="7" width="12" bestFit="1" customWidth="1"/>
    <col min="12" max="12" width="13.28515625" bestFit="1" customWidth="1"/>
    <col min="13" max="13" width="11.7109375" bestFit="1" customWidth="1"/>
    <col min="14" max="15" width="11.7109375" customWidth="1"/>
    <col min="17" max="17" width="16.140625" bestFit="1" customWidth="1"/>
    <col min="21" max="21" width="79.42578125" bestFit="1" customWidth="1"/>
    <col min="22" max="22" width="18.28515625" bestFit="1" customWidth="1"/>
    <col min="24" max="24" width="12" bestFit="1" customWidth="1"/>
    <col min="26" max="26" width="16.5703125" bestFit="1" customWidth="1"/>
    <col min="27" max="27" width="9.42578125" bestFit="1" customWidth="1"/>
    <col min="28" max="28" width="14.42578125" bestFit="1" customWidth="1"/>
    <col min="32" max="32" width="19.7109375" bestFit="1" customWidth="1"/>
  </cols>
  <sheetData>
    <row r="1" spans="2:17" x14ac:dyDescent="0.25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2:17" x14ac:dyDescent="0.25">
      <c r="L2" s="33"/>
    </row>
    <row r="3" spans="2:17" x14ac:dyDescent="0.25">
      <c r="L3" s="33"/>
    </row>
    <row r="4" spans="2:17" x14ac:dyDescent="0.25">
      <c r="L4" s="33"/>
    </row>
    <row r="5" spans="2:17" x14ac:dyDescent="0.25">
      <c r="L5" s="33"/>
    </row>
    <row r="6" spans="2:17" x14ac:dyDescent="0.25">
      <c r="L6" s="33"/>
    </row>
    <row r="7" spans="2:17" x14ac:dyDescent="0.25">
      <c r="L7" s="33"/>
    </row>
    <row r="8" spans="2:17" x14ac:dyDescent="0.25">
      <c r="L8" s="33"/>
    </row>
    <row r="9" spans="2:17" x14ac:dyDescent="0.25">
      <c r="L9" s="33"/>
    </row>
    <row r="10" spans="2:17" x14ac:dyDescent="0.25">
      <c r="L10" s="33"/>
    </row>
    <row r="11" spans="2:17" x14ac:dyDescent="0.25">
      <c r="L11" s="33"/>
    </row>
    <row r="12" spans="2:17" x14ac:dyDescent="0.25">
      <c r="L12" s="33"/>
    </row>
    <row r="13" spans="2:17" x14ac:dyDescent="0.25">
      <c r="L13" s="33"/>
    </row>
    <row r="14" spans="2:17" x14ac:dyDescent="0.25">
      <c r="L14" s="33"/>
    </row>
  </sheetData>
  <conditionalFormatting sqref="J1:L1">
    <cfRule type="duplicateValues" priority="4"/>
  </conditionalFormatting>
  <conditionalFormatting sqref="J1">
    <cfRule type="duplicateValues" dxfId="16" priority="5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6" workbookViewId="0">
      <selection activeCell="H28" sqref="H28"/>
    </sheetView>
  </sheetViews>
  <sheetFormatPr defaultRowHeight="15" x14ac:dyDescent="0.25"/>
  <cols>
    <col min="2" max="2" width="11.140625" bestFit="1" customWidth="1"/>
    <col min="5" max="5" width="11.140625" bestFit="1" customWidth="1"/>
    <col min="12" max="12" width="11.42578125" bestFit="1" customWidth="1"/>
    <col min="37" max="37" width="10.1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P1"/>
  <sheetViews>
    <sheetView workbookViewId="0">
      <selection activeCell="AO5" sqref="AO5"/>
    </sheetView>
  </sheetViews>
  <sheetFormatPr defaultRowHeight="15" x14ac:dyDescent="0.25"/>
  <sheetData>
    <row r="1" spans="1:42" x14ac:dyDescent="0.25">
      <c r="A1" t="s">
        <v>147</v>
      </c>
      <c r="B1" t="s">
        <v>148</v>
      </c>
      <c r="C1" t="s">
        <v>149</v>
      </c>
      <c r="D1" t="s">
        <v>150</v>
      </c>
      <c r="E1" t="s">
        <v>83</v>
      </c>
      <c r="F1" t="s">
        <v>84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24</v>
      </c>
      <c r="M1" t="s">
        <v>2</v>
      </c>
      <c r="N1" t="s">
        <v>156</v>
      </c>
      <c r="O1" t="s">
        <v>34</v>
      </c>
      <c r="P1" t="s">
        <v>157</v>
      </c>
      <c r="Q1" t="s">
        <v>16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P1" t="s">
        <v>174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T25"/>
  <sheetViews>
    <sheetView showGridLines="0" topLeftCell="C1" zoomScale="93" workbookViewId="0">
      <selection activeCell="K7" sqref="K7"/>
    </sheetView>
  </sheetViews>
  <sheetFormatPr defaultRowHeight="15" x14ac:dyDescent="0.25"/>
  <cols>
    <col min="1" max="1" width="9.140625" style="1" customWidth="1"/>
    <col min="2" max="2" width="22.42578125" style="1" bestFit="1" customWidth="1"/>
    <col min="3" max="3" width="14.42578125" style="1" bestFit="1" customWidth="1"/>
    <col min="4" max="4" width="14.28515625" style="1" bestFit="1" customWidth="1"/>
    <col min="5" max="5" width="16.5703125" style="1" hidden="1" customWidth="1"/>
    <col min="6" max="6" width="23" style="1" hidden="1" customWidth="1"/>
    <col min="7" max="7" width="17" style="1" hidden="1" customWidth="1"/>
    <col min="8" max="8" width="22" style="1" bestFit="1" customWidth="1"/>
    <col min="9" max="9" width="9.140625" style="1" customWidth="1"/>
    <col min="10" max="10" width="56.5703125" style="1" bestFit="1" customWidth="1"/>
    <col min="11" max="11" width="11" style="4" bestFit="1" customWidth="1"/>
    <col min="12" max="13" width="9.140625" style="1" customWidth="1"/>
    <col min="14" max="14" width="24.7109375" style="1" bestFit="1" customWidth="1"/>
    <col min="15" max="15" width="22.140625" style="1" bestFit="1" customWidth="1"/>
    <col min="17" max="17" width="9.28515625" customWidth="1"/>
    <col min="18" max="18" width="12.5703125" customWidth="1"/>
    <col min="19" max="19" width="18.7109375" customWidth="1"/>
    <col min="28" max="28" width="13.140625" bestFit="1" customWidth="1"/>
    <col min="29" max="29" width="18.140625" bestFit="1" customWidth="1"/>
    <col min="30" max="30" width="11.28515625" bestFit="1" customWidth="1"/>
    <col min="33" max="33" width="12" bestFit="1" customWidth="1"/>
    <col min="35" max="35" width="18.140625" bestFit="1" customWidth="1"/>
    <col min="36" max="36" width="19.28515625" bestFit="1" customWidth="1"/>
    <col min="37" max="37" width="14.5703125" bestFit="1" customWidth="1"/>
    <col min="45" max="45" width="10.85546875" bestFit="1" customWidth="1"/>
  </cols>
  <sheetData>
    <row r="1" spans="1:46" ht="15" customHeight="1" x14ac:dyDescent="0.25">
      <c r="AS1" s="21" t="s">
        <v>130</v>
      </c>
      <c r="AT1" s="21" t="str">
        <f>IF(OR((N4&lt;&gt;"HOLD"),AND(N4="HOLD",(Logs!H1-2)&lt;2)),"PASS","FAIL")</f>
        <v>PASS</v>
      </c>
    </row>
    <row r="2" spans="1:46" ht="15" customHeight="1" x14ac:dyDescent="0.25">
      <c r="A2" s="66" t="s">
        <v>107</v>
      </c>
      <c r="B2" s="66"/>
      <c r="C2" s="66"/>
      <c r="D2" s="16"/>
      <c r="E2" s="67"/>
      <c r="F2" s="67"/>
      <c r="G2" s="67"/>
      <c r="H2" s="68"/>
      <c r="N2" s="64" t="s">
        <v>139</v>
      </c>
      <c r="O2" s="64" t="s">
        <v>182</v>
      </c>
    </row>
    <row r="3" spans="1:46" ht="19.5" customHeight="1" x14ac:dyDescent="0.25">
      <c r="A3" s="18" t="s">
        <v>0</v>
      </c>
      <c r="B3" s="18" t="s">
        <v>1</v>
      </c>
      <c r="C3" s="19" t="s">
        <v>108</v>
      </c>
      <c r="D3" s="16"/>
      <c r="E3" s="22"/>
      <c r="F3" s="22"/>
      <c r="G3" s="23"/>
      <c r="H3" s="68"/>
      <c r="I3"/>
      <c r="J3" s="24" t="s">
        <v>2</v>
      </c>
      <c r="K3" s="21" t="str">
        <f>IF(Data!M2="","",TEXT(Data!M2,"0"))</f>
        <v/>
      </c>
      <c r="L3"/>
      <c r="M3"/>
      <c r="N3" s="65"/>
      <c r="O3" s="65"/>
      <c r="Q3" s="26" t="s">
        <v>112</v>
      </c>
      <c r="R3" s="26" t="s">
        <v>108</v>
      </c>
      <c r="S3" s="27" t="s">
        <v>113</v>
      </c>
      <c r="Y3" s="17" t="s">
        <v>0</v>
      </c>
      <c r="Z3" s="17" t="s">
        <v>2</v>
      </c>
      <c r="AA3" s="17" t="s">
        <v>35</v>
      </c>
      <c r="AB3" s="17" t="s">
        <v>100</v>
      </c>
      <c r="AC3" s="17" t="s">
        <v>101</v>
      </c>
      <c r="AD3" s="17" t="s">
        <v>102</v>
      </c>
      <c r="AE3" s="17" t="s">
        <v>103</v>
      </c>
      <c r="AF3" s="17" t="s">
        <v>5</v>
      </c>
      <c r="AG3" s="17" t="s">
        <v>104</v>
      </c>
      <c r="AH3" s="17" t="s">
        <v>105</v>
      </c>
      <c r="AI3" s="17" t="s">
        <v>79</v>
      </c>
      <c r="AJ3" s="17" t="s">
        <v>76</v>
      </c>
      <c r="AK3" s="17" t="s">
        <v>106</v>
      </c>
    </row>
    <row r="4" spans="1:46" x14ac:dyDescent="0.25">
      <c r="A4" s="20">
        <v>1</v>
      </c>
      <c r="B4" s="20" t="s">
        <v>5</v>
      </c>
      <c r="C4" s="20" t="str">
        <f>IF(COUNTIF('Validation GRPO'!X:X,"NA")&gt;0,"MISMATCH","PASS")</f>
        <v>PASS</v>
      </c>
      <c r="E4" s="21"/>
      <c r="F4" s="36"/>
      <c r="G4" s="21"/>
      <c r="J4" s="24" t="s">
        <v>15</v>
      </c>
      <c r="K4" s="21" t="str">
        <f>TEXT('Final GRPO'!AR2,"")</f>
        <v/>
      </c>
      <c r="N4" s="31" t="str">
        <f>IF(OR(ISNA(VLOOKUP('Final GRPO'!V2,'GRPO Wiz Individual'!BK:BK,1,FALSE)),(1048576-COUNTBLANK('Final GRPO'!AZ:AZ)-1)&lt;&gt;INT(K6)),"HOLD",IF(COUNTIF(C:C,"MISMATCH")&gt;0,"MISMATCH","PASS"))</f>
        <v>HOLD</v>
      </c>
      <c r="O4" s="31" t="str">
        <f>IF(OR(ISNA(VLOOKUP('Final GRPO'!V2&amp;"/1",'GRPO Wiz Individual'!BK:BK,1,FALSE)),(1048576-COUNTBLANK('Final GRPO'!AZ:AZ)-1)&lt;&gt;INT(K7)),"HOLD",IF(COUNTIF(C:C,"MISMATCH")&gt;0,"MISMATCH","PASS"))</f>
        <v>HOLD</v>
      </c>
      <c r="Q4" s="28" t="s">
        <v>114</v>
      </c>
      <c r="R4" s="25" t="s">
        <v>117</v>
      </c>
      <c r="S4" s="37"/>
      <c r="Z4" t="str">
        <f>K3</f>
        <v/>
      </c>
      <c r="AA4">
        <f>'Final GRPO'!W2</f>
        <v>0</v>
      </c>
      <c r="AB4" s="38">
        <f>S4</f>
        <v>0</v>
      </c>
      <c r="AC4" s="38">
        <f>S5</f>
        <v>0</v>
      </c>
      <c r="AD4" t="str">
        <f>K6</f>
        <v>1048576</v>
      </c>
      <c r="AE4">
        <f>SUM('Final GRPO'!H2:H95)</f>
        <v>0</v>
      </c>
      <c r="AF4" t="str">
        <f>K5</f>
        <v>NSC</v>
      </c>
      <c r="AG4" t="str">
        <f>R4</f>
        <v>Pending</v>
      </c>
      <c r="AH4" t="str">
        <f>R5</f>
        <v>Pending</v>
      </c>
      <c r="AI4">
        <f>'Final GRPO'!AD2</f>
        <v>0</v>
      </c>
      <c r="AJ4">
        <f>'Final GRPO'!AB2</f>
        <v>0</v>
      </c>
      <c r="AK4">
        <f>'Final GRPO'!AC2</f>
        <v>0</v>
      </c>
    </row>
    <row r="5" spans="1:46" x14ac:dyDescent="0.25">
      <c r="A5" s="20">
        <v>2</v>
      </c>
      <c r="B5" s="20" t="s">
        <v>6</v>
      </c>
      <c r="C5" s="20" t="str">
        <f>IF(COUNTIF('Validation GRPO'!O:O,"NA")&gt;0,"MISMATCH","PASS")</f>
        <v>PASS</v>
      </c>
      <c r="E5" s="21"/>
      <c r="F5" s="36"/>
      <c r="G5" s="21"/>
      <c r="J5" s="24" t="s">
        <v>5</v>
      </c>
      <c r="K5" s="21" t="s">
        <v>131</v>
      </c>
      <c r="Q5" s="28" t="s">
        <v>64</v>
      </c>
      <c r="R5" s="25" t="s">
        <v>117</v>
      </c>
      <c r="S5" s="37"/>
    </row>
    <row r="6" spans="1:46" x14ac:dyDescent="0.25">
      <c r="A6" s="20">
        <v>3</v>
      </c>
      <c r="B6" s="20" t="s">
        <v>7</v>
      </c>
      <c r="C6" s="20" t="str">
        <f>IF(COUNTIF('Validation GRPO'!P:P,"NA")&gt;0,"MISMATCH","PASS")</f>
        <v>PASS</v>
      </c>
      <c r="E6" s="21"/>
      <c r="F6" s="36"/>
      <c r="G6" s="21"/>
      <c r="J6" s="24" t="s">
        <v>141</v>
      </c>
      <c r="K6" s="21" t="str">
        <f>TEXT(COUNTIF('GRPO Pass Line Items'!AP:AP,'Config GRPO'!K3),"0")</f>
        <v>1048576</v>
      </c>
    </row>
    <row r="7" spans="1:46" x14ac:dyDescent="0.25">
      <c r="A7" s="20">
        <v>4</v>
      </c>
      <c r="B7" s="20" t="s">
        <v>8</v>
      </c>
      <c r="C7" s="20" t="str">
        <f>IF(COUNTIF('Validation GRPO'!Q:Q,"NA")&gt;0,"MISMATCH","PASS")</f>
        <v>PASS</v>
      </c>
      <c r="E7" s="21"/>
      <c r="F7" s="36"/>
      <c r="G7" s="21"/>
      <c r="J7" s="24" t="s">
        <v>140</v>
      </c>
      <c r="K7" s="21" t="str">
        <f>TEXT(COUNTIF('GRPO Pass Line Items with Slash'!AP:AP,"*/*"),"0")</f>
        <v>0</v>
      </c>
    </row>
    <row r="8" spans="1:46" x14ac:dyDescent="0.25">
      <c r="A8" s="20">
        <v>5</v>
      </c>
      <c r="B8" s="20" t="s">
        <v>9</v>
      </c>
      <c r="C8" s="20" t="str">
        <f>IF(COUNTIF('Validation GRPO'!R:R,"NA")&gt;0,"MISMATCH","PASS")</f>
        <v>PASS</v>
      </c>
      <c r="E8" s="21"/>
      <c r="F8" s="36"/>
      <c r="G8" s="21"/>
      <c r="J8" s="24" t="s">
        <v>142</v>
      </c>
      <c r="K8" s="21" t="str">
        <f>TEXT(IF(COUNTA('GRPO Pass Line Items'!B:B)-1&gt;0,COUNTA('GRPO Pass Line Items'!B:B)-1,0),"0")</f>
        <v>0</v>
      </c>
    </row>
    <row r="9" spans="1:46" x14ac:dyDescent="0.25">
      <c r="A9" s="20">
        <v>6</v>
      </c>
      <c r="B9" s="20" t="s">
        <v>10</v>
      </c>
      <c r="C9" s="20" t="str">
        <f>IF(COUNTIF('Validation GRPO'!S:S,"NA")&gt;0,"MISMATCH","PASS")</f>
        <v>PASS</v>
      </c>
      <c r="E9" s="21"/>
      <c r="F9" s="36"/>
      <c r="G9" s="21"/>
      <c r="J9" s="24" t="s">
        <v>135</v>
      </c>
      <c r="K9" s="45" t="str">
        <f>IF(COUNTIF('GRPO Pass Line Items'!AP:AP,'Config GRPO'!K3)+COUNTIF('GRPO Pass Line Items'!AP:AP,'Config GRPO'!K3&amp;"/1")=IF(COUNTA('GRPO Pass Line Items'!B:B)-1&gt;0,COUNTA('GRPO Pass Line Items'!B:B)-1,0),"Pass","Mismatch")</f>
        <v>Mismatch</v>
      </c>
    </row>
    <row r="10" spans="1:46" x14ac:dyDescent="0.25">
      <c r="A10" s="20">
        <v>7</v>
      </c>
      <c r="B10" s="20" t="s">
        <v>11</v>
      </c>
      <c r="C10" s="20" t="str">
        <f>IF(COUNTIF('Validation GRPO'!V:V,"NA")&gt;0,"MISMATCH","PASS")</f>
        <v>PASS</v>
      </c>
      <c r="E10" s="21"/>
      <c r="F10" s="36"/>
      <c r="G10" s="21"/>
      <c r="J10" s="24" t="s">
        <v>184</v>
      </c>
      <c r="K10" s="21" t="str">
        <f>TEXT(IF(COUNTA('GRPO Pass Line Items'!B:B)=1,2,COUNTA('GRPO Pass Line Items'!B:B)),"0")</f>
        <v>0</v>
      </c>
    </row>
    <row r="11" spans="1:46" x14ac:dyDescent="0.25">
      <c r="A11" s="20">
        <v>8</v>
      </c>
      <c r="B11" s="20" t="s">
        <v>12</v>
      </c>
      <c r="C11" s="20" t="str">
        <f>IF(COUNTIF('Validation GRPO'!H:H,"NA")&gt;0,"MISMATCH","PASS")</f>
        <v>PASS</v>
      </c>
      <c r="E11" s="21"/>
      <c r="F11" s="36"/>
      <c r="G11" s="21"/>
      <c r="J11" s="24" t="s">
        <v>143</v>
      </c>
      <c r="K11" s="4" t="str">
        <f>TEXT(COUNTIF(Data!M:M,K3),"0")</f>
        <v>1048576</v>
      </c>
    </row>
    <row r="12" spans="1:46" x14ac:dyDescent="0.25">
      <c r="A12" s="20">
        <v>9</v>
      </c>
      <c r="B12" s="20" t="s">
        <v>13</v>
      </c>
      <c r="C12" s="20" t="str">
        <f>IF(COUNTIF('Validation GRPO'!I:I,"NA")&gt;0,"MISMATCH","PASS")</f>
        <v>MISMATCH</v>
      </c>
      <c r="E12" s="21"/>
      <c r="F12" s="36"/>
      <c r="G12" s="21"/>
      <c r="J12" s="24" t="s">
        <v>146</v>
      </c>
      <c r="K12" s="21">
        <f>COUNTA('GRPO Pass Line Items with Slash'!A:A)+1</f>
        <v>2</v>
      </c>
    </row>
    <row r="13" spans="1:46" x14ac:dyDescent="0.25">
      <c r="A13" s="20">
        <v>10</v>
      </c>
      <c r="B13" s="20" t="s">
        <v>14</v>
      </c>
      <c r="C13" s="20" t="str">
        <f>IF(COUNTIF('Validation GRPO'!J:J,"NA")&gt;0,"MISMATCH","PASS")</f>
        <v>MISMATCH</v>
      </c>
      <c r="E13" s="21"/>
      <c r="F13" s="36"/>
      <c r="G13" s="21"/>
      <c r="J13" s="24" t="s">
        <v>183</v>
      </c>
      <c r="K13" s="21" t="str">
        <f>TEXT(IF(COUNTA('GRPO Pass Line Items with Slash'!B:B)=1,2,COUNTA('GRPO Pass Line Items with Slash'!B:B)),"0")</f>
        <v>2</v>
      </c>
    </row>
    <row r="14" spans="1:46" x14ac:dyDescent="0.25">
      <c r="A14" s="20">
        <v>11</v>
      </c>
      <c r="B14" s="20" t="s">
        <v>15</v>
      </c>
      <c r="C14" s="20" t="str">
        <f>IF(COUNTIF('Validation GRPO'!AR:AR,"NA")&gt;0,"MISMATCH","PASS")</f>
        <v>PASS</v>
      </c>
      <c r="E14" s="21"/>
      <c r="F14" s="36"/>
      <c r="G14" s="21"/>
      <c r="J14" s="24"/>
      <c r="K14" s="21"/>
    </row>
    <row r="15" spans="1:46" x14ac:dyDescent="0.25">
      <c r="A15" s="20">
        <v>12</v>
      </c>
      <c r="B15" s="20" t="s">
        <v>16</v>
      </c>
      <c r="C15" s="20" t="str">
        <f>IF(COUNTIF('Validation GRPO'!Y:Y,"NA")&gt;0,"MISMATCH","PASS")</f>
        <v>PASS</v>
      </c>
      <c r="E15" s="21"/>
      <c r="F15" s="36"/>
      <c r="G15" s="21"/>
      <c r="J15" s="24"/>
      <c r="K15" s="21"/>
    </row>
    <row r="16" spans="1:46" x14ac:dyDescent="0.25">
      <c r="A16" s="20">
        <v>13</v>
      </c>
      <c r="B16" s="20" t="s">
        <v>17</v>
      </c>
      <c r="C16" s="20" t="str">
        <f>IF(COUNTIF('Validation GRPO'!E:E,"NA")&gt;0,"MISMATCH","PASS")</f>
        <v>PASS</v>
      </c>
      <c r="J16" s="24"/>
      <c r="K16" s="21"/>
    </row>
    <row r="17" spans="1:11" x14ac:dyDescent="0.25">
      <c r="A17" s="20">
        <v>14</v>
      </c>
      <c r="B17" s="20" t="s">
        <v>136</v>
      </c>
      <c r="C17" s="20" t="str">
        <f>IF(COUNTIF('Validation GRPO'!G:G,"NA")&gt;0,"MISMATCH","PASS")</f>
        <v>PASS</v>
      </c>
      <c r="J17" s="24"/>
      <c r="K17" s="21"/>
    </row>
    <row r="19" spans="1:11" x14ac:dyDescent="0.25">
      <c r="J19" s="44" t="s">
        <v>132</v>
      </c>
      <c r="K19" s="21" t="str">
        <f>TEXT(VALUE(Data!AF2),"0.000")</f>
        <v>0.000</v>
      </c>
    </row>
    <row r="20" spans="1:11" x14ac:dyDescent="0.25">
      <c r="J20" s="44" t="s">
        <v>133</v>
      </c>
      <c r="K20" s="21" t="str">
        <f>IFERROR(_xlfn.IFNA(TEXT(VLOOKUP(K3,'GRPO Wiz Individual'!BK:BQ,7,FALSE),"0.000"),TEXT(VLOOKUP(K3,'GRPO Wiz'!BK:BQ,7,FALSE),"0.000")),"NA")</f>
        <v>NA</v>
      </c>
    </row>
    <row r="21" spans="1:11" x14ac:dyDescent="0.25">
      <c r="J21" s="44" t="s">
        <v>134</v>
      </c>
      <c r="K21" s="21" t="str">
        <f>IFERROR(IF(VALUE(Data!AF2)=_xlfn.IFNA(VLOOKUP(K3,'GRPO Wiz Individual'!BK:BQ,7,FALSE),VALUE(VLOOKUP(K3,'GRPO Wiz'!BK:BQ,7,FALSE))),"Pass","Mismatch"),"NA")</f>
        <v>NA</v>
      </c>
    </row>
    <row r="24" spans="1:11" x14ac:dyDescent="0.25">
      <c r="J24" s="44" t="s">
        <v>180</v>
      </c>
      <c r="K24" s="21" t="str">
        <f>IFERROR(_xlfn.IFNA(TEXT(VLOOKUP(K3&amp;"/1",'GRPO Wiz Individual'!BK:BQ,7,FALSE),"0.000"),TEXT(VLOOKUP(K3&amp;"/1",'GRPO Wiz'!BK:BQ,7,FALSE),"0.000")),"NA")</f>
        <v>NA</v>
      </c>
    </row>
    <row r="25" spans="1:11" x14ac:dyDescent="0.25">
      <c r="J25" s="44" t="s">
        <v>181</v>
      </c>
      <c r="K25" s="21" t="str">
        <f>IFERROR(IF(VALUE(Data!AF2)=_xlfn.IFNA(VLOOKUP(K3&amp;"/1",'GRPO Wiz Individual'!BK:BQ,7,FALSE),VLOOKUP(K3&amp;"/1",'GRPO Wiz'!BK:BQ,7,FALSE)),"Pass","Mismatch"),"NA")</f>
        <v>NA</v>
      </c>
    </row>
  </sheetData>
  <mergeCells count="5">
    <mergeCell ref="O2:O3"/>
    <mergeCell ref="A2:C2"/>
    <mergeCell ref="E2:G2"/>
    <mergeCell ref="H2:H3"/>
    <mergeCell ref="N2:N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ES11"/>
  <sheetViews>
    <sheetView topLeftCell="D1" zoomScale="86" workbookViewId="0">
      <selection activeCell="J2" sqref="J2"/>
    </sheetView>
  </sheetViews>
  <sheetFormatPr defaultColWidth="9.140625" defaultRowHeight="15" x14ac:dyDescent="0.25"/>
  <cols>
    <col min="1" max="1" width="9.140625" style="4" customWidth="1"/>
    <col min="2" max="2" width="8.28515625" style="4" bestFit="1" customWidth="1"/>
    <col min="3" max="3" width="52.140625" style="4" bestFit="1" customWidth="1"/>
    <col min="4" max="4" width="7.5703125" style="4" bestFit="1" customWidth="1"/>
    <col min="5" max="5" width="11.42578125" style="5" bestFit="1" customWidth="1"/>
    <col min="6" max="6" width="7.7109375" style="4" bestFit="1" customWidth="1"/>
    <col min="7" max="7" width="14.42578125" style="4" bestFit="1" customWidth="1"/>
    <col min="8" max="8" width="8.5703125" style="4" bestFit="1" customWidth="1"/>
    <col min="9" max="9" width="8.42578125" style="4" bestFit="1" customWidth="1"/>
    <col min="10" max="10" width="16.42578125" style="4" bestFit="1" customWidth="1"/>
    <col min="11" max="12" width="11.42578125" style="4" bestFit="1" customWidth="1"/>
    <col min="13" max="13" width="14" style="4" bestFit="1" customWidth="1"/>
    <col min="14" max="14" width="11" style="4" bestFit="1" customWidth="1"/>
    <col min="15" max="15" width="18.85546875" style="4" bestFit="1" customWidth="1"/>
    <col min="16" max="16" width="9.5703125" style="4" bestFit="1" customWidth="1"/>
    <col min="17" max="17" width="5.28515625" style="4" bestFit="1" customWidth="1"/>
    <col min="18" max="18" width="6.5703125" style="4" bestFit="1" customWidth="1"/>
    <col min="19" max="19" width="5.85546875" style="4" bestFit="1" customWidth="1"/>
    <col min="20" max="20" width="11.28515625" style="4" bestFit="1" customWidth="1"/>
    <col min="21" max="21" width="14.85546875" style="4" bestFit="1" customWidth="1"/>
    <col min="22" max="22" width="15.7109375" style="4" bestFit="1" customWidth="1"/>
    <col min="23" max="23" width="18.140625" style="4" bestFit="1" customWidth="1"/>
    <col min="24" max="24" width="8" style="4" bestFit="1" customWidth="1"/>
    <col min="25" max="25" width="14" style="4" bestFit="1" customWidth="1"/>
    <col min="26" max="26" width="11.28515625" style="4" bestFit="1" customWidth="1"/>
    <col min="27" max="27" width="14.85546875" style="4" bestFit="1" customWidth="1"/>
    <col min="28" max="28" width="27.42578125" style="4" bestFit="1" customWidth="1"/>
    <col min="29" max="29" width="15.140625" style="4" bestFit="1" customWidth="1"/>
    <col min="30" max="30" width="21.140625" style="4" bestFit="1" customWidth="1"/>
    <col min="31" max="31" width="9.140625" style="4" customWidth="1"/>
    <col min="32" max="32" width="20.5703125" style="4" bestFit="1" customWidth="1"/>
    <col min="33" max="33" width="20.28515625" style="4" bestFit="1" customWidth="1"/>
    <col min="34" max="34" width="20.5703125" style="4" bestFit="1" customWidth="1"/>
    <col min="35" max="35" width="14.42578125" style="4" bestFit="1" customWidth="1"/>
    <col min="36" max="36" width="14.85546875" style="4" bestFit="1" customWidth="1"/>
    <col min="37" max="37" width="14.140625" style="4" bestFit="1" customWidth="1"/>
    <col min="38" max="38" width="29" style="4" bestFit="1" customWidth="1"/>
    <col min="39" max="39" width="23.28515625" style="4" bestFit="1" customWidth="1"/>
    <col min="40" max="40" width="27.42578125" style="4" bestFit="1" customWidth="1"/>
    <col min="41" max="41" width="26.28515625" style="4" bestFit="1" customWidth="1"/>
    <col min="42" max="42" width="31.42578125" style="4" bestFit="1" customWidth="1"/>
    <col min="43" max="43" width="29.140625" style="4" bestFit="1" customWidth="1"/>
    <col min="44" max="44" width="19.140625" style="4" bestFit="1" customWidth="1"/>
    <col min="45" max="45" width="10.42578125" style="4" bestFit="1" customWidth="1"/>
    <col min="46" max="46" width="8" style="4" bestFit="1" customWidth="1"/>
    <col min="47" max="47" width="18.5703125" style="4" bestFit="1" customWidth="1"/>
    <col min="48" max="51" width="9.140625" style="4" customWidth="1"/>
    <col min="52" max="52" width="18.42578125" style="4" bestFit="1" customWidth="1"/>
    <col min="53" max="53" width="18.5703125" style="4" bestFit="1" customWidth="1"/>
    <col min="54" max="54" width="12.42578125" style="4" bestFit="1" customWidth="1"/>
    <col min="55" max="55" width="13" style="4" bestFit="1" customWidth="1"/>
    <col min="56" max="56" width="12.140625" style="4" bestFit="1" customWidth="1"/>
    <col min="57" max="57" width="26.7109375" style="4" bestFit="1" customWidth="1"/>
    <col min="58" max="58" width="21.140625" style="4" bestFit="1" customWidth="1"/>
    <col min="59" max="59" width="25.28515625" style="4" bestFit="1" customWidth="1"/>
    <col min="60" max="60" width="24.28515625" style="4" bestFit="1" customWidth="1"/>
    <col min="61" max="61" width="29.42578125" style="4" bestFit="1" customWidth="1"/>
    <col min="62" max="62" width="28.28515625" style="4" bestFit="1" customWidth="1"/>
    <col min="63" max="63" width="19.28515625" style="4" bestFit="1" customWidth="1"/>
    <col min="64" max="64" width="16.42578125" style="4" bestFit="1" customWidth="1"/>
    <col min="65" max="65" width="14.140625" style="4" bestFit="1" customWidth="1"/>
    <col min="66" max="74" width="9.140625" style="4" customWidth="1"/>
    <col min="75" max="75" width="5" style="4" bestFit="1" customWidth="1"/>
    <col min="76" max="76" width="13.140625" style="4" bestFit="1" customWidth="1"/>
    <col min="77" max="80" width="20.28515625" style="4" customWidth="1"/>
    <col min="81" max="81" width="31.140625" style="4" bestFit="1" customWidth="1"/>
    <col min="82" max="82" width="12" style="4" bestFit="1" customWidth="1"/>
    <col min="83" max="83" width="10.28515625" style="4" bestFit="1" customWidth="1"/>
    <col min="84" max="84" width="30.42578125" style="4" bestFit="1" customWidth="1"/>
    <col min="85" max="85" width="14.85546875" style="4" bestFit="1" customWidth="1"/>
    <col min="86" max="86" width="16.140625" style="4" bestFit="1" customWidth="1"/>
    <col min="87" max="88" width="14.42578125" style="4" bestFit="1" customWidth="1"/>
    <col min="89" max="89" width="19.85546875" style="4" customWidth="1"/>
    <col min="90" max="100" width="9.140625" style="4" customWidth="1"/>
    <col min="101" max="101" width="6.85546875" style="1" bestFit="1" customWidth="1"/>
    <col min="102" max="102" width="11.42578125" style="4" bestFit="1" customWidth="1"/>
    <col min="103" max="103" width="14.85546875" style="4" bestFit="1" customWidth="1"/>
    <col min="104" max="104" width="9" style="4" bestFit="1" customWidth="1"/>
    <col min="105" max="105" width="12.140625" style="4" bestFit="1" customWidth="1"/>
    <col min="106" max="108" width="9" style="4" bestFit="1" customWidth="1"/>
    <col min="109" max="109" width="22.5703125" style="4" bestFit="1" customWidth="1"/>
    <col min="110" max="110" width="14" style="4" bestFit="1" customWidth="1"/>
    <col min="111" max="111" width="12.7109375" style="4" bestFit="1" customWidth="1"/>
    <col min="112" max="112" width="14.42578125" style="4" bestFit="1" customWidth="1"/>
    <col min="113" max="113" width="21.28515625" style="4" customWidth="1"/>
    <col min="114" max="114" width="14.42578125" style="4" bestFit="1" customWidth="1"/>
    <col min="115" max="115" width="12.7109375" style="4" bestFit="1" customWidth="1"/>
    <col min="116" max="116" width="8.7109375" style="4" bestFit="1" customWidth="1"/>
    <col min="117" max="117" width="13.7109375" style="4" bestFit="1" customWidth="1"/>
    <col min="118" max="123" width="9.140625" style="4" customWidth="1"/>
    <col min="124" max="124" width="18.42578125" style="4" bestFit="1" customWidth="1"/>
    <col min="125" max="125" width="18.5703125" style="4" bestFit="1" customWidth="1"/>
    <col min="126" max="126" width="12.42578125" style="4" bestFit="1" customWidth="1"/>
    <col min="127" max="127" width="13" style="4" bestFit="1" customWidth="1"/>
    <col min="128" max="128" width="12.140625" style="4" bestFit="1" customWidth="1"/>
    <col min="129" max="129" width="26.7109375" style="4" bestFit="1" customWidth="1"/>
    <col min="130" max="130" width="21.140625" style="4" bestFit="1" customWidth="1"/>
    <col min="131" max="131" width="25.28515625" style="4" bestFit="1" customWidth="1"/>
    <col min="132" max="132" width="24.28515625" style="4" bestFit="1" customWidth="1"/>
    <col min="133" max="133" width="29.42578125" style="4" bestFit="1" customWidth="1"/>
    <col min="134" max="134" width="28.28515625" style="4" bestFit="1" customWidth="1"/>
    <col min="135" max="135" width="19.28515625" style="4" bestFit="1" customWidth="1"/>
    <col min="136" max="136" width="16.42578125" style="4" bestFit="1" customWidth="1"/>
    <col min="137" max="137" width="14.140625" style="4" bestFit="1" customWidth="1"/>
    <col min="138" max="138" width="9.140625" style="4" customWidth="1"/>
    <col min="139" max="16384" width="9.140625" style="4"/>
  </cols>
  <sheetData>
    <row r="1" spans="2:149" s="1" customFormat="1" ht="21.75" customHeight="1" x14ac:dyDescent="0.25">
      <c r="B1" s="3" t="s">
        <v>0</v>
      </c>
      <c r="C1" s="3" t="s">
        <v>18</v>
      </c>
      <c r="D1" s="3" t="s">
        <v>19</v>
      </c>
      <c r="E1" s="12" t="s">
        <v>17</v>
      </c>
      <c r="F1" s="3" t="s">
        <v>20</v>
      </c>
      <c r="G1" s="3" t="s">
        <v>21</v>
      </c>
      <c r="H1" s="13" t="s">
        <v>22</v>
      </c>
      <c r="I1" s="13" t="s">
        <v>23</v>
      </c>
      <c r="J1" s="13" t="s">
        <v>24</v>
      </c>
      <c r="K1" s="13" t="s">
        <v>25</v>
      </c>
      <c r="L1" s="13" t="s">
        <v>25</v>
      </c>
      <c r="M1" s="13" t="s">
        <v>27</v>
      </c>
      <c r="N1" s="13" t="s">
        <v>28</v>
      </c>
      <c r="O1" s="13" t="s">
        <v>6</v>
      </c>
      <c r="P1" s="13" t="s">
        <v>29</v>
      </c>
      <c r="Q1" s="13" t="s">
        <v>30</v>
      </c>
      <c r="R1" s="13" t="s">
        <v>31</v>
      </c>
      <c r="S1" s="13" t="s">
        <v>32</v>
      </c>
      <c r="T1" s="3" t="s">
        <v>33</v>
      </c>
      <c r="U1" s="3" t="s">
        <v>34</v>
      </c>
      <c r="V1" s="13" t="s">
        <v>2</v>
      </c>
      <c r="W1" s="13" t="s">
        <v>35</v>
      </c>
      <c r="X1" s="13" t="s">
        <v>5</v>
      </c>
      <c r="Y1" s="13" t="s">
        <v>16</v>
      </c>
      <c r="AB1" s="7" t="s">
        <v>76</v>
      </c>
      <c r="AC1" s="7" t="s">
        <v>92</v>
      </c>
      <c r="AD1" s="7" t="s">
        <v>79</v>
      </c>
      <c r="AF1" s="8" t="s">
        <v>37</v>
      </c>
      <c r="AG1" s="3" t="s">
        <v>38</v>
      </c>
      <c r="AH1" s="3" t="s">
        <v>39</v>
      </c>
      <c r="AI1" s="3" t="s">
        <v>40</v>
      </c>
      <c r="AJ1" s="3" t="s">
        <v>41</v>
      </c>
      <c r="AK1" s="3" t="s">
        <v>42</v>
      </c>
      <c r="AL1" s="3" t="s">
        <v>43</v>
      </c>
      <c r="AM1" s="3" t="s">
        <v>44</v>
      </c>
      <c r="AN1" s="3" t="s">
        <v>45</v>
      </c>
      <c r="AO1" s="3" t="s">
        <v>46</v>
      </c>
      <c r="AP1" s="3" t="s">
        <v>47</v>
      </c>
      <c r="AQ1" s="3" t="s">
        <v>48</v>
      </c>
      <c r="AR1" s="3" t="s">
        <v>15</v>
      </c>
      <c r="AS1" s="3" t="s">
        <v>16</v>
      </c>
      <c r="AT1" s="4" t="s">
        <v>5</v>
      </c>
      <c r="AU1" s="4" t="s">
        <v>49</v>
      </c>
      <c r="AX1" s="7"/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4" t="s">
        <v>63</v>
      </c>
      <c r="BW1" s="7" t="s">
        <v>64</v>
      </c>
      <c r="BX1" s="4" t="s">
        <v>65</v>
      </c>
      <c r="BY1" s="4" t="s">
        <v>66</v>
      </c>
      <c r="BZ1" s="4" t="s">
        <v>67</v>
      </c>
      <c r="CA1" s="4" t="s">
        <v>68</v>
      </c>
      <c r="CB1" s="4" t="s">
        <v>69</v>
      </c>
      <c r="CC1" s="4" t="s">
        <v>70</v>
      </c>
      <c r="CD1" s="4" t="s">
        <v>121</v>
      </c>
      <c r="CE1" s="4" t="s">
        <v>69</v>
      </c>
      <c r="CF1" s="4" t="s">
        <v>71</v>
      </c>
      <c r="CG1" s="4" t="s">
        <v>72</v>
      </c>
      <c r="CH1" s="4" t="s">
        <v>73</v>
      </c>
      <c r="CI1" s="4" t="s">
        <v>74</v>
      </c>
      <c r="CJ1" s="4" t="s">
        <v>36</v>
      </c>
      <c r="CK1" s="4" t="s">
        <v>96</v>
      </c>
      <c r="CW1" s="1" t="s">
        <v>0</v>
      </c>
      <c r="CX1" s="4" t="s">
        <v>5</v>
      </c>
      <c r="CY1" s="4" t="s">
        <v>6</v>
      </c>
      <c r="CZ1" s="4" t="s">
        <v>7</v>
      </c>
      <c r="DA1" s="4" t="s">
        <v>8</v>
      </c>
      <c r="DB1" s="4" t="s">
        <v>9</v>
      </c>
      <c r="DC1" s="4" t="s">
        <v>10</v>
      </c>
      <c r="DD1" s="4" t="s">
        <v>75</v>
      </c>
      <c r="DE1" s="4" t="s">
        <v>76</v>
      </c>
      <c r="DF1" s="4" t="s">
        <v>77</v>
      </c>
      <c r="DG1" s="4" t="s">
        <v>78</v>
      </c>
      <c r="DH1" s="4" t="s">
        <v>74</v>
      </c>
      <c r="DI1" s="4" t="s">
        <v>79</v>
      </c>
      <c r="DJ1" s="4" t="s">
        <v>35</v>
      </c>
      <c r="DK1" s="4" t="s">
        <v>2</v>
      </c>
      <c r="DL1" s="4" t="s">
        <v>16</v>
      </c>
      <c r="DM1" s="4" t="s">
        <v>80</v>
      </c>
      <c r="DT1" s="3" t="s">
        <v>50</v>
      </c>
      <c r="DU1" s="3" t="s">
        <v>51</v>
      </c>
      <c r="DV1" s="3" t="s">
        <v>52</v>
      </c>
      <c r="DW1" s="3" t="s">
        <v>53</v>
      </c>
      <c r="DX1" s="3" t="s">
        <v>54</v>
      </c>
      <c r="DY1" s="3" t="s">
        <v>55</v>
      </c>
      <c r="DZ1" s="3" t="s">
        <v>56</v>
      </c>
      <c r="EA1" s="3" t="s">
        <v>57</v>
      </c>
      <c r="EB1" s="3" t="s">
        <v>58</v>
      </c>
      <c r="EC1" s="3" t="s">
        <v>59</v>
      </c>
      <c r="ED1" s="3" t="s">
        <v>60</v>
      </c>
      <c r="EE1" s="3" t="s">
        <v>61</v>
      </c>
      <c r="EF1" s="3" t="s">
        <v>62</v>
      </c>
      <c r="EG1" s="4" t="s">
        <v>63</v>
      </c>
      <c r="ES1" s="1" t="s">
        <v>91</v>
      </c>
    </row>
    <row r="2" spans="2:149" s="1" customFormat="1" ht="24.75" customHeight="1" x14ac:dyDescent="0.25">
      <c r="B2" s="14" t="s">
        <v>94</v>
      </c>
      <c r="C2" s="14" t="s">
        <v>94</v>
      </c>
      <c r="D2" s="14" t="s">
        <v>94</v>
      </c>
      <c r="E2" s="5" t="str">
        <f>IF('Final GRPO'!E2='Final GRPO'!BL2,"OK","NA")</f>
        <v>OK</v>
      </c>
      <c r="F2" s="5" t="str">
        <f>IF('Final GRPO'!F2='Final GRPO'!BN2,"OK","OK")</f>
        <v>OK</v>
      </c>
      <c r="G2" s="15" t="str">
        <f>IF('Final GRPO'!G2='Final GRPO'!BG2,"OK","NA")</f>
        <v>OK</v>
      </c>
      <c r="H2" s="4" t="str">
        <f>IF(AND('Final GRPO'!H2='Final GRPO'!AM2,'Final GRPO'!H2='Final GRPO'!BF2),"ok","NA")</f>
        <v>ok</v>
      </c>
      <c r="I2" s="4" t="str">
        <f>IFERROR(IF(ABS(('Final GRPO'!I2-'Final GRPO'!BH2)&lt;Config!$K$21),"ok","NA"),"NA")</f>
        <v>NA</v>
      </c>
      <c r="J2" s="4" t="str">
        <f>IFERROR(IF(ROUNDDOWN('Final GRPO'!J2,0)=ROUNDDOWN('Final GRPO'!BI2,0),"ok","NA"),"NA")</f>
        <v>NA</v>
      </c>
      <c r="K2" s="4" t="s">
        <v>94</v>
      </c>
      <c r="L2" s="4" t="s">
        <v>94</v>
      </c>
      <c r="M2" s="4" t="s">
        <v>94</v>
      </c>
      <c r="N2" s="4" t="str">
        <f>IFERROR(IF(ROUNDDOWN('Final GRPO'!N2,0)=ROUNDDOWN('Final GRPO'!CC2,0),"ok","NA"),"NA")</f>
        <v>ok</v>
      </c>
      <c r="O2" s="4" t="str">
        <f>IF(AND('Final GRPO'!O2='Final GRPO'!AG2,'Final GRPO'!O2='Final GRPO'!AZ2),"ok","NA")</f>
        <v>ok</v>
      </c>
      <c r="P2" s="4" t="str">
        <f>IF(AND('Final GRPO'!P2='Final GRPO'!AH2,'Final GRPO'!P2='Final GRPO'!BA2),"ok","NA")</f>
        <v>ok</v>
      </c>
      <c r="Q2" s="4" t="str">
        <f>IF(AND('Final GRPO'!Q2='Final GRPO'!AI2,'Final GRPO'!Q2='Final GRPO'!BB2),"ok","NA")</f>
        <v>ok</v>
      </c>
      <c r="R2" s="4" t="str">
        <f>IF(AND('Final GRPO'!R2='Final GRPO'!AJ2,'Final GRPO'!R2='Final GRPO'!BC2),"ok","NA")</f>
        <v>ok</v>
      </c>
      <c r="S2" s="4" t="str">
        <f>IF(AND('Final GRPO'!S2='Final GRPO'!AK2,'Final GRPO'!S2='Final GRPO'!BD2),"ok","NA")</f>
        <v>ok</v>
      </c>
      <c r="T2" s="15" t="s">
        <v>94</v>
      </c>
      <c r="U2" s="15" t="s">
        <v>94</v>
      </c>
      <c r="V2" s="4" t="str">
        <f>IF('Final GRPO'!V2=LEFT('Final GRPO'!BE2,8),"ok","NA")</f>
        <v>ok</v>
      </c>
      <c r="W2" s="4" t="str">
        <f>IF('Final GRPO'!W2='Final GRPO'!AQ2,"ok","NA")</f>
        <v>ok</v>
      </c>
      <c r="X2" s="4" t="s">
        <v>137</v>
      </c>
      <c r="Y2" s="4" t="str">
        <f>IF(ISNUMBER(SEARCH('Final GRPO'!BK2,'Final GRPO'!Y2))&gt;0,"ok","NA")</f>
        <v>ok</v>
      </c>
      <c r="Z2" s="15" t="s">
        <v>94</v>
      </c>
      <c r="AA2" s="15" t="s">
        <v>94</v>
      </c>
      <c r="AB2" s="4" t="str">
        <f>IF(ROUNDDOWN('Final GRPO'!CF2,0)=ROUNDDOWN('Final GRPO'!AB2,0),"OK","NA")</f>
        <v>OK</v>
      </c>
      <c r="AC2" s="4" t="str">
        <f>IF(ROUNDDOWN('Final GRPO'!CJ2,0)=ROUNDDOWN('Final GRPO'!CJ2,0),"ok","NA")</f>
        <v>ok</v>
      </c>
      <c r="AD2" s="4" t="str">
        <f>IF(ROUNDDOWN('Final GRPO'!CK2,0)=ROUNDDOWN('Final GRPO'!CK2,0),"ok","NA")</f>
        <v>ok</v>
      </c>
      <c r="AF2" s="6"/>
      <c r="AG2" s="4" t="str">
        <f>AZ2</f>
        <v>ok</v>
      </c>
      <c r="AH2" s="4" t="str">
        <f t="shared" ref="AH2:AK2" si="0">BA2</f>
        <v>ok</v>
      </c>
      <c r="AI2" s="4" t="str">
        <f t="shared" si="0"/>
        <v>ok</v>
      </c>
      <c r="AJ2" s="4" t="str">
        <f t="shared" si="0"/>
        <v>ok</v>
      </c>
      <c r="AK2" s="4" t="str">
        <f t="shared" si="0"/>
        <v>ok</v>
      </c>
      <c r="AL2" s="4" t="str">
        <f>BE2</f>
        <v>ok</v>
      </c>
      <c r="AM2" s="4" t="str">
        <f>BF2</f>
        <v>ok</v>
      </c>
      <c r="AN2" s="4"/>
      <c r="AO2" s="4" t="str">
        <f>IF('Final GRPO'!BH2='Final GRPO'!AO2,"ok","NA")</f>
        <v>ok</v>
      </c>
      <c r="AP2" s="4" t="str">
        <f>IF('Final GRPO'!BH2='Final GRPO'!AO2,"ok","NA")</f>
        <v>ok</v>
      </c>
      <c r="AQ2" s="4" t="str">
        <f t="shared" ref="AQ2" si="1">BJ2</f>
        <v>ok</v>
      </c>
      <c r="AR2" s="4" t="str">
        <f>IF('Final GRPO'!BJ2='Config GRPO'!$K$4,"ok","NA")</f>
        <v>ok</v>
      </c>
      <c r="AS2" s="1" t="str">
        <f>IF('Final GRPO'!BK2='Final GRPO'!Y2,"ok","NA")</f>
        <v>ok</v>
      </c>
      <c r="AT2" s="4" t="str">
        <f>_xlfn.IFNA(VLOOKUP(U2,'Incoming Material Report'!A:Z,6,FALSE),"")</f>
        <v/>
      </c>
      <c r="AU2" s="4" t="str">
        <f>_xlfn.IFNA(VLOOKUP(U2,'Incoming Material Report'!A:Z,8,FALSE),"")</f>
        <v/>
      </c>
      <c r="AX2" s="7"/>
      <c r="AZ2" s="4" t="str">
        <f>IF('Final GRPO'!AG2='Final GRPO'!AZ2,"ok","NA")</f>
        <v>ok</v>
      </c>
      <c r="BA2" s="4" t="str">
        <f>IF('Final GRPO'!AH2='Final GRPO'!BA2,"ok","NA")</f>
        <v>ok</v>
      </c>
      <c r="BB2" s="4" t="str">
        <f>IF('Final GRPO'!AI2='Final GRPO'!BB2,"ok","NA")</f>
        <v>ok</v>
      </c>
      <c r="BC2" s="4" t="str">
        <f>IF('Final GRPO'!AJ2='Final GRPO'!BC2,"ok","NA")</f>
        <v>ok</v>
      </c>
      <c r="BD2" s="4" t="str">
        <f>IF('Final GRPO'!AK2='Final GRPO'!BD2,"ok","NA")</f>
        <v>ok</v>
      </c>
      <c r="BE2" s="4" t="str">
        <f>IF('Final GRPO'!V2='Final GRPO'!BE2,"ok","NA")</f>
        <v>ok</v>
      </c>
      <c r="BF2" s="4" t="str">
        <f>IF('Final GRPO'!H2='Final GRPO'!BF2,"ok","NA")</f>
        <v>ok</v>
      </c>
      <c r="BH2" s="4" t="str">
        <f>IF('Final GRPO'!BH2=ROUND('Final GRPO'!I2,1),"ok","NA")</f>
        <v>NA</v>
      </c>
      <c r="BI2" s="4" t="str">
        <f>IF('Final GRPO'!J2='Final GRPO'!BI2,"ok","NA")</f>
        <v>ok</v>
      </c>
      <c r="BJ2" s="4" t="str">
        <f>IF('Config GRPO'!$K$4='Final GRPO'!BJ2,"ok","NA")</f>
        <v>ok</v>
      </c>
      <c r="BK2" s="4" t="str">
        <f>IF('Final GRPO'!BK2='Final GRPO'!Y2,"ok","NA")</f>
        <v>ok</v>
      </c>
      <c r="BL2" s="4" t="str">
        <f>IF('Final GRPO'!BL2='Final GRPO'!E2,"ok","NA")</f>
        <v>ok</v>
      </c>
      <c r="BM2" s="4" t="s">
        <v>94</v>
      </c>
      <c r="BW2" s="7"/>
      <c r="BX2" s="15"/>
      <c r="BY2" s="4"/>
      <c r="BZ2" s="4"/>
      <c r="CA2" s="4"/>
      <c r="CB2" s="4"/>
      <c r="CC2" s="4"/>
      <c r="CF2" s="4"/>
      <c r="CG2" s="4"/>
      <c r="CH2" s="4"/>
      <c r="CI2" s="4"/>
      <c r="CK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T2" s="4"/>
      <c r="DU2" s="4"/>
      <c r="DV2" s="4"/>
      <c r="DW2" s="4"/>
      <c r="DX2" s="4"/>
      <c r="DY2" s="4"/>
      <c r="DZ2" s="4"/>
      <c r="EB2" s="4"/>
      <c r="EC2" s="4"/>
      <c r="ED2" s="4"/>
      <c r="EE2" s="4"/>
      <c r="EF2" s="4"/>
      <c r="EG2" s="4"/>
    </row>
    <row r="3" spans="2:149" s="1" customFormat="1" ht="24.75" customHeight="1" x14ac:dyDescent="0.25">
      <c r="B3" s="14"/>
      <c r="C3" s="14"/>
      <c r="D3" s="14"/>
      <c r="E3" s="5"/>
      <c r="F3" s="5"/>
      <c r="G3" s="1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15"/>
      <c r="U3" s="15"/>
      <c r="V3" s="4"/>
      <c r="W3" s="4"/>
      <c r="X3" s="4"/>
      <c r="Y3" s="4"/>
      <c r="Z3" s="15"/>
      <c r="AA3" s="15"/>
      <c r="AB3" s="4"/>
      <c r="AC3" s="4"/>
      <c r="AD3" s="4"/>
      <c r="AF3" s="6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T3" s="4"/>
      <c r="AU3" s="4"/>
      <c r="AX3" s="7"/>
      <c r="AZ3" s="4"/>
      <c r="BA3" s="4"/>
      <c r="BB3" s="4"/>
      <c r="BC3" s="4"/>
      <c r="BD3" s="4"/>
      <c r="BE3" s="4"/>
      <c r="BF3" s="4"/>
      <c r="BH3" s="4"/>
      <c r="BI3" s="4"/>
      <c r="BJ3" s="4"/>
      <c r="BK3" s="4"/>
      <c r="BL3" s="4"/>
      <c r="BM3" s="4"/>
      <c r="BW3" s="7"/>
      <c r="BX3" s="15"/>
      <c r="BY3" s="4"/>
      <c r="BZ3" s="4"/>
      <c r="CA3" s="4"/>
      <c r="CB3" s="4"/>
      <c r="CC3" s="4"/>
      <c r="CF3" s="4"/>
      <c r="CG3" s="4"/>
      <c r="CH3" s="4"/>
      <c r="CI3" s="4"/>
      <c r="CK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T3" s="4"/>
      <c r="DU3" s="4"/>
      <c r="DV3" s="4"/>
      <c r="DW3" s="4"/>
      <c r="DX3" s="4"/>
      <c r="DY3" s="4"/>
      <c r="DZ3" s="4"/>
      <c r="EB3" s="4"/>
      <c r="EC3" s="4"/>
      <c r="ED3" s="4"/>
      <c r="EE3" s="4"/>
      <c r="EF3" s="4"/>
      <c r="EG3" s="4"/>
    </row>
    <row r="4" spans="2:149" s="1" customFormat="1" ht="24.75" customHeight="1" x14ac:dyDescent="0.25">
      <c r="B4" s="14"/>
      <c r="C4" s="14"/>
      <c r="D4" s="14"/>
      <c r="E4" s="5"/>
      <c r="F4" s="5"/>
      <c r="G4" s="15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15"/>
      <c r="U4" s="15"/>
      <c r="V4" s="4"/>
      <c r="W4" s="4"/>
      <c r="X4" s="4"/>
      <c r="Y4" s="4"/>
      <c r="Z4" s="15"/>
      <c r="AA4" s="15"/>
      <c r="AB4" s="4"/>
      <c r="AC4" s="4"/>
      <c r="AD4" s="4"/>
      <c r="AF4" s="6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T4" s="4"/>
      <c r="AU4" s="4"/>
      <c r="AX4" s="7"/>
      <c r="AZ4" s="4"/>
      <c r="BA4" s="4"/>
      <c r="BB4" s="4"/>
      <c r="BC4" s="4"/>
      <c r="BD4" s="4"/>
      <c r="BE4" s="4"/>
      <c r="BF4" s="4"/>
      <c r="BH4" s="4"/>
      <c r="BI4" s="4"/>
      <c r="BJ4" s="4"/>
      <c r="BK4" s="4"/>
      <c r="BL4" s="4"/>
      <c r="BM4" s="4"/>
      <c r="BW4" s="7"/>
      <c r="BX4" s="15"/>
      <c r="BY4" s="4"/>
      <c r="BZ4" s="4"/>
      <c r="CA4" s="4"/>
      <c r="CB4" s="4"/>
      <c r="CC4" s="4"/>
      <c r="CF4" s="4"/>
      <c r="CG4" s="4"/>
      <c r="CH4" s="4"/>
      <c r="CI4" s="4"/>
      <c r="CK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T4" s="4"/>
      <c r="DU4" s="4"/>
      <c r="DV4" s="4"/>
      <c r="DW4" s="4"/>
      <c r="DX4" s="4"/>
      <c r="DY4" s="4"/>
      <c r="DZ4" s="4"/>
      <c r="EB4" s="4"/>
      <c r="EC4" s="4"/>
      <c r="ED4" s="4"/>
      <c r="EE4" s="4"/>
      <c r="EF4" s="4"/>
      <c r="EG4" s="4"/>
    </row>
    <row r="5" spans="2:149" s="1" customFormat="1" ht="24.75" customHeight="1" x14ac:dyDescent="0.25">
      <c r="B5" s="14"/>
      <c r="C5" s="14"/>
      <c r="D5" s="14"/>
      <c r="E5" s="5"/>
      <c r="F5" s="5"/>
      <c r="G5" s="15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15"/>
      <c r="U5" s="15"/>
      <c r="V5" s="4"/>
      <c r="W5" s="4"/>
      <c r="X5" s="4"/>
      <c r="Y5" s="4"/>
      <c r="Z5" s="15"/>
      <c r="AA5" s="15"/>
      <c r="AB5" s="4"/>
      <c r="AC5" s="4"/>
      <c r="AD5" s="4"/>
      <c r="AF5" s="6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T5" s="4"/>
      <c r="AU5" s="4"/>
      <c r="AX5" s="7"/>
      <c r="AZ5" s="4"/>
      <c r="BA5" s="4"/>
      <c r="BB5" s="4"/>
      <c r="BC5" s="4"/>
      <c r="BD5" s="4"/>
      <c r="BE5" s="4"/>
      <c r="BF5" s="4"/>
      <c r="BH5" s="4"/>
      <c r="BI5" s="4"/>
      <c r="BJ5" s="4"/>
      <c r="BK5" s="4"/>
      <c r="BL5" s="4"/>
      <c r="BM5" s="4"/>
      <c r="BW5" s="7"/>
      <c r="BX5" s="15"/>
      <c r="BY5" s="4"/>
      <c r="BZ5" s="4"/>
      <c r="CA5" s="4"/>
      <c r="CB5" s="4"/>
      <c r="CC5" s="4"/>
      <c r="CF5" s="4"/>
      <c r="CG5" s="4"/>
      <c r="CH5" s="4"/>
      <c r="CI5" s="4"/>
      <c r="CK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T5" s="4"/>
      <c r="DU5" s="4"/>
      <c r="DV5" s="4"/>
      <c r="DW5" s="4"/>
      <c r="DX5" s="4"/>
      <c r="DY5" s="4"/>
      <c r="DZ5" s="4"/>
      <c r="EB5" s="4"/>
      <c r="EC5" s="4"/>
      <c r="ED5" s="4"/>
      <c r="EE5" s="4"/>
      <c r="EF5" s="4"/>
      <c r="EG5" s="4"/>
    </row>
    <row r="6" spans="2:149" s="1" customFormat="1" ht="24.75" customHeight="1" x14ac:dyDescent="0.25">
      <c r="B6" s="14"/>
      <c r="C6" s="14"/>
      <c r="D6" s="14"/>
      <c r="E6" s="5"/>
      <c r="F6" s="5"/>
      <c r="G6" s="15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15"/>
      <c r="U6" s="15"/>
      <c r="V6" s="4"/>
      <c r="W6" s="4"/>
      <c r="X6" s="4"/>
      <c r="Y6" s="4"/>
      <c r="Z6" s="15"/>
      <c r="AA6" s="15"/>
      <c r="AB6" s="4"/>
      <c r="AC6" s="4"/>
      <c r="AD6" s="4"/>
      <c r="AF6" s="6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T6" s="4"/>
      <c r="AU6" s="4"/>
      <c r="AX6" s="7"/>
      <c r="AZ6" s="4"/>
      <c r="BA6" s="4"/>
      <c r="BB6" s="4"/>
      <c r="BC6" s="4"/>
      <c r="BD6" s="4"/>
      <c r="BE6" s="4"/>
      <c r="BF6" s="4"/>
      <c r="BH6" s="4"/>
      <c r="BI6" s="4"/>
      <c r="BJ6" s="4"/>
      <c r="BK6" s="4"/>
      <c r="BL6" s="4"/>
      <c r="BM6" s="4"/>
      <c r="BW6" s="7"/>
      <c r="BX6" s="15"/>
      <c r="BY6" s="4"/>
      <c r="BZ6" s="4"/>
      <c r="CA6" s="4"/>
      <c r="CB6" s="4"/>
      <c r="CC6" s="4"/>
      <c r="CF6" s="4"/>
      <c r="CG6" s="4"/>
      <c r="CH6" s="4"/>
      <c r="CI6" s="4"/>
      <c r="CK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T6" s="4"/>
      <c r="DU6" s="4"/>
      <c r="DV6" s="4"/>
      <c r="DW6" s="4"/>
      <c r="DX6" s="4"/>
      <c r="DY6" s="4"/>
      <c r="DZ6" s="4"/>
      <c r="EB6" s="4"/>
      <c r="EC6" s="4"/>
      <c r="ED6" s="4"/>
      <c r="EE6" s="4"/>
      <c r="EF6" s="4"/>
      <c r="EG6" s="4"/>
    </row>
    <row r="7" spans="2:149" s="1" customFormat="1" ht="24.75" customHeight="1" x14ac:dyDescent="0.25">
      <c r="B7" s="14"/>
      <c r="C7" s="14"/>
      <c r="D7" s="14"/>
      <c r="E7" s="5"/>
      <c r="F7" s="5"/>
      <c r="G7" s="15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15"/>
      <c r="U7" s="15"/>
      <c r="V7" s="4"/>
      <c r="W7" s="4"/>
      <c r="X7" s="4"/>
      <c r="Y7" s="4"/>
      <c r="Z7" s="15"/>
      <c r="AA7" s="15"/>
      <c r="AB7" s="4"/>
      <c r="AC7" s="4"/>
      <c r="AD7" s="4"/>
      <c r="AF7" s="6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T7" s="4"/>
      <c r="AU7" s="4"/>
      <c r="AX7" s="7"/>
      <c r="AZ7" s="4"/>
      <c r="BA7" s="4"/>
      <c r="BB7" s="4"/>
      <c r="BC7" s="4"/>
      <c r="BD7" s="4"/>
      <c r="BE7" s="4"/>
      <c r="BF7" s="4"/>
      <c r="BH7" s="4"/>
      <c r="BI7" s="4"/>
      <c r="BJ7" s="4"/>
      <c r="BK7" s="4"/>
      <c r="BL7" s="4"/>
      <c r="BM7" s="4"/>
      <c r="BW7" s="7"/>
      <c r="BX7" s="15"/>
      <c r="BY7" s="4"/>
      <c r="BZ7" s="4"/>
      <c r="CA7" s="4"/>
      <c r="CB7" s="4"/>
      <c r="CC7" s="4"/>
      <c r="CF7" s="4"/>
      <c r="CG7" s="4"/>
      <c r="CH7" s="4"/>
      <c r="CI7" s="4"/>
      <c r="CK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T7" s="4"/>
      <c r="DU7" s="4"/>
      <c r="DV7" s="4"/>
      <c r="DW7" s="4"/>
      <c r="DX7" s="4"/>
      <c r="DY7" s="4"/>
      <c r="DZ7" s="4"/>
      <c r="EB7" s="4"/>
      <c r="EC7" s="4"/>
      <c r="ED7" s="4"/>
      <c r="EE7" s="4"/>
      <c r="EF7" s="4"/>
      <c r="EG7" s="4"/>
    </row>
    <row r="8" spans="2:149" s="1" customFormat="1" ht="24.75" customHeight="1" x14ac:dyDescent="0.25">
      <c r="B8" s="14"/>
      <c r="C8" s="14"/>
      <c r="D8" s="14"/>
      <c r="E8" s="5"/>
      <c r="F8" s="5"/>
      <c r="G8" s="15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15"/>
      <c r="U8" s="15"/>
      <c r="V8" s="4"/>
      <c r="W8" s="4"/>
      <c r="X8" s="4"/>
      <c r="Y8" s="4"/>
      <c r="Z8" s="15"/>
      <c r="AA8" s="15"/>
      <c r="AB8" s="4"/>
      <c r="AC8" s="4"/>
      <c r="AD8" s="4"/>
      <c r="AF8" s="6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T8" s="4"/>
      <c r="AU8" s="4"/>
      <c r="AX8" s="7"/>
      <c r="AZ8" s="4"/>
      <c r="BA8" s="4"/>
      <c r="BB8" s="4"/>
      <c r="BC8" s="4"/>
      <c r="BD8" s="4"/>
      <c r="BE8" s="4"/>
      <c r="BF8" s="4"/>
      <c r="BH8" s="4"/>
      <c r="BI8" s="4"/>
      <c r="BJ8" s="4"/>
      <c r="BK8" s="4"/>
      <c r="BL8" s="4"/>
      <c r="BM8" s="4"/>
      <c r="BW8" s="7"/>
      <c r="BX8" s="15"/>
      <c r="BY8" s="4"/>
      <c r="BZ8" s="4"/>
      <c r="CA8" s="4"/>
      <c r="CB8" s="4"/>
      <c r="CC8" s="4"/>
      <c r="CF8" s="4"/>
      <c r="CG8" s="4"/>
      <c r="CH8" s="4"/>
      <c r="CI8" s="4"/>
      <c r="CK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T8" s="4"/>
      <c r="DU8" s="4"/>
      <c r="DV8" s="4"/>
      <c r="DW8" s="4"/>
      <c r="DX8" s="4"/>
      <c r="DY8" s="4"/>
      <c r="DZ8" s="4"/>
      <c r="EB8" s="4"/>
      <c r="EC8" s="4"/>
      <c r="ED8" s="4"/>
      <c r="EE8" s="4"/>
      <c r="EF8" s="4"/>
      <c r="EG8" s="4"/>
    </row>
    <row r="9" spans="2:149" s="1" customFormat="1" ht="24.75" customHeight="1" x14ac:dyDescent="0.25">
      <c r="B9" s="14"/>
      <c r="C9" s="14"/>
      <c r="D9" s="14"/>
      <c r="E9" s="5"/>
      <c r="F9" s="5"/>
      <c r="G9" s="15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15"/>
      <c r="U9" s="15"/>
      <c r="V9" s="4"/>
      <c r="W9" s="4"/>
      <c r="X9" s="4"/>
      <c r="Y9" s="4"/>
      <c r="Z9" s="15"/>
      <c r="AA9" s="15"/>
      <c r="AB9" s="4"/>
      <c r="AC9" s="4"/>
      <c r="AD9" s="4"/>
      <c r="AF9" s="6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T9" s="4"/>
      <c r="AU9" s="4"/>
      <c r="AX9" s="7"/>
      <c r="AZ9" s="4"/>
      <c r="BA9" s="4"/>
      <c r="BB9" s="4"/>
      <c r="BC9" s="4"/>
      <c r="BD9" s="4"/>
      <c r="BE9" s="4"/>
      <c r="BF9" s="4"/>
      <c r="BH9" s="4"/>
      <c r="BI9" s="4"/>
      <c r="BJ9" s="4"/>
      <c r="BK9" s="4"/>
      <c r="BL9" s="4"/>
      <c r="BM9" s="4"/>
      <c r="BW9" s="7"/>
      <c r="BX9" s="15"/>
      <c r="BY9" s="4"/>
      <c r="BZ9" s="4"/>
      <c r="CA9" s="4"/>
      <c r="CB9" s="4"/>
      <c r="CC9" s="4"/>
      <c r="CF9" s="4"/>
      <c r="CG9" s="4"/>
      <c r="CH9" s="4"/>
      <c r="CI9" s="4"/>
      <c r="CK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T9" s="4"/>
      <c r="DU9" s="4"/>
      <c r="DV9" s="4"/>
      <c r="DW9" s="4"/>
      <c r="DX9" s="4"/>
      <c r="DY9" s="4"/>
      <c r="DZ9" s="4"/>
      <c r="EB9" s="4"/>
      <c r="EC9" s="4"/>
      <c r="ED9" s="4"/>
      <c r="EE9" s="4"/>
      <c r="EF9" s="4"/>
      <c r="EG9" s="4"/>
    </row>
    <row r="10" spans="2:149" s="1" customFormat="1" ht="24.75" customHeight="1" x14ac:dyDescent="0.25">
      <c r="B10" s="14"/>
      <c r="C10" s="14"/>
      <c r="D10" s="14"/>
      <c r="E10" s="5"/>
      <c r="F10" s="5"/>
      <c r="G10" s="15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15"/>
      <c r="U10" s="15"/>
      <c r="V10" s="4"/>
      <c r="W10" s="4"/>
      <c r="X10" s="4"/>
      <c r="Y10" s="4"/>
      <c r="Z10" s="15"/>
      <c r="AA10" s="15"/>
      <c r="AB10" s="4"/>
      <c r="AC10" s="4"/>
      <c r="AD10" s="4"/>
      <c r="AF10" s="6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T10" s="4"/>
      <c r="AU10" s="4"/>
      <c r="AX10" s="7"/>
      <c r="AZ10" s="4"/>
      <c r="BA10" s="4"/>
      <c r="BB10" s="4"/>
      <c r="BC10" s="4"/>
      <c r="BD10" s="4"/>
      <c r="BE10" s="4"/>
      <c r="BF10" s="4"/>
      <c r="BH10" s="4"/>
      <c r="BI10" s="4"/>
      <c r="BJ10" s="4"/>
      <c r="BK10" s="4"/>
      <c r="BL10" s="4"/>
      <c r="BM10" s="4"/>
      <c r="BW10" s="7"/>
      <c r="BX10" s="15"/>
      <c r="BY10" s="4"/>
      <c r="BZ10" s="4"/>
      <c r="CA10" s="4"/>
      <c r="CB10" s="4"/>
      <c r="CC10" s="4"/>
      <c r="CF10" s="4"/>
      <c r="CG10" s="4"/>
      <c r="CH10" s="4"/>
      <c r="CI10" s="4"/>
      <c r="CK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T10" s="4"/>
      <c r="DU10" s="4"/>
      <c r="DV10" s="4"/>
      <c r="DW10" s="4"/>
      <c r="DX10" s="4"/>
      <c r="DY10" s="4"/>
      <c r="DZ10" s="4"/>
      <c r="EB10" s="4"/>
      <c r="EC10" s="4"/>
      <c r="ED10" s="4"/>
      <c r="EE10" s="4"/>
      <c r="EF10" s="4"/>
      <c r="EG10" s="4"/>
    </row>
    <row r="11" spans="2:149" x14ac:dyDescent="0.25">
      <c r="AX1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M113"/>
  <sheetViews>
    <sheetView showGridLines="0" zoomScaleNormal="100" workbookViewId="0">
      <selection activeCell="Z2" sqref="Z2"/>
    </sheetView>
  </sheetViews>
  <sheetFormatPr defaultColWidth="9.140625" defaultRowHeight="15" outlineLevelCol="1" x14ac:dyDescent="0.25"/>
  <cols>
    <col min="1" max="1" width="14.140625" bestFit="1" customWidth="1"/>
    <col min="2" max="2" width="5.28515625" customWidth="1"/>
    <col min="3" max="4" width="0.140625" customWidth="1"/>
    <col min="5" max="5" width="9.42578125" bestFit="1" customWidth="1"/>
    <col min="6" max="6" width="4.28515625" bestFit="1" customWidth="1"/>
    <col min="7" max="7" width="13.85546875" bestFit="1" customWidth="1"/>
    <col min="8" max="8" width="5.85546875" bestFit="1" customWidth="1"/>
    <col min="9" max="9" width="7" bestFit="1" customWidth="1"/>
    <col min="10" max="10" width="15.42578125" style="43" customWidth="1"/>
    <col min="11" max="12" width="9.42578125" hidden="1" customWidth="1"/>
    <col min="13" max="13" width="10.42578125" hidden="1" customWidth="1"/>
    <col min="14" max="14" width="9.85546875" hidden="1" customWidth="1"/>
    <col min="15" max="15" width="13.42578125" bestFit="1" customWidth="1"/>
    <col min="16" max="16" width="7.42578125" bestFit="1" customWidth="1"/>
    <col min="17" max="17" width="4.28515625" bestFit="1" customWidth="1"/>
    <col min="18" max="18" width="5.28515625" bestFit="1" customWidth="1"/>
    <col min="19" max="19" width="4.85546875" bestFit="1" customWidth="1"/>
    <col min="20" max="20" width="12.85546875" hidden="1" customWidth="1"/>
    <col min="21" max="21" width="12" bestFit="1" customWidth="1"/>
    <col min="22" max="22" width="11.5703125" bestFit="1" customWidth="1"/>
    <col min="23" max="23" width="12.85546875" bestFit="1" customWidth="1"/>
    <col min="24" max="24" width="4.5703125" bestFit="1" customWidth="1"/>
    <col min="25" max="25" width="10.42578125" bestFit="1" customWidth="1"/>
    <col min="26" max="26" width="9.42578125" bestFit="1" customWidth="1" outlineLevel="1"/>
    <col min="27" max="27" width="12" bestFit="1" customWidth="1" outlineLevel="1"/>
    <col min="28" max="28" width="21" bestFit="1" customWidth="1"/>
    <col min="29" max="29" width="12.5703125" bestFit="1" customWidth="1"/>
    <col min="30" max="30" width="19.5703125" bestFit="1" customWidth="1"/>
    <col min="31" max="31" width="9.140625" customWidth="1"/>
    <col min="32" max="32" width="12.5703125" bestFit="1" customWidth="1"/>
    <col min="33" max="33" width="12.140625" bestFit="1" customWidth="1"/>
    <col min="34" max="34" width="12.42578125" bestFit="1" customWidth="1"/>
    <col min="35" max="35" width="8.7109375" bestFit="1" customWidth="1"/>
    <col min="36" max="36" width="9.5703125" bestFit="1" customWidth="1"/>
    <col min="37" max="37" width="8.5703125" bestFit="1" customWidth="1"/>
    <col min="38" max="38" width="18.7109375" bestFit="1" customWidth="1"/>
    <col min="39" max="39" width="14.7109375" style="43" bestFit="1" customWidth="1"/>
    <col min="40" max="40" width="17.28515625" style="43" hidden="1" customWidth="1"/>
    <col min="41" max="41" width="17.28515625" style="43" bestFit="1" customWidth="1"/>
    <col min="42" max="42" width="19.140625" style="43" hidden="1" customWidth="1"/>
    <col min="43" max="43" width="19.7109375" style="43" bestFit="1" customWidth="1"/>
    <col min="44" max="44" width="13.7109375" style="43" bestFit="1" customWidth="1"/>
    <col min="45" max="45" width="6.7109375" style="43" hidden="1" customWidth="1"/>
    <col min="46" max="46" width="7.28515625" style="43" bestFit="1" customWidth="1"/>
    <col min="47" max="47" width="15" style="43" bestFit="1" customWidth="1"/>
    <col min="48" max="49" width="9.140625" customWidth="1"/>
    <col min="50" max="50" width="2.42578125" bestFit="1" customWidth="1"/>
    <col min="51" max="51" width="11.42578125" bestFit="1" customWidth="1"/>
    <col min="52" max="52" width="12.140625" bestFit="1" customWidth="1"/>
    <col min="53" max="53" width="11.28515625" bestFit="1" customWidth="1"/>
    <col min="54" max="54" width="7.7109375" bestFit="1" customWidth="1"/>
    <col min="55" max="55" width="8.5703125" bestFit="1" customWidth="1"/>
    <col min="56" max="56" width="7.5703125" bestFit="1" customWidth="1"/>
    <col min="57" max="57" width="17.5703125" bestFit="1" customWidth="1"/>
    <col min="58" max="58" width="13.7109375" bestFit="1" customWidth="1"/>
    <col min="59" max="59" width="19.5703125" bestFit="1" customWidth="1"/>
    <col min="60" max="60" width="15.85546875" bestFit="1" customWidth="1"/>
    <col min="61" max="61" width="17.85546875" bestFit="1" customWidth="1"/>
    <col min="62" max="62" width="19.42578125" bestFit="1" customWidth="1"/>
    <col min="63" max="63" width="12.140625" bestFit="1" customWidth="1"/>
    <col min="64" max="64" width="10.42578125" bestFit="1" customWidth="1"/>
    <col min="65" max="65" width="10.85546875" bestFit="1" customWidth="1"/>
    <col min="66" max="67" width="9.140625" customWidth="1"/>
    <col min="68" max="73" width="9.140625" customWidth="1" outlineLevel="1"/>
    <col min="74" max="74" width="9.140625" customWidth="1"/>
    <col min="75" max="75" width="16.85546875" bestFit="1" customWidth="1"/>
    <col min="76" max="76" width="11" bestFit="1" customWidth="1"/>
    <col min="77" max="77" width="18.42578125" bestFit="1" customWidth="1"/>
    <col min="78" max="79" width="9.42578125" bestFit="1" customWidth="1"/>
    <col min="80" max="80" width="10.42578125" bestFit="1" customWidth="1"/>
    <col min="81" max="81" width="23.42578125" bestFit="1" customWidth="1"/>
    <col min="82" max="82" width="14.140625" bestFit="1" customWidth="1" outlineLevel="1"/>
    <col min="83" max="83" width="7" bestFit="1" customWidth="1" outlineLevel="1"/>
    <col min="84" max="84" width="22.85546875" bestFit="1" customWidth="1"/>
    <col min="85" max="86" width="11.7109375" bestFit="1" customWidth="1"/>
    <col min="87" max="87" width="10.42578125" bestFit="1" customWidth="1"/>
    <col min="88" max="88" width="22.28515625" bestFit="1" customWidth="1"/>
    <col min="89" max="89" width="21.140625" bestFit="1" customWidth="1"/>
    <col min="90" max="100" width="9.140625" customWidth="1"/>
    <col min="101" max="101" width="5.28515625" bestFit="1" customWidth="1" outlineLevel="1"/>
    <col min="102" max="102" width="5" bestFit="1" customWidth="1" outlineLevel="1"/>
    <col min="103" max="103" width="13.42578125" bestFit="1" customWidth="1" outlineLevel="1"/>
    <col min="104" max="104" width="5.28515625" bestFit="1" customWidth="1" outlineLevel="1"/>
    <col min="105" max="105" width="10.42578125" bestFit="1" customWidth="1" outlineLevel="1"/>
    <col min="106" max="106" width="6.85546875" bestFit="1" customWidth="1" outlineLevel="1"/>
    <col min="107" max="107" width="7.42578125" bestFit="1" customWidth="1" outlineLevel="1"/>
    <col min="108" max="108" width="7.5703125" bestFit="1" customWidth="1" outlineLevel="1"/>
    <col min="109" max="109" width="21" bestFit="1" customWidth="1" outlineLevel="1"/>
    <col min="110" max="110" width="11" bestFit="1" customWidth="1" outlineLevel="1"/>
    <col min="111" max="111" width="10.5703125" bestFit="1" customWidth="1" outlineLevel="1"/>
    <col min="112" max="112" width="10.28515625" bestFit="1" customWidth="1" outlineLevel="1"/>
    <col min="113" max="113" width="19.5703125" bestFit="1" customWidth="1" outlineLevel="1"/>
    <col min="114" max="114" width="12.85546875" bestFit="1" customWidth="1" outlineLevel="1"/>
    <col min="115" max="115" width="11" bestFit="1" customWidth="1" outlineLevel="1"/>
    <col min="116" max="116" width="6.7109375" bestFit="1" customWidth="1" outlineLevel="1"/>
    <col min="117" max="117" width="10.28515625" bestFit="1" customWidth="1" outlineLevel="1"/>
    <col min="118" max="123" width="9.140625" customWidth="1" outlineLevel="1"/>
    <col min="124" max="124" width="10.85546875" bestFit="1" customWidth="1" outlineLevel="1"/>
    <col min="125" max="125" width="11.28515625" bestFit="1" customWidth="1" outlineLevel="1"/>
    <col min="126" max="126" width="7.7109375" bestFit="1" customWidth="1" outlineLevel="1"/>
    <col min="127" max="127" width="8.5703125" bestFit="1" customWidth="1" outlineLevel="1"/>
    <col min="128" max="128" width="7.5703125" bestFit="1" customWidth="1" outlineLevel="1"/>
    <col min="129" max="129" width="17.5703125" bestFit="1" customWidth="1" outlineLevel="1"/>
    <col min="130" max="130" width="13.7109375" bestFit="1" customWidth="1" outlineLevel="1"/>
    <col min="131" max="132" width="16.28515625" bestFit="1" customWidth="1" outlineLevel="1"/>
    <col min="133" max="133" width="18" bestFit="1" customWidth="1" outlineLevel="1"/>
    <col min="134" max="134" width="19.42578125" bestFit="1" customWidth="1" outlineLevel="1"/>
    <col min="135" max="135" width="12.140625" bestFit="1" customWidth="1" outlineLevel="1"/>
    <col min="136" max="136" width="10.42578125" bestFit="1" customWidth="1" outlineLevel="1"/>
    <col min="137" max="137" width="10.85546875" bestFit="1" customWidth="1" outlineLevel="1"/>
    <col min="138" max="138" width="9.140625" customWidth="1" outlineLevel="1"/>
    <col min="139" max="143" width="9.140625" outlineLevel="1"/>
    <col min="149" max="181" width="6.28515625" bestFit="1" customWidth="1"/>
  </cols>
  <sheetData>
    <row r="1" spans="1:79" s="50" customFormat="1" ht="27" customHeight="1" x14ac:dyDescent="0.25">
      <c r="A1" s="55" t="s">
        <v>93</v>
      </c>
      <c r="B1" s="49" t="s">
        <v>0</v>
      </c>
      <c r="C1" s="49"/>
      <c r="D1" s="49"/>
      <c r="E1" s="49" t="s">
        <v>17</v>
      </c>
      <c r="F1" s="49" t="s">
        <v>20</v>
      </c>
      <c r="G1" s="49" t="s">
        <v>136</v>
      </c>
      <c r="H1" s="49" t="s">
        <v>22</v>
      </c>
      <c r="I1" s="49" t="s">
        <v>23</v>
      </c>
      <c r="J1" s="49" t="s">
        <v>138</v>
      </c>
      <c r="K1" s="49"/>
      <c r="L1" s="49"/>
      <c r="M1" s="49"/>
      <c r="N1" s="49"/>
      <c r="O1" s="49" t="s">
        <v>6</v>
      </c>
      <c r="P1" s="49" t="s">
        <v>29</v>
      </c>
      <c r="Q1" s="49" t="s">
        <v>30</v>
      </c>
      <c r="R1" s="49" t="s">
        <v>31</v>
      </c>
      <c r="S1" s="49" t="s">
        <v>32</v>
      </c>
      <c r="T1" s="49"/>
      <c r="U1" s="49" t="s">
        <v>34</v>
      </c>
      <c r="V1" s="49" t="s">
        <v>2</v>
      </c>
      <c r="W1" s="49" t="s">
        <v>35</v>
      </c>
      <c r="X1" s="49" t="s">
        <v>5</v>
      </c>
      <c r="Y1" s="49" t="s">
        <v>16</v>
      </c>
      <c r="Z1" s="50" t="s">
        <v>191</v>
      </c>
      <c r="AF1" s="55" t="s">
        <v>37</v>
      </c>
      <c r="AG1" s="50" t="s">
        <v>38</v>
      </c>
      <c r="AH1" s="50" t="s">
        <v>39</v>
      </c>
      <c r="AI1" s="50" t="s">
        <v>40</v>
      </c>
      <c r="AJ1" s="50" t="s">
        <v>41</v>
      </c>
      <c r="AK1" s="50" t="s">
        <v>42</v>
      </c>
      <c r="AL1" s="50" t="s">
        <v>43</v>
      </c>
      <c r="AM1" s="50" t="s">
        <v>44</v>
      </c>
      <c r="AN1" s="50" t="s">
        <v>45</v>
      </c>
      <c r="AO1" s="50" t="s">
        <v>46</v>
      </c>
      <c r="AP1" s="50" t="s">
        <v>47</v>
      </c>
      <c r="AQ1" s="50" t="s">
        <v>48</v>
      </c>
      <c r="AR1" s="50" t="s">
        <v>15</v>
      </c>
      <c r="AS1" s="50" t="s">
        <v>16</v>
      </c>
      <c r="AT1" s="50" t="s">
        <v>5</v>
      </c>
      <c r="AU1" s="50" t="s">
        <v>49</v>
      </c>
      <c r="AY1" s="55" t="s">
        <v>95</v>
      </c>
      <c r="AZ1" s="50" t="s">
        <v>50</v>
      </c>
      <c r="BA1" s="50" t="s">
        <v>51</v>
      </c>
      <c r="BB1" s="50" t="s">
        <v>52</v>
      </c>
      <c r="BC1" s="50" t="s">
        <v>53</v>
      </c>
      <c r="BD1" s="50" t="s">
        <v>54</v>
      </c>
      <c r="BE1" s="50" t="s">
        <v>55</v>
      </c>
      <c r="BF1" s="50" t="s">
        <v>56</v>
      </c>
      <c r="BG1" s="50" t="s">
        <v>133</v>
      </c>
      <c r="BH1" s="50" t="s">
        <v>58</v>
      </c>
      <c r="BI1" s="50" t="s">
        <v>59</v>
      </c>
      <c r="BJ1" s="50" t="s">
        <v>60</v>
      </c>
      <c r="BK1" s="50" t="s">
        <v>61</v>
      </c>
      <c r="BL1" s="50" t="s">
        <v>62</v>
      </c>
      <c r="BM1" s="50" t="s">
        <v>63</v>
      </c>
    </row>
    <row r="2" spans="1:79" ht="24.75" customHeight="1" x14ac:dyDescent="0.25">
      <c r="B2" t="str">
        <f>IF(O2&lt;&gt;"",1,"")</f>
        <v/>
      </c>
      <c r="J2" s="43" t="str">
        <f>IF(O2&lt;&gt;"",ROUND(ROUND(I2,1)*H2,2),"")</f>
        <v/>
      </c>
      <c r="W2" s="51"/>
      <c r="X2" t="str">
        <f>IF(O2&lt;&gt;"","NSC","")</f>
        <v/>
      </c>
      <c r="AG2" t="str">
        <f>_xlfn.IFNA(VLOOKUP(U2,'Incoming Material Report'!A:M,13,FALSE),"")</f>
        <v/>
      </c>
      <c r="AH2" t="str">
        <f>_xlfn.IFNA(IF(VLOOKUP(U2,'Incoming Material Report'!A:N,14,FALSE)="","",VLOOKUP(U2,'Incoming Material Report'!A:N,14,FALSE)),"")</f>
        <v/>
      </c>
      <c r="AI2" t="str">
        <f>_xlfn.IFNA(VLOOKUP(U2,'Incoming Material Report'!A:Z,24,FALSE),"")</f>
        <v/>
      </c>
      <c r="AJ2" t="str">
        <f>_xlfn.IFNA(VLOOKUP(U2,'Incoming Material Report'!A:Z,25,FALSE),"")</f>
        <v/>
      </c>
      <c r="AK2" t="str">
        <f>_xlfn.IFNA(VLOOKUP(U2,'Incoming Material Report'!A:Z,26,FALSE),"")</f>
        <v/>
      </c>
      <c r="AL2" t="str">
        <f>_xlfn.IFNA(VLOOKUP(U2,'Incoming Material Report'!A:Z,2,FALSE),"")</f>
        <v/>
      </c>
      <c r="AM2" s="43" t="str">
        <f>_xlfn.IFNA(VLOOKUP(U2,'Incoming Material Report'!A:K,11,FALSE)/1000,"")</f>
        <v/>
      </c>
      <c r="AO2" s="43" t="str">
        <f>_xlfn.IFNA(VLOOKUP(U2,'Incoming Material Report'!A:R,18,FALSE)*1000,"")</f>
        <v/>
      </c>
      <c r="AQ2" s="43" t="str">
        <f>_xlfn.IFNA(TEXT(VLOOKUP(U2,'Incoming Material Report'!A:D,4,FALSE),"dd.mm.yy"),"")</f>
        <v/>
      </c>
      <c r="AR2" s="43" t="str">
        <f>_xlfn.IFNA(VLOOKUP(U2,'Incoming Material Report'!A:Z,5,FALSE),"")</f>
        <v/>
      </c>
      <c r="AT2" s="43" t="str">
        <f>_xlfn.IFNA(VLOOKUP(U2,'Incoming Material Report'!A:Z,6,FALSE),"")</f>
        <v/>
      </c>
      <c r="AU2" s="43" t="str">
        <f>_xlfn.IFNA(VLOOKUP(U2,'Incoming Material Report'!A:Z,8,FALSE),"")</f>
        <v/>
      </c>
      <c r="AZ2" t="str">
        <f>_xlfn.IFNA(VLOOKUP(U2,'GRPO Wiz Individual'!AP:BT,17,FALSE),"")</f>
        <v/>
      </c>
      <c r="BA2" t="str">
        <f>_xlfn.IFNA(VLOOKUP(U2,'GRPO Wiz Individual'!AP:BT,18,FALSE),"")</f>
        <v/>
      </c>
      <c r="BB2" t="str">
        <f>_xlfn.IFNA(VLOOKUP(U2,'GRPO Wiz Individual'!AP:BT,19,FALSE),"")</f>
        <v/>
      </c>
      <c r="BC2" t="str">
        <f>_xlfn.IFNA(VLOOKUP(U2,'GRPO Wiz Individual'!AP:BT,20,FALSE),"")</f>
        <v/>
      </c>
      <c r="BD2" t="str">
        <f>_xlfn.IFNA(VLOOKUP(U2,'GRPO Wiz Individual'!AP:BT,21,FALSE),"")</f>
        <v/>
      </c>
      <c r="BE2" t="str">
        <f>_xlfn.IFNA((LEFT(VLOOKUP(U2,'GRPO Wiz Individual'!AP:BT,22,FALSE),8)),"")</f>
        <v/>
      </c>
      <c r="BF2" t="str">
        <f>_xlfn.IFNA(VLOOKUP(U2,'GRPO Wiz Individual'!AP:BT,26,FALSE),"")</f>
        <v/>
      </c>
      <c r="BG2" t="str">
        <f>_xlfn.IFNA(VLOOKUP(U2,'GRPO Wiz Individual'!AP:BQ,28,FALSE),"")</f>
        <v/>
      </c>
      <c r="BH2" t="str">
        <f>_xlfn.IFNA(VLOOKUP(U2,'GRPO Wiz Individual'!AP:BN,25,FALSE),"")</f>
        <v/>
      </c>
      <c r="BI2" t="str">
        <f>_xlfn.IFNA(VLOOKUP(U2,'GRPO Wiz Individual'!AP:BT,31,FALSE),"")</f>
        <v/>
      </c>
      <c r="BJ2" t="str">
        <f>_xlfn.IFNA(VLOOKUP(U2,'GRPO Wiz Individual'!AP:BZ,32,FALSE),"")</f>
        <v/>
      </c>
      <c r="BK2" t="str">
        <f>_xlfn.IFNA(VLOOKUP(U2,'GRPO Wiz Individual'!AP:BZ,27,FALSE),"")</f>
        <v/>
      </c>
      <c r="BL2" t="str">
        <f>_xlfn.IFNA(VALUE(VLOOKUP(U2,'GRPO Wiz Individual'!AP:BZ,29,FALSE)),"")</f>
        <v/>
      </c>
      <c r="BM2" t="str">
        <f>_xlfn.IFNA(VLOOKUP(U2,'GRPO Wiz Individual'!AP:BZ,33,FALSE),"")</f>
        <v/>
      </c>
      <c r="BZ2" s="42"/>
      <c r="CA2" s="42"/>
    </row>
    <row r="3" spans="1:79" ht="24.75" customHeight="1" x14ac:dyDescent="0.25">
      <c r="B3" t="str">
        <f>IF(O3&lt;&gt;"",B2+1,"")</f>
        <v/>
      </c>
      <c r="J3" s="43" t="str">
        <f>IF(O3&lt;&gt;"",ROUND(ROUND(I3,1)*H3,2),"")</f>
        <v/>
      </c>
      <c r="W3" s="51"/>
      <c r="X3" t="str">
        <f t="shared" ref="X3:X66" si="0">IF(O3&lt;&gt;"","NSC","")</f>
        <v/>
      </c>
      <c r="AG3" t="str">
        <f>_xlfn.IFNA(VLOOKUP(U3,'Incoming Material Report'!A:M,13,FALSE),"")</f>
        <v/>
      </c>
      <c r="AH3" t="str">
        <f>_xlfn.IFNA(IF(VLOOKUP(U3,'Incoming Material Report'!A:N,14,FALSE)="","",VLOOKUP(U3,'Incoming Material Report'!A:N,14,FALSE)),"")</f>
        <v/>
      </c>
      <c r="AI3" t="str">
        <f>_xlfn.IFNA(VLOOKUP(U3,'Incoming Material Report'!A:Z,24,FALSE),"")</f>
        <v/>
      </c>
      <c r="AJ3" t="str">
        <f>_xlfn.IFNA(VLOOKUP(U3,'Incoming Material Report'!A:Z,25,FALSE),"")</f>
        <v/>
      </c>
      <c r="AK3" t="str">
        <f>_xlfn.IFNA(VLOOKUP(U3,'Incoming Material Report'!A:Z,26,FALSE),"")</f>
        <v/>
      </c>
      <c r="AL3" t="str">
        <f>_xlfn.IFNA(VLOOKUP(U3,'Incoming Material Report'!A:Z,2,FALSE),"")</f>
        <v/>
      </c>
      <c r="AM3" s="54" t="str">
        <f>_xlfn.IFNA(VLOOKUP(U3,'Incoming Material Report'!A:K,11,FALSE)/1000,"")</f>
        <v/>
      </c>
      <c r="AN3" s="54"/>
      <c r="AO3" s="54" t="str">
        <f>_xlfn.IFNA(VLOOKUP(U3,'Incoming Material Report'!A:R,18,FALSE)*1000,"")</f>
        <v/>
      </c>
      <c r="AP3" s="54"/>
      <c r="AQ3" s="54" t="str">
        <f>_xlfn.IFNA(TEXT(VLOOKUP(U3,'Incoming Material Report'!A:D,4,FALSE),"dd.mm.yy"),"")</f>
        <v/>
      </c>
      <c r="AR3" s="54" t="str">
        <f>_xlfn.IFNA(VLOOKUP(U3,'Incoming Material Report'!A:Z,5,FALSE),"")</f>
        <v/>
      </c>
      <c r="AS3" s="54"/>
      <c r="AT3" s="54" t="str">
        <f>_xlfn.IFNA(VLOOKUP(U3,'Incoming Material Report'!A:Z,6,FALSE),"")</f>
        <v/>
      </c>
      <c r="AU3" s="54" t="str">
        <f>_xlfn.IFNA(VLOOKUP(U3,'Incoming Material Report'!A:Z,8,FALSE),"")</f>
        <v/>
      </c>
      <c r="AZ3" t="str">
        <f>_xlfn.IFNA(VLOOKUP(U3,'GRPO Wiz Individual'!AP:BT,17,FALSE),"")</f>
        <v/>
      </c>
      <c r="BA3" t="str">
        <f>_xlfn.IFNA(VLOOKUP(U3,'GRPO Wiz Individual'!AP:BT,18,FALSE),"")</f>
        <v/>
      </c>
      <c r="BB3" t="str">
        <f>_xlfn.IFNA(VLOOKUP(U3,'GRPO Wiz Individual'!AP:BT,19,FALSE),"")</f>
        <v/>
      </c>
      <c r="BC3" t="str">
        <f>_xlfn.IFNA(VLOOKUP(U3,'GRPO Wiz Individual'!AP:BT,20,FALSE),"")</f>
        <v/>
      </c>
      <c r="BD3" t="str">
        <f>_xlfn.IFNA(VLOOKUP(U3,'GRPO Wiz Individual'!AP:BT,21,FALSE),"")</f>
        <v/>
      </c>
      <c r="BE3" t="str">
        <f>_xlfn.IFNA((VLOOKUP(U3,'GRPO Wiz Individual'!AP:BT,22,FALSE)),"")</f>
        <v/>
      </c>
      <c r="BF3" t="str">
        <f>_xlfn.IFNA(VLOOKUP(U3,'GRPO Wiz Individual'!AP:BT,26,FALSE),"")</f>
        <v/>
      </c>
      <c r="BG3" t="str">
        <f>_xlfn.IFNA(VLOOKUP(U3,'GRPO Wiz Individual'!AP:BQ,28,FALSE),"")</f>
        <v/>
      </c>
      <c r="BH3" t="str">
        <f>_xlfn.IFNA(VLOOKUP(U3,'GRPO Wiz Individual'!AP:BN,25,FALSE),"")</f>
        <v/>
      </c>
      <c r="BI3" t="str">
        <f>_xlfn.IFNA(VLOOKUP(U3,'GRPO Wiz Individual'!AP:BT,31,FALSE),"")</f>
        <v/>
      </c>
      <c r="BJ3" t="str">
        <f>_xlfn.IFNA(VLOOKUP(U3,'GRPO Wiz Individual'!AP:BZ,32,FALSE),"")</f>
        <v/>
      </c>
      <c r="BK3" t="str">
        <f>_xlfn.IFNA(VLOOKUP(U3,'GRPO Wiz Individual'!AP:BZ,27,FALSE),"")</f>
        <v/>
      </c>
      <c r="BL3" t="str">
        <f>_xlfn.IFNA(VALUE(VLOOKUP(U3,'GRPO Wiz Individual'!AP:BZ,29,FALSE)),"")</f>
        <v/>
      </c>
      <c r="BM3" t="str">
        <f>_xlfn.IFNA(VLOOKUP(U3,'GRPO Wiz Individual'!AP:BZ,33,FALSE),"")</f>
        <v/>
      </c>
      <c r="BZ3" s="42"/>
      <c r="CA3" s="42"/>
    </row>
    <row r="4" spans="1:79" ht="24.75" customHeight="1" x14ac:dyDescent="0.25">
      <c r="B4" t="str">
        <f t="shared" ref="B4:B67" si="1">IF(O4&lt;&gt;"",B3+1,"")</f>
        <v/>
      </c>
      <c r="J4" s="43" t="str">
        <f>IF(O4&lt;&gt;"",ROUND(ROUND(I4,1)*H4,2),"")</f>
        <v/>
      </c>
      <c r="X4" t="str">
        <f t="shared" si="0"/>
        <v/>
      </c>
      <c r="AG4" t="str">
        <f>_xlfn.IFNA(VLOOKUP(U4,'Incoming Material Report'!A:M,13,FALSE),"")</f>
        <v/>
      </c>
      <c r="AH4" t="str">
        <f>_xlfn.IFNA(IF(VLOOKUP(U4,'Incoming Material Report'!A:N,14,FALSE)="","",VLOOKUP(U4,'Incoming Material Report'!A:N,14,FALSE)),"")</f>
        <v/>
      </c>
      <c r="AI4" t="str">
        <f>_xlfn.IFNA(VLOOKUP(U4,'Incoming Material Report'!A:Z,24,FALSE),"")</f>
        <v/>
      </c>
      <c r="AJ4" t="str">
        <f>_xlfn.IFNA(VLOOKUP(U4,'Incoming Material Report'!A:Z,25,FALSE),"")</f>
        <v/>
      </c>
      <c r="AK4" t="str">
        <f>_xlfn.IFNA(VLOOKUP(U4,'Incoming Material Report'!A:Z,26,FALSE),"")</f>
        <v/>
      </c>
      <c r="AL4" t="str">
        <f>_xlfn.IFNA(VLOOKUP(U4,'Incoming Material Report'!A:Z,2,FALSE),"")</f>
        <v/>
      </c>
      <c r="AM4" s="54" t="str">
        <f>_xlfn.IFNA(VLOOKUP(U4,'Incoming Material Report'!A:K,11,FALSE)/1000,"")</f>
        <v/>
      </c>
      <c r="AN4" s="54"/>
      <c r="AO4" s="54" t="str">
        <f>_xlfn.IFNA(VLOOKUP(U4,'Incoming Material Report'!A:R,18,FALSE)*1000,"")</f>
        <v/>
      </c>
      <c r="AP4" s="54"/>
      <c r="AQ4" s="54" t="str">
        <f>_xlfn.IFNA(TEXT(VLOOKUP(U4,'Incoming Material Report'!A:D,4,FALSE),"dd.mm.yy"),"")</f>
        <v/>
      </c>
      <c r="AR4" s="54" t="str">
        <f>_xlfn.IFNA(VLOOKUP(U4,'Incoming Material Report'!A:Z,5,FALSE),"")</f>
        <v/>
      </c>
      <c r="AS4" s="54"/>
      <c r="AT4" s="54" t="str">
        <f>_xlfn.IFNA(VLOOKUP(U4,'Incoming Material Report'!A:Z,6,FALSE),"")</f>
        <v/>
      </c>
      <c r="AU4" s="54" t="str">
        <f>_xlfn.IFNA(VLOOKUP(U4,'Incoming Material Report'!A:Z,8,FALSE),"")</f>
        <v/>
      </c>
      <c r="AZ4" t="str">
        <f>_xlfn.IFNA(VLOOKUP(U4,'GRPO Wiz Individual'!AP:BT,17,FALSE),"")</f>
        <v/>
      </c>
      <c r="BA4" t="str">
        <f>_xlfn.IFNA(VLOOKUP(U4,'GRPO Wiz Individual'!AP:BT,18,FALSE),"")</f>
        <v/>
      </c>
      <c r="BB4" t="str">
        <f>_xlfn.IFNA(VLOOKUP(U4,'GRPO Wiz Individual'!AP:BT,19,FALSE),"")</f>
        <v/>
      </c>
      <c r="BC4" t="str">
        <f>_xlfn.IFNA(VLOOKUP(U4,'GRPO Wiz Individual'!AP:BT,20,FALSE),"")</f>
        <v/>
      </c>
      <c r="BD4" t="str">
        <f>_xlfn.IFNA(VLOOKUP(U4,'GRPO Wiz Individual'!AP:BT,21,FALSE),"")</f>
        <v/>
      </c>
      <c r="BE4" t="str">
        <f>_xlfn.IFNA((VLOOKUP(U4,'GRPO Wiz Individual'!AP:BT,22,FALSE)),"")</f>
        <v/>
      </c>
      <c r="BF4" t="str">
        <f>_xlfn.IFNA(VLOOKUP(U4,'GRPO Wiz Individual'!AP:BT,26,FALSE),"")</f>
        <v/>
      </c>
      <c r="BG4" t="str">
        <f>_xlfn.IFNA(VLOOKUP(U4,'GRPO Wiz Individual'!AP:BQ,28,FALSE),"")</f>
        <v/>
      </c>
      <c r="BH4" t="str">
        <f>_xlfn.IFNA(VLOOKUP(U4,'GRPO Wiz Individual'!AP:BN,25,FALSE),"")</f>
        <v/>
      </c>
      <c r="BI4" t="str">
        <f>_xlfn.IFNA(VLOOKUP(U4,'GRPO Wiz Individual'!AP:BT,31,FALSE),"")</f>
        <v/>
      </c>
      <c r="BJ4" t="str">
        <f>_xlfn.IFNA(VLOOKUP(U4,'GRPO Wiz Individual'!AP:BZ,32,FALSE),"")</f>
        <v/>
      </c>
      <c r="BK4" t="str">
        <f>_xlfn.IFNA(VLOOKUP(U4,'GRPO Wiz Individual'!AP:BZ,27,FALSE),"")</f>
        <v/>
      </c>
      <c r="BL4" t="str">
        <f>_xlfn.IFNA(VALUE(VLOOKUP(U4,'GRPO Wiz Individual'!AP:BZ,29,FALSE)),"")</f>
        <v/>
      </c>
      <c r="BM4" t="str">
        <f>_xlfn.IFNA(VLOOKUP(U4,'GRPO Wiz Individual'!AP:BZ,33,FALSE),"")</f>
        <v/>
      </c>
      <c r="BZ4" s="42"/>
      <c r="CA4" s="42"/>
    </row>
    <row r="5" spans="1:79" ht="24.75" customHeight="1" x14ac:dyDescent="0.25">
      <c r="B5" t="str">
        <f t="shared" si="1"/>
        <v/>
      </c>
      <c r="J5" s="43" t="str">
        <f t="shared" ref="J5:J68" si="2">IF(O5&lt;&gt;"",ROUND(ROUND(I5,1)*H5,2),"")</f>
        <v/>
      </c>
      <c r="X5" t="str">
        <f t="shared" si="0"/>
        <v/>
      </c>
      <c r="AG5" t="str">
        <f>_xlfn.IFNA(VLOOKUP(U5,'Incoming Material Report'!A:M,13,FALSE),"")</f>
        <v/>
      </c>
      <c r="AH5" t="str">
        <f>_xlfn.IFNA(IF(VLOOKUP(U5,'Incoming Material Report'!A:N,14,FALSE)="","",VLOOKUP(U5,'Incoming Material Report'!A:N,14,FALSE)),"")</f>
        <v/>
      </c>
      <c r="AI5" t="str">
        <f>_xlfn.IFNA(VLOOKUP(U5,'Incoming Material Report'!A:Z,24,FALSE),"")</f>
        <v/>
      </c>
      <c r="AJ5" t="str">
        <f>_xlfn.IFNA(VLOOKUP(U5,'Incoming Material Report'!A:Z,25,FALSE),"")</f>
        <v/>
      </c>
      <c r="AK5" t="str">
        <f>_xlfn.IFNA(VLOOKUP(U5,'Incoming Material Report'!A:Z,26,FALSE),"")</f>
        <v/>
      </c>
      <c r="AL5" t="str">
        <f>_xlfn.IFNA(VLOOKUP(U5,'Incoming Material Report'!A:Z,2,FALSE),"")</f>
        <v/>
      </c>
      <c r="AM5" s="54" t="str">
        <f>_xlfn.IFNA(VLOOKUP(U5,'Incoming Material Report'!A:K,11,FALSE)/1000,"")</f>
        <v/>
      </c>
      <c r="AN5" s="54"/>
      <c r="AO5" s="54" t="str">
        <f>_xlfn.IFNA(VLOOKUP(U5,'Incoming Material Report'!A:R,18,FALSE)*1000,"")</f>
        <v/>
      </c>
      <c r="AP5" s="54"/>
      <c r="AQ5" s="54" t="str">
        <f>_xlfn.IFNA(TEXT(VLOOKUP(U5,'Incoming Material Report'!A:D,4,FALSE),"dd.mm.yy"),"")</f>
        <v/>
      </c>
      <c r="AR5" s="54" t="str">
        <f>_xlfn.IFNA(VLOOKUP(U5,'Incoming Material Report'!A:Z,5,FALSE),"")</f>
        <v/>
      </c>
      <c r="AS5" s="54"/>
      <c r="AT5" s="54" t="str">
        <f>_xlfn.IFNA(VLOOKUP(U5,'Incoming Material Report'!A:Z,6,FALSE),"")</f>
        <v/>
      </c>
      <c r="AU5" s="54" t="str">
        <f>_xlfn.IFNA(VLOOKUP(U5,'Incoming Material Report'!A:Z,8,FALSE),"")</f>
        <v/>
      </c>
      <c r="AZ5" t="str">
        <f>_xlfn.IFNA(VLOOKUP(U5,'GRPO Wiz Individual'!AP:BT,17,FALSE),"")</f>
        <v/>
      </c>
      <c r="BA5" t="str">
        <f>_xlfn.IFNA(VLOOKUP(U5,'GRPO Wiz Individual'!AP:BT,18,FALSE),"")</f>
        <v/>
      </c>
      <c r="BB5" t="str">
        <f>_xlfn.IFNA(VLOOKUP(U5,'GRPO Wiz Individual'!AP:BT,19,FALSE),"")</f>
        <v/>
      </c>
      <c r="BC5" t="str">
        <f>_xlfn.IFNA(VLOOKUP(U5,'GRPO Wiz Individual'!AP:BT,20,FALSE),"")</f>
        <v/>
      </c>
      <c r="BD5" t="str">
        <f>_xlfn.IFNA(VLOOKUP(U5,'GRPO Wiz Individual'!AP:BT,21,FALSE),"")</f>
        <v/>
      </c>
      <c r="BE5" t="str">
        <f>_xlfn.IFNA((VLOOKUP(U5,'GRPO Wiz Individual'!AP:BT,22,FALSE)),"")</f>
        <v/>
      </c>
      <c r="BF5" t="str">
        <f>_xlfn.IFNA(VLOOKUP(U5,'GRPO Wiz Individual'!AP:BT,26,FALSE),"")</f>
        <v/>
      </c>
      <c r="BG5" t="str">
        <f>_xlfn.IFNA(VLOOKUP(U5,'GRPO Wiz Individual'!AP:BQ,28,FALSE),"")</f>
        <v/>
      </c>
      <c r="BH5" t="str">
        <f>_xlfn.IFNA(VLOOKUP(U5,'GRPO Wiz Individual'!AP:BN,25,FALSE),"")</f>
        <v/>
      </c>
      <c r="BI5" t="str">
        <f>_xlfn.IFNA(VLOOKUP(U5,'GRPO Wiz Individual'!AP:BT,31,FALSE),"")</f>
        <v/>
      </c>
      <c r="BJ5" t="str">
        <f>_xlfn.IFNA(VLOOKUP(U5,'GRPO Wiz Individual'!AP:BZ,32,FALSE),"")</f>
        <v/>
      </c>
      <c r="BK5" t="str">
        <f>_xlfn.IFNA(VLOOKUP(U5,'GRPO Wiz Individual'!AP:BZ,27,FALSE),"")</f>
        <v/>
      </c>
      <c r="BL5" t="str">
        <f>_xlfn.IFNA(VALUE(VLOOKUP(U5,'GRPO Wiz Individual'!AP:BZ,29,FALSE)),"")</f>
        <v/>
      </c>
      <c r="BM5" t="str">
        <f>_xlfn.IFNA(VLOOKUP(U5,'GRPO Wiz Individual'!AP:BZ,33,FALSE),"")</f>
        <v/>
      </c>
      <c r="BZ5" s="42"/>
      <c r="CA5" s="42"/>
    </row>
    <row r="6" spans="1:79" ht="24.75" customHeight="1" x14ac:dyDescent="0.25">
      <c r="B6" t="str">
        <f t="shared" si="1"/>
        <v/>
      </c>
      <c r="J6" s="43" t="str">
        <f t="shared" si="2"/>
        <v/>
      </c>
      <c r="X6" t="str">
        <f t="shared" si="0"/>
        <v/>
      </c>
      <c r="AG6" t="str">
        <f>_xlfn.IFNA(VLOOKUP(U6,'Incoming Material Report'!A:M,13,FALSE),"")</f>
        <v/>
      </c>
      <c r="AH6" t="str">
        <f>_xlfn.IFNA(IF(VLOOKUP(U6,'Incoming Material Report'!A:N,14,FALSE)="","",VLOOKUP(U6,'Incoming Material Report'!A:N,14,FALSE)),"")</f>
        <v/>
      </c>
      <c r="AI6" t="str">
        <f>_xlfn.IFNA(VLOOKUP(U6,'Incoming Material Report'!A:Z,24,FALSE),"")</f>
        <v/>
      </c>
      <c r="AJ6" t="str">
        <f>_xlfn.IFNA(VLOOKUP(U6,'Incoming Material Report'!A:Z,25,FALSE),"")</f>
        <v/>
      </c>
      <c r="AK6" t="str">
        <f>_xlfn.IFNA(VLOOKUP(U6,'Incoming Material Report'!A:Z,26,FALSE),"")</f>
        <v/>
      </c>
      <c r="AL6" t="str">
        <f>_xlfn.IFNA(VLOOKUP(U6,'Incoming Material Report'!A:Z,2,FALSE),"")</f>
        <v/>
      </c>
      <c r="AM6" s="54" t="str">
        <f>_xlfn.IFNA(VLOOKUP(U6,'Incoming Material Report'!A:K,11,FALSE)/1000,"")</f>
        <v/>
      </c>
      <c r="AN6" s="54"/>
      <c r="AO6" s="54" t="str">
        <f>_xlfn.IFNA(VLOOKUP(U6,'Incoming Material Report'!A:R,18,FALSE)*1000,"")</f>
        <v/>
      </c>
      <c r="AP6" s="54"/>
      <c r="AQ6" s="54" t="str">
        <f>_xlfn.IFNA(TEXT(VLOOKUP(U6,'Incoming Material Report'!A:D,4,FALSE),"dd.mm.yy"),"")</f>
        <v/>
      </c>
      <c r="AR6" s="54" t="str">
        <f>_xlfn.IFNA(VLOOKUP(U6,'Incoming Material Report'!A:Z,5,FALSE),"")</f>
        <v/>
      </c>
      <c r="AS6" s="54"/>
      <c r="AT6" s="54" t="str">
        <f>_xlfn.IFNA(VLOOKUP(U6,'Incoming Material Report'!A:Z,6,FALSE),"")</f>
        <v/>
      </c>
      <c r="AU6" s="54" t="str">
        <f>_xlfn.IFNA(VLOOKUP(U6,'Incoming Material Report'!A:Z,8,FALSE),"")</f>
        <v/>
      </c>
      <c r="AZ6" t="str">
        <f>_xlfn.IFNA(VLOOKUP(U6,'GRPO Wiz Individual'!AP:BT,17,FALSE),"")</f>
        <v/>
      </c>
      <c r="BA6" t="str">
        <f>_xlfn.IFNA(VLOOKUP(U6,'GRPO Wiz Individual'!AP:BT,18,FALSE),"")</f>
        <v/>
      </c>
      <c r="BB6" t="str">
        <f>_xlfn.IFNA(VLOOKUP(U6,'GRPO Wiz Individual'!AP:BT,19,FALSE),"")</f>
        <v/>
      </c>
      <c r="BC6" t="str">
        <f>_xlfn.IFNA(VLOOKUP(U6,'GRPO Wiz Individual'!AP:BT,20,FALSE),"")</f>
        <v/>
      </c>
      <c r="BD6" t="str">
        <f>_xlfn.IFNA(VLOOKUP(U6,'GRPO Wiz Individual'!AP:BT,21,FALSE),"")</f>
        <v/>
      </c>
      <c r="BE6" t="str">
        <f>_xlfn.IFNA((VLOOKUP(U6,'GRPO Wiz Individual'!AP:BT,22,FALSE)),"")</f>
        <v/>
      </c>
      <c r="BF6" t="str">
        <f>_xlfn.IFNA(VLOOKUP(U6,'GRPO Wiz Individual'!AP:BT,26,FALSE),"")</f>
        <v/>
      </c>
      <c r="BG6" t="str">
        <f>_xlfn.IFNA(VLOOKUP(U6,'GRPO Wiz Individual'!AP:BQ,28,FALSE),"")</f>
        <v/>
      </c>
      <c r="BH6" t="str">
        <f>_xlfn.IFNA(VLOOKUP(U6,'GRPO Wiz Individual'!AP:BN,25,FALSE),"")</f>
        <v/>
      </c>
      <c r="BI6" t="str">
        <f>_xlfn.IFNA(VLOOKUP(U6,'GRPO Wiz Individual'!AP:BT,31,FALSE),"")</f>
        <v/>
      </c>
      <c r="BJ6" t="str">
        <f>_xlfn.IFNA(VLOOKUP(U6,'GRPO Wiz Individual'!AP:BZ,32,FALSE),"")</f>
        <v/>
      </c>
      <c r="BK6" t="str">
        <f>_xlfn.IFNA(VLOOKUP(U6,'GRPO Wiz Individual'!AP:BZ,27,FALSE),"")</f>
        <v/>
      </c>
      <c r="BL6" t="str">
        <f>_xlfn.IFNA(VALUE(VLOOKUP(U6,'GRPO Wiz Individual'!AP:BZ,29,FALSE)),"")</f>
        <v/>
      </c>
      <c r="BM6" t="str">
        <f>_xlfn.IFNA(VLOOKUP(U6,'GRPO Wiz Individual'!AP:BZ,33,FALSE),"")</f>
        <v/>
      </c>
      <c r="BZ6" s="42"/>
      <c r="CA6" s="42"/>
    </row>
    <row r="7" spans="1:79" x14ac:dyDescent="0.25">
      <c r="B7" t="str">
        <f t="shared" si="1"/>
        <v/>
      </c>
      <c r="J7" s="43" t="str">
        <f t="shared" si="2"/>
        <v/>
      </c>
      <c r="X7" t="str">
        <f t="shared" si="0"/>
        <v/>
      </c>
      <c r="AG7" t="str">
        <f>_xlfn.IFNA(VLOOKUP(U7,'Incoming Material Report'!A:M,13,FALSE),"")</f>
        <v/>
      </c>
      <c r="AH7" t="str">
        <f>_xlfn.IFNA(IF(VLOOKUP(U7,'Incoming Material Report'!A:N,14,FALSE)="","",VLOOKUP(U7,'Incoming Material Report'!A:N,14,FALSE)),"")</f>
        <v/>
      </c>
      <c r="AI7" t="str">
        <f>_xlfn.IFNA(VLOOKUP(U7,'Incoming Material Report'!A:Z,24,FALSE),"")</f>
        <v/>
      </c>
      <c r="AJ7" t="str">
        <f>_xlfn.IFNA(VLOOKUP(U7,'Incoming Material Report'!A:Z,25,FALSE),"")</f>
        <v/>
      </c>
      <c r="AK7" t="str">
        <f>_xlfn.IFNA(VLOOKUP(U7,'Incoming Material Report'!A:Z,26,FALSE),"")</f>
        <v/>
      </c>
      <c r="AL7" t="str">
        <f>_xlfn.IFNA(VLOOKUP(U7,'Incoming Material Report'!A:Z,2,FALSE),"")</f>
        <v/>
      </c>
      <c r="AM7" s="54" t="str">
        <f>_xlfn.IFNA(VLOOKUP(U7,'Incoming Material Report'!A:K,11,FALSE)/1000,"")</f>
        <v/>
      </c>
      <c r="AN7" s="54"/>
      <c r="AO7" s="54" t="str">
        <f>_xlfn.IFNA(VLOOKUP(U7,'Incoming Material Report'!A:R,18,FALSE)*1000,"")</f>
        <v/>
      </c>
      <c r="AP7" s="54"/>
      <c r="AQ7" s="54" t="str">
        <f>_xlfn.IFNA(TEXT(VLOOKUP(U7,'Incoming Material Report'!A:D,4,FALSE),"dd.mm.yy"),"")</f>
        <v/>
      </c>
      <c r="AR7" s="54" t="str">
        <f>_xlfn.IFNA(VLOOKUP(U7,'Incoming Material Report'!A:Z,5,FALSE),"")</f>
        <v/>
      </c>
      <c r="AS7" s="54"/>
      <c r="AT7" s="54" t="str">
        <f>_xlfn.IFNA(VLOOKUP(U7,'Incoming Material Report'!A:Z,6,FALSE),"")</f>
        <v/>
      </c>
      <c r="AU7" s="54" t="str">
        <f>_xlfn.IFNA(VLOOKUP(U7,'Incoming Material Report'!A:Z,8,FALSE),"")</f>
        <v/>
      </c>
      <c r="AZ7" t="str">
        <f>_xlfn.IFNA(VLOOKUP(U7,'GRPO Wiz Individual'!AP:BT,17,FALSE),"")</f>
        <v/>
      </c>
      <c r="BA7" t="str">
        <f>_xlfn.IFNA(VLOOKUP(U7,'GRPO Wiz Individual'!AP:BT,18,FALSE),"")</f>
        <v/>
      </c>
      <c r="BB7" t="str">
        <f>_xlfn.IFNA(VLOOKUP(U7,'GRPO Wiz Individual'!AP:BT,19,FALSE),"")</f>
        <v/>
      </c>
      <c r="BC7" t="str">
        <f>_xlfn.IFNA(VLOOKUP(U7,'GRPO Wiz Individual'!AP:BT,20,FALSE),"")</f>
        <v/>
      </c>
      <c r="BD7" t="str">
        <f>_xlfn.IFNA(VLOOKUP(U7,'GRPO Wiz Individual'!AP:BT,21,FALSE),"")</f>
        <v/>
      </c>
      <c r="BE7" t="str">
        <f>_xlfn.IFNA((VLOOKUP(U7,'GRPO Wiz Individual'!AP:BT,22,FALSE)),"")</f>
        <v/>
      </c>
      <c r="BF7" t="str">
        <f>_xlfn.IFNA(VLOOKUP(U7,'GRPO Wiz Individual'!AP:BT,26,FALSE),"")</f>
        <v/>
      </c>
      <c r="BG7" t="str">
        <f>_xlfn.IFNA(VLOOKUP(U7,'GRPO Wiz Individual'!AP:BQ,28,FALSE),"")</f>
        <v/>
      </c>
      <c r="BH7" t="str">
        <f>_xlfn.IFNA(VLOOKUP(U7,'GRPO Wiz Individual'!AP:BN,25,FALSE),"")</f>
        <v/>
      </c>
      <c r="BI7" t="str">
        <f>_xlfn.IFNA(VLOOKUP(U7,'GRPO Wiz Individual'!AP:BT,31,FALSE),"")</f>
        <v/>
      </c>
      <c r="BJ7" t="str">
        <f>_xlfn.IFNA(VLOOKUP(U7,'GRPO Wiz Individual'!AP:BZ,32,FALSE),"")</f>
        <v/>
      </c>
      <c r="BK7" t="str">
        <f>_xlfn.IFNA(VLOOKUP(U7,'GRPO Wiz Individual'!AP:BZ,27,FALSE),"")</f>
        <v/>
      </c>
      <c r="BL7" t="str">
        <f>_xlfn.IFNA(VALUE(VLOOKUP(U7,'GRPO Wiz Individual'!AP:BZ,29,FALSE)),"")</f>
        <v/>
      </c>
      <c r="BM7" t="str">
        <f>_xlfn.IFNA(VLOOKUP(U7,'GRPO Wiz Individual'!AP:BZ,33,FALSE),"")</f>
        <v/>
      </c>
      <c r="BZ7" s="42"/>
      <c r="CA7" s="42"/>
    </row>
    <row r="8" spans="1:79" x14ac:dyDescent="0.25">
      <c r="B8" t="str">
        <f t="shared" si="1"/>
        <v/>
      </c>
      <c r="J8" s="43" t="str">
        <f t="shared" si="2"/>
        <v/>
      </c>
      <c r="X8" t="str">
        <f t="shared" si="0"/>
        <v/>
      </c>
      <c r="AG8" t="str">
        <f>_xlfn.IFNA(VLOOKUP(U8,'Incoming Material Report'!A:M,13,FALSE),"")</f>
        <v/>
      </c>
      <c r="AH8" t="str">
        <f>_xlfn.IFNA(IF(VLOOKUP(U8,'Incoming Material Report'!A:N,14,FALSE)="","",VLOOKUP(U8,'Incoming Material Report'!A:N,14,FALSE)),"")</f>
        <v/>
      </c>
      <c r="AI8" t="str">
        <f>_xlfn.IFNA(VLOOKUP(U8,'Incoming Material Report'!A:Z,24,FALSE),"")</f>
        <v/>
      </c>
      <c r="AJ8" t="str">
        <f>_xlfn.IFNA(VLOOKUP(U8,'Incoming Material Report'!A:Z,25,FALSE),"")</f>
        <v/>
      </c>
      <c r="AK8" t="str">
        <f>_xlfn.IFNA(VLOOKUP(U8,'Incoming Material Report'!A:Z,26,FALSE),"")</f>
        <v/>
      </c>
      <c r="AL8" t="str">
        <f>_xlfn.IFNA(VLOOKUP(U8,'Incoming Material Report'!A:Z,2,FALSE),"")</f>
        <v/>
      </c>
      <c r="AM8" s="54" t="str">
        <f>_xlfn.IFNA(VLOOKUP(U8,'Incoming Material Report'!A:K,11,FALSE)/1000,"")</f>
        <v/>
      </c>
      <c r="AN8" s="54"/>
      <c r="AO8" s="54" t="str">
        <f>_xlfn.IFNA(VLOOKUP(U8,'Incoming Material Report'!A:R,18,FALSE)*1000,"")</f>
        <v/>
      </c>
      <c r="AP8" s="54"/>
      <c r="AQ8" s="54" t="str">
        <f>_xlfn.IFNA(TEXT(VLOOKUP(U8,'Incoming Material Report'!A:D,4,FALSE),"dd.mm.yy"),"")</f>
        <v/>
      </c>
      <c r="AR8" s="54" t="str">
        <f>_xlfn.IFNA(VLOOKUP(U8,'Incoming Material Report'!A:Z,5,FALSE),"")</f>
        <v/>
      </c>
      <c r="AS8" s="54"/>
      <c r="AT8" s="54" t="str">
        <f>_xlfn.IFNA(VLOOKUP(U8,'Incoming Material Report'!A:Z,6,FALSE),"")</f>
        <v/>
      </c>
      <c r="AU8" s="54" t="str">
        <f>_xlfn.IFNA(VLOOKUP(U8,'Incoming Material Report'!A:Z,8,FALSE),"")</f>
        <v/>
      </c>
      <c r="AZ8" t="str">
        <f>_xlfn.IFNA(VLOOKUP(U8,'GRPO Wiz Individual'!AP:BT,17,FALSE),"")</f>
        <v/>
      </c>
      <c r="BA8" t="str">
        <f>_xlfn.IFNA(VLOOKUP(U8,'GRPO Wiz Individual'!AP:BT,18,FALSE),"")</f>
        <v/>
      </c>
      <c r="BB8" t="str">
        <f>_xlfn.IFNA(VLOOKUP(U8,'GRPO Wiz Individual'!AP:BT,19,FALSE),"")</f>
        <v/>
      </c>
      <c r="BC8" t="str">
        <f>_xlfn.IFNA(VLOOKUP(U8,'GRPO Wiz Individual'!AP:BT,20,FALSE),"")</f>
        <v/>
      </c>
      <c r="BD8" t="str">
        <f>_xlfn.IFNA(VLOOKUP(U8,'GRPO Wiz Individual'!AP:BT,21,FALSE),"")</f>
        <v/>
      </c>
      <c r="BE8" t="str">
        <f>_xlfn.IFNA((VLOOKUP(U8,'GRPO Wiz Individual'!AP:BT,22,FALSE)),"")</f>
        <v/>
      </c>
      <c r="BF8" t="str">
        <f>_xlfn.IFNA(VLOOKUP(U8,'GRPO Wiz Individual'!AP:BT,26,FALSE),"")</f>
        <v/>
      </c>
      <c r="BG8" t="str">
        <f>_xlfn.IFNA(VLOOKUP(U8,'GRPO Wiz Individual'!AP:BQ,28,FALSE),"")</f>
        <v/>
      </c>
      <c r="BH8" t="str">
        <f>_xlfn.IFNA(VLOOKUP(U8,'GRPO Wiz Individual'!AP:BN,25,FALSE),"")</f>
        <v/>
      </c>
      <c r="BI8" t="str">
        <f>_xlfn.IFNA(VLOOKUP(U8,'GRPO Wiz Individual'!AP:BT,31,FALSE),"")</f>
        <v/>
      </c>
      <c r="BJ8" t="str">
        <f>_xlfn.IFNA(VLOOKUP(U8,'GRPO Wiz Individual'!AP:BZ,32,FALSE),"")</f>
        <v/>
      </c>
      <c r="BK8" t="str">
        <f>_xlfn.IFNA(VLOOKUP(U8,'GRPO Wiz Individual'!AP:BZ,27,FALSE),"")</f>
        <v/>
      </c>
      <c r="BL8" t="str">
        <f>_xlfn.IFNA(VALUE(VLOOKUP(U8,'GRPO Wiz Individual'!AP:BZ,29,FALSE)),"")</f>
        <v/>
      </c>
      <c r="BM8" t="str">
        <f>_xlfn.IFNA(VLOOKUP(U8,'GRPO Wiz Individual'!AP:BZ,33,FALSE),"")</f>
        <v/>
      </c>
      <c r="BZ8" s="42"/>
      <c r="CA8" s="42"/>
    </row>
    <row r="9" spans="1:79" x14ac:dyDescent="0.25">
      <c r="B9" t="str">
        <f t="shared" si="1"/>
        <v/>
      </c>
      <c r="J9" s="43" t="str">
        <f t="shared" si="2"/>
        <v/>
      </c>
      <c r="X9" t="str">
        <f t="shared" si="0"/>
        <v/>
      </c>
      <c r="AG9" t="str">
        <f>_xlfn.IFNA(VLOOKUP(U9,'Incoming Material Report'!A:M,13,FALSE),"")</f>
        <v/>
      </c>
      <c r="AH9" t="str">
        <f>_xlfn.IFNA(IF(VLOOKUP(U9,'Incoming Material Report'!A:N,14,FALSE)="","",VLOOKUP(U9,'Incoming Material Report'!A:N,14,FALSE)),"")</f>
        <v/>
      </c>
      <c r="AI9" t="str">
        <f>_xlfn.IFNA(VLOOKUP(U9,'Incoming Material Report'!A:Z,24,FALSE),"")</f>
        <v/>
      </c>
      <c r="AJ9" t="str">
        <f>_xlfn.IFNA(VLOOKUP(U9,'Incoming Material Report'!A:Z,25,FALSE),"")</f>
        <v/>
      </c>
      <c r="AK9" t="str">
        <f>_xlfn.IFNA(VLOOKUP(U9,'Incoming Material Report'!A:Z,26,FALSE),"")</f>
        <v/>
      </c>
      <c r="AL9" t="str">
        <f>_xlfn.IFNA(VLOOKUP(U9,'Incoming Material Report'!A:Z,2,FALSE),"")</f>
        <v/>
      </c>
      <c r="AM9" s="54" t="str">
        <f>_xlfn.IFNA(VLOOKUP(U9,'Incoming Material Report'!A:K,11,FALSE)/1000,"")</f>
        <v/>
      </c>
      <c r="AN9" s="54"/>
      <c r="AO9" s="54" t="str">
        <f>_xlfn.IFNA(VLOOKUP(U9,'Incoming Material Report'!A:R,18,FALSE)*1000,"")</f>
        <v/>
      </c>
      <c r="AP9" s="54"/>
      <c r="AQ9" s="54" t="str">
        <f>_xlfn.IFNA(TEXT(VLOOKUP(U9,'Incoming Material Report'!A:D,4,FALSE),"dd.mm.yy"),"")</f>
        <v/>
      </c>
      <c r="AR9" s="54" t="str">
        <f>_xlfn.IFNA(VLOOKUP(U9,'Incoming Material Report'!A:Z,5,FALSE),"")</f>
        <v/>
      </c>
      <c r="AS9" s="54"/>
      <c r="AT9" s="54" t="str">
        <f>_xlfn.IFNA(VLOOKUP(U9,'Incoming Material Report'!A:Z,6,FALSE),"")</f>
        <v/>
      </c>
      <c r="AU9" s="54" t="str">
        <f>_xlfn.IFNA(VLOOKUP(U9,'Incoming Material Report'!A:Z,8,FALSE),"")</f>
        <v/>
      </c>
      <c r="AZ9" t="str">
        <f>_xlfn.IFNA(VLOOKUP(U9,'GRPO Wiz Individual'!AP:BT,17,FALSE),"")</f>
        <v/>
      </c>
      <c r="BA9" t="str">
        <f>_xlfn.IFNA(VLOOKUP(U9,'GRPO Wiz Individual'!AP:BT,18,FALSE),"")</f>
        <v/>
      </c>
      <c r="BB9" t="str">
        <f>_xlfn.IFNA(VLOOKUP(U9,'GRPO Wiz Individual'!AP:BT,19,FALSE),"")</f>
        <v/>
      </c>
      <c r="BC9" t="str">
        <f>_xlfn.IFNA(VLOOKUP(U9,'GRPO Wiz Individual'!AP:BT,20,FALSE),"")</f>
        <v/>
      </c>
      <c r="BD9" t="str">
        <f>_xlfn.IFNA(VLOOKUP(U9,'GRPO Wiz Individual'!AP:BT,21,FALSE),"")</f>
        <v/>
      </c>
      <c r="BE9" t="str">
        <f>_xlfn.IFNA((VLOOKUP(U9,'GRPO Wiz Individual'!AP:BT,22,FALSE)),"")</f>
        <v/>
      </c>
      <c r="BF9" t="str">
        <f>_xlfn.IFNA(VLOOKUP(U9,'GRPO Wiz Individual'!AP:BT,26,FALSE),"")</f>
        <v/>
      </c>
      <c r="BG9" t="str">
        <f>_xlfn.IFNA(VLOOKUP(U9,'GRPO Wiz Individual'!AP:BQ,28,FALSE),"")</f>
        <v/>
      </c>
      <c r="BH9" t="str">
        <f>_xlfn.IFNA(VLOOKUP(U9,'GRPO Wiz Individual'!AP:BN,25,FALSE),"")</f>
        <v/>
      </c>
      <c r="BI9" t="str">
        <f>_xlfn.IFNA(VLOOKUP(U9,'GRPO Wiz Individual'!AP:BT,31,FALSE),"")</f>
        <v/>
      </c>
      <c r="BJ9" t="str">
        <f>_xlfn.IFNA(VLOOKUP(U9,'GRPO Wiz Individual'!AP:BZ,32,FALSE),"")</f>
        <v/>
      </c>
      <c r="BK9" t="str">
        <f>_xlfn.IFNA(VLOOKUP(U9,'GRPO Wiz Individual'!AP:BZ,27,FALSE),"")</f>
        <v/>
      </c>
      <c r="BL9" t="str">
        <f>_xlfn.IFNA(VALUE(VLOOKUP(U9,'GRPO Wiz Individual'!AP:BZ,29,FALSE)),"")</f>
        <v/>
      </c>
      <c r="BM9" t="str">
        <f>_xlfn.IFNA(VLOOKUP(U9,'GRPO Wiz Individual'!AP:BZ,33,FALSE),"")</f>
        <v/>
      </c>
      <c r="BZ9" s="42"/>
      <c r="CA9" s="42"/>
    </row>
    <row r="10" spans="1:79" x14ac:dyDescent="0.25">
      <c r="B10" t="str">
        <f t="shared" si="1"/>
        <v/>
      </c>
      <c r="J10" s="43" t="str">
        <f t="shared" si="2"/>
        <v/>
      </c>
      <c r="X10" t="str">
        <f t="shared" si="0"/>
        <v/>
      </c>
      <c r="AG10" t="str">
        <f>_xlfn.IFNA(VLOOKUP(U10,'Incoming Material Report'!A:M,13,FALSE),"")</f>
        <v/>
      </c>
      <c r="AH10" t="str">
        <f>_xlfn.IFNA(IF(VLOOKUP(U10,'Incoming Material Report'!A:N,14,FALSE)="","",VLOOKUP(U10,'Incoming Material Report'!A:N,14,FALSE)),"")</f>
        <v/>
      </c>
      <c r="AI10" t="str">
        <f>_xlfn.IFNA(VLOOKUP(U10,'Incoming Material Report'!A:Z,24,FALSE),"")</f>
        <v/>
      </c>
      <c r="AJ10" t="str">
        <f>_xlfn.IFNA(VLOOKUP(U10,'Incoming Material Report'!A:Z,25,FALSE),"")</f>
        <v/>
      </c>
      <c r="AK10" t="str">
        <f>_xlfn.IFNA(VLOOKUP(U10,'Incoming Material Report'!A:Z,26,FALSE),"")</f>
        <v/>
      </c>
      <c r="AL10" t="str">
        <f>_xlfn.IFNA(VLOOKUP(U10,'Incoming Material Report'!A:Z,2,FALSE),"")</f>
        <v/>
      </c>
      <c r="AM10" s="54" t="str">
        <f>_xlfn.IFNA(VLOOKUP(U10,'Incoming Material Report'!A:K,11,FALSE)/1000,"")</f>
        <v/>
      </c>
      <c r="AN10" s="54"/>
      <c r="AO10" s="54" t="str">
        <f>_xlfn.IFNA(VLOOKUP(U10,'Incoming Material Report'!A:R,18,FALSE)*1000,"")</f>
        <v/>
      </c>
      <c r="AP10" s="54"/>
      <c r="AQ10" s="54" t="str">
        <f>_xlfn.IFNA(TEXT(VLOOKUP(U10,'Incoming Material Report'!A:D,4,FALSE),"dd.mm.yy"),"")</f>
        <v/>
      </c>
      <c r="AR10" s="54" t="str">
        <f>_xlfn.IFNA(VLOOKUP(U10,'Incoming Material Report'!A:Z,5,FALSE),"")</f>
        <v/>
      </c>
      <c r="AS10" s="54"/>
      <c r="AT10" s="54" t="str">
        <f>_xlfn.IFNA(VLOOKUP(U10,'Incoming Material Report'!A:Z,6,FALSE),"")</f>
        <v/>
      </c>
      <c r="AU10" s="54" t="str">
        <f>_xlfn.IFNA(VLOOKUP(U10,'Incoming Material Report'!A:Z,8,FALSE),"")</f>
        <v/>
      </c>
      <c r="AZ10" t="str">
        <f>_xlfn.IFNA(VLOOKUP(U10,'GRPO Wiz Individual'!AP:BT,17,FALSE),"")</f>
        <v/>
      </c>
      <c r="BA10" t="str">
        <f>_xlfn.IFNA(VLOOKUP(U10,'GRPO Wiz Individual'!AP:BT,18,FALSE),"")</f>
        <v/>
      </c>
      <c r="BB10" t="str">
        <f>_xlfn.IFNA(VLOOKUP(U10,'GRPO Wiz Individual'!AP:BT,19,FALSE),"")</f>
        <v/>
      </c>
      <c r="BC10" t="str">
        <f>_xlfn.IFNA(VLOOKUP(U10,'GRPO Wiz Individual'!AP:BT,20,FALSE),"")</f>
        <v/>
      </c>
      <c r="BD10" t="str">
        <f>_xlfn.IFNA(VLOOKUP(U10,'GRPO Wiz Individual'!AP:BT,21,FALSE),"")</f>
        <v/>
      </c>
      <c r="BE10" t="str">
        <f>_xlfn.IFNA((VLOOKUP(U10,'GRPO Wiz Individual'!AP:BT,22,FALSE)),"")</f>
        <v/>
      </c>
      <c r="BF10" t="str">
        <f>_xlfn.IFNA(VLOOKUP(U10,'GRPO Wiz Individual'!AP:BT,26,FALSE),"")</f>
        <v/>
      </c>
      <c r="BG10" t="str">
        <f>_xlfn.IFNA(VLOOKUP(U10,'GRPO Wiz Individual'!AP:BQ,28,FALSE),"")</f>
        <v/>
      </c>
      <c r="BH10" t="str">
        <f>_xlfn.IFNA(VLOOKUP(U10,'GRPO Wiz Individual'!AP:BN,25,FALSE),"")</f>
        <v/>
      </c>
      <c r="BI10" t="str">
        <f>_xlfn.IFNA(VLOOKUP(U10,'GRPO Wiz Individual'!AP:BT,31,FALSE),"")</f>
        <v/>
      </c>
      <c r="BJ10" t="str">
        <f>_xlfn.IFNA(VLOOKUP(U10,'GRPO Wiz Individual'!AP:BZ,32,FALSE),"")</f>
        <v/>
      </c>
      <c r="BK10" t="str">
        <f>_xlfn.IFNA(VLOOKUP(U10,'GRPO Wiz Individual'!AP:BZ,27,FALSE),"")</f>
        <v/>
      </c>
      <c r="BL10" t="str">
        <f>_xlfn.IFNA(VALUE(VLOOKUP(U10,'GRPO Wiz Individual'!AP:BZ,29,FALSE)),"")</f>
        <v/>
      </c>
      <c r="BM10" t="str">
        <f>_xlfn.IFNA(VLOOKUP(U10,'GRPO Wiz Individual'!AP:BZ,33,FALSE),"")</f>
        <v/>
      </c>
      <c r="BZ10" s="42"/>
      <c r="CA10" s="42"/>
    </row>
    <row r="11" spans="1:79" x14ac:dyDescent="0.25">
      <c r="B11" t="str">
        <f t="shared" si="1"/>
        <v/>
      </c>
      <c r="J11" s="43" t="str">
        <f t="shared" si="2"/>
        <v/>
      </c>
      <c r="X11" t="str">
        <f t="shared" si="0"/>
        <v/>
      </c>
      <c r="AG11" t="str">
        <f>_xlfn.IFNA(VLOOKUP(U11,'Incoming Material Report'!A:M,13,FALSE),"")</f>
        <v/>
      </c>
      <c r="AH11" t="str">
        <f>_xlfn.IFNA(IF(VLOOKUP(U11,'Incoming Material Report'!A:N,14,FALSE)="","",VLOOKUP(U11,'Incoming Material Report'!A:N,14,FALSE)),"")</f>
        <v/>
      </c>
      <c r="AI11" t="str">
        <f>_xlfn.IFNA(VLOOKUP(U11,'Incoming Material Report'!A:Z,24,FALSE),"")</f>
        <v/>
      </c>
      <c r="AJ11" t="str">
        <f>_xlfn.IFNA(VLOOKUP(U11,'Incoming Material Report'!A:Z,25,FALSE),"")</f>
        <v/>
      </c>
      <c r="AK11" t="str">
        <f>_xlfn.IFNA(VLOOKUP(U11,'Incoming Material Report'!A:Z,26,FALSE),"")</f>
        <v/>
      </c>
      <c r="AL11" t="str">
        <f>_xlfn.IFNA(VLOOKUP(U11,'Incoming Material Report'!A:Z,2,FALSE),"")</f>
        <v/>
      </c>
      <c r="AM11" s="54" t="str">
        <f>_xlfn.IFNA(VLOOKUP(U11,'Incoming Material Report'!A:K,11,FALSE)/1000,"")</f>
        <v/>
      </c>
      <c r="AN11" s="54"/>
      <c r="AO11" s="54" t="str">
        <f>_xlfn.IFNA(VLOOKUP(U11,'Incoming Material Report'!A:R,18,FALSE)*1000,"")</f>
        <v/>
      </c>
      <c r="AP11" s="54"/>
      <c r="AQ11" s="54" t="str">
        <f>_xlfn.IFNA(TEXT(VLOOKUP(U11,'Incoming Material Report'!A:D,4,FALSE),"dd.mm.yy"),"")</f>
        <v/>
      </c>
      <c r="AR11" s="54" t="str">
        <f>_xlfn.IFNA(VLOOKUP(U11,'Incoming Material Report'!A:Z,5,FALSE),"")</f>
        <v/>
      </c>
      <c r="AS11" s="54"/>
      <c r="AT11" s="54" t="str">
        <f>_xlfn.IFNA(VLOOKUP(U11,'Incoming Material Report'!A:Z,6,FALSE),"")</f>
        <v/>
      </c>
      <c r="AU11" s="54" t="str">
        <f>_xlfn.IFNA(VLOOKUP(U11,'Incoming Material Report'!A:Z,8,FALSE),"")</f>
        <v/>
      </c>
      <c r="AZ11" t="str">
        <f>_xlfn.IFNA(VLOOKUP(U11,'GRPO Wiz Individual'!AP:BT,17,FALSE),"")</f>
        <v/>
      </c>
      <c r="BA11" t="str">
        <f>_xlfn.IFNA(VLOOKUP(U11,'GRPO Wiz Individual'!AP:BT,18,FALSE),"")</f>
        <v/>
      </c>
      <c r="BB11" t="str">
        <f>_xlfn.IFNA(VLOOKUP(U11,'GRPO Wiz Individual'!AP:BT,19,FALSE),"")</f>
        <v/>
      </c>
      <c r="BC11" t="str">
        <f>_xlfn.IFNA(VLOOKUP(U11,'GRPO Wiz Individual'!AP:BT,20,FALSE),"")</f>
        <v/>
      </c>
      <c r="BD11" t="str">
        <f>_xlfn.IFNA(VLOOKUP(U11,'GRPO Wiz Individual'!AP:BT,21,FALSE),"")</f>
        <v/>
      </c>
      <c r="BE11" t="str">
        <f>_xlfn.IFNA((VLOOKUP(U11,'GRPO Wiz Individual'!AP:BT,22,FALSE)),"")</f>
        <v/>
      </c>
      <c r="BF11" t="str">
        <f>_xlfn.IFNA(VLOOKUP(U11,'GRPO Wiz Individual'!AP:BT,26,FALSE),"")</f>
        <v/>
      </c>
      <c r="BG11" t="str">
        <f>_xlfn.IFNA(VLOOKUP(U11,'GRPO Wiz Individual'!AP:BQ,28,FALSE),"")</f>
        <v/>
      </c>
      <c r="BH11" t="str">
        <f>_xlfn.IFNA(VLOOKUP(U11,'GRPO Wiz Individual'!AP:BN,25,FALSE),"")</f>
        <v/>
      </c>
      <c r="BI11" t="str">
        <f>_xlfn.IFNA(VLOOKUP(U11,'GRPO Wiz Individual'!AP:BT,31,FALSE),"")</f>
        <v/>
      </c>
      <c r="BJ11" t="str">
        <f>_xlfn.IFNA(VLOOKUP(U11,'GRPO Wiz Individual'!AP:BZ,32,FALSE),"")</f>
        <v/>
      </c>
      <c r="BK11" t="str">
        <f>_xlfn.IFNA(VLOOKUP(U11,'GRPO Wiz Individual'!AP:BZ,27,FALSE),"")</f>
        <v/>
      </c>
      <c r="BL11" t="str">
        <f>_xlfn.IFNA(VALUE(VLOOKUP(U11,'GRPO Wiz Individual'!AP:BZ,29,FALSE)),"")</f>
        <v/>
      </c>
      <c r="BM11" t="str">
        <f>_xlfn.IFNA(VLOOKUP(U11,'GRPO Wiz Individual'!AP:BZ,33,FALSE),"")</f>
        <v/>
      </c>
      <c r="BZ11" s="42"/>
      <c r="CA11" s="42"/>
    </row>
    <row r="12" spans="1:79" x14ac:dyDescent="0.25">
      <c r="B12" t="str">
        <f t="shared" si="1"/>
        <v/>
      </c>
      <c r="J12" s="43" t="str">
        <f t="shared" si="2"/>
        <v/>
      </c>
      <c r="X12" t="str">
        <f t="shared" si="0"/>
        <v/>
      </c>
      <c r="AG12" t="str">
        <f>_xlfn.IFNA(VLOOKUP(U12,'Incoming Material Report'!A:M,13,FALSE),"")</f>
        <v/>
      </c>
      <c r="AH12" t="str">
        <f>_xlfn.IFNA(IF(VLOOKUP(U12,'Incoming Material Report'!A:N,14,FALSE)="","",VLOOKUP(U12,'Incoming Material Report'!A:N,14,FALSE)),"")</f>
        <v/>
      </c>
      <c r="AI12" t="str">
        <f>_xlfn.IFNA(VLOOKUP(U12,'Incoming Material Report'!A:Z,24,FALSE),"")</f>
        <v/>
      </c>
      <c r="AJ12" t="str">
        <f>_xlfn.IFNA(VLOOKUP(U12,'Incoming Material Report'!A:Z,25,FALSE),"")</f>
        <v/>
      </c>
      <c r="AK12" t="str">
        <f>_xlfn.IFNA(VLOOKUP(U12,'Incoming Material Report'!A:Z,26,FALSE),"")</f>
        <v/>
      </c>
      <c r="AL12" t="str">
        <f>_xlfn.IFNA(VLOOKUP(U12,'Incoming Material Report'!A:Z,2,FALSE),"")</f>
        <v/>
      </c>
      <c r="AM12" s="54" t="str">
        <f>_xlfn.IFNA(VLOOKUP(U12,'Incoming Material Report'!A:K,11,FALSE)/1000,"")</f>
        <v/>
      </c>
      <c r="AN12" s="54"/>
      <c r="AO12" s="54" t="str">
        <f>_xlfn.IFNA(VLOOKUP(U12,'Incoming Material Report'!A:R,18,FALSE)*1000,"")</f>
        <v/>
      </c>
      <c r="AP12" s="54"/>
      <c r="AQ12" s="54" t="str">
        <f>_xlfn.IFNA(TEXT(VLOOKUP(U12,'Incoming Material Report'!A:D,4,FALSE),"dd.mm.yy"),"")</f>
        <v/>
      </c>
      <c r="AR12" s="54" t="str">
        <f>_xlfn.IFNA(VLOOKUP(U12,'Incoming Material Report'!A:Z,5,FALSE),"")</f>
        <v/>
      </c>
      <c r="AS12" s="54"/>
      <c r="AT12" s="54" t="str">
        <f>_xlfn.IFNA(VLOOKUP(U12,'Incoming Material Report'!A:Z,6,FALSE),"")</f>
        <v/>
      </c>
      <c r="AU12" s="54" t="str">
        <f>_xlfn.IFNA(VLOOKUP(U12,'Incoming Material Report'!A:Z,8,FALSE),"")</f>
        <v/>
      </c>
      <c r="AZ12" t="str">
        <f>_xlfn.IFNA(VLOOKUP(U12,'GRPO Wiz Individual'!AP:BT,17,FALSE),"")</f>
        <v/>
      </c>
      <c r="BA12" t="str">
        <f>_xlfn.IFNA(VLOOKUP(U12,'GRPO Wiz Individual'!AP:BT,18,FALSE),"")</f>
        <v/>
      </c>
      <c r="BB12" t="str">
        <f>_xlfn.IFNA(VLOOKUP(U12,'GRPO Wiz Individual'!AP:BT,19,FALSE),"")</f>
        <v/>
      </c>
      <c r="BC12" t="str">
        <f>_xlfn.IFNA(VLOOKUP(U12,'GRPO Wiz Individual'!AP:BT,20,FALSE),"")</f>
        <v/>
      </c>
      <c r="BD12" t="str">
        <f>_xlfn.IFNA(VLOOKUP(U12,'GRPO Wiz Individual'!AP:BT,21,FALSE),"")</f>
        <v/>
      </c>
      <c r="BE12" t="str">
        <f>_xlfn.IFNA((VLOOKUP(U12,'GRPO Wiz Individual'!AP:BT,22,FALSE)),"")</f>
        <v/>
      </c>
      <c r="BF12" t="str">
        <f>_xlfn.IFNA(VLOOKUP(U12,'GRPO Wiz Individual'!AP:BT,26,FALSE),"")</f>
        <v/>
      </c>
      <c r="BG12" t="str">
        <f>_xlfn.IFNA(VLOOKUP(U12,'GRPO Wiz Individual'!AP:BQ,28,FALSE),"")</f>
        <v/>
      </c>
      <c r="BH12" t="str">
        <f>_xlfn.IFNA(VLOOKUP(U12,'GRPO Wiz Individual'!AP:BN,25,FALSE),"")</f>
        <v/>
      </c>
      <c r="BI12" t="str">
        <f>_xlfn.IFNA(VLOOKUP(U12,'GRPO Wiz Individual'!AP:BT,31,FALSE),"")</f>
        <v/>
      </c>
      <c r="BJ12" t="str">
        <f>_xlfn.IFNA(VLOOKUP(U12,'GRPO Wiz Individual'!AP:BZ,32,FALSE),"")</f>
        <v/>
      </c>
      <c r="BK12" t="str">
        <f>_xlfn.IFNA(VLOOKUP(U12,'GRPO Wiz Individual'!AP:BZ,27,FALSE),"")</f>
        <v/>
      </c>
      <c r="BL12" t="str">
        <f>_xlfn.IFNA(VALUE(VLOOKUP(U12,'GRPO Wiz Individual'!AP:BZ,29,FALSE)),"")</f>
        <v/>
      </c>
      <c r="BM12" t="str">
        <f>_xlfn.IFNA(VLOOKUP(U12,'GRPO Wiz Individual'!AP:BZ,33,FALSE),"")</f>
        <v/>
      </c>
      <c r="BZ12" s="42"/>
      <c r="CA12" s="42"/>
    </row>
    <row r="13" spans="1:79" x14ac:dyDescent="0.25">
      <c r="B13" t="str">
        <f t="shared" si="1"/>
        <v/>
      </c>
      <c r="J13" s="43" t="str">
        <f t="shared" si="2"/>
        <v/>
      </c>
      <c r="X13" t="str">
        <f t="shared" si="0"/>
        <v/>
      </c>
      <c r="AG13" t="str">
        <f>_xlfn.IFNA(VLOOKUP(U13,'Incoming Material Report'!A:M,13,FALSE),"")</f>
        <v/>
      </c>
      <c r="AH13" t="str">
        <f>_xlfn.IFNA(IF(VLOOKUP(U13,'Incoming Material Report'!A:N,14,FALSE)="","",VLOOKUP(U13,'Incoming Material Report'!A:N,14,FALSE)),"")</f>
        <v/>
      </c>
      <c r="AI13" t="str">
        <f>_xlfn.IFNA(VLOOKUP(U13,'Incoming Material Report'!A:Z,24,FALSE),"")</f>
        <v/>
      </c>
      <c r="AJ13" t="str">
        <f>_xlfn.IFNA(VLOOKUP(U13,'Incoming Material Report'!A:Z,25,FALSE),"")</f>
        <v/>
      </c>
      <c r="AK13" t="str">
        <f>_xlfn.IFNA(VLOOKUP(U13,'Incoming Material Report'!A:Z,26,FALSE),"")</f>
        <v/>
      </c>
      <c r="AL13" t="str">
        <f>_xlfn.IFNA(VLOOKUP(U13,'Incoming Material Report'!A:Z,2,FALSE),"")</f>
        <v/>
      </c>
      <c r="AM13" s="54" t="str">
        <f>_xlfn.IFNA(VLOOKUP(U13,'Incoming Material Report'!A:K,11,FALSE)/1000,"")</f>
        <v/>
      </c>
      <c r="AN13" s="54"/>
      <c r="AO13" s="54" t="str">
        <f>_xlfn.IFNA(VLOOKUP(U13,'Incoming Material Report'!A:R,18,FALSE)*1000,"")</f>
        <v/>
      </c>
      <c r="AP13" s="54"/>
      <c r="AQ13" s="54" t="str">
        <f>_xlfn.IFNA(TEXT(VLOOKUP(U13,'Incoming Material Report'!A:D,4,FALSE),"dd.mm.yy"),"")</f>
        <v/>
      </c>
      <c r="AR13" s="54" t="str">
        <f>_xlfn.IFNA(VLOOKUP(U13,'Incoming Material Report'!A:Z,5,FALSE),"")</f>
        <v/>
      </c>
      <c r="AS13" s="54"/>
      <c r="AT13" s="54" t="str">
        <f>_xlfn.IFNA(VLOOKUP(U13,'Incoming Material Report'!A:Z,6,FALSE),"")</f>
        <v/>
      </c>
      <c r="AU13" s="54" t="str">
        <f>_xlfn.IFNA(VLOOKUP(U13,'Incoming Material Report'!A:Z,8,FALSE),"")</f>
        <v/>
      </c>
      <c r="AZ13" t="str">
        <f>_xlfn.IFNA(VLOOKUP(U13,'GRPO Wiz Individual'!AP:BT,17,FALSE),"")</f>
        <v/>
      </c>
      <c r="BA13" t="str">
        <f>_xlfn.IFNA(VLOOKUP(U13,'GRPO Wiz Individual'!AP:BT,18,FALSE),"")</f>
        <v/>
      </c>
      <c r="BB13" t="str">
        <f>_xlfn.IFNA(VLOOKUP(U13,'GRPO Wiz Individual'!AP:BT,19,FALSE),"")</f>
        <v/>
      </c>
      <c r="BC13" t="str">
        <f>_xlfn.IFNA(VLOOKUP(U13,'GRPO Wiz Individual'!AP:BT,20,FALSE),"")</f>
        <v/>
      </c>
      <c r="BD13" t="str">
        <f>_xlfn.IFNA(VLOOKUP(U13,'GRPO Wiz Individual'!AP:BT,21,FALSE),"")</f>
        <v/>
      </c>
      <c r="BE13" t="str">
        <f>_xlfn.IFNA((VLOOKUP(U13,'GRPO Wiz Individual'!AP:BT,22,FALSE)),"")</f>
        <v/>
      </c>
      <c r="BF13" t="str">
        <f>_xlfn.IFNA(VLOOKUP(U13,'GRPO Wiz Individual'!AP:BT,26,FALSE),"")</f>
        <v/>
      </c>
      <c r="BG13" t="str">
        <f>_xlfn.IFNA(VLOOKUP(U13,'GRPO Wiz Individual'!AP:BQ,28,FALSE),"")</f>
        <v/>
      </c>
      <c r="BH13" t="str">
        <f>_xlfn.IFNA(VLOOKUP(U13,'GRPO Wiz Individual'!AP:BN,25,FALSE),"")</f>
        <v/>
      </c>
      <c r="BI13" t="str">
        <f>_xlfn.IFNA(VLOOKUP(U13,'GRPO Wiz Individual'!AP:BT,31,FALSE),"")</f>
        <v/>
      </c>
      <c r="BJ13" t="str">
        <f>_xlfn.IFNA(VLOOKUP(U13,'GRPO Wiz Individual'!AP:BZ,32,FALSE),"")</f>
        <v/>
      </c>
      <c r="BK13" t="str">
        <f>_xlfn.IFNA(VLOOKUP(U13,'GRPO Wiz Individual'!AP:BZ,27,FALSE),"")</f>
        <v/>
      </c>
      <c r="BL13" t="str">
        <f>_xlfn.IFNA(VALUE(VLOOKUP(U13,'GRPO Wiz Individual'!AP:BZ,29,FALSE)),"")</f>
        <v/>
      </c>
      <c r="BM13" t="str">
        <f>_xlfn.IFNA(VLOOKUP(U13,'GRPO Wiz Individual'!AP:BZ,33,FALSE),"")</f>
        <v/>
      </c>
      <c r="BZ13" s="42"/>
      <c r="CA13" s="42"/>
    </row>
    <row r="14" spans="1:79" x14ac:dyDescent="0.25">
      <c r="B14" t="str">
        <f t="shared" si="1"/>
        <v/>
      </c>
      <c r="J14" s="43" t="str">
        <f t="shared" si="2"/>
        <v/>
      </c>
      <c r="X14" t="str">
        <f t="shared" si="0"/>
        <v/>
      </c>
      <c r="AG14" t="str">
        <f>_xlfn.IFNA(VLOOKUP(U14,'Incoming Material Report'!A:M,13,FALSE),"")</f>
        <v/>
      </c>
      <c r="AH14" t="str">
        <f>_xlfn.IFNA(IF(VLOOKUP(U14,'Incoming Material Report'!A:N,14,FALSE)="","",VLOOKUP(U14,'Incoming Material Report'!A:N,14,FALSE)),"")</f>
        <v/>
      </c>
      <c r="AI14" t="str">
        <f>_xlfn.IFNA(VLOOKUP(U14,'Incoming Material Report'!A:Z,24,FALSE),"")</f>
        <v/>
      </c>
      <c r="AJ14" t="str">
        <f>_xlfn.IFNA(VLOOKUP(U14,'Incoming Material Report'!A:Z,25,FALSE),"")</f>
        <v/>
      </c>
      <c r="AK14" t="str">
        <f>_xlfn.IFNA(VLOOKUP(U14,'Incoming Material Report'!A:Z,26,FALSE),"")</f>
        <v/>
      </c>
      <c r="AL14" t="str">
        <f>_xlfn.IFNA(VLOOKUP(U14,'Incoming Material Report'!A:Z,2,FALSE),"")</f>
        <v/>
      </c>
      <c r="AM14" s="54" t="str">
        <f>_xlfn.IFNA(VLOOKUP(U14,'Incoming Material Report'!A:K,11,FALSE)/1000,"")</f>
        <v/>
      </c>
      <c r="AN14" s="54"/>
      <c r="AO14" s="54" t="str">
        <f>_xlfn.IFNA(VLOOKUP(U14,'Incoming Material Report'!A:R,18,FALSE)*1000,"")</f>
        <v/>
      </c>
      <c r="AP14" s="54"/>
      <c r="AQ14" s="54" t="str">
        <f>_xlfn.IFNA(TEXT(VLOOKUP(U14,'Incoming Material Report'!A:D,4,FALSE),"dd.mm.yy"),"")</f>
        <v/>
      </c>
      <c r="AR14" s="54" t="str">
        <f>_xlfn.IFNA(VLOOKUP(U14,'Incoming Material Report'!A:Z,5,FALSE),"")</f>
        <v/>
      </c>
      <c r="AS14" s="54"/>
      <c r="AT14" s="54" t="str">
        <f>_xlfn.IFNA(VLOOKUP(U14,'Incoming Material Report'!A:Z,6,FALSE),"")</f>
        <v/>
      </c>
      <c r="AU14" s="54" t="str">
        <f>_xlfn.IFNA(VLOOKUP(U14,'Incoming Material Report'!A:Z,8,FALSE),"")</f>
        <v/>
      </c>
      <c r="AZ14" t="str">
        <f>_xlfn.IFNA(VLOOKUP(U14,'GRPO Wiz Individual'!AP:BT,17,FALSE),"")</f>
        <v/>
      </c>
      <c r="BA14" t="str">
        <f>_xlfn.IFNA(VLOOKUP(U14,'GRPO Wiz Individual'!AP:BT,18,FALSE),"")</f>
        <v/>
      </c>
      <c r="BB14" t="str">
        <f>_xlfn.IFNA(VLOOKUP(U14,'GRPO Wiz Individual'!AP:BT,19,FALSE),"")</f>
        <v/>
      </c>
      <c r="BC14" t="str">
        <f>_xlfn.IFNA(VLOOKUP(U14,'GRPO Wiz Individual'!AP:BT,20,FALSE),"")</f>
        <v/>
      </c>
      <c r="BD14" t="str">
        <f>_xlfn.IFNA(VLOOKUP(U14,'GRPO Wiz Individual'!AP:BT,21,FALSE),"")</f>
        <v/>
      </c>
      <c r="BE14" t="str">
        <f>_xlfn.IFNA((VLOOKUP(U14,'GRPO Wiz Individual'!AP:BT,22,FALSE)),"")</f>
        <v/>
      </c>
      <c r="BF14" t="str">
        <f>_xlfn.IFNA(VLOOKUP(U14,'GRPO Wiz Individual'!AP:BT,26,FALSE),"")</f>
        <v/>
      </c>
      <c r="BG14" t="str">
        <f>_xlfn.IFNA(VLOOKUP(U14,'GRPO Wiz Individual'!AP:BQ,28,FALSE),"")</f>
        <v/>
      </c>
      <c r="BH14" t="str">
        <f>_xlfn.IFNA(VLOOKUP(U14,'GRPO Wiz Individual'!AP:BN,25,FALSE),"")</f>
        <v/>
      </c>
      <c r="BI14" t="str">
        <f>_xlfn.IFNA(VLOOKUP(U14,'GRPO Wiz Individual'!AP:BT,31,FALSE),"")</f>
        <v/>
      </c>
      <c r="BJ14" t="str">
        <f>_xlfn.IFNA(VLOOKUP(U14,'GRPO Wiz Individual'!AP:BZ,32,FALSE),"")</f>
        <v/>
      </c>
      <c r="BK14" t="str">
        <f>_xlfn.IFNA(VLOOKUP(U14,'GRPO Wiz Individual'!AP:BZ,27,FALSE),"")</f>
        <v/>
      </c>
      <c r="BL14" t="str">
        <f>_xlfn.IFNA(VALUE(VLOOKUP(U14,'GRPO Wiz Individual'!AP:BZ,29,FALSE)),"")</f>
        <v/>
      </c>
      <c r="BM14" t="str">
        <f>_xlfn.IFNA(VLOOKUP(U14,'GRPO Wiz Individual'!AP:BZ,33,FALSE),"")</f>
        <v/>
      </c>
      <c r="BZ14" s="42"/>
      <c r="CA14" s="42"/>
    </row>
    <row r="15" spans="1:79" x14ac:dyDescent="0.25">
      <c r="B15" t="str">
        <f t="shared" si="1"/>
        <v/>
      </c>
      <c r="J15" s="43" t="str">
        <f t="shared" si="2"/>
        <v/>
      </c>
      <c r="X15" t="str">
        <f t="shared" si="0"/>
        <v/>
      </c>
      <c r="AG15" t="str">
        <f>_xlfn.IFNA(VLOOKUP(U15,'Incoming Material Report'!A:M,13,FALSE),"")</f>
        <v/>
      </c>
      <c r="AH15" t="str">
        <f>_xlfn.IFNA(IF(VLOOKUP(U15,'Incoming Material Report'!A:N,14,FALSE)="","",VLOOKUP(U15,'Incoming Material Report'!A:N,14,FALSE)),"")</f>
        <v/>
      </c>
      <c r="AI15" t="str">
        <f>_xlfn.IFNA(VLOOKUP(U15,'Incoming Material Report'!A:Z,24,FALSE),"")</f>
        <v/>
      </c>
      <c r="AJ15" t="str">
        <f>_xlfn.IFNA(VLOOKUP(U15,'Incoming Material Report'!A:Z,25,FALSE),"")</f>
        <v/>
      </c>
      <c r="AK15" t="str">
        <f>_xlfn.IFNA(VLOOKUP(U15,'Incoming Material Report'!A:Z,26,FALSE),"")</f>
        <v/>
      </c>
      <c r="AL15" t="str">
        <f>_xlfn.IFNA(VLOOKUP(U15,'Incoming Material Report'!A:Z,2,FALSE),"")</f>
        <v/>
      </c>
      <c r="AM15" s="54" t="str">
        <f>_xlfn.IFNA(VLOOKUP(U15,'Incoming Material Report'!A:K,11,FALSE)/1000,"")</f>
        <v/>
      </c>
      <c r="AN15" s="54"/>
      <c r="AO15" s="54" t="str">
        <f>_xlfn.IFNA(VLOOKUP(U15,'Incoming Material Report'!A:R,18,FALSE)*1000,"")</f>
        <v/>
      </c>
      <c r="AP15" s="54"/>
      <c r="AQ15" s="54" t="str">
        <f>_xlfn.IFNA(TEXT(VLOOKUP(U15,'Incoming Material Report'!A:D,4,FALSE),"dd.mm.yy"),"")</f>
        <v/>
      </c>
      <c r="AR15" s="54" t="str">
        <f>_xlfn.IFNA(VLOOKUP(U15,'Incoming Material Report'!A:Z,5,FALSE),"")</f>
        <v/>
      </c>
      <c r="AS15" s="54"/>
      <c r="AT15" s="54" t="str">
        <f>_xlfn.IFNA(VLOOKUP(U15,'Incoming Material Report'!A:Z,6,FALSE),"")</f>
        <v/>
      </c>
      <c r="AU15" s="54" t="str">
        <f>_xlfn.IFNA(VLOOKUP(U15,'Incoming Material Report'!A:Z,8,FALSE),"")</f>
        <v/>
      </c>
      <c r="AZ15" t="str">
        <f>_xlfn.IFNA(VLOOKUP(U15,'GRPO Wiz Individual'!AP:BT,17,FALSE),"")</f>
        <v/>
      </c>
      <c r="BA15" t="str">
        <f>_xlfn.IFNA(VLOOKUP(U15,'GRPO Wiz Individual'!AP:BT,18,FALSE),"")</f>
        <v/>
      </c>
      <c r="BB15" t="str">
        <f>_xlfn.IFNA(VLOOKUP(U15,'GRPO Wiz Individual'!AP:BT,19,FALSE),"")</f>
        <v/>
      </c>
      <c r="BC15" t="str">
        <f>_xlfn.IFNA(VLOOKUP(U15,'GRPO Wiz Individual'!AP:BT,20,FALSE),"")</f>
        <v/>
      </c>
      <c r="BD15" t="str">
        <f>_xlfn.IFNA(VLOOKUP(U15,'GRPO Wiz Individual'!AP:BT,21,FALSE),"")</f>
        <v/>
      </c>
      <c r="BE15" t="str">
        <f>_xlfn.IFNA((VLOOKUP(U15,'GRPO Wiz Individual'!AP:BT,22,FALSE)),"")</f>
        <v/>
      </c>
      <c r="BF15" t="str">
        <f>_xlfn.IFNA(VLOOKUP(U15,'GRPO Wiz Individual'!AP:BT,26,FALSE),"")</f>
        <v/>
      </c>
      <c r="BG15" t="str">
        <f>_xlfn.IFNA(VLOOKUP(U15,'GRPO Wiz Individual'!AP:BQ,28,FALSE),"")</f>
        <v/>
      </c>
      <c r="BH15" t="str">
        <f>_xlfn.IFNA(VLOOKUP(U15,'GRPO Wiz Individual'!AP:BN,25,FALSE),"")</f>
        <v/>
      </c>
      <c r="BI15" t="str">
        <f>_xlfn.IFNA(VLOOKUP(U15,'GRPO Wiz Individual'!AP:BT,31,FALSE),"")</f>
        <v/>
      </c>
      <c r="BJ15" t="str">
        <f>_xlfn.IFNA(VLOOKUP(U15,'GRPO Wiz Individual'!AP:BZ,32,FALSE),"")</f>
        <v/>
      </c>
      <c r="BK15" t="str">
        <f>_xlfn.IFNA(VLOOKUP(U15,'GRPO Wiz Individual'!AP:BZ,27,FALSE),"")</f>
        <v/>
      </c>
      <c r="BL15" t="str">
        <f>_xlfn.IFNA(VALUE(VLOOKUP(U15,'GRPO Wiz Individual'!AP:BZ,29,FALSE)),"")</f>
        <v/>
      </c>
      <c r="BM15" t="str">
        <f>_xlfn.IFNA(VLOOKUP(U15,'GRPO Wiz Individual'!AP:BZ,33,FALSE),"")</f>
        <v/>
      </c>
      <c r="BZ15" s="42"/>
      <c r="CA15" s="42"/>
    </row>
    <row r="16" spans="1:79" x14ac:dyDescent="0.25">
      <c r="B16" t="str">
        <f t="shared" si="1"/>
        <v/>
      </c>
      <c r="J16" s="43" t="str">
        <f t="shared" si="2"/>
        <v/>
      </c>
      <c r="X16" t="str">
        <f t="shared" si="0"/>
        <v/>
      </c>
      <c r="AG16" t="str">
        <f>_xlfn.IFNA(VLOOKUP(U16,'Incoming Material Report'!A:M,13,FALSE),"")</f>
        <v/>
      </c>
      <c r="AH16" t="str">
        <f>_xlfn.IFNA(IF(VLOOKUP(U16,'Incoming Material Report'!A:N,14,FALSE)="","",VLOOKUP(U16,'Incoming Material Report'!A:N,14,FALSE)),"")</f>
        <v/>
      </c>
      <c r="AI16" t="str">
        <f>_xlfn.IFNA(VLOOKUP(U16,'Incoming Material Report'!A:Z,24,FALSE),"")</f>
        <v/>
      </c>
      <c r="AJ16" t="str">
        <f>_xlfn.IFNA(VLOOKUP(U16,'Incoming Material Report'!A:Z,25,FALSE),"")</f>
        <v/>
      </c>
      <c r="AK16" t="str">
        <f>_xlfn.IFNA(VLOOKUP(U16,'Incoming Material Report'!A:Z,26,FALSE),"")</f>
        <v/>
      </c>
      <c r="AL16" t="str">
        <f>_xlfn.IFNA(VLOOKUP(U16,'Incoming Material Report'!A:Z,2,FALSE),"")</f>
        <v/>
      </c>
      <c r="AM16" s="54" t="str">
        <f>_xlfn.IFNA(VLOOKUP(U16,'Incoming Material Report'!A:K,11,FALSE)/1000,"")</f>
        <v/>
      </c>
      <c r="AN16" s="54"/>
      <c r="AO16" s="54" t="str">
        <f>_xlfn.IFNA(VLOOKUP(U16,'Incoming Material Report'!A:R,18,FALSE)*1000,"")</f>
        <v/>
      </c>
      <c r="AP16" s="54"/>
      <c r="AQ16" s="54" t="str">
        <f>_xlfn.IFNA(TEXT(VLOOKUP(U16,'Incoming Material Report'!A:D,4,FALSE),"dd.mm.yy"),"")</f>
        <v/>
      </c>
      <c r="AR16" s="54" t="str">
        <f>_xlfn.IFNA(VLOOKUP(U16,'Incoming Material Report'!A:Z,5,FALSE),"")</f>
        <v/>
      </c>
      <c r="AS16" s="54"/>
      <c r="AT16" s="54" t="str">
        <f>_xlfn.IFNA(VLOOKUP(U16,'Incoming Material Report'!A:Z,6,FALSE),"")</f>
        <v/>
      </c>
      <c r="AU16" s="54" t="str">
        <f>_xlfn.IFNA(VLOOKUP(U16,'Incoming Material Report'!A:Z,8,FALSE),"")</f>
        <v/>
      </c>
      <c r="AZ16" t="str">
        <f>_xlfn.IFNA(VLOOKUP(U16,'GRPO Wiz Individual'!AP:BT,17,FALSE),"")</f>
        <v/>
      </c>
      <c r="BA16" t="str">
        <f>_xlfn.IFNA(VLOOKUP(U16,'GRPO Wiz Individual'!AP:BT,18,FALSE),"")</f>
        <v/>
      </c>
      <c r="BB16" t="str">
        <f>_xlfn.IFNA(VLOOKUP(U16,'GRPO Wiz Individual'!AP:BT,19,FALSE),"")</f>
        <v/>
      </c>
      <c r="BC16" t="str">
        <f>_xlfn.IFNA(VLOOKUP(U16,'GRPO Wiz Individual'!AP:BT,20,FALSE),"")</f>
        <v/>
      </c>
      <c r="BD16" t="str">
        <f>_xlfn.IFNA(VLOOKUP(U16,'GRPO Wiz Individual'!AP:BT,21,FALSE),"")</f>
        <v/>
      </c>
      <c r="BE16" t="str">
        <f>_xlfn.IFNA((VLOOKUP(U16,'GRPO Wiz Individual'!AP:BT,22,FALSE)),"")</f>
        <v/>
      </c>
      <c r="BF16" t="str">
        <f>_xlfn.IFNA(VLOOKUP(U16,'GRPO Wiz Individual'!AP:BT,26,FALSE),"")</f>
        <v/>
      </c>
      <c r="BG16" t="str">
        <f>_xlfn.IFNA(VLOOKUP(U16,'GRPO Wiz Individual'!AP:BQ,28,FALSE),"")</f>
        <v/>
      </c>
      <c r="BH16" t="str">
        <f>_xlfn.IFNA(VLOOKUP(U16,'GRPO Wiz Individual'!AP:BN,25,FALSE),"")</f>
        <v/>
      </c>
      <c r="BI16" t="str">
        <f>_xlfn.IFNA(VLOOKUP(U16,'GRPO Wiz Individual'!AP:BT,31,FALSE),"")</f>
        <v/>
      </c>
      <c r="BJ16" t="str">
        <f>_xlfn.IFNA(VLOOKUP(U16,'GRPO Wiz Individual'!AP:BZ,32,FALSE),"")</f>
        <v/>
      </c>
      <c r="BK16" t="str">
        <f>_xlfn.IFNA(VLOOKUP(U16,'GRPO Wiz Individual'!AP:BZ,27,FALSE),"")</f>
        <v/>
      </c>
      <c r="BL16" t="str">
        <f>_xlfn.IFNA(VALUE(VLOOKUP(U16,'GRPO Wiz Individual'!AP:BZ,29,FALSE)),"")</f>
        <v/>
      </c>
      <c r="BM16" t="str">
        <f>_xlfn.IFNA(VLOOKUP(U16,'GRPO Wiz Individual'!AP:BZ,33,FALSE),"")</f>
        <v/>
      </c>
      <c r="BZ16" s="42"/>
      <c r="CA16" s="42"/>
    </row>
    <row r="17" spans="2:79" x14ac:dyDescent="0.25">
      <c r="B17" t="str">
        <f t="shared" si="1"/>
        <v/>
      </c>
      <c r="J17" s="43" t="str">
        <f t="shared" si="2"/>
        <v/>
      </c>
      <c r="X17" t="str">
        <f t="shared" si="0"/>
        <v/>
      </c>
      <c r="AG17" t="str">
        <f>_xlfn.IFNA(VLOOKUP(U17,'Incoming Material Report'!A:M,13,FALSE),"")</f>
        <v/>
      </c>
      <c r="AH17" t="str">
        <f>_xlfn.IFNA(IF(VLOOKUP(U17,'Incoming Material Report'!A:N,14,FALSE)="","",VLOOKUP(U17,'Incoming Material Report'!A:N,14,FALSE)),"")</f>
        <v/>
      </c>
      <c r="AI17" t="str">
        <f>_xlfn.IFNA(VLOOKUP(U17,'Incoming Material Report'!A:Z,24,FALSE),"")</f>
        <v/>
      </c>
      <c r="AJ17" t="str">
        <f>_xlfn.IFNA(VLOOKUP(U17,'Incoming Material Report'!A:Z,25,FALSE),"")</f>
        <v/>
      </c>
      <c r="AK17" t="str">
        <f>_xlfn.IFNA(VLOOKUP(U17,'Incoming Material Report'!A:Z,26,FALSE),"")</f>
        <v/>
      </c>
      <c r="AL17" t="str">
        <f>_xlfn.IFNA(VLOOKUP(U17,'Incoming Material Report'!A:Z,2,FALSE),"")</f>
        <v/>
      </c>
      <c r="AM17" s="54" t="str">
        <f>_xlfn.IFNA(VLOOKUP(U17,'Incoming Material Report'!A:K,11,FALSE)/1000,"")</f>
        <v/>
      </c>
      <c r="AN17" s="54"/>
      <c r="AO17" s="54" t="str">
        <f>_xlfn.IFNA(VLOOKUP(U17,'Incoming Material Report'!A:R,18,FALSE)*1000,"")</f>
        <v/>
      </c>
      <c r="AP17" s="54"/>
      <c r="AQ17" s="54" t="str">
        <f>_xlfn.IFNA(TEXT(VLOOKUP(U17,'Incoming Material Report'!A:D,4,FALSE),"dd.mm.yy"),"")</f>
        <v/>
      </c>
      <c r="AR17" s="54" t="str">
        <f>_xlfn.IFNA(VLOOKUP(U17,'Incoming Material Report'!A:Z,5,FALSE),"")</f>
        <v/>
      </c>
      <c r="AS17" s="54"/>
      <c r="AT17" s="54" t="str">
        <f>_xlfn.IFNA(VLOOKUP(U17,'Incoming Material Report'!A:Z,6,FALSE),"")</f>
        <v/>
      </c>
      <c r="AU17" s="54" t="str">
        <f>_xlfn.IFNA(VLOOKUP(U17,'Incoming Material Report'!A:Z,8,FALSE),"")</f>
        <v/>
      </c>
      <c r="AZ17" t="str">
        <f>_xlfn.IFNA(VLOOKUP(U17,'GRPO Wiz Individual'!AP:BT,17,FALSE),"")</f>
        <v/>
      </c>
      <c r="BA17" t="str">
        <f>_xlfn.IFNA(VLOOKUP(U17,'GRPO Wiz Individual'!AP:BT,18,FALSE),"")</f>
        <v/>
      </c>
      <c r="BB17" t="str">
        <f>_xlfn.IFNA(VLOOKUP(U17,'GRPO Wiz Individual'!AP:BT,19,FALSE),"")</f>
        <v/>
      </c>
      <c r="BC17" t="str">
        <f>_xlfn.IFNA(VLOOKUP(U17,'GRPO Wiz Individual'!AP:BT,20,FALSE),"")</f>
        <v/>
      </c>
      <c r="BD17" t="str">
        <f>_xlfn.IFNA(VLOOKUP(U17,'GRPO Wiz Individual'!AP:BT,21,FALSE),"")</f>
        <v/>
      </c>
      <c r="BE17" t="str">
        <f>_xlfn.IFNA((VLOOKUP(U17,'GRPO Wiz Individual'!AP:BT,22,FALSE)),"")</f>
        <v/>
      </c>
      <c r="BF17" t="str">
        <f>_xlfn.IFNA(VLOOKUP(U17,'GRPO Wiz Individual'!AP:BT,26,FALSE),"")</f>
        <v/>
      </c>
      <c r="BG17" t="str">
        <f>_xlfn.IFNA(VLOOKUP(U17,'GRPO Wiz Individual'!AP:BQ,28,FALSE),"")</f>
        <v/>
      </c>
      <c r="BH17" t="str">
        <f>_xlfn.IFNA(VLOOKUP(U17,'GRPO Wiz Individual'!AP:BN,25,FALSE),"")</f>
        <v/>
      </c>
      <c r="BI17" t="str">
        <f>_xlfn.IFNA(VLOOKUP(U17,'GRPO Wiz Individual'!AP:BT,31,FALSE),"")</f>
        <v/>
      </c>
      <c r="BJ17" t="str">
        <f>_xlfn.IFNA(VLOOKUP(U17,'GRPO Wiz Individual'!AP:BZ,32,FALSE),"")</f>
        <v/>
      </c>
      <c r="BK17" t="str">
        <f>_xlfn.IFNA(VLOOKUP(U17,'GRPO Wiz Individual'!AP:BZ,27,FALSE),"")</f>
        <v/>
      </c>
      <c r="BL17" t="str">
        <f>_xlfn.IFNA(VALUE(VLOOKUP(U17,'GRPO Wiz Individual'!AP:BZ,29,FALSE)),"")</f>
        <v/>
      </c>
      <c r="BM17" t="str">
        <f>_xlfn.IFNA(VLOOKUP(U17,'GRPO Wiz Individual'!AP:BZ,33,FALSE),"")</f>
        <v/>
      </c>
      <c r="BZ17" s="42"/>
      <c r="CA17" s="42"/>
    </row>
    <row r="18" spans="2:79" x14ac:dyDescent="0.25">
      <c r="B18" t="str">
        <f t="shared" si="1"/>
        <v/>
      </c>
      <c r="J18" s="43" t="str">
        <f t="shared" si="2"/>
        <v/>
      </c>
      <c r="X18" t="str">
        <f t="shared" si="0"/>
        <v/>
      </c>
      <c r="AG18" t="str">
        <f>_xlfn.IFNA(VLOOKUP(U18,'Incoming Material Report'!A:M,13,FALSE),"")</f>
        <v/>
      </c>
      <c r="AH18" t="str">
        <f>_xlfn.IFNA(IF(VLOOKUP(U18,'Incoming Material Report'!A:N,14,FALSE)="","",VLOOKUP(U18,'Incoming Material Report'!A:N,14,FALSE)),"")</f>
        <v/>
      </c>
      <c r="AI18" t="str">
        <f>_xlfn.IFNA(VLOOKUP(U18,'Incoming Material Report'!A:Z,24,FALSE),"")</f>
        <v/>
      </c>
      <c r="AJ18" t="str">
        <f>_xlfn.IFNA(VLOOKUP(U18,'Incoming Material Report'!A:Z,25,FALSE),"")</f>
        <v/>
      </c>
      <c r="AK18" t="str">
        <f>_xlfn.IFNA(VLOOKUP(U18,'Incoming Material Report'!A:Z,26,FALSE),"")</f>
        <v/>
      </c>
      <c r="AL18" t="str">
        <f>_xlfn.IFNA(VLOOKUP(U18,'Incoming Material Report'!A:Z,2,FALSE),"")</f>
        <v/>
      </c>
      <c r="AM18" s="54" t="str">
        <f>_xlfn.IFNA(VLOOKUP(U18,'Incoming Material Report'!A:K,11,FALSE)/1000,"")</f>
        <v/>
      </c>
      <c r="AN18" s="54"/>
      <c r="AO18" s="54" t="str">
        <f>_xlfn.IFNA(VLOOKUP(U18,'Incoming Material Report'!A:R,18,FALSE)*1000,"")</f>
        <v/>
      </c>
      <c r="AP18" s="54"/>
      <c r="AQ18" s="54" t="str">
        <f>_xlfn.IFNA(TEXT(VLOOKUP(U18,'Incoming Material Report'!A:D,4,FALSE),"dd.mm.yy"),"")</f>
        <v/>
      </c>
      <c r="AR18" s="54" t="str">
        <f>_xlfn.IFNA(VLOOKUP(U18,'Incoming Material Report'!A:Z,5,FALSE),"")</f>
        <v/>
      </c>
      <c r="AS18" s="54"/>
      <c r="AT18" s="54" t="str">
        <f>_xlfn.IFNA(VLOOKUP(U18,'Incoming Material Report'!A:Z,6,FALSE),"")</f>
        <v/>
      </c>
      <c r="AU18" s="54" t="str">
        <f>_xlfn.IFNA(VLOOKUP(U18,'Incoming Material Report'!A:Z,8,FALSE),"")</f>
        <v/>
      </c>
      <c r="AZ18" t="str">
        <f>_xlfn.IFNA(VLOOKUP(U18,'GRPO Wiz Individual'!AP:BT,17,FALSE),"")</f>
        <v/>
      </c>
      <c r="BA18" t="str">
        <f>_xlfn.IFNA(VLOOKUP(U18,'GRPO Wiz Individual'!AP:BT,18,FALSE),"")</f>
        <v/>
      </c>
      <c r="BB18" t="str">
        <f>_xlfn.IFNA(VLOOKUP(U18,'GRPO Wiz Individual'!AP:BT,19,FALSE),"")</f>
        <v/>
      </c>
      <c r="BC18" t="str">
        <f>_xlfn.IFNA(VLOOKUP(U18,'GRPO Wiz Individual'!AP:BT,20,FALSE),"")</f>
        <v/>
      </c>
      <c r="BD18" t="str">
        <f>_xlfn.IFNA(VLOOKUP(U18,'GRPO Wiz Individual'!AP:BT,21,FALSE),"")</f>
        <v/>
      </c>
      <c r="BE18" t="str">
        <f>_xlfn.IFNA((VLOOKUP(U18,'GRPO Wiz Individual'!AP:BT,22,FALSE)),"")</f>
        <v/>
      </c>
      <c r="BF18" t="str">
        <f>_xlfn.IFNA(VLOOKUP(U18,'GRPO Wiz Individual'!AP:BT,26,FALSE),"")</f>
        <v/>
      </c>
      <c r="BG18" t="str">
        <f>_xlfn.IFNA(VLOOKUP(U18,'GRPO Wiz Individual'!AP:BQ,28,FALSE),"")</f>
        <v/>
      </c>
      <c r="BH18" t="str">
        <f>_xlfn.IFNA(VLOOKUP(U18,'GRPO Wiz Individual'!AP:BN,25,FALSE),"")</f>
        <v/>
      </c>
      <c r="BI18" t="str">
        <f>_xlfn.IFNA(VLOOKUP(U18,'GRPO Wiz Individual'!AP:BT,31,FALSE),"")</f>
        <v/>
      </c>
      <c r="BJ18" t="str">
        <f>_xlfn.IFNA(VLOOKUP(U18,'GRPO Wiz Individual'!AP:BZ,32,FALSE),"")</f>
        <v/>
      </c>
      <c r="BK18" t="str">
        <f>_xlfn.IFNA(VLOOKUP(U18,'GRPO Wiz Individual'!AP:BZ,27,FALSE),"")</f>
        <v/>
      </c>
      <c r="BL18" t="str">
        <f>_xlfn.IFNA(VALUE(VLOOKUP(U18,'GRPO Wiz Individual'!AP:BZ,29,FALSE)),"")</f>
        <v/>
      </c>
      <c r="BM18" t="str">
        <f>_xlfn.IFNA(VLOOKUP(U18,'GRPO Wiz Individual'!AP:BZ,33,FALSE),"")</f>
        <v/>
      </c>
      <c r="BZ18" s="42"/>
      <c r="CA18" s="42"/>
    </row>
    <row r="19" spans="2:79" x14ac:dyDescent="0.25">
      <c r="B19" t="str">
        <f t="shared" si="1"/>
        <v/>
      </c>
      <c r="J19" s="43" t="str">
        <f t="shared" si="2"/>
        <v/>
      </c>
      <c r="X19" t="str">
        <f t="shared" si="0"/>
        <v/>
      </c>
      <c r="AG19" t="str">
        <f>_xlfn.IFNA(VLOOKUP(U19,'Incoming Material Report'!A:M,13,FALSE),"")</f>
        <v/>
      </c>
      <c r="AH19" t="str">
        <f>_xlfn.IFNA(IF(VLOOKUP(U19,'Incoming Material Report'!A:N,14,FALSE)="","",VLOOKUP(U19,'Incoming Material Report'!A:N,14,FALSE)),"")</f>
        <v/>
      </c>
      <c r="AI19" t="str">
        <f>_xlfn.IFNA(VLOOKUP(U19,'Incoming Material Report'!A:Z,24,FALSE),"")</f>
        <v/>
      </c>
      <c r="AJ19" t="str">
        <f>_xlfn.IFNA(VLOOKUP(U19,'Incoming Material Report'!A:Z,25,FALSE),"")</f>
        <v/>
      </c>
      <c r="AK19" t="str">
        <f>_xlfn.IFNA(VLOOKUP(U19,'Incoming Material Report'!A:Z,26,FALSE),"")</f>
        <v/>
      </c>
      <c r="AL19" t="str">
        <f>_xlfn.IFNA(VLOOKUP(U19,'Incoming Material Report'!A:Z,2,FALSE),"")</f>
        <v/>
      </c>
      <c r="AM19" s="54" t="str">
        <f>_xlfn.IFNA(VLOOKUP(U19,'Incoming Material Report'!A:K,11,FALSE)/1000,"")</f>
        <v/>
      </c>
      <c r="AN19" s="54"/>
      <c r="AO19" s="54" t="str">
        <f>_xlfn.IFNA(VLOOKUP(U19,'Incoming Material Report'!A:R,18,FALSE)*1000,"")</f>
        <v/>
      </c>
      <c r="AP19" s="54"/>
      <c r="AQ19" s="54" t="str">
        <f>_xlfn.IFNA(TEXT(VLOOKUP(U19,'Incoming Material Report'!A:D,4,FALSE),"dd.mm.yy"),"")</f>
        <v/>
      </c>
      <c r="AR19" s="54" t="str">
        <f>_xlfn.IFNA(VLOOKUP(U19,'Incoming Material Report'!A:Z,5,FALSE),"")</f>
        <v/>
      </c>
      <c r="AS19" s="54"/>
      <c r="AT19" s="54" t="str">
        <f>_xlfn.IFNA(VLOOKUP(U19,'Incoming Material Report'!A:Z,6,FALSE),"")</f>
        <v/>
      </c>
      <c r="AU19" s="54" t="str">
        <f>_xlfn.IFNA(VLOOKUP(U19,'Incoming Material Report'!A:Z,8,FALSE),"")</f>
        <v/>
      </c>
      <c r="AZ19" t="str">
        <f>_xlfn.IFNA(VLOOKUP(U19,'GRPO Wiz Individual'!AP:BT,17,FALSE),"")</f>
        <v/>
      </c>
      <c r="BA19" t="str">
        <f>_xlfn.IFNA(VLOOKUP(U19,'GRPO Wiz Individual'!AP:BT,18,FALSE),"")</f>
        <v/>
      </c>
      <c r="BB19" t="str">
        <f>_xlfn.IFNA(VLOOKUP(U19,'GRPO Wiz Individual'!AP:BT,19,FALSE),"")</f>
        <v/>
      </c>
      <c r="BC19" t="str">
        <f>_xlfn.IFNA(VLOOKUP(U19,'GRPO Wiz Individual'!AP:BT,20,FALSE),"")</f>
        <v/>
      </c>
      <c r="BD19" t="str">
        <f>_xlfn.IFNA(VLOOKUP(U19,'GRPO Wiz Individual'!AP:BT,21,FALSE),"")</f>
        <v/>
      </c>
      <c r="BE19" t="str">
        <f>_xlfn.IFNA((VLOOKUP(U19,'GRPO Wiz Individual'!AP:BT,22,FALSE)),"")</f>
        <v/>
      </c>
      <c r="BF19" t="str">
        <f>_xlfn.IFNA(VLOOKUP(U19,'GRPO Wiz Individual'!AP:BT,26,FALSE),"")</f>
        <v/>
      </c>
      <c r="BG19" t="str">
        <f>_xlfn.IFNA(VLOOKUP(U19,'GRPO Wiz Individual'!AP:BQ,28,FALSE),"")</f>
        <v/>
      </c>
      <c r="BH19" t="str">
        <f>_xlfn.IFNA(VLOOKUP(U19,'GRPO Wiz Individual'!AP:BN,25,FALSE),"")</f>
        <v/>
      </c>
      <c r="BI19" t="str">
        <f>_xlfn.IFNA(VLOOKUP(U19,'GRPO Wiz Individual'!AP:BT,31,FALSE),"")</f>
        <v/>
      </c>
      <c r="BJ19" t="str">
        <f>_xlfn.IFNA(VLOOKUP(U19,'GRPO Wiz Individual'!AP:BZ,32,FALSE),"")</f>
        <v/>
      </c>
      <c r="BK19" t="str">
        <f>_xlfn.IFNA(VLOOKUP(U19,'GRPO Wiz Individual'!AP:BZ,27,FALSE),"")</f>
        <v/>
      </c>
      <c r="BL19" t="str">
        <f>_xlfn.IFNA(VALUE(VLOOKUP(U19,'GRPO Wiz Individual'!AP:BZ,29,FALSE)),"")</f>
        <v/>
      </c>
      <c r="BM19" t="str">
        <f>_xlfn.IFNA(VLOOKUP(U19,'GRPO Wiz Individual'!AP:BZ,33,FALSE),"")</f>
        <v/>
      </c>
      <c r="BZ19" s="42"/>
      <c r="CA19" s="42"/>
    </row>
    <row r="20" spans="2:79" x14ac:dyDescent="0.25">
      <c r="B20" t="str">
        <f t="shared" si="1"/>
        <v/>
      </c>
      <c r="J20" s="43" t="str">
        <f t="shared" si="2"/>
        <v/>
      </c>
      <c r="X20" t="str">
        <f t="shared" si="0"/>
        <v/>
      </c>
      <c r="AG20" t="str">
        <f>_xlfn.IFNA(VLOOKUP(U20,'Incoming Material Report'!A:M,13,FALSE),"")</f>
        <v/>
      </c>
      <c r="AH20" t="str">
        <f>_xlfn.IFNA(IF(VLOOKUP(U20,'Incoming Material Report'!A:N,14,FALSE)="","",VLOOKUP(U20,'Incoming Material Report'!A:N,14,FALSE)),"")</f>
        <v/>
      </c>
      <c r="AI20" t="str">
        <f>_xlfn.IFNA(VLOOKUP(U20,'Incoming Material Report'!A:Z,24,FALSE),"")</f>
        <v/>
      </c>
      <c r="AJ20" t="str">
        <f>_xlfn.IFNA(VLOOKUP(U20,'Incoming Material Report'!A:Z,25,FALSE),"")</f>
        <v/>
      </c>
      <c r="AK20" t="str">
        <f>_xlfn.IFNA(VLOOKUP(U20,'Incoming Material Report'!A:Z,26,FALSE),"")</f>
        <v/>
      </c>
      <c r="AL20" t="str">
        <f>_xlfn.IFNA(VLOOKUP(U20,'Incoming Material Report'!A:Z,2,FALSE),"")</f>
        <v/>
      </c>
      <c r="AM20" s="54" t="str">
        <f>_xlfn.IFNA(VLOOKUP(U20,'Incoming Material Report'!A:K,11,FALSE)/1000,"")</f>
        <v/>
      </c>
      <c r="AN20" s="54"/>
      <c r="AO20" s="54" t="str">
        <f>_xlfn.IFNA(VLOOKUP(U20,'Incoming Material Report'!A:R,18,FALSE)*1000,"")</f>
        <v/>
      </c>
      <c r="AP20" s="54"/>
      <c r="AQ20" s="54" t="str">
        <f>_xlfn.IFNA(TEXT(VLOOKUP(U20,'Incoming Material Report'!A:D,4,FALSE),"dd.mm.yy"),"")</f>
        <v/>
      </c>
      <c r="AR20" s="54" t="str">
        <f>_xlfn.IFNA(VLOOKUP(U20,'Incoming Material Report'!A:Z,5,FALSE),"")</f>
        <v/>
      </c>
      <c r="AS20" s="54"/>
      <c r="AT20" s="54" t="str">
        <f>_xlfn.IFNA(VLOOKUP(U20,'Incoming Material Report'!A:Z,6,FALSE),"")</f>
        <v/>
      </c>
      <c r="AU20" s="54" t="str">
        <f>_xlfn.IFNA(VLOOKUP(U20,'Incoming Material Report'!A:Z,8,FALSE),"")</f>
        <v/>
      </c>
      <c r="AZ20" t="str">
        <f>_xlfn.IFNA(VLOOKUP(U20,'GRPO Wiz Individual'!AP:BT,17,FALSE),"")</f>
        <v/>
      </c>
      <c r="BA20" t="str">
        <f>_xlfn.IFNA(VLOOKUP(U20,'GRPO Wiz Individual'!AP:BT,18,FALSE),"")</f>
        <v/>
      </c>
      <c r="BB20" t="str">
        <f>_xlfn.IFNA(VLOOKUP(U20,'GRPO Wiz Individual'!AP:BT,19,FALSE),"")</f>
        <v/>
      </c>
      <c r="BC20" t="str">
        <f>_xlfn.IFNA(VLOOKUP(U20,'GRPO Wiz Individual'!AP:BT,20,FALSE),"")</f>
        <v/>
      </c>
      <c r="BD20" t="str">
        <f>_xlfn.IFNA(VLOOKUP(U20,'GRPO Wiz Individual'!AP:BT,21,FALSE),"")</f>
        <v/>
      </c>
      <c r="BE20" t="str">
        <f>_xlfn.IFNA((VLOOKUP(U20,'GRPO Wiz Individual'!AP:BT,22,FALSE)),"")</f>
        <v/>
      </c>
      <c r="BF20" t="str">
        <f>_xlfn.IFNA(VLOOKUP(U20,'GRPO Wiz Individual'!AP:BT,26,FALSE),"")</f>
        <v/>
      </c>
      <c r="BG20" t="str">
        <f>_xlfn.IFNA(VLOOKUP(U20,'GRPO Wiz Individual'!AP:BQ,28,FALSE),"")</f>
        <v/>
      </c>
      <c r="BH20" t="str">
        <f>_xlfn.IFNA(VLOOKUP(U20,'GRPO Wiz Individual'!AP:BN,25,FALSE),"")</f>
        <v/>
      </c>
      <c r="BI20" t="str">
        <f>_xlfn.IFNA(VLOOKUP(U20,'GRPO Wiz Individual'!AP:BT,31,FALSE),"")</f>
        <v/>
      </c>
      <c r="BJ20" t="str">
        <f>_xlfn.IFNA(VLOOKUP(U20,'GRPO Wiz Individual'!AP:BZ,32,FALSE),"")</f>
        <v/>
      </c>
      <c r="BK20" t="str">
        <f>_xlfn.IFNA(VLOOKUP(U20,'GRPO Wiz Individual'!AP:BZ,27,FALSE),"")</f>
        <v/>
      </c>
      <c r="BL20" t="str">
        <f>_xlfn.IFNA(VALUE(VLOOKUP(U20,'GRPO Wiz Individual'!AP:BZ,29,FALSE)),"")</f>
        <v/>
      </c>
      <c r="BM20" t="str">
        <f>_xlfn.IFNA(VLOOKUP(U20,'GRPO Wiz Individual'!AP:BZ,33,FALSE),"")</f>
        <v/>
      </c>
      <c r="BZ20" s="42"/>
      <c r="CA20" s="42"/>
    </row>
    <row r="21" spans="2:79" x14ac:dyDescent="0.25">
      <c r="B21" t="str">
        <f t="shared" si="1"/>
        <v/>
      </c>
      <c r="J21" s="43" t="str">
        <f t="shared" si="2"/>
        <v/>
      </c>
      <c r="X21" t="str">
        <f t="shared" si="0"/>
        <v/>
      </c>
      <c r="AG21" t="str">
        <f>_xlfn.IFNA(VLOOKUP(U21,'Incoming Material Report'!A:M,13,FALSE),"")</f>
        <v/>
      </c>
      <c r="AH21" t="str">
        <f>_xlfn.IFNA(IF(VLOOKUP(U21,'Incoming Material Report'!A:N,14,FALSE)="","",VLOOKUP(U21,'Incoming Material Report'!A:N,14,FALSE)),"")</f>
        <v/>
      </c>
      <c r="AI21" t="str">
        <f>_xlfn.IFNA(VLOOKUP(U21,'Incoming Material Report'!A:Z,24,FALSE),"")</f>
        <v/>
      </c>
      <c r="AJ21" t="str">
        <f>_xlfn.IFNA(VLOOKUP(U21,'Incoming Material Report'!A:Z,25,FALSE),"")</f>
        <v/>
      </c>
      <c r="AK21" t="str">
        <f>_xlfn.IFNA(VLOOKUP(U21,'Incoming Material Report'!A:Z,26,FALSE),"")</f>
        <v/>
      </c>
      <c r="AL21" t="str">
        <f>_xlfn.IFNA(VLOOKUP(U21,'Incoming Material Report'!A:Z,2,FALSE),"")</f>
        <v/>
      </c>
      <c r="AM21" s="54" t="str">
        <f>_xlfn.IFNA(VLOOKUP(U21,'Incoming Material Report'!A:K,11,FALSE)/1000,"")</f>
        <v/>
      </c>
      <c r="AN21" s="54"/>
      <c r="AO21" s="54" t="str">
        <f>_xlfn.IFNA(VLOOKUP(U21,'Incoming Material Report'!A:R,18,FALSE)*1000,"")</f>
        <v/>
      </c>
      <c r="AP21" s="54"/>
      <c r="AQ21" s="54" t="str">
        <f>_xlfn.IFNA(TEXT(VLOOKUP(U21,'Incoming Material Report'!A:D,4,FALSE),"dd.mm.yy"),"")</f>
        <v/>
      </c>
      <c r="AR21" s="54" t="str">
        <f>_xlfn.IFNA(VLOOKUP(U21,'Incoming Material Report'!A:Z,5,FALSE),"")</f>
        <v/>
      </c>
      <c r="AS21" s="54"/>
      <c r="AT21" s="54" t="str">
        <f>_xlfn.IFNA(VLOOKUP(U21,'Incoming Material Report'!A:Z,6,FALSE),"")</f>
        <v/>
      </c>
      <c r="AU21" s="54" t="str">
        <f>_xlfn.IFNA(VLOOKUP(U21,'Incoming Material Report'!A:Z,8,FALSE),"")</f>
        <v/>
      </c>
      <c r="AZ21" t="str">
        <f>_xlfn.IFNA(VLOOKUP(U21,'GRPO Wiz Individual'!AP:BT,17,FALSE),"")</f>
        <v/>
      </c>
      <c r="BA21" t="str">
        <f>_xlfn.IFNA(VLOOKUP(U21,'GRPO Wiz Individual'!AP:BT,18,FALSE),"")</f>
        <v/>
      </c>
      <c r="BB21" t="str">
        <f>_xlfn.IFNA(VLOOKUP(U21,'GRPO Wiz Individual'!AP:BT,19,FALSE),"")</f>
        <v/>
      </c>
      <c r="BC21" t="str">
        <f>_xlfn.IFNA(VLOOKUP(U21,'GRPO Wiz Individual'!AP:BT,20,FALSE),"")</f>
        <v/>
      </c>
      <c r="BD21" t="str">
        <f>_xlfn.IFNA(VLOOKUP(U21,'GRPO Wiz Individual'!AP:BT,21,FALSE),"")</f>
        <v/>
      </c>
      <c r="BE21" t="str">
        <f>_xlfn.IFNA((VLOOKUP(U21,'GRPO Wiz Individual'!AP:BT,22,FALSE)),"")</f>
        <v/>
      </c>
      <c r="BF21" t="str">
        <f>_xlfn.IFNA(VLOOKUP(U21,'GRPO Wiz Individual'!AP:BT,26,FALSE),"")</f>
        <v/>
      </c>
      <c r="BG21" t="str">
        <f>_xlfn.IFNA(VLOOKUP(U21,'GRPO Wiz Individual'!AP:BQ,28,FALSE),"")</f>
        <v/>
      </c>
      <c r="BH21" t="str">
        <f>_xlfn.IFNA(VLOOKUP(U21,'GRPO Wiz Individual'!AP:BN,25,FALSE),"")</f>
        <v/>
      </c>
      <c r="BI21" t="str">
        <f>_xlfn.IFNA(VLOOKUP(U21,'GRPO Wiz Individual'!AP:BT,31,FALSE),"")</f>
        <v/>
      </c>
      <c r="BJ21" t="str">
        <f>_xlfn.IFNA(VLOOKUP(U21,'GRPO Wiz Individual'!AP:BZ,32,FALSE),"")</f>
        <v/>
      </c>
      <c r="BK21" t="str">
        <f>_xlfn.IFNA(VLOOKUP(U21,'GRPO Wiz Individual'!AP:BZ,27,FALSE),"")</f>
        <v/>
      </c>
      <c r="BL21" t="str">
        <f>_xlfn.IFNA(VALUE(VLOOKUP(U21,'GRPO Wiz Individual'!AP:BZ,29,FALSE)),"")</f>
        <v/>
      </c>
      <c r="BM21" t="str">
        <f>_xlfn.IFNA(VLOOKUP(U21,'GRPO Wiz Individual'!AP:BZ,33,FALSE),"")</f>
        <v/>
      </c>
      <c r="BZ21" s="42"/>
      <c r="CA21" s="42"/>
    </row>
    <row r="22" spans="2:79" x14ac:dyDescent="0.25">
      <c r="B22" t="str">
        <f t="shared" si="1"/>
        <v/>
      </c>
      <c r="J22" s="43" t="str">
        <f t="shared" si="2"/>
        <v/>
      </c>
      <c r="X22" t="str">
        <f t="shared" si="0"/>
        <v/>
      </c>
      <c r="AG22" t="str">
        <f>_xlfn.IFNA(VLOOKUP(U22,'Incoming Material Report'!A:M,13,FALSE),"")</f>
        <v/>
      </c>
      <c r="AH22" t="str">
        <f>_xlfn.IFNA(IF(VLOOKUP(U22,'Incoming Material Report'!A:N,14,FALSE)="","",VLOOKUP(U22,'Incoming Material Report'!A:N,14,FALSE)),"")</f>
        <v/>
      </c>
      <c r="AI22" t="str">
        <f>_xlfn.IFNA(VLOOKUP(U22,'Incoming Material Report'!A:Z,24,FALSE),"")</f>
        <v/>
      </c>
      <c r="AJ22" t="str">
        <f>_xlfn.IFNA(VLOOKUP(U22,'Incoming Material Report'!A:Z,25,FALSE),"")</f>
        <v/>
      </c>
      <c r="AK22" t="str">
        <f>_xlfn.IFNA(VLOOKUP(U22,'Incoming Material Report'!A:Z,26,FALSE),"")</f>
        <v/>
      </c>
      <c r="AL22" t="str">
        <f>_xlfn.IFNA(VLOOKUP(U22,'Incoming Material Report'!A:Z,2,FALSE),"")</f>
        <v/>
      </c>
      <c r="AM22" s="54" t="str">
        <f>_xlfn.IFNA(VLOOKUP(U22,'Incoming Material Report'!A:K,11,FALSE)/1000,"")</f>
        <v/>
      </c>
      <c r="AN22" s="54"/>
      <c r="AO22" s="54" t="str">
        <f>_xlfn.IFNA(VLOOKUP(U22,'Incoming Material Report'!A:R,18,FALSE)*1000,"")</f>
        <v/>
      </c>
      <c r="AP22" s="54"/>
      <c r="AQ22" s="54" t="str">
        <f>_xlfn.IFNA(TEXT(VLOOKUP(U22,'Incoming Material Report'!A:D,4,FALSE),"dd.mm.yy"),"")</f>
        <v/>
      </c>
      <c r="AR22" s="54" t="str">
        <f>_xlfn.IFNA(VLOOKUP(U22,'Incoming Material Report'!A:Z,5,FALSE),"")</f>
        <v/>
      </c>
      <c r="AS22" s="54"/>
      <c r="AT22" s="54" t="str">
        <f>_xlfn.IFNA(VLOOKUP(U22,'Incoming Material Report'!A:Z,6,FALSE),"")</f>
        <v/>
      </c>
      <c r="AU22" s="54" t="str">
        <f>_xlfn.IFNA(VLOOKUP(U22,'Incoming Material Report'!A:Z,8,FALSE),"")</f>
        <v/>
      </c>
      <c r="AZ22" t="str">
        <f>_xlfn.IFNA(VLOOKUP(U22,'GRPO Wiz Individual'!AP:BT,17,FALSE),"")</f>
        <v/>
      </c>
      <c r="BA22" t="str">
        <f>_xlfn.IFNA(VLOOKUP(U22,'GRPO Wiz Individual'!AP:BT,18,FALSE),"")</f>
        <v/>
      </c>
      <c r="BB22" t="str">
        <f>_xlfn.IFNA(VLOOKUP(U22,'GRPO Wiz Individual'!AP:BT,19,FALSE),"")</f>
        <v/>
      </c>
      <c r="BC22" t="str">
        <f>_xlfn.IFNA(VLOOKUP(U22,'GRPO Wiz Individual'!AP:BT,20,FALSE),"")</f>
        <v/>
      </c>
      <c r="BD22" t="str">
        <f>_xlfn.IFNA(VLOOKUP(U22,'GRPO Wiz Individual'!AP:BT,21,FALSE),"")</f>
        <v/>
      </c>
      <c r="BE22" t="str">
        <f>_xlfn.IFNA((VLOOKUP(U22,'GRPO Wiz Individual'!AP:BT,22,FALSE)),"")</f>
        <v/>
      </c>
      <c r="BF22" t="str">
        <f>_xlfn.IFNA(VLOOKUP(U22,'GRPO Wiz Individual'!AP:BT,26,FALSE),"")</f>
        <v/>
      </c>
      <c r="BG22" t="str">
        <f>_xlfn.IFNA(VLOOKUP(U22,'GRPO Wiz Individual'!AP:BQ,28,FALSE),"")</f>
        <v/>
      </c>
      <c r="BH22" t="str">
        <f>_xlfn.IFNA(VLOOKUP(U22,'GRPO Wiz Individual'!AP:BN,25,FALSE),"")</f>
        <v/>
      </c>
      <c r="BI22" t="str">
        <f>_xlfn.IFNA(VLOOKUP(U22,'GRPO Wiz Individual'!AP:BT,31,FALSE),"")</f>
        <v/>
      </c>
      <c r="BJ22" t="str">
        <f>_xlfn.IFNA(VLOOKUP(U22,'GRPO Wiz Individual'!AP:BZ,32,FALSE),"")</f>
        <v/>
      </c>
      <c r="BK22" t="str">
        <f>_xlfn.IFNA(VLOOKUP(U22,'GRPO Wiz Individual'!AP:BZ,27,FALSE),"")</f>
        <v/>
      </c>
      <c r="BL22" t="str">
        <f>_xlfn.IFNA(VALUE(VLOOKUP(U22,'GRPO Wiz Individual'!AP:BZ,29,FALSE)),"")</f>
        <v/>
      </c>
      <c r="BM22" t="str">
        <f>_xlfn.IFNA(VLOOKUP(U22,'GRPO Wiz Individual'!AP:BZ,33,FALSE),"")</f>
        <v/>
      </c>
      <c r="BZ22" s="42"/>
      <c r="CA22" s="42"/>
    </row>
    <row r="23" spans="2:79" x14ac:dyDescent="0.25">
      <c r="B23" t="str">
        <f t="shared" si="1"/>
        <v/>
      </c>
      <c r="J23" s="43" t="str">
        <f t="shared" si="2"/>
        <v/>
      </c>
      <c r="X23" t="str">
        <f t="shared" si="0"/>
        <v/>
      </c>
      <c r="AG23" t="str">
        <f>_xlfn.IFNA(VLOOKUP(U23,'Incoming Material Report'!A:M,13,FALSE),"")</f>
        <v/>
      </c>
      <c r="AH23" t="str">
        <f>_xlfn.IFNA(IF(VLOOKUP(U23,'Incoming Material Report'!A:N,14,FALSE)="","",VLOOKUP(U23,'Incoming Material Report'!A:N,14,FALSE)),"")</f>
        <v/>
      </c>
      <c r="AI23" t="str">
        <f>_xlfn.IFNA(VLOOKUP(U23,'Incoming Material Report'!A:Z,24,FALSE),"")</f>
        <v/>
      </c>
      <c r="AJ23" t="str">
        <f>_xlfn.IFNA(VLOOKUP(U23,'Incoming Material Report'!A:Z,25,FALSE),"")</f>
        <v/>
      </c>
      <c r="AK23" t="str">
        <f>_xlfn.IFNA(VLOOKUP(U23,'Incoming Material Report'!A:Z,26,FALSE),"")</f>
        <v/>
      </c>
      <c r="AL23" t="str">
        <f>_xlfn.IFNA(VLOOKUP(U23,'Incoming Material Report'!A:Z,2,FALSE),"")</f>
        <v/>
      </c>
      <c r="AM23" s="54" t="str">
        <f>_xlfn.IFNA(VLOOKUP(U23,'Incoming Material Report'!A:K,11,FALSE)/1000,"")</f>
        <v/>
      </c>
      <c r="AN23" s="54"/>
      <c r="AO23" s="54" t="str">
        <f>_xlfn.IFNA(VLOOKUP(U23,'Incoming Material Report'!A:R,18,FALSE)*1000,"")</f>
        <v/>
      </c>
      <c r="AP23" s="54"/>
      <c r="AQ23" s="54" t="str">
        <f>_xlfn.IFNA(TEXT(VLOOKUP(U23,'Incoming Material Report'!A:D,4,FALSE),"dd.mm.yy"),"")</f>
        <v/>
      </c>
      <c r="AR23" s="54" t="str">
        <f>_xlfn.IFNA(VLOOKUP(U23,'Incoming Material Report'!A:Z,5,FALSE),"")</f>
        <v/>
      </c>
      <c r="AS23" s="54"/>
      <c r="AT23" s="54" t="str">
        <f>_xlfn.IFNA(VLOOKUP(U23,'Incoming Material Report'!A:Z,6,FALSE),"")</f>
        <v/>
      </c>
      <c r="AU23" s="54" t="str">
        <f>_xlfn.IFNA(VLOOKUP(U23,'Incoming Material Report'!A:Z,8,FALSE),"")</f>
        <v/>
      </c>
      <c r="AZ23" t="str">
        <f>_xlfn.IFNA(VLOOKUP(U23,'GRPO Wiz Individual'!AP:BT,17,FALSE),"")</f>
        <v/>
      </c>
      <c r="BA23" t="str">
        <f>_xlfn.IFNA(VLOOKUP(U23,'GRPO Wiz Individual'!AP:BT,18,FALSE),"")</f>
        <v/>
      </c>
      <c r="BB23" t="str">
        <f>_xlfn.IFNA(VLOOKUP(U23,'GRPO Wiz Individual'!AP:BT,19,FALSE),"")</f>
        <v/>
      </c>
      <c r="BC23" t="str">
        <f>_xlfn.IFNA(VLOOKUP(U23,'GRPO Wiz Individual'!AP:BT,20,FALSE),"")</f>
        <v/>
      </c>
      <c r="BD23" t="str">
        <f>_xlfn.IFNA(VLOOKUP(U23,'GRPO Wiz Individual'!AP:BT,21,FALSE),"")</f>
        <v/>
      </c>
      <c r="BE23" t="str">
        <f>_xlfn.IFNA((VLOOKUP(U23,'GRPO Wiz Individual'!AP:BT,22,FALSE)),"")</f>
        <v/>
      </c>
      <c r="BF23" t="str">
        <f>_xlfn.IFNA(VLOOKUP(U23,'GRPO Wiz Individual'!AP:BT,26,FALSE),"")</f>
        <v/>
      </c>
      <c r="BG23" t="str">
        <f>_xlfn.IFNA(VLOOKUP(U23,'GRPO Wiz Individual'!AP:BQ,28,FALSE),"")</f>
        <v/>
      </c>
      <c r="BH23" t="str">
        <f>_xlfn.IFNA(VLOOKUP(U23,'GRPO Wiz Individual'!AP:BN,25,FALSE),"")</f>
        <v/>
      </c>
      <c r="BI23" t="str">
        <f>_xlfn.IFNA(VLOOKUP(U23,'GRPO Wiz Individual'!AP:BT,31,FALSE),"")</f>
        <v/>
      </c>
      <c r="BJ23" t="str">
        <f>_xlfn.IFNA(VLOOKUP(U23,'GRPO Wiz Individual'!AP:BZ,32,FALSE),"")</f>
        <v/>
      </c>
      <c r="BK23" t="str">
        <f>_xlfn.IFNA(VLOOKUP(U23,'GRPO Wiz Individual'!AP:BZ,27,FALSE),"")</f>
        <v/>
      </c>
      <c r="BL23" t="str">
        <f>_xlfn.IFNA(VALUE(VLOOKUP(U23,'GRPO Wiz Individual'!AP:BZ,29,FALSE)),"")</f>
        <v/>
      </c>
      <c r="BM23" t="str">
        <f>_xlfn.IFNA(VLOOKUP(U23,'GRPO Wiz Individual'!AP:BZ,33,FALSE),"")</f>
        <v/>
      </c>
      <c r="BZ23" s="42"/>
      <c r="CA23" s="42"/>
    </row>
    <row r="24" spans="2:79" x14ac:dyDescent="0.25">
      <c r="B24" t="str">
        <f t="shared" si="1"/>
        <v/>
      </c>
      <c r="J24" s="43" t="str">
        <f t="shared" si="2"/>
        <v/>
      </c>
      <c r="X24" t="str">
        <f t="shared" si="0"/>
        <v/>
      </c>
      <c r="AG24" t="str">
        <f>_xlfn.IFNA(VLOOKUP(U24,'Incoming Material Report'!A:M,13,FALSE),"")</f>
        <v/>
      </c>
      <c r="AH24" t="str">
        <f>_xlfn.IFNA(IF(VLOOKUP(U24,'Incoming Material Report'!A:N,14,FALSE)="","",VLOOKUP(U24,'Incoming Material Report'!A:N,14,FALSE)),"")</f>
        <v/>
      </c>
      <c r="AI24" t="str">
        <f>_xlfn.IFNA(VLOOKUP(U24,'Incoming Material Report'!A:Z,24,FALSE),"")</f>
        <v/>
      </c>
      <c r="AJ24" t="str">
        <f>_xlfn.IFNA(VLOOKUP(U24,'Incoming Material Report'!A:Z,25,FALSE),"")</f>
        <v/>
      </c>
      <c r="AK24" t="str">
        <f>_xlfn.IFNA(VLOOKUP(U24,'Incoming Material Report'!A:Z,26,FALSE),"")</f>
        <v/>
      </c>
      <c r="AL24" t="str">
        <f>_xlfn.IFNA(VLOOKUP(U24,'Incoming Material Report'!A:Z,2,FALSE),"")</f>
        <v/>
      </c>
      <c r="AM24" s="54" t="str">
        <f>_xlfn.IFNA(VLOOKUP(U24,'Incoming Material Report'!A:K,11,FALSE)/1000,"")</f>
        <v/>
      </c>
      <c r="AN24" s="54"/>
      <c r="AO24" s="54" t="str">
        <f>_xlfn.IFNA(VLOOKUP(U24,'Incoming Material Report'!A:R,18,FALSE)*1000,"")</f>
        <v/>
      </c>
      <c r="AP24" s="54"/>
      <c r="AQ24" s="54" t="str">
        <f>_xlfn.IFNA(TEXT(VLOOKUP(U24,'Incoming Material Report'!A:D,4,FALSE),"dd.mm.yy"),"")</f>
        <v/>
      </c>
      <c r="AR24" s="54" t="str">
        <f>_xlfn.IFNA(VLOOKUP(U24,'Incoming Material Report'!A:Z,5,FALSE),"")</f>
        <v/>
      </c>
      <c r="AS24" s="54"/>
      <c r="AT24" s="54" t="str">
        <f>_xlfn.IFNA(VLOOKUP(U24,'Incoming Material Report'!A:Z,6,FALSE),"")</f>
        <v/>
      </c>
      <c r="AU24" s="54" t="str">
        <f>_xlfn.IFNA(VLOOKUP(U24,'Incoming Material Report'!A:Z,8,FALSE),"")</f>
        <v/>
      </c>
      <c r="AZ24" t="str">
        <f>_xlfn.IFNA(VLOOKUP(U24,'GRPO Wiz Individual'!AP:BT,17,FALSE),"")</f>
        <v/>
      </c>
      <c r="BA24" t="str">
        <f>_xlfn.IFNA(VLOOKUP(U24,'GRPO Wiz Individual'!AP:BT,18,FALSE),"")</f>
        <v/>
      </c>
      <c r="BB24" t="str">
        <f>_xlfn.IFNA(VLOOKUP(U24,'GRPO Wiz Individual'!AP:BT,19,FALSE),"")</f>
        <v/>
      </c>
      <c r="BC24" t="str">
        <f>_xlfn.IFNA(VLOOKUP(U24,'GRPO Wiz Individual'!AP:BT,20,FALSE),"")</f>
        <v/>
      </c>
      <c r="BD24" t="str">
        <f>_xlfn.IFNA(VLOOKUP(U24,'GRPO Wiz Individual'!AP:BT,21,FALSE),"")</f>
        <v/>
      </c>
      <c r="BE24" t="str">
        <f>_xlfn.IFNA((VLOOKUP(U24,'GRPO Wiz Individual'!AP:BT,22,FALSE)),"")</f>
        <v/>
      </c>
      <c r="BF24" t="str">
        <f>_xlfn.IFNA(VLOOKUP(U24,'GRPO Wiz Individual'!AP:BT,26,FALSE),"")</f>
        <v/>
      </c>
      <c r="BG24" t="str">
        <f>_xlfn.IFNA(VLOOKUP(U24,'GRPO Wiz Individual'!AP:BQ,28,FALSE),"")</f>
        <v/>
      </c>
      <c r="BH24" t="str">
        <f>_xlfn.IFNA(VLOOKUP(U24,'GRPO Wiz Individual'!AP:BN,25,FALSE),"")</f>
        <v/>
      </c>
      <c r="BI24" t="str">
        <f>_xlfn.IFNA(VLOOKUP(U24,'GRPO Wiz Individual'!AP:BT,31,FALSE),"")</f>
        <v/>
      </c>
      <c r="BJ24" t="str">
        <f>_xlfn.IFNA(VLOOKUP(U24,'GRPO Wiz Individual'!AP:BZ,32,FALSE),"")</f>
        <v/>
      </c>
      <c r="BK24" t="str">
        <f>_xlfn.IFNA(VLOOKUP(U24,'GRPO Wiz Individual'!AP:BZ,27,FALSE),"")</f>
        <v/>
      </c>
      <c r="BL24" t="str">
        <f>_xlfn.IFNA(VALUE(VLOOKUP(U24,'GRPO Wiz Individual'!AP:BZ,29,FALSE)),"")</f>
        <v/>
      </c>
      <c r="BM24" t="str">
        <f>_xlfn.IFNA(VLOOKUP(U24,'GRPO Wiz Individual'!AP:BZ,33,FALSE),"")</f>
        <v/>
      </c>
      <c r="BZ24" s="42"/>
      <c r="CA24" s="42"/>
    </row>
    <row r="25" spans="2:79" x14ac:dyDescent="0.25">
      <c r="B25" t="str">
        <f t="shared" si="1"/>
        <v/>
      </c>
      <c r="J25" s="43" t="str">
        <f t="shared" si="2"/>
        <v/>
      </c>
      <c r="X25" t="str">
        <f t="shared" si="0"/>
        <v/>
      </c>
      <c r="AG25" t="str">
        <f>_xlfn.IFNA(VLOOKUP(U25,'Incoming Material Report'!A:M,13,FALSE),"")</f>
        <v/>
      </c>
      <c r="AH25" t="str">
        <f>_xlfn.IFNA(IF(VLOOKUP(U25,'Incoming Material Report'!A:N,14,FALSE)="","",VLOOKUP(U25,'Incoming Material Report'!A:N,14,FALSE)),"")</f>
        <v/>
      </c>
      <c r="AI25" t="str">
        <f>_xlfn.IFNA(VLOOKUP(U25,'Incoming Material Report'!A:Z,24,FALSE),"")</f>
        <v/>
      </c>
      <c r="AJ25" t="str">
        <f>_xlfn.IFNA(VLOOKUP(U25,'Incoming Material Report'!A:Z,25,FALSE),"")</f>
        <v/>
      </c>
      <c r="AK25" t="str">
        <f>_xlfn.IFNA(VLOOKUP(U25,'Incoming Material Report'!A:Z,26,FALSE),"")</f>
        <v/>
      </c>
      <c r="AL25" t="str">
        <f>_xlfn.IFNA(VLOOKUP(U25,'Incoming Material Report'!A:Z,2,FALSE),"")</f>
        <v/>
      </c>
      <c r="AM25" s="54" t="str">
        <f>_xlfn.IFNA(VLOOKUP(U25,'Incoming Material Report'!A:K,11,FALSE)/1000,"")</f>
        <v/>
      </c>
      <c r="AN25" s="54"/>
      <c r="AO25" s="54" t="str">
        <f>_xlfn.IFNA(VLOOKUP(U25,'Incoming Material Report'!A:R,18,FALSE)*1000,"")</f>
        <v/>
      </c>
      <c r="AP25" s="54"/>
      <c r="AQ25" s="54" t="str">
        <f>_xlfn.IFNA(TEXT(VLOOKUP(U25,'Incoming Material Report'!A:D,4,FALSE),"dd.mm.yy"),"")</f>
        <v/>
      </c>
      <c r="AR25" s="54" t="str">
        <f>_xlfn.IFNA(VLOOKUP(U25,'Incoming Material Report'!A:Z,5,FALSE),"")</f>
        <v/>
      </c>
      <c r="AS25" s="54"/>
      <c r="AT25" s="54" t="str">
        <f>_xlfn.IFNA(VLOOKUP(U25,'Incoming Material Report'!A:Z,6,FALSE),"")</f>
        <v/>
      </c>
      <c r="AU25" s="54" t="str">
        <f>_xlfn.IFNA(VLOOKUP(U25,'Incoming Material Report'!A:Z,8,FALSE),"")</f>
        <v/>
      </c>
      <c r="AZ25" t="str">
        <f>_xlfn.IFNA(VLOOKUP(U25,'GRPO Wiz Individual'!AP:BT,17,FALSE),"")</f>
        <v/>
      </c>
      <c r="BA25" t="str">
        <f>_xlfn.IFNA(VLOOKUP(U25,'GRPO Wiz Individual'!AP:BT,18,FALSE),"")</f>
        <v/>
      </c>
      <c r="BB25" t="str">
        <f>_xlfn.IFNA(VLOOKUP(U25,'GRPO Wiz Individual'!AP:BT,19,FALSE),"")</f>
        <v/>
      </c>
      <c r="BC25" t="str">
        <f>_xlfn.IFNA(VLOOKUP(U25,'GRPO Wiz Individual'!AP:BT,20,FALSE),"")</f>
        <v/>
      </c>
      <c r="BD25" t="str">
        <f>_xlfn.IFNA(VLOOKUP(U25,'GRPO Wiz Individual'!AP:BT,21,FALSE),"")</f>
        <v/>
      </c>
      <c r="BE25" t="str">
        <f>_xlfn.IFNA((VLOOKUP(U25,'GRPO Wiz Individual'!AP:BT,22,FALSE)),"")</f>
        <v/>
      </c>
      <c r="BF25" t="str">
        <f>_xlfn.IFNA(VLOOKUP(U25,'GRPO Wiz Individual'!AP:BT,26,FALSE),"")</f>
        <v/>
      </c>
      <c r="BG25" t="str">
        <f>_xlfn.IFNA(VLOOKUP(U25,'GRPO Wiz Individual'!AP:BQ,28,FALSE),"")</f>
        <v/>
      </c>
      <c r="BH25" t="str">
        <f>_xlfn.IFNA(VLOOKUP(U25,'GRPO Wiz Individual'!AP:BN,25,FALSE),"")</f>
        <v/>
      </c>
      <c r="BI25" t="str">
        <f>_xlfn.IFNA(VLOOKUP(U25,'GRPO Wiz Individual'!AP:BT,31,FALSE),"")</f>
        <v/>
      </c>
      <c r="BJ25" t="str">
        <f>_xlfn.IFNA(VLOOKUP(U25,'GRPO Wiz Individual'!AP:BZ,32,FALSE),"")</f>
        <v/>
      </c>
      <c r="BK25" t="str">
        <f>_xlfn.IFNA(VLOOKUP(U25,'GRPO Wiz Individual'!AP:BZ,27,FALSE),"")</f>
        <v/>
      </c>
      <c r="BL25" t="str">
        <f>_xlfn.IFNA(VALUE(VLOOKUP(U25,'GRPO Wiz Individual'!AP:BZ,29,FALSE)),"")</f>
        <v/>
      </c>
      <c r="BM25" t="str">
        <f>_xlfn.IFNA(VLOOKUP(U25,'GRPO Wiz Individual'!AP:BZ,33,FALSE),"")</f>
        <v/>
      </c>
      <c r="BZ25" s="42"/>
      <c r="CA25" s="42"/>
    </row>
    <row r="26" spans="2:79" x14ac:dyDescent="0.25">
      <c r="B26" t="str">
        <f t="shared" si="1"/>
        <v/>
      </c>
      <c r="J26" s="43" t="str">
        <f t="shared" si="2"/>
        <v/>
      </c>
      <c r="X26" t="str">
        <f t="shared" si="0"/>
        <v/>
      </c>
      <c r="AG26" t="str">
        <f>_xlfn.IFNA(VLOOKUP(U26,'Incoming Material Report'!A:M,13,FALSE),"")</f>
        <v/>
      </c>
      <c r="AH26" t="str">
        <f>_xlfn.IFNA(IF(VLOOKUP(U26,'Incoming Material Report'!A:N,14,FALSE)="","",VLOOKUP(U26,'Incoming Material Report'!A:N,14,FALSE)),"")</f>
        <v/>
      </c>
      <c r="AI26" t="str">
        <f>_xlfn.IFNA(VLOOKUP(U26,'Incoming Material Report'!A:Z,24,FALSE),"")</f>
        <v/>
      </c>
      <c r="AJ26" t="str">
        <f>_xlfn.IFNA(VLOOKUP(U26,'Incoming Material Report'!A:Z,25,FALSE),"")</f>
        <v/>
      </c>
      <c r="AK26" t="str">
        <f>_xlfn.IFNA(VLOOKUP(U26,'Incoming Material Report'!A:Z,26,FALSE),"")</f>
        <v/>
      </c>
      <c r="AL26" t="str">
        <f>_xlfn.IFNA(VLOOKUP(U26,'Incoming Material Report'!A:Z,2,FALSE),"")</f>
        <v/>
      </c>
      <c r="AM26" s="54" t="str">
        <f>_xlfn.IFNA(VLOOKUP(U26,'Incoming Material Report'!A:K,11,FALSE)/1000,"")</f>
        <v/>
      </c>
      <c r="AN26" s="54"/>
      <c r="AO26" s="54" t="str">
        <f>_xlfn.IFNA(VLOOKUP(U26,'Incoming Material Report'!A:R,18,FALSE)*1000,"")</f>
        <v/>
      </c>
      <c r="AP26" s="54"/>
      <c r="AQ26" s="54" t="str">
        <f>_xlfn.IFNA(TEXT(VLOOKUP(U26,'Incoming Material Report'!A:D,4,FALSE),"dd.mm.yy"),"")</f>
        <v/>
      </c>
      <c r="AR26" s="54" t="str">
        <f>_xlfn.IFNA(VLOOKUP(U26,'Incoming Material Report'!A:Z,5,FALSE),"")</f>
        <v/>
      </c>
      <c r="AS26" s="54"/>
      <c r="AT26" s="54" t="str">
        <f>_xlfn.IFNA(VLOOKUP(U26,'Incoming Material Report'!A:Z,6,FALSE),"")</f>
        <v/>
      </c>
      <c r="AU26" s="54" t="str">
        <f>_xlfn.IFNA(VLOOKUP(U26,'Incoming Material Report'!A:Z,8,FALSE),"")</f>
        <v/>
      </c>
      <c r="AZ26" t="str">
        <f>_xlfn.IFNA(VLOOKUP(U26,'GRPO Wiz Individual'!AP:BT,17,FALSE),"")</f>
        <v/>
      </c>
      <c r="BA26" t="str">
        <f>_xlfn.IFNA(VLOOKUP(U26,'GRPO Wiz Individual'!AP:BT,18,FALSE),"")</f>
        <v/>
      </c>
      <c r="BB26" t="str">
        <f>_xlfn.IFNA(VLOOKUP(U26,'GRPO Wiz Individual'!AP:BT,19,FALSE),"")</f>
        <v/>
      </c>
      <c r="BC26" t="str">
        <f>_xlfn.IFNA(VLOOKUP(U26,'GRPO Wiz Individual'!AP:BT,20,FALSE),"")</f>
        <v/>
      </c>
      <c r="BD26" t="str">
        <f>_xlfn.IFNA(VLOOKUP(U26,'GRPO Wiz Individual'!AP:BT,21,FALSE),"")</f>
        <v/>
      </c>
      <c r="BE26" t="str">
        <f>_xlfn.IFNA((VLOOKUP(U26,'GRPO Wiz Individual'!AP:BT,22,FALSE)),"")</f>
        <v/>
      </c>
      <c r="BF26" t="str">
        <f>_xlfn.IFNA(VLOOKUP(U26,'GRPO Wiz Individual'!AP:BT,26,FALSE),"")</f>
        <v/>
      </c>
      <c r="BG26" t="str">
        <f>_xlfn.IFNA(VLOOKUP(U26,'GRPO Wiz Individual'!AP:BQ,28,FALSE),"")</f>
        <v/>
      </c>
      <c r="BH26" t="str">
        <f>_xlfn.IFNA(VLOOKUP(U26,'GRPO Wiz Individual'!AP:BN,25,FALSE),"")</f>
        <v/>
      </c>
      <c r="BI26" t="str">
        <f>_xlfn.IFNA(VLOOKUP(U26,'GRPO Wiz Individual'!AP:BT,31,FALSE),"")</f>
        <v/>
      </c>
      <c r="BJ26" t="str">
        <f>_xlfn.IFNA(VLOOKUP(U26,'GRPO Wiz Individual'!AP:BZ,32,FALSE),"")</f>
        <v/>
      </c>
      <c r="BK26" t="str">
        <f>_xlfn.IFNA(VLOOKUP(U26,'GRPO Wiz Individual'!AP:BZ,27,FALSE),"")</f>
        <v/>
      </c>
      <c r="BL26" t="str">
        <f>_xlfn.IFNA(VALUE(VLOOKUP(U26,'GRPO Wiz Individual'!AP:BZ,29,FALSE)),"")</f>
        <v/>
      </c>
      <c r="BM26" t="str">
        <f>_xlfn.IFNA(VLOOKUP(U26,'GRPO Wiz Individual'!AP:BZ,33,FALSE),"")</f>
        <v/>
      </c>
      <c r="BZ26" s="42"/>
      <c r="CA26" s="42"/>
    </row>
    <row r="27" spans="2:79" x14ac:dyDescent="0.25">
      <c r="B27" t="str">
        <f t="shared" si="1"/>
        <v/>
      </c>
      <c r="J27" s="43" t="str">
        <f t="shared" si="2"/>
        <v/>
      </c>
      <c r="X27" t="str">
        <f t="shared" si="0"/>
        <v/>
      </c>
      <c r="AG27" t="str">
        <f>_xlfn.IFNA(VLOOKUP(U27,'Incoming Material Report'!A:M,13,FALSE),"")</f>
        <v/>
      </c>
      <c r="AH27" t="str">
        <f>_xlfn.IFNA(IF(VLOOKUP(U27,'Incoming Material Report'!A:N,14,FALSE)="","",VLOOKUP(U27,'Incoming Material Report'!A:N,14,FALSE)),"")</f>
        <v/>
      </c>
      <c r="AI27" t="str">
        <f>_xlfn.IFNA(VLOOKUP(U27,'Incoming Material Report'!A:Z,24,FALSE),"")</f>
        <v/>
      </c>
      <c r="AJ27" t="str">
        <f>_xlfn.IFNA(VLOOKUP(U27,'Incoming Material Report'!A:Z,25,FALSE),"")</f>
        <v/>
      </c>
      <c r="AK27" t="str">
        <f>_xlfn.IFNA(VLOOKUP(U27,'Incoming Material Report'!A:Z,26,FALSE),"")</f>
        <v/>
      </c>
      <c r="AL27" t="str">
        <f>_xlfn.IFNA(VLOOKUP(U27,'Incoming Material Report'!A:Z,2,FALSE),"")</f>
        <v/>
      </c>
      <c r="AM27" s="54" t="str">
        <f>_xlfn.IFNA(VLOOKUP(U27,'Incoming Material Report'!A:K,11,FALSE)/1000,"")</f>
        <v/>
      </c>
      <c r="AN27" s="54"/>
      <c r="AO27" s="54" t="str">
        <f>_xlfn.IFNA(VLOOKUP(U27,'Incoming Material Report'!A:R,18,FALSE)*1000,"")</f>
        <v/>
      </c>
      <c r="AP27" s="54"/>
      <c r="AQ27" s="54" t="str">
        <f>_xlfn.IFNA(TEXT(VLOOKUP(U27,'Incoming Material Report'!A:D,4,FALSE),"dd.mm.yy"),"")</f>
        <v/>
      </c>
      <c r="AR27" s="54" t="str">
        <f>_xlfn.IFNA(VLOOKUP(U27,'Incoming Material Report'!A:Z,5,FALSE),"")</f>
        <v/>
      </c>
      <c r="AS27" s="54"/>
      <c r="AT27" s="54" t="str">
        <f>_xlfn.IFNA(VLOOKUP(U27,'Incoming Material Report'!A:Z,6,FALSE),"")</f>
        <v/>
      </c>
      <c r="AU27" s="54" t="str">
        <f>_xlfn.IFNA(VLOOKUP(U27,'Incoming Material Report'!A:Z,8,FALSE),"")</f>
        <v/>
      </c>
      <c r="AZ27" t="str">
        <f>_xlfn.IFNA(VLOOKUP(U27,'GRPO Wiz Individual'!AP:BT,17,FALSE),"")</f>
        <v/>
      </c>
      <c r="BA27" t="str">
        <f>_xlfn.IFNA(VLOOKUP(U27,'GRPO Wiz Individual'!AP:BT,18,FALSE),"")</f>
        <v/>
      </c>
      <c r="BB27" t="str">
        <f>_xlfn.IFNA(VLOOKUP(U27,'GRPO Wiz Individual'!AP:BT,19,FALSE),"")</f>
        <v/>
      </c>
      <c r="BC27" t="str">
        <f>_xlfn.IFNA(VLOOKUP(U27,'GRPO Wiz Individual'!AP:BT,20,FALSE),"")</f>
        <v/>
      </c>
      <c r="BD27" t="str">
        <f>_xlfn.IFNA(VLOOKUP(U27,'GRPO Wiz Individual'!AP:BT,21,FALSE),"")</f>
        <v/>
      </c>
      <c r="BE27" t="str">
        <f>_xlfn.IFNA((VLOOKUP(U27,'GRPO Wiz Individual'!AP:BT,22,FALSE)),"")</f>
        <v/>
      </c>
      <c r="BF27" t="str">
        <f>_xlfn.IFNA(VLOOKUP(U27,'GRPO Wiz Individual'!AP:BT,26,FALSE),"")</f>
        <v/>
      </c>
      <c r="BG27" t="str">
        <f>_xlfn.IFNA(VLOOKUP(U27,'GRPO Wiz Individual'!AP:BQ,28,FALSE),"")</f>
        <v/>
      </c>
      <c r="BH27" t="str">
        <f>_xlfn.IFNA(VLOOKUP(U27,'GRPO Wiz Individual'!AP:BN,25,FALSE),"")</f>
        <v/>
      </c>
      <c r="BI27" t="str">
        <f>_xlfn.IFNA(VLOOKUP(U27,'GRPO Wiz Individual'!AP:BT,31,FALSE),"")</f>
        <v/>
      </c>
      <c r="BJ27" t="str">
        <f>_xlfn.IFNA(VLOOKUP(U27,'GRPO Wiz Individual'!AP:BZ,32,FALSE),"")</f>
        <v/>
      </c>
      <c r="BK27" t="str">
        <f>_xlfn.IFNA(VLOOKUP(U27,'GRPO Wiz Individual'!AP:BZ,27,FALSE),"")</f>
        <v/>
      </c>
      <c r="BL27" t="str">
        <f>_xlfn.IFNA(VALUE(VLOOKUP(U27,'GRPO Wiz Individual'!AP:BZ,29,FALSE)),"")</f>
        <v/>
      </c>
      <c r="BM27" t="str">
        <f>_xlfn.IFNA(VLOOKUP(U27,'GRPO Wiz Individual'!AP:BZ,33,FALSE),"")</f>
        <v/>
      </c>
      <c r="BZ27" s="42"/>
      <c r="CA27" s="42"/>
    </row>
    <row r="28" spans="2:79" x14ac:dyDescent="0.25">
      <c r="B28" t="str">
        <f t="shared" si="1"/>
        <v/>
      </c>
      <c r="J28" s="43" t="str">
        <f t="shared" si="2"/>
        <v/>
      </c>
      <c r="X28" t="str">
        <f t="shared" si="0"/>
        <v/>
      </c>
      <c r="AG28" t="str">
        <f>_xlfn.IFNA(VLOOKUP(U28,'Incoming Material Report'!A:M,13,FALSE),"")</f>
        <v/>
      </c>
      <c r="AH28" t="str">
        <f>_xlfn.IFNA(IF(VLOOKUP(U28,'Incoming Material Report'!A:N,14,FALSE)="","",VLOOKUP(U28,'Incoming Material Report'!A:N,14,FALSE)),"")</f>
        <v/>
      </c>
      <c r="AI28" t="str">
        <f>_xlfn.IFNA(VLOOKUP(U28,'Incoming Material Report'!A:Z,24,FALSE),"")</f>
        <v/>
      </c>
      <c r="AJ28" t="str">
        <f>_xlfn.IFNA(VLOOKUP(U28,'Incoming Material Report'!A:Z,25,FALSE),"")</f>
        <v/>
      </c>
      <c r="AK28" t="str">
        <f>_xlfn.IFNA(VLOOKUP(U28,'Incoming Material Report'!A:Z,26,FALSE),"")</f>
        <v/>
      </c>
      <c r="AL28" t="str">
        <f>_xlfn.IFNA(VLOOKUP(U28,'Incoming Material Report'!A:Z,2,FALSE),"")</f>
        <v/>
      </c>
      <c r="AM28" s="54" t="str">
        <f>_xlfn.IFNA(VLOOKUP(U28,'Incoming Material Report'!A:K,11,FALSE)/1000,"")</f>
        <v/>
      </c>
      <c r="AN28" s="54"/>
      <c r="AO28" s="54" t="str">
        <f>_xlfn.IFNA(VLOOKUP(U28,'Incoming Material Report'!A:R,18,FALSE)*1000,"")</f>
        <v/>
      </c>
      <c r="AP28" s="54"/>
      <c r="AQ28" s="54" t="str">
        <f>_xlfn.IFNA(TEXT(VLOOKUP(U28,'Incoming Material Report'!A:D,4,FALSE),"dd.mm.yy"),"")</f>
        <v/>
      </c>
      <c r="AR28" s="54" t="str">
        <f>_xlfn.IFNA(VLOOKUP(U28,'Incoming Material Report'!A:Z,5,FALSE),"")</f>
        <v/>
      </c>
      <c r="AS28" s="54"/>
      <c r="AT28" s="54" t="str">
        <f>_xlfn.IFNA(VLOOKUP(U28,'Incoming Material Report'!A:Z,6,FALSE),"")</f>
        <v/>
      </c>
      <c r="AU28" s="54" t="str">
        <f>_xlfn.IFNA(VLOOKUP(U28,'Incoming Material Report'!A:Z,8,FALSE),"")</f>
        <v/>
      </c>
      <c r="AZ28" t="str">
        <f>_xlfn.IFNA(VLOOKUP(U28,'GRPO Wiz Individual'!AP:BT,17,FALSE),"")</f>
        <v/>
      </c>
      <c r="BA28" t="str">
        <f>_xlfn.IFNA(VLOOKUP(U28,'GRPO Wiz Individual'!AP:BT,18,FALSE),"")</f>
        <v/>
      </c>
      <c r="BB28" t="str">
        <f>_xlfn.IFNA(VLOOKUP(U28,'GRPO Wiz Individual'!AP:BT,19,FALSE),"")</f>
        <v/>
      </c>
      <c r="BC28" t="str">
        <f>_xlfn.IFNA(VLOOKUP(U28,'GRPO Wiz Individual'!AP:BT,20,FALSE),"")</f>
        <v/>
      </c>
      <c r="BD28" t="str">
        <f>_xlfn.IFNA(VLOOKUP(U28,'GRPO Wiz Individual'!AP:BT,21,FALSE),"")</f>
        <v/>
      </c>
      <c r="BE28" t="str">
        <f>_xlfn.IFNA((VLOOKUP(U28,'GRPO Wiz Individual'!AP:BT,22,FALSE)),"")</f>
        <v/>
      </c>
      <c r="BF28" t="str">
        <f>_xlfn.IFNA(VLOOKUP(U28,'GRPO Wiz Individual'!AP:BT,26,FALSE),"")</f>
        <v/>
      </c>
      <c r="BG28" t="str">
        <f>_xlfn.IFNA(VLOOKUP(U28,'GRPO Wiz Individual'!AP:BQ,28,FALSE),"")</f>
        <v/>
      </c>
      <c r="BH28" t="str">
        <f>_xlfn.IFNA(VLOOKUP(U28,'GRPO Wiz Individual'!AP:BN,25,FALSE),"")</f>
        <v/>
      </c>
      <c r="BI28" t="str">
        <f>_xlfn.IFNA(VLOOKUP(U28,'GRPO Wiz Individual'!AP:BT,31,FALSE),"")</f>
        <v/>
      </c>
      <c r="BJ28" t="str">
        <f>_xlfn.IFNA(VLOOKUP(U28,'GRPO Wiz Individual'!AP:BZ,32,FALSE),"")</f>
        <v/>
      </c>
      <c r="BK28" t="str">
        <f>_xlfn.IFNA(VLOOKUP(U28,'GRPO Wiz Individual'!AP:BZ,27,FALSE),"")</f>
        <v/>
      </c>
      <c r="BL28" t="str">
        <f>_xlfn.IFNA(VALUE(VLOOKUP(U28,'GRPO Wiz Individual'!AP:BZ,29,FALSE)),"")</f>
        <v/>
      </c>
      <c r="BM28" t="str">
        <f>_xlfn.IFNA(VLOOKUP(U28,'GRPO Wiz Individual'!AP:BZ,33,FALSE),"")</f>
        <v/>
      </c>
      <c r="BZ28" s="42"/>
      <c r="CA28" s="42"/>
    </row>
    <row r="29" spans="2:79" x14ac:dyDescent="0.25">
      <c r="B29" t="str">
        <f t="shared" si="1"/>
        <v/>
      </c>
      <c r="J29" s="43" t="str">
        <f t="shared" si="2"/>
        <v/>
      </c>
      <c r="X29" t="str">
        <f t="shared" si="0"/>
        <v/>
      </c>
      <c r="AG29" t="str">
        <f>_xlfn.IFNA(VLOOKUP(U29,'Incoming Material Report'!A:M,13,FALSE),"")</f>
        <v/>
      </c>
      <c r="AH29" t="str">
        <f>_xlfn.IFNA(IF(VLOOKUP(U29,'Incoming Material Report'!A:N,14,FALSE)="","",VLOOKUP(U29,'Incoming Material Report'!A:N,14,FALSE)),"")</f>
        <v/>
      </c>
      <c r="AI29" t="str">
        <f>_xlfn.IFNA(VLOOKUP(U29,'Incoming Material Report'!A:Z,24,FALSE),"")</f>
        <v/>
      </c>
      <c r="AJ29" t="str">
        <f>_xlfn.IFNA(VLOOKUP(U29,'Incoming Material Report'!A:Z,25,FALSE),"")</f>
        <v/>
      </c>
      <c r="AK29" t="str">
        <f>_xlfn.IFNA(VLOOKUP(U29,'Incoming Material Report'!A:Z,26,FALSE),"")</f>
        <v/>
      </c>
      <c r="AL29" t="str">
        <f>_xlfn.IFNA(VLOOKUP(U29,'Incoming Material Report'!A:Z,2,FALSE),"")</f>
        <v/>
      </c>
      <c r="AM29" s="54" t="str">
        <f>_xlfn.IFNA(VLOOKUP(U29,'Incoming Material Report'!A:K,11,FALSE)/1000,"")</f>
        <v/>
      </c>
      <c r="AN29" s="54"/>
      <c r="AO29" s="54" t="str">
        <f>_xlfn.IFNA(VLOOKUP(U29,'Incoming Material Report'!A:R,18,FALSE)*1000,"")</f>
        <v/>
      </c>
      <c r="AP29" s="54"/>
      <c r="AQ29" s="54" t="str">
        <f>_xlfn.IFNA(TEXT(VLOOKUP(U29,'Incoming Material Report'!A:D,4,FALSE),"dd.mm.yy"),"")</f>
        <v/>
      </c>
      <c r="AR29" s="54" t="str">
        <f>_xlfn.IFNA(VLOOKUP(U29,'Incoming Material Report'!A:Z,5,FALSE),"")</f>
        <v/>
      </c>
      <c r="AS29" s="54"/>
      <c r="AT29" s="54" t="str">
        <f>_xlfn.IFNA(VLOOKUP(U29,'Incoming Material Report'!A:Z,6,FALSE),"")</f>
        <v/>
      </c>
      <c r="AU29" s="54" t="str">
        <f>_xlfn.IFNA(VLOOKUP(U29,'Incoming Material Report'!A:Z,8,FALSE),"")</f>
        <v/>
      </c>
      <c r="AZ29" t="str">
        <f>_xlfn.IFNA(VLOOKUP(U29,'GRPO Wiz Individual'!AP:BT,17,FALSE),"")</f>
        <v/>
      </c>
      <c r="BA29" t="str">
        <f>_xlfn.IFNA(VLOOKUP(U29,'GRPO Wiz Individual'!AP:BT,18,FALSE),"")</f>
        <v/>
      </c>
      <c r="BB29" t="str">
        <f>_xlfn.IFNA(VLOOKUP(U29,'GRPO Wiz Individual'!AP:BT,19,FALSE),"")</f>
        <v/>
      </c>
      <c r="BC29" t="str">
        <f>_xlfn.IFNA(VLOOKUP(U29,'GRPO Wiz Individual'!AP:BT,20,FALSE),"")</f>
        <v/>
      </c>
      <c r="BD29" t="str">
        <f>_xlfn.IFNA(VLOOKUP(U29,'GRPO Wiz Individual'!AP:BT,21,FALSE),"")</f>
        <v/>
      </c>
      <c r="BE29" t="str">
        <f>_xlfn.IFNA((VLOOKUP(U29,'GRPO Wiz Individual'!AP:BT,22,FALSE)),"")</f>
        <v/>
      </c>
      <c r="BF29" t="str">
        <f>_xlfn.IFNA(VLOOKUP(U29,'GRPO Wiz Individual'!AP:BT,26,FALSE),"")</f>
        <v/>
      </c>
      <c r="BG29" t="str">
        <f>_xlfn.IFNA(VLOOKUP(U29,'GRPO Wiz Individual'!AP:BQ,28,FALSE),"")</f>
        <v/>
      </c>
      <c r="BH29" t="str">
        <f>_xlfn.IFNA(VLOOKUP(U29,'GRPO Wiz Individual'!AP:BN,25,FALSE),"")</f>
        <v/>
      </c>
      <c r="BI29" t="str">
        <f>_xlfn.IFNA(VLOOKUP(U29,'GRPO Wiz Individual'!AP:BT,31,FALSE),"")</f>
        <v/>
      </c>
      <c r="BJ29" t="str">
        <f>_xlfn.IFNA(VLOOKUP(U29,'GRPO Wiz Individual'!AP:BZ,32,FALSE),"")</f>
        <v/>
      </c>
      <c r="BK29" t="str">
        <f>_xlfn.IFNA(VLOOKUP(U29,'GRPO Wiz Individual'!AP:BZ,27,FALSE),"")</f>
        <v/>
      </c>
      <c r="BL29" t="str">
        <f>_xlfn.IFNA(VALUE(VLOOKUP(U29,'GRPO Wiz Individual'!AP:BZ,29,FALSE)),"")</f>
        <v/>
      </c>
      <c r="BM29" t="str">
        <f>_xlfn.IFNA(VLOOKUP(U29,'GRPO Wiz Individual'!AP:BZ,33,FALSE),"")</f>
        <v/>
      </c>
      <c r="BZ29" s="42"/>
      <c r="CA29" s="42"/>
    </row>
    <row r="30" spans="2:79" x14ac:dyDescent="0.25">
      <c r="B30" t="str">
        <f t="shared" si="1"/>
        <v/>
      </c>
      <c r="J30" s="43" t="str">
        <f t="shared" si="2"/>
        <v/>
      </c>
      <c r="X30" t="str">
        <f t="shared" si="0"/>
        <v/>
      </c>
      <c r="AG30" t="str">
        <f>_xlfn.IFNA(VLOOKUP(U30,'Incoming Material Report'!A:M,13,FALSE),"")</f>
        <v/>
      </c>
      <c r="AH30" t="str">
        <f>_xlfn.IFNA(IF(VLOOKUP(U30,'Incoming Material Report'!A:N,14,FALSE)="","",VLOOKUP(U30,'Incoming Material Report'!A:N,14,FALSE)),"")</f>
        <v/>
      </c>
      <c r="AI30" t="str">
        <f>_xlfn.IFNA(VLOOKUP(U30,'Incoming Material Report'!A:Z,24,FALSE),"")</f>
        <v/>
      </c>
      <c r="AJ30" t="str">
        <f>_xlfn.IFNA(VLOOKUP(U30,'Incoming Material Report'!A:Z,25,FALSE),"")</f>
        <v/>
      </c>
      <c r="AK30" t="str">
        <f>_xlfn.IFNA(VLOOKUP(U30,'Incoming Material Report'!A:Z,26,FALSE),"")</f>
        <v/>
      </c>
      <c r="AL30" t="str">
        <f>_xlfn.IFNA(VLOOKUP(U30,'Incoming Material Report'!A:Z,2,FALSE),"")</f>
        <v/>
      </c>
      <c r="AM30" s="54" t="str">
        <f>_xlfn.IFNA(VLOOKUP(U30,'Incoming Material Report'!A:K,11,FALSE)/1000,"")</f>
        <v/>
      </c>
      <c r="AN30" s="54"/>
      <c r="AO30" s="54" t="str">
        <f>_xlfn.IFNA(VLOOKUP(U30,'Incoming Material Report'!A:R,18,FALSE)*1000,"")</f>
        <v/>
      </c>
      <c r="AP30" s="54"/>
      <c r="AQ30" s="54" t="str">
        <f>_xlfn.IFNA(TEXT(VLOOKUP(U30,'Incoming Material Report'!A:D,4,FALSE),"dd.mm.yy"),"")</f>
        <v/>
      </c>
      <c r="AR30" s="54" t="str">
        <f>_xlfn.IFNA(VLOOKUP(U30,'Incoming Material Report'!A:Z,5,FALSE),"")</f>
        <v/>
      </c>
      <c r="AS30" s="54"/>
      <c r="AT30" s="54" t="str">
        <f>_xlfn.IFNA(VLOOKUP(U30,'Incoming Material Report'!A:Z,6,FALSE),"")</f>
        <v/>
      </c>
      <c r="AU30" s="54" t="str">
        <f>_xlfn.IFNA(VLOOKUP(U30,'Incoming Material Report'!A:Z,8,FALSE),"")</f>
        <v/>
      </c>
      <c r="AZ30" t="str">
        <f>_xlfn.IFNA(VLOOKUP(U30,'GRPO Wiz Individual'!AP:BT,17,FALSE),"")</f>
        <v/>
      </c>
      <c r="BA30" t="str">
        <f>_xlfn.IFNA(VLOOKUP(U30,'GRPO Wiz Individual'!AP:BT,18,FALSE),"")</f>
        <v/>
      </c>
      <c r="BB30" t="str">
        <f>_xlfn.IFNA(VLOOKUP(U30,'GRPO Wiz Individual'!AP:BT,19,FALSE),"")</f>
        <v/>
      </c>
      <c r="BC30" t="str">
        <f>_xlfn.IFNA(VLOOKUP(U30,'GRPO Wiz Individual'!AP:BT,20,FALSE),"")</f>
        <v/>
      </c>
      <c r="BD30" t="str">
        <f>_xlfn.IFNA(VLOOKUP(U30,'GRPO Wiz Individual'!AP:BT,21,FALSE),"")</f>
        <v/>
      </c>
      <c r="BE30" t="str">
        <f>_xlfn.IFNA((VLOOKUP(U30,'GRPO Wiz Individual'!AP:BT,22,FALSE)),"")</f>
        <v/>
      </c>
      <c r="BF30" t="str">
        <f>_xlfn.IFNA(VLOOKUP(U30,'GRPO Wiz Individual'!AP:BT,26,FALSE),"")</f>
        <v/>
      </c>
      <c r="BG30" t="str">
        <f>_xlfn.IFNA(VLOOKUP(U30,'GRPO Wiz Individual'!AP:BQ,28,FALSE),"")</f>
        <v/>
      </c>
      <c r="BH30" t="str">
        <f>_xlfn.IFNA(VLOOKUP(U30,'GRPO Wiz Individual'!AP:BN,25,FALSE),"")</f>
        <v/>
      </c>
      <c r="BI30" t="str">
        <f>_xlfn.IFNA(VLOOKUP(U30,'GRPO Wiz Individual'!AP:BT,31,FALSE),"")</f>
        <v/>
      </c>
      <c r="BJ30" t="str">
        <f>_xlfn.IFNA(VLOOKUP(U30,'GRPO Wiz Individual'!AP:BZ,32,FALSE),"")</f>
        <v/>
      </c>
      <c r="BK30" t="str">
        <f>_xlfn.IFNA(VLOOKUP(U30,'GRPO Wiz Individual'!AP:BZ,27,FALSE),"")</f>
        <v/>
      </c>
      <c r="BL30" t="str">
        <f>_xlfn.IFNA(VALUE(VLOOKUP(U30,'GRPO Wiz Individual'!AP:BZ,29,FALSE)),"")</f>
        <v/>
      </c>
      <c r="BM30" t="str">
        <f>_xlfn.IFNA(VLOOKUP(U30,'GRPO Wiz Individual'!AP:BZ,33,FALSE),"")</f>
        <v/>
      </c>
      <c r="BZ30" s="42"/>
      <c r="CA30" s="42"/>
    </row>
    <row r="31" spans="2:79" x14ac:dyDescent="0.25">
      <c r="B31" t="str">
        <f t="shared" si="1"/>
        <v/>
      </c>
      <c r="J31" s="43" t="str">
        <f t="shared" si="2"/>
        <v/>
      </c>
      <c r="X31" t="str">
        <f t="shared" si="0"/>
        <v/>
      </c>
      <c r="AG31" t="str">
        <f>_xlfn.IFNA(VLOOKUP(U31,'Incoming Material Report'!A:M,13,FALSE),"")</f>
        <v/>
      </c>
      <c r="AH31" t="str">
        <f>_xlfn.IFNA(IF(VLOOKUP(U31,'Incoming Material Report'!A:N,14,FALSE)="","",VLOOKUP(U31,'Incoming Material Report'!A:N,14,FALSE)),"")</f>
        <v/>
      </c>
      <c r="AI31" t="str">
        <f>_xlfn.IFNA(VLOOKUP(U31,'Incoming Material Report'!A:Z,24,FALSE),"")</f>
        <v/>
      </c>
      <c r="AJ31" t="str">
        <f>_xlfn.IFNA(VLOOKUP(U31,'Incoming Material Report'!A:Z,25,FALSE),"")</f>
        <v/>
      </c>
      <c r="AK31" t="str">
        <f>_xlfn.IFNA(VLOOKUP(U31,'Incoming Material Report'!A:Z,26,FALSE),"")</f>
        <v/>
      </c>
      <c r="AL31" t="str">
        <f>_xlfn.IFNA(VLOOKUP(U31,'Incoming Material Report'!A:Z,2,FALSE),"")</f>
        <v/>
      </c>
      <c r="AM31" s="54" t="str">
        <f>_xlfn.IFNA(VLOOKUP(U31,'Incoming Material Report'!A:K,11,FALSE)/1000,"")</f>
        <v/>
      </c>
      <c r="AN31" s="54"/>
      <c r="AO31" s="54" t="str">
        <f>_xlfn.IFNA(VLOOKUP(U31,'Incoming Material Report'!A:R,18,FALSE)*1000,"")</f>
        <v/>
      </c>
      <c r="AP31" s="54"/>
      <c r="AQ31" s="54" t="str">
        <f>_xlfn.IFNA(TEXT(VLOOKUP(U31,'Incoming Material Report'!A:D,4,FALSE),"dd.mm.yy"),"")</f>
        <v/>
      </c>
      <c r="AR31" s="54" t="str">
        <f>_xlfn.IFNA(VLOOKUP(U31,'Incoming Material Report'!A:Z,5,FALSE),"")</f>
        <v/>
      </c>
      <c r="AS31" s="54"/>
      <c r="AT31" s="54" t="str">
        <f>_xlfn.IFNA(VLOOKUP(U31,'Incoming Material Report'!A:Z,6,FALSE),"")</f>
        <v/>
      </c>
      <c r="AU31" s="54" t="str">
        <f>_xlfn.IFNA(VLOOKUP(U31,'Incoming Material Report'!A:Z,8,FALSE),"")</f>
        <v/>
      </c>
      <c r="AZ31" t="str">
        <f>_xlfn.IFNA(VLOOKUP(U31,'GRPO Wiz Individual'!AP:BT,17,FALSE),"")</f>
        <v/>
      </c>
      <c r="BA31" t="str">
        <f>_xlfn.IFNA(VLOOKUP(U31,'GRPO Wiz Individual'!AP:BT,18,FALSE),"")</f>
        <v/>
      </c>
      <c r="BB31" t="str">
        <f>_xlfn.IFNA(VLOOKUP(U31,'GRPO Wiz Individual'!AP:BT,19,FALSE),"")</f>
        <v/>
      </c>
      <c r="BC31" t="str">
        <f>_xlfn.IFNA(VLOOKUP(U31,'GRPO Wiz Individual'!AP:BT,20,FALSE),"")</f>
        <v/>
      </c>
      <c r="BD31" t="str">
        <f>_xlfn.IFNA(VLOOKUP(U31,'GRPO Wiz Individual'!AP:BT,21,FALSE),"")</f>
        <v/>
      </c>
      <c r="BE31" t="str">
        <f>_xlfn.IFNA((VLOOKUP(U31,'GRPO Wiz Individual'!AP:BT,22,FALSE)),"")</f>
        <v/>
      </c>
      <c r="BF31" t="str">
        <f>_xlfn.IFNA(VLOOKUP(U31,'GRPO Wiz Individual'!AP:BT,26,FALSE),"")</f>
        <v/>
      </c>
      <c r="BG31" t="str">
        <f>_xlfn.IFNA(VLOOKUP(U31,'GRPO Wiz Individual'!AP:BQ,28,FALSE),"")</f>
        <v/>
      </c>
      <c r="BH31" t="str">
        <f>_xlfn.IFNA(VLOOKUP(U31,'GRPO Wiz Individual'!AP:BN,25,FALSE),"")</f>
        <v/>
      </c>
      <c r="BI31" t="str">
        <f>_xlfn.IFNA(VLOOKUP(U31,'GRPO Wiz Individual'!AP:BT,31,FALSE),"")</f>
        <v/>
      </c>
      <c r="BJ31" t="str">
        <f>_xlfn.IFNA(VLOOKUP(U31,'GRPO Wiz Individual'!AP:BZ,32,FALSE),"")</f>
        <v/>
      </c>
      <c r="BK31" t="str">
        <f>_xlfn.IFNA(VLOOKUP(U31,'GRPO Wiz Individual'!AP:BZ,27,FALSE),"")</f>
        <v/>
      </c>
      <c r="BL31" t="str">
        <f>_xlfn.IFNA(VALUE(VLOOKUP(U31,'GRPO Wiz Individual'!AP:BZ,29,FALSE)),"")</f>
        <v/>
      </c>
      <c r="BM31" t="str">
        <f>_xlfn.IFNA(VLOOKUP(U31,'GRPO Wiz Individual'!AP:BZ,33,FALSE),"")</f>
        <v/>
      </c>
      <c r="BZ31" s="42"/>
      <c r="CA31" s="42"/>
    </row>
    <row r="32" spans="2:79" x14ac:dyDescent="0.25">
      <c r="B32" t="str">
        <f t="shared" si="1"/>
        <v/>
      </c>
      <c r="J32" s="43" t="str">
        <f t="shared" si="2"/>
        <v/>
      </c>
      <c r="X32" t="str">
        <f t="shared" si="0"/>
        <v/>
      </c>
      <c r="AG32" t="str">
        <f>_xlfn.IFNA(VLOOKUP(U32,'Incoming Material Report'!A:M,13,FALSE),"")</f>
        <v/>
      </c>
      <c r="AH32" t="str">
        <f>_xlfn.IFNA(IF(VLOOKUP(U32,'Incoming Material Report'!A:N,14,FALSE)="","",VLOOKUP(U32,'Incoming Material Report'!A:N,14,FALSE)),"")</f>
        <v/>
      </c>
      <c r="AI32" t="str">
        <f>_xlfn.IFNA(VLOOKUP(U32,'Incoming Material Report'!A:Z,24,FALSE),"")</f>
        <v/>
      </c>
      <c r="AJ32" t="str">
        <f>_xlfn.IFNA(VLOOKUP(U32,'Incoming Material Report'!A:Z,25,FALSE),"")</f>
        <v/>
      </c>
      <c r="AK32" t="str">
        <f>_xlfn.IFNA(VLOOKUP(U32,'Incoming Material Report'!A:Z,26,FALSE),"")</f>
        <v/>
      </c>
      <c r="AL32" t="str">
        <f>_xlfn.IFNA(VLOOKUP(U32,'Incoming Material Report'!A:Z,2,FALSE),"")</f>
        <v/>
      </c>
      <c r="AM32" s="54" t="str">
        <f>_xlfn.IFNA(VLOOKUP(U32,'Incoming Material Report'!A:K,11,FALSE)/1000,"")</f>
        <v/>
      </c>
      <c r="AN32" s="54"/>
      <c r="AO32" s="54" t="str">
        <f>_xlfn.IFNA(VLOOKUP(U32,'Incoming Material Report'!A:R,18,FALSE)*1000,"")</f>
        <v/>
      </c>
      <c r="AP32" s="54"/>
      <c r="AQ32" s="54" t="str">
        <f>_xlfn.IFNA(TEXT(VLOOKUP(U32,'Incoming Material Report'!A:D,4,FALSE),"dd.mm.yy"),"")</f>
        <v/>
      </c>
      <c r="AR32" s="54" t="str">
        <f>_xlfn.IFNA(VLOOKUP(U32,'Incoming Material Report'!A:Z,5,FALSE),"")</f>
        <v/>
      </c>
      <c r="AS32" s="54"/>
      <c r="AT32" s="54" t="str">
        <f>_xlfn.IFNA(VLOOKUP(U32,'Incoming Material Report'!A:Z,6,FALSE),"")</f>
        <v/>
      </c>
      <c r="AU32" s="54" t="str">
        <f>_xlfn.IFNA(VLOOKUP(U32,'Incoming Material Report'!A:Z,8,FALSE),"")</f>
        <v/>
      </c>
      <c r="AZ32" t="str">
        <f>_xlfn.IFNA(VLOOKUP(U32,'GRPO Wiz Individual'!AP:BT,17,FALSE),"")</f>
        <v/>
      </c>
      <c r="BA32" t="str">
        <f>_xlfn.IFNA(VLOOKUP(U32,'GRPO Wiz Individual'!AP:BT,18,FALSE),"")</f>
        <v/>
      </c>
      <c r="BB32" t="str">
        <f>_xlfn.IFNA(VLOOKUP(U32,'GRPO Wiz Individual'!AP:BT,19,FALSE),"")</f>
        <v/>
      </c>
      <c r="BC32" t="str">
        <f>_xlfn.IFNA(VLOOKUP(U32,'GRPO Wiz Individual'!AP:BT,20,FALSE),"")</f>
        <v/>
      </c>
      <c r="BD32" t="str">
        <f>_xlfn.IFNA(VLOOKUP(U32,'GRPO Wiz Individual'!AP:BT,21,FALSE),"")</f>
        <v/>
      </c>
      <c r="BE32" t="str">
        <f>_xlfn.IFNA((VLOOKUP(U32,'GRPO Wiz Individual'!AP:BT,22,FALSE)),"")</f>
        <v/>
      </c>
      <c r="BF32" t="str">
        <f>_xlfn.IFNA(VLOOKUP(U32,'GRPO Wiz Individual'!AP:BT,26,FALSE),"")</f>
        <v/>
      </c>
      <c r="BG32" t="str">
        <f>_xlfn.IFNA(VLOOKUP(U32,'GRPO Wiz Individual'!AP:BQ,28,FALSE),"")</f>
        <v/>
      </c>
      <c r="BH32" t="str">
        <f>_xlfn.IFNA(VLOOKUP(U32,'GRPO Wiz Individual'!AP:BN,25,FALSE),"")</f>
        <v/>
      </c>
      <c r="BI32" t="str">
        <f>_xlfn.IFNA(VLOOKUP(U32,'GRPO Wiz Individual'!AP:BT,31,FALSE),"")</f>
        <v/>
      </c>
      <c r="BJ32" t="str">
        <f>_xlfn.IFNA(VLOOKUP(U32,'GRPO Wiz Individual'!AP:BZ,32,FALSE),"")</f>
        <v/>
      </c>
      <c r="BK32" t="str">
        <f>_xlfn.IFNA(VLOOKUP(U32,'GRPO Wiz Individual'!AP:BZ,27,FALSE),"")</f>
        <v/>
      </c>
      <c r="BL32" t="str">
        <f>_xlfn.IFNA(VALUE(VLOOKUP(U32,'GRPO Wiz Individual'!AP:BZ,29,FALSE)),"")</f>
        <v/>
      </c>
      <c r="BM32" t="str">
        <f>_xlfn.IFNA(VLOOKUP(U32,'GRPO Wiz Individual'!AP:BZ,33,FALSE),"")</f>
        <v/>
      </c>
      <c r="BZ32" s="42"/>
      <c r="CA32" s="42"/>
    </row>
    <row r="33" spans="2:79" x14ac:dyDescent="0.25">
      <c r="B33" t="str">
        <f t="shared" si="1"/>
        <v/>
      </c>
      <c r="J33" s="43" t="str">
        <f t="shared" si="2"/>
        <v/>
      </c>
      <c r="X33" t="str">
        <f t="shared" si="0"/>
        <v/>
      </c>
      <c r="AG33" t="str">
        <f>_xlfn.IFNA(VLOOKUP(U33,'Incoming Material Report'!A:M,13,FALSE),"")</f>
        <v/>
      </c>
      <c r="AH33" t="str">
        <f>_xlfn.IFNA(IF(VLOOKUP(U33,'Incoming Material Report'!A:N,14,FALSE)="","",VLOOKUP(U33,'Incoming Material Report'!A:N,14,FALSE)),"")</f>
        <v/>
      </c>
      <c r="AI33" t="str">
        <f>_xlfn.IFNA(VLOOKUP(U33,'Incoming Material Report'!A:Z,24,FALSE),"")</f>
        <v/>
      </c>
      <c r="AJ33" t="str">
        <f>_xlfn.IFNA(VLOOKUP(U33,'Incoming Material Report'!A:Z,25,FALSE),"")</f>
        <v/>
      </c>
      <c r="AK33" t="str">
        <f>_xlfn.IFNA(VLOOKUP(U33,'Incoming Material Report'!A:Z,26,FALSE),"")</f>
        <v/>
      </c>
      <c r="AL33" t="str">
        <f>_xlfn.IFNA(VLOOKUP(U33,'Incoming Material Report'!A:Z,2,FALSE),"")</f>
        <v/>
      </c>
      <c r="AM33" s="54" t="str">
        <f>_xlfn.IFNA(VLOOKUP(U33,'Incoming Material Report'!A:K,11,FALSE)/1000,"")</f>
        <v/>
      </c>
      <c r="AN33" s="54"/>
      <c r="AO33" s="54" t="str">
        <f>_xlfn.IFNA(VLOOKUP(U33,'Incoming Material Report'!A:R,18,FALSE)*1000,"")</f>
        <v/>
      </c>
      <c r="AP33" s="54"/>
      <c r="AQ33" s="54" t="str">
        <f>_xlfn.IFNA(TEXT(VLOOKUP(U33,'Incoming Material Report'!A:D,4,FALSE),"dd.mm.yy"),"")</f>
        <v/>
      </c>
      <c r="AR33" s="54" t="str">
        <f>_xlfn.IFNA(VLOOKUP(U33,'Incoming Material Report'!A:Z,5,FALSE),"")</f>
        <v/>
      </c>
      <c r="AS33" s="54"/>
      <c r="AT33" s="54" t="str">
        <f>_xlfn.IFNA(VLOOKUP(U33,'Incoming Material Report'!A:Z,6,FALSE),"")</f>
        <v/>
      </c>
      <c r="AU33" s="54" t="str">
        <f>_xlfn.IFNA(VLOOKUP(U33,'Incoming Material Report'!A:Z,8,FALSE),"")</f>
        <v/>
      </c>
      <c r="AZ33" t="str">
        <f>_xlfn.IFNA(VLOOKUP(U33,'GRPO Wiz Individual'!AP:BT,17,FALSE),"")</f>
        <v/>
      </c>
      <c r="BA33" t="str">
        <f>_xlfn.IFNA(VLOOKUP(U33,'GRPO Wiz Individual'!AP:BT,18,FALSE),"")</f>
        <v/>
      </c>
      <c r="BB33" t="str">
        <f>_xlfn.IFNA(VLOOKUP(U33,'GRPO Wiz Individual'!AP:BT,19,FALSE),"")</f>
        <v/>
      </c>
      <c r="BC33" t="str">
        <f>_xlfn.IFNA(VLOOKUP(U33,'GRPO Wiz Individual'!AP:BT,20,FALSE),"")</f>
        <v/>
      </c>
      <c r="BD33" t="str">
        <f>_xlfn.IFNA(VLOOKUP(U33,'GRPO Wiz Individual'!AP:BT,21,FALSE),"")</f>
        <v/>
      </c>
      <c r="BE33" t="str">
        <f>_xlfn.IFNA((VLOOKUP(U33,'GRPO Wiz Individual'!AP:BT,22,FALSE)),"")</f>
        <v/>
      </c>
      <c r="BF33" t="str">
        <f>_xlfn.IFNA(VLOOKUP(U33,'GRPO Wiz Individual'!AP:BT,26,FALSE),"")</f>
        <v/>
      </c>
      <c r="BG33" t="str">
        <f>_xlfn.IFNA(VLOOKUP(U33,'GRPO Wiz Individual'!AP:BQ,28,FALSE),"")</f>
        <v/>
      </c>
      <c r="BH33" t="str">
        <f>_xlfn.IFNA(VLOOKUP(U33,'GRPO Wiz Individual'!AP:BN,25,FALSE),"")</f>
        <v/>
      </c>
      <c r="BI33" t="str">
        <f>_xlfn.IFNA(VLOOKUP(U33,'GRPO Wiz Individual'!AP:BT,31,FALSE),"")</f>
        <v/>
      </c>
      <c r="BJ33" t="str">
        <f>_xlfn.IFNA(VLOOKUP(U33,'GRPO Wiz Individual'!AP:BZ,32,FALSE),"")</f>
        <v/>
      </c>
      <c r="BK33" t="str">
        <f>_xlfn.IFNA(VLOOKUP(U33,'GRPO Wiz Individual'!AP:BZ,27,FALSE),"")</f>
        <v/>
      </c>
      <c r="BL33" t="str">
        <f>_xlfn.IFNA(VALUE(VLOOKUP(U33,'GRPO Wiz Individual'!AP:BZ,29,FALSE)),"")</f>
        <v/>
      </c>
      <c r="BM33" t="str">
        <f>_xlfn.IFNA(VLOOKUP(U33,'GRPO Wiz Individual'!AP:BZ,33,FALSE),"")</f>
        <v/>
      </c>
      <c r="BZ33" s="42"/>
      <c r="CA33" s="42"/>
    </row>
    <row r="34" spans="2:79" x14ac:dyDescent="0.25">
      <c r="B34" t="str">
        <f t="shared" si="1"/>
        <v/>
      </c>
      <c r="J34" s="43" t="str">
        <f t="shared" si="2"/>
        <v/>
      </c>
      <c r="X34" t="str">
        <f t="shared" si="0"/>
        <v/>
      </c>
      <c r="AG34" t="str">
        <f>_xlfn.IFNA(VLOOKUP(U34,'Incoming Material Report'!A:M,13,FALSE),"")</f>
        <v/>
      </c>
      <c r="AH34" t="str">
        <f>_xlfn.IFNA(IF(VLOOKUP(U34,'Incoming Material Report'!A:N,14,FALSE)="","",VLOOKUP(U34,'Incoming Material Report'!A:N,14,FALSE)),"")</f>
        <v/>
      </c>
      <c r="AI34" t="str">
        <f>_xlfn.IFNA(VLOOKUP(U34,'Incoming Material Report'!A:Z,24,FALSE),"")</f>
        <v/>
      </c>
      <c r="AJ34" t="str">
        <f>_xlfn.IFNA(VLOOKUP(U34,'Incoming Material Report'!A:Z,25,FALSE),"")</f>
        <v/>
      </c>
      <c r="AK34" t="str">
        <f>_xlfn.IFNA(VLOOKUP(U34,'Incoming Material Report'!A:Z,26,FALSE),"")</f>
        <v/>
      </c>
      <c r="AL34" t="str">
        <f>_xlfn.IFNA(VLOOKUP(U34,'Incoming Material Report'!A:Z,2,FALSE),"")</f>
        <v/>
      </c>
      <c r="AM34" s="54" t="str">
        <f>_xlfn.IFNA(VLOOKUP(U34,'Incoming Material Report'!A:K,11,FALSE)/1000,"")</f>
        <v/>
      </c>
      <c r="AN34" s="54"/>
      <c r="AO34" s="54" t="str">
        <f>_xlfn.IFNA(VLOOKUP(U34,'Incoming Material Report'!A:R,18,FALSE)*1000,"")</f>
        <v/>
      </c>
      <c r="AP34" s="54"/>
      <c r="AQ34" s="54" t="str">
        <f>_xlfn.IFNA(TEXT(VLOOKUP(U34,'Incoming Material Report'!A:D,4,FALSE),"dd.mm.yy"),"")</f>
        <v/>
      </c>
      <c r="AR34" s="54" t="str">
        <f>_xlfn.IFNA(VLOOKUP(U34,'Incoming Material Report'!A:Z,5,FALSE),"")</f>
        <v/>
      </c>
      <c r="AS34" s="54"/>
      <c r="AT34" s="54" t="str">
        <f>_xlfn.IFNA(VLOOKUP(U34,'Incoming Material Report'!A:Z,6,FALSE),"")</f>
        <v/>
      </c>
      <c r="AU34" s="54" t="str">
        <f>_xlfn.IFNA(VLOOKUP(U34,'Incoming Material Report'!A:Z,8,FALSE),"")</f>
        <v/>
      </c>
      <c r="AZ34" t="str">
        <f>_xlfn.IFNA(VLOOKUP(U34,'GRPO Wiz Individual'!AP:BT,17,FALSE),"")</f>
        <v/>
      </c>
      <c r="BA34" t="str">
        <f>_xlfn.IFNA(VLOOKUP(U34,'GRPO Wiz Individual'!AP:BT,18,FALSE),"")</f>
        <v/>
      </c>
      <c r="BB34" t="str">
        <f>_xlfn.IFNA(VLOOKUP(U34,'GRPO Wiz Individual'!AP:BT,19,FALSE),"")</f>
        <v/>
      </c>
      <c r="BC34" t="str">
        <f>_xlfn.IFNA(VLOOKUP(U34,'GRPO Wiz Individual'!AP:BT,20,FALSE),"")</f>
        <v/>
      </c>
      <c r="BD34" t="str">
        <f>_xlfn.IFNA(VLOOKUP(U34,'GRPO Wiz Individual'!AP:BT,21,FALSE),"")</f>
        <v/>
      </c>
      <c r="BE34" t="str">
        <f>_xlfn.IFNA((VLOOKUP(U34,'GRPO Wiz Individual'!AP:BT,22,FALSE)),"")</f>
        <v/>
      </c>
      <c r="BF34" t="str">
        <f>_xlfn.IFNA(VLOOKUP(U34,'GRPO Wiz Individual'!AP:BT,26,FALSE),"")</f>
        <v/>
      </c>
      <c r="BG34" t="str">
        <f>_xlfn.IFNA(VLOOKUP(U34,'GRPO Wiz Individual'!AP:BQ,28,FALSE),"")</f>
        <v/>
      </c>
      <c r="BH34" t="str">
        <f>_xlfn.IFNA(VLOOKUP(U34,'GRPO Wiz Individual'!AP:BN,25,FALSE),"")</f>
        <v/>
      </c>
      <c r="BI34" t="str">
        <f>_xlfn.IFNA(VLOOKUP(U34,'GRPO Wiz Individual'!AP:BT,31,FALSE),"")</f>
        <v/>
      </c>
      <c r="BJ34" t="str">
        <f>_xlfn.IFNA(VLOOKUP(U34,'GRPO Wiz Individual'!AP:BZ,32,FALSE),"")</f>
        <v/>
      </c>
      <c r="BK34" t="str">
        <f>_xlfn.IFNA(VLOOKUP(U34,'GRPO Wiz Individual'!AP:BZ,27,FALSE),"")</f>
        <v/>
      </c>
      <c r="BL34" t="str">
        <f>_xlfn.IFNA(VALUE(VLOOKUP(U34,'GRPO Wiz Individual'!AP:BZ,29,FALSE)),"")</f>
        <v/>
      </c>
      <c r="BM34" t="str">
        <f>_xlfn.IFNA(VLOOKUP(U34,'GRPO Wiz Individual'!AP:BZ,33,FALSE),"")</f>
        <v/>
      </c>
    </row>
    <row r="35" spans="2:79" x14ac:dyDescent="0.25">
      <c r="B35" t="str">
        <f t="shared" si="1"/>
        <v/>
      </c>
      <c r="J35" s="43" t="str">
        <f t="shared" si="2"/>
        <v/>
      </c>
      <c r="X35" t="str">
        <f t="shared" si="0"/>
        <v/>
      </c>
      <c r="AG35" t="str">
        <f>_xlfn.IFNA(VLOOKUP(U35,'Incoming Material Report'!A:M,13,FALSE),"")</f>
        <v/>
      </c>
      <c r="AH35" t="str">
        <f>_xlfn.IFNA(IF(VLOOKUP(U35,'Incoming Material Report'!A:N,14,FALSE)="","",VLOOKUP(U35,'Incoming Material Report'!A:N,14,FALSE)),"")</f>
        <v/>
      </c>
      <c r="AI35" t="str">
        <f>_xlfn.IFNA(VLOOKUP(U35,'Incoming Material Report'!A:Z,24,FALSE),"")</f>
        <v/>
      </c>
      <c r="AJ35" t="str">
        <f>_xlfn.IFNA(VLOOKUP(U35,'Incoming Material Report'!A:Z,25,FALSE),"")</f>
        <v/>
      </c>
      <c r="AK35" t="str">
        <f>_xlfn.IFNA(VLOOKUP(U35,'Incoming Material Report'!A:Z,26,FALSE),"")</f>
        <v/>
      </c>
      <c r="AL35" t="str">
        <f>_xlfn.IFNA(VLOOKUP(U35,'Incoming Material Report'!A:Z,2,FALSE),"")</f>
        <v/>
      </c>
      <c r="AM35" s="54" t="str">
        <f>_xlfn.IFNA(VLOOKUP(U35,'Incoming Material Report'!A:K,11,FALSE)/1000,"")</f>
        <v/>
      </c>
      <c r="AN35" s="54"/>
      <c r="AO35" s="54" t="str">
        <f>_xlfn.IFNA(VLOOKUP(U35,'Incoming Material Report'!A:R,18,FALSE)*1000,"")</f>
        <v/>
      </c>
      <c r="AP35" s="54"/>
      <c r="AQ35" s="54" t="str">
        <f>_xlfn.IFNA(TEXT(VLOOKUP(U35,'Incoming Material Report'!A:D,4,FALSE),"dd.mm.yy"),"")</f>
        <v/>
      </c>
      <c r="AR35" s="54" t="str">
        <f>_xlfn.IFNA(VLOOKUP(U35,'Incoming Material Report'!A:Z,5,FALSE),"")</f>
        <v/>
      </c>
      <c r="AS35" s="54"/>
      <c r="AT35" s="54" t="str">
        <f>_xlfn.IFNA(VLOOKUP(U35,'Incoming Material Report'!A:Z,6,FALSE),"")</f>
        <v/>
      </c>
      <c r="AU35" s="54" t="str">
        <f>_xlfn.IFNA(VLOOKUP(U35,'Incoming Material Report'!A:Z,8,FALSE),"")</f>
        <v/>
      </c>
      <c r="AZ35" t="str">
        <f>_xlfn.IFNA(VLOOKUP(U35,'GRPO Wiz Individual'!AP:BT,17,FALSE),"")</f>
        <v/>
      </c>
      <c r="BA35" t="str">
        <f>_xlfn.IFNA(VLOOKUP(U35,'GRPO Wiz Individual'!AP:BT,18,FALSE),"")</f>
        <v/>
      </c>
      <c r="BB35" t="str">
        <f>_xlfn.IFNA(VLOOKUP(U35,'GRPO Wiz Individual'!AP:BT,19,FALSE),"")</f>
        <v/>
      </c>
      <c r="BC35" t="str">
        <f>_xlfn.IFNA(VLOOKUP(U35,'GRPO Wiz Individual'!AP:BT,20,FALSE),"")</f>
        <v/>
      </c>
      <c r="BD35" t="str">
        <f>_xlfn.IFNA(VLOOKUP(U35,'GRPO Wiz Individual'!AP:BT,21,FALSE),"")</f>
        <v/>
      </c>
      <c r="BE35" t="str">
        <f>_xlfn.IFNA((VLOOKUP(U35,'GRPO Wiz Individual'!AP:BT,22,FALSE)),"")</f>
        <v/>
      </c>
      <c r="BF35" t="str">
        <f>_xlfn.IFNA(VLOOKUP(U35,'GRPO Wiz Individual'!AP:BT,26,FALSE),"")</f>
        <v/>
      </c>
      <c r="BG35" t="str">
        <f>_xlfn.IFNA(VLOOKUP(U35,'GRPO Wiz Individual'!AP:BQ,28,FALSE),"")</f>
        <v/>
      </c>
      <c r="BH35" t="str">
        <f>_xlfn.IFNA(VLOOKUP(U35,'GRPO Wiz Individual'!AP:BN,25,FALSE),"")</f>
        <v/>
      </c>
      <c r="BI35" t="str">
        <f>_xlfn.IFNA(VLOOKUP(U35,'GRPO Wiz Individual'!AP:BT,31,FALSE),"")</f>
        <v/>
      </c>
      <c r="BJ35" t="str">
        <f>_xlfn.IFNA(VLOOKUP(U35,'GRPO Wiz Individual'!AP:BZ,32,FALSE),"")</f>
        <v/>
      </c>
      <c r="BK35" t="str">
        <f>_xlfn.IFNA(VLOOKUP(U35,'GRPO Wiz Individual'!AP:BZ,27,FALSE),"")</f>
        <v/>
      </c>
      <c r="BL35" t="str">
        <f>_xlfn.IFNA(VALUE(VLOOKUP(U35,'GRPO Wiz Individual'!AP:BZ,29,FALSE)),"")</f>
        <v/>
      </c>
      <c r="BM35" t="str">
        <f>_xlfn.IFNA(VLOOKUP(U35,'GRPO Wiz Individual'!AP:BZ,33,FALSE),"")</f>
        <v/>
      </c>
    </row>
    <row r="36" spans="2:79" x14ac:dyDescent="0.25">
      <c r="B36" t="str">
        <f t="shared" si="1"/>
        <v/>
      </c>
      <c r="J36" s="43" t="str">
        <f t="shared" si="2"/>
        <v/>
      </c>
      <c r="X36" t="str">
        <f t="shared" si="0"/>
        <v/>
      </c>
      <c r="AG36" t="str">
        <f>_xlfn.IFNA(VLOOKUP(U36,'Incoming Material Report'!A:M,13,FALSE),"")</f>
        <v/>
      </c>
      <c r="AH36" t="str">
        <f>_xlfn.IFNA(IF(VLOOKUP(U36,'Incoming Material Report'!A:N,14,FALSE)="","",VLOOKUP(U36,'Incoming Material Report'!A:N,14,FALSE)),"")</f>
        <v/>
      </c>
      <c r="AI36" t="str">
        <f>_xlfn.IFNA(VLOOKUP(U36,'Incoming Material Report'!A:Z,24,FALSE),"")</f>
        <v/>
      </c>
      <c r="AJ36" t="str">
        <f>_xlfn.IFNA(VLOOKUP(U36,'Incoming Material Report'!A:Z,25,FALSE),"")</f>
        <v/>
      </c>
      <c r="AK36" t="str">
        <f>_xlfn.IFNA(VLOOKUP(U36,'Incoming Material Report'!A:Z,26,FALSE),"")</f>
        <v/>
      </c>
      <c r="AL36" t="str">
        <f>_xlfn.IFNA(VLOOKUP(U36,'Incoming Material Report'!A:Z,2,FALSE),"")</f>
        <v/>
      </c>
      <c r="AM36" s="54" t="str">
        <f>_xlfn.IFNA(VLOOKUP(U36,'Incoming Material Report'!A:K,11,FALSE)/1000,"")</f>
        <v/>
      </c>
      <c r="AN36" s="54"/>
      <c r="AO36" s="54" t="str">
        <f>_xlfn.IFNA(VLOOKUP(U36,'Incoming Material Report'!A:R,18,FALSE)*1000,"")</f>
        <v/>
      </c>
      <c r="AP36" s="54"/>
      <c r="AQ36" s="54" t="str">
        <f>_xlfn.IFNA(TEXT(VLOOKUP(U36,'Incoming Material Report'!A:D,4,FALSE),"dd.mm.yy"),"")</f>
        <v/>
      </c>
      <c r="AR36" s="54" t="str">
        <f>_xlfn.IFNA(VLOOKUP(U36,'Incoming Material Report'!A:Z,5,FALSE),"")</f>
        <v/>
      </c>
      <c r="AS36" s="54"/>
      <c r="AT36" s="54" t="str">
        <f>_xlfn.IFNA(VLOOKUP(U36,'Incoming Material Report'!A:Z,6,FALSE),"")</f>
        <v/>
      </c>
      <c r="AU36" s="54" t="str">
        <f>_xlfn.IFNA(VLOOKUP(U36,'Incoming Material Report'!A:Z,8,FALSE),"")</f>
        <v/>
      </c>
      <c r="AZ36" t="str">
        <f>_xlfn.IFNA(VLOOKUP(U36,'GRPO Wiz Individual'!AP:BT,17,FALSE),"")</f>
        <v/>
      </c>
      <c r="BA36" t="str">
        <f>_xlfn.IFNA(VLOOKUP(U36,'GRPO Wiz Individual'!AP:BT,18,FALSE),"")</f>
        <v/>
      </c>
      <c r="BB36" t="str">
        <f>_xlfn.IFNA(VLOOKUP(U36,'GRPO Wiz Individual'!AP:BT,19,FALSE),"")</f>
        <v/>
      </c>
      <c r="BC36" t="str">
        <f>_xlfn.IFNA(VLOOKUP(U36,'GRPO Wiz Individual'!AP:BT,20,FALSE),"")</f>
        <v/>
      </c>
      <c r="BD36" t="str">
        <f>_xlfn.IFNA(VLOOKUP(U36,'GRPO Wiz Individual'!AP:BT,21,FALSE),"")</f>
        <v/>
      </c>
      <c r="BE36" t="str">
        <f>_xlfn.IFNA((VLOOKUP(U36,'GRPO Wiz Individual'!AP:BT,22,FALSE)),"")</f>
        <v/>
      </c>
      <c r="BF36" t="str">
        <f>_xlfn.IFNA(VLOOKUP(U36,'GRPO Wiz Individual'!AP:BT,26,FALSE),"")</f>
        <v/>
      </c>
      <c r="BG36" t="str">
        <f>_xlfn.IFNA(VLOOKUP(U36,'GRPO Wiz Individual'!AP:BQ,28,FALSE),"")</f>
        <v/>
      </c>
      <c r="BH36" t="str">
        <f>_xlfn.IFNA(VLOOKUP(U36,'GRPO Wiz Individual'!AP:BN,25,FALSE),"")</f>
        <v/>
      </c>
      <c r="BI36" t="str">
        <f>_xlfn.IFNA(VLOOKUP(U36,'GRPO Wiz Individual'!AP:BT,31,FALSE),"")</f>
        <v/>
      </c>
      <c r="BJ36" t="str">
        <f>_xlfn.IFNA(VLOOKUP(U36,'GRPO Wiz Individual'!AP:BZ,32,FALSE),"")</f>
        <v/>
      </c>
      <c r="BK36" t="str">
        <f>_xlfn.IFNA(VLOOKUP(U36,'GRPO Wiz Individual'!AP:BZ,27,FALSE),"")</f>
        <v/>
      </c>
      <c r="BL36" t="str">
        <f>_xlfn.IFNA(VALUE(VLOOKUP(U36,'GRPO Wiz Individual'!AP:BZ,29,FALSE)),"")</f>
        <v/>
      </c>
      <c r="BM36" t="str">
        <f>_xlfn.IFNA(VLOOKUP(U36,'GRPO Wiz Individual'!AP:BZ,33,FALSE),"")</f>
        <v/>
      </c>
    </row>
    <row r="37" spans="2:79" x14ac:dyDescent="0.25">
      <c r="B37" t="str">
        <f t="shared" si="1"/>
        <v/>
      </c>
      <c r="J37" s="43" t="str">
        <f t="shared" si="2"/>
        <v/>
      </c>
      <c r="X37" t="str">
        <f t="shared" si="0"/>
        <v/>
      </c>
      <c r="AG37" t="str">
        <f>_xlfn.IFNA(VLOOKUP(U37,'Incoming Material Report'!A:M,13,FALSE),"")</f>
        <v/>
      </c>
      <c r="AH37" t="str">
        <f>_xlfn.IFNA(IF(VLOOKUP(U37,'Incoming Material Report'!A:N,14,FALSE)="","",VLOOKUP(U37,'Incoming Material Report'!A:N,14,FALSE)),"")</f>
        <v/>
      </c>
      <c r="AI37" t="str">
        <f>_xlfn.IFNA(VLOOKUP(U37,'Incoming Material Report'!A:Z,24,FALSE),"")</f>
        <v/>
      </c>
      <c r="AJ37" t="str">
        <f>_xlfn.IFNA(VLOOKUP(U37,'Incoming Material Report'!A:Z,25,FALSE),"")</f>
        <v/>
      </c>
      <c r="AK37" t="str">
        <f>_xlfn.IFNA(VLOOKUP(U37,'Incoming Material Report'!A:Z,26,FALSE),"")</f>
        <v/>
      </c>
      <c r="AL37" t="str">
        <f>_xlfn.IFNA(VLOOKUP(U37,'Incoming Material Report'!A:Z,2,FALSE),"")</f>
        <v/>
      </c>
      <c r="AM37" s="54" t="str">
        <f>_xlfn.IFNA(VLOOKUP(U37,'Incoming Material Report'!A:K,11,FALSE)/1000,"")</f>
        <v/>
      </c>
      <c r="AN37" s="54"/>
      <c r="AO37" s="54" t="str">
        <f>_xlfn.IFNA(VLOOKUP(U37,'Incoming Material Report'!A:R,18,FALSE)*1000,"")</f>
        <v/>
      </c>
      <c r="AP37" s="54"/>
      <c r="AQ37" s="54" t="str">
        <f>_xlfn.IFNA(TEXT(VLOOKUP(U37,'Incoming Material Report'!A:D,4,FALSE),"dd.mm.yy"),"")</f>
        <v/>
      </c>
      <c r="AR37" s="54" t="str">
        <f>_xlfn.IFNA(VLOOKUP(U37,'Incoming Material Report'!A:Z,5,FALSE),"")</f>
        <v/>
      </c>
      <c r="AS37" s="54"/>
      <c r="AT37" s="54" t="str">
        <f>_xlfn.IFNA(VLOOKUP(U37,'Incoming Material Report'!A:Z,6,FALSE),"")</f>
        <v/>
      </c>
      <c r="AU37" s="54" t="str">
        <f>_xlfn.IFNA(VLOOKUP(U37,'Incoming Material Report'!A:Z,8,FALSE),"")</f>
        <v/>
      </c>
      <c r="AZ37" t="str">
        <f>_xlfn.IFNA(VLOOKUP(U37,'GRPO Wiz Individual'!AP:BT,17,FALSE),"")</f>
        <v/>
      </c>
      <c r="BA37" t="str">
        <f>_xlfn.IFNA(VLOOKUP(U37,'GRPO Wiz Individual'!AP:BT,18,FALSE),"")</f>
        <v/>
      </c>
      <c r="BB37" t="str">
        <f>_xlfn.IFNA(VLOOKUP(U37,'GRPO Wiz Individual'!AP:BT,19,FALSE),"")</f>
        <v/>
      </c>
      <c r="BC37" t="str">
        <f>_xlfn.IFNA(VLOOKUP(U37,'GRPO Wiz Individual'!AP:BT,20,FALSE),"")</f>
        <v/>
      </c>
      <c r="BD37" t="str">
        <f>_xlfn.IFNA(VLOOKUP(U37,'GRPO Wiz Individual'!AP:BT,21,FALSE),"")</f>
        <v/>
      </c>
      <c r="BE37" t="str">
        <f>_xlfn.IFNA((VLOOKUP(U37,'GRPO Wiz Individual'!AP:BT,22,FALSE)),"")</f>
        <v/>
      </c>
      <c r="BF37" t="str">
        <f>_xlfn.IFNA(VLOOKUP(U37,'GRPO Wiz Individual'!AP:BT,26,FALSE),"")</f>
        <v/>
      </c>
      <c r="BG37" t="str">
        <f>_xlfn.IFNA(VLOOKUP(U37,'GRPO Wiz Individual'!AP:BQ,28,FALSE),"")</f>
        <v/>
      </c>
      <c r="BH37" t="str">
        <f>_xlfn.IFNA(VLOOKUP(U37,'GRPO Wiz Individual'!AP:BN,25,FALSE),"")</f>
        <v/>
      </c>
      <c r="BI37" t="str">
        <f>_xlfn.IFNA(VLOOKUP(U37,'GRPO Wiz Individual'!AP:BT,31,FALSE),"")</f>
        <v/>
      </c>
      <c r="BJ37" t="str">
        <f>_xlfn.IFNA(VLOOKUP(U37,'GRPO Wiz Individual'!AP:BZ,32,FALSE),"")</f>
        <v/>
      </c>
      <c r="BK37" t="str">
        <f>_xlfn.IFNA(VLOOKUP(U37,'GRPO Wiz Individual'!AP:BZ,27,FALSE),"")</f>
        <v/>
      </c>
      <c r="BL37" t="str">
        <f>_xlfn.IFNA(VALUE(VLOOKUP(U37,'GRPO Wiz Individual'!AP:BZ,29,FALSE)),"")</f>
        <v/>
      </c>
      <c r="BM37" t="str">
        <f>_xlfn.IFNA(VLOOKUP(U37,'GRPO Wiz Individual'!AP:BZ,33,FALSE),"")</f>
        <v/>
      </c>
    </row>
    <row r="38" spans="2:79" x14ac:dyDescent="0.25">
      <c r="B38" t="str">
        <f t="shared" si="1"/>
        <v/>
      </c>
      <c r="J38" s="43" t="str">
        <f t="shared" si="2"/>
        <v/>
      </c>
      <c r="X38" t="str">
        <f t="shared" si="0"/>
        <v/>
      </c>
      <c r="AG38" t="str">
        <f>_xlfn.IFNA(VLOOKUP(U38,'Incoming Material Report'!A:M,13,FALSE),"")</f>
        <v/>
      </c>
      <c r="AH38" t="str">
        <f>_xlfn.IFNA(IF(VLOOKUP(U38,'Incoming Material Report'!A:N,14,FALSE)="","",VLOOKUP(U38,'Incoming Material Report'!A:N,14,FALSE)),"")</f>
        <v/>
      </c>
      <c r="AI38" t="str">
        <f>_xlfn.IFNA(VLOOKUP(U38,'Incoming Material Report'!A:Z,24,FALSE),"")</f>
        <v/>
      </c>
      <c r="AJ38" t="str">
        <f>_xlfn.IFNA(VLOOKUP(U38,'Incoming Material Report'!A:Z,25,FALSE),"")</f>
        <v/>
      </c>
      <c r="AK38" t="str">
        <f>_xlfn.IFNA(VLOOKUP(U38,'Incoming Material Report'!A:Z,26,FALSE),"")</f>
        <v/>
      </c>
      <c r="AL38" t="str">
        <f>_xlfn.IFNA(VLOOKUP(U38,'Incoming Material Report'!A:Z,2,FALSE),"")</f>
        <v/>
      </c>
      <c r="AM38" s="54" t="str">
        <f>_xlfn.IFNA(VLOOKUP(U38,'Incoming Material Report'!A:K,11,FALSE)/1000,"")</f>
        <v/>
      </c>
      <c r="AN38" s="54"/>
      <c r="AO38" s="54" t="str">
        <f>_xlfn.IFNA(VLOOKUP(U38,'Incoming Material Report'!A:R,18,FALSE)*1000,"")</f>
        <v/>
      </c>
      <c r="AP38" s="54"/>
      <c r="AQ38" s="54" t="str">
        <f>_xlfn.IFNA(TEXT(VLOOKUP(U38,'Incoming Material Report'!A:D,4,FALSE),"dd.mm.yy"),"")</f>
        <v/>
      </c>
      <c r="AR38" s="54" t="str">
        <f>_xlfn.IFNA(VLOOKUP(U38,'Incoming Material Report'!A:Z,5,FALSE),"")</f>
        <v/>
      </c>
      <c r="AS38" s="54"/>
      <c r="AT38" s="54" t="str">
        <f>_xlfn.IFNA(VLOOKUP(U38,'Incoming Material Report'!A:Z,6,FALSE),"")</f>
        <v/>
      </c>
      <c r="AU38" s="54" t="str">
        <f>_xlfn.IFNA(VLOOKUP(U38,'Incoming Material Report'!A:Z,8,FALSE),"")</f>
        <v/>
      </c>
      <c r="AZ38" t="str">
        <f>_xlfn.IFNA(VLOOKUP(U38,'GRPO Wiz Individual'!AP:BT,17,FALSE),"")</f>
        <v/>
      </c>
      <c r="BA38" t="str">
        <f>_xlfn.IFNA(VLOOKUP(U38,'GRPO Wiz Individual'!AP:BT,18,FALSE),"")</f>
        <v/>
      </c>
      <c r="BB38" t="str">
        <f>_xlfn.IFNA(VLOOKUP(U38,'GRPO Wiz Individual'!AP:BT,19,FALSE),"")</f>
        <v/>
      </c>
      <c r="BC38" t="str">
        <f>_xlfn.IFNA(VLOOKUP(U38,'GRPO Wiz Individual'!AP:BT,20,FALSE),"")</f>
        <v/>
      </c>
      <c r="BD38" t="str">
        <f>_xlfn.IFNA(VLOOKUP(U38,'GRPO Wiz Individual'!AP:BT,21,FALSE),"")</f>
        <v/>
      </c>
      <c r="BE38" t="str">
        <f>_xlfn.IFNA((VLOOKUP(U38,'GRPO Wiz Individual'!AP:BT,22,FALSE)),"")</f>
        <v/>
      </c>
      <c r="BF38" t="str">
        <f>_xlfn.IFNA(VLOOKUP(U38,'GRPO Wiz Individual'!AP:BT,26,FALSE),"")</f>
        <v/>
      </c>
      <c r="BG38" t="str">
        <f>_xlfn.IFNA(VLOOKUP(U38,'GRPO Wiz Individual'!AP:BQ,28,FALSE),"")</f>
        <v/>
      </c>
      <c r="BH38" t="str">
        <f>_xlfn.IFNA(VLOOKUP(U38,'GRPO Wiz Individual'!AP:BN,25,FALSE),"")</f>
        <v/>
      </c>
      <c r="BI38" t="str">
        <f>_xlfn.IFNA(VLOOKUP(U38,'GRPO Wiz Individual'!AP:BT,31,FALSE),"")</f>
        <v/>
      </c>
      <c r="BJ38" t="str">
        <f>_xlfn.IFNA(VLOOKUP(U38,'GRPO Wiz Individual'!AP:BZ,32,FALSE),"")</f>
        <v/>
      </c>
      <c r="BK38" t="str">
        <f>_xlfn.IFNA(VLOOKUP(U38,'GRPO Wiz Individual'!AP:BZ,27,FALSE),"")</f>
        <v/>
      </c>
      <c r="BL38" t="str">
        <f>_xlfn.IFNA(VALUE(VLOOKUP(U38,'GRPO Wiz Individual'!AP:BZ,29,FALSE)),"")</f>
        <v/>
      </c>
      <c r="BM38" t="str">
        <f>_xlfn.IFNA(VLOOKUP(U38,'GRPO Wiz Individual'!AP:BZ,33,FALSE),"")</f>
        <v/>
      </c>
    </row>
    <row r="39" spans="2:79" x14ac:dyDescent="0.25">
      <c r="B39" t="str">
        <f t="shared" si="1"/>
        <v/>
      </c>
      <c r="J39" s="43" t="str">
        <f t="shared" si="2"/>
        <v/>
      </c>
      <c r="X39" t="str">
        <f t="shared" si="0"/>
        <v/>
      </c>
      <c r="AG39" t="str">
        <f>_xlfn.IFNA(VLOOKUP(U39,'Incoming Material Report'!A:M,13,FALSE),"")</f>
        <v/>
      </c>
      <c r="AH39" t="str">
        <f>_xlfn.IFNA(IF(VLOOKUP(U39,'Incoming Material Report'!A:N,14,FALSE)="","",VLOOKUP(U39,'Incoming Material Report'!A:N,14,FALSE)),"")</f>
        <v/>
      </c>
      <c r="AI39" t="str">
        <f>_xlfn.IFNA(VLOOKUP(U39,'Incoming Material Report'!A:Z,24,FALSE),"")</f>
        <v/>
      </c>
      <c r="AJ39" t="str">
        <f>_xlfn.IFNA(VLOOKUP(U39,'Incoming Material Report'!A:Z,25,FALSE),"")</f>
        <v/>
      </c>
      <c r="AK39" t="str">
        <f>_xlfn.IFNA(VLOOKUP(U39,'Incoming Material Report'!A:Z,26,FALSE),"")</f>
        <v/>
      </c>
      <c r="AL39" t="str">
        <f>_xlfn.IFNA(VLOOKUP(U39,'Incoming Material Report'!A:Z,2,FALSE),"")</f>
        <v/>
      </c>
      <c r="AM39" s="54" t="str">
        <f>_xlfn.IFNA(VLOOKUP(U39,'Incoming Material Report'!A:K,11,FALSE)/1000,"")</f>
        <v/>
      </c>
      <c r="AN39" s="54"/>
      <c r="AO39" s="54" t="str">
        <f>_xlfn.IFNA(VLOOKUP(U39,'Incoming Material Report'!A:R,18,FALSE)*1000,"")</f>
        <v/>
      </c>
      <c r="AP39" s="54"/>
      <c r="AQ39" s="54" t="str">
        <f>_xlfn.IFNA(TEXT(VLOOKUP(U39,'Incoming Material Report'!A:D,4,FALSE),"dd.mm.yy"),"")</f>
        <v/>
      </c>
      <c r="AR39" s="54" t="str">
        <f>_xlfn.IFNA(VLOOKUP(U39,'Incoming Material Report'!A:Z,5,FALSE),"")</f>
        <v/>
      </c>
      <c r="AS39" s="54"/>
      <c r="AT39" s="54" t="str">
        <f>_xlfn.IFNA(VLOOKUP(U39,'Incoming Material Report'!A:Z,6,FALSE),"")</f>
        <v/>
      </c>
      <c r="AU39" s="54" t="str">
        <f>_xlfn.IFNA(VLOOKUP(U39,'Incoming Material Report'!A:Z,8,FALSE),"")</f>
        <v/>
      </c>
      <c r="AZ39" t="str">
        <f>_xlfn.IFNA(VLOOKUP(U39,'GRPO Wiz Individual'!AP:BT,17,FALSE),"")</f>
        <v/>
      </c>
      <c r="BA39" t="str">
        <f>_xlfn.IFNA(VLOOKUP(U39,'GRPO Wiz Individual'!AP:BT,18,FALSE),"")</f>
        <v/>
      </c>
      <c r="BB39" t="str">
        <f>_xlfn.IFNA(VLOOKUP(U39,'GRPO Wiz Individual'!AP:BT,19,FALSE),"")</f>
        <v/>
      </c>
      <c r="BC39" t="str">
        <f>_xlfn.IFNA(VLOOKUP(U39,'GRPO Wiz Individual'!AP:BT,20,FALSE),"")</f>
        <v/>
      </c>
      <c r="BD39" t="str">
        <f>_xlfn.IFNA(VLOOKUP(U39,'GRPO Wiz Individual'!AP:BT,21,FALSE),"")</f>
        <v/>
      </c>
      <c r="BE39" t="str">
        <f>_xlfn.IFNA((VLOOKUP(U39,'GRPO Wiz Individual'!AP:BT,22,FALSE)),"")</f>
        <v/>
      </c>
      <c r="BF39" t="str">
        <f>_xlfn.IFNA(VLOOKUP(U39,'GRPO Wiz Individual'!AP:BT,26,FALSE),"")</f>
        <v/>
      </c>
      <c r="BG39" t="str">
        <f>_xlfn.IFNA(VLOOKUP(U39,'GRPO Wiz Individual'!AP:BQ,28,FALSE),"")</f>
        <v/>
      </c>
      <c r="BH39" t="str">
        <f>_xlfn.IFNA(VLOOKUP(U39,'GRPO Wiz Individual'!AP:BN,25,FALSE),"")</f>
        <v/>
      </c>
      <c r="BI39" t="str">
        <f>_xlfn.IFNA(VLOOKUP(U39,'GRPO Wiz Individual'!AP:BT,31,FALSE),"")</f>
        <v/>
      </c>
      <c r="BJ39" t="str">
        <f>_xlfn.IFNA(VLOOKUP(U39,'GRPO Wiz Individual'!AP:BZ,32,FALSE),"")</f>
        <v/>
      </c>
      <c r="BK39" t="str">
        <f>_xlfn.IFNA(VLOOKUP(U39,'GRPO Wiz Individual'!AP:BZ,27,FALSE),"")</f>
        <v/>
      </c>
      <c r="BL39" t="str">
        <f>_xlfn.IFNA(VALUE(VLOOKUP(U39,'GRPO Wiz Individual'!AP:BZ,29,FALSE)),"")</f>
        <v/>
      </c>
      <c r="BM39" t="str">
        <f>_xlfn.IFNA(VLOOKUP(U39,'GRPO Wiz Individual'!AP:BZ,33,FALSE),"")</f>
        <v/>
      </c>
    </row>
    <row r="40" spans="2:79" x14ac:dyDescent="0.25">
      <c r="B40" t="str">
        <f t="shared" si="1"/>
        <v/>
      </c>
      <c r="J40" s="43" t="str">
        <f t="shared" si="2"/>
        <v/>
      </c>
      <c r="X40" t="str">
        <f t="shared" si="0"/>
        <v/>
      </c>
      <c r="AG40" t="str">
        <f>_xlfn.IFNA(VLOOKUP(U40,'Incoming Material Report'!A:M,13,FALSE),"")</f>
        <v/>
      </c>
      <c r="AH40" t="str">
        <f>_xlfn.IFNA(IF(VLOOKUP(U40,'Incoming Material Report'!A:N,14,FALSE)="","",VLOOKUP(U40,'Incoming Material Report'!A:N,14,FALSE)),"")</f>
        <v/>
      </c>
      <c r="AI40" t="str">
        <f>_xlfn.IFNA(VLOOKUP(U40,'Incoming Material Report'!A:Z,24,FALSE),"")</f>
        <v/>
      </c>
      <c r="AJ40" t="str">
        <f>_xlfn.IFNA(VLOOKUP(U40,'Incoming Material Report'!A:Z,25,FALSE),"")</f>
        <v/>
      </c>
      <c r="AK40" t="str">
        <f>_xlfn.IFNA(VLOOKUP(U40,'Incoming Material Report'!A:Z,26,FALSE),"")</f>
        <v/>
      </c>
      <c r="AL40" t="str">
        <f>_xlfn.IFNA(VLOOKUP(U40,'Incoming Material Report'!A:Z,2,FALSE),"")</f>
        <v/>
      </c>
      <c r="AM40" s="54" t="str">
        <f>_xlfn.IFNA(VLOOKUP(U40,'Incoming Material Report'!A:K,11,FALSE)/1000,"")</f>
        <v/>
      </c>
      <c r="AN40" s="54"/>
      <c r="AO40" s="54" t="str">
        <f>_xlfn.IFNA(VLOOKUP(U40,'Incoming Material Report'!A:R,18,FALSE)*1000,"")</f>
        <v/>
      </c>
      <c r="AP40" s="54"/>
      <c r="AQ40" s="54" t="str">
        <f>_xlfn.IFNA(TEXT(VLOOKUP(U40,'Incoming Material Report'!A:D,4,FALSE),"dd.mm.yy"),"")</f>
        <v/>
      </c>
      <c r="AR40" s="54" t="str">
        <f>_xlfn.IFNA(VLOOKUP(U40,'Incoming Material Report'!A:Z,5,FALSE),"")</f>
        <v/>
      </c>
      <c r="AS40" s="54"/>
      <c r="AT40" s="54" t="str">
        <f>_xlfn.IFNA(VLOOKUP(U40,'Incoming Material Report'!A:Z,6,FALSE),"")</f>
        <v/>
      </c>
      <c r="AU40" s="54" t="str">
        <f>_xlfn.IFNA(VLOOKUP(U40,'Incoming Material Report'!A:Z,8,FALSE),"")</f>
        <v/>
      </c>
      <c r="AZ40" t="str">
        <f>_xlfn.IFNA(VLOOKUP(U40,'GRPO Wiz Individual'!AP:BT,17,FALSE),"")</f>
        <v/>
      </c>
      <c r="BA40" t="str">
        <f>_xlfn.IFNA(VLOOKUP(U40,'GRPO Wiz Individual'!AP:BT,18,FALSE),"")</f>
        <v/>
      </c>
      <c r="BB40" t="str">
        <f>_xlfn.IFNA(VLOOKUP(U40,'GRPO Wiz Individual'!AP:BT,19,FALSE),"")</f>
        <v/>
      </c>
      <c r="BC40" t="str">
        <f>_xlfn.IFNA(VLOOKUP(U40,'GRPO Wiz Individual'!AP:BT,20,FALSE),"")</f>
        <v/>
      </c>
      <c r="BD40" t="str">
        <f>_xlfn.IFNA(VLOOKUP(U40,'GRPO Wiz Individual'!AP:BT,21,FALSE),"")</f>
        <v/>
      </c>
      <c r="BE40" t="str">
        <f>_xlfn.IFNA((VLOOKUP(U40,'GRPO Wiz Individual'!AP:BT,22,FALSE)),"")</f>
        <v/>
      </c>
      <c r="BF40" t="str">
        <f>_xlfn.IFNA(VLOOKUP(U40,'GRPO Wiz Individual'!AP:BT,26,FALSE),"")</f>
        <v/>
      </c>
      <c r="BG40" t="str">
        <f>_xlfn.IFNA(VLOOKUP(U40,'GRPO Wiz Individual'!AP:BQ,28,FALSE),"")</f>
        <v/>
      </c>
      <c r="BH40" t="str">
        <f>_xlfn.IFNA(VLOOKUP(U40,'GRPO Wiz Individual'!AP:BN,25,FALSE),"")</f>
        <v/>
      </c>
      <c r="BI40" t="str">
        <f>_xlfn.IFNA(VLOOKUP(U40,'GRPO Wiz Individual'!AP:BT,31,FALSE),"")</f>
        <v/>
      </c>
      <c r="BJ40" t="str">
        <f>_xlfn.IFNA(VLOOKUP(U40,'GRPO Wiz Individual'!AP:BZ,32,FALSE),"")</f>
        <v/>
      </c>
      <c r="BK40" t="str">
        <f>_xlfn.IFNA(VLOOKUP(U40,'GRPO Wiz Individual'!AP:BZ,27,FALSE),"")</f>
        <v/>
      </c>
      <c r="BL40" t="str">
        <f>_xlfn.IFNA(VALUE(VLOOKUP(U40,'GRPO Wiz Individual'!AP:BZ,29,FALSE)),"")</f>
        <v/>
      </c>
      <c r="BM40" t="str">
        <f>_xlfn.IFNA(VLOOKUP(U40,'GRPO Wiz Individual'!AP:BZ,33,FALSE),"")</f>
        <v/>
      </c>
    </row>
    <row r="41" spans="2:79" x14ac:dyDescent="0.25">
      <c r="B41" t="str">
        <f t="shared" si="1"/>
        <v/>
      </c>
      <c r="J41" s="43" t="str">
        <f t="shared" si="2"/>
        <v/>
      </c>
      <c r="X41" t="str">
        <f t="shared" si="0"/>
        <v/>
      </c>
      <c r="AG41" t="str">
        <f>_xlfn.IFNA(VLOOKUP(U41,'Incoming Material Report'!A:M,13,FALSE),"")</f>
        <v/>
      </c>
      <c r="AH41" t="str">
        <f>_xlfn.IFNA(IF(VLOOKUP(U41,'Incoming Material Report'!A:N,14,FALSE)="","",VLOOKUP(U41,'Incoming Material Report'!A:N,14,FALSE)),"")</f>
        <v/>
      </c>
      <c r="AI41" t="str">
        <f>_xlfn.IFNA(VLOOKUP(U41,'Incoming Material Report'!A:Z,24,FALSE),"")</f>
        <v/>
      </c>
      <c r="AJ41" t="str">
        <f>_xlfn.IFNA(VLOOKUP(U41,'Incoming Material Report'!A:Z,25,FALSE),"")</f>
        <v/>
      </c>
      <c r="AK41" t="str">
        <f>_xlfn.IFNA(VLOOKUP(U41,'Incoming Material Report'!A:Z,26,FALSE),"")</f>
        <v/>
      </c>
      <c r="AL41" t="str">
        <f>_xlfn.IFNA(VLOOKUP(U41,'Incoming Material Report'!A:Z,2,FALSE),"")</f>
        <v/>
      </c>
      <c r="AM41" s="54" t="str">
        <f>_xlfn.IFNA(VLOOKUP(U41,'Incoming Material Report'!A:K,11,FALSE)/1000,"")</f>
        <v/>
      </c>
      <c r="AN41" s="54"/>
      <c r="AO41" s="54" t="str">
        <f>_xlfn.IFNA(VLOOKUP(U41,'Incoming Material Report'!A:R,18,FALSE)*1000,"")</f>
        <v/>
      </c>
      <c r="AP41" s="54"/>
      <c r="AQ41" s="54" t="str">
        <f>_xlfn.IFNA(TEXT(VLOOKUP(U41,'Incoming Material Report'!A:D,4,FALSE),"dd.mm.yy"),"")</f>
        <v/>
      </c>
      <c r="AR41" s="54" t="str">
        <f>_xlfn.IFNA(VLOOKUP(U41,'Incoming Material Report'!A:Z,5,FALSE),"")</f>
        <v/>
      </c>
      <c r="AS41" s="54"/>
      <c r="AT41" s="54" t="str">
        <f>_xlfn.IFNA(VLOOKUP(U41,'Incoming Material Report'!A:Z,6,FALSE),"")</f>
        <v/>
      </c>
      <c r="AU41" s="54" t="str">
        <f>_xlfn.IFNA(VLOOKUP(U41,'Incoming Material Report'!A:Z,8,FALSE),"")</f>
        <v/>
      </c>
      <c r="AZ41" t="str">
        <f>_xlfn.IFNA(VLOOKUP(U41,'GRPO Wiz Individual'!AP:BT,17,FALSE),"")</f>
        <v/>
      </c>
      <c r="BA41" t="str">
        <f>_xlfn.IFNA(VLOOKUP(U41,'GRPO Wiz Individual'!AP:BT,18,FALSE),"")</f>
        <v/>
      </c>
      <c r="BB41" t="str">
        <f>_xlfn.IFNA(VLOOKUP(U41,'GRPO Wiz Individual'!AP:BT,19,FALSE),"")</f>
        <v/>
      </c>
      <c r="BC41" t="str">
        <f>_xlfn.IFNA(VLOOKUP(U41,'GRPO Wiz Individual'!AP:BT,20,FALSE),"")</f>
        <v/>
      </c>
      <c r="BD41" t="str">
        <f>_xlfn.IFNA(VLOOKUP(U41,'GRPO Wiz Individual'!AP:BT,21,FALSE),"")</f>
        <v/>
      </c>
      <c r="BE41" t="str">
        <f>_xlfn.IFNA((VLOOKUP(U41,'GRPO Wiz Individual'!AP:BT,22,FALSE)),"")</f>
        <v/>
      </c>
      <c r="BF41" t="str">
        <f>_xlfn.IFNA(VLOOKUP(U41,'GRPO Wiz Individual'!AP:BT,26,FALSE),"")</f>
        <v/>
      </c>
      <c r="BG41" t="str">
        <f>_xlfn.IFNA(VLOOKUP(U41,'GRPO Wiz Individual'!AP:BQ,28,FALSE),"")</f>
        <v/>
      </c>
      <c r="BH41" t="str">
        <f>_xlfn.IFNA(VLOOKUP(U41,'GRPO Wiz Individual'!AP:BN,25,FALSE),"")</f>
        <v/>
      </c>
      <c r="BI41" t="str">
        <f>_xlfn.IFNA(VLOOKUP(U41,'GRPO Wiz Individual'!AP:BT,31,FALSE),"")</f>
        <v/>
      </c>
      <c r="BJ41" t="str">
        <f>_xlfn.IFNA(VLOOKUP(U41,'GRPO Wiz Individual'!AP:BZ,32,FALSE),"")</f>
        <v/>
      </c>
      <c r="BK41" t="str">
        <f>_xlfn.IFNA(VLOOKUP(U41,'GRPO Wiz Individual'!AP:BZ,27,FALSE),"")</f>
        <v/>
      </c>
      <c r="BL41" t="str">
        <f>_xlfn.IFNA(VALUE(VLOOKUP(U41,'GRPO Wiz Individual'!AP:BZ,29,FALSE)),"")</f>
        <v/>
      </c>
      <c r="BM41" t="str">
        <f>_xlfn.IFNA(VLOOKUP(U41,'GRPO Wiz Individual'!AP:BZ,33,FALSE),"")</f>
        <v/>
      </c>
    </row>
    <row r="42" spans="2:79" x14ac:dyDescent="0.25">
      <c r="B42" t="str">
        <f t="shared" si="1"/>
        <v/>
      </c>
      <c r="J42" s="43" t="str">
        <f t="shared" si="2"/>
        <v/>
      </c>
      <c r="X42" t="str">
        <f t="shared" si="0"/>
        <v/>
      </c>
      <c r="AG42" t="str">
        <f>_xlfn.IFNA(VLOOKUP(U42,'Incoming Material Report'!A:M,13,FALSE),"")</f>
        <v/>
      </c>
      <c r="AH42" t="str">
        <f>_xlfn.IFNA(IF(VLOOKUP(U42,'Incoming Material Report'!A:N,14,FALSE)="","",VLOOKUP(U42,'Incoming Material Report'!A:N,14,FALSE)),"")</f>
        <v/>
      </c>
      <c r="AI42" t="str">
        <f>_xlfn.IFNA(VLOOKUP(U42,'Incoming Material Report'!A:Z,24,FALSE),"")</f>
        <v/>
      </c>
      <c r="AJ42" t="str">
        <f>_xlfn.IFNA(VLOOKUP(U42,'Incoming Material Report'!A:Z,25,FALSE),"")</f>
        <v/>
      </c>
      <c r="AK42" t="str">
        <f>_xlfn.IFNA(VLOOKUP(U42,'Incoming Material Report'!A:Z,26,FALSE),"")</f>
        <v/>
      </c>
      <c r="AL42" t="str">
        <f>_xlfn.IFNA(VLOOKUP(U42,'Incoming Material Report'!A:Z,2,FALSE),"")</f>
        <v/>
      </c>
      <c r="AM42" s="54" t="str">
        <f>_xlfn.IFNA(VLOOKUP(U42,'Incoming Material Report'!A:K,11,FALSE)/1000,"")</f>
        <v/>
      </c>
      <c r="AN42" s="54"/>
      <c r="AO42" s="54" t="str">
        <f>_xlfn.IFNA(VLOOKUP(U42,'Incoming Material Report'!A:R,18,FALSE)*1000,"")</f>
        <v/>
      </c>
      <c r="AP42" s="54"/>
      <c r="AQ42" s="54" t="str">
        <f>_xlfn.IFNA(TEXT(VLOOKUP(U42,'Incoming Material Report'!A:D,4,FALSE),"dd.mm.yy"),"")</f>
        <v/>
      </c>
      <c r="AR42" s="54" t="str">
        <f>_xlfn.IFNA(VLOOKUP(U42,'Incoming Material Report'!A:Z,5,FALSE),"")</f>
        <v/>
      </c>
      <c r="AS42" s="54"/>
      <c r="AT42" s="54" t="str">
        <f>_xlfn.IFNA(VLOOKUP(U42,'Incoming Material Report'!A:Z,6,FALSE),"")</f>
        <v/>
      </c>
      <c r="AU42" s="54" t="str">
        <f>_xlfn.IFNA(VLOOKUP(U42,'Incoming Material Report'!A:Z,8,FALSE),"")</f>
        <v/>
      </c>
      <c r="AZ42" t="str">
        <f>_xlfn.IFNA(VLOOKUP(U42,'GRPO Wiz Individual'!AP:BT,17,FALSE),"")</f>
        <v/>
      </c>
      <c r="BA42" t="str">
        <f>_xlfn.IFNA(VLOOKUP(U42,'GRPO Wiz Individual'!AP:BT,18,FALSE),"")</f>
        <v/>
      </c>
      <c r="BB42" t="str">
        <f>_xlfn.IFNA(VLOOKUP(U42,'GRPO Wiz Individual'!AP:BT,19,FALSE),"")</f>
        <v/>
      </c>
      <c r="BC42" t="str">
        <f>_xlfn.IFNA(VLOOKUP(U42,'GRPO Wiz Individual'!AP:BT,20,FALSE),"")</f>
        <v/>
      </c>
      <c r="BD42" t="str">
        <f>_xlfn.IFNA(VLOOKUP(U42,'GRPO Wiz Individual'!AP:BT,21,FALSE),"")</f>
        <v/>
      </c>
      <c r="BE42" t="str">
        <f>_xlfn.IFNA((VLOOKUP(U42,'GRPO Wiz Individual'!AP:BT,22,FALSE)),"")</f>
        <v/>
      </c>
      <c r="BF42" t="str">
        <f>_xlfn.IFNA(VLOOKUP(U42,'GRPO Wiz Individual'!AP:BT,26,FALSE),"")</f>
        <v/>
      </c>
      <c r="BG42" t="str">
        <f>_xlfn.IFNA(VLOOKUP(U42,'GRPO Wiz Individual'!AP:BQ,28,FALSE),"")</f>
        <v/>
      </c>
      <c r="BH42" t="str">
        <f>_xlfn.IFNA(VLOOKUP(U42,'GRPO Wiz Individual'!AP:BN,25,FALSE),"")</f>
        <v/>
      </c>
      <c r="BI42" t="str">
        <f>_xlfn.IFNA(VLOOKUP(U42,'GRPO Wiz Individual'!AP:BT,31,FALSE),"")</f>
        <v/>
      </c>
      <c r="BJ42" t="str">
        <f>_xlfn.IFNA(VLOOKUP(U42,'GRPO Wiz Individual'!AP:BZ,32,FALSE),"")</f>
        <v/>
      </c>
      <c r="BK42" t="str">
        <f>_xlfn.IFNA(VLOOKUP(U42,'GRPO Wiz Individual'!AP:BZ,27,FALSE),"")</f>
        <v/>
      </c>
      <c r="BL42" t="str">
        <f>_xlfn.IFNA(VALUE(VLOOKUP(U42,'GRPO Wiz Individual'!AP:BZ,29,FALSE)),"")</f>
        <v/>
      </c>
      <c r="BM42" t="str">
        <f>_xlfn.IFNA(VLOOKUP(U42,'GRPO Wiz Individual'!AP:BZ,33,FALSE),"")</f>
        <v/>
      </c>
    </row>
    <row r="43" spans="2:79" x14ac:dyDescent="0.25">
      <c r="B43" t="str">
        <f t="shared" si="1"/>
        <v/>
      </c>
      <c r="J43" s="43" t="str">
        <f t="shared" si="2"/>
        <v/>
      </c>
      <c r="X43" t="str">
        <f t="shared" si="0"/>
        <v/>
      </c>
      <c r="AG43" t="str">
        <f>_xlfn.IFNA(VLOOKUP(U43,'Incoming Material Report'!A:M,13,FALSE),"")</f>
        <v/>
      </c>
      <c r="AH43" t="str">
        <f>_xlfn.IFNA(IF(VLOOKUP(U43,'Incoming Material Report'!A:N,14,FALSE)="","",VLOOKUP(U43,'Incoming Material Report'!A:N,14,FALSE)),"")</f>
        <v/>
      </c>
      <c r="AI43" t="str">
        <f>_xlfn.IFNA(VLOOKUP(U43,'Incoming Material Report'!A:Z,24,FALSE),"")</f>
        <v/>
      </c>
      <c r="AJ43" t="str">
        <f>_xlfn.IFNA(VLOOKUP(U43,'Incoming Material Report'!A:Z,25,FALSE),"")</f>
        <v/>
      </c>
      <c r="AK43" t="str">
        <f>_xlfn.IFNA(VLOOKUP(U43,'Incoming Material Report'!A:Z,26,FALSE),"")</f>
        <v/>
      </c>
      <c r="AL43" t="str">
        <f>_xlfn.IFNA(VLOOKUP(U43,'Incoming Material Report'!A:Z,2,FALSE),"")</f>
        <v/>
      </c>
      <c r="AM43" s="54" t="str">
        <f>_xlfn.IFNA(VLOOKUP(U43,'Incoming Material Report'!A:K,11,FALSE)/1000,"")</f>
        <v/>
      </c>
      <c r="AN43" s="54"/>
      <c r="AO43" s="54" t="str">
        <f>_xlfn.IFNA(VLOOKUP(U43,'Incoming Material Report'!A:R,18,FALSE)*1000,"")</f>
        <v/>
      </c>
      <c r="AP43" s="54"/>
      <c r="AQ43" s="54" t="str">
        <f>_xlfn.IFNA(TEXT(VLOOKUP(U43,'Incoming Material Report'!A:D,4,FALSE),"dd.mm.yy"),"")</f>
        <v/>
      </c>
      <c r="AR43" s="54" t="str">
        <f>_xlfn.IFNA(VLOOKUP(U43,'Incoming Material Report'!A:Z,5,FALSE),"")</f>
        <v/>
      </c>
      <c r="AS43" s="54"/>
      <c r="AT43" s="54" t="str">
        <f>_xlfn.IFNA(VLOOKUP(U43,'Incoming Material Report'!A:Z,6,FALSE),"")</f>
        <v/>
      </c>
      <c r="AU43" s="54" t="str">
        <f>_xlfn.IFNA(VLOOKUP(U43,'Incoming Material Report'!A:Z,8,FALSE),"")</f>
        <v/>
      </c>
      <c r="AZ43" t="str">
        <f>_xlfn.IFNA(VLOOKUP(U43,'GRPO Wiz Individual'!AP:BT,17,FALSE),"")</f>
        <v/>
      </c>
      <c r="BA43" t="str">
        <f>_xlfn.IFNA(VLOOKUP(U43,'GRPO Wiz Individual'!AP:BT,18,FALSE),"")</f>
        <v/>
      </c>
      <c r="BB43" t="str">
        <f>_xlfn.IFNA(VLOOKUP(U43,'GRPO Wiz Individual'!AP:BT,19,FALSE),"")</f>
        <v/>
      </c>
      <c r="BC43" t="str">
        <f>_xlfn.IFNA(VLOOKUP(U43,'GRPO Wiz Individual'!AP:BT,20,FALSE),"")</f>
        <v/>
      </c>
      <c r="BD43" t="str">
        <f>_xlfn.IFNA(VLOOKUP(U43,'GRPO Wiz Individual'!AP:BT,21,FALSE),"")</f>
        <v/>
      </c>
      <c r="BE43" t="str">
        <f>_xlfn.IFNA((VLOOKUP(U43,'GRPO Wiz Individual'!AP:BT,22,FALSE)),"")</f>
        <v/>
      </c>
      <c r="BF43" t="str">
        <f>_xlfn.IFNA(VLOOKUP(U43,'GRPO Wiz Individual'!AP:BT,26,FALSE),"")</f>
        <v/>
      </c>
      <c r="BG43" t="str">
        <f>_xlfn.IFNA(VLOOKUP(U43,'GRPO Wiz Individual'!AP:BQ,28,FALSE),"")</f>
        <v/>
      </c>
      <c r="BH43" t="str">
        <f>_xlfn.IFNA(VLOOKUP(U43,'GRPO Wiz Individual'!AP:BN,25,FALSE),"")</f>
        <v/>
      </c>
      <c r="BI43" t="str">
        <f>_xlfn.IFNA(VLOOKUP(U43,'GRPO Wiz Individual'!AP:BT,31,FALSE),"")</f>
        <v/>
      </c>
      <c r="BJ43" t="str">
        <f>_xlfn.IFNA(VLOOKUP(U43,'GRPO Wiz Individual'!AP:BZ,32,FALSE),"")</f>
        <v/>
      </c>
      <c r="BK43" t="str">
        <f>_xlfn.IFNA(VLOOKUP(U43,'GRPO Wiz Individual'!AP:BZ,27,FALSE),"")</f>
        <v/>
      </c>
      <c r="BL43" t="str">
        <f>_xlfn.IFNA(VALUE(VLOOKUP(U43,'GRPO Wiz Individual'!AP:BZ,29,FALSE)),"")</f>
        <v/>
      </c>
      <c r="BM43" t="str">
        <f>_xlfn.IFNA(VLOOKUP(U43,'GRPO Wiz Individual'!AP:BZ,33,FALSE),"")</f>
        <v/>
      </c>
    </row>
    <row r="44" spans="2:79" x14ac:dyDescent="0.25">
      <c r="B44" t="str">
        <f t="shared" si="1"/>
        <v/>
      </c>
      <c r="J44" s="43" t="str">
        <f t="shared" si="2"/>
        <v/>
      </c>
      <c r="X44" t="str">
        <f t="shared" si="0"/>
        <v/>
      </c>
      <c r="AG44" t="str">
        <f>_xlfn.IFNA(VLOOKUP(U44,'Incoming Material Report'!A:M,13,FALSE),"")</f>
        <v/>
      </c>
      <c r="AH44" t="str">
        <f>_xlfn.IFNA(IF(VLOOKUP(U44,'Incoming Material Report'!A:N,14,FALSE)="","",VLOOKUP(U44,'Incoming Material Report'!A:N,14,FALSE)),"")</f>
        <v/>
      </c>
      <c r="AI44" t="str">
        <f>_xlfn.IFNA(VLOOKUP(U44,'Incoming Material Report'!A:Z,24,FALSE),"")</f>
        <v/>
      </c>
      <c r="AJ44" t="str">
        <f>_xlfn.IFNA(VLOOKUP(U44,'Incoming Material Report'!A:Z,25,FALSE),"")</f>
        <v/>
      </c>
      <c r="AK44" t="str">
        <f>_xlfn.IFNA(VLOOKUP(U44,'Incoming Material Report'!A:Z,26,FALSE),"")</f>
        <v/>
      </c>
      <c r="AL44" t="str">
        <f>_xlfn.IFNA(VLOOKUP(U44,'Incoming Material Report'!A:Z,2,FALSE),"")</f>
        <v/>
      </c>
      <c r="AM44" s="54" t="str">
        <f>_xlfn.IFNA(VLOOKUP(U44,'Incoming Material Report'!A:K,11,FALSE)/1000,"")</f>
        <v/>
      </c>
      <c r="AN44" s="54"/>
      <c r="AO44" s="54" t="str">
        <f>_xlfn.IFNA(VLOOKUP(U44,'Incoming Material Report'!A:R,18,FALSE)*1000,"")</f>
        <v/>
      </c>
      <c r="AP44" s="54"/>
      <c r="AQ44" s="54" t="str">
        <f>_xlfn.IFNA(TEXT(VLOOKUP(U44,'Incoming Material Report'!A:D,4,FALSE),"dd.mm.yy"),"")</f>
        <v/>
      </c>
      <c r="AR44" s="54" t="str">
        <f>_xlfn.IFNA(VLOOKUP(U44,'Incoming Material Report'!A:Z,5,FALSE),"")</f>
        <v/>
      </c>
      <c r="AS44" s="54"/>
      <c r="AT44" s="54" t="str">
        <f>_xlfn.IFNA(VLOOKUP(U44,'Incoming Material Report'!A:Z,6,FALSE),"")</f>
        <v/>
      </c>
      <c r="AU44" s="54" t="str">
        <f>_xlfn.IFNA(VLOOKUP(U44,'Incoming Material Report'!A:Z,8,FALSE),"")</f>
        <v/>
      </c>
      <c r="AZ44" t="str">
        <f>_xlfn.IFNA(VLOOKUP(U44,'GRPO Wiz Individual'!AP:BT,17,FALSE),"")</f>
        <v/>
      </c>
      <c r="BA44" t="str">
        <f>_xlfn.IFNA(VLOOKUP(U44,'GRPO Wiz Individual'!AP:BT,18,FALSE),"")</f>
        <v/>
      </c>
      <c r="BB44" t="str">
        <f>_xlfn.IFNA(VLOOKUP(U44,'GRPO Wiz Individual'!AP:BT,19,FALSE),"")</f>
        <v/>
      </c>
      <c r="BC44" t="str">
        <f>_xlfn.IFNA(VLOOKUP(U44,'GRPO Wiz Individual'!AP:BT,20,FALSE),"")</f>
        <v/>
      </c>
      <c r="BD44" t="str">
        <f>_xlfn.IFNA(VLOOKUP(U44,'GRPO Wiz Individual'!AP:BT,21,FALSE),"")</f>
        <v/>
      </c>
      <c r="BE44" t="str">
        <f>_xlfn.IFNA((VLOOKUP(U44,'GRPO Wiz Individual'!AP:BT,22,FALSE)),"")</f>
        <v/>
      </c>
      <c r="BF44" t="str">
        <f>_xlfn.IFNA(VLOOKUP(U44,'GRPO Wiz Individual'!AP:BT,26,FALSE),"")</f>
        <v/>
      </c>
      <c r="BG44" t="str">
        <f>_xlfn.IFNA(VLOOKUP(U44,'GRPO Wiz Individual'!AP:BQ,28,FALSE),"")</f>
        <v/>
      </c>
      <c r="BH44" t="str">
        <f>_xlfn.IFNA(VLOOKUP(U44,'GRPO Wiz Individual'!AP:BN,25,FALSE),"")</f>
        <v/>
      </c>
      <c r="BI44" t="str">
        <f>_xlfn.IFNA(VLOOKUP(U44,'GRPO Wiz Individual'!AP:BT,31,FALSE),"")</f>
        <v/>
      </c>
      <c r="BJ44" t="str">
        <f>_xlfn.IFNA(VLOOKUP(U44,'GRPO Wiz Individual'!AP:BZ,32,FALSE),"")</f>
        <v/>
      </c>
      <c r="BK44" t="str">
        <f>_xlfn.IFNA(VLOOKUP(U44,'GRPO Wiz Individual'!AP:BZ,27,FALSE),"")</f>
        <v/>
      </c>
      <c r="BL44" t="str">
        <f>_xlfn.IFNA(VALUE(VLOOKUP(U44,'GRPO Wiz Individual'!AP:BZ,29,FALSE)),"")</f>
        <v/>
      </c>
      <c r="BM44" t="str">
        <f>_xlfn.IFNA(VLOOKUP(U44,'GRPO Wiz Individual'!AP:BZ,33,FALSE),"")</f>
        <v/>
      </c>
    </row>
    <row r="45" spans="2:79" x14ac:dyDescent="0.25">
      <c r="B45" t="str">
        <f t="shared" si="1"/>
        <v/>
      </c>
      <c r="J45" s="43" t="str">
        <f t="shared" si="2"/>
        <v/>
      </c>
      <c r="X45" t="str">
        <f t="shared" si="0"/>
        <v/>
      </c>
      <c r="AG45" t="str">
        <f>_xlfn.IFNA(VLOOKUP(U45,'Incoming Material Report'!A:M,13,FALSE),"")</f>
        <v/>
      </c>
      <c r="AH45" t="str">
        <f>_xlfn.IFNA(IF(VLOOKUP(U45,'Incoming Material Report'!A:N,14,FALSE)="","",VLOOKUP(U45,'Incoming Material Report'!A:N,14,FALSE)),"")</f>
        <v/>
      </c>
      <c r="AI45" t="str">
        <f>_xlfn.IFNA(VLOOKUP(U45,'Incoming Material Report'!A:Z,24,FALSE),"")</f>
        <v/>
      </c>
      <c r="AJ45" t="str">
        <f>_xlfn.IFNA(VLOOKUP(U45,'Incoming Material Report'!A:Z,25,FALSE),"")</f>
        <v/>
      </c>
      <c r="AK45" t="str">
        <f>_xlfn.IFNA(VLOOKUP(U45,'Incoming Material Report'!A:Z,26,FALSE),"")</f>
        <v/>
      </c>
      <c r="AL45" t="str">
        <f>_xlfn.IFNA(VLOOKUP(U45,'Incoming Material Report'!A:Z,2,FALSE),"")</f>
        <v/>
      </c>
      <c r="AM45" s="54" t="str">
        <f>_xlfn.IFNA(VLOOKUP(U45,'Incoming Material Report'!A:K,11,FALSE)/1000,"")</f>
        <v/>
      </c>
      <c r="AN45" s="54"/>
      <c r="AO45" s="54" t="str">
        <f>_xlfn.IFNA(VLOOKUP(U45,'Incoming Material Report'!A:R,18,FALSE)*1000,"")</f>
        <v/>
      </c>
      <c r="AP45" s="54"/>
      <c r="AQ45" s="54" t="str">
        <f>_xlfn.IFNA(TEXT(VLOOKUP(U45,'Incoming Material Report'!A:D,4,FALSE),"dd.mm.yy"),"")</f>
        <v/>
      </c>
      <c r="AR45" s="54" t="str">
        <f>_xlfn.IFNA(VLOOKUP(U45,'Incoming Material Report'!A:Z,5,FALSE),"")</f>
        <v/>
      </c>
      <c r="AS45" s="54"/>
      <c r="AT45" s="54" t="str">
        <f>_xlfn.IFNA(VLOOKUP(U45,'Incoming Material Report'!A:Z,6,FALSE),"")</f>
        <v/>
      </c>
      <c r="AU45" s="54" t="str">
        <f>_xlfn.IFNA(VLOOKUP(U45,'Incoming Material Report'!A:Z,8,FALSE),"")</f>
        <v/>
      </c>
      <c r="AZ45" t="str">
        <f>_xlfn.IFNA(VLOOKUP(U45,'GRPO Wiz Individual'!AP:BT,17,FALSE),"")</f>
        <v/>
      </c>
      <c r="BA45" t="str">
        <f>_xlfn.IFNA(VLOOKUP(U45,'GRPO Wiz Individual'!AP:BT,18,FALSE),"")</f>
        <v/>
      </c>
      <c r="BB45" t="str">
        <f>_xlfn.IFNA(VLOOKUP(U45,'GRPO Wiz Individual'!AP:BT,19,FALSE),"")</f>
        <v/>
      </c>
      <c r="BC45" t="str">
        <f>_xlfn.IFNA(VLOOKUP(U45,'GRPO Wiz Individual'!AP:BT,20,FALSE),"")</f>
        <v/>
      </c>
      <c r="BD45" t="str">
        <f>_xlfn.IFNA(VLOOKUP(U45,'GRPO Wiz Individual'!AP:BT,21,FALSE),"")</f>
        <v/>
      </c>
      <c r="BE45" t="str">
        <f>_xlfn.IFNA((VLOOKUP(U45,'GRPO Wiz Individual'!AP:BT,22,FALSE)),"")</f>
        <v/>
      </c>
      <c r="BF45" t="str">
        <f>_xlfn.IFNA(VLOOKUP(U45,'GRPO Wiz Individual'!AP:BT,26,FALSE),"")</f>
        <v/>
      </c>
      <c r="BG45" t="str">
        <f>_xlfn.IFNA(VLOOKUP(U45,'GRPO Wiz Individual'!AP:BQ,28,FALSE),"")</f>
        <v/>
      </c>
      <c r="BH45" t="str">
        <f>_xlfn.IFNA(VLOOKUP(U45,'GRPO Wiz Individual'!AP:BN,25,FALSE),"")</f>
        <v/>
      </c>
      <c r="BI45" t="str">
        <f>_xlfn.IFNA(VLOOKUP(U45,'GRPO Wiz Individual'!AP:BT,31,FALSE),"")</f>
        <v/>
      </c>
      <c r="BJ45" t="str">
        <f>_xlfn.IFNA(VLOOKUP(U45,'GRPO Wiz Individual'!AP:BZ,32,FALSE),"")</f>
        <v/>
      </c>
      <c r="BK45" t="str">
        <f>_xlfn.IFNA(VLOOKUP(U45,'GRPO Wiz Individual'!AP:BZ,27,FALSE),"")</f>
        <v/>
      </c>
      <c r="BL45" t="str">
        <f>_xlfn.IFNA(VALUE(VLOOKUP(U45,'GRPO Wiz Individual'!AP:BZ,29,FALSE)),"")</f>
        <v/>
      </c>
      <c r="BM45" t="str">
        <f>_xlfn.IFNA(VLOOKUP(U45,'GRPO Wiz Individual'!AP:BZ,33,FALSE),"")</f>
        <v/>
      </c>
    </row>
    <row r="46" spans="2:79" x14ac:dyDescent="0.25">
      <c r="B46" t="str">
        <f t="shared" si="1"/>
        <v/>
      </c>
      <c r="J46" s="43" t="str">
        <f t="shared" si="2"/>
        <v/>
      </c>
      <c r="X46" t="str">
        <f t="shared" si="0"/>
        <v/>
      </c>
      <c r="AG46" t="str">
        <f>_xlfn.IFNA(VLOOKUP(U46,'Incoming Material Report'!A:M,13,FALSE),"")</f>
        <v/>
      </c>
      <c r="AH46" t="str">
        <f>_xlfn.IFNA(IF(VLOOKUP(U46,'Incoming Material Report'!A:N,14,FALSE)="","",VLOOKUP(U46,'Incoming Material Report'!A:N,14,FALSE)),"")</f>
        <v/>
      </c>
      <c r="AI46" t="str">
        <f>_xlfn.IFNA(VLOOKUP(U46,'Incoming Material Report'!A:Z,24,FALSE),"")</f>
        <v/>
      </c>
      <c r="AJ46" t="str">
        <f>_xlfn.IFNA(VLOOKUP(U46,'Incoming Material Report'!A:Z,25,FALSE),"")</f>
        <v/>
      </c>
      <c r="AK46" t="str">
        <f>_xlfn.IFNA(VLOOKUP(U46,'Incoming Material Report'!A:Z,26,FALSE),"")</f>
        <v/>
      </c>
      <c r="AL46" t="str">
        <f>_xlfn.IFNA(VLOOKUP(U46,'Incoming Material Report'!A:Z,2,FALSE),"")</f>
        <v/>
      </c>
      <c r="AM46" s="54" t="str">
        <f>_xlfn.IFNA(VLOOKUP(U46,'Incoming Material Report'!A:K,11,FALSE)/1000,"")</f>
        <v/>
      </c>
      <c r="AN46" s="54"/>
      <c r="AO46" s="54" t="str">
        <f>_xlfn.IFNA(VLOOKUP(U46,'Incoming Material Report'!A:R,18,FALSE)*1000,"")</f>
        <v/>
      </c>
      <c r="AP46" s="54"/>
      <c r="AQ46" s="54" t="str">
        <f>_xlfn.IFNA(TEXT(VLOOKUP(U46,'Incoming Material Report'!A:D,4,FALSE),"dd.mm.yy"),"")</f>
        <v/>
      </c>
      <c r="AR46" s="54" t="str">
        <f>_xlfn.IFNA(VLOOKUP(U46,'Incoming Material Report'!A:Z,5,FALSE),"")</f>
        <v/>
      </c>
      <c r="AS46" s="54"/>
      <c r="AT46" s="54" t="str">
        <f>_xlfn.IFNA(VLOOKUP(U46,'Incoming Material Report'!A:Z,6,FALSE),"")</f>
        <v/>
      </c>
      <c r="AU46" s="54" t="str">
        <f>_xlfn.IFNA(VLOOKUP(U46,'Incoming Material Report'!A:Z,8,FALSE),"")</f>
        <v/>
      </c>
      <c r="AZ46" t="str">
        <f>_xlfn.IFNA(VLOOKUP(U46,'GRPO Wiz Individual'!AP:BT,17,FALSE),"")</f>
        <v/>
      </c>
      <c r="BA46" t="str">
        <f>_xlfn.IFNA(VLOOKUP(U46,'GRPO Wiz Individual'!AP:BT,18,FALSE),"")</f>
        <v/>
      </c>
      <c r="BB46" t="str">
        <f>_xlfn.IFNA(VLOOKUP(U46,'GRPO Wiz Individual'!AP:BT,19,FALSE),"")</f>
        <v/>
      </c>
      <c r="BC46" t="str">
        <f>_xlfn.IFNA(VLOOKUP(U46,'GRPO Wiz Individual'!AP:BT,20,FALSE),"")</f>
        <v/>
      </c>
      <c r="BD46" t="str">
        <f>_xlfn.IFNA(VLOOKUP(U46,'GRPO Wiz Individual'!AP:BT,21,FALSE),"")</f>
        <v/>
      </c>
      <c r="BE46" t="str">
        <f>_xlfn.IFNA((VLOOKUP(U46,'GRPO Wiz Individual'!AP:BT,22,FALSE)),"")</f>
        <v/>
      </c>
      <c r="BF46" t="str">
        <f>_xlfn.IFNA(VLOOKUP(U46,'GRPO Wiz Individual'!AP:BT,26,FALSE),"")</f>
        <v/>
      </c>
      <c r="BG46" t="str">
        <f>_xlfn.IFNA(VLOOKUP(U46,'GRPO Wiz Individual'!AP:BQ,28,FALSE),"")</f>
        <v/>
      </c>
      <c r="BH46" t="str">
        <f>_xlfn.IFNA(VLOOKUP(U46,'GRPO Wiz Individual'!AP:BN,25,FALSE),"")</f>
        <v/>
      </c>
      <c r="BI46" t="str">
        <f>_xlfn.IFNA(VLOOKUP(U46,'GRPO Wiz Individual'!AP:BT,31,FALSE),"")</f>
        <v/>
      </c>
      <c r="BJ46" t="str">
        <f>_xlfn.IFNA(VLOOKUP(U46,'GRPO Wiz Individual'!AP:BZ,32,FALSE),"")</f>
        <v/>
      </c>
      <c r="BK46" t="str">
        <f>_xlfn.IFNA(VLOOKUP(U46,'GRPO Wiz Individual'!AP:BZ,27,FALSE),"")</f>
        <v/>
      </c>
      <c r="BL46" t="str">
        <f>_xlfn.IFNA(VALUE(VLOOKUP(U46,'GRPO Wiz Individual'!AP:BZ,29,FALSE)),"")</f>
        <v/>
      </c>
      <c r="BM46" t="str">
        <f>_xlfn.IFNA(VLOOKUP(U46,'GRPO Wiz Individual'!AP:BZ,33,FALSE),"")</f>
        <v/>
      </c>
    </row>
    <row r="47" spans="2:79" x14ac:dyDescent="0.25">
      <c r="B47" t="str">
        <f t="shared" si="1"/>
        <v/>
      </c>
      <c r="J47" s="43" t="str">
        <f t="shared" si="2"/>
        <v/>
      </c>
      <c r="X47" t="str">
        <f t="shared" si="0"/>
        <v/>
      </c>
      <c r="AG47" t="str">
        <f>_xlfn.IFNA(VLOOKUP(U47,'Incoming Material Report'!A:M,13,FALSE),"")</f>
        <v/>
      </c>
      <c r="AH47" t="str">
        <f>_xlfn.IFNA(IF(VLOOKUP(U47,'Incoming Material Report'!A:N,14,FALSE)="","",VLOOKUP(U47,'Incoming Material Report'!A:N,14,FALSE)),"")</f>
        <v/>
      </c>
      <c r="AI47" t="str">
        <f>_xlfn.IFNA(VLOOKUP(U47,'Incoming Material Report'!A:Z,24,FALSE),"")</f>
        <v/>
      </c>
      <c r="AJ47" t="str">
        <f>_xlfn.IFNA(VLOOKUP(U47,'Incoming Material Report'!A:Z,25,FALSE),"")</f>
        <v/>
      </c>
      <c r="AK47" t="str">
        <f>_xlfn.IFNA(VLOOKUP(U47,'Incoming Material Report'!A:Z,26,FALSE),"")</f>
        <v/>
      </c>
      <c r="AL47" t="str">
        <f>_xlfn.IFNA(VLOOKUP(U47,'Incoming Material Report'!A:Z,2,FALSE),"")</f>
        <v/>
      </c>
      <c r="AM47" s="54" t="str">
        <f>_xlfn.IFNA(VLOOKUP(U47,'Incoming Material Report'!A:K,11,FALSE)/1000,"")</f>
        <v/>
      </c>
      <c r="AN47" s="54"/>
      <c r="AO47" s="54" t="str">
        <f>_xlfn.IFNA(VLOOKUP(U47,'Incoming Material Report'!A:R,18,FALSE)*1000,"")</f>
        <v/>
      </c>
      <c r="AP47" s="54"/>
      <c r="AQ47" s="54" t="str">
        <f>_xlfn.IFNA(TEXT(VLOOKUP(U47,'Incoming Material Report'!A:D,4,FALSE),"dd.mm.yy"),"")</f>
        <v/>
      </c>
      <c r="AR47" s="54" t="str">
        <f>_xlfn.IFNA(VLOOKUP(U47,'Incoming Material Report'!A:Z,5,FALSE),"")</f>
        <v/>
      </c>
      <c r="AS47" s="54"/>
      <c r="AT47" s="54" t="str">
        <f>_xlfn.IFNA(VLOOKUP(U47,'Incoming Material Report'!A:Z,6,FALSE),"")</f>
        <v/>
      </c>
      <c r="AU47" s="54" t="str">
        <f>_xlfn.IFNA(VLOOKUP(U47,'Incoming Material Report'!A:Z,8,FALSE),"")</f>
        <v/>
      </c>
      <c r="AZ47" t="str">
        <f>_xlfn.IFNA(VLOOKUP(U47,'GRPO Wiz Individual'!AP:BT,17,FALSE),"")</f>
        <v/>
      </c>
      <c r="BA47" t="str">
        <f>_xlfn.IFNA(VLOOKUP(U47,'GRPO Wiz Individual'!AP:BT,18,FALSE),"")</f>
        <v/>
      </c>
      <c r="BB47" t="str">
        <f>_xlfn.IFNA(VLOOKUP(U47,'GRPO Wiz Individual'!AP:BT,19,FALSE),"")</f>
        <v/>
      </c>
      <c r="BC47" t="str">
        <f>_xlfn.IFNA(VLOOKUP(U47,'GRPO Wiz Individual'!AP:BT,20,FALSE),"")</f>
        <v/>
      </c>
      <c r="BD47" t="str">
        <f>_xlfn.IFNA(VLOOKUP(U47,'GRPO Wiz Individual'!AP:BT,21,FALSE),"")</f>
        <v/>
      </c>
      <c r="BE47" t="str">
        <f>_xlfn.IFNA((VLOOKUP(U47,'GRPO Wiz Individual'!AP:BT,22,FALSE)),"")</f>
        <v/>
      </c>
      <c r="BF47" t="str">
        <f>_xlfn.IFNA(VLOOKUP(U47,'GRPO Wiz Individual'!AP:BT,26,FALSE),"")</f>
        <v/>
      </c>
      <c r="BG47" t="str">
        <f>_xlfn.IFNA(VLOOKUP(U47,'GRPO Wiz Individual'!AP:BQ,28,FALSE),"")</f>
        <v/>
      </c>
      <c r="BH47" t="str">
        <f>_xlfn.IFNA(VLOOKUP(U47,'GRPO Wiz Individual'!AP:BN,25,FALSE),"")</f>
        <v/>
      </c>
      <c r="BI47" t="str">
        <f>_xlfn.IFNA(VLOOKUP(U47,'GRPO Wiz Individual'!AP:BT,31,FALSE),"")</f>
        <v/>
      </c>
      <c r="BJ47" t="str">
        <f>_xlfn.IFNA(VLOOKUP(U47,'GRPO Wiz Individual'!AP:BZ,32,FALSE),"")</f>
        <v/>
      </c>
      <c r="BK47" t="str">
        <f>_xlfn.IFNA(VLOOKUP(U47,'GRPO Wiz Individual'!AP:BZ,27,FALSE),"")</f>
        <v/>
      </c>
      <c r="BL47" t="str">
        <f>_xlfn.IFNA(VALUE(VLOOKUP(U47,'GRPO Wiz Individual'!AP:BZ,29,FALSE)),"")</f>
        <v/>
      </c>
      <c r="BM47" t="str">
        <f>_xlfn.IFNA(VLOOKUP(U47,'GRPO Wiz Individual'!AP:BZ,33,FALSE),"")</f>
        <v/>
      </c>
    </row>
    <row r="48" spans="2:79" x14ac:dyDescent="0.25">
      <c r="B48" t="str">
        <f t="shared" si="1"/>
        <v/>
      </c>
      <c r="J48" s="43" t="str">
        <f t="shared" si="2"/>
        <v/>
      </c>
      <c r="X48" t="str">
        <f t="shared" si="0"/>
        <v/>
      </c>
      <c r="AG48" t="str">
        <f>_xlfn.IFNA(VLOOKUP(U48,'Incoming Material Report'!A:M,13,FALSE),"")</f>
        <v/>
      </c>
      <c r="AH48" t="str">
        <f>_xlfn.IFNA(IF(VLOOKUP(U48,'Incoming Material Report'!A:N,14,FALSE)="","",VLOOKUP(U48,'Incoming Material Report'!A:N,14,FALSE)),"")</f>
        <v/>
      </c>
      <c r="AI48" t="str">
        <f>_xlfn.IFNA(VLOOKUP(U48,'Incoming Material Report'!A:Z,24,FALSE),"")</f>
        <v/>
      </c>
      <c r="AJ48" t="str">
        <f>_xlfn.IFNA(VLOOKUP(U48,'Incoming Material Report'!A:Z,25,FALSE),"")</f>
        <v/>
      </c>
      <c r="AK48" t="str">
        <f>_xlfn.IFNA(VLOOKUP(U48,'Incoming Material Report'!A:Z,26,FALSE),"")</f>
        <v/>
      </c>
      <c r="AL48" t="str">
        <f>_xlfn.IFNA(VLOOKUP(U48,'Incoming Material Report'!A:Z,2,FALSE),"")</f>
        <v/>
      </c>
      <c r="AM48" s="54" t="str">
        <f>_xlfn.IFNA(VLOOKUP(U48,'Incoming Material Report'!A:K,11,FALSE)/1000,"")</f>
        <v/>
      </c>
      <c r="AN48" s="54"/>
      <c r="AO48" s="54" t="str">
        <f>_xlfn.IFNA(VLOOKUP(U48,'Incoming Material Report'!A:R,18,FALSE)*1000,"")</f>
        <v/>
      </c>
      <c r="AP48" s="54"/>
      <c r="AQ48" s="54" t="str">
        <f>_xlfn.IFNA(TEXT(VLOOKUP(U48,'Incoming Material Report'!A:D,4,FALSE),"dd.mm.yy"),"")</f>
        <v/>
      </c>
      <c r="AR48" s="54" t="str">
        <f>_xlfn.IFNA(VLOOKUP(U48,'Incoming Material Report'!A:Z,5,FALSE),"")</f>
        <v/>
      </c>
      <c r="AS48" s="54"/>
      <c r="AT48" s="54" t="str">
        <f>_xlfn.IFNA(VLOOKUP(U48,'Incoming Material Report'!A:Z,6,FALSE),"")</f>
        <v/>
      </c>
      <c r="AU48" s="54" t="str">
        <f>_xlfn.IFNA(VLOOKUP(U48,'Incoming Material Report'!A:Z,8,FALSE),"")</f>
        <v/>
      </c>
      <c r="AZ48" t="str">
        <f>_xlfn.IFNA(VLOOKUP(U48,'GRPO Wiz Individual'!AP:BT,17,FALSE),"")</f>
        <v/>
      </c>
      <c r="BA48" t="str">
        <f>_xlfn.IFNA(VLOOKUP(U48,'GRPO Wiz Individual'!AP:BT,18,FALSE),"")</f>
        <v/>
      </c>
      <c r="BB48" t="str">
        <f>_xlfn.IFNA(VLOOKUP(U48,'GRPO Wiz Individual'!AP:BT,19,FALSE),"")</f>
        <v/>
      </c>
      <c r="BC48" t="str">
        <f>_xlfn.IFNA(VLOOKUP(U48,'GRPO Wiz Individual'!AP:BT,20,FALSE),"")</f>
        <v/>
      </c>
      <c r="BD48" t="str">
        <f>_xlfn.IFNA(VLOOKUP(U48,'GRPO Wiz Individual'!AP:BT,21,FALSE),"")</f>
        <v/>
      </c>
      <c r="BE48" t="str">
        <f>_xlfn.IFNA((VLOOKUP(U48,'GRPO Wiz Individual'!AP:BT,22,FALSE)),"")</f>
        <v/>
      </c>
      <c r="BF48" t="str">
        <f>_xlfn.IFNA(VLOOKUP(U48,'GRPO Wiz Individual'!AP:BT,26,FALSE),"")</f>
        <v/>
      </c>
      <c r="BG48" t="str">
        <f>_xlfn.IFNA(VLOOKUP(U48,'GRPO Wiz Individual'!AP:BQ,28,FALSE),"")</f>
        <v/>
      </c>
      <c r="BH48" t="str">
        <f>_xlfn.IFNA(VLOOKUP(U48,'GRPO Wiz Individual'!AP:BN,25,FALSE),"")</f>
        <v/>
      </c>
      <c r="BI48" t="str">
        <f>_xlfn.IFNA(VLOOKUP(U48,'GRPO Wiz Individual'!AP:BT,31,FALSE),"")</f>
        <v/>
      </c>
      <c r="BJ48" t="str">
        <f>_xlfn.IFNA(VLOOKUP(U48,'GRPO Wiz Individual'!AP:BZ,32,FALSE),"")</f>
        <v/>
      </c>
      <c r="BK48" t="str">
        <f>_xlfn.IFNA(VLOOKUP(U48,'GRPO Wiz Individual'!AP:BZ,27,FALSE),"")</f>
        <v/>
      </c>
      <c r="BL48" t="str">
        <f>_xlfn.IFNA(VALUE(VLOOKUP(U48,'GRPO Wiz Individual'!AP:BZ,29,FALSE)),"")</f>
        <v/>
      </c>
      <c r="BM48" t="str">
        <f>_xlfn.IFNA(VLOOKUP(U48,'GRPO Wiz Individual'!AP:BZ,33,FALSE),"")</f>
        <v/>
      </c>
    </row>
    <row r="49" spans="2:65" x14ac:dyDescent="0.25">
      <c r="B49" t="str">
        <f t="shared" si="1"/>
        <v/>
      </c>
      <c r="J49" s="43" t="str">
        <f t="shared" si="2"/>
        <v/>
      </c>
      <c r="X49" t="str">
        <f t="shared" si="0"/>
        <v/>
      </c>
      <c r="AG49" t="str">
        <f>_xlfn.IFNA(VLOOKUP(U49,'Incoming Material Report'!A:M,13,FALSE),"")</f>
        <v/>
      </c>
      <c r="AH49" t="str">
        <f>_xlfn.IFNA(IF(VLOOKUP(U49,'Incoming Material Report'!A:N,14,FALSE)="","",VLOOKUP(U49,'Incoming Material Report'!A:N,14,FALSE)),"")</f>
        <v/>
      </c>
      <c r="AI49" t="str">
        <f>_xlfn.IFNA(VLOOKUP(U49,'Incoming Material Report'!A:Z,24,FALSE),"")</f>
        <v/>
      </c>
      <c r="AJ49" t="str">
        <f>_xlfn.IFNA(VLOOKUP(U49,'Incoming Material Report'!A:Z,25,FALSE),"")</f>
        <v/>
      </c>
      <c r="AK49" t="str">
        <f>_xlfn.IFNA(VLOOKUP(U49,'Incoming Material Report'!A:Z,26,FALSE),"")</f>
        <v/>
      </c>
      <c r="AL49" t="str">
        <f>_xlfn.IFNA(VLOOKUP(U49,'Incoming Material Report'!A:Z,2,FALSE),"")</f>
        <v/>
      </c>
      <c r="AM49" s="54" t="str">
        <f>_xlfn.IFNA(VLOOKUP(U49,'Incoming Material Report'!A:K,11,FALSE)/1000,"")</f>
        <v/>
      </c>
      <c r="AN49" s="54"/>
      <c r="AO49" s="54" t="str">
        <f>_xlfn.IFNA(VLOOKUP(U49,'Incoming Material Report'!A:R,18,FALSE)*1000,"")</f>
        <v/>
      </c>
      <c r="AP49" s="54"/>
      <c r="AQ49" s="54" t="str">
        <f>_xlfn.IFNA(TEXT(VLOOKUP(U49,'Incoming Material Report'!A:D,4,FALSE),"dd.mm.yy"),"")</f>
        <v/>
      </c>
      <c r="AR49" s="54" t="str">
        <f>_xlfn.IFNA(VLOOKUP(U49,'Incoming Material Report'!A:Z,5,FALSE),"")</f>
        <v/>
      </c>
      <c r="AS49" s="54"/>
      <c r="AT49" s="54" t="str">
        <f>_xlfn.IFNA(VLOOKUP(U49,'Incoming Material Report'!A:Z,6,FALSE),"")</f>
        <v/>
      </c>
      <c r="AU49" s="54" t="str">
        <f>_xlfn.IFNA(VLOOKUP(U49,'Incoming Material Report'!A:Z,8,FALSE),"")</f>
        <v/>
      </c>
      <c r="AZ49" t="str">
        <f>_xlfn.IFNA(VLOOKUP(U49,'GRPO Wiz Individual'!AP:BT,17,FALSE),"")</f>
        <v/>
      </c>
      <c r="BA49" t="str">
        <f>_xlfn.IFNA(VLOOKUP(U49,'GRPO Wiz Individual'!AP:BT,18,FALSE),"")</f>
        <v/>
      </c>
      <c r="BB49" t="str">
        <f>_xlfn.IFNA(VLOOKUP(U49,'GRPO Wiz Individual'!AP:BT,19,FALSE),"")</f>
        <v/>
      </c>
      <c r="BC49" t="str">
        <f>_xlfn.IFNA(VLOOKUP(U49,'GRPO Wiz Individual'!AP:BT,20,FALSE),"")</f>
        <v/>
      </c>
      <c r="BD49" t="str">
        <f>_xlfn.IFNA(VLOOKUP(U49,'GRPO Wiz Individual'!AP:BT,21,FALSE),"")</f>
        <v/>
      </c>
      <c r="BE49" t="str">
        <f>_xlfn.IFNA((VLOOKUP(U49,'GRPO Wiz Individual'!AP:BT,22,FALSE)),"")</f>
        <v/>
      </c>
      <c r="BF49" t="str">
        <f>_xlfn.IFNA(VLOOKUP(U49,'GRPO Wiz Individual'!AP:BT,26,FALSE),"")</f>
        <v/>
      </c>
      <c r="BG49" t="str">
        <f>_xlfn.IFNA(VLOOKUP(U49,'GRPO Wiz Individual'!AP:BQ,28,FALSE),"")</f>
        <v/>
      </c>
      <c r="BH49" t="str">
        <f>_xlfn.IFNA(VLOOKUP(U49,'GRPO Wiz Individual'!AP:BN,25,FALSE),"")</f>
        <v/>
      </c>
      <c r="BI49" t="str">
        <f>_xlfn.IFNA(VLOOKUP(U49,'GRPO Wiz Individual'!AP:BT,31,FALSE),"")</f>
        <v/>
      </c>
      <c r="BJ49" t="str">
        <f>_xlfn.IFNA(VLOOKUP(U49,'GRPO Wiz Individual'!AP:BZ,32,FALSE),"")</f>
        <v/>
      </c>
      <c r="BK49" t="str">
        <f>_xlfn.IFNA(VLOOKUP(U49,'GRPO Wiz Individual'!AP:BZ,27,FALSE),"")</f>
        <v/>
      </c>
      <c r="BL49" t="str">
        <f>_xlfn.IFNA(VALUE(VLOOKUP(U49,'GRPO Wiz Individual'!AP:BZ,29,FALSE)),"")</f>
        <v/>
      </c>
      <c r="BM49" t="str">
        <f>_xlfn.IFNA(VLOOKUP(U49,'GRPO Wiz Individual'!AP:BZ,33,FALSE),"")</f>
        <v/>
      </c>
    </row>
    <row r="50" spans="2:65" x14ac:dyDescent="0.25">
      <c r="B50" t="str">
        <f t="shared" si="1"/>
        <v/>
      </c>
      <c r="J50" s="43" t="str">
        <f t="shared" si="2"/>
        <v/>
      </c>
      <c r="X50" t="str">
        <f t="shared" si="0"/>
        <v/>
      </c>
      <c r="AG50" t="str">
        <f>_xlfn.IFNA(VLOOKUP(U50,'Incoming Material Report'!A:M,13,FALSE),"")</f>
        <v/>
      </c>
      <c r="AH50" t="str">
        <f>_xlfn.IFNA(IF(VLOOKUP(U50,'Incoming Material Report'!A:N,14,FALSE)="","",VLOOKUP(U50,'Incoming Material Report'!A:N,14,FALSE)),"")</f>
        <v/>
      </c>
      <c r="AI50" t="str">
        <f>_xlfn.IFNA(VLOOKUP(U50,'Incoming Material Report'!A:Z,24,FALSE),"")</f>
        <v/>
      </c>
      <c r="AJ50" t="str">
        <f>_xlfn.IFNA(VLOOKUP(U50,'Incoming Material Report'!A:Z,25,FALSE),"")</f>
        <v/>
      </c>
      <c r="AK50" t="str">
        <f>_xlfn.IFNA(VLOOKUP(U50,'Incoming Material Report'!A:Z,26,FALSE),"")</f>
        <v/>
      </c>
      <c r="AL50" t="str">
        <f>_xlfn.IFNA(VLOOKUP(U50,'Incoming Material Report'!A:Z,2,FALSE),"")</f>
        <v/>
      </c>
      <c r="AM50" s="54" t="str">
        <f>_xlfn.IFNA(VLOOKUP(U50,'Incoming Material Report'!A:K,11,FALSE)/1000,"")</f>
        <v/>
      </c>
      <c r="AN50" s="54"/>
      <c r="AO50" s="54" t="str">
        <f>_xlfn.IFNA(VLOOKUP(U50,'Incoming Material Report'!A:R,18,FALSE)*1000,"")</f>
        <v/>
      </c>
      <c r="AP50" s="54"/>
      <c r="AQ50" s="54" t="str">
        <f>_xlfn.IFNA(TEXT(VLOOKUP(U50,'Incoming Material Report'!A:D,4,FALSE),"dd.mm.yy"),"")</f>
        <v/>
      </c>
      <c r="AR50" s="54" t="str">
        <f>_xlfn.IFNA(VLOOKUP(U50,'Incoming Material Report'!A:Z,5,FALSE),"")</f>
        <v/>
      </c>
      <c r="AS50" s="54"/>
      <c r="AT50" s="54" t="str">
        <f>_xlfn.IFNA(VLOOKUP(U50,'Incoming Material Report'!A:Z,6,FALSE),"")</f>
        <v/>
      </c>
      <c r="AU50" s="54" t="str">
        <f>_xlfn.IFNA(VLOOKUP(U50,'Incoming Material Report'!A:Z,8,FALSE),"")</f>
        <v/>
      </c>
      <c r="AZ50" t="str">
        <f>_xlfn.IFNA(VLOOKUP(U50,'GRPO Wiz Individual'!AP:BT,17,FALSE),"")</f>
        <v/>
      </c>
      <c r="BA50" t="str">
        <f>_xlfn.IFNA(VLOOKUP(U50,'GRPO Wiz Individual'!AP:BT,18,FALSE),"")</f>
        <v/>
      </c>
      <c r="BB50" t="str">
        <f>_xlfn.IFNA(VLOOKUP(U50,'GRPO Wiz Individual'!AP:BT,19,FALSE),"")</f>
        <v/>
      </c>
      <c r="BC50" t="str">
        <f>_xlfn.IFNA(VLOOKUP(U50,'GRPO Wiz Individual'!AP:BT,20,FALSE),"")</f>
        <v/>
      </c>
      <c r="BD50" t="str">
        <f>_xlfn.IFNA(VLOOKUP(U50,'GRPO Wiz Individual'!AP:BT,21,FALSE),"")</f>
        <v/>
      </c>
      <c r="BE50" t="str">
        <f>_xlfn.IFNA((VLOOKUP(U50,'GRPO Wiz Individual'!AP:BT,22,FALSE)),"")</f>
        <v/>
      </c>
      <c r="BF50" t="str">
        <f>_xlfn.IFNA(VLOOKUP(U50,'GRPO Wiz Individual'!AP:BT,26,FALSE),"")</f>
        <v/>
      </c>
      <c r="BG50" t="str">
        <f>_xlfn.IFNA(VLOOKUP(U50,'GRPO Wiz Individual'!AP:BQ,28,FALSE),"")</f>
        <v/>
      </c>
      <c r="BH50" t="str">
        <f>_xlfn.IFNA(VLOOKUP(U50,'GRPO Wiz Individual'!AP:BN,25,FALSE),"")</f>
        <v/>
      </c>
      <c r="BI50" t="str">
        <f>_xlfn.IFNA(VLOOKUP(U50,'GRPO Wiz Individual'!AP:BT,31,FALSE),"")</f>
        <v/>
      </c>
      <c r="BJ50" t="str">
        <f>_xlfn.IFNA(VLOOKUP(U50,'GRPO Wiz Individual'!AP:BZ,32,FALSE),"")</f>
        <v/>
      </c>
      <c r="BK50" t="str">
        <f>_xlfn.IFNA(VLOOKUP(U50,'GRPO Wiz Individual'!AP:BZ,27,FALSE),"")</f>
        <v/>
      </c>
      <c r="BL50" t="str">
        <f>_xlfn.IFNA(VALUE(VLOOKUP(U50,'GRPO Wiz Individual'!AP:BZ,29,FALSE)),"")</f>
        <v/>
      </c>
      <c r="BM50" t="str">
        <f>_xlfn.IFNA(VLOOKUP(U50,'GRPO Wiz Individual'!AP:BZ,33,FALSE),"")</f>
        <v/>
      </c>
    </row>
    <row r="51" spans="2:65" x14ac:dyDescent="0.25">
      <c r="B51" t="str">
        <f t="shared" si="1"/>
        <v/>
      </c>
      <c r="J51" s="43" t="str">
        <f t="shared" si="2"/>
        <v/>
      </c>
      <c r="X51" t="str">
        <f t="shared" si="0"/>
        <v/>
      </c>
      <c r="AG51" t="str">
        <f>_xlfn.IFNA(VLOOKUP(U51,'Incoming Material Report'!A:M,13,FALSE),"")</f>
        <v/>
      </c>
      <c r="AH51" t="str">
        <f>_xlfn.IFNA(IF(VLOOKUP(U51,'Incoming Material Report'!A:N,14,FALSE)="","",VLOOKUP(U51,'Incoming Material Report'!A:N,14,FALSE)),"")</f>
        <v/>
      </c>
      <c r="AI51" t="str">
        <f>_xlfn.IFNA(VLOOKUP(U51,'Incoming Material Report'!A:Z,24,FALSE),"")</f>
        <v/>
      </c>
      <c r="AJ51" t="str">
        <f>_xlfn.IFNA(VLOOKUP(U51,'Incoming Material Report'!A:Z,25,FALSE),"")</f>
        <v/>
      </c>
      <c r="AK51" t="str">
        <f>_xlfn.IFNA(VLOOKUP(U51,'Incoming Material Report'!A:Z,26,FALSE),"")</f>
        <v/>
      </c>
      <c r="AL51" t="str">
        <f>_xlfn.IFNA(VLOOKUP(U51,'Incoming Material Report'!A:Z,2,FALSE),"")</f>
        <v/>
      </c>
      <c r="AM51" s="54" t="str">
        <f>_xlfn.IFNA(VLOOKUP(U51,'Incoming Material Report'!A:K,11,FALSE)/1000,"")</f>
        <v/>
      </c>
      <c r="AN51" s="54"/>
      <c r="AO51" s="54" t="str">
        <f>_xlfn.IFNA(VLOOKUP(U51,'Incoming Material Report'!A:R,18,FALSE)*1000,"")</f>
        <v/>
      </c>
      <c r="AP51" s="54"/>
      <c r="AQ51" s="54" t="str">
        <f>_xlfn.IFNA(TEXT(VLOOKUP(U51,'Incoming Material Report'!A:D,4,FALSE),"dd.mm.yy"),"")</f>
        <v/>
      </c>
      <c r="AR51" s="54" t="str">
        <f>_xlfn.IFNA(VLOOKUP(U51,'Incoming Material Report'!A:Z,5,FALSE),"")</f>
        <v/>
      </c>
      <c r="AS51" s="54"/>
      <c r="AT51" s="54" t="str">
        <f>_xlfn.IFNA(VLOOKUP(U51,'Incoming Material Report'!A:Z,6,FALSE),"")</f>
        <v/>
      </c>
      <c r="AU51" s="54" t="str">
        <f>_xlfn.IFNA(VLOOKUP(U51,'Incoming Material Report'!A:Z,8,FALSE),"")</f>
        <v/>
      </c>
      <c r="AZ51" t="str">
        <f>_xlfn.IFNA(VLOOKUP(U51,'GRPO Wiz Individual'!AP:BT,17,FALSE),"")</f>
        <v/>
      </c>
      <c r="BA51" t="str">
        <f>_xlfn.IFNA(VLOOKUP(U51,'GRPO Wiz Individual'!AP:BT,18,FALSE),"")</f>
        <v/>
      </c>
      <c r="BB51" t="str">
        <f>_xlfn.IFNA(VLOOKUP(U51,'GRPO Wiz Individual'!AP:BT,19,FALSE),"")</f>
        <v/>
      </c>
      <c r="BC51" t="str">
        <f>_xlfn.IFNA(VLOOKUP(U51,'GRPO Wiz Individual'!AP:BT,20,FALSE),"")</f>
        <v/>
      </c>
      <c r="BD51" t="str">
        <f>_xlfn.IFNA(VLOOKUP(U51,'GRPO Wiz Individual'!AP:BT,21,FALSE),"")</f>
        <v/>
      </c>
      <c r="BE51" t="str">
        <f>_xlfn.IFNA((VLOOKUP(U51,'GRPO Wiz Individual'!AP:BT,22,FALSE)),"")</f>
        <v/>
      </c>
      <c r="BF51" t="str">
        <f>_xlfn.IFNA(VLOOKUP(U51,'GRPO Wiz Individual'!AP:BT,26,FALSE),"")</f>
        <v/>
      </c>
      <c r="BG51" t="str">
        <f>_xlfn.IFNA(VLOOKUP(U51,'GRPO Wiz Individual'!AP:BQ,28,FALSE),"")</f>
        <v/>
      </c>
      <c r="BH51" t="str">
        <f>_xlfn.IFNA(VLOOKUP(U51,'GRPO Wiz Individual'!AP:BN,25,FALSE),"")</f>
        <v/>
      </c>
      <c r="BI51" t="str">
        <f>_xlfn.IFNA(VLOOKUP(U51,'GRPO Wiz Individual'!AP:BT,31,FALSE),"")</f>
        <v/>
      </c>
      <c r="BJ51" t="str">
        <f>_xlfn.IFNA(VLOOKUP(U51,'GRPO Wiz Individual'!AP:BZ,32,FALSE),"")</f>
        <v/>
      </c>
      <c r="BK51" t="str">
        <f>_xlfn.IFNA(VLOOKUP(U51,'GRPO Wiz Individual'!AP:BZ,27,FALSE),"")</f>
        <v/>
      </c>
      <c r="BL51" t="str">
        <f>_xlfn.IFNA(VALUE(VLOOKUP(U51,'GRPO Wiz Individual'!AP:BZ,29,FALSE)),"")</f>
        <v/>
      </c>
      <c r="BM51" t="str">
        <f>_xlfn.IFNA(VLOOKUP(U51,'GRPO Wiz Individual'!AP:BZ,33,FALSE),"")</f>
        <v/>
      </c>
    </row>
    <row r="52" spans="2:65" x14ac:dyDescent="0.25">
      <c r="B52" t="str">
        <f t="shared" si="1"/>
        <v/>
      </c>
      <c r="J52" s="43" t="str">
        <f t="shared" si="2"/>
        <v/>
      </c>
      <c r="X52" t="str">
        <f t="shared" si="0"/>
        <v/>
      </c>
      <c r="AG52" t="str">
        <f>_xlfn.IFNA(VLOOKUP(U52,'Incoming Material Report'!A:M,13,FALSE),"")</f>
        <v/>
      </c>
      <c r="AH52" t="str">
        <f>_xlfn.IFNA(IF(VLOOKUP(U52,'Incoming Material Report'!A:N,14,FALSE)="","",VLOOKUP(U52,'Incoming Material Report'!A:N,14,FALSE)),"")</f>
        <v/>
      </c>
      <c r="AI52" t="str">
        <f>_xlfn.IFNA(VLOOKUP(U52,'Incoming Material Report'!A:Z,24,FALSE),"")</f>
        <v/>
      </c>
      <c r="AJ52" t="str">
        <f>_xlfn.IFNA(VLOOKUP(U52,'Incoming Material Report'!A:Z,25,FALSE),"")</f>
        <v/>
      </c>
      <c r="AK52" t="str">
        <f>_xlfn.IFNA(VLOOKUP(U52,'Incoming Material Report'!A:Z,26,FALSE),"")</f>
        <v/>
      </c>
      <c r="AL52" t="str">
        <f>_xlfn.IFNA(VLOOKUP(U52,'Incoming Material Report'!A:Z,2,FALSE),"")</f>
        <v/>
      </c>
      <c r="AM52" s="54" t="str">
        <f>_xlfn.IFNA(VLOOKUP(U52,'Incoming Material Report'!A:K,11,FALSE)/1000,"")</f>
        <v/>
      </c>
      <c r="AN52" s="54"/>
      <c r="AO52" s="54" t="str">
        <f>_xlfn.IFNA(VLOOKUP(U52,'Incoming Material Report'!A:R,18,FALSE)*1000,"")</f>
        <v/>
      </c>
      <c r="AP52" s="54"/>
      <c r="AQ52" s="54" t="str">
        <f>_xlfn.IFNA(TEXT(VLOOKUP(U52,'Incoming Material Report'!A:D,4,FALSE),"dd.mm.yy"),"")</f>
        <v/>
      </c>
      <c r="AR52" s="54" t="str">
        <f>_xlfn.IFNA(VLOOKUP(U52,'Incoming Material Report'!A:Z,5,FALSE),"")</f>
        <v/>
      </c>
      <c r="AS52" s="54"/>
      <c r="AT52" s="54" t="str">
        <f>_xlfn.IFNA(VLOOKUP(U52,'Incoming Material Report'!A:Z,6,FALSE),"")</f>
        <v/>
      </c>
      <c r="AU52" s="54" t="str">
        <f>_xlfn.IFNA(VLOOKUP(U52,'Incoming Material Report'!A:Z,8,FALSE),"")</f>
        <v/>
      </c>
      <c r="AZ52" t="str">
        <f>_xlfn.IFNA(VLOOKUP(U52,'GRPO Wiz Individual'!AP:BT,17,FALSE),"")</f>
        <v/>
      </c>
      <c r="BA52" t="str">
        <f>_xlfn.IFNA(VLOOKUP(U52,'GRPO Wiz Individual'!AP:BT,18,FALSE),"")</f>
        <v/>
      </c>
      <c r="BB52" t="str">
        <f>_xlfn.IFNA(VLOOKUP(U52,'GRPO Wiz Individual'!AP:BT,19,FALSE),"")</f>
        <v/>
      </c>
      <c r="BC52" t="str">
        <f>_xlfn.IFNA(VLOOKUP(U52,'GRPO Wiz Individual'!AP:BT,20,FALSE),"")</f>
        <v/>
      </c>
      <c r="BD52" t="str">
        <f>_xlfn.IFNA(VLOOKUP(U52,'GRPO Wiz Individual'!AP:BT,21,FALSE),"")</f>
        <v/>
      </c>
      <c r="BE52" t="str">
        <f>_xlfn.IFNA((VLOOKUP(U52,'GRPO Wiz Individual'!AP:BT,22,FALSE)),"")</f>
        <v/>
      </c>
      <c r="BF52" t="str">
        <f>_xlfn.IFNA(VLOOKUP(U52,'GRPO Wiz Individual'!AP:BT,26,FALSE),"")</f>
        <v/>
      </c>
      <c r="BG52" t="str">
        <f>_xlfn.IFNA(VLOOKUP(U52,'GRPO Wiz Individual'!AP:BQ,28,FALSE),"")</f>
        <v/>
      </c>
      <c r="BH52" t="str">
        <f>_xlfn.IFNA(VLOOKUP(U52,'GRPO Wiz Individual'!AP:BN,25,FALSE),"")</f>
        <v/>
      </c>
      <c r="BI52" t="str">
        <f>_xlfn.IFNA(VLOOKUP(U52,'GRPO Wiz Individual'!AP:BT,31,FALSE),"")</f>
        <v/>
      </c>
      <c r="BJ52" t="str">
        <f>_xlfn.IFNA(VLOOKUP(U52,'GRPO Wiz Individual'!AP:BZ,32,FALSE),"")</f>
        <v/>
      </c>
      <c r="BK52" t="str">
        <f>_xlfn.IFNA(VLOOKUP(U52,'GRPO Wiz Individual'!AP:BZ,27,FALSE),"")</f>
        <v/>
      </c>
      <c r="BL52" t="str">
        <f>_xlfn.IFNA(VALUE(VLOOKUP(U52,'GRPO Wiz Individual'!AP:BZ,29,FALSE)),"")</f>
        <v/>
      </c>
      <c r="BM52" t="str">
        <f>_xlfn.IFNA(VLOOKUP(U52,'GRPO Wiz Individual'!AP:BZ,33,FALSE),"")</f>
        <v/>
      </c>
    </row>
    <row r="53" spans="2:65" x14ac:dyDescent="0.25">
      <c r="B53" t="str">
        <f t="shared" si="1"/>
        <v/>
      </c>
      <c r="J53" s="43" t="str">
        <f t="shared" si="2"/>
        <v/>
      </c>
      <c r="X53" t="str">
        <f t="shared" si="0"/>
        <v/>
      </c>
      <c r="AG53" t="str">
        <f>_xlfn.IFNA(VLOOKUP(U53,'Incoming Material Report'!A:M,13,FALSE),"")</f>
        <v/>
      </c>
      <c r="AH53" t="str">
        <f>_xlfn.IFNA(IF(VLOOKUP(U53,'Incoming Material Report'!A:N,14,FALSE)="","",VLOOKUP(U53,'Incoming Material Report'!A:N,14,FALSE)),"")</f>
        <v/>
      </c>
      <c r="AI53" t="str">
        <f>_xlfn.IFNA(VLOOKUP(U53,'Incoming Material Report'!A:Z,24,FALSE),"")</f>
        <v/>
      </c>
      <c r="AJ53" t="str">
        <f>_xlfn.IFNA(VLOOKUP(U53,'Incoming Material Report'!A:Z,25,FALSE),"")</f>
        <v/>
      </c>
      <c r="AK53" t="str">
        <f>_xlfn.IFNA(VLOOKUP(U53,'Incoming Material Report'!A:Z,26,FALSE),"")</f>
        <v/>
      </c>
      <c r="AL53" t="str">
        <f>_xlfn.IFNA(VLOOKUP(U53,'Incoming Material Report'!A:Z,2,FALSE),"")</f>
        <v/>
      </c>
      <c r="AM53" s="54" t="str">
        <f>_xlfn.IFNA(VLOOKUP(U53,'Incoming Material Report'!A:K,11,FALSE)/1000,"")</f>
        <v/>
      </c>
      <c r="AN53" s="54"/>
      <c r="AO53" s="54" t="str">
        <f>_xlfn.IFNA(VLOOKUP(U53,'Incoming Material Report'!A:R,18,FALSE)*1000,"")</f>
        <v/>
      </c>
      <c r="AP53" s="54"/>
      <c r="AQ53" s="54" t="str">
        <f>_xlfn.IFNA(TEXT(VLOOKUP(U53,'Incoming Material Report'!A:D,4,FALSE),"dd.mm.yy"),"")</f>
        <v/>
      </c>
      <c r="AR53" s="54" t="str">
        <f>_xlfn.IFNA(VLOOKUP(U53,'Incoming Material Report'!A:Z,5,FALSE),"")</f>
        <v/>
      </c>
      <c r="AS53" s="54"/>
      <c r="AT53" s="54" t="str">
        <f>_xlfn.IFNA(VLOOKUP(U53,'Incoming Material Report'!A:Z,6,FALSE),"")</f>
        <v/>
      </c>
      <c r="AU53" s="54" t="str">
        <f>_xlfn.IFNA(VLOOKUP(U53,'Incoming Material Report'!A:Z,8,FALSE),"")</f>
        <v/>
      </c>
      <c r="AZ53" t="str">
        <f>_xlfn.IFNA(VLOOKUP(U53,'GRPO Wiz Individual'!AP:BT,17,FALSE),"")</f>
        <v/>
      </c>
      <c r="BA53" t="str">
        <f>_xlfn.IFNA(VLOOKUP(U53,'GRPO Wiz Individual'!AP:BT,18,FALSE),"")</f>
        <v/>
      </c>
      <c r="BB53" t="str">
        <f>_xlfn.IFNA(VLOOKUP(U53,'GRPO Wiz Individual'!AP:BT,19,FALSE),"")</f>
        <v/>
      </c>
      <c r="BC53" t="str">
        <f>_xlfn.IFNA(VLOOKUP(U53,'GRPO Wiz Individual'!AP:BT,20,FALSE),"")</f>
        <v/>
      </c>
      <c r="BD53" t="str">
        <f>_xlfn.IFNA(VLOOKUP(U53,'GRPO Wiz Individual'!AP:BT,21,FALSE),"")</f>
        <v/>
      </c>
      <c r="BE53" t="str">
        <f>_xlfn.IFNA((VLOOKUP(U53,'GRPO Wiz Individual'!AP:BT,22,FALSE)),"")</f>
        <v/>
      </c>
      <c r="BF53" t="str">
        <f>_xlfn.IFNA(VLOOKUP(U53,'GRPO Wiz Individual'!AP:BT,26,FALSE),"")</f>
        <v/>
      </c>
      <c r="BG53" t="str">
        <f>_xlfn.IFNA(VLOOKUP(U53,'GRPO Wiz Individual'!AP:BQ,28,FALSE),"")</f>
        <v/>
      </c>
      <c r="BH53" t="str">
        <f>_xlfn.IFNA(VLOOKUP(U53,'GRPO Wiz Individual'!AP:BN,25,FALSE),"")</f>
        <v/>
      </c>
      <c r="BI53" t="str">
        <f>_xlfn.IFNA(VLOOKUP(U53,'GRPO Wiz Individual'!AP:BT,31,FALSE),"")</f>
        <v/>
      </c>
      <c r="BJ53" t="str">
        <f>_xlfn.IFNA(VLOOKUP(U53,'GRPO Wiz Individual'!AP:BZ,32,FALSE),"")</f>
        <v/>
      </c>
      <c r="BK53" t="str">
        <f>_xlfn.IFNA(VLOOKUP(U53,'GRPO Wiz Individual'!AP:BZ,27,FALSE),"")</f>
        <v/>
      </c>
      <c r="BL53" t="str">
        <f>_xlfn.IFNA(VALUE(VLOOKUP(U53,'GRPO Wiz Individual'!AP:BZ,29,FALSE)),"")</f>
        <v/>
      </c>
      <c r="BM53" t="str">
        <f>_xlfn.IFNA(VLOOKUP(U53,'GRPO Wiz Individual'!AP:BZ,33,FALSE),"")</f>
        <v/>
      </c>
    </row>
    <row r="54" spans="2:65" x14ac:dyDescent="0.25">
      <c r="B54" t="str">
        <f t="shared" si="1"/>
        <v/>
      </c>
      <c r="J54" s="43" t="str">
        <f t="shared" si="2"/>
        <v/>
      </c>
      <c r="X54" t="str">
        <f t="shared" si="0"/>
        <v/>
      </c>
      <c r="AG54" t="str">
        <f>_xlfn.IFNA(VLOOKUP(U54,'Incoming Material Report'!A:M,13,FALSE),"")</f>
        <v/>
      </c>
      <c r="AH54" t="str">
        <f>_xlfn.IFNA(IF(VLOOKUP(U54,'Incoming Material Report'!A:N,14,FALSE)="","",VLOOKUP(U54,'Incoming Material Report'!A:N,14,FALSE)),"")</f>
        <v/>
      </c>
      <c r="AI54" t="str">
        <f>_xlfn.IFNA(VLOOKUP(U54,'Incoming Material Report'!A:Z,24,FALSE),"")</f>
        <v/>
      </c>
      <c r="AJ54" t="str">
        <f>_xlfn.IFNA(VLOOKUP(U54,'Incoming Material Report'!A:Z,25,FALSE),"")</f>
        <v/>
      </c>
      <c r="AK54" t="str">
        <f>_xlfn.IFNA(VLOOKUP(U54,'Incoming Material Report'!A:Z,26,FALSE),"")</f>
        <v/>
      </c>
      <c r="AL54" t="str">
        <f>_xlfn.IFNA(VLOOKUP(U54,'Incoming Material Report'!A:Z,2,FALSE),"")</f>
        <v/>
      </c>
      <c r="AM54" s="54" t="str">
        <f>_xlfn.IFNA(VLOOKUP(U54,'Incoming Material Report'!A:K,11,FALSE)/1000,"")</f>
        <v/>
      </c>
      <c r="AN54" s="54"/>
      <c r="AO54" s="54" t="str">
        <f>_xlfn.IFNA(VLOOKUP(U54,'Incoming Material Report'!A:R,18,FALSE)*1000,"")</f>
        <v/>
      </c>
      <c r="AP54" s="54"/>
      <c r="AQ54" s="54" t="str">
        <f>_xlfn.IFNA(TEXT(VLOOKUP(U54,'Incoming Material Report'!A:D,4,FALSE),"dd.mm.yy"),"")</f>
        <v/>
      </c>
      <c r="AR54" s="54" t="str">
        <f>_xlfn.IFNA(VLOOKUP(U54,'Incoming Material Report'!A:Z,5,FALSE),"")</f>
        <v/>
      </c>
      <c r="AS54" s="54"/>
      <c r="AT54" s="54" t="str">
        <f>_xlfn.IFNA(VLOOKUP(U54,'Incoming Material Report'!A:Z,6,FALSE),"")</f>
        <v/>
      </c>
      <c r="AU54" s="54" t="str">
        <f>_xlfn.IFNA(VLOOKUP(U54,'Incoming Material Report'!A:Z,8,FALSE),"")</f>
        <v/>
      </c>
      <c r="AZ54" t="str">
        <f>_xlfn.IFNA(VLOOKUP(U54,'GRPO Wiz Individual'!AP:BT,17,FALSE),"")</f>
        <v/>
      </c>
      <c r="BA54" t="str">
        <f>_xlfn.IFNA(VLOOKUP(U54,'GRPO Wiz Individual'!AP:BT,18,FALSE),"")</f>
        <v/>
      </c>
      <c r="BB54" t="str">
        <f>_xlfn.IFNA(VLOOKUP(U54,'GRPO Wiz Individual'!AP:BT,19,FALSE),"")</f>
        <v/>
      </c>
      <c r="BC54" t="str">
        <f>_xlfn.IFNA(VLOOKUP(U54,'GRPO Wiz Individual'!AP:BT,20,FALSE),"")</f>
        <v/>
      </c>
      <c r="BD54" t="str">
        <f>_xlfn.IFNA(VLOOKUP(U54,'GRPO Wiz Individual'!AP:BT,21,FALSE),"")</f>
        <v/>
      </c>
      <c r="BE54" t="str">
        <f>_xlfn.IFNA((VLOOKUP(U54,'GRPO Wiz Individual'!AP:BT,22,FALSE)),"")</f>
        <v/>
      </c>
      <c r="BF54" t="str">
        <f>_xlfn.IFNA(VLOOKUP(U54,'GRPO Wiz Individual'!AP:BT,26,FALSE),"")</f>
        <v/>
      </c>
      <c r="BG54" t="str">
        <f>_xlfn.IFNA(VLOOKUP(U54,'GRPO Wiz Individual'!AP:BQ,28,FALSE),"")</f>
        <v/>
      </c>
      <c r="BH54" t="str">
        <f>_xlfn.IFNA(VLOOKUP(U54,'GRPO Wiz Individual'!AP:BN,25,FALSE),"")</f>
        <v/>
      </c>
      <c r="BI54" t="str">
        <f>_xlfn.IFNA(VLOOKUP(U54,'GRPO Wiz Individual'!AP:BT,31,FALSE),"")</f>
        <v/>
      </c>
      <c r="BJ54" t="str">
        <f>_xlfn.IFNA(VLOOKUP(U54,'GRPO Wiz Individual'!AP:BZ,32,FALSE),"")</f>
        <v/>
      </c>
      <c r="BK54" t="str">
        <f>_xlfn.IFNA(VLOOKUP(U54,'GRPO Wiz Individual'!AP:BZ,27,FALSE),"")</f>
        <v/>
      </c>
      <c r="BL54" t="str">
        <f>_xlfn.IFNA(VALUE(VLOOKUP(U54,'GRPO Wiz Individual'!AP:BZ,29,FALSE)),"")</f>
        <v/>
      </c>
      <c r="BM54" t="str">
        <f>_xlfn.IFNA(VLOOKUP(U54,'GRPO Wiz Individual'!AP:BZ,33,FALSE),"")</f>
        <v/>
      </c>
    </row>
    <row r="55" spans="2:65" x14ac:dyDescent="0.25">
      <c r="B55" t="str">
        <f t="shared" si="1"/>
        <v/>
      </c>
      <c r="J55" s="43" t="str">
        <f t="shared" si="2"/>
        <v/>
      </c>
      <c r="X55" t="str">
        <f t="shared" si="0"/>
        <v/>
      </c>
      <c r="AG55" t="str">
        <f>_xlfn.IFNA(VLOOKUP(U55,'Incoming Material Report'!A:M,13,FALSE),"")</f>
        <v/>
      </c>
      <c r="AH55" t="str">
        <f>_xlfn.IFNA(IF(VLOOKUP(U55,'Incoming Material Report'!A:N,14,FALSE)="","",VLOOKUP(U55,'Incoming Material Report'!A:N,14,FALSE)),"")</f>
        <v/>
      </c>
      <c r="AI55" t="str">
        <f>_xlfn.IFNA(VLOOKUP(U55,'Incoming Material Report'!A:Z,24,FALSE),"")</f>
        <v/>
      </c>
      <c r="AJ55" t="str">
        <f>_xlfn.IFNA(VLOOKUP(U55,'Incoming Material Report'!A:Z,25,FALSE),"")</f>
        <v/>
      </c>
      <c r="AK55" t="str">
        <f>_xlfn.IFNA(VLOOKUP(U55,'Incoming Material Report'!A:Z,26,FALSE),"")</f>
        <v/>
      </c>
      <c r="AL55" t="str">
        <f>_xlfn.IFNA(VLOOKUP(U55,'Incoming Material Report'!A:Z,2,FALSE),"")</f>
        <v/>
      </c>
      <c r="AM55" s="54" t="str">
        <f>_xlfn.IFNA(VLOOKUP(U55,'Incoming Material Report'!A:K,11,FALSE)/1000,"")</f>
        <v/>
      </c>
      <c r="AN55" s="54"/>
      <c r="AO55" s="54" t="str">
        <f>_xlfn.IFNA(VLOOKUP(U55,'Incoming Material Report'!A:R,18,FALSE)*1000,"")</f>
        <v/>
      </c>
      <c r="AP55" s="54"/>
      <c r="AQ55" s="54" t="str">
        <f>_xlfn.IFNA(TEXT(VLOOKUP(U55,'Incoming Material Report'!A:D,4,FALSE),"dd.mm.yy"),"")</f>
        <v/>
      </c>
      <c r="AR55" s="54" t="str">
        <f>_xlfn.IFNA(VLOOKUP(U55,'Incoming Material Report'!A:Z,5,FALSE),"")</f>
        <v/>
      </c>
      <c r="AS55" s="54"/>
      <c r="AT55" s="54" t="str">
        <f>_xlfn.IFNA(VLOOKUP(U55,'Incoming Material Report'!A:Z,6,FALSE),"")</f>
        <v/>
      </c>
      <c r="AU55" s="54" t="str">
        <f>_xlfn.IFNA(VLOOKUP(U55,'Incoming Material Report'!A:Z,8,FALSE),"")</f>
        <v/>
      </c>
      <c r="AZ55" t="str">
        <f>_xlfn.IFNA(VLOOKUP(U55,'GRPO Wiz Individual'!AP:BT,17,FALSE),"")</f>
        <v/>
      </c>
      <c r="BA55" t="str">
        <f>_xlfn.IFNA(VLOOKUP(U55,'GRPO Wiz Individual'!AP:BT,18,FALSE),"")</f>
        <v/>
      </c>
      <c r="BB55" t="str">
        <f>_xlfn.IFNA(VLOOKUP(U55,'GRPO Wiz Individual'!AP:BT,19,FALSE),"")</f>
        <v/>
      </c>
      <c r="BC55" t="str">
        <f>_xlfn.IFNA(VLOOKUP(U55,'GRPO Wiz Individual'!AP:BT,20,FALSE),"")</f>
        <v/>
      </c>
      <c r="BD55" t="str">
        <f>_xlfn.IFNA(VLOOKUP(U55,'GRPO Wiz Individual'!AP:BT,21,FALSE),"")</f>
        <v/>
      </c>
      <c r="BE55" t="str">
        <f>_xlfn.IFNA((VLOOKUP(U55,'GRPO Wiz Individual'!AP:BT,22,FALSE)),"")</f>
        <v/>
      </c>
      <c r="BF55" t="str">
        <f>_xlfn.IFNA(VLOOKUP(U55,'GRPO Wiz Individual'!AP:BT,26,FALSE),"")</f>
        <v/>
      </c>
      <c r="BG55" t="str">
        <f>_xlfn.IFNA(VLOOKUP(U55,'GRPO Wiz Individual'!AP:BQ,28,FALSE),"")</f>
        <v/>
      </c>
      <c r="BH55" t="str">
        <f>_xlfn.IFNA(VLOOKUP(U55,'GRPO Wiz Individual'!AP:BN,25,FALSE),"")</f>
        <v/>
      </c>
      <c r="BI55" t="str">
        <f>_xlfn.IFNA(VLOOKUP(U55,'GRPO Wiz Individual'!AP:BT,31,FALSE),"")</f>
        <v/>
      </c>
      <c r="BJ55" t="str">
        <f>_xlfn.IFNA(VLOOKUP(U55,'GRPO Wiz Individual'!AP:BZ,32,FALSE),"")</f>
        <v/>
      </c>
      <c r="BK55" t="str">
        <f>_xlfn.IFNA(VLOOKUP(U55,'GRPO Wiz Individual'!AP:BZ,27,FALSE),"")</f>
        <v/>
      </c>
      <c r="BL55" t="str">
        <f>_xlfn.IFNA(VALUE(VLOOKUP(U55,'GRPO Wiz Individual'!AP:BZ,29,FALSE)),"")</f>
        <v/>
      </c>
      <c r="BM55" t="str">
        <f>_xlfn.IFNA(VLOOKUP(U55,'GRPO Wiz Individual'!AP:BZ,33,FALSE),"")</f>
        <v/>
      </c>
    </row>
    <row r="56" spans="2:65" x14ac:dyDescent="0.25">
      <c r="B56" t="str">
        <f t="shared" si="1"/>
        <v/>
      </c>
      <c r="J56" s="43" t="str">
        <f t="shared" si="2"/>
        <v/>
      </c>
      <c r="X56" t="str">
        <f t="shared" si="0"/>
        <v/>
      </c>
      <c r="AG56" t="str">
        <f>_xlfn.IFNA(VLOOKUP(U56,'Incoming Material Report'!A:M,13,FALSE),"")</f>
        <v/>
      </c>
      <c r="AH56" t="str">
        <f>_xlfn.IFNA(IF(VLOOKUP(U56,'Incoming Material Report'!A:N,14,FALSE)="","",VLOOKUP(U56,'Incoming Material Report'!A:N,14,FALSE)),"")</f>
        <v/>
      </c>
      <c r="AI56" t="str">
        <f>_xlfn.IFNA(VLOOKUP(U56,'Incoming Material Report'!A:Z,24,FALSE),"")</f>
        <v/>
      </c>
      <c r="AJ56" t="str">
        <f>_xlfn.IFNA(VLOOKUP(U56,'Incoming Material Report'!A:Z,25,FALSE),"")</f>
        <v/>
      </c>
      <c r="AK56" t="str">
        <f>_xlfn.IFNA(VLOOKUP(U56,'Incoming Material Report'!A:Z,26,FALSE),"")</f>
        <v/>
      </c>
      <c r="AL56" t="str">
        <f>_xlfn.IFNA(VLOOKUP(U56,'Incoming Material Report'!A:Z,2,FALSE),"")</f>
        <v/>
      </c>
      <c r="AM56" s="54" t="str">
        <f>_xlfn.IFNA(VLOOKUP(U56,'Incoming Material Report'!A:K,11,FALSE)/1000,"")</f>
        <v/>
      </c>
      <c r="AN56" s="54"/>
      <c r="AO56" s="54" t="str">
        <f>_xlfn.IFNA(VLOOKUP(U56,'Incoming Material Report'!A:R,18,FALSE)*1000,"")</f>
        <v/>
      </c>
      <c r="AP56" s="54"/>
      <c r="AQ56" s="54" t="str">
        <f>_xlfn.IFNA(TEXT(VLOOKUP(U56,'Incoming Material Report'!A:D,4,FALSE),"dd.mm.yy"),"")</f>
        <v/>
      </c>
      <c r="AR56" s="54" t="str">
        <f>_xlfn.IFNA(VLOOKUP(U56,'Incoming Material Report'!A:Z,5,FALSE),"")</f>
        <v/>
      </c>
      <c r="AS56" s="54"/>
      <c r="AT56" s="54" t="str">
        <f>_xlfn.IFNA(VLOOKUP(U56,'Incoming Material Report'!A:Z,6,FALSE),"")</f>
        <v/>
      </c>
      <c r="AU56" s="54" t="str">
        <f>_xlfn.IFNA(VLOOKUP(U56,'Incoming Material Report'!A:Z,8,FALSE),"")</f>
        <v/>
      </c>
      <c r="AZ56" t="str">
        <f>_xlfn.IFNA(VLOOKUP(U56,'GRPO Wiz Individual'!AP:BT,17,FALSE),"")</f>
        <v/>
      </c>
      <c r="BA56" t="str">
        <f>_xlfn.IFNA(VLOOKUP(U56,'GRPO Wiz Individual'!AP:BT,18,FALSE),"")</f>
        <v/>
      </c>
      <c r="BB56" t="str">
        <f>_xlfn.IFNA(VLOOKUP(U56,'GRPO Wiz Individual'!AP:BT,19,FALSE),"")</f>
        <v/>
      </c>
      <c r="BC56" t="str">
        <f>_xlfn.IFNA(VLOOKUP(U56,'GRPO Wiz Individual'!AP:BT,20,FALSE),"")</f>
        <v/>
      </c>
      <c r="BD56" t="str">
        <f>_xlfn.IFNA(VLOOKUP(U56,'GRPO Wiz Individual'!AP:BT,21,FALSE),"")</f>
        <v/>
      </c>
      <c r="BE56" t="str">
        <f>_xlfn.IFNA((VLOOKUP(U56,'GRPO Wiz Individual'!AP:BT,22,FALSE)),"")</f>
        <v/>
      </c>
      <c r="BF56" t="str">
        <f>_xlfn.IFNA(VLOOKUP(U56,'GRPO Wiz Individual'!AP:BT,26,FALSE),"")</f>
        <v/>
      </c>
      <c r="BG56" t="str">
        <f>_xlfn.IFNA(VLOOKUP(U56,'GRPO Wiz Individual'!AP:BQ,28,FALSE),"")</f>
        <v/>
      </c>
      <c r="BH56" t="str">
        <f>_xlfn.IFNA(VLOOKUP(U56,'GRPO Wiz Individual'!AP:BN,25,FALSE),"")</f>
        <v/>
      </c>
      <c r="BI56" t="str">
        <f>_xlfn.IFNA(VLOOKUP(U56,'GRPO Wiz Individual'!AP:BT,31,FALSE),"")</f>
        <v/>
      </c>
      <c r="BJ56" t="str">
        <f>_xlfn.IFNA(VLOOKUP(U56,'GRPO Wiz Individual'!AP:BZ,32,FALSE),"")</f>
        <v/>
      </c>
      <c r="BK56" t="str">
        <f>_xlfn.IFNA(VLOOKUP(U56,'GRPO Wiz Individual'!AP:BZ,27,FALSE),"")</f>
        <v/>
      </c>
      <c r="BL56" t="str">
        <f>_xlfn.IFNA(VALUE(VLOOKUP(U56,'GRPO Wiz Individual'!AP:BZ,29,FALSE)),"")</f>
        <v/>
      </c>
      <c r="BM56" t="str">
        <f>_xlfn.IFNA(VLOOKUP(U56,'GRPO Wiz Individual'!AP:BZ,33,FALSE),"")</f>
        <v/>
      </c>
    </row>
    <row r="57" spans="2:65" x14ac:dyDescent="0.25">
      <c r="B57" t="str">
        <f t="shared" si="1"/>
        <v/>
      </c>
      <c r="J57" s="43" t="str">
        <f t="shared" si="2"/>
        <v/>
      </c>
      <c r="X57" t="str">
        <f t="shared" si="0"/>
        <v/>
      </c>
      <c r="AG57" t="str">
        <f>_xlfn.IFNA(VLOOKUP(U57,'Incoming Material Report'!A:M,13,FALSE),"")</f>
        <v/>
      </c>
      <c r="AH57" t="str">
        <f>_xlfn.IFNA(IF(VLOOKUP(U57,'Incoming Material Report'!A:N,14,FALSE)="","",VLOOKUP(U57,'Incoming Material Report'!A:N,14,FALSE)),"")</f>
        <v/>
      </c>
      <c r="AI57" t="str">
        <f>_xlfn.IFNA(VLOOKUP(U57,'Incoming Material Report'!A:Z,24,FALSE),"")</f>
        <v/>
      </c>
      <c r="AJ57" t="str">
        <f>_xlfn.IFNA(VLOOKUP(U57,'Incoming Material Report'!A:Z,25,FALSE),"")</f>
        <v/>
      </c>
      <c r="AK57" t="str">
        <f>_xlfn.IFNA(VLOOKUP(U57,'Incoming Material Report'!A:Z,26,FALSE),"")</f>
        <v/>
      </c>
      <c r="AL57" t="str">
        <f>_xlfn.IFNA(VLOOKUP(U57,'Incoming Material Report'!A:Z,2,FALSE),"")</f>
        <v/>
      </c>
      <c r="AM57" s="54" t="str">
        <f>_xlfn.IFNA(VLOOKUP(U57,'Incoming Material Report'!A:K,11,FALSE)/1000,"")</f>
        <v/>
      </c>
      <c r="AN57" s="54"/>
      <c r="AO57" s="54" t="str">
        <f>_xlfn.IFNA(VLOOKUP(U57,'Incoming Material Report'!A:R,18,FALSE)*1000,"")</f>
        <v/>
      </c>
      <c r="AP57" s="54"/>
      <c r="AQ57" s="54" t="str">
        <f>_xlfn.IFNA(TEXT(VLOOKUP(U57,'Incoming Material Report'!A:D,4,FALSE),"dd.mm.yy"),"")</f>
        <v/>
      </c>
      <c r="AR57" s="54" t="str">
        <f>_xlfn.IFNA(VLOOKUP(U57,'Incoming Material Report'!A:Z,5,FALSE),"")</f>
        <v/>
      </c>
      <c r="AS57" s="54"/>
      <c r="AT57" s="54" t="str">
        <f>_xlfn.IFNA(VLOOKUP(U57,'Incoming Material Report'!A:Z,6,FALSE),"")</f>
        <v/>
      </c>
      <c r="AU57" s="54" t="str">
        <f>_xlfn.IFNA(VLOOKUP(U57,'Incoming Material Report'!A:Z,8,FALSE),"")</f>
        <v/>
      </c>
      <c r="AZ57" t="str">
        <f>_xlfn.IFNA(VLOOKUP(U57,'GRPO Wiz Individual'!AP:BT,17,FALSE),"")</f>
        <v/>
      </c>
      <c r="BA57" t="str">
        <f>_xlfn.IFNA(VLOOKUP(U57,'GRPO Wiz Individual'!AP:BT,18,FALSE),"")</f>
        <v/>
      </c>
      <c r="BB57" t="str">
        <f>_xlfn.IFNA(VLOOKUP(U57,'GRPO Wiz Individual'!AP:BT,19,FALSE),"")</f>
        <v/>
      </c>
      <c r="BC57" t="str">
        <f>_xlfn.IFNA(VLOOKUP(U57,'GRPO Wiz Individual'!AP:BT,20,FALSE),"")</f>
        <v/>
      </c>
      <c r="BD57" t="str">
        <f>_xlfn.IFNA(VLOOKUP(U57,'GRPO Wiz Individual'!AP:BT,21,FALSE),"")</f>
        <v/>
      </c>
      <c r="BE57" t="str">
        <f>_xlfn.IFNA((VLOOKUP(U57,'GRPO Wiz Individual'!AP:BT,22,FALSE)),"")</f>
        <v/>
      </c>
      <c r="BF57" t="str">
        <f>_xlfn.IFNA(VLOOKUP(U57,'GRPO Wiz Individual'!AP:BT,26,FALSE),"")</f>
        <v/>
      </c>
      <c r="BG57" t="str">
        <f>_xlfn.IFNA(VLOOKUP(U57,'GRPO Wiz Individual'!AP:BQ,28,FALSE),"")</f>
        <v/>
      </c>
      <c r="BH57" t="str">
        <f>_xlfn.IFNA(VLOOKUP(U57,'GRPO Wiz Individual'!AP:BN,25,FALSE),"")</f>
        <v/>
      </c>
      <c r="BI57" t="str">
        <f>_xlfn.IFNA(VLOOKUP(U57,'GRPO Wiz Individual'!AP:BT,31,FALSE),"")</f>
        <v/>
      </c>
      <c r="BJ57" t="str">
        <f>_xlfn.IFNA(VLOOKUP(U57,'GRPO Wiz Individual'!AP:BZ,32,FALSE),"")</f>
        <v/>
      </c>
      <c r="BK57" t="str">
        <f>_xlfn.IFNA(VLOOKUP(U57,'GRPO Wiz Individual'!AP:BZ,27,FALSE),"")</f>
        <v/>
      </c>
      <c r="BL57" t="str">
        <f>_xlfn.IFNA(VALUE(VLOOKUP(U57,'GRPO Wiz Individual'!AP:BZ,29,FALSE)),"")</f>
        <v/>
      </c>
      <c r="BM57" t="str">
        <f>_xlfn.IFNA(VLOOKUP(U57,'GRPO Wiz Individual'!AP:BZ,33,FALSE),"")</f>
        <v/>
      </c>
    </row>
    <row r="58" spans="2:65" x14ac:dyDescent="0.25">
      <c r="B58" t="str">
        <f t="shared" si="1"/>
        <v/>
      </c>
      <c r="J58" s="43" t="str">
        <f t="shared" si="2"/>
        <v/>
      </c>
      <c r="X58" t="str">
        <f t="shared" si="0"/>
        <v/>
      </c>
      <c r="AG58" t="str">
        <f>_xlfn.IFNA(VLOOKUP(U58,'Incoming Material Report'!A:M,13,FALSE),"")</f>
        <v/>
      </c>
      <c r="AH58" t="str">
        <f>_xlfn.IFNA(IF(VLOOKUP(U58,'Incoming Material Report'!A:N,14,FALSE)="","",VLOOKUP(U58,'Incoming Material Report'!A:N,14,FALSE)),"")</f>
        <v/>
      </c>
      <c r="AI58" t="str">
        <f>_xlfn.IFNA(VLOOKUP(U58,'Incoming Material Report'!A:Z,24,FALSE),"")</f>
        <v/>
      </c>
      <c r="AJ58" t="str">
        <f>_xlfn.IFNA(VLOOKUP(U58,'Incoming Material Report'!A:Z,25,FALSE),"")</f>
        <v/>
      </c>
      <c r="AK58" t="str">
        <f>_xlfn.IFNA(VLOOKUP(U58,'Incoming Material Report'!A:Z,26,FALSE),"")</f>
        <v/>
      </c>
      <c r="AL58" t="str">
        <f>_xlfn.IFNA(VLOOKUP(U58,'Incoming Material Report'!A:Z,2,FALSE),"")</f>
        <v/>
      </c>
      <c r="AM58" s="54" t="str">
        <f>_xlfn.IFNA(VLOOKUP(U58,'Incoming Material Report'!A:K,11,FALSE)/1000,"")</f>
        <v/>
      </c>
      <c r="AN58" s="54"/>
      <c r="AO58" s="54" t="str">
        <f>_xlfn.IFNA(VLOOKUP(U58,'Incoming Material Report'!A:R,18,FALSE)*1000,"")</f>
        <v/>
      </c>
      <c r="AP58" s="54"/>
      <c r="AQ58" s="54" t="str">
        <f>_xlfn.IFNA(TEXT(VLOOKUP(U58,'Incoming Material Report'!A:D,4,FALSE),"dd.mm.yy"),"")</f>
        <v/>
      </c>
      <c r="AR58" s="54" t="str">
        <f>_xlfn.IFNA(VLOOKUP(U58,'Incoming Material Report'!A:Z,5,FALSE),"")</f>
        <v/>
      </c>
      <c r="AS58" s="54"/>
      <c r="AT58" s="54" t="str">
        <f>_xlfn.IFNA(VLOOKUP(U58,'Incoming Material Report'!A:Z,6,FALSE),"")</f>
        <v/>
      </c>
      <c r="AU58" s="54" t="str">
        <f>_xlfn.IFNA(VLOOKUP(U58,'Incoming Material Report'!A:Z,8,FALSE),"")</f>
        <v/>
      </c>
      <c r="AZ58" t="str">
        <f>_xlfn.IFNA(VLOOKUP(U58,'GRPO Wiz Individual'!AP:BT,17,FALSE),"")</f>
        <v/>
      </c>
      <c r="BA58" t="str">
        <f>_xlfn.IFNA(VLOOKUP(U58,'GRPO Wiz Individual'!AP:BT,18,FALSE),"")</f>
        <v/>
      </c>
      <c r="BB58" t="str">
        <f>_xlfn.IFNA(VLOOKUP(U58,'GRPO Wiz Individual'!AP:BT,19,FALSE),"")</f>
        <v/>
      </c>
      <c r="BC58" t="str">
        <f>_xlfn.IFNA(VLOOKUP(U58,'GRPO Wiz Individual'!AP:BT,20,FALSE),"")</f>
        <v/>
      </c>
      <c r="BD58" t="str">
        <f>_xlfn.IFNA(VLOOKUP(U58,'GRPO Wiz Individual'!AP:BT,21,FALSE),"")</f>
        <v/>
      </c>
      <c r="BE58" t="str">
        <f>_xlfn.IFNA((VLOOKUP(U58,'GRPO Wiz Individual'!AP:BT,22,FALSE)),"")</f>
        <v/>
      </c>
      <c r="BF58" t="str">
        <f>_xlfn.IFNA(VLOOKUP(U58,'GRPO Wiz Individual'!AP:BT,26,FALSE),"")</f>
        <v/>
      </c>
      <c r="BG58" t="str">
        <f>_xlfn.IFNA(VLOOKUP(U58,'GRPO Wiz Individual'!AP:BQ,28,FALSE),"")</f>
        <v/>
      </c>
      <c r="BH58" t="str">
        <f>_xlfn.IFNA(VLOOKUP(U58,'GRPO Wiz Individual'!AP:BN,25,FALSE),"")</f>
        <v/>
      </c>
      <c r="BI58" t="str">
        <f>_xlfn.IFNA(VLOOKUP(U58,'GRPO Wiz Individual'!AP:BT,31,FALSE),"")</f>
        <v/>
      </c>
      <c r="BJ58" t="str">
        <f>_xlfn.IFNA(VLOOKUP(U58,'GRPO Wiz Individual'!AP:BZ,32,FALSE),"")</f>
        <v/>
      </c>
      <c r="BK58" t="str">
        <f>_xlfn.IFNA(VLOOKUP(U58,'GRPO Wiz Individual'!AP:BZ,27,FALSE),"")</f>
        <v/>
      </c>
      <c r="BL58" t="str">
        <f>_xlfn.IFNA(VALUE(VLOOKUP(U58,'GRPO Wiz Individual'!AP:BZ,29,FALSE)),"")</f>
        <v/>
      </c>
      <c r="BM58" t="str">
        <f>_xlfn.IFNA(VLOOKUP(U58,'GRPO Wiz Individual'!AP:BZ,33,FALSE),"")</f>
        <v/>
      </c>
    </row>
    <row r="59" spans="2:65" x14ac:dyDescent="0.25">
      <c r="B59" t="str">
        <f t="shared" si="1"/>
        <v/>
      </c>
      <c r="J59" s="43" t="str">
        <f t="shared" si="2"/>
        <v/>
      </c>
      <c r="X59" t="str">
        <f t="shared" si="0"/>
        <v/>
      </c>
      <c r="AG59" t="str">
        <f>_xlfn.IFNA(VLOOKUP(U59,'Incoming Material Report'!A:M,13,FALSE),"")</f>
        <v/>
      </c>
      <c r="AH59" t="str">
        <f>_xlfn.IFNA(IF(VLOOKUP(U59,'Incoming Material Report'!A:N,14,FALSE)="","",VLOOKUP(U59,'Incoming Material Report'!A:N,14,FALSE)),"")</f>
        <v/>
      </c>
      <c r="AI59" t="str">
        <f>_xlfn.IFNA(VLOOKUP(U59,'Incoming Material Report'!A:Z,24,FALSE),"")</f>
        <v/>
      </c>
      <c r="AJ59" t="str">
        <f>_xlfn.IFNA(VLOOKUP(U59,'Incoming Material Report'!A:Z,25,FALSE),"")</f>
        <v/>
      </c>
      <c r="AK59" t="str">
        <f>_xlfn.IFNA(VLOOKUP(U59,'Incoming Material Report'!A:Z,26,FALSE),"")</f>
        <v/>
      </c>
      <c r="AL59" t="str">
        <f>_xlfn.IFNA(VLOOKUP(U59,'Incoming Material Report'!A:Z,2,FALSE),"")</f>
        <v/>
      </c>
      <c r="AM59" s="54" t="str">
        <f>_xlfn.IFNA(VLOOKUP(U59,'Incoming Material Report'!A:K,11,FALSE)/1000,"")</f>
        <v/>
      </c>
      <c r="AN59" s="54"/>
      <c r="AO59" s="54" t="str">
        <f>_xlfn.IFNA(VLOOKUP(U59,'Incoming Material Report'!A:R,18,FALSE)*1000,"")</f>
        <v/>
      </c>
      <c r="AP59" s="54"/>
      <c r="AQ59" s="54" t="str">
        <f>_xlfn.IFNA(TEXT(VLOOKUP(U59,'Incoming Material Report'!A:D,4,FALSE),"dd.mm.yy"),"")</f>
        <v/>
      </c>
      <c r="AR59" s="54" t="str">
        <f>_xlfn.IFNA(VLOOKUP(U59,'Incoming Material Report'!A:Z,5,FALSE),"")</f>
        <v/>
      </c>
      <c r="AS59" s="54"/>
      <c r="AT59" s="54" t="str">
        <f>_xlfn.IFNA(VLOOKUP(U59,'Incoming Material Report'!A:Z,6,FALSE),"")</f>
        <v/>
      </c>
      <c r="AU59" s="54" t="str">
        <f>_xlfn.IFNA(VLOOKUP(U59,'Incoming Material Report'!A:Z,8,FALSE),"")</f>
        <v/>
      </c>
      <c r="AZ59" t="str">
        <f>_xlfn.IFNA(VLOOKUP(U59,'GRPO Wiz Individual'!AP:BT,17,FALSE),"")</f>
        <v/>
      </c>
      <c r="BA59" t="str">
        <f>_xlfn.IFNA(VLOOKUP(U59,'GRPO Wiz Individual'!AP:BT,18,FALSE),"")</f>
        <v/>
      </c>
      <c r="BB59" t="str">
        <f>_xlfn.IFNA(VLOOKUP(U59,'GRPO Wiz Individual'!AP:BT,19,FALSE),"")</f>
        <v/>
      </c>
      <c r="BC59" t="str">
        <f>_xlfn.IFNA(VLOOKUP(U59,'GRPO Wiz Individual'!AP:BT,20,FALSE),"")</f>
        <v/>
      </c>
      <c r="BD59" t="str">
        <f>_xlfn.IFNA(VLOOKUP(U59,'GRPO Wiz Individual'!AP:BT,21,FALSE),"")</f>
        <v/>
      </c>
      <c r="BE59" t="str">
        <f>_xlfn.IFNA((VLOOKUP(U59,'GRPO Wiz Individual'!AP:BT,22,FALSE)),"")</f>
        <v/>
      </c>
      <c r="BF59" t="str">
        <f>_xlfn.IFNA(VLOOKUP(U59,'GRPO Wiz Individual'!AP:BT,26,FALSE),"")</f>
        <v/>
      </c>
      <c r="BG59" t="str">
        <f>_xlfn.IFNA(VLOOKUP(U59,'GRPO Wiz Individual'!AP:BQ,28,FALSE),"")</f>
        <v/>
      </c>
      <c r="BH59" t="str">
        <f>_xlfn.IFNA(VLOOKUP(U59,'GRPO Wiz Individual'!AP:BN,25,FALSE),"")</f>
        <v/>
      </c>
      <c r="BI59" t="str">
        <f>_xlfn.IFNA(VLOOKUP(U59,'GRPO Wiz Individual'!AP:BT,31,FALSE),"")</f>
        <v/>
      </c>
      <c r="BJ59" t="str">
        <f>_xlfn.IFNA(VLOOKUP(U59,'GRPO Wiz Individual'!AP:BZ,32,FALSE),"")</f>
        <v/>
      </c>
      <c r="BK59" t="str">
        <f>_xlfn.IFNA(VLOOKUP(U59,'GRPO Wiz Individual'!AP:BZ,27,FALSE),"")</f>
        <v/>
      </c>
      <c r="BL59" t="str">
        <f>_xlfn.IFNA(VALUE(VLOOKUP(U59,'GRPO Wiz Individual'!AP:BZ,29,FALSE)),"")</f>
        <v/>
      </c>
      <c r="BM59" t="str">
        <f>_xlfn.IFNA(VLOOKUP(U59,'GRPO Wiz Individual'!AP:BZ,33,FALSE),"")</f>
        <v/>
      </c>
    </row>
    <row r="60" spans="2:65" x14ac:dyDescent="0.25">
      <c r="B60" t="str">
        <f t="shared" si="1"/>
        <v/>
      </c>
      <c r="J60" s="43" t="str">
        <f t="shared" si="2"/>
        <v/>
      </c>
      <c r="X60" t="str">
        <f t="shared" si="0"/>
        <v/>
      </c>
      <c r="AG60" t="str">
        <f>_xlfn.IFNA(VLOOKUP(U60,'Incoming Material Report'!A:M,13,FALSE),"")</f>
        <v/>
      </c>
      <c r="AH60" t="str">
        <f>_xlfn.IFNA(IF(VLOOKUP(U60,'Incoming Material Report'!A:N,14,FALSE)="","",VLOOKUP(U60,'Incoming Material Report'!A:N,14,FALSE)),"")</f>
        <v/>
      </c>
      <c r="AI60" t="str">
        <f>_xlfn.IFNA(VLOOKUP(U60,'Incoming Material Report'!A:Z,24,FALSE),"")</f>
        <v/>
      </c>
      <c r="AJ60" t="str">
        <f>_xlfn.IFNA(VLOOKUP(U60,'Incoming Material Report'!A:Z,25,FALSE),"")</f>
        <v/>
      </c>
      <c r="AK60" t="str">
        <f>_xlfn.IFNA(VLOOKUP(U60,'Incoming Material Report'!A:Z,26,FALSE),"")</f>
        <v/>
      </c>
      <c r="AL60" t="str">
        <f>_xlfn.IFNA(VLOOKUP(U60,'Incoming Material Report'!A:Z,2,FALSE),"")</f>
        <v/>
      </c>
      <c r="AM60" s="54" t="str">
        <f>_xlfn.IFNA(VLOOKUP(U60,'Incoming Material Report'!A:K,11,FALSE)/1000,"")</f>
        <v/>
      </c>
      <c r="AN60" s="54"/>
      <c r="AO60" s="54" t="str">
        <f>_xlfn.IFNA(VLOOKUP(U60,'Incoming Material Report'!A:R,18,FALSE)*1000,"")</f>
        <v/>
      </c>
      <c r="AP60" s="54"/>
      <c r="AQ60" s="54" t="str">
        <f>_xlfn.IFNA(TEXT(VLOOKUP(U60,'Incoming Material Report'!A:D,4,FALSE),"dd.mm.yy"),"")</f>
        <v/>
      </c>
      <c r="AR60" s="54" t="str">
        <f>_xlfn.IFNA(VLOOKUP(U60,'Incoming Material Report'!A:Z,5,FALSE),"")</f>
        <v/>
      </c>
      <c r="AS60" s="54"/>
      <c r="AT60" s="54" t="str">
        <f>_xlfn.IFNA(VLOOKUP(U60,'Incoming Material Report'!A:Z,6,FALSE),"")</f>
        <v/>
      </c>
      <c r="AU60" s="54" t="str">
        <f>_xlfn.IFNA(VLOOKUP(U60,'Incoming Material Report'!A:Z,8,FALSE),"")</f>
        <v/>
      </c>
      <c r="AZ60" t="str">
        <f>_xlfn.IFNA(VLOOKUP(U60,'GRPO Wiz Individual'!AP:BT,17,FALSE),"")</f>
        <v/>
      </c>
      <c r="BA60" t="str">
        <f>_xlfn.IFNA(VLOOKUP(U60,'GRPO Wiz Individual'!AP:BT,18,FALSE),"")</f>
        <v/>
      </c>
      <c r="BB60" t="str">
        <f>_xlfn.IFNA(VLOOKUP(U60,'GRPO Wiz Individual'!AP:BT,19,FALSE),"")</f>
        <v/>
      </c>
      <c r="BC60" t="str">
        <f>_xlfn.IFNA(VLOOKUP(U60,'GRPO Wiz Individual'!AP:BT,20,FALSE),"")</f>
        <v/>
      </c>
      <c r="BD60" t="str">
        <f>_xlfn.IFNA(VLOOKUP(U60,'GRPO Wiz Individual'!AP:BT,21,FALSE),"")</f>
        <v/>
      </c>
      <c r="BE60" t="str">
        <f>_xlfn.IFNA((VLOOKUP(U60,'GRPO Wiz Individual'!AP:BT,22,FALSE)),"")</f>
        <v/>
      </c>
      <c r="BF60" t="str">
        <f>_xlfn.IFNA(VLOOKUP(U60,'GRPO Wiz Individual'!AP:BT,26,FALSE),"")</f>
        <v/>
      </c>
      <c r="BG60" t="str">
        <f>_xlfn.IFNA(VLOOKUP(U60,'GRPO Wiz Individual'!AP:BQ,28,FALSE),"")</f>
        <v/>
      </c>
      <c r="BH60" t="str">
        <f>_xlfn.IFNA(VLOOKUP(U60,'GRPO Wiz Individual'!AP:BN,25,FALSE),"")</f>
        <v/>
      </c>
      <c r="BI60" t="str">
        <f>_xlfn.IFNA(VLOOKUP(U60,'GRPO Wiz Individual'!AP:BT,31,FALSE),"")</f>
        <v/>
      </c>
      <c r="BJ60" t="str">
        <f>_xlfn.IFNA(VLOOKUP(U60,'GRPO Wiz Individual'!AP:BZ,32,FALSE),"")</f>
        <v/>
      </c>
      <c r="BK60" t="str">
        <f>_xlfn.IFNA(VLOOKUP(U60,'GRPO Wiz Individual'!AP:BZ,27,FALSE),"")</f>
        <v/>
      </c>
      <c r="BL60" t="str">
        <f>_xlfn.IFNA(VALUE(VLOOKUP(U60,'GRPO Wiz Individual'!AP:BZ,29,FALSE)),"")</f>
        <v/>
      </c>
      <c r="BM60" t="str">
        <f>_xlfn.IFNA(VLOOKUP(U60,'GRPO Wiz Individual'!AP:BZ,33,FALSE),"")</f>
        <v/>
      </c>
    </row>
    <row r="61" spans="2:65" x14ac:dyDescent="0.25">
      <c r="B61" t="str">
        <f t="shared" si="1"/>
        <v/>
      </c>
      <c r="J61" s="43" t="str">
        <f t="shared" si="2"/>
        <v/>
      </c>
      <c r="X61" t="str">
        <f t="shared" si="0"/>
        <v/>
      </c>
      <c r="AG61" t="str">
        <f>_xlfn.IFNA(VLOOKUP(U61,'Incoming Material Report'!A:M,13,FALSE),"")</f>
        <v/>
      </c>
      <c r="AH61" t="str">
        <f>_xlfn.IFNA(IF(VLOOKUP(U61,'Incoming Material Report'!A:N,14,FALSE)="","",VLOOKUP(U61,'Incoming Material Report'!A:N,14,FALSE)),"")</f>
        <v/>
      </c>
      <c r="AI61" t="str">
        <f>_xlfn.IFNA(VLOOKUP(U61,'Incoming Material Report'!A:Z,24,FALSE),"")</f>
        <v/>
      </c>
      <c r="AJ61" t="str">
        <f>_xlfn.IFNA(VLOOKUP(U61,'Incoming Material Report'!A:Z,25,FALSE),"")</f>
        <v/>
      </c>
      <c r="AK61" t="str">
        <f>_xlfn.IFNA(VLOOKUP(U61,'Incoming Material Report'!A:Z,26,FALSE),"")</f>
        <v/>
      </c>
      <c r="AL61" t="str">
        <f>_xlfn.IFNA(VLOOKUP(U61,'Incoming Material Report'!A:Z,2,FALSE),"")</f>
        <v/>
      </c>
      <c r="AM61" s="54" t="str">
        <f>_xlfn.IFNA(VLOOKUP(U61,'Incoming Material Report'!A:K,11,FALSE)/1000,"")</f>
        <v/>
      </c>
      <c r="AN61" s="54"/>
      <c r="AO61" s="54" t="str">
        <f>_xlfn.IFNA(VLOOKUP(U61,'Incoming Material Report'!A:R,18,FALSE)*1000,"")</f>
        <v/>
      </c>
      <c r="AP61" s="54"/>
      <c r="AQ61" s="54" t="str">
        <f>_xlfn.IFNA(TEXT(VLOOKUP(U61,'Incoming Material Report'!A:D,4,FALSE),"dd.mm.yy"),"")</f>
        <v/>
      </c>
      <c r="AR61" s="54" t="str">
        <f>_xlfn.IFNA(VLOOKUP(U61,'Incoming Material Report'!A:Z,5,FALSE),"")</f>
        <v/>
      </c>
      <c r="AS61" s="54"/>
      <c r="AT61" s="54" t="str">
        <f>_xlfn.IFNA(VLOOKUP(U61,'Incoming Material Report'!A:Z,6,FALSE),"")</f>
        <v/>
      </c>
      <c r="AU61" s="54" t="str">
        <f>_xlfn.IFNA(VLOOKUP(U61,'Incoming Material Report'!A:Z,8,FALSE),"")</f>
        <v/>
      </c>
      <c r="AZ61" t="str">
        <f>_xlfn.IFNA(VLOOKUP(U61,'GRPO Wiz Individual'!AP:BT,17,FALSE),"")</f>
        <v/>
      </c>
      <c r="BA61" t="str">
        <f>_xlfn.IFNA(VLOOKUP(U61,'GRPO Wiz Individual'!AP:BT,18,FALSE),"")</f>
        <v/>
      </c>
      <c r="BB61" t="str">
        <f>_xlfn.IFNA(VLOOKUP(U61,'GRPO Wiz Individual'!AP:BT,19,FALSE),"")</f>
        <v/>
      </c>
      <c r="BC61" t="str">
        <f>_xlfn.IFNA(VLOOKUP(U61,'GRPO Wiz Individual'!AP:BT,20,FALSE),"")</f>
        <v/>
      </c>
      <c r="BD61" t="str">
        <f>_xlfn.IFNA(VLOOKUP(U61,'GRPO Wiz Individual'!AP:BT,21,FALSE),"")</f>
        <v/>
      </c>
      <c r="BE61" t="str">
        <f>_xlfn.IFNA((VLOOKUP(U61,'GRPO Wiz Individual'!AP:BT,22,FALSE)),"")</f>
        <v/>
      </c>
      <c r="BF61" t="str">
        <f>_xlfn.IFNA(VLOOKUP(U61,'GRPO Wiz Individual'!AP:BT,26,FALSE),"")</f>
        <v/>
      </c>
      <c r="BG61" t="str">
        <f>_xlfn.IFNA(VLOOKUP(U61,'GRPO Wiz Individual'!AP:BQ,28,FALSE),"")</f>
        <v/>
      </c>
      <c r="BH61" t="str">
        <f>_xlfn.IFNA(VLOOKUP(U61,'GRPO Wiz Individual'!AP:BN,25,FALSE),"")</f>
        <v/>
      </c>
      <c r="BI61" t="str">
        <f>_xlfn.IFNA(VLOOKUP(U61,'GRPO Wiz Individual'!AP:BT,31,FALSE),"")</f>
        <v/>
      </c>
      <c r="BJ61" t="str">
        <f>_xlfn.IFNA(VLOOKUP(U61,'GRPO Wiz Individual'!AP:BZ,32,FALSE),"")</f>
        <v/>
      </c>
      <c r="BK61" t="str">
        <f>_xlfn.IFNA(VLOOKUP(U61,'GRPO Wiz Individual'!AP:BZ,27,FALSE),"")</f>
        <v/>
      </c>
      <c r="BL61" t="str">
        <f>_xlfn.IFNA(VALUE(VLOOKUP(U61,'GRPO Wiz Individual'!AP:BZ,29,FALSE)),"")</f>
        <v/>
      </c>
      <c r="BM61" t="str">
        <f>_xlfn.IFNA(VLOOKUP(U61,'GRPO Wiz Individual'!AP:BZ,33,FALSE),"")</f>
        <v/>
      </c>
    </row>
    <row r="62" spans="2:65" x14ac:dyDescent="0.25">
      <c r="B62" t="str">
        <f t="shared" si="1"/>
        <v/>
      </c>
      <c r="J62" s="43" t="str">
        <f t="shared" si="2"/>
        <v/>
      </c>
      <c r="X62" t="str">
        <f t="shared" si="0"/>
        <v/>
      </c>
      <c r="AG62" t="str">
        <f>_xlfn.IFNA(VLOOKUP(U62,'Incoming Material Report'!A:M,13,FALSE),"")</f>
        <v/>
      </c>
      <c r="AH62" t="str">
        <f>_xlfn.IFNA(IF(VLOOKUP(U62,'Incoming Material Report'!A:N,14,FALSE)="","",VLOOKUP(U62,'Incoming Material Report'!A:N,14,FALSE)),"")</f>
        <v/>
      </c>
      <c r="AI62" t="str">
        <f>_xlfn.IFNA(VLOOKUP(U62,'Incoming Material Report'!A:Z,24,FALSE),"")</f>
        <v/>
      </c>
      <c r="AJ62" t="str">
        <f>_xlfn.IFNA(VLOOKUP(U62,'Incoming Material Report'!A:Z,25,FALSE),"")</f>
        <v/>
      </c>
      <c r="AK62" t="str">
        <f>_xlfn.IFNA(VLOOKUP(U62,'Incoming Material Report'!A:Z,26,FALSE),"")</f>
        <v/>
      </c>
      <c r="AL62" t="str">
        <f>_xlfn.IFNA(VLOOKUP(U62,'Incoming Material Report'!A:Z,2,FALSE),"")</f>
        <v/>
      </c>
      <c r="AM62" s="54" t="str">
        <f>_xlfn.IFNA(VLOOKUP(U62,'Incoming Material Report'!A:K,11,FALSE)/1000,"")</f>
        <v/>
      </c>
      <c r="AN62" s="54"/>
      <c r="AO62" s="54" t="str">
        <f>_xlfn.IFNA(VLOOKUP(U62,'Incoming Material Report'!A:R,18,FALSE)*1000,"")</f>
        <v/>
      </c>
      <c r="AP62" s="54"/>
      <c r="AQ62" s="54" t="str">
        <f>_xlfn.IFNA(TEXT(VLOOKUP(U62,'Incoming Material Report'!A:D,4,FALSE),"dd.mm.yy"),"")</f>
        <v/>
      </c>
      <c r="AR62" s="54" t="str">
        <f>_xlfn.IFNA(VLOOKUP(U62,'Incoming Material Report'!A:Z,5,FALSE),"")</f>
        <v/>
      </c>
      <c r="AS62" s="54"/>
      <c r="AT62" s="54" t="str">
        <f>_xlfn.IFNA(VLOOKUP(U62,'Incoming Material Report'!A:Z,6,FALSE),"")</f>
        <v/>
      </c>
      <c r="AU62" s="54" t="str">
        <f>_xlfn.IFNA(VLOOKUP(U62,'Incoming Material Report'!A:Z,8,FALSE),"")</f>
        <v/>
      </c>
      <c r="AZ62" t="str">
        <f>_xlfn.IFNA(VLOOKUP(U62,'GRPO Wiz Individual'!AP:BT,17,FALSE),"")</f>
        <v/>
      </c>
      <c r="BA62" t="str">
        <f>_xlfn.IFNA(VLOOKUP(U62,'GRPO Wiz Individual'!AP:BT,18,FALSE),"")</f>
        <v/>
      </c>
      <c r="BB62" t="str">
        <f>_xlfn.IFNA(VLOOKUP(U62,'GRPO Wiz Individual'!AP:BT,19,FALSE),"")</f>
        <v/>
      </c>
      <c r="BC62" t="str">
        <f>_xlfn.IFNA(VLOOKUP(U62,'GRPO Wiz Individual'!AP:BT,20,FALSE),"")</f>
        <v/>
      </c>
      <c r="BD62" t="str">
        <f>_xlfn.IFNA(VLOOKUP(U62,'GRPO Wiz Individual'!AP:BT,21,FALSE),"")</f>
        <v/>
      </c>
      <c r="BE62" t="str">
        <f>_xlfn.IFNA((VLOOKUP(U62,'GRPO Wiz Individual'!AP:BT,22,FALSE)),"")</f>
        <v/>
      </c>
      <c r="BF62" t="str">
        <f>_xlfn.IFNA(VLOOKUP(U62,'GRPO Wiz Individual'!AP:BT,26,FALSE),"")</f>
        <v/>
      </c>
      <c r="BG62" t="str">
        <f>_xlfn.IFNA(VLOOKUP(U62,'GRPO Wiz Individual'!AP:BQ,28,FALSE),"")</f>
        <v/>
      </c>
      <c r="BH62" t="str">
        <f>_xlfn.IFNA(VLOOKUP(U62,'GRPO Wiz Individual'!AP:BN,25,FALSE),"")</f>
        <v/>
      </c>
      <c r="BI62" t="str">
        <f>_xlfn.IFNA(VLOOKUP(U62,'GRPO Wiz Individual'!AP:BT,31,FALSE),"")</f>
        <v/>
      </c>
      <c r="BJ62" t="str">
        <f>_xlfn.IFNA(VLOOKUP(U62,'GRPO Wiz Individual'!AP:BZ,32,FALSE),"")</f>
        <v/>
      </c>
      <c r="BK62" t="str">
        <f>_xlfn.IFNA(VLOOKUP(U62,'GRPO Wiz Individual'!AP:BZ,27,FALSE),"")</f>
        <v/>
      </c>
      <c r="BL62" t="str">
        <f>_xlfn.IFNA(VALUE(VLOOKUP(U62,'GRPO Wiz Individual'!AP:BZ,29,FALSE)),"")</f>
        <v/>
      </c>
      <c r="BM62" t="str">
        <f>_xlfn.IFNA(VLOOKUP(U62,'GRPO Wiz Individual'!AP:BZ,33,FALSE),"")</f>
        <v/>
      </c>
    </row>
    <row r="63" spans="2:65" x14ac:dyDescent="0.25">
      <c r="B63" t="str">
        <f t="shared" si="1"/>
        <v/>
      </c>
      <c r="J63" s="43" t="str">
        <f t="shared" si="2"/>
        <v/>
      </c>
      <c r="X63" t="str">
        <f t="shared" si="0"/>
        <v/>
      </c>
      <c r="AG63" t="str">
        <f>_xlfn.IFNA(VLOOKUP(U63,'Incoming Material Report'!A:M,13,FALSE),"")</f>
        <v/>
      </c>
      <c r="AH63" t="str">
        <f>_xlfn.IFNA(IF(VLOOKUP(U63,'Incoming Material Report'!A:N,14,FALSE)="","",VLOOKUP(U63,'Incoming Material Report'!A:N,14,FALSE)),"")</f>
        <v/>
      </c>
      <c r="AI63" t="str">
        <f>_xlfn.IFNA(VLOOKUP(U63,'Incoming Material Report'!A:Z,24,FALSE),"")</f>
        <v/>
      </c>
      <c r="AJ63" t="str">
        <f>_xlfn.IFNA(VLOOKUP(U63,'Incoming Material Report'!A:Z,25,FALSE),"")</f>
        <v/>
      </c>
      <c r="AK63" t="str">
        <f>_xlfn.IFNA(VLOOKUP(U63,'Incoming Material Report'!A:Z,26,FALSE),"")</f>
        <v/>
      </c>
      <c r="AL63" t="str">
        <f>_xlfn.IFNA(VLOOKUP(U63,'Incoming Material Report'!A:Z,2,FALSE),"")</f>
        <v/>
      </c>
      <c r="AM63" s="54" t="str">
        <f>_xlfn.IFNA(VLOOKUP(U63,'Incoming Material Report'!A:K,11,FALSE)/1000,"")</f>
        <v/>
      </c>
      <c r="AN63" s="54"/>
      <c r="AO63" s="54" t="str">
        <f>_xlfn.IFNA(VLOOKUP(U63,'Incoming Material Report'!A:R,18,FALSE)*1000,"")</f>
        <v/>
      </c>
      <c r="AP63" s="54"/>
      <c r="AQ63" s="54" t="str">
        <f>_xlfn.IFNA(TEXT(VLOOKUP(U63,'Incoming Material Report'!A:D,4,FALSE),"dd.mm.yy"),"")</f>
        <v/>
      </c>
      <c r="AR63" s="54" t="str">
        <f>_xlfn.IFNA(VLOOKUP(U63,'Incoming Material Report'!A:Z,5,FALSE),"")</f>
        <v/>
      </c>
      <c r="AS63" s="54"/>
      <c r="AT63" s="54" t="str">
        <f>_xlfn.IFNA(VLOOKUP(U63,'Incoming Material Report'!A:Z,6,FALSE),"")</f>
        <v/>
      </c>
      <c r="AU63" s="54" t="str">
        <f>_xlfn.IFNA(VLOOKUP(U63,'Incoming Material Report'!A:Z,8,FALSE),"")</f>
        <v/>
      </c>
      <c r="AZ63" t="str">
        <f>_xlfn.IFNA(VLOOKUP(U63,'GRPO Wiz Individual'!AP:BT,17,FALSE),"")</f>
        <v/>
      </c>
      <c r="BA63" t="str">
        <f>_xlfn.IFNA(VLOOKUP(U63,'GRPO Wiz Individual'!AP:BT,18,FALSE),"")</f>
        <v/>
      </c>
      <c r="BB63" t="str">
        <f>_xlfn.IFNA(VLOOKUP(U63,'GRPO Wiz Individual'!AP:BT,19,FALSE),"")</f>
        <v/>
      </c>
      <c r="BC63" t="str">
        <f>_xlfn.IFNA(VLOOKUP(U63,'GRPO Wiz Individual'!AP:BT,20,FALSE),"")</f>
        <v/>
      </c>
      <c r="BD63" t="str">
        <f>_xlfn.IFNA(VLOOKUP(U63,'GRPO Wiz Individual'!AP:BT,21,FALSE),"")</f>
        <v/>
      </c>
      <c r="BE63" t="str">
        <f>_xlfn.IFNA((VLOOKUP(U63,'GRPO Wiz Individual'!AP:BT,22,FALSE)),"")</f>
        <v/>
      </c>
      <c r="BF63" t="str">
        <f>_xlfn.IFNA(VLOOKUP(U63,'GRPO Wiz Individual'!AP:BT,26,FALSE),"")</f>
        <v/>
      </c>
      <c r="BG63" t="str">
        <f>_xlfn.IFNA(VLOOKUP(U63,'GRPO Wiz Individual'!AP:BQ,28,FALSE),"")</f>
        <v/>
      </c>
      <c r="BH63" t="str">
        <f>_xlfn.IFNA(VLOOKUP(U63,'GRPO Wiz Individual'!AP:BN,25,FALSE),"")</f>
        <v/>
      </c>
      <c r="BI63" t="str">
        <f>_xlfn.IFNA(VLOOKUP(U63,'GRPO Wiz Individual'!AP:BT,31,FALSE),"")</f>
        <v/>
      </c>
      <c r="BJ63" t="str">
        <f>_xlfn.IFNA(VLOOKUP(U63,'GRPO Wiz Individual'!AP:BZ,32,FALSE),"")</f>
        <v/>
      </c>
      <c r="BK63" t="str">
        <f>_xlfn.IFNA(VLOOKUP(U63,'GRPO Wiz Individual'!AP:BZ,27,FALSE),"")</f>
        <v/>
      </c>
      <c r="BL63" t="str">
        <f>_xlfn.IFNA(VALUE(VLOOKUP(U63,'GRPO Wiz Individual'!AP:BZ,29,FALSE)),"")</f>
        <v/>
      </c>
      <c r="BM63" t="str">
        <f>_xlfn.IFNA(VLOOKUP(U63,'GRPO Wiz Individual'!AP:BZ,33,FALSE),"")</f>
        <v/>
      </c>
    </row>
    <row r="64" spans="2:65" x14ac:dyDescent="0.25">
      <c r="B64" t="str">
        <f t="shared" si="1"/>
        <v/>
      </c>
      <c r="J64" s="43" t="str">
        <f t="shared" si="2"/>
        <v/>
      </c>
      <c r="X64" t="str">
        <f t="shared" si="0"/>
        <v/>
      </c>
      <c r="AG64" t="str">
        <f>_xlfn.IFNA(VLOOKUP(U64,'Incoming Material Report'!A:M,13,FALSE),"")</f>
        <v/>
      </c>
      <c r="AH64" t="str">
        <f>_xlfn.IFNA(IF(VLOOKUP(U64,'Incoming Material Report'!A:N,14,FALSE)="","",VLOOKUP(U64,'Incoming Material Report'!A:N,14,FALSE)),"")</f>
        <v/>
      </c>
      <c r="AI64" t="str">
        <f>_xlfn.IFNA(VLOOKUP(U64,'Incoming Material Report'!A:Z,24,FALSE),"")</f>
        <v/>
      </c>
      <c r="AJ64" t="str">
        <f>_xlfn.IFNA(VLOOKUP(U64,'Incoming Material Report'!A:Z,25,FALSE),"")</f>
        <v/>
      </c>
      <c r="AK64" t="str">
        <f>_xlfn.IFNA(VLOOKUP(U64,'Incoming Material Report'!A:Z,26,FALSE),"")</f>
        <v/>
      </c>
      <c r="AL64" t="str">
        <f>_xlfn.IFNA(VLOOKUP(U64,'Incoming Material Report'!A:Z,2,FALSE),"")</f>
        <v/>
      </c>
      <c r="AM64" s="54" t="str">
        <f>_xlfn.IFNA(VLOOKUP(U64,'Incoming Material Report'!A:K,11,FALSE)/1000,"")</f>
        <v/>
      </c>
      <c r="AN64" s="54"/>
      <c r="AO64" s="54" t="str">
        <f>_xlfn.IFNA(VLOOKUP(U64,'Incoming Material Report'!A:R,18,FALSE)*1000,"")</f>
        <v/>
      </c>
      <c r="AP64" s="54"/>
      <c r="AQ64" s="54" t="str">
        <f>_xlfn.IFNA(TEXT(VLOOKUP(U64,'Incoming Material Report'!A:D,4,FALSE),"dd.mm.yy"),"")</f>
        <v/>
      </c>
      <c r="AR64" s="54" t="str">
        <f>_xlfn.IFNA(VLOOKUP(U64,'Incoming Material Report'!A:Z,5,FALSE),"")</f>
        <v/>
      </c>
      <c r="AS64" s="54"/>
      <c r="AT64" s="54" t="str">
        <f>_xlfn.IFNA(VLOOKUP(U64,'Incoming Material Report'!A:Z,6,FALSE),"")</f>
        <v/>
      </c>
      <c r="AU64" s="54" t="str">
        <f>_xlfn.IFNA(VLOOKUP(U64,'Incoming Material Report'!A:Z,8,FALSE),"")</f>
        <v/>
      </c>
      <c r="AZ64" t="str">
        <f>_xlfn.IFNA(VLOOKUP(U64,'GRPO Wiz Individual'!AP:BT,17,FALSE),"")</f>
        <v/>
      </c>
      <c r="BA64" t="str">
        <f>_xlfn.IFNA(VLOOKUP(U64,'GRPO Wiz Individual'!AP:BT,18,FALSE),"")</f>
        <v/>
      </c>
      <c r="BB64" t="str">
        <f>_xlfn.IFNA(VLOOKUP(U64,'GRPO Wiz Individual'!AP:BT,19,FALSE),"")</f>
        <v/>
      </c>
      <c r="BC64" t="str">
        <f>_xlfn.IFNA(VLOOKUP(U64,'GRPO Wiz Individual'!AP:BT,20,FALSE),"")</f>
        <v/>
      </c>
      <c r="BD64" t="str">
        <f>_xlfn.IFNA(VLOOKUP(U64,'GRPO Wiz Individual'!AP:BT,21,FALSE),"")</f>
        <v/>
      </c>
      <c r="BE64" t="str">
        <f>_xlfn.IFNA((VLOOKUP(U64,'GRPO Wiz Individual'!AP:BT,22,FALSE)),"")</f>
        <v/>
      </c>
      <c r="BF64" t="str">
        <f>_xlfn.IFNA(VLOOKUP(U64,'GRPO Wiz Individual'!AP:BT,26,FALSE),"")</f>
        <v/>
      </c>
      <c r="BG64" t="str">
        <f>_xlfn.IFNA(VLOOKUP(U64,'GRPO Wiz Individual'!AP:BQ,28,FALSE),"")</f>
        <v/>
      </c>
      <c r="BH64" t="str">
        <f>_xlfn.IFNA(VLOOKUP(U64,'GRPO Wiz Individual'!AP:BN,25,FALSE),"")</f>
        <v/>
      </c>
      <c r="BI64" t="str">
        <f>_xlfn.IFNA(VLOOKUP(U64,'GRPO Wiz Individual'!AP:BT,31,FALSE),"")</f>
        <v/>
      </c>
      <c r="BJ64" t="str">
        <f>_xlfn.IFNA(VLOOKUP(U64,'GRPO Wiz Individual'!AP:BZ,32,FALSE),"")</f>
        <v/>
      </c>
      <c r="BK64" t="str">
        <f>_xlfn.IFNA(VLOOKUP(U64,'GRPO Wiz Individual'!AP:BZ,27,FALSE),"")</f>
        <v/>
      </c>
      <c r="BL64" t="str">
        <f>_xlfn.IFNA(VALUE(VLOOKUP(U64,'GRPO Wiz Individual'!AP:BZ,29,FALSE)),"")</f>
        <v/>
      </c>
      <c r="BM64" t="str">
        <f>_xlfn.IFNA(VLOOKUP(U64,'GRPO Wiz Individual'!AP:BZ,33,FALSE),"")</f>
        <v/>
      </c>
    </row>
    <row r="65" spans="2:65" x14ac:dyDescent="0.25">
      <c r="B65" t="str">
        <f t="shared" si="1"/>
        <v/>
      </c>
      <c r="J65" s="43" t="str">
        <f t="shared" si="2"/>
        <v/>
      </c>
      <c r="X65" t="str">
        <f t="shared" si="0"/>
        <v/>
      </c>
      <c r="AG65" t="str">
        <f>_xlfn.IFNA(VLOOKUP(U65,'Incoming Material Report'!A:M,13,FALSE),"")</f>
        <v/>
      </c>
      <c r="AH65" t="str">
        <f>_xlfn.IFNA(IF(VLOOKUP(U65,'Incoming Material Report'!A:N,14,FALSE)="","",VLOOKUP(U65,'Incoming Material Report'!A:N,14,FALSE)),"")</f>
        <v/>
      </c>
      <c r="AI65" t="str">
        <f>_xlfn.IFNA(VLOOKUP(U65,'Incoming Material Report'!A:Z,24,FALSE),"")</f>
        <v/>
      </c>
      <c r="AJ65" t="str">
        <f>_xlfn.IFNA(VLOOKUP(U65,'Incoming Material Report'!A:Z,25,FALSE),"")</f>
        <v/>
      </c>
      <c r="AK65" t="str">
        <f>_xlfn.IFNA(VLOOKUP(U65,'Incoming Material Report'!A:Z,26,FALSE),"")</f>
        <v/>
      </c>
      <c r="AL65" t="str">
        <f>_xlfn.IFNA(VLOOKUP(U65,'Incoming Material Report'!A:Z,2,FALSE),"")</f>
        <v/>
      </c>
      <c r="AM65" s="54" t="str">
        <f>_xlfn.IFNA(VLOOKUP(U65,'Incoming Material Report'!A:K,11,FALSE)/1000,"")</f>
        <v/>
      </c>
      <c r="AN65" s="54"/>
      <c r="AO65" s="54" t="str">
        <f>_xlfn.IFNA(VLOOKUP(U65,'Incoming Material Report'!A:R,18,FALSE)*1000,"")</f>
        <v/>
      </c>
      <c r="AP65" s="54"/>
      <c r="AQ65" s="54" t="str">
        <f>_xlfn.IFNA(TEXT(VLOOKUP(U65,'Incoming Material Report'!A:D,4,FALSE),"dd.mm.yy"),"")</f>
        <v/>
      </c>
      <c r="AR65" s="54" t="str">
        <f>_xlfn.IFNA(VLOOKUP(U65,'Incoming Material Report'!A:Z,5,FALSE),"")</f>
        <v/>
      </c>
      <c r="AS65" s="54"/>
      <c r="AT65" s="54" t="str">
        <f>_xlfn.IFNA(VLOOKUP(U65,'Incoming Material Report'!A:Z,6,FALSE),"")</f>
        <v/>
      </c>
      <c r="AU65" s="54" t="str">
        <f>_xlfn.IFNA(VLOOKUP(U65,'Incoming Material Report'!A:Z,8,FALSE),"")</f>
        <v/>
      </c>
      <c r="AZ65" t="str">
        <f>_xlfn.IFNA(VLOOKUP(U65,'GRPO Wiz Individual'!AP:BT,17,FALSE),"")</f>
        <v/>
      </c>
      <c r="BA65" t="str">
        <f>_xlfn.IFNA(VLOOKUP(U65,'GRPO Wiz Individual'!AP:BT,18,FALSE),"")</f>
        <v/>
      </c>
      <c r="BB65" t="str">
        <f>_xlfn.IFNA(VLOOKUP(U65,'GRPO Wiz Individual'!AP:BT,19,FALSE),"")</f>
        <v/>
      </c>
      <c r="BC65" t="str">
        <f>_xlfn.IFNA(VLOOKUP(U65,'GRPO Wiz Individual'!AP:BT,20,FALSE),"")</f>
        <v/>
      </c>
      <c r="BD65" t="str">
        <f>_xlfn.IFNA(VLOOKUP(U65,'GRPO Wiz Individual'!AP:BT,21,FALSE),"")</f>
        <v/>
      </c>
      <c r="BE65" t="str">
        <f>_xlfn.IFNA((VLOOKUP(U65,'GRPO Wiz Individual'!AP:BT,22,FALSE)),"")</f>
        <v/>
      </c>
      <c r="BF65" t="str">
        <f>_xlfn.IFNA(VLOOKUP(U65,'GRPO Wiz Individual'!AP:BT,26,FALSE),"")</f>
        <v/>
      </c>
      <c r="BG65" t="str">
        <f>_xlfn.IFNA(VLOOKUP(U65,'GRPO Wiz Individual'!AP:BQ,28,FALSE),"")</f>
        <v/>
      </c>
      <c r="BH65" t="str">
        <f>_xlfn.IFNA(VLOOKUP(U65,'GRPO Wiz Individual'!AP:BN,25,FALSE),"")</f>
        <v/>
      </c>
      <c r="BI65" t="str">
        <f>_xlfn.IFNA(VLOOKUP(U65,'GRPO Wiz Individual'!AP:BT,31,FALSE),"")</f>
        <v/>
      </c>
      <c r="BJ65" t="str">
        <f>_xlfn.IFNA(VLOOKUP(U65,'GRPO Wiz Individual'!AP:BZ,32,FALSE),"")</f>
        <v/>
      </c>
      <c r="BK65" t="str">
        <f>_xlfn.IFNA(VLOOKUP(U65,'GRPO Wiz Individual'!AP:BZ,27,FALSE),"")</f>
        <v/>
      </c>
      <c r="BL65" t="str">
        <f>_xlfn.IFNA(VALUE(VLOOKUP(U65,'GRPO Wiz Individual'!AP:BZ,29,FALSE)),"")</f>
        <v/>
      </c>
      <c r="BM65" t="str">
        <f>_xlfn.IFNA(VLOOKUP(U65,'GRPO Wiz Individual'!AP:BZ,33,FALSE),"")</f>
        <v/>
      </c>
    </row>
    <row r="66" spans="2:65" x14ac:dyDescent="0.25">
      <c r="B66" t="str">
        <f t="shared" si="1"/>
        <v/>
      </c>
      <c r="J66" s="43" t="str">
        <f t="shared" si="2"/>
        <v/>
      </c>
      <c r="X66" t="str">
        <f t="shared" si="0"/>
        <v/>
      </c>
      <c r="AG66" t="str">
        <f>_xlfn.IFNA(VLOOKUP(U66,'Incoming Material Report'!A:M,13,FALSE),"")</f>
        <v/>
      </c>
      <c r="AH66" t="str">
        <f>_xlfn.IFNA(IF(VLOOKUP(U66,'Incoming Material Report'!A:N,14,FALSE)="","",VLOOKUP(U66,'Incoming Material Report'!A:N,14,FALSE)),"")</f>
        <v/>
      </c>
      <c r="AI66" t="str">
        <f>_xlfn.IFNA(VLOOKUP(U66,'Incoming Material Report'!A:Z,24,FALSE),"")</f>
        <v/>
      </c>
      <c r="AJ66" t="str">
        <f>_xlfn.IFNA(VLOOKUP(U66,'Incoming Material Report'!A:Z,25,FALSE),"")</f>
        <v/>
      </c>
      <c r="AK66" t="str">
        <f>_xlfn.IFNA(VLOOKUP(U66,'Incoming Material Report'!A:Z,26,FALSE),"")</f>
        <v/>
      </c>
      <c r="AL66" t="str">
        <f>_xlfn.IFNA(VLOOKUP(U66,'Incoming Material Report'!A:Z,2,FALSE),"")</f>
        <v/>
      </c>
      <c r="AM66" s="54" t="str">
        <f>_xlfn.IFNA(VLOOKUP(U66,'Incoming Material Report'!A:K,11,FALSE)/1000,"")</f>
        <v/>
      </c>
      <c r="AN66" s="54"/>
      <c r="AO66" s="54" t="str">
        <f>_xlfn.IFNA(VLOOKUP(U66,'Incoming Material Report'!A:R,18,FALSE)*1000,"")</f>
        <v/>
      </c>
      <c r="AP66" s="54"/>
      <c r="AQ66" s="54" t="str">
        <f>_xlfn.IFNA(TEXT(VLOOKUP(U66,'Incoming Material Report'!A:D,4,FALSE),"dd.mm.yy"),"")</f>
        <v/>
      </c>
      <c r="AR66" s="54" t="str">
        <f>_xlfn.IFNA(VLOOKUP(U66,'Incoming Material Report'!A:Z,5,FALSE),"")</f>
        <v/>
      </c>
      <c r="AS66" s="54"/>
      <c r="AT66" s="54" t="str">
        <f>_xlfn.IFNA(VLOOKUP(U66,'Incoming Material Report'!A:Z,6,FALSE),"")</f>
        <v/>
      </c>
      <c r="AU66" s="54" t="str">
        <f>_xlfn.IFNA(VLOOKUP(U66,'Incoming Material Report'!A:Z,8,FALSE),"")</f>
        <v/>
      </c>
      <c r="AZ66" t="str">
        <f>_xlfn.IFNA(VLOOKUP(U66,'GRPO Wiz Individual'!AP:BT,17,FALSE),"")</f>
        <v/>
      </c>
      <c r="BA66" t="str">
        <f>_xlfn.IFNA(VLOOKUP(U66,'GRPO Wiz Individual'!AP:BT,18,FALSE),"")</f>
        <v/>
      </c>
      <c r="BB66" t="str">
        <f>_xlfn.IFNA(VLOOKUP(U66,'GRPO Wiz Individual'!AP:BT,19,FALSE),"")</f>
        <v/>
      </c>
      <c r="BC66" t="str">
        <f>_xlfn.IFNA(VLOOKUP(U66,'GRPO Wiz Individual'!AP:BT,20,FALSE),"")</f>
        <v/>
      </c>
      <c r="BD66" t="str">
        <f>_xlfn.IFNA(VLOOKUP(U66,'GRPO Wiz Individual'!AP:BT,21,FALSE),"")</f>
        <v/>
      </c>
      <c r="BE66" t="str">
        <f>_xlfn.IFNA((VLOOKUP(U66,'GRPO Wiz Individual'!AP:BT,22,FALSE)),"")</f>
        <v/>
      </c>
      <c r="BF66" t="str">
        <f>_xlfn.IFNA(VLOOKUP(U66,'GRPO Wiz Individual'!AP:BT,26,FALSE),"")</f>
        <v/>
      </c>
      <c r="BG66" t="str">
        <f>_xlfn.IFNA(VLOOKUP(U66,'GRPO Wiz Individual'!AP:BQ,28,FALSE),"")</f>
        <v/>
      </c>
      <c r="BH66" t="str">
        <f>_xlfn.IFNA(VLOOKUP(U66,'GRPO Wiz Individual'!AP:BN,25,FALSE),"")</f>
        <v/>
      </c>
      <c r="BI66" t="str">
        <f>_xlfn.IFNA(VLOOKUP(U66,'GRPO Wiz Individual'!AP:BT,31,FALSE),"")</f>
        <v/>
      </c>
      <c r="BJ66" t="str">
        <f>_xlfn.IFNA(VLOOKUP(U66,'GRPO Wiz Individual'!AP:BZ,32,FALSE),"")</f>
        <v/>
      </c>
      <c r="BK66" t="str">
        <f>_xlfn.IFNA(VLOOKUP(U66,'GRPO Wiz Individual'!AP:BZ,27,FALSE),"")</f>
        <v/>
      </c>
      <c r="BL66" t="str">
        <f>_xlfn.IFNA(VALUE(VLOOKUP(U66,'GRPO Wiz Individual'!AP:BZ,29,FALSE)),"")</f>
        <v/>
      </c>
      <c r="BM66" t="str">
        <f>_xlfn.IFNA(VLOOKUP(U66,'GRPO Wiz Individual'!AP:BZ,33,FALSE),"")</f>
        <v/>
      </c>
    </row>
    <row r="67" spans="2:65" x14ac:dyDescent="0.25">
      <c r="B67" t="str">
        <f t="shared" si="1"/>
        <v/>
      </c>
      <c r="J67" s="43" t="str">
        <f t="shared" si="2"/>
        <v/>
      </c>
      <c r="X67" t="str">
        <f t="shared" ref="X67:X113" si="3">IF(O67&lt;&gt;"","NSC","")</f>
        <v/>
      </c>
      <c r="AG67" t="str">
        <f>_xlfn.IFNA(VLOOKUP(U67,'Incoming Material Report'!A:M,13,FALSE),"")</f>
        <v/>
      </c>
      <c r="AH67" t="str">
        <f>_xlfn.IFNA(IF(VLOOKUP(U67,'Incoming Material Report'!A:N,14,FALSE)="","",VLOOKUP(U67,'Incoming Material Report'!A:N,14,FALSE)),"")</f>
        <v/>
      </c>
      <c r="AI67" t="str">
        <f>_xlfn.IFNA(VLOOKUP(U67,'Incoming Material Report'!A:Z,24,FALSE),"")</f>
        <v/>
      </c>
      <c r="AJ67" t="str">
        <f>_xlfn.IFNA(VLOOKUP(U67,'Incoming Material Report'!A:Z,25,FALSE),"")</f>
        <v/>
      </c>
      <c r="AK67" t="str">
        <f>_xlfn.IFNA(VLOOKUP(U67,'Incoming Material Report'!A:Z,26,FALSE),"")</f>
        <v/>
      </c>
      <c r="AL67" t="str">
        <f>_xlfn.IFNA(VLOOKUP(U67,'Incoming Material Report'!A:Z,2,FALSE),"")</f>
        <v/>
      </c>
      <c r="AM67" s="54" t="str">
        <f>_xlfn.IFNA(VLOOKUP(U67,'Incoming Material Report'!A:K,11,FALSE)/1000,"")</f>
        <v/>
      </c>
      <c r="AN67" s="54"/>
      <c r="AO67" s="54" t="str">
        <f>_xlfn.IFNA(VLOOKUP(U67,'Incoming Material Report'!A:R,18,FALSE)*1000,"")</f>
        <v/>
      </c>
      <c r="AP67" s="54"/>
      <c r="AQ67" s="54" t="str">
        <f>_xlfn.IFNA(TEXT(VLOOKUP(U67,'Incoming Material Report'!A:D,4,FALSE),"dd.mm.yy"),"")</f>
        <v/>
      </c>
      <c r="AR67" s="54" t="str">
        <f>_xlfn.IFNA(VLOOKUP(U67,'Incoming Material Report'!A:Z,5,FALSE),"")</f>
        <v/>
      </c>
      <c r="AS67" s="54"/>
      <c r="AT67" s="54" t="str">
        <f>_xlfn.IFNA(VLOOKUP(U67,'Incoming Material Report'!A:Z,6,FALSE),"")</f>
        <v/>
      </c>
      <c r="AU67" s="54" t="str">
        <f>_xlfn.IFNA(VLOOKUP(U67,'Incoming Material Report'!A:Z,8,FALSE),"")</f>
        <v/>
      </c>
      <c r="AZ67" t="str">
        <f>_xlfn.IFNA(VLOOKUP(U67,'GRPO Wiz Individual'!AP:BT,17,FALSE),"")</f>
        <v/>
      </c>
      <c r="BA67" t="str">
        <f>_xlfn.IFNA(VLOOKUP(U67,'GRPO Wiz Individual'!AP:BT,18,FALSE),"")</f>
        <v/>
      </c>
      <c r="BB67" t="str">
        <f>_xlfn.IFNA(VLOOKUP(U67,'GRPO Wiz Individual'!AP:BT,19,FALSE),"")</f>
        <v/>
      </c>
      <c r="BC67" t="str">
        <f>_xlfn.IFNA(VLOOKUP(U67,'GRPO Wiz Individual'!AP:BT,20,FALSE),"")</f>
        <v/>
      </c>
      <c r="BD67" t="str">
        <f>_xlfn.IFNA(VLOOKUP(U67,'GRPO Wiz Individual'!AP:BT,21,FALSE),"")</f>
        <v/>
      </c>
      <c r="BE67" t="str">
        <f>_xlfn.IFNA((VLOOKUP(U67,'GRPO Wiz Individual'!AP:BT,22,FALSE)),"")</f>
        <v/>
      </c>
      <c r="BF67" t="str">
        <f>_xlfn.IFNA(VLOOKUP(U67,'GRPO Wiz Individual'!AP:BT,26,FALSE),"")</f>
        <v/>
      </c>
      <c r="BG67" t="str">
        <f>_xlfn.IFNA(VLOOKUP(U67,'GRPO Wiz Individual'!AP:BQ,28,FALSE),"")</f>
        <v/>
      </c>
      <c r="BH67" t="str">
        <f>_xlfn.IFNA(VLOOKUP(U67,'GRPO Wiz Individual'!AP:BN,25,FALSE),"")</f>
        <v/>
      </c>
      <c r="BI67" t="str">
        <f>_xlfn.IFNA(VLOOKUP(U67,'GRPO Wiz Individual'!AP:BT,31,FALSE),"")</f>
        <v/>
      </c>
      <c r="BJ67" t="str">
        <f>_xlfn.IFNA(VLOOKUP(U67,'GRPO Wiz Individual'!AP:BZ,32,FALSE),"")</f>
        <v/>
      </c>
      <c r="BK67" t="str">
        <f>_xlfn.IFNA(VLOOKUP(U67,'GRPO Wiz Individual'!AP:BZ,27,FALSE),"")</f>
        <v/>
      </c>
      <c r="BL67" t="str">
        <f>_xlfn.IFNA(VALUE(VLOOKUP(U67,'GRPO Wiz Individual'!AP:BZ,29,FALSE)),"")</f>
        <v/>
      </c>
      <c r="BM67" t="str">
        <f>_xlfn.IFNA(VLOOKUP(U67,'GRPO Wiz Individual'!AP:BZ,33,FALSE),"")</f>
        <v/>
      </c>
    </row>
    <row r="68" spans="2:65" x14ac:dyDescent="0.25">
      <c r="B68" t="str">
        <f t="shared" ref="B68:B112" si="4">IF(O68&lt;&gt;"",B67+1,"")</f>
        <v/>
      </c>
      <c r="J68" s="43" t="str">
        <f t="shared" si="2"/>
        <v/>
      </c>
      <c r="X68" t="str">
        <f t="shared" si="3"/>
        <v/>
      </c>
      <c r="AG68" t="str">
        <f>_xlfn.IFNA(VLOOKUP(U68,'Incoming Material Report'!A:M,13,FALSE),"")</f>
        <v/>
      </c>
      <c r="AH68" t="str">
        <f>_xlfn.IFNA(IF(VLOOKUP(U68,'Incoming Material Report'!A:N,14,FALSE)="","",VLOOKUP(U68,'Incoming Material Report'!A:N,14,FALSE)),"")</f>
        <v/>
      </c>
      <c r="AI68" t="str">
        <f>_xlfn.IFNA(VLOOKUP(U68,'Incoming Material Report'!A:Z,24,FALSE),"")</f>
        <v/>
      </c>
      <c r="AJ68" t="str">
        <f>_xlfn.IFNA(VLOOKUP(U68,'Incoming Material Report'!A:Z,25,FALSE),"")</f>
        <v/>
      </c>
      <c r="AK68" t="str">
        <f>_xlfn.IFNA(VLOOKUP(U68,'Incoming Material Report'!A:Z,26,FALSE),"")</f>
        <v/>
      </c>
      <c r="AL68" t="str">
        <f>_xlfn.IFNA(VLOOKUP(U68,'Incoming Material Report'!A:Z,2,FALSE),"")</f>
        <v/>
      </c>
      <c r="AM68" s="54" t="str">
        <f>_xlfn.IFNA(VLOOKUP(U68,'Incoming Material Report'!A:K,11,FALSE)/1000,"")</f>
        <v/>
      </c>
      <c r="AN68" s="54"/>
      <c r="AO68" s="54" t="str">
        <f>_xlfn.IFNA(VLOOKUP(U68,'Incoming Material Report'!A:R,18,FALSE)*1000,"")</f>
        <v/>
      </c>
      <c r="AP68" s="54"/>
      <c r="AQ68" s="54" t="str">
        <f>_xlfn.IFNA(TEXT(VLOOKUP(U68,'Incoming Material Report'!A:D,4,FALSE),"dd.mm.yy"),"")</f>
        <v/>
      </c>
      <c r="AR68" s="54" t="str">
        <f>_xlfn.IFNA(VLOOKUP(U68,'Incoming Material Report'!A:Z,5,FALSE),"")</f>
        <v/>
      </c>
      <c r="AS68" s="54"/>
      <c r="AT68" s="54" t="str">
        <f>_xlfn.IFNA(VLOOKUP(U68,'Incoming Material Report'!A:Z,6,FALSE),"")</f>
        <v/>
      </c>
      <c r="AU68" s="54" t="str">
        <f>_xlfn.IFNA(VLOOKUP(U68,'Incoming Material Report'!A:Z,8,FALSE),"")</f>
        <v/>
      </c>
      <c r="AZ68" t="str">
        <f>_xlfn.IFNA(VLOOKUP(U68,'GRPO Wiz Individual'!AP:BT,17,FALSE),"")</f>
        <v/>
      </c>
      <c r="BA68" t="str">
        <f>_xlfn.IFNA(VLOOKUP(U68,'GRPO Wiz Individual'!AP:BT,18,FALSE),"")</f>
        <v/>
      </c>
      <c r="BB68" t="str">
        <f>_xlfn.IFNA(VLOOKUP(U68,'GRPO Wiz Individual'!AP:BT,19,FALSE),"")</f>
        <v/>
      </c>
      <c r="BC68" t="str">
        <f>_xlfn.IFNA(VLOOKUP(U68,'GRPO Wiz Individual'!AP:BT,20,FALSE),"")</f>
        <v/>
      </c>
      <c r="BD68" t="str">
        <f>_xlfn.IFNA(VLOOKUP(U68,'GRPO Wiz Individual'!AP:BT,21,FALSE),"")</f>
        <v/>
      </c>
      <c r="BE68" t="str">
        <f>_xlfn.IFNA((VLOOKUP(U68,'GRPO Wiz Individual'!AP:BT,22,FALSE)),"")</f>
        <v/>
      </c>
      <c r="BF68" t="str">
        <f>_xlfn.IFNA(VLOOKUP(U68,'GRPO Wiz Individual'!AP:BT,26,FALSE),"")</f>
        <v/>
      </c>
      <c r="BG68" t="str">
        <f>_xlfn.IFNA(VLOOKUP(U68,'GRPO Wiz Individual'!AP:BQ,28,FALSE),"")</f>
        <v/>
      </c>
      <c r="BH68" t="str">
        <f>_xlfn.IFNA(VLOOKUP(U68,'GRPO Wiz Individual'!AP:BN,25,FALSE),"")</f>
        <v/>
      </c>
      <c r="BI68" t="str">
        <f>_xlfn.IFNA(VLOOKUP(U68,'GRPO Wiz Individual'!AP:BT,31,FALSE),"")</f>
        <v/>
      </c>
      <c r="BJ68" t="str">
        <f>_xlfn.IFNA(VLOOKUP(U68,'GRPO Wiz Individual'!AP:BZ,32,FALSE),"")</f>
        <v/>
      </c>
      <c r="BK68" t="str">
        <f>_xlfn.IFNA(VLOOKUP(U68,'GRPO Wiz Individual'!AP:BZ,27,FALSE),"")</f>
        <v/>
      </c>
      <c r="BL68" t="str">
        <f>_xlfn.IFNA(VALUE(VLOOKUP(U68,'GRPO Wiz Individual'!AP:BZ,29,FALSE)),"")</f>
        <v/>
      </c>
      <c r="BM68" t="str">
        <f>_xlfn.IFNA(VLOOKUP(U68,'GRPO Wiz Individual'!AP:BZ,33,FALSE),"")</f>
        <v/>
      </c>
    </row>
    <row r="69" spans="2:65" x14ac:dyDescent="0.25">
      <c r="B69" t="str">
        <f t="shared" si="4"/>
        <v/>
      </c>
      <c r="J69" s="43" t="str">
        <f t="shared" ref="J69:J112" si="5">IF(O69&lt;&gt;"",ROUND(ROUND(I69,1)*H69,2),"")</f>
        <v/>
      </c>
      <c r="X69" t="str">
        <f t="shared" si="3"/>
        <v/>
      </c>
      <c r="AG69" t="str">
        <f>_xlfn.IFNA(VLOOKUP(U69,'Incoming Material Report'!A:M,13,FALSE),"")</f>
        <v/>
      </c>
      <c r="AH69" t="str">
        <f>_xlfn.IFNA(IF(VLOOKUP(U69,'Incoming Material Report'!A:N,14,FALSE)="","",VLOOKUP(U69,'Incoming Material Report'!A:N,14,FALSE)),"")</f>
        <v/>
      </c>
      <c r="AI69" t="str">
        <f>_xlfn.IFNA(VLOOKUP(U69,'Incoming Material Report'!A:Z,24,FALSE),"")</f>
        <v/>
      </c>
      <c r="AJ69" t="str">
        <f>_xlfn.IFNA(VLOOKUP(U69,'Incoming Material Report'!A:Z,25,FALSE),"")</f>
        <v/>
      </c>
      <c r="AK69" t="str">
        <f>_xlfn.IFNA(VLOOKUP(U69,'Incoming Material Report'!A:Z,26,FALSE),"")</f>
        <v/>
      </c>
      <c r="AL69" t="str">
        <f>_xlfn.IFNA(VLOOKUP(U69,'Incoming Material Report'!A:Z,2,FALSE),"")</f>
        <v/>
      </c>
      <c r="AM69" s="54" t="str">
        <f>_xlfn.IFNA(VLOOKUP(U69,'Incoming Material Report'!A:K,11,FALSE)/1000,"")</f>
        <v/>
      </c>
      <c r="AN69" s="54"/>
      <c r="AO69" s="54" t="str">
        <f>_xlfn.IFNA(VLOOKUP(U69,'Incoming Material Report'!A:R,18,FALSE)*1000,"")</f>
        <v/>
      </c>
      <c r="AP69" s="54"/>
      <c r="AQ69" s="54" t="str">
        <f>_xlfn.IFNA(TEXT(VLOOKUP(U69,'Incoming Material Report'!A:D,4,FALSE),"dd.mm.yy"),"")</f>
        <v/>
      </c>
      <c r="AR69" s="54" t="str">
        <f>_xlfn.IFNA(VLOOKUP(U69,'Incoming Material Report'!A:Z,5,FALSE),"")</f>
        <v/>
      </c>
      <c r="AS69" s="54"/>
      <c r="AT69" s="54" t="str">
        <f>_xlfn.IFNA(VLOOKUP(U69,'Incoming Material Report'!A:Z,6,FALSE),"")</f>
        <v/>
      </c>
      <c r="AU69" s="54" t="str">
        <f>_xlfn.IFNA(VLOOKUP(U69,'Incoming Material Report'!A:Z,8,FALSE),"")</f>
        <v/>
      </c>
      <c r="AZ69" t="str">
        <f>_xlfn.IFNA(VLOOKUP(U69,'GRPO Wiz Individual'!AP:BT,17,FALSE),"")</f>
        <v/>
      </c>
      <c r="BA69" t="str">
        <f>_xlfn.IFNA(VLOOKUP(U69,'GRPO Wiz Individual'!AP:BT,18,FALSE),"")</f>
        <v/>
      </c>
      <c r="BB69" t="str">
        <f>_xlfn.IFNA(VLOOKUP(U69,'GRPO Wiz Individual'!AP:BT,19,FALSE),"")</f>
        <v/>
      </c>
      <c r="BC69" t="str">
        <f>_xlfn.IFNA(VLOOKUP(U69,'GRPO Wiz Individual'!AP:BT,20,FALSE),"")</f>
        <v/>
      </c>
      <c r="BD69" t="str">
        <f>_xlfn.IFNA(VLOOKUP(U69,'GRPO Wiz Individual'!AP:BT,21,FALSE),"")</f>
        <v/>
      </c>
      <c r="BE69" t="str">
        <f>_xlfn.IFNA((VLOOKUP(U69,'GRPO Wiz Individual'!AP:BT,22,FALSE)),"")</f>
        <v/>
      </c>
      <c r="BF69" t="str">
        <f>_xlfn.IFNA(VLOOKUP(U69,'GRPO Wiz Individual'!AP:BT,26,FALSE),"")</f>
        <v/>
      </c>
      <c r="BG69" t="str">
        <f>_xlfn.IFNA(VLOOKUP(U69,'GRPO Wiz Individual'!AP:BQ,28,FALSE),"")</f>
        <v/>
      </c>
      <c r="BH69" t="str">
        <f>_xlfn.IFNA(VLOOKUP(U69,'GRPO Wiz Individual'!AP:BN,25,FALSE),"")</f>
        <v/>
      </c>
      <c r="BI69" t="str">
        <f>_xlfn.IFNA(VLOOKUP(U69,'GRPO Wiz Individual'!AP:BT,31,FALSE),"")</f>
        <v/>
      </c>
      <c r="BJ69" t="str">
        <f>_xlfn.IFNA(VLOOKUP(U69,'GRPO Wiz Individual'!AP:BZ,32,FALSE),"")</f>
        <v/>
      </c>
      <c r="BK69" t="str">
        <f>_xlfn.IFNA(VLOOKUP(U69,'GRPO Wiz Individual'!AP:BZ,27,FALSE),"")</f>
        <v/>
      </c>
      <c r="BL69" t="str">
        <f>_xlfn.IFNA(VALUE(VLOOKUP(U69,'GRPO Wiz Individual'!AP:BZ,29,FALSE)),"")</f>
        <v/>
      </c>
      <c r="BM69" t="str">
        <f>_xlfn.IFNA(VLOOKUP(U69,'GRPO Wiz Individual'!AP:BZ,33,FALSE),"")</f>
        <v/>
      </c>
    </row>
    <row r="70" spans="2:65" x14ac:dyDescent="0.25">
      <c r="B70" t="str">
        <f t="shared" si="4"/>
        <v/>
      </c>
      <c r="J70" s="43" t="str">
        <f t="shared" si="5"/>
        <v/>
      </c>
      <c r="X70" t="str">
        <f t="shared" si="3"/>
        <v/>
      </c>
      <c r="AG70" t="str">
        <f>_xlfn.IFNA(VLOOKUP(U70,'Incoming Material Report'!A:M,13,FALSE),"")</f>
        <v/>
      </c>
      <c r="AH70" t="str">
        <f>_xlfn.IFNA(IF(VLOOKUP(U70,'Incoming Material Report'!A:N,14,FALSE)="","",VLOOKUP(U70,'Incoming Material Report'!A:N,14,FALSE)),"")</f>
        <v/>
      </c>
      <c r="AI70" t="str">
        <f>_xlfn.IFNA(VLOOKUP(U70,'Incoming Material Report'!A:Z,24,FALSE),"")</f>
        <v/>
      </c>
      <c r="AJ70" t="str">
        <f>_xlfn.IFNA(VLOOKUP(U70,'Incoming Material Report'!A:Z,25,FALSE),"")</f>
        <v/>
      </c>
      <c r="AK70" t="str">
        <f>_xlfn.IFNA(VLOOKUP(U70,'Incoming Material Report'!A:Z,26,FALSE),"")</f>
        <v/>
      </c>
      <c r="AL70" t="str">
        <f>_xlfn.IFNA(VLOOKUP(U70,'Incoming Material Report'!A:Z,2,FALSE),"")</f>
        <v/>
      </c>
      <c r="AM70" s="54" t="str">
        <f>_xlfn.IFNA(VLOOKUP(U70,'Incoming Material Report'!A:K,11,FALSE)/1000,"")</f>
        <v/>
      </c>
      <c r="AN70" s="54"/>
      <c r="AO70" s="54" t="str">
        <f>_xlfn.IFNA(VLOOKUP(U70,'Incoming Material Report'!A:R,18,FALSE)*1000,"")</f>
        <v/>
      </c>
      <c r="AP70" s="54"/>
      <c r="AQ70" s="54" t="str">
        <f>_xlfn.IFNA(TEXT(VLOOKUP(U70,'Incoming Material Report'!A:D,4,FALSE),"dd.mm.yy"),"")</f>
        <v/>
      </c>
      <c r="AR70" s="54" t="str">
        <f>_xlfn.IFNA(VLOOKUP(U70,'Incoming Material Report'!A:Z,5,FALSE),"")</f>
        <v/>
      </c>
      <c r="AS70" s="54"/>
      <c r="AT70" s="54" t="str">
        <f>_xlfn.IFNA(VLOOKUP(U70,'Incoming Material Report'!A:Z,6,FALSE),"")</f>
        <v/>
      </c>
      <c r="AU70" s="54" t="str">
        <f>_xlfn.IFNA(VLOOKUP(U70,'Incoming Material Report'!A:Z,8,FALSE),"")</f>
        <v/>
      </c>
      <c r="AZ70" t="str">
        <f>_xlfn.IFNA(VLOOKUP(U70,'GRPO Wiz Individual'!AP:BT,17,FALSE),"")</f>
        <v/>
      </c>
      <c r="BA70" t="str">
        <f>_xlfn.IFNA(VLOOKUP(U70,'GRPO Wiz Individual'!AP:BT,18,FALSE),"")</f>
        <v/>
      </c>
      <c r="BB70" t="str">
        <f>_xlfn.IFNA(VLOOKUP(U70,'GRPO Wiz Individual'!AP:BT,19,FALSE),"")</f>
        <v/>
      </c>
      <c r="BC70" t="str">
        <f>_xlfn.IFNA(VLOOKUP(U70,'GRPO Wiz Individual'!AP:BT,20,FALSE),"")</f>
        <v/>
      </c>
      <c r="BD70" t="str">
        <f>_xlfn.IFNA(VLOOKUP(U70,'GRPO Wiz Individual'!AP:BT,21,FALSE),"")</f>
        <v/>
      </c>
      <c r="BE70" t="str">
        <f>_xlfn.IFNA((VLOOKUP(U70,'GRPO Wiz Individual'!AP:BT,22,FALSE)),"")</f>
        <v/>
      </c>
      <c r="BF70" t="str">
        <f>_xlfn.IFNA(VLOOKUP(U70,'GRPO Wiz Individual'!AP:BT,26,FALSE),"")</f>
        <v/>
      </c>
      <c r="BG70" t="str">
        <f>_xlfn.IFNA(VLOOKUP(U70,'GRPO Wiz Individual'!AP:BQ,28,FALSE),"")</f>
        <v/>
      </c>
      <c r="BH70" t="str">
        <f>_xlfn.IFNA(VLOOKUP(U70,'GRPO Wiz Individual'!AP:BN,25,FALSE),"")</f>
        <v/>
      </c>
      <c r="BI70" t="str">
        <f>_xlfn.IFNA(VLOOKUP(U70,'GRPO Wiz Individual'!AP:BT,31,FALSE),"")</f>
        <v/>
      </c>
      <c r="BJ70" t="str">
        <f>_xlfn.IFNA(VLOOKUP(U70,'GRPO Wiz Individual'!AP:BZ,32,FALSE),"")</f>
        <v/>
      </c>
      <c r="BK70" t="str">
        <f>_xlfn.IFNA(VLOOKUP(U70,'GRPO Wiz Individual'!AP:BZ,27,FALSE),"")</f>
        <v/>
      </c>
      <c r="BL70" t="str">
        <f>_xlfn.IFNA(VALUE(VLOOKUP(U70,'GRPO Wiz Individual'!AP:BZ,29,FALSE)),"")</f>
        <v/>
      </c>
      <c r="BM70" t="str">
        <f>_xlfn.IFNA(VLOOKUP(U70,'GRPO Wiz Individual'!AP:BZ,33,FALSE),"")</f>
        <v/>
      </c>
    </row>
    <row r="71" spans="2:65" x14ac:dyDescent="0.25">
      <c r="B71" t="str">
        <f t="shared" si="4"/>
        <v/>
      </c>
      <c r="J71" s="43" t="str">
        <f t="shared" si="5"/>
        <v/>
      </c>
      <c r="X71" t="str">
        <f t="shared" si="3"/>
        <v/>
      </c>
      <c r="AG71" t="str">
        <f>_xlfn.IFNA(VLOOKUP(U71,'Incoming Material Report'!A:M,13,FALSE),"")</f>
        <v/>
      </c>
      <c r="AH71" t="str">
        <f>_xlfn.IFNA(IF(VLOOKUP(U71,'Incoming Material Report'!A:N,14,FALSE)="","",VLOOKUP(U71,'Incoming Material Report'!A:N,14,FALSE)),"")</f>
        <v/>
      </c>
      <c r="AI71" t="str">
        <f>_xlfn.IFNA(VLOOKUP(U71,'Incoming Material Report'!A:Z,24,FALSE),"")</f>
        <v/>
      </c>
      <c r="AJ71" t="str">
        <f>_xlfn.IFNA(VLOOKUP(U71,'Incoming Material Report'!A:Z,25,FALSE),"")</f>
        <v/>
      </c>
      <c r="AK71" t="str">
        <f>_xlfn.IFNA(VLOOKUP(U71,'Incoming Material Report'!A:Z,26,FALSE),"")</f>
        <v/>
      </c>
      <c r="AL71" t="str">
        <f>_xlfn.IFNA(VLOOKUP(U71,'Incoming Material Report'!A:Z,2,FALSE),"")</f>
        <v/>
      </c>
      <c r="AM71" s="54" t="str">
        <f>_xlfn.IFNA(VLOOKUP(U71,'Incoming Material Report'!A:K,11,FALSE)/1000,"")</f>
        <v/>
      </c>
      <c r="AN71" s="54"/>
      <c r="AO71" s="54" t="str">
        <f>_xlfn.IFNA(VLOOKUP(U71,'Incoming Material Report'!A:R,18,FALSE)*1000,"")</f>
        <v/>
      </c>
      <c r="AP71" s="54"/>
      <c r="AQ71" s="54" t="str">
        <f>_xlfn.IFNA(TEXT(VLOOKUP(U71,'Incoming Material Report'!A:D,4,FALSE),"dd.mm.yy"),"")</f>
        <v/>
      </c>
      <c r="AR71" s="54" t="str">
        <f>_xlfn.IFNA(VLOOKUP(U71,'Incoming Material Report'!A:Z,5,FALSE),"")</f>
        <v/>
      </c>
      <c r="AS71" s="54"/>
      <c r="AT71" s="54" t="str">
        <f>_xlfn.IFNA(VLOOKUP(U71,'Incoming Material Report'!A:Z,6,FALSE),"")</f>
        <v/>
      </c>
      <c r="AU71" s="54" t="str">
        <f>_xlfn.IFNA(VLOOKUP(U71,'Incoming Material Report'!A:Z,8,FALSE),"")</f>
        <v/>
      </c>
      <c r="AZ71" t="str">
        <f>_xlfn.IFNA(VLOOKUP(U71,'GRPO Wiz Individual'!AP:BT,17,FALSE),"")</f>
        <v/>
      </c>
      <c r="BA71" t="str">
        <f>_xlfn.IFNA(VLOOKUP(U71,'GRPO Wiz Individual'!AP:BT,18,FALSE),"")</f>
        <v/>
      </c>
      <c r="BB71" t="str">
        <f>_xlfn.IFNA(VLOOKUP(U71,'GRPO Wiz Individual'!AP:BT,19,FALSE),"")</f>
        <v/>
      </c>
      <c r="BC71" t="str">
        <f>_xlfn.IFNA(VLOOKUP(U71,'GRPO Wiz Individual'!AP:BT,20,FALSE),"")</f>
        <v/>
      </c>
      <c r="BD71" t="str">
        <f>_xlfn.IFNA(VLOOKUP(U71,'GRPO Wiz Individual'!AP:BT,21,FALSE),"")</f>
        <v/>
      </c>
      <c r="BE71" t="str">
        <f>_xlfn.IFNA((VLOOKUP(U71,'GRPO Wiz Individual'!AP:BT,22,FALSE)),"")</f>
        <v/>
      </c>
      <c r="BF71" t="str">
        <f>_xlfn.IFNA(VLOOKUP(U71,'GRPO Wiz Individual'!AP:BT,26,FALSE),"")</f>
        <v/>
      </c>
      <c r="BG71" t="str">
        <f>_xlfn.IFNA(VLOOKUP(U71,'GRPO Wiz Individual'!AP:BQ,28,FALSE),"")</f>
        <v/>
      </c>
      <c r="BH71" t="str">
        <f>_xlfn.IFNA(VLOOKUP(U71,'GRPO Wiz Individual'!AP:BN,25,FALSE),"")</f>
        <v/>
      </c>
      <c r="BI71" t="str">
        <f>_xlfn.IFNA(VLOOKUP(U71,'GRPO Wiz Individual'!AP:BT,31,FALSE),"")</f>
        <v/>
      </c>
      <c r="BJ71" t="str">
        <f>_xlfn.IFNA(VLOOKUP(U71,'GRPO Wiz Individual'!AP:BZ,32,FALSE),"")</f>
        <v/>
      </c>
      <c r="BK71" t="str">
        <f>_xlfn.IFNA(VLOOKUP(U71,'GRPO Wiz Individual'!AP:BZ,27,FALSE),"")</f>
        <v/>
      </c>
      <c r="BL71" t="str">
        <f>_xlfn.IFNA(VALUE(VLOOKUP(U71,'GRPO Wiz Individual'!AP:BZ,29,FALSE)),"")</f>
        <v/>
      </c>
      <c r="BM71" t="str">
        <f>_xlfn.IFNA(VLOOKUP(U71,'GRPO Wiz Individual'!AP:BZ,33,FALSE),"")</f>
        <v/>
      </c>
    </row>
    <row r="72" spans="2:65" x14ac:dyDescent="0.25">
      <c r="B72" t="str">
        <f t="shared" si="4"/>
        <v/>
      </c>
      <c r="J72" s="43" t="str">
        <f t="shared" si="5"/>
        <v/>
      </c>
      <c r="X72" t="str">
        <f t="shared" si="3"/>
        <v/>
      </c>
      <c r="AG72" t="str">
        <f>_xlfn.IFNA(VLOOKUP(U72,'Incoming Material Report'!A:M,13,FALSE),"")</f>
        <v/>
      </c>
      <c r="AH72" t="str">
        <f>_xlfn.IFNA(IF(VLOOKUP(U72,'Incoming Material Report'!A:N,14,FALSE)="","",VLOOKUP(U72,'Incoming Material Report'!A:N,14,FALSE)),"")</f>
        <v/>
      </c>
      <c r="AI72" t="str">
        <f>_xlfn.IFNA(VLOOKUP(U72,'Incoming Material Report'!A:Z,24,FALSE),"")</f>
        <v/>
      </c>
      <c r="AJ72" t="str">
        <f>_xlfn.IFNA(VLOOKUP(U72,'Incoming Material Report'!A:Z,25,FALSE),"")</f>
        <v/>
      </c>
      <c r="AK72" t="str">
        <f>_xlfn.IFNA(VLOOKUP(U72,'Incoming Material Report'!A:Z,26,FALSE),"")</f>
        <v/>
      </c>
      <c r="AL72" t="str">
        <f>_xlfn.IFNA(VLOOKUP(U72,'Incoming Material Report'!A:Z,2,FALSE),"")</f>
        <v/>
      </c>
      <c r="AM72" s="54" t="str">
        <f>_xlfn.IFNA(VLOOKUP(U72,'Incoming Material Report'!A:K,11,FALSE)/1000,"")</f>
        <v/>
      </c>
      <c r="AN72" s="54"/>
      <c r="AO72" s="54" t="str">
        <f>_xlfn.IFNA(VLOOKUP(U72,'Incoming Material Report'!A:R,18,FALSE)*1000,"")</f>
        <v/>
      </c>
      <c r="AP72" s="54"/>
      <c r="AQ72" s="54" t="str">
        <f>_xlfn.IFNA(TEXT(VLOOKUP(U72,'Incoming Material Report'!A:D,4,FALSE),"dd.mm.yy"),"")</f>
        <v/>
      </c>
      <c r="AR72" s="54" t="str">
        <f>_xlfn.IFNA(VLOOKUP(U72,'Incoming Material Report'!A:Z,5,FALSE),"")</f>
        <v/>
      </c>
      <c r="AS72" s="54"/>
      <c r="AT72" s="54" t="str">
        <f>_xlfn.IFNA(VLOOKUP(U72,'Incoming Material Report'!A:Z,6,FALSE),"")</f>
        <v/>
      </c>
      <c r="AU72" s="54" t="str">
        <f>_xlfn.IFNA(VLOOKUP(U72,'Incoming Material Report'!A:Z,8,FALSE),"")</f>
        <v/>
      </c>
      <c r="AZ72" t="str">
        <f>_xlfn.IFNA(VLOOKUP(U72,'GRPO Wiz Individual'!AP:BT,17,FALSE),"")</f>
        <v/>
      </c>
      <c r="BA72" t="str">
        <f>_xlfn.IFNA(VLOOKUP(U72,'GRPO Wiz Individual'!AP:BT,18,FALSE),"")</f>
        <v/>
      </c>
      <c r="BB72" t="str">
        <f>_xlfn.IFNA(VLOOKUP(U72,'GRPO Wiz Individual'!AP:BT,19,FALSE),"")</f>
        <v/>
      </c>
      <c r="BC72" t="str">
        <f>_xlfn.IFNA(VLOOKUP(U72,'GRPO Wiz Individual'!AP:BT,20,FALSE),"")</f>
        <v/>
      </c>
      <c r="BD72" t="str">
        <f>_xlfn.IFNA(VLOOKUP(U72,'GRPO Wiz Individual'!AP:BT,21,FALSE),"")</f>
        <v/>
      </c>
      <c r="BE72" t="str">
        <f>_xlfn.IFNA((VLOOKUP(U72,'GRPO Wiz Individual'!AP:BT,22,FALSE)),"")</f>
        <v/>
      </c>
      <c r="BF72" t="str">
        <f>_xlfn.IFNA(VLOOKUP(U72,'GRPO Wiz Individual'!AP:BT,26,FALSE),"")</f>
        <v/>
      </c>
      <c r="BG72" t="str">
        <f>_xlfn.IFNA(VLOOKUP(U72,'GRPO Wiz Individual'!AP:BQ,28,FALSE),"")</f>
        <v/>
      </c>
      <c r="BH72" t="str">
        <f>_xlfn.IFNA(VLOOKUP(U72,'GRPO Wiz Individual'!AP:BN,25,FALSE),"")</f>
        <v/>
      </c>
      <c r="BI72" t="str">
        <f>_xlfn.IFNA(VLOOKUP(U72,'GRPO Wiz Individual'!AP:BT,31,FALSE),"")</f>
        <v/>
      </c>
      <c r="BJ72" t="str">
        <f>_xlfn.IFNA(VLOOKUP(U72,'GRPO Wiz Individual'!AP:BZ,32,FALSE),"")</f>
        <v/>
      </c>
      <c r="BK72" t="str">
        <f>_xlfn.IFNA(VLOOKUP(U72,'GRPO Wiz Individual'!AP:BZ,27,FALSE),"")</f>
        <v/>
      </c>
      <c r="BL72" t="str">
        <f>_xlfn.IFNA(VALUE(VLOOKUP(U72,'GRPO Wiz Individual'!AP:BZ,29,FALSE)),"")</f>
        <v/>
      </c>
      <c r="BM72" t="str">
        <f>_xlfn.IFNA(VLOOKUP(U72,'GRPO Wiz Individual'!AP:BZ,33,FALSE),"")</f>
        <v/>
      </c>
    </row>
    <row r="73" spans="2:65" x14ac:dyDescent="0.25">
      <c r="B73" t="str">
        <f t="shared" si="4"/>
        <v/>
      </c>
      <c r="J73" s="43" t="str">
        <f t="shared" si="5"/>
        <v/>
      </c>
      <c r="X73" t="str">
        <f t="shared" si="3"/>
        <v/>
      </c>
      <c r="AG73" t="str">
        <f>_xlfn.IFNA(VLOOKUP(U73,'Incoming Material Report'!A:M,13,FALSE),"")</f>
        <v/>
      </c>
      <c r="AH73" t="str">
        <f>_xlfn.IFNA(IF(VLOOKUP(U73,'Incoming Material Report'!A:N,14,FALSE)="","",VLOOKUP(U73,'Incoming Material Report'!A:N,14,FALSE)),"")</f>
        <v/>
      </c>
      <c r="AI73" t="str">
        <f>_xlfn.IFNA(VLOOKUP(U73,'Incoming Material Report'!A:Z,24,FALSE),"")</f>
        <v/>
      </c>
      <c r="AJ73" t="str">
        <f>_xlfn.IFNA(VLOOKUP(U73,'Incoming Material Report'!A:Z,25,FALSE),"")</f>
        <v/>
      </c>
      <c r="AK73" t="str">
        <f>_xlfn.IFNA(VLOOKUP(U73,'Incoming Material Report'!A:Z,26,FALSE),"")</f>
        <v/>
      </c>
      <c r="AL73" t="str">
        <f>_xlfn.IFNA(VLOOKUP(U73,'Incoming Material Report'!A:Z,2,FALSE),"")</f>
        <v/>
      </c>
      <c r="AM73" s="54" t="str">
        <f>_xlfn.IFNA(VLOOKUP(U73,'Incoming Material Report'!A:K,11,FALSE)/1000,"")</f>
        <v/>
      </c>
      <c r="AN73" s="54"/>
      <c r="AO73" s="54" t="str">
        <f>_xlfn.IFNA(VLOOKUP(U73,'Incoming Material Report'!A:R,18,FALSE)*1000,"")</f>
        <v/>
      </c>
      <c r="AP73" s="54"/>
      <c r="AQ73" s="54" t="str">
        <f>_xlfn.IFNA(TEXT(VLOOKUP(U73,'Incoming Material Report'!A:D,4,FALSE),"dd.mm.yy"),"")</f>
        <v/>
      </c>
      <c r="AR73" s="54" t="str">
        <f>_xlfn.IFNA(VLOOKUP(U73,'Incoming Material Report'!A:Z,5,FALSE),"")</f>
        <v/>
      </c>
      <c r="AS73" s="54"/>
      <c r="AT73" s="54" t="str">
        <f>_xlfn.IFNA(VLOOKUP(U73,'Incoming Material Report'!A:Z,6,FALSE),"")</f>
        <v/>
      </c>
      <c r="AU73" s="54" t="str">
        <f>_xlfn.IFNA(VLOOKUP(U73,'Incoming Material Report'!A:Z,8,FALSE),"")</f>
        <v/>
      </c>
      <c r="AZ73" t="str">
        <f>_xlfn.IFNA(VLOOKUP(U73,'GRPO Wiz Individual'!AP:BT,17,FALSE),"")</f>
        <v/>
      </c>
      <c r="BA73" t="str">
        <f>_xlfn.IFNA(VLOOKUP(U73,'GRPO Wiz Individual'!AP:BT,18,FALSE),"")</f>
        <v/>
      </c>
      <c r="BB73" t="str">
        <f>_xlfn.IFNA(VLOOKUP(U73,'GRPO Wiz Individual'!AP:BT,19,FALSE),"")</f>
        <v/>
      </c>
      <c r="BC73" t="str">
        <f>_xlfn.IFNA(VLOOKUP(U73,'GRPO Wiz Individual'!AP:BT,20,FALSE),"")</f>
        <v/>
      </c>
      <c r="BD73" t="str">
        <f>_xlfn.IFNA(VLOOKUP(U73,'GRPO Wiz Individual'!AP:BT,21,FALSE),"")</f>
        <v/>
      </c>
      <c r="BE73" t="str">
        <f>_xlfn.IFNA((VLOOKUP(U73,'GRPO Wiz Individual'!AP:BT,22,FALSE)),"")</f>
        <v/>
      </c>
      <c r="BF73" t="str">
        <f>_xlfn.IFNA(VLOOKUP(U73,'GRPO Wiz Individual'!AP:BT,26,FALSE),"")</f>
        <v/>
      </c>
      <c r="BG73" t="str">
        <f>_xlfn.IFNA(VLOOKUP(U73,'GRPO Wiz Individual'!AP:BQ,28,FALSE),"")</f>
        <v/>
      </c>
      <c r="BH73" t="str">
        <f>_xlfn.IFNA(VLOOKUP(U73,'GRPO Wiz Individual'!AP:BN,25,FALSE),"")</f>
        <v/>
      </c>
      <c r="BI73" t="str">
        <f>_xlfn.IFNA(VLOOKUP(U73,'GRPO Wiz Individual'!AP:BT,31,FALSE),"")</f>
        <v/>
      </c>
      <c r="BJ73" t="str">
        <f>_xlfn.IFNA(VLOOKUP(U73,'GRPO Wiz Individual'!AP:BZ,32,FALSE),"")</f>
        <v/>
      </c>
      <c r="BK73" t="str">
        <f>_xlfn.IFNA(VLOOKUP(U73,'GRPO Wiz Individual'!AP:BZ,27,FALSE),"")</f>
        <v/>
      </c>
      <c r="BL73" t="str">
        <f>_xlfn.IFNA(VALUE(VLOOKUP(U73,'GRPO Wiz Individual'!AP:BZ,29,FALSE)),"")</f>
        <v/>
      </c>
      <c r="BM73" t="str">
        <f>_xlfn.IFNA(VLOOKUP(U73,'GRPO Wiz Individual'!AP:BZ,33,FALSE),"")</f>
        <v/>
      </c>
    </row>
    <row r="74" spans="2:65" x14ac:dyDescent="0.25">
      <c r="B74" t="str">
        <f t="shared" si="4"/>
        <v/>
      </c>
      <c r="J74" s="43" t="str">
        <f t="shared" si="5"/>
        <v/>
      </c>
      <c r="X74" t="str">
        <f t="shared" si="3"/>
        <v/>
      </c>
      <c r="AG74" t="str">
        <f>_xlfn.IFNA(VLOOKUP(U74,'Incoming Material Report'!A:M,13,FALSE),"")</f>
        <v/>
      </c>
      <c r="AH74" t="str">
        <f>_xlfn.IFNA(IF(VLOOKUP(U74,'Incoming Material Report'!A:N,14,FALSE)="","",VLOOKUP(U74,'Incoming Material Report'!A:N,14,FALSE)),"")</f>
        <v/>
      </c>
      <c r="AI74" t="str">
        <f>_xlfn.IFNA(VLOOKUP(U74,'Incoming Material Report'!A:Z,24,FALSE),"")</f>
        <v/>
      </c>
      <c r="AJ74" t="str">
        <f>_xlfn.IFNA(VLOOKUP(U74,'Incoming Material Report'!A:Z,25,FALSE),"")</f>
        <v/>
      </c>
      <c r="AK74" t="str">
        <f>_xlfn.IFNA(VLOOKUP(U74,'Incoming Material Report'!A:Z,26,FALSE),"")</f>
        <v/>
      </c>
      <c r="AL74" t="str">
        <f>_xlfn.IFNA(VLOOKUP(U74,'Incoming Material Report'!A:Z,2,FALSE),"")</f>
        <v/>
      </c>
      <c r="AM74" s="54" t="str">
        <f>_xlfn.IFNA(VLOOKUP(U74,'Incoming Material Report'!A:K,11,FALSE)/1000,"")</f>
        <v/>
      </c>
      <c r="AN74" s="54"/>
      <c r="AO74" s="54" t="str">
        <f>_xlfn.IFNA(VLOOKUP(U74,'Incoming Material Report'!A:R,18,FALSE)*1000,"")</f>
        <v/>
      </c>
      <c r="AP74" s="54"/>
      <c r="AQ74" s="54" t="str">
        <f>_xlfn.IFNA(TEXT(VLOOKUP(U74,'Incoming Material Report'!A:D,4,FALSE),"dd.mm.yy"),"")</f>
        <v/>
      </c>
      <c r="AR74" s="54" t="str">
        <f>_xlfn.IFNA(VLOOKUP(U74,'Incoming Material Report'!A:Z,5,FALSE),"")</f>
        <v/>
      </c>
      <c r="AS74" s="54"/>
      <c r="AT74" s="54" t="str">
        <f>_xlfn.IFNA(VLOOKUP(U74,'Incoming Material Report'!A:Z,6,FALSE),"")</f>
        <v/>
      </c>
      <c r="AU74" s="54" t="str">
        <f>_xlfn.IFNA(VLOOKUP(U74,'Incoming Material Report'!A:Z,8,FALSE),"")</f>
        <v/>
      </c>
      <c r="AZ74" t="str">
        <f>_xlfn.IFNA(VLOOKUP(U74,'GRPO Wiz Individual'!AP:BT,17,FALSE),"")</f>
        <v/>
      </c>
      <c r="BA74" t="str">
        <f>_xlfn.IFNA(VLOOKUP(U74,'GRPO Wiz Individual'!AP:BT,18,FALSE),"")</f>
        <v/>
      </c>
      <c r="BB74" t="str">
        <f>_xlfn.IFNA(VLOOKUP(U74,'GRPO Wiz Individual'!AP:BT,19,FALSE),"")</f>
        <v/>
      </c>
      <c r="BC74" t="str">
        <f>_xlfn.IFNA(VLOOKUP(U74,'GRPO Wiz Individual'!AP:BT,20,FALSE),"")</f>
        <v/>
      </c>
      <c r="BD74" t="str">
        <f>_xlfn.IFNA(VLOOKUP(U74,'GRPO Wiz Individual'!AP:BT,21,FALSE),"")</f>
        <v/>
      </c>
      <c r="BE74" t="str">
        <f>_xlfn.IFNA((VLOOKUP(U74,'GRPO Wiz Individual'!AP:BT,22,FALSE)),"")</f>
        <v/>
      </c>
      <c r="BF74" t="str">
        <f>_xlfn.IFNA(VLOOKUP(U74,'GRPO Wiz Individual'!AP:BT,26,FALSE),"")</f>
        <v/>
      </c>
      <c r="BG74" t="str">
        <f>_xlfn.IFNA(VLOOKUP(U74,'GRPO Wiz Individual'!AP:BQ,28,FALSE),"")</f>
        <v/>
      </c>
      <c r="BH74" t="str">
        <f>_xlfn.IFNA(VLOOKUP(U74,'GRPO Wiz Individual'!AP:BN,25,FALSE),"")</f>
        <v/>
      </c>
      <c r="BI74" t="str">
        <f>_xlfn.IFNA(VLOOKUP(U74,'GRPO Wiz Individual'!AP:BT,31,FALSE),"")</f>
        <v/>
      </c>
      <c r="BJ74" t="str">
        <f>_xlfn.IFNA(VLOOKUP(U74,'GRPO Wiz Individual'!AP:BZ,32,FALSE),"")</f>
        <v/>
      </c>
      <c r="BK74" t="str">
        <f>_xlfn.IFNA(VLOOKUP(U74,'GRPO Wiz Individual'!AP:BZ,27,FALSE),"")</f>
        <v/>
      </c>
      <c r="BL74" t="str">
        <f>_xlfn.IFNA(VALUE(VLOOKUP(U74,'GRPO Wiz Individual'!AP:BZ,29,FALSE)),"")</f>
        <v/>
      </c>
      <c r="BM74" t="str">
        <f>_xlfn.IFNA(VLOOKUP(U74,'GRPO Wiz Individual'!AP:BZ,33,FALSE),"")</f>
        <v/>
      </c>
    </row>
    <row r="75" spans="2:65" x14ac:dyDescent="0.25">
      <c r="B75" t="str">
        <f t="shared" si="4"/>
        <v/>
      </c>
      <c r="J75" s="43" t="str">
        <f t="shared" si="5"/>
        <v/>
      </c>
      <c r="X75" t="str">
        <f t="shared" si="3"/>
        <v/>
      </c>
      <c r="AG75" t="str">
        <f>_xlfn.IFNA(VLOOKUP(U75,'Incoming Material Report'!A:M,13,FALSE),"")</f>
        <v/>
      </c>
      <c r="AH75" t="str">
        <f>_xlfn.IFNA(IF(VLOOKUP(U75,'Incoming Material Report'!A:N,14,FALSE)="","",VLOOKUP(U75,'Incoming Material Report'!A:N,14,FALSE)),"")</f>
        <v/>
      </c>
      <c r="AI75" t="str">
        <f>_xlfn.IFNA(VLOOKUP(U75,'Incoming Material Report'!A:Z,24,FALSE),"")</f>
        <v/>
      </c>
      <c r="AJ75" t="str">
        <f>_xlfn.IFNA(VLOOKUP(U75,'Incoming Material Report'!A:Z,25,FALSE),"")</f>
        <v/>
      </c>
      <c r="AK75" t="str">
        <f>_xlfn.IFNA(VLOOKUP(U75,'Incoming Material Report'!A:Z,26,FALSE),"")</f>
        <v/>
      </c>
      <c r="AL75" t="str">
        <f>_xlfn.IFNA(VLOOKUP(U75,'Incoming Material Report'!A:Z,2,FALSE),"")</f>
        <v/>
      </c>
      <c r="AM75" s="54" t="str">
        <f>_xlfn.IFNA(VLOOKUP(U75,'Incoming Material Report'!A:K,11,FALSE)/1000,"")</f>
        <v/>
      </c>
      <c r="AN75" s="54"/>
      <c r="AO75" s="54" t="str">
        <f>_xlfn.IFNA(VLOOKUP(U75,'Incoming Material Report'!A:R,18,FALSE)*1000,"")</f>
        <v/>
      </c>
      <c r="AP75" s="54"/>
      <c r="AQ75" s="54" t="str">
        <f>_xlfn.IFNA(TEXT(VLOOKUP(U75,'Incoming Material Report'!A:D,4,FALSE),"dd.mm.yy"),"")</f>
        <v/>
      </c>
      <c r="AR75" s="54" t="str">
        <f>_xlfn.IFNA(VLOOKUP(U75,'Incoming Material Report'!A:Z,5,FALSE),"")</f>
        <v/>
      </c>
      <c r="AS75" s="54"/>
      <c r="AT75" s="54" t="str">
        <f>_xlfn.IFNA(VLOOKUP(U75,'Incoming Material Report'!A:Z,6,FALSE),"")</f>
        <v/>
      </c>
      <c r="AU75" s="54" t="str">
        <f>_xlfn.IFNA(VLOOKUP(U75,'Incoming Material Report'!A:Z,8,FALSE),"")</f>
        <v/>
      </c>
      <c r="AZ75" t="str">
        <f>_xlfn.IFNA(VLOOKUP(U75,'GRPO Wiz Individual'!AP:BT,17,FALSE),"")</f>
        <v/>
      </c>
      <c r="BA75" t="str">
        <f>_xlfn.IFNA(VLOOKUP(U75,'GRPO Wiz Individual'!AP:BT,18,FALSE),"")</f>
        <v/>
      </c>
      <c r="BB75" t="str">
        <f>_xlfn.IFNA(VLOOKUP(U75,'GRPO Wiz Individual'!AP:BT,19,FALSE),"")</f>
        <v/>
      </c>
      <c r="BC75" t="str">
        <f>_xlfn.IFNA(VLOOKUP(U75,'GRPO Wiz Individual'!AP:BT,20,FALSE),"")</f>
        <v/>
      </c>
      <c r="BD75" t="str">
        <f>_xlfn.IFNA(VLOOKUP(U75,'GRPO Wiz Individual'!AP:BT,21,FALSE),"")</f>
        <v/>
      </c>
      <c r="BE75" t="str">
        <f>_xlfn.IFNA((VLOOKUP(U75,'GRPO Wiz Individual'!AP:BT,22,FALSE)),"")</f>
        <v/>
      </c>
      <c r="BF75" t="str">
        <f>_xlfn.IFNA(VLOOKUP(U75,'GRPO Wiz Individual'!AP:BT,26,FALSE),"")</f>
        <v/>
      </c>
      <c r="BG75" t="str">
        <f>_xlfn.IFNA(VLOOKUP(U75,'GRPO Wiz Individual'!AP:BQ,28,FALSE),"")</f>
        <v/>
      </c>
      <c r="BH75" t="str">
        <f>_xlfn.IFNA(VLOOKUP(U75,'GRPO Wiz Individual'!AP:BN,25,FALSE),"")</f>
        <v/>
      </c>
      <c r="BI75" t="str">
        <f>_xlfn.IFNA(VLOOKUP(U75,'GRPO Wiz Individual'!AP:BT,31,FALSE),"")</f>
        <v/>
      </c>
      <c r="BJ75" t="str">
        <f>_xlfn.IFNA(VLOOKUP(U75,'GRPO Wiz Individual'!AP:BZ,32,FALSE),"")</f>
        <v/>
      </c>
      <c r="BK75" t="str">
        <f>_xlfn.IFNA(VLOOKUP(U75,'GRPO Wiz Individual'!AP:BZ,27,FALSE),"")</f>
        <v/>
      </c>
      <c r="BL75" t="str">
        <f>_xlfn.IFNA(VALUE(VLOOKUP(U75,'GRPO Wiz Individual'!AP:BZ,29,FALSE)),"")</f>
        <v/>
      </c>
      <c r="BM75" t="str">
        <f>_xlfn.IFNA(VLOOKUP(U75,'GRPO Wiz Individual'!AP:BZ,33,FALSE),"")</f>
        <v/>
      </c>
    </row>
    <row r="76" spans="2:65" x14ac:dyDescent="0.25">
      <c r="B76" t="str">
        <f t="shared" si="4"/>
        <v/>
      </c>
      <c r="J76" s="43" t="str">
        <f t="shared" si="5"/>
        <v/>
      </c>
      <c r="X76" t="str">
        <f t="shared" si="3"/>
        <v/>
      </c>
      <c r="AG76" t="str">
        <f>_xlfn.IFNA(VLOOKUP(U76,'Incoming Material Report'!A:M,13,FALSE),"")</f>
        <v/>
      </c>
      <c r="AH76" t="str">
        <f>_xlfn.IFNA(IF(VLOOKUP(U76,'Incoming Material Report'!A:N,14,FALSE)="","",VLOOKUP(U76,'Incoming Material Report'!A:N,14,FALSE)),"")</f>
        <v/>
      </c>
      <c r="AI76" t="str">
        <f>_xlfn.IFNA(VLOOKUP(U76,'Incoming Material Report'!A:Z,24,FALSE),"")</f>
        <v/>
      </c>
      <c r="AJ76" t="str">
        <f>_xlfn.IFNA(VLOOKUP(U76,'Incoming Material Report'!A:Z,25,FALSE),"")</f>
        <v/>
      </c>
      <c r="AK76" t="str">
        <f>_xlfn.IFNA(VLOOKUP(U76,'Incoming Material Report'!A:Z,26,FALSE),"")</f>
        <v/>
      </c>
      <c r="AL76" t="str">
        <f>_xlfn.IFNA(VLOOKUP(U76,'Incoming Material Report'!A:Z,2,FALSE),"")</f>
        <v/>
      </c>
      <c r="AM76" s="54" t="str">
        <f>_xlfn.IFNA(VLOOKUP(U76,'Incoming Material Report'!A:K,11,FALSE)/1000,"")</f>
        <v/>
      </c>
      <c r="AN76" s="54"/>
      <c r="AO76" s="54" t="str">
        <f>_xlfn.IFNA(VLOOKUP(U76,'Incoming Material Report'!A:R,18,FALSE)*1000,"")</f>
        <v/>
      </c>
      <c r="AP76" s="54"/>
      <c r="AQ76" s="54" t="str">
        <f>_xlfn.IFNA(TEXT(VLOOKUP(U76,'Incoming Material Report'!A:D,4,FALSE),"dd.mm.yy"),"")</f>
        <v/>
      </c>
      <c r="AR76" s="54" t="str">
        <f>_xlfn.IFNA(VLOOKUP(U76,'Incoming Material Report'!A:Z,5,FALSE),"")</f>
        <v/>
      </c>
      <c r="AS76" s="54"/>
      <c r="AT76" s="54" t="str">
        <f>_xlfn.IFNA(VLOOKUP(U76,'Incoming Material Report'!A:Z,6,FALSE),"")</f>
        <v/>
      </c>
      <c r="AU76" s="54" t="str">
        <f>_xlfn.IFNA(VLOOKUP(U76,'Incoming Material Report'!A:Z,8,FALSE),"")</f>
        <v/>
      </c>
      <c r="AZ76" t="str">
        <f>_xlfn.IFNA(VLOOKUP(U76,'GRPO Wiz Individual'!AP:BT,17,FALSE),"")</f>
        <v/>
      </c>
      <c r="BA76" t="str">
        <f>_xlfn.IFNA(VLOOKUP(U76,'GRPO Wiz Individual'!AP:BT,18,FALSE),"")</f>
        <v/>
      </c>
      <c r="BB76" t="str">
        <f>_xlfn.IFNA(VLOOKUP(U76,'GRPO Wiz Individual'!AP:BT,19,FALSE),"")</f>
        <v/>
      </c>
      <c r="BC76" t="str">
        <f>_xlfn.IFNA(VLOOKUP(U76,'GRPO Wiz Individual'!AP:BT,20,FALSE),"")</f>
        <v/>
      </c>
      <c r="BD76" t="str">
        <f>_xlfn.IFNA(VLOOKUP(U76,'GRPO Wiz Individual'!AP:BT,21,FALSE),"")</f>
        <v/>
      </c>
      <c r="BE76" t="str">
        <f>_xlfn.IFNA((VLOOKUP(U76,'GRPO Wiz Individual'!AP:BT,22,FALSE)),"")</f>
        <v/>
      </c>
      <c r="BF76" t="str">
        <f>_xlfn.IFNA(VLOOKUP(U76,'GRPO Wiz Individual'!AP:BT,26,FALSE),"")</f>
        <v/>
      </c>
      <c r="BG76" t="str">
        <f>_xlfn.IFNA(VLOOKUP(U76,'GRPO Wiz Individual'!AP:BQ,28,FALSE),"")</f>
        <v/>
      </c>
      <c r="BH76" t="str">
        <f>_xlfn.IFNA(VLOOKUP(U76,'GRPO Wiz Individual'!AP:BN,25,FALSE),"")</f>
        <v/>
      </c>
      <c r="BI76" t="str">
        <f>_xlfn.IFNA(VLOOKUP(U76,'GRPO Wiz Individual'!AP:BT,31,FALSE),"")</f>
        <v/>
      </c>
      <c r="BJ76" t="str">
        <f>_xlfn.IFNA(VLOOKUP(U76,'GRPO Wiz Individual'!AP:BZ,32,FALSE),"")</f>
        <v/>
      </c>
      <c r="BK76" t="str">
        <f>_xlfn.IFNA(VLOOKUP(U76,'GRPO Wiz Individual'!AP:BZ,27,FALSE),"")</f>
        <v/>
      </c>
      <c r="BL76" t="str">
        <f>_xlfn.IFNA(VALUE(VLOOKUP(U76,'GRPO Wiz Individual'!AP:BZ,29,FALSE)),"")</f>
        <v/>
      </c>
      <c r="BM76" t="str">
        <f>_xlfn.IFNA(VLOOKUP(U76,'GRPO Wiz Individual'!AP:BZ,33,FALSE),"")</f>
        <v/>
      </c>
    </row>
    <row r="77" spans="2:65" x14ac:dyDescent="0.25">
      <c r="B77" t="str">
        <f t="shared" si="4"/>
        <v/>
      </c>
      <c r="J77" s="43" t="str">
        <f t="shared" si="5"/>
        <v/>
      </c>
      <c r="X77" t="str">
        <f t="shared" si="3"/>
        <v/>
      </c>
      <c r="AG77" t="str">
        <f>_xlfn.IFNA(VLOOKUP(U77,'Incoming Material Report'!A:M,13,FALSE),"")</f>
        <v/>
      </c>
      <c r="AH77" t="str">
        <f>_xlfn.IFNA(IF(VLOOKUP(U77,'Incoming Material Report'!A:N,14,FALSE)="","",VLOOKUP(U77,'Incoming Material Report'!A:N,14,FALSE)),"")</f>
        <v/>
      </c>
      <c r="AI77" t="str">
        <f>_xlfn.IFNA(VLOOKUP(U77,'Incoming Material Report'!A:Z,24,FALSE),"")</f>
        <v/>
      </c>
      <c r="AJ77" t="str">
        <f>_xlfn.IFNA(VLOOKUP(U77,'Incoming Material Report'!A:Z,25,FALSE),"")</f>
        <v/>
      </c>
      <c r="AK77" t="str">
        <f>_xlfn.IFNA(VLOOKUP(U77,'Incoming Material Report'!A:Z,26,FALSE),"")</f>
        <v/>
      </c>
      <c r="AL77" t="str">
        <f>_xlfn.IFNA(VLOOKUP(U77,'Incoming Material Report'!A:Z,2,FALSE),"")</f>
        <v/>
      </c>
      <c r="AM77" s="54" t="str">
        <f>_xlfn.IFNA(VLOOKUP(U77,'Incoming Material Report'!A:K,11,FALSE)/1000,"")</f>
        <v/>
      </c>
      <c r="AN77" s="54"/>
      <c r="AO77" s="54" t="str">
        <f>_xlfn.IFNA(VLOOKUP(U77,'Incoming Material Report'!A:R,18,FALSE)*1000,"")</f>
        <v/>
      </c>
      <c r="AP77" s="54"/>
      <c r="AQ77" s="54" t="str">
        <f>_xlfn.IFNA(TEXT(VLOOKUP(U77,'Incoming Material Report'!A:D,4,FALSE),"dd.mm.yy"),"")</f>
        <v/>
      </c>
      <c r="AR77" s="54" t="str">
        <f>_xlfn.IFNA(VLOOKUP(U77,'Incoming Material Report'!A:Z,5,FALSE),"")</f>
        <v/>
      </c>
      <c r="AS77" s="54"/>
      <c r="AT77" s="54" t="str">
        <f>_xlfn.IFNA(VLOOKUP(U77,'Incoming Material Report'!A:Z,6,FALSE),"")</f>
        <v/>
      </c>
      <c r="AU77" s="54" t="str">
        <f>_xlfn.IFNA(VLOOKUP(U77,'Incoming Material Report'!A:Z,8,FALSE),"")</f>
        <v/>
      </c>
      <c r="AZ77" t="str">
        <f>_xlfn.IFNA(VLOOKUP(U77,'GRPO Wiz Individual'!AP:BT,17,FALSE),"")</f>
        <v/>
      </c>
      <c r="BA77" t="str">
        <f>_xlfn.IFNA(VLOOKUP(U77,'GRPO Wiz Individual'!AP:BT,18,FALSE),"")</f>
        <v/>
      </c>
      <c r="BB77" t="str">
        <f>_xlfn.IFNA(VLOOKUP(U77,'GRPO Wiz Individual'!AP:BT,19,FALSE),"")</f>
        <v/>
      </c>
      <c r="BC77" t="str">
        <f>_xlfn.IFNA(VLOOKUP(U77,'GRPO Wiz Individual'!AP:BT,20,FALSE),"")</f>
        <v/>
      </c>
      <c r="BD77" t="str">
        <f>_xlfn.IFNA(VLOOKUP(U77,'GRPO Wiz Individual'!AP:BT,21,FALSE),"")</f>
        <v/>
      </c>
      <c r="BE77" t="str">
        <f>_xlfn.IFNA((VLOOKUP(U77,'GRPO Wiz Individual'!AP:BT,22,FALSE)),"")</f>
        <v/>
      </c>
      <c r="BF77" t="str">
        <f>_xlfn.IFNA(VLOOKUP(U77,'GRPO Wiz Individual'!AP:BT,26,FALSE),"")</f>
        <v/>
      </c>
      <c r="BG77" t="str">
        <f>_xlfn.IFNA(VLOOKUP(U77,'GRPO Wiz Individual'!AP:BQ,28,FALSE),"")</f>
        <v/>
      </c>
      <c r="BH77" t="str">
        <f>_xlfn.IFNA(VLOOKUP(U77,'GRPO Wiz Individual'!AP:BN,25,FALSE),"")</f>
        <v/>
      </c>
      <c r="BI77" t="str">
        <f>_xlfn.IFNA(VLOOKUP(U77,'GRPO Wiz Individual'!AP:BT,31,FALSE),"")</f>
        <v/>
      </c>
      <c r="BJ77" t="str">
        <f>_xlfn.IFNA(VLOOKUP(U77,'GRPO Wiz Individual'!AP:BZ,32,FALSE),"")</f>
        <v/>
      </c>
      <c r="BK77" t="str">
        <f>_xlfn.IFNA(VLOOKUP(U77,'GRPO Wiz Individual'!AP:BZ,27,FALSE),"")</f>
        <v/>
      </c>
      <c r="BL77" t="str">
        <f>_xlfn.IFNA(VALUE(VLOOKUP(U77,'GRPO Wiz Individual'!AP:BZ,29,FALSE)),"")</f>
        <v/>
      </c>
      <c r="BM77" t="str">
        <f>_xlfn.IFNA(VLOOKUP(U77,'GRPO Wiz Individual'!AP:BZ,33,FALSE),"")</f>
        <v/>
      </c>
    </row>
    <row r="78" spans="2:65" x14ac:dyDescent="0.25">
      <c r="B78" t="str">
        <f t="shared" si="4"/>
        <v/>
      </c>
      <c r="J78" s="43" t="str">
        <f t="shared" si="5"/>
        <v/>
      </c>
      <c r="X78" t="str">
        <f t="shared" si="3"/>
        <v/>
      </c>
      <c r="AG78" t="str">
        <f>_xlfn.IFNA(VLOOKUP(U78,'Incoming Material Report'!A:M,13,FALSE),"")</f>
        <v/>
      </c>
      <c r="AH78" t="str">
        <f>_xlfn.IFNA(IF(VLOOKUP(U78,'Incoming Material Report'!A:N,14,FALSE)="","",VLOOKUP(U78,'Incoming Material Report'!A:N,14,FALSE)),"")</f>
        <v/>
      </c>
      <c r="AI78" t="str">
        <f>_xlfn.IFNA(VLOOKUP(U78,'Incoming Material Report'!A:Z,24,FALSE),"")</f>
        <v/>
      </c>
      <c r="AJ78" t="str">
        <f>_xlfn.IFNA(VLOOKUP(U78,'Incoming Material Report'!A:Z,25,FALSE),"")</f>
        <v/>
      </c>
      <c r="AK78" t="str">
        <f>_xlfn.IFNA(VLOOKUP(U78,'Incoming Material Report'!A:Z,26,FALSE),"")</f>
        <v/>
      </c>
      <c r="AL78" t="str">
        <f>_xlfn.IFNA(VLOOKUP(U78,'Incoming Material Report'!A:Z,2,FALSE),"")</f>
        <v/>
      </c>
      <c r="AM78" s="54" t="str">
        <f>_xlfn.IFNA(VLOOKUP(U78,'Incoming Material Report'!A:K,11,FALSE)/1000,"")</f>
        <v/>
      </c>
      <c r="AN78" s="54"/>
      <c r="AO78" s="54" t="str">
        <f>_xlfn.IFNA(VLOOKUP(U78,'Incoming Material Report'!A:R,18,FALSE)*1000,"")</f>
        <v/>
      </c>
      <c r="AP78" s="54"/>
      <c r="AQ78" s="54" t="str">
        <f>_xlfn.IFNA(TEXT(VLOOKUP(U78,'Incoming Material Report'!A:D,4,FALSE),"dd.mm.yy"),"")</f>
        <v/>
      </c>
      <c r="AR78" s="54" t="str">
        <f>_xlfn.IFNA(VLOOKUP(U78,'Incoming Material Report'!A:Z,5,FALSE),"")</f>
        <v/>
      </c>
      <c r="AS78" s="54"/>
      <c r="AT78" s="54" t="str">
        <f>_xlfn.IFNA(VLOOKUP(U78,'Incoming Material Report'!A:Z,6,FALSE),"")</f>
        <v/>
      </c>
      <c r="AU78" s="54" t="str">
        <f>_xlfn.IFNA(VLOOKUP(U78,'Incoming Material Report'!A:Z,8,FALSE),"")</f>
        <v/>
      </c>
      <c r="AZ78" t="str">
        <f>_xlfn.IFNA(VLOOKUP(U78,'GRPO Wiz Individual'!AP:BT,17,FALSE),"")</f>
        <v/>
      </c>
      <c r="BA78" t="str">
        <f>_xlfn.IFNA(VLOOKUP(U78,'GRPO Wiz Individual'!AP:BT,18,FALSE),"")</f>
        <v/>
      </c>
      <c r="BB78" t="str">
        <f>_xlfn.IFNA(VLOOKUP(U78,'GRPO Wiz Individual'!AP:BT,19,FALSE),"")</f>
        <v/>
      </c>
      <c r="BC78" t="str">
        <f>_xlfn.IFNA(VLOOKUP(U78,'GRPO Wiz Individual'!AP:BT,20,FALSE),"")</f>
        <v/>
      </c>
      <c r="BD78" t="str">
        <f>_xlfn.IFNA(VLOOKUP(U78,'GRPO Wiz Individual'!AP:BT,21,FALSE),"")</f>
        <v/>
      </c>
      <c r="BE78" t="str">
        <f>_xlfn.IFNA((VLOOKUP(U78,'GRPO Wiz Individual'!AP:BT,22,FALSE)),"")</f>
        <v/>
      </c>
      <c r="BF78" t="str">
        <f>_xlfn.IFNA(VLOOKUP(U78,'GRPO Wiz Individual'!AP:BT,26,FALSE),"")</f>
        <v/>
      </c>
      <c r="BG78" t="str">
        <f>_xlfn.IFNA(VLOOKUP(U78,'GRPO Wiz Individual'!AP:BQ,28,FALSE),"")</f>
        <v/>
      </c>
      <c r="BH78" t="str">
        <f>_xlfn.IFNA(VLOOKUP(U78,'GRPO Wiz Individual'!AP:BN,25,FALSE),"")</f>
        <v/>
      </c>
      <c r="BI78" t="str">
        <f>_xlfn.IFNA(VLOOKUP(U78,'GRPO Wiz Individual'!AP:BT,31,FALSE),"")</f>
        <v/>
      </c>
      <c r="BJ78" t="str">
        <f>_xlfn.IFNA(VLOOKUP(U78,'GRPO Wiz Individual'!AP:BZ,32,FALSE),"")</f>
        <v/>
      </c>
      <c r="BK78" t="str">
        <f>_xlfn.IFNA(VLOOKUP(U78,'GRPO Wiz Individual'!AP:BZ,27,FALSE),"")</f>
        <v/>
      </c>
      <c r="BL78" t="str">
        <f>_xlfn.IFNA(VALUE(VLOOKUP(U78,'GRPO Wiz Individual'!AP:BZ,29,FALSE)),"")</f>
        <v/>
      </c>
      <c r="BM78" t="str">
        <f>_xlfn.IFNA(VLOOKUP(U78,'GRPO Wiz Individual'!AP:BZ,33,FALSE),"")</f>
        <v/>
      </c>
    </row>
    <row r="79" spans="2:65" x14ac:dyDescent="0.25">
      <c r="B79" t="str">
        <f t="shared" si="4"/>
        <v/>
      </c>
      <c r="J79" s="43" t="str">
        <f t="shared" si="5"/>
        <v/>
      </c>
      <c r="X79" t="str">
        <f t="shared" si="3"/>
        <v/>
      </c>
      <c r="AG79" t="str">
        <f>_xlfn.IFNA(VLOOKUP(U79,'Incoming Material Report'!A:M,13,FALSE),"")</f>
        <v/>
      </c>
      <c r="AH79" t="str">
        <f>_xlfn.IFNA(IF(VLOOKUP(U79,'Incoming Material Report'!A:N,14,FALSE)="","",VLOOKUP(U79,'Incoming Material Report'!A:N,14,FALSE)),"")</f>
        <v/>
      </c>
      <c r="AI79" t="str">
        <f>_xlfn.IFNA(VLOOKUP(U79,'Incoming Material Report'!A:Z,24,FALSE),"")</f>
        <v/>
      </c>
      <c r="AJ79" t="str">
        <f>_xlfn.IFNA(VLOOKUP(U79,'Incoming Material Report'!A:Z,25,FALSE),"")</f>
        <v/>
      </c>
      <c r="AK79" t="str">
        <f>_xlfn.IFNA(VLOOKUP(U79,'Incoming Material Report'!A:Z,26,FALSE),"")</f>
        <v/>
      </c>
      <c r="AL79" t="str">
        <f>_xlfn.IFNA(VLOOKUP(U79,'Incoming Material Report'!A:Z,2,FALSE),"")</f>
        <v/>
      </c>
      <c r="AM79" s="54" t="str">
        <f>_xlfn.IFNA(VLOOKUP(U79,'Incoming Material Report'!A:K,11,FALSE)/1000,"")</f>
        <v/>
      </c>
      <c r="AN79" s="54"/>
      <c r="AO79" s="54" t="str">
        <f>_xlfn.IFNA(VLOOKUP(U79,'Incoming Material Report'!A:R,18,FALSE)*1000,"")</f>
        <v/>
      </c>
      <c r="AP79" s="54"/>
      <c r="AQ79" s="54" t="str">
        <f>_xlfn.IFNA(TEXT(VLOOKUP(U79,'Incoming Material Report'!A:D,4,FALSE),"dd.mm.yy"),"")</f>
        <v/>
      </c>
      <c r="AR79" s="54" t="str">
        <f>_xlfn.IFNA(VLOOKUP(U79,'Incoming Material Report'!A:Z,5,FALSE),"")</f>
        <v/>
      </c>
      <c r="AS79" s="54"/>
      <c r="AT79" s="54" t="str">
        <f>_xlfn.IFNA(VLOOKUP(U79,'Incoming Material Report'!A:Z,6,FALSE),"")</f>
        <v/>
      </c>
      <c r="AU79" s="54" t="str">
        <f>_xlfn.IFNA(VLOOKUP(U79,'Incoming Material Report'!A:Z,8,FALSE),"")</f>
        <v/>
      </c>
      <c r="AZ79" t="str">
        <f>_xlfn.IFNA(VLOOKUP(U79,'GRPO Wiz Individual'!AP:BT,17,FALSE),"")</f>
        <v/>
      </c>
      <c r="BA79" t="str">
        <f>_xlfn.IFNA(VLOOKUP(U79,'GRPO Wiz Individual'!AP:BT,18,FALSE),"")</f>
        <v/>
      </c>
      <c r="BB79" t="str">
        <f>_xlfn.IFNA(VLOOKUP(U79,'GRPO Wiz Individual'!AP:BT,19,FALSE),"")</f>
        <v/>
      </c>
      <c r="BC79" t="str">
        <f>_xlfn.IFNA(VLOOKUP(U79,'GRPO Wiz Individual'!AP:BT,20,FALSE),"")</f>
        <v/>
      </c>
      <c r="BD79" t="str">
        <f>_xlfn.IFNA(VLOOKUP(U79,'GRPO Wiz Individual'!AP:BT,21,FALSE),"")</f>
        <v/>
      </c>
      <c r="BE79" t="str">
        <f>_xlfn.IFNA((VLOOKUP(U79,'GRPO Wiz Individual'!AP:BT,22,FALSE)),"")</f>
        <v/>
      </c>
      <c r="BF79" t="str">
        <f>_xlfn.IFNA(VLOOKUP(U79,'GRPO Wiz Individual'!AP:BT,26,FALSE),"")</f>
        <v/>
      </c>
      <c r="BG79" t="str">
        <f>_xlfn.IFNA(VLOOKUP(U79,'GRPO Wiz Individual'!AP:BQ,28,FALSE),"")</f>
        <v/>
      </c>
      <c r="BH79" t="str">
        <f>_xlfn.IFNA(VLOOKUP(U79,'GRPO Wiz Individual'!AP:BN,25,FALSE),"")</f>
        <v/>
      </c>
      <c r="BI79" t="str">
        <f>_xlfn.IFNA(VLOOKUP(U79,'GRPO Wiz Individual'!AP:BT,31,FALSE),"")</f>
        <v/>
      </c>
      <c r="BJ79" t="str">
        <f>_xlfn.IFNA(VLOOKUP(U79,'GRPO Wiz Individual'!AP:BZ,32,FALSE),"")</f>
        <v/>
      </c>
      <c r="BK79" t="str">
        <f>_xlfn.IFNA(VLOOKUP(U79,'GRPO Wiz Individual'!AP:BZ,27,FALSE),"")</f>
        <v/>
      </c>
      <c r="BL79" t="str">
        <f>_xlfn.IFNA(VALUE(VLOOKUP(U79,'GRPO Wiz Individual'!AP:BZ,29,FALSE)),"")</f>
        <v/>
      </c>
      <c r="BM79" t="str">
        <f>_xlfn.IFNA(VLOOKUP(U79,'GRPO Wiz Individual'!AP:BZ,33,FALSE),"")</f>
        <v/>
      </c>
    </row>
    <row r="80" spans="2:65" x14ac:dyDescent="0.25">
      <c r="B80" t="str">
        <f t="shared" si="4"/>
        <v/>
      </c>
      <c r="J80" s="43" t="str">
        <f t="shared" si="5"/>
        <v/>
      </c>
      <c r="X80" t="str">
        <f t="shared" si="3"/>
        <v/>
      </c>
      <c r="AG80" t="str">
        <f>_xlfn.IFNA(VLOOKUP(U80,'Incoming Material Report'!A:M,13,FALSE),"")</f>
        <v/>
      </c>
      <c r="AH80" t="str">
        <f>_xlfn.IFNA(IF(VLOOKUP(U80,'Incoming Material Report'!A:N,14,FALSE)="","",VLOOKUP(U80,'Incoming Material Report'!A:N,14,FALSE)),"")</f>
        <v/>
      </c>
      <c r="AI80" t="str">
        <f>_xlfn.IFNA(VLOOKUP(U80,'Incoming Material Report'!A:Z,24,FALSE),"")</f>
        <v/>
      </c>
      <c r="AJ80" t="str">
        <f>_xlfn.IFNA(VLOOKUP(U80,'Incoming Material Report'!A:Z,25,FALSE),"")</f>
        <v/>
      </c>
      <c r="AK80" t="str">
        <f>_xlfn.IFNA(VLOOKUP(U80,'Incoming Material Report'!A:Z,26,FALSE),"")</f>
        <v/>
      </c>
      <c r="AL80" t="str">
        <f>_xlfn.IFNA(VLOOKUP(U80,'Incoming Material Report'!A:Z,2,FALSE),"")</f>
        <v/>
      </c>
      <c r="AM80" s="54" t="str">
        <f>_xlfn.IFNA(VLOOKUP(U80,'Incoming Material Report'!A:K,11,FALSE)/1000,"")</f>
        <v/>
      </c>
      <c r="AN80" s="54"/>
      <c r="AO80" s="54" t="str">
        <f>_xlfn.IFNA(VLOOKUP(U80,'Incoming Material Report'!A:R,18,FALSE)*1000,"")</f>
        <v/>
      </c>
      <c r="AP80" s="54"/>
      <c r="AQ80" s="54" t="str">
        <f>_xlfn.IFNA(TEXT(VLOOKUP(U80,'Incoming Material Report'!A:D,4,FALSE),"dd.mm.yy"),"")</f>
        <v/>
      </c>
      <c r="AR80" s="54" t="str">
        <f>_xlfn.IFNA(VLOOKUP(U80,'Incoming Material Report'!A:Z,5,FALSE),"")</f>
        <v/>
      </c>
      <c r="AS80" s="54"/>
      <c r="AT80" s="54" t="str">
        <f>_xlfn.IFNA(VLOOKUP(U80,'Incoming Material Report'!A:Z,6,FALSE),"")</f>
        <v/>
      </c>
      <c r="AU80" s="54" t="str">
        <f>_xlfn.IFNA(VLOOKUP(U80,'Incoming Material Report'!A:Z,8,FALSE),"")</f>
        <v/>
      </c>
      <c r="AZ80" t="str">
        <f>_xlfn.IFNA(VLOOKUP(U80,'GRPO Wiz Individual'!AP:BT,17,FALSE),"")</f>
        <v/>
      </c>
      <c r="BA80" t="str">
        <f>_xlfn.IFNA(VLOOKUP(U80,'GRPO Wiz Individual'!AP:BT,18,FALSE),"")</f>
        <v/>
      </c>
      <c r="BB80" t="str">
        <f>_xlfn.IFNA(VLOOKUP(U80,'GRPO Wiz Individual'!AP:BT,19,FALSE),"")</f>
        <v/>
      </c>
      <c r="BC80" t="str">
        <f>_xlfn.IFNA(VLOOKUP(U80,'GRPO Wiz Individual'!AP:BT,20,FALSE),"")</f>
        <v/>
      </c>
      <c r="BD80" t="str">
        <f>_xlfn.IFNA(VLOOKUP(U80,'GRPO Wiz Individual'!AP:BT,21,FALSE),"")</f>
        <v/>
      </c>
      <c r="BE80" t="str">
        <f>_xlfn.IFNA((VLOOKUP(U80,'GRPO Wiz Individual'!AP:BT,22,FALSE)),"")</f>
        <v/>
      </c>
      <c r="BF80" t="str">
        <f>_xlfn.IFNA(VLOOKUP(U80,'GRPO Wiz Individual'!AP:BT,26,FALSE),"")</f>
        <v/>
      </c>
      <c r="BG80" t="str">
        <f>_xlfn.IFNA(VLOOKUP(U80,'GRPO Wiz Individual'!AP:BQ,28,FALSE),"")</f>
        <v/>
      </c>
      <c r="BH80" t="str">
        <f>_xlfn.IFNA(VLOOKUP(U80,'GRPO Wiz Individual'!AP:BN,25,FALSE),"")</f>
        <v/>
      </c>
      <c r="BI80" t="str">
        <f>_xlfn.IFNA(VLOOKUP(U80,'GRPO Wiz Individual'!AP:BT,31,FALSE),"")</f>
        <v/>
      </c>
      <c r="BJ80" t="str">
        <f>_xlfn.IFNA(VLOOKUP(U80,'GRPO Wiz Individual'!AP:BZ,32,FALSE),"")</f>
        <v/>
      </c>
      <c r="BK80" t="str">
        <f>_xlfn.IFNA(VLOOKUP(U80,'GRPO Wiz Individual'!AP:BZ,27,FALSE),"")</f>
        <v/>
      </c>
      <c r="BL80" t="str">
        <f>_xlfn.IFNA(VALUE(VLOOKUP(U80,'GRPO Wiz Individual'!AP:BZ,29,FALSE)),"")</f>
        <v/>
      </c>
      <c r="BM80" t="str">
        <f>_xlfn.IFNA(VLOOKUP(U80,'GRPO Wiz Individual'!AP:BZ,33,FALSE),"")</f>
        <v/>
      </c>
    </row>
    <row r="81" spans="2:65" x14ac:dyDescent="0.25">
      <c r="B81" t="str">
        <f t="shared" si="4"/>
        <v/>
      </c>
      <c r="J81" s="43" t="str">
        <f t="shared" si="5"/>
        <v/>
      </c>
      <c r="X81" t="str">
        <f t="shared" si="3"/>
        <v/>
      </c>
      <c r="AG81" t="str">
        <f>_xlfn.IFNA(VLOOKUP(U81,'Incoming Material Report'!A:M,13,FALSE),"")</f>
        <v/>
      </c>
      <c r="AH81" t="str">
        <f>_xlfn.IFNA(IF(VLOOKUP(U81,'Incoming Material Report'!A:N,14,FALSE)="","",VLOOKUP(U81,'Incoming Material Report'!A:N,14,FALSE)),"")</f>
        <v/>
      </c>
      <c r="AI81" t="str">
        <f>_xlfn.IFNA(VLOOKUP(U81,'Incoming Material Report'!A:Z,24,FALSE),"")</f>
        <v/>
      </c>
      <c r="AJ81" t="str">
        <f>_xlfn.IFNA(VLOOKUP(U81,'Incoming Material Report'!A:Z,25,FALSE),"")</f>
        <v/>
      </c>
      <c r="AK81" t="str">
        <f>_xlfn.IFNA(VLOOKUP(U81,'Incoming Material Report'!A:Z,26,FALSE),"")</f>
        <v/>
      </c>
      <c r="AL81" t="str">
        <f>_xlfn.IFNA(VLOOKUP(U81,'Incoming Material Report'!A:Z,2,FALSE),"")</f>
        <v/>
      </c>
      <c r="AM81" s="54" t="str">
        <f>_xlfn.IFNA(VLOOKUP(U81,'Incoming Material Report'!A:K,11,FALSE)/1000,"")</f>
        <v/>
      </c>
      <c r="AN81" s="54"/>
      <c r="AO81" s="54" t="str">
        <f>_xlfn.IFNA(VLOOKUP(U81,'Incoming Material Report'!A:R,18,FALSE)*1000,"")</f>
        <v/>
      </c>
      <c r="AP81" s="54"/>
      <c r="AQ81" s="54" t="str">
        <f>_xlfn.IFNA(TEXT(VLOOKUP(U81,'Incoming Material Report'!A:D,4,FALSE),"dd.mm.yy"),"")</f>
        <v/>
      </c>
      <c r="AR81" s="54" t="str">
        <f>_xlfn.IFNA(VLOOKUP(U81,'Incoming Material Report'!A:Z,5,FALSE),"")</f>
        <v/>
      </c>
      <c r="AS81" s="54"/>
      <c r="AT81" s="54" t="str">
        <f>_xlfn.IFNA(VLOOKUP(U81,'Incoming Material Report'!A:Z,6,FALSE),"")</f>
        <v/>
      </c>
      <c r="AU81" s="54" t="str">
        <f>_xlfn.IFNA(VLOOKUP(U81,'Incoming Material Report'!A:Z,8,FALSE),"")</f>
        <v/>
      </c>
      <c r="AZ81" t="str">
        <f>_xlfn.IFNA(VLOOKUP(U81,'GRPO Wiz Individual'!AP:BT,17,FALSE),"")</f>
        <v/>
      </c>
      <c r="BA81" t="str">
        <f>_xlfn.IFNA(VLOOKUP(U81,'GRPO Wiz Individual'!AP:BT,18,FALSE),"")</f>
        <v/>
      </c>
      <c r="BB81" t="str">
        <f>_xlfn.IFNA(VLOOKUP(U81,'GRPO Wiz Individual'!AP:BT,19,FALSE),"")</f>
        <v/>
      </c>
      <c r="BC81" t="str">
        <f>_xlfn.IFNA(VLOOKUP(U81,'GRPO Wiz Individual'!AP:BT,20,FALSE),"")</f>
        <v/>
      </c>
      <c r="BD81" t="str">
        <f>_xlfn.IFNA(VLOOKUP(U81,'GRPO Wiz Individual'!AP:BT,21,FALSE),"")</f>
        <v/>
      </c>
      <c r="BE81" t="str">
        <f>_xlfn.IFNA((VLOOKUP(U81,'GRPO Wiz Individual'!AP:BT,22,FALSE)),"")</f>
        <v/>
      </c>
      <c r="BF81" t="str">
        <f>_xlfn.IFNA(VLOOKUP(U81,'GRPO Wiz Individual'!AP:BT,26,FALSE),"")</f>
        <v/>
      </c>
      <c r="BG81" t="str">
        <f>_xlfn.IFNA(VLOOKUP(U81,'GRPO Wiz Individual'!AP:BQ,28,FALSE),"")</f>
        <v/>
      </c>
      <c r="BH81" t="str">
        <f>_xlfn.IFNA(VLOOKUP(U81,'GRPO Wiz Individual'!AP:BN,25,FALSE),"")</f>
        <v/>
      </c>
      <c r="BI81" t="str">
        <f>_xlfn.IFNA(VLOOKUP(U81,'GRPO Wiz Individual'!AP:BT,31,FALSE),"")</f>
        <v/>
      </c>
      <c r="BJ81" t="str">
        <f>_xlfn.IFNA(VLOOKUP(U81,'GRPO Wiz Individual'!AP:BZ,32,FALSE),"")</f>
        <v/>
      </c>
      <c r="BK81" t="str">
        <f>_xlfn.IFNA(VLOOKUP(U81,'GRPO Wiz Individual'!AP:BZ,27,FALSE),"")</f>
        <v/>
      </c>
      <c r="BL81" t="str">
        <f>_xlfn.IFNA(VALUE(VLOOKUP(U81,'GRPO Wiz Individual'!AP:BZ,29,FALSE)),"")</f>
        <v/>
      </c>
      <c r="BM81" t="str">
        <f>_xlfn.IFNA(VLOOKUP(U81,'GRPO Wiz Individual'!AP:BZ,33,FALSE),"")</f>
        <v/>
      </c>
    </row>
    <row r="82" spans="2:65" x14ac:dyDescent="0.25">
      <c r="B82" t="str">
        <f t="shared" si="4"/>
        <v/>
      </c>
      <c r="J82" s="43" t="str">
        <f t="shared" si="5"/>
        <v/>
      </c>
      <c r="X82" t="str">
        <f t="shared" si="3"/>
        <v/>
      </c>
      <c r="AG82" t="str">
        <f>_xlfn.IFNA(VLOOKUP(U82,'Incoming Material Report'!A:M,13,FALSE),"")</f>
        <v/>
      </c>
      <c r="AH82" t="str">
        <f>_xlfn.IFNA(IF(VLOOKUP(U82,'Incoming Material Report'!A:N,14,FALSE)="","",VLOOKUP(U82,'Incoming Material Report'!A:N,14,FALSE)),"")</f>
        <v/>
      </c>
      <c r="AI82" t="str">
        <f>_xlfn.IFNA(VLOOKUP(U82,'Incoming Material Report'!A:Z,24,FALSE),"")</f>
        <v/>
      </c>
      <c r="AJ82" t="str">
        <f>_xlfn.IFNA(VLOOKUP(U82,'Incoming Material Report'!A:Z,25,FALSE),"")</f>
        <v/>
      </c>
      <c r="AK82" t="str">
        <f>_xlfn.IFNA(VLOOKUP(U82,'Incoming Material Report'!A:Z,26,FALSE),"")</f>
        <v/>
      </c>
      <c r="AL82" t="str">
        <f>_xlfn.IFNA(VLOOKUP(U82,'Incoming Material Report'!A:Z,2,FALSE),"")</f>
        <v/>
      </c>
      <c r="AM82" s="54" t="str">
        <f>_xlfn.IFNA(VLOOKUP(U82,'Incoming Material Report'!A:K,11,FALSE)/1000,"")</f>
        <v/>
      </c>
      <c r="AN82" s="54"/>
      <c r="AO82" s="54" t="str">
        <f>_xlfn.IFNA(VLOOKUP(U82,'Incoming Material Report'!A:R,18,FALSE)*1000,"")</f>
        <v/>
      </c>
      <c r="AP82" s="54"/>
      <c r="AQ82" s="54" t="str">
        <f>_xlfn.IFNA(TEXT(VLOOKUP(U82,'Incoming Material Report'!A:D,4,FALSE),"dd.mm.yy"),"")</f>
        <v/>
      </c>
      <c r="AR82" s="54" t="str">
        <f>_xlfn.IFNA(VLOOKUP(U82,'Incoming Material Report'!A:Z,5,FALSE),"")</f>
        <v/>
      </c>
      <c r="AS82" s="54"/>
      <c r="AT82" s="54" t="str">
        <f>_xlfn.IFNA(VLOOKUP(U82,'Incoming Material Report'!A:Z,6,FALSE),"")</f>
        <v/>
      </c>
      <c r="AU82" s="54" t="str">
        <f>_xlfn.IFNA(VLOOKUP(U82,'Incoming Material Report'!A:Z,8,FALSE),"")</f>
        <v/>
      </c>
      <c r="AZ82" t="str">
        <f>_xlfn.IFNA(VLOOKUP(U82,'GRPO Wiz Individual'!AP:BT,17,FALSE),"")</f>
        <v/>
      </c>
      <c r="BA82" t="str">
        <f>_xlfn.IFNA(VLOOKUP(U82,'GRPO Wiz Individual'!AP:BT,18,FALSE),"")</f>
        <v/>
      </c>
      <c r="BB82" t="str">
        <f>_xlfn.IFNA(VLOOKUP(U82,'GRPO Wiz Individual'!AP:BT,19,FALSE),"")</f>
        <v/>
      </c>
      <c r="BC82" t="str">
        <f>_xlfn.IFNA(VLOOKUP(U82,'GRPO Wiz Individual'!AP:BT,20,FALSE),"")</f>
        <v/>
      </c>
      <c r="BD82" t="str">
        <f>_xlfn.IFNA(VLOOKUP(U82,'GRPO Wiz Individual'!AP:BT,21,FALSE),"")</f>
        <v/>
      </c>
      <c r="BE82" t="str">
        <f>_xlfn.IFNA((VLOOKUP(U82,'GRPO Wiz Individual'!AP:BT,22,FALSE)),"")</f>
        <v/>
      </c>
      <c r="BF82" t="str">
        <f>_xlfn.IFNA(VLOOKUP(U82,'GRPO Wiz Individual'!AP:BT,26,FALSE),"")</f>
        <v/>
      </c>
      <c r="BG82" t="str">
        <f>_xlfn.IFNA(VLOOKUP(U82,'GRPO Wiz Individual'!AP:BQ,28,FALSE),"")</f>
        <v/>
      </c>
      <c r="BH82" t="str">
        <f>_xlfn.IFNA(VLOOKUP(U82,'GRPO Wiz Individual'!AP:BN,25,FALSE),"")</f>
        <v/>
      </c>
      <c r="BI82" t="str">
        <f>_xlfn.IFNA(VLOOKUP(U82,'GRPO Wiz Individual'!AP:BT,31,FALSE),"")</f>
        <v/>
      </c>
      <c r="BJ82" t="str">
        <f>_xlfn.IFNA(VLOOKUP(U82,'GRPO Wiz Individual'!AP:BZ,32,FALSE),"")</f>
        <v/>
      </c>
      <c r="BK82" t="str">
        <f>_xlfn.IFNA(VLOOKUP(U82,'GRPO Wiz Individual'!AP:BZ,27,FALSE),"")</f>
        <v/>
      </c>
      <c r="BL82" t="str">
        <f>_xlfn.IFNA(VALUE(VLOOKUP(U82,'GRPO Wiz Individual'!AP:BZ,29,FALSE)),"")</f>
        <v/>
      </c>
      <c r="BM82" t="str">
        <f>_xlfn.IFNA(VLOOKUP(U82,'GRPO Wiz Individual'!AP:BZ,33,FALSE),"")</f>
        <v/>
      </c>
    </row>
    <row r="83" spans="2:65" x14ac:dyDescent="0.25">
      <c r="B83" t="str">
        <f t="shared" si="4"/>
        <v/>
      </c>
      <c r="J83" s="43" t="str">
        <f t="shared" si="5"/>
        <v/>
      </c>
      <c r="X83" t="str">
        <f t="shared" si="3"/>
        <v/>
      </c>
      <c r="AG83" t="str">
        <f>_xlfn.IFNA(VLOOKUP(U83,'Incoming Material Report'!A:M,13,FALSE),"")</f>
        <v/>
      </c>
      <c r="AH83" t="str">
        <f>_xlfn.IFNA(IF(VLOOKUP(U83,'Incoming Material Report'!A:N,14,FALSE)="","",VLOOKUP(U83,'Incoming Material Report'!A:N,14,FALSE)),"")</f>
        <v/>
      </c>
      <c r="AI83" t="str">
        <f>_xlfn.IFNA(VLOOKUP(U83,'Incoming Material Report'!A:Z,24,FALSE),"")</f>
        <v/>
      </c>
      <c r="AJ83" t="str">
        <f>_xlfn.IFNA(VLOOKUP(U83,'Incoming Material Report'!A:Z,25,FALSE),"")</f>
        <v/>
      </c>
      <c r="AK83" t="str">
        <f>_xlfn.IFNA(VLOOKUP(U83,'Incoming Material Report'!A:Z,26,FALSE),"")</f>
        <v/>
      </c>
      <c r="AL83" t="str">
        <f>_xlfn.IFNA(VLOOKUP(U83,'Incoming Material Report'!A:Z,2,FALSE),"")</f>
        <v/>
      </c>
      <c r="AM83" s="54" t="str">
        <f>_xlfn.IFNA(VLOOKUP(U83,'Incoming Material Report'!A:K,11,FALSE)/1000,"")</f>
        <v/>
      </c>
      <c r="AN83" s="54"/>
      <c r="AO83" s="54" t="str">
        <f>_xlfn.IFNA(VLOOKUP(U83,'Incoming Material Report'!A:R,18,FALSE)*1000,"")</f>
        <v/>
      </c>
      <c r="AP83" s="54"/>
      <c r="AQ83" s="54" t="str">
        <f>_xlfn.IFNA(TEXT(VLOOKUP(U83,'Incoming Material Report'!A:D,4,FALSE),"dd.mm.yy"),"")</f>
        <v/>
      </c>
      <c r="AR83" s="54" t="str">
        <f>_xlfn.IFNA(VLOOKUP(U83,'Incoming Material Report'!A:Z,5,FALSE),"")</f>
        <v/>
      </c>
      <c r="AS83" s="54"/>
      <c r="AT83" s="54" t="str">
        <f>_xlfn.IFNA(VLOOKUP(U83,'Incoming Material Report'!A:Z,6,FALSE),"")</f>
        <v/>
      </c>
      <c r="AU83" s="54" t="str">
        <f>_xlfn.IFNA(VLOOKUP(U83,'Incoming Material Report'!A:Z,8,FALSE),"")</f>
        <v/>
      </c>
      <c r="AZ83" t="str">
        <f>_xlfn.IFNA(VLOOKUP(U83,'GRPO Wiz Individual'!AP:BT,17,FALSE),"")</f>
        <v/>
      </c>
      <c r="BA83" t="str">
        <f>_xlfn.IFNA(VLOOKUP(U83,'GRPO Wiz Individual'!AP:BT,18,FALSE),"")</f>
        <v/>
      </c>
      <c r="BB83" t="str">
        <f>_xlfn.IFNA(VLOOKUP(U83,'GRPO Wiz Individual'!AP:BT,19,FALSE),"")</f>
        <v/>
      </c>
      <c r="BC83" t="str">
        <f>_xlfn.IFNA(VLOOKUP(U83,'GRPO Wiz Individual'!AP:BT,20,FALSE),"")</f>
        <v/>
      </c>
      <c r="BD83" t="str">
        <f>_xlfn.IFNA(VLOOKUP(U83,'GRPO Wiz Individual'!AP:BT,21,FALSE),"")</f>
        <v/>
      </c>
      <c r="BE83" t="str">
        <f>_xlfn.IFNA((VLOOKUP(U83,'GRPO Wiz Individual'!AP:BT,22,FALSE)),"")</f>
        <v/>
      </c>
      <c r="BF83" t="str">
        <f>_xlfn.IFNA(VLOOKUP(U83,'GRPO Wiz Individual'!AP:BT,26,FALSE),"")</f>
        <v/>
      </c>
      <c r="BG83" t="str">
        <f>_xlfn.IFNA(VLOOKUP(U83,'GRPO Wiz Individual'!AP:BQ,28,FALSE),"")</f>
        <v/>
      </c>
      <c r="BH83" t="str">
        <f>_xlfn.IFNA(VLOOKUP(U83,'GRPO Wiz Individual'!AP:BN,25,FALSE),"")</f>
        <v/>
      </c>
      <c r="BI83" t="str">
        <f>_xlfn.IFNA(VLOOKUP(U83,'GRPO Wiz Individual'!AP:BT,31,FALSE),"")</f>
        <v/>
      </c>
      <c r="BJ83" t="str">
        <f>_xlfn.IFNA(VLOOKUP(U83,'GRPO Wiz Individual'!AP:BZ,32,FALSE),"")</f>
        <v/>
      </c>
      <c r="BK83" t="str">
        <f>_xlfn.IFNA(VLOOKUP(U83,'GRPO Wiz Individual'!AP:BZ,27,FALSE),"")</f>
        <v/>
      </c>
      <c r="BL83" t="str">
        <f>_xlfn.IFNA(VALUE(VLOOKUP(U83,'GRPO Wiz Individual'!AP:BZ,29,FALSE)),"")</f>
        <v/>
      </c>
      <c r="BM83" t="str">
        <f>_xlfn.IFNA(VLOOKUP(U83,'GRPO Wiz Individual'!AP:BZ,33,FALSE),"")</f>
        <v/>
      </c>
    </row>
    <row r="84" spans="2:65" x14ac:dyDescent="0.25">
      <c r="B84" t="str">
        <f t="shared" si="4"/>
        <v/>
      </c>
      <c r="J84" s="43" t="str">
        <f t="shared" si="5"/>
        <v/>
      </c>
      <c r="X84" t="str">
        <f t="shared" si="3"/>
        <v/>
      </c>
      <c r="AG84" t="str">
        <f>_xlfn.IFNA(VLOOKUP(U84,'Incoming Material Report'!A:M,13,FALSE),"")</f>
        <v/>
      </c>
      <c r="AH84" t="str">
        <f>_xlfn.IFNA(IF(VLOOKUP(U84,'Incoming Material Report'!A:N,14,FALSE)="","",VLOOKUP(U84,'Incoming Material Report'!A:N,14,FALSE)),"")</f>
        <v/>
      </c>
      <c r="AI84" t="str">
        <f>_xlfn.IFNA(VLOOKUP(U84,'Incoming Material Report'!A:Z,24,FALSE),"")</f>
        <v/>
      </c>
      <c r="AJ84" t="str">
        <f>_xlfn.IFNA(VLOOKUP(U84,'Incoming Material Report'!A:Z,25,FALSE),"")</f>
        <v/>
      </c>
      <c r="AK84" t="str">
        <f>_xlfn.IFNA(VLOOKUP(U84,'Incoming Material Report'!A:Z,26,FALSE),"")</f>
        <v/>
      </c>
      <c r="AL84" t="str">
        <f>_xlfn.IFNA(VLOOKUP(U84,'Incoming Material Report'!A:Z,2,FALSE),"")</f>
        <v/>
      </c>
      <c r="AM84" s="54" t="str">
        <f>_xlfn.IFNA(VLOOKUP(U84,'Incoming Material Report'!A:K,11,FALSE)/1000,"")</f>
        <v/>
      </c>
      <c r="AN84" s="54"/>
      <c r="AO84" s="54" t="str">
        <f>_xlfn.IFNA(VLOOKUP(U84,'Incoming Material Report'!A:R,18,FALSE)*1000,"")</f>
        <v/>
      </c>
      <c r="AP84" s="54"/>
      <c r="AQ84" s="54" t="str">
        <f>_xlfn.IFNA(TEXT(VLOOKUP(U84,'Incoming Material Report'!A:D,4,FALSE),"dd.mm.yy"),"")</f>
        <v/>
      </c>
      <c r="AR84" s="54" t="str">
        <f>_xlfn.IFNA(VLOOKUP(U84,'Incoming Material Report'!A:Z,5,FALSE),"")</f>
        <v/>
      </c>
      <c r="AS84" s="54"/>
      <c r="AT84" s="54" t="str">
        <f>_xlfn.IFNA(VLOOKUP(U84,'Incoming Material Report'!A:Z,6,FALSE),"")</f>
        <v/>
      </c>
      <c r="AU84" s="54" t="str">
        <f>_xlfn.IFNA(VLOOKUP(U84,'Incoming Material Report'!A:Z,8,FALSE),"")</f>
        <v/>
      </c>
      <c r="AZ84" t="str">
        <f>_xlfn.IFNA(VLOOKUP(U84,'GRPO Wiz Individual'!AP:BT,17,FALSE),"")</f>
        <v/>
      </c>
      <c r="BA84" t="str">
        <f>_xlfn.IFNA(VLOOKUP(U84,'GRPO Wiz Individual'!AP:BT,18,FALSE),"")</f>
        <v/>
      </c>
      <c r="BB84" t="str">
        <f>_xlfn.IFNA(VLOOKUP(U84,'GRPO Wiz Individual'!AP:BT,19,FALSE),"")</f>
        <v/>
      </c>
      <c r="BC84" t="str">
        <f>_xlfn.IFNA(VLOOKUP(U84,'GRPO Wiz Individual'!AP:BT,20,FALSE),"")</f>
        <v/>
      </c>
      <c r="BD84" t="str">
        <f>_xlfn.IFNA(VLOOKUP(U84,'GRPO Wiz Individual'!AP:BT,21,FALSE),"")</f>
        <v/>
      </c>
      <c r="BE84" t="str">
        <f>_xlfn.IFNA((VLOOKUP(U84,'GRPO Wiz Individual'!AP:BT,22,FALSE)),"")</f>
        <v/>
      </c>
      <c r="BF84" t="str">
        <f>_xlfn.IFNA(VLOOKUP(U84,'GRPO Wiz Individual'!AP:BT,26,FALSE),"")</f>
        <v/>
      </c>
      <c r="BG84" t="str">
        <f>_xlfn.IFNA(VLOOKUP(U84,'GRPO Wiz Individual'!AP:BQ,28,FALSE),"")</f>
        <v/>
      </c>
      <c r="BH84" t="str">
        <f>_xlfn.IFNA(VLOOKUP(U84,'GRPO Wiz Individual'!AP:BN,25,FALSE),"")</f>
        <v/>
      </c>
      <c r="BI84" t="str">
        <f>_xlfn.IFNA(VLOOKUP(U84,'GRPO Wiz Individual'!AP:BT,31,FALSE),"")</f>
        <v/>
      </c>
      <c r="BJ84" t="str">
        <f>_xlfn.IFNA(VLOOKUP(U84,'GRPO Wiz Individual'!AP:BZ,32,FALSE),"")</f>
        <v/>
      </c>
      <c r="BK84" t="str">
        <f>_xlfn.IFNA(VLOOKUP(U84,'GRPO Wiz Individual'!AP:BZ,27,FALSE),"")</f>
        <v/>
      </c>
      <c r="BL84" t="str">
        <f>_xlfn.IFNA(VALUE(VLOOKUP(U84,'GRPO Wiz Individual'!AP:BZ,29,FALSE)),"")</f>
        <v/>
      </c>
      <c r="BM84" t="str">
        <f>_xlfn.IFNA(VLOOKUP(U84,'GRPO Wiz Individual'!AP:BZ,33,FALSE),"")</f>
        <v/>
      </c>
    </row>
    <row r="85" spans="2:65" x14ac:dyDescent="0.25">
      <c r="B85" t="str">
        <f t="shared" si="4"/>
        <v/>
      </c>
      <c r="J85" s="43" t="str">
        <f t="shared" si="5"/>
        <v/>
      </c>
      <c r="X85" t="str">
        <f t="shared" si="3"/>
        <v/>
      </c>
      <c r="AG85" t="str">
        <f>_xlfn.IFNA(VLOOKUP(U85,'Incoming Material Report'!A:M,13,FALSE),"")</f>
        <v/>
      </c>
      <c r="AH85" t="str">
        <f>_xlfn.IFNA(IF(VLOOKUP(U85,'Incoming Material Report'!A:N,14,FALSE)="","",VLOOKUP(U85,'Incoming Material Report'!A:N,14,FALSE)),"")</f>
        <v/>
      </c>
      <c r="AI85" t="str">
        <f>_xlfn.IFNA(VLOOKUP(U85,'Incoming Material Report'!A:Z,24,FALSE),"")</f>
        <v/>
      </c>
      <c r="AJ85" t="str">
        <f>_xlfn.IFNA(VLOOKUP(U85,'Incoming Material Report'!A:Z,25,FALSE),"")</f>
        <v/>
      </c>
      <c r="AK85" t="str">
        <f>_xlfn.IFNA(VLOOKUP(U85,'Incoming Material Report'!A:Z,26,FALSE),"")</f>
        <v/>
      </c>
      <c r="AL85" t="str">
        <f>_xlfn.IFNA(VLOOKUP(U85,'Incoming Material Report'!A:Z,2,FALSE),"")</f>
        <v/>
      </c>
      <c r="AM85" s="54" t="str">
        <f>_xlfn.IFNA(VLOOKUP(U85,'Incoming Material Report'!A:K,11,FALSE)/1000,"")</f>
        <v/>
      </c>
      <c r="AN85" s="54"/>
      <c r="AO85" s="54" t="str">
        <f>_xlfn.IFNA(VLOOKUP(U85,'Incoming Material Report'!A:R,18,FALSE)*1000,"")</f>
        <v/>
      </c>
      <c r="AP85" s="54"/>
      <c r="AQ85" s="54" t="str">
        <f>_xlfn.IFNA(TEXT(VLOOKUP(U85,'Incoming Material Report'!A:D,4,FALSE),"dd.mm.yy"),"")</f>
        <v/>
      </c>
      <c r="AR85" s="54" t="str">
        <f>_xlfn.IFNA(VLOOKUP(U85,'Incoming Material Report'!A:Z,5,FALSE),"")</f>
        <v/>
      </c>
      <c r="AS85" s="54"/>
      <c r="AT85" s="54" t="str">
        <f>_xlfn.IFNA(VLOOKUP(U85,'Incoming Material Report'!A:Z,6,FALSE),"")</f>
        <v/>
      </c>
      <c r="AU85" s="54" t="str">
        <f>_xlfn.IFNA(VLOOKUP(U85,'Incoming Material Report'!A:Z,8,FALSE),"")</f>
        <v/>
      </c>
      <c r="AZ85" t="str">
        <f>_xlfn.IFNA(VLOOKUP(U85,'GRPO Wiz Individual'!AP:BT,17,FALSE),"")</f>
        <v/>
      </c>
      <c r="BA85" t="str">
        <f>_xlfn.IFNA(VLOOKUP(U85,'GRPO Wiz Individual'!AP:BT,18,FALSE),"")</f>
        <v/>
      </c>
      <c r="BB85" t="str">
        <f>_xlfn.IFNA(VLOOKUP(U85,'GRPO Wiz Individual'!AP:BT,19,FALSE),"")</f>
        <v/>
      </c>
      <c r="BC85" t="str">
        <f>_xlfn.IFNA(VLOOKUP(U85,'GRPO Wiz Individual'!AP:BT,20,FALSE),"")</f>
        <v/>
      </c>
      <c r="BD85" t="str">
        <f>_xlfn.IFNA(VLOOKUP(U85,'GRPO Wiz Individual'!AP:BT,21,FALSE),"")</f>
        <v/>
      </c>
      <c r="BE85" t="str">
        <f>_xlfn.IFNA((VLOOKUP(U85,'GRPO Wiz Individual'!AP:BT,22,FALSE)),"")</f>
        <v/>
      </c>
      <c r="BF85" t="str">
        <f>_xlfn.IFNA(VLOOKUP(U85,'GRPO Wiz Individual'!AP:BT,26,FALSE),"")</f>
        <v/>
      </c>
      <c r="BG85" t="str">
        <f>_xlfn.IFNA(VLOOKUP(U85,'GRPO Wiz Individual'!AP:BQ,28,FALSE),"")</f>
        <v/>
      </c>
      <c r="BH85" t="str">
        <f>_xlfn.IFNA(VLOOKUP(U85,'GRPO Wiz Individual'!AP:BN,25,FALSE),"")</f>
        <v/>
      </c>
      <c r="BI85" t="str">
        <f>_xlfn.IFNA(VLOOKUP(U85,'GRPO Wiz Individual'!AP:BT,31,FALSE),"")</f>
        <v/>
      </c>
      <c r="BJ85" t="str">
        <f>_xlfn.IFNA(VLOOKUP(U85,'GRPO Wiz Individual'!AP:BZ,32,FALSE),"")</f>
        <v/>
      </c>
      <c r="BK85" t="str">
        <f>_xlfn.IFNA(VLOOKUP(U85,'GRPO Wiz Individual'!AP:BZ,27,FALSE),"")</f>
        <v/>
      </c>
      <c r="BL85" t="str">
        <f>_xlfn.IFNA(VALUE(VLOOKUP(U85,'GRPO Wiz Individual'!AP:BZ,29,FALSE)),"")</f>
        <v/>
      </c>
      <c r="BM85" t="str">
        <f>_xlfn.IFNA(VLOOKUP(U85,'GRPO Wiz Individual'!AP:BZ,33,FALSE),"")</f>
        <v/>
      </c>
    </row>
    <row r="86" spans="2:65" x14ac:dyDescent="0.25">
      <c r="B86" t="str">
        <f t="shared" si="4"/>
        <v/>
      </c>
      <c r="J86" s="43" t="str">
        <f t="shared" si="5"/>
        <v/>
      </c>
      <c r="X86" t="str">
        <f t="shared" si="3"/>
        <v/>
      </c>
      <c r="AG86" t="str">
        <f>_xlfn.IFNA(VLOOKUP(U86,'Incoming Material Report'!A:M,13,FALSE),"")</f>
        <v/>
      </c>
      <c r="AH86" t="str">
        <f>_xlfn.IFNA(IF(VLOOKUP(U86,'Incoming Material Report'!A:N,14,FALSE)="","",VLOOKUP(U86,'Incoming Material Report'!A:N,14,FALSE)),"")</f>
        <v/>
      </c>
      <c r="AI86" t="str">
        <f>_xlfn.IFNA(VLOOKUP(U86,'Incoming Material Report'!A:Z,24,FALSE),"")</f>
        <v/>
      </c>
      <c r="AJ86" t="str">
        <f>_xlfn.IFNA(VLOOKUP(U86,'Incoming Material Report'!A:Z,25,FALSE),"")</f>
        <v/>
      </c>
      <c r="AK86" t="str">
        <f>_xlfn.IFNA(VLOOKUP(U86,'Incoming Material Report'!A:Z,26,FALSE),"")</f>
        <v/>
      </c>
      <c r="AL86" t="str">
        <f>_xlfn.IFNA(VLOOKUP(U86,'Incoming Material Report'!A:Z,2,FALSE),"")</f>
        <v/>
      </c>
      <c r="AM86" s="54" t="str">
        <f>_xlfn.IFNA(VLOOKUP(U86,'Incoming Material Report'!A:K,11,FALSE)/1000,"")</f>
        <v/>
      </c>
      <c r="AN86" s="54"/>
      <c r="AO86" s="54" t="str">
        <f>_xlfn.IFNA(VLOOKUP(U86,'Incoming Material Report'!A:R,18,FALSE)*1000,"")</f>
        <v/>
      </c>
      <c r="AP86" s="54"/>
      <c r="AQ86" s="54" t="str">
        <f>_xlfn.IFNA(TEXT(VLOOKUP(U86,'Incoming Material Report'!A:D,4,FALSE),"dd.mm.yy"),"")</f>
        <v/>
      </c>
      <c r="AR86" s="54" t="str">
        <f>_xlfn.IFNA(VLOOKUP(U86,'Incoming Material Report'!A:Z,5,FALSE),"")</f>
        <v/>
      </c>
      <c r="AS86" s="54"/>
      <c r="AT86" s="54" t="str">
        <f>_xlfn.IFNA(VLOOKUP(U86,'Incoming Material Report'!A:Z,6,FALSE),"")</f>
        <v/>
      </c>
      <c r="AU86" s="54" t="str">
        <f>_xlfn.IFNA(VLOOKUP(U86,'Incoming Material Report'!A:Z,8,FALSE),"")</f>
        <v/>
      </c>
      <c r="AZ86" t="str">
        <f>_xlfn.IFNA(VLOOKUP(U86,'GRPO Wiz Individual'!AP:BT,17,FALSE),"")</f>
        <v/>
      </c>
      <c r="BA86" t="str">
        <f>_xlfn.IFNA(VLOOKUP(U86,'GRPO Wiz Individual'!AP:BT,18,FALSE),"")</f>
        <v/>
      </c>
      <c r="BB86" t="str">
        <f>_xlfn.IFNA(VLOOKUP(U86,'GRPO Wiz Individual'!AP:BT,19,FALSE),"")</f>
        <v/>
      </c>
      <c r="BC86" t="str">
        <f>_xlfn.IFNA(VLOOKUP(U86,'GRPO Wiz Individual'!AP:BT,20,FALSE),"")</f>
        <v/>
      </c>
      <c r="BD86" t="str">
        <f>_xlfn.IFNA(VLOOKUP(U86,'GRPO Wiz Individual'!AP:BT,21,FALSE),"")</f>
        <v/>
      </c>
      <c r="BE86" t="str">
        <f>_xlfn.IFNA((VLOOKUP(U86,'GRPO Wiz Individual'!AP:BT,22,FALSE)),"")</f>
        <v/>
      </c>
      <c r="BF86" t="str">
        <f>_xlfn.IFNA(VLOOKUP(U86,'GRPO Wiz Individual'!AP:BT,26,FALSE),"")</f>
        <v/>
      </c>
      <c r="BG86" t="str">
        <f>_xlfn.IFNA(VLOOKUP(U86,'GRPO Wiz Individual'!AP:BQ,28,FALSE),"")</f>
        <v/>
      </c>
      <c r="BH86" t="str">
        <f>_xlfn.IFNA(VLOOKUP(U86,'GRPO Wiz Individual'!AP:BN,25,FALSE),"")</f>
        <v/>
      </c>
      <c r="BI86" t="str">
        <f>_xlfn.IFNA(VLOOKUP(U86,'GRPO Wiz Individual'!AP:BT,31,FALSE),"")</f>
        <v/>
      </c>
      <c r="BJ86" t="str">
        <f>_xlfn.IFNA(VLOOKUP(U86,'GRPO Wiz Individual'!AP:BZ,32,FALSE),"")</f>
        <v/>
      </c>
      <c r="BK86" t="str">
        <f>_xlfn.IFNA(VLOOKUP(U86,'GRPO Wiz Individual'!AP:BZ,27,FALSE),"")</f>
        <v/>
      </c>
      <c r="BL86" t="str">
        <f>_xlfn.IFNA(VALUE(VLOOKUP(U86,'GRPO Wiz Individual'!AP:BZ,29,FALSE)),"")</f>
        <v/>
      </c>
      <c r="BM86" t="str">
        <f>_xlfn.IFNA(VLOOKUP(U86,'GRPO Wiz Individual'!AP:BZ,33,FALSE),"")</f>
        <v/>
      </c>
    </row>
    <row r="87" spans="2:65" x14ac:dyDescent="0.25">
      <c r="B87" t="str">
        <f t="shared" si="4"/>
        <v/>
      </c>
      <c r="J87" s="43" t="str">
        <f t="shared" si="5"/>
        <v/>
      </c>
      <c r="X87" t="str">
        <f t="shared" si="3"/>
        <v/>
      </c>
      <c r="AG87" t="str">
        <f>_xlfn.IFNA(VLOOKUP(U87,'Incoming Material Report'!A:M,13,FALSE),"")</f>
        <v/>
      </c>
      <c r="AH87" t="str">
        <f>_xlfn.IFNA(IF(VLOOKUP(U87,'Incoming Material Report'!A:N,14,FALSE)="","",VLOOKUP(U87,'Incoming Material Report'!A:N,14,FALSE)),"")</f>
        <v/>
      </c>
      <c r="AI87" t="str">
        <f>_xlfn.IFNA(VLOOKUP(U87,'Incoming Material Report'!A:Z,24,FALSE),"")</f>
        <v/>
      </c>
      <c r="AJ87" t="str">
        <f>_xlfn.IFNA(VLOOKUP(U87,'Incoming Material Report'!A:Z,25,FALSE),"")</f>
        <v/>
      </c>
      <c r="AK87" t="str">
        <f>_xlfn.IFNA(VLOOKUP(U87,'Incoming Material Report'!A:Z,26,FALSE),"")</f>
        <v/>
      </c>
      <c r="AL87" t="str">
        <f>_xlfn.IFNA(VLOOKUP(U87,'Incoming Material Report'!A:Z,2,FALSE),"")</f>
        <v/>
      </c>
      <c r="AM87" s="54" t="str">
        <f>_xlfn.IFNA(VLOOKUP(U87,'Incoming Material Report'!A:K,11,FALSE)/1000,"")</f>
        <v/>
      </c>
      <c r="AN87" s="54"/>
      <c r="AO87" s="54" t="str">
        <f>_xlfn.IFNA(VLOOKUP(U87,'Incoming Material Report'!A:R,18,FALSE)*1000,"")</f>
        <v/>
      </c>
      <c r="AP87" s="54"/>
      <c r="AQ87" s="54" t="str">
        <f>_xlfn.IFNA(TEXT(VLOOKUP(U87,'Incoming Material Report'!A:D,4,FALSE),"dd.mm.yy"),"")</f>
        <v/>
      </c>
      <c r="AR87" s="54" t="str">
        <f>_xlfn.IFNA(VLOOKUP(U87,'Incoming Material Report'!A:Z,5,FALSE),"")</f>
        <v/>
      </c>
      <c r="AS87" s="54"/>
      <c r="AT87" s="54" t="str">
        <f>_xlfn.IFNA(VLOOKUP(U87,'Incoming Material Report'!A:Z,6,FALSE),"")</f>
        <v/>
      </c>
      <c r="AU87" s="54" t="str">
        <f>_xlfn.IFNA(VLOOKUP(U87,'Incoming Material Report'!A:Z,8,FALSE),"")</f>
        <v/>
      </c>
      <c r="AZ87" t="str">
        <f>_xlfn.IFNA(VLOOKUP(U87,'GRPO Wiz Individual'!AP:BT,17,FALSE),"")</f>
        <v/>
      </c>
      <c r="BA87" t="str">
        <f>_xlfn.IFNA(VLOOKUP(U87,'GRPO Wiz Individual'!AP:BT,18,FALSE),"")</f>
        <v/>
      </c>
      <c r="BB87" t="str">
        <f>_xlfn.IFNA(VLOOKUP(U87,'GRPO Wiz Individual'!AP:BT,19,FALSE),"")</f>
        <v/>
      </c>
      <c r="BC87" t="str">
        <f>_xlfn.IFNA(VLOOKUP(U87,'GRPO Wiz Individual'!AP:BT,20,FALSE),"")</f>
        <v/>
      </c>
      <c r="BD87" t="str">
        <f>_xlfn.IFNA(VLOOKUP(U87,'GRPO Wiz Individual'!AP:BT,21,FALSE),"")</f>
        <v/>
      </c>
      <c r="BE87" t="str">
        <f>_xlfn.IFNA((VLOOKUP(U87,'GRPO Wiz Individual'!AP:BT,22,FALSE)),"")</f>
        <v/>
      </c>
      <c r="BF87" t="str">
        <f>_xlfn.IFNA(VLOOKUP(U87,'GRPO Wiz Individual'!AP:BT,26,FALSE),"")</f>
        <v/>
      </c>
      <c r="BG87" t="str">
        <f>_xlfn.IFNA(VLOOKUP(U87,'GRPO Wiz Individual'!AP:BQ,28,FALSE),"")</f>
        <v/>
      </c>
      <c r="BH87" t="str">
        <f>_xlfn.IFNA(VLOOKUP(U87,'GRPO Wiz Individual'!AP:BN,25,FALSE),"")</f>
        <v/>
      </c>
      <c r="BI87" t="str">
        <f>_xlfn.IFNA(VLOOKUP(U87,'GRPO Wiz Individual'!AP:BT,31,FALSE),"")</f>
        <v/>
      </c>
      <c r="BJ87" t="str">
        <f>_xlfn.IFNA(VLOOKUP(U87,'GRPO Wiz Individual'!AP:BZ,32,FALSE),"")</f>
        <v/>
      </c>
      <c r="BK87" t="str">
        <f>_xlfn.IFNA(VLOOKUP(U87,'GRPO Wiz Individual'!AP:BZ,27,FALSE),"")</f>
        <v/>
      </c>
      <c r="BL87" t="str">
        <f>_xlfn.IFNA(VALUE(VLOOKUP(U87,'GRPO Wiz Individual'!AP:BZ,29,FALSE)),"")</f>
        <v/>
      </c>
      <c r="BM87" t="str">
        <f>_xlfn.IFNA(VLOOKUP(U87,'GRPO Wiz Individual'!AP:BZ,33,FALSE),"")</f>
        <v/>
      </c>
    </row>
    <row r="88" spans="2:65" x14ac:dyDescent="0.25">
      <c r="B88" t="str">
        <f t="shared" si="4"/>
        <v/>
      </c>
      <c r="J88" s="43" t="str">
        <f t="shared" si="5"/>
        <v/>
      </c>
      <c r="X88" t="str">
        <f t="shared" si="3"/>
        <v/>
      </c>
      <c r="AG88" t="str">
        <f>_xlfn.IFNA(VLOOKUP(U88,'Incoming Material Report'!A:M,13,FALSE),"")</f>
        <v/>
      </c>
      <c r="AH88" t="str">
        <f>_xlfn.IFNA(IF(VLOOKUP(U88,'Incoming Material Report'!A:N,14,FALSE)="","",VLOOKUP(U88,'Incoming Material Report'!A:N,14,FALSE)),"")</f>
        <v/>
      </c>
      <c r="AI88" t="str">
        <f>_xlfn.IFNA(VLOOKUP(U88,'Incoming Material Report'!A:Z,24,FALSE),"")</f>
        <v/>
      </c>
      <c r="AJ88" t="str">
        <f>_xlfn.IFNA(VLOOKUP(U88,'Incoming Material Report'!A:Z,25,FALSE),"")</f>
        <v/>
      </c>
      <c r="AK88" t="str">
        <f>_xlfn.IFNA(VLOOKUP(U88,'Incoming Material Report'!A:Z,26,FALSE),"")</f>
        <v/>
      </c>
      <c r="AL88" t="str">
        <f>_xlfn.IFNA(VLOOKUP(U88,'Incoming Material Report'!A:Z,2,FALSE),"")</f>
        <v/>
      </c>
      <c r="AM88" s="54" t="str">
        <f>_xlfn.IFNA(VLOOKUP(U88,'Incoming Material Report'!A:K,11,FALSE)/1000,"")</f>
        <v/>
      </c>
      <c r="AN88" s="54"/>
      <c r="AO88" s="54" t="str">
        <f>_xlfn.IFNA(VLOOKUP(U88,'Incoming Material Report'!A:R,18,FALSE)*1000,"")</f>
        <v/>
      </c>
      <c r="AP88" s="54"/>
      <c r="AQ88" s="54" t="str">
        <f>_xlfn.IFNA(TEXT(VLOOKUP(U88,'Incoming Material Report'!A:D,4,FALSE),"dd.mm.yy"),"")</f>
        <v/>
      </c>
      <c r="AR88" s="54" t="str">
        <f>_xlfn.IFNA(VLOOKUP(U88,'Incoming Material Report'!A:Z,5,FALSE),"")</f>
        <v/>
      </c>
      <c r="AS88" s="54"/>
      <c r="AT88" s="54" t="str">
        <f>_xlfn.IFNA(VLOOKUP(U88,'Incoming Material Report'!A:Z,6,FALSE),"")</f>
        <v/>
      </c>
      <c r="AU88" s="54" t="str">
        <f>_xlfn.IFNA(VLOOKUP(U88,'Incoming Material Report'!A:Z,8,FALSE),"")</f>
        <v/>
      </c>
      <c r="AZ88" t="str">
        <f>_xlfn.IFNA(VLOOKUP(U88,'GRPO Wiz Individual'!AP:BT,17,FALSE),"")</f>
        <v/>
      </c>
      <c r="BA88" t="str">
        <f>_xlfn.IFNA(VLOOKUP(U88,'GRPO Wiz Individual'!AP:BT,18,FALSE),"")</f>
        <v/>
      </c>
      <c r="BB88" t="str">
        <f>_xlfn.IFNA(VLOOKUP(U88,'GRPO Wiz Individual'!AP:BT,19,FALSE),"")</f>
        <v/>
      </c>
      <c r="BC88" t="str">
        <f>_xlfn.IFNA(VLOOKUP(U88,'GRPO Wiz Individual'!AP:BT,20,FALSE),"")</f>
        <v/>
      </c>
      <c r="BD88" t="str">
        <f>_xlfn.IFNA(VLOOKUP(U88,'GRPO Wiz Individual'!AP:BT,21,FALSE),"")</f>
        <v/>
      </c>
      <c r="BE88" t="str">
        <f>_xlfn.IFNA((VLOOKUP(U88,'GRPO Wiz Individual'!AP:BT,22,FALSE)),"")</f>
        <v/>
      </c>
      <c r="BF88" t="str">
        <f>_xlfn.IFNA(VLOOKUP(U88,'GRPO Wiz Individual'!AP:BT,26,FALSE),"")</f>
        <v/>
      </c>
      <c r="BG88" t="str">
        <f>_xlfn.IFNA(VLOOKUP(U88,'GRPO Wiz Individual'!AP:BQ,28,FALSE),"")</f>
        <v/>
      </c>
      <c r="BH88" t="str">
        <f>_xlfn.IFNA(VLOOKUP(U88,'GRPO Wiz Individual'!AP:BN,25,FALSE),"")</f>
        <v/>
      </c>
      <c r="BI88" t="str">
        <f>_xlfn.IFNA(VLOOKUP(U88,'GRPO Wiz Individual'!AP:BT,31,FALSE),"")</f>
        <v/>
      </c>
      <c r="BJ88" t="str">
        <f>_xlfn.IFNA(VLOOKUP(U88,'GRPO Wiz Individual'!AP:BZ,32,FALSE),"")</f>
        <v/>
      </c>
      <c r="BK88" t="str">
        <f>_xlfn.IFNA(VLOOKUP(U88,'GRPO Wiz Individual'!AP:BZ,27,FALSE),"")</f>
        <v/>
      </c>
      <c r="BL88" t="str">
        <f>_xlfn.IFNA(VALUE(VLOOKUP(U88,'GRPO Wiz Individual'!AP:BZ,29,FALSE)),"")</f>
        <v/>
      </c>
      <c r="BM88" t="str">
        <f>_xlfn.IFNA(VLOOKUP(U88,'GRPO Wiz Individual'!AP:BZ,33,FALSE),"")</f>
        <v/>
      </c>
    </row>
    <row r="89" spans="2:65" x14ac:dyDescent="0.25">
      <c r="B89" t="str">
        <f t="shared" si="4"/>
        <v/>
      </c>
      <c r="J89" s="43" t="str">
        <f t="shared" si="5"/>
        <v/>
      </c>
      <c r="X89" t="str">
        <f t="shared" si="3"/>
        <v/>
      </c>
      <c r="AG89" t="str">
        <f>_xlfn.IFNA(VLOOKUP(U89,'Incoming Material Report'!A:M,13,FALSE),"")</f>
        <v/>
      </c>
      <c r="AH89" t="str">
        <f>_xlfn.IFNA(IF(VLOOKUP(U89,'Incoming Material Report'!A:N,14,FALSE)="","",VLOOKUP(U89,'Incoming Material Report'!A:N,14,FALSE)),"")</f>
        <v/>
      </c>
      <c r="AI89" t="str">
        <f>_xlfn.IFNA(VLOOKUP(U89,'Incoming Material Report'!A:Z,24,FALSE),"")</f>
        <v/>
      </c>
      <c r="AJ89" t="str">
        <f>_xlfn.IFNA(VLOOKUP(U89,'Incoming Material Report'!A:Z,25,FALSE),"")</f>
        <v/>
      </c>
      <c r="AK89" t="str">
        <f>_xlfn.IFNA(VLOOKUP(U89,'Incoming Material Report'!A:Z,26,FALSE),"")</f>
        <v/>
      </c>
      <c r="AL89" t="str">
        <f>_xlfn.IFNA(VLOOKUP(U89,'Incoming Material Report'!A:Z,2,FALSE),"")</f>
        <v/>
      </c>
      <c r="AM89" s="54" t="str">
        <f>_xlfn.IFNA(VLOOKUP(U89,'Incoming Material Report'!A:K,11,FALSE)/1000,"")</f>
        <v/>
      </c>
      <c r="AN89" s="54"/>
      <c r="AO89" s="54" t="str">
        <f>_xlfn.IFNA(VLOOKUP(U89,'Incoming Material Report'!A:R,18,FALSE)*1000,"")</f>
        <v/>
      </c>
      <c r="AP89" s="54"/>
      <c r="AQ89" s="54" t="str">
        <f>_xlfn.IFNA(TEXT(VLOOKUP(U89,'Incoming Material Report'!A:D,4,FALSE),"dd.mm.yy"),"")</f>
        <v/>
      </c>
      <c r="AR89" s="54" t="str">
        <f>_xlfn.IFNA(VLOOKUP(U89,'Incoming Material Report'!A:Z,5,FALSE),"")</f>
        <v/>
      </c>
      <c r="AS89" s="54"/>
      <c r="AT89" s="54" t="str">
        <f>_xlfn.IFNA(VLOOKUP(U89,'Incoming Material Report'!A:Z,6,FALSE),"")</f>
        <v/>
      </c>
      <c r="AU89" s="54" t="str">
        <f>_xlfn.IFNA(VLOOKUP(U89,'Incoming Material Report'!A:Z,8,FALSE),"")</f>
        <v/>
      </c>
      <c r="AZ89" t="str">
        <f>_xlfn.IFNA(VLOOKUP(U89,'GRPO Wiz Individual'!AP:BT,17,FALSE),"")</f>
        <v/>
      </c>
      <c r="BA89" t="str">
        <f>_xlfn.IFNA(VLOOKUP(U89,'GRPO Wiz Individual'!AP:BT,18,FALSE),"")</f>
        <v/>
      </c>
      <c r="BB89" t="str">
        <f>_xlfn.IFNA(VLOOKUP(U89,'GRPO Wiz Individual'!AP:BT,19,FALSE),"")</f>
        <v/>
      </c>
      <c r="BC89" t="str">
        <f>_xlfn.IFNA(VLOOKUP(U89,'GRPO Wiz Individual'!AP:BT,20,FALSE),"")</f>
        <v/>
      </c>
      <c r="BD89" t="str">
        <f>_xlfn.IFNA(VLOOKUP(U89,'GRPO Wiz Individual'!AP:BT,21,FALSE),"")</f>
        <v/>
      </c>
      <c r="BE89" t="str">
        <f>_xlfn.IFNA((VLOOKUP(U89,'GRPO Wiz Individual'!AP:BT,22,FALSE)),"")</f>
        <v/>
      </c>
      <c r="BF89" t="str">
        <f>_xlfn.IFNA(VLOOKUP(U89,'GRPO Wiz Individual'!AP:BT,26,FALSE),"")</f>
        <v/>
      </c>
      <c r="BG89" t="str">
        <f>_xlfn.IFNA(VLOOKUP(U89,'GRPO Wiz Individual'!AP:BQ,28,FALSE),"")</f>
        <v/>
      </c>
      <c r="BH89" t="str">
        <f>_xlfn.IFNA(VLOOKUP(U89,'GRPO Wiz Individual'!AP:BN,25,FALSE),"")</f>
        <v/>
      </c>
      <c r="BI89" t="str">
        <f>_xlfn.IFNA(VLOOKUP(U89,'GRPO Wiz Individual'!AP:BT,31,FALSE),"")</f>
        <v/>
      </c>
      <c r="BJ89" t="str">
        <f>_xlfn.IFNA(VLOOKUP(U89,'GRPO Wiz Individual'!AP:BZ,32,FALSE),"")</f>
        <v/>
      </c>
      <c r="BK89" t="str">
        <f>_xlfn.IFNA(VLOOKUP(U89,'GRPO Wiz Individual'!AP:BZ,27,FALSE),"")</f>
        <v/>
      </c>
      <c r="BL89" t="str">
        <f>_xlfn.IFNA(VALUE(VLOOKUP(U89,'GRPO Wiz Individual'!AP:BZ,29,FALSE)),"")</f>
        <v/>
      </c>
      <c r="BM89" t="str">
        <f>_xlfn.IFNA(VLOOKUP(U89,'GRPO Wiz Individual'!AP:BZ,33,FALSE),"")</f>
        <v/>
      </c>
    </row>
    <row r="90" spans="2:65" x14ac:dyDescent="0.25">
      <c r="B90" t="str">
        <f t="shared" si="4"/>
        <v/>
      </c>
      <c r="J90" s="43" t="str">
        <f t="shared" si="5"/>
        <v/>
      </c>
      <c r="X90" t="str">
        <f t="shared" si="3"/>
        <v/>
      </c>
      <c r="AG90" t="str">
        <f>_xlfn.IFNA(VLOOKUP(U90,'Incoming Material Report'!A:M,13,FALSE),"")</f>
        <v/>
      </c>
      <c r="AH90" t="str">
        <f>_xlfn.IFNA(IF(VLOOKUP(U90,'Incoming Material Report'!A:N,14,FALSE)="","",VLOOKUP(U90,'Incoming Material Report'!A:N,14,FALSE)),"")</f>
        <v/>
      </c>
      <c r="AI90" t="str">
        <f>_xlfn.IFNA(VLOOKUP(U90,'Incoming Material Report'!A:Z,24,FALSE),"")</f>
        <v/>
      </c>
      <c r="AJ90" t="str">
        <f>_xlfn.IFNA(VLOOKUP(U90,'Incoming Material Report'!A:Z,25,FALSE),"")</f>
        <v/>
      </c>
      <c r="AK90" t="str">
        <f>_xlfn.IFNA(VLOOKUP(U90,'Incoming Material Report'!A:Z,26,FALSE),"")</f>
        <v/>
      </c>
      <c r="AL90" t="str">
        <f>_xlfn.IFNA(VLOOKUP(U90,'Incoming Material Report'!A:Z,2,FALSE),"")</f>
        <v/>
      </c>
      <c r="AM90" s="54" t="str">
        <f>_xlfn.IFNA(VLOOKUP(U90,'Incoming Material Report'!A:K,11,FALSE)/1000,"")</f>
        <v/>
      </c>
      <c r="AN90" s="54"/>
      <c r="AO90" s="54" t="str">
        <f>_xlfn.IFNA(VLOOKUP(U90,'Incoming Material Report'!A:R,18,FALSE)*1000,"")</f>
        <v/>
      </c>
      <c r="AP90" s="54"/>
      <c r="AQ90" s="54" t="str">
        <f>_xlfn.IFNA(TEXT(VLOOKUP(U90,'Incoming Material Report'!A:D,4,FALSE),"dd.mm.yy"),"")</f>
        <v/>
      </c>
      <c r="AR90" s="54" t="str">
        <f>_xlfn.IFNA(VLOOKUP(U90,'Incoming Material Report'!A:Z,5,FALSE),"")</f>
        <v/>
      </c>
      <c r="AS90" s="54"/>
      <c r="AT90" s="54" t="str">
        <f>_xlfn.IFNA(VLOOKUP(U90,'Incoming Material Report'!A:Z,6,FALSE),"")</f>
        <v/>
      </c>
      <c r="AU90" s="54" t="str">
        <f>_xlfn.IFNA(VLOOKUP(U90,'Incoming Material Report'!A:Z,8,FALSE),"")</f>
        <v/>
      </c>
      <c r="AZ90" t="str">
        <f>_xlfn.IFNA(VLOOKUP(U90,'GRPO Wiz Individual'!AP:BT,17,FALSE),"")</f>
        <v/>
      </c>
      <c r="BA90" t="str">
        <f>_xlfn.IFNA(VLOOKUP(U90,'GRPO Wiz Individual'!AP:BT,18,FALSE),"")</f>
        <v/>
      </c>
      <c r="BB90" t="str">
        <f>_xlfn.IFNA(VLOOKUP(U90,'GRPO Wiz Individual'!AP:BT,19,FALSE),"")</f>
        <v/>
      </c>
      <c r="BC90" t="str">
        <f>_xlfn.IFNA(VLOOKUP(U90,'GRPO Wiz Individual'!AP:BT,20,FALSE),"")</f>
        <v/>
      </c>
      <c r="BD90" t="str">
        <f>_xlfn.IFNA(VLOOKUP(U90,'GRPO Wiz Individual'!AP:BT,21,FALSE),"")</f>
        <v/>
      </c>
      <c r="BE90" t="str">
        <f>_xlfn.IFNA((VLOOKUP(U90,'GRPO Wiz Individual'!AP:BT,22,FALSE)),"")</f>
        <v/>
      </c>
      <c r="BF90" t="str">
        <f>_xlfn.IFNA(VLOOKUP(U90,'GRPO Wiz Individual'!AP:BT,26,FALSE),"")</f>
        <v/>
      </c>
      <c r="BG90" t="str">
        <f>_xlfn.IFNA(VLOOKUP(U90,'GRPO Wiz Individual'!AP:BQ,28,FALSE),"")</f>
        <v/>
      </c>
      <c r="BH90" t="str">
        <f>_xlfn.IFNA(VLOOKUP(U90,'GRPO Wiz Individual'!AP:BN,25,FALSE),"")</f>
        <v/>
      </c>
      <c r="BI90" t="str">
        <f>_xlfn.IFNA(VLOOKUP(U90,'GRPO Wiz Individual'!AP:BT,31,FALSE),"")</f>
        <v/>
      </c>
      <c r="BJ90" t="str">
        <f>_xlfn.IFNA(VLOOKUP(U90,'GRPO Wiz Individual'!AP:BZ,32,FALSE),"")</f>
        <v/>
      </c>
      <c r="BK90" t="str">
        <f>_xlfn.IFNA(VLOOKUP(U90,'GRPO Wiz Individual'!AP:BZ,27,FALSE),"")</f>
        <v/>
      </c>
      <c r="BL90" t="str">
        <f>_xlfn.IFNA(VALUE(VLOOKUP(U90,'GRPO Wiz Individual'!AP:BZ,29,FALSE)),"")</f>
        <v/>
      </c>
      <c r="BM90" t="str">
        <f>_xlfn.IFNA(VLOOKUP(U90,'GRPO Wiz Individual'!AP:BZ,33,FALSE),"")</f>
        <v/>
      </c>
    </row>
    <row r="91" spans="2:65" x14ac:dyDescent="0.25">
      <c r="B91" t="str">
        <f t="shared" si="4"/>
        <v/>
      </c>
      <c r="J91" s="43" t="str">
        <f t="shared" si="5"/>
        <v/>
      </c>
      <c r="X91" t="str">
        <f t="shared" si="3"/>
        <v/>
      </c>
      <c r="AG91" t="str">
        <f>_xlfn.IFNA(VLOOKUP(U91,'Incoming Material Report'!A:M,13,FALSE),"")</f>
        <v/>
      </c>
      <c r="AH91" t="str">
        <f>_xlfn.IFNA(IF(VLOOKUP(U91,'Incoming Material Report'!A:N,14,FALSE)="","",VLOOKUP(U91,'Incoming Material Report'!A:N,14,FALSE)),"")</f>
        <v/>
      </c>
      <c r="AI91" t="str">
        <f>_xlfn.IFNA(VLOOKUP(U91,'Incoming Material Report'!A:Z,24,FALSE),"")</f>
        <v/>
      </c>
      <c r="AJ91" t="str">
        <f>_xlfn.IFNA(VLOOKUP(U91,'Incoming Material Report'!A:Z,25,FALSE),"")</f>
        <v/>
      </c>
      <c r="AK91" t="str">
        <f>_xlfn.IFNA(VLOOKUP(U91,'Incoming Material Report'!A:Z,26,FALSE),"")</f>
        <v/>
      </c>
      <c r="AL91" t="str">
        <f>_xlfn.IFNA(VLOOKUP(U91,'Incoming Material Report'!A:Z,2,FALSE),"")</f>
        <v/>
      </c>
      <c r="AM91" s="54" t="str">
        <f>_xlfn.IFNA(VLOOKUP(U91,'Incoming Material Report'!A:K,11,FALSE)/1000,"")</f>
        <v/>
      </c>
      <c r="AN91" s="54"/>
      <c r="AO91" s="54" t="str">
        <f>_xlfn.IFNA(VLOOKUP(U91,'Incoming Material Report'!A:R,18,FALSE)*1000,"")</f>
        <v/>
      </c>
      <c r="AP91" s="54"/>
      <c r="AQ91" s="54" t="str">
        <f>_xlfn.IFNA(TEXT(VLOOKUP(U91,'Incoming Material Report'!A:D,4,FALSE),"dd.mm.yy"),"")</f>
        <v/>
      </c>
      <c r="AR91" s="54" t="str">
        <f>_xlfn.IFNA(VLOOKUP(U91,'Incoming Material Report'!A:Z,5,FALSE),"")</f>
        <v/>
      </c>
      <c r="AS91" s="54"/>
      <c r="AT91" s="54" t="str">
        <f>_xlfn.IFNA(VLOOKUP(U91,'Incoming Material Report'!A:Z,6,FALSE),"")</f>
        <v/>
      </c>
      <c r="AU91" s="54" t="str">
        <f>_xlfn.IFNA(VLOOKUP(U91,'Incoming Material Report'!A:Z,8,FALSE),"")</f>
        <v/>
      </c>
      <c r="AZ91" t="str">
        <f>_xlfn.IFNA(VLOOKUP(U91,'GRPO Wiz Individual'!AP:BT,17,FALSE),"")</f>
        <v/>
      </c>
      <c r="BA91" t="str">
        <f>_xlfn.IFNA(VLOOKUP(U91,'GRPO Wiz Individual'!AP:BT,18,FALSE),"")</f>
        <v/>
      </c>
      <c r="BB91" t="str">
        <f>_xlfn.IFNA(VLOOKUP(U91,'GRPO Wiz Individual'!AP:BT,19,FALSE),"")</f>
        <v/>
      </c>
      <c r="BC91" t="str">
        <f>_xlfn.IFNA(VLOOKUP(U91,'GRPO Wiz Individual'!AP:BT,20,FALSE),"")</f>
        <v/>
      </c>
      <c r="BD91" t="str">
        <f>_xlfn.IFNA(VLOOKUP(U91,'GRPO Wiz Individual'!AP:BT,21,FALSE),"")</f>
        <v/>
      </c>
      <c r="BE91" t="str">
        <f>_xlfn.IFNA((VLOOKUP(U91,'GRPO Wiz Individual'!AP:BT,22,FALSE)),"")</f>
        <v/>
      </c>
      <c r="BF91" t="str">
        <f>_xlfn.IFNA(VLOOKUP(U91,'GRPO Wiz Individual'!AP:BT,26,FALSE),"")</f>
        <v/>
      </c>
      <c r="BG91" t="str">
        <f>_xlfn.IFNA(VLOOKUP(U91,'GRPO Wiz Individual'!AP:BQ,28,FALSE),"")</f>
        <v/>
      </c>
      <c r="BH91" t="str">
        <f>_xlfn.IFNA(VLOOKUP(U91,'GRPO Wiz Individual'!AP:BN,25,FALSE),"")</f>
        <v/>
      </c>
      <c r="BI91" t="str">
        <f>_xlfn.IFNA(VLOOKUP(U91,'GRPO Wiz Individual'!AP:BT,31,FALSE),"")</f>
        <v/>
      </c>
      <c r="BJ91" t="str">
        <f>_xlfn.IFNA(VLOOKUP(U91,'GRPO Wiz Individual'!AP:BZ,32,FALSE),"")</f>
        <v/>
      </c>
      <c r="BK91" t="str">
        <f>_xlfn.IFNA(VLOOKUP(U91,'GRPO Wiz Individual'!AP:BZ,27,FALSE),"")</f>
        <v/>
      </c>
      <c r="BL91" t="str">
        <f>_xlfn.IFNA(VALUE(VLOOKUP(U91,'GRPO Wiz Individual'!AP:BZ,29,FALSE)),"")</f>
        <v/>
      </c>
      <c r="BM91" t="str">
        <f>_xlfn.IFNA(VLOOKUP(U91,'GRPO Wiz Individual'!AP:BZ,33,FALSE),"")</f>
        <v/>
      </c>
    </row>
    <row r="92" spans="2:65" x14ac:dyDescent="0.25">
      <c r="B92" t="str">
        <f t="shared" si="4"/>
        <v/>
      </c>
      <c r="J92" s="43" t="str">
        <f t="shared" si="5"/>
        <v/>
      </c>
      <c r="X92" t="str">
        <f t="shared" si="3"/>
        <v/>
      </c>
      <c r="AG92" t="str">
        <f>_xlfn.IFNA(VLOOKUP(U92,'Incoming Material Report'!A:M,13,FALSE),"")</f>
        <v/>
      </c>
      <c r="AH92" t="str">
        <f>_xlfn.IFNA(IF(VLOOKUP(U92,'Incoming Material Report'!A:N,14,FALSE)="","",VLOOKUP(U92,'Incoming Material Report'!A:N,14,FALSE)),"")</f>
        <v/>
      </c>
      <c r="AI92" t="str">
        <f>_xlfn.IFNA(VLOOKUP(U92,'Incoming Material Report'!A:Z,24,FALSE),"")</f>
        <v/>
      </c>
      <c r="AJ92" t="str">
        <f>_xlfn.IFNA(VLOOKUP(U92,'Incoming Material Report'!A:Z,25,FALSE),"")</f>
        <v/>
      </c>
      <c r="AK92" t="str">
        <f>_xlfn.IFNA(VLOOKUP(U92,'Incoming Material Report'!A:Z,26,FALSE),"")</f>
        <v/>
      </c>
      <c r="AL92" t="str">
        <f>_xlfn.IFNA(VLOOKUP(U92,'Incoming Material Report'!A:Z,2,FALSE),"")</f>
        <v/>
      </c>
      <c r="AM92" s="54" t="str">
        <f>_xlfn.IFNA(VLOOKUP(U92,'Incoming Material Report'!A:K,11,FALSE)/1000,"")</f>
        <v/>
      </c>
      <c r="AN92" s="54"/>
      <c r="AO92" s="54" t="str">
        <f>_xlfn.IFNA(VLOOKUP(U92,'Incoming Material Report'!A:R,18,FALSE)*1000,"")</f>
        <v/>
      </c>
      <c r="AP92" s="54"/>
      <c r="AQ92" s="54" t="str">
        <f>_xlfn.IFNA(TEXT(VLOOKUP(U92,'Incoming Material Report'!A:D,4,FALSE),"dd.mm.yy"),"")</f>
        <v/>
      </c>
      <c r="AR92" s="54" t="str">
        <f>_xlfn.IFNA(VLOOKUP(U92,'Incoming Material Report'!A:Z,5,FALSE),"")</f>
        <v/>
      </c>
      <c r="AS92" s="54"/>
      <c r="AT92" s="54" t="str">
        <f>_xlfn.IFNA(VLOOKUP(U92,'Incoming Material Report'!A:Z,6,FALSE),"")</f>
        <v/>
      </c>
      <c r="AU92" s="54" t="str">
        <f>_xlfn.IFNA(VLOOKUP(U92,'Incoming Material Report'!A:Z,8,FALSE),"")</f>
        <v/>
      </c>
      <c r="AZ92" t="str">
        <f>_xlfn.IFNA(VLOOKUP(U92,'GRPO Wiz Individual'!AP:BT,17,FALSE),"")</f>
        <v/>
      </c>
      <c r="BA92" t="str">
        <f>_xlfn.IFNA(VLOOKUP(U92,'GRPO Wiz Individual'!AP:BT,18,FALSE),"")</f>
        <v/>
      </c>
      <c r="BB92" t="str">
        <f>_xlfn.IFNA(VLOOKUP(U92,'GRPO Wiz Individual'!AP:BT,19,FALSE),"")</f>
        <v/>
      </c>
      <c r="BC92" t="str">
        <f>_xlfn.IFNA(VLOOKUP(U92,'GRPO Wiz Individual'!AP:BT,20,FALSE),"")</f>
        <v/>
      </c>
      <c r="BD92" t="str">
        <f>_xlfn.IFNA(VLOOKUP(U92,'GRPO Wiz Individual'!AP:BT,21,FALSE),"")</f>
        <v/>
      </c>
      <c r="BE92" t="str">
        <f>_xlfn.IFNA((VLOOKUP(U92,'GRPO Wiz Individual'!AP:BT,22,FALSE)),"")</f>
        <v/>
      </c>
      <c r="BF92" t="str">
        <f>_xlfn.IFNA(VLOOKUP(U92,'GRPO Wiz Individual'!AP:BT,26,FALSE),"")</f>
        <v/>
      </c>
      <c r="BG92" t="str">
        <f>_xlfn.IFNA(VLOOKUP(U92,'GRPO Wiz Individual'!AP:BQ,28,FALSE),"")</f>
        <v/>
      </c>
      <c r="BH92" t="str">
        <f>_xlfn.IFNA(VLOOKUP(U92,'GRPO Wiz Individual'!AP:BN,25,FALSE),"")</f>
        <v/>
      </c>
      <c r="BI92" t="str">
        <f>_xlfn.IFNA(VLOOKUP(U92,'GRPO Wiz Individual'!AP:BT,31,FALSE),"")</f>
        <v/>
      </c>
      <c r="BJ92" t="str">
        <f>_xlfn.IFNA(VLOOKUP(U92,'GRPO Wiz Individual'!AP:BZ,32,FALSE),"")</f>
        <v/>
      </c>
      <c r="BK92" t="str">
        <f>_xlfn.IFNA(VLOOKUP(U92,'GRPO Wiz Individual'!AP:BZ,27,FALSE),"")</f>
        <v/>
      </c>
      <c r="BL92" t="str">
        <f>_xlfn.IFNA(VALUE(VLOOKUP(U92,'GRPO Wiz Individual'!AP:BZ,29,FALSE)),"")</f>
        <v/>
      </c>
      <c r="BM92" t="str">
        <f>_xlfn.IFNA(VLOOKUP(U92,'GRPO Wiz Individual'!AP:BZ,33,FALSE),"")</f>
        <v/>
      </c>
    </row>
    <row r="93" spans="2:65" x14ac:dyDescent="0.25">
      <c r="B93" t="str">
        <f t="shared" si="4"/>
        <v/>
      </c>
      <c r="J93" s="43" t="str">
        <f t="shared" si="5"/>
        <v/>
      </c>
      <c r="X93" t="str">
        <f t="shared" si="3"/>
        <v/>
      </c>
      <c r="AG93" t="str">
        <f>_xlfn.IFNA(VLOOKUP(U93,'Incoming Material Report'!A:M,13,FALSE),"")</f>
        <v/>
      </c>
      <c r="AH93" t="str">
        <f>_xlfn.IFNA(IF(VLOOKUP(U93,'Incoming Material Report'!A:N,14,FALSE)="","",VLOOKUP(U93,'Incoming Material Report'!A:N,14,FALSE)),"")</f>
        <v/>
      </c>
      <c r="AI93" t="str">
        <f>_xlfn.IFNA(VLOOKUP(U93,'Incoming Material Report'!A:Z,24,FALSE),"")</f>
        <v/>
      </c>
      <c r="AJ93" t="str">
        <f>_xlfn.IFNA(VLOOKUP(U93,'Incoming Material Report'!A:Z,25,FALSE),"")</f>
        <v/>
      </c>
      <c r="AK93" t="str">
        <f>_xlfn.IFNA(VLOOKUP(U93,'Incoming Material Report'!A:Z,26,FALSE),"")</f>
        <v/>
      </c>
      <c r="AL93" t="str">
        <f>_xlfn.IFNA(VLOOKUP(U93,'Incoming Material Report'!A:Z,2,FALSE),"")</f>
        <v/>
      </c>
      <c r="AM93" s="54" t="str">
        <f>_xlfn.IFNA(VLOOKUP(U93,'Incoming Material Report'!A:K,11,FALSE)/1000,"")</f>
        <v/>
      </c>
      <c r="AN93" s="54"/>
      <c r="AO93" s="54" t="str">
        <f>_xlfn.IFNA(VLOOKUP(U93,'Incoming Material Report'!A:R,18,FALSE)*1000,"")</f>
        <v/>
      </c>
      <c r="AP93" s="54"/>
      <c r="AQ93" s="54" t="str">
        <f>_xlfn.IFNA(TEXT(VLOOKUP(U93,'Incoming Material Report'!A:D,4,FALSE),"dd.mm.yy"),"")</f>
        <v/>
      </c>
      <c r="AR93" s="54" t="str">
        <f>_xlfn.IFNA(VLOOKUP(U93,'Incoming Material Report'!A:Z,5,FALSE),"")</f>
        <v/>
      </c>
      <c r="AS93" s="54"/>
      <c r="AT93" s="54" t="str">
        <f>_xlfn.IFNA(VLOOKUP(U93,'Incoming Material Report'!A:Z,6,FALSE),"")</f>
        <v/>
      </c>
      <c r="AU93" s="54" t="str">
        <f>_xlfn.IFNA(VLOOKUP(U93,'Incoming Material Report'!A:Z,8,FALSE),"")</f>
        <v/>
      </c>
      <c r="AZ93" t="str">
        <f>_xlfn.IFNA(VLOOKUP(U93,'GRPO Wiz Individual'!AP:BT,17,FALSE),"")</f>
        <v/>
      </c>
      <c r="BA93" t="str">
        <f>_xlfn.IFNA(VLOOKUP(U93,'GRPO Wiz Individual'!AP:BT,18,FALSE),"")</f>
        <v/>
      </c>
      <c r="BB93" t="str">
        <f>_xlfn.IFNA(VLOOKUP(U93,'GRPO Wiz Individual'!AP:BT,19,FALSE),"")</f>
        <v/>
      </c>
      <c r="BC93" t="str">
        <f>_xlfn.IFNA(VLOOKUP(U93,'GRPO Wiz Individual'!AP:BT,20,FALSE),"")</f>
        <v/>
      </c>
      <c r="BD93" t="str">
        <f>_xlfn.IFNA(VLOOKUP(U93,'GRPO Wiz Individual'!AP:BT,21,FALSE),"")</f>
        <v/>
      </c>
      <c r="BE93" t="str">
        <f>_xlfn.IFNA((VLOOKUP(U93,'GRPO Wiz Individual'!AP:BT,22,FALSE)),"")</f>
        <v/>
      </c>
      <c r="BF93" t="str">
        <f>_xlfn.IFNA(VLOOKUP(U93,'GRPO Wiz Individual'!AP:BT,26,FALSE),"")</f>
        <v/>
      </c>
      <c r="BG93" t="str">
        <f>_xlfn.IFNA(VLOOKUP(U93,'GRPO Wiz Individual'!AP:BQ,28,FALSE),"")</f>
        <v/>
      </c>
      <c r="BH93" t="str">
        <f>_xlfn.IFNA(VLOOKUP(U93,'GRPO Wiz Individual'!AP:BN,25,FALSE),"")</f>
        <v/>
      </c>
      <c r="BI93" t="str">
        <f>_xlfn.IFNA(VLOOKUP(U93,'GRPO Wiz Individual'!AP:BT,31,FALSE),"")</f>
        <v/>
      </c>
      <c r="BJ93" t="str">
        <f>_xlfn.IFNA(VLOOKUP(U93,'GRPO Wiz Individual'!AP:BZ,32,FALSE),"")</f>
        <v/>
      </c>
      <c r="BK93" t="str">
        <f>_xlfn.IFNA(VLOOKUP(U93,'GRPO Wiz Individual'!AP:BZ,27,FALSE),"")</f>
        <v/>
      </c>
      <c r="BL93" t="str">
        <f>_xlfn.IFNA(VALUE(VLOOKUP(U93,'GRPO Wiz Individual'!AP:BZ,29,FALSE)),"")</f>
        <v/>
      </c>
      <c r="BM93" t="str">
        <f>_xlfn.IFNA(VLOOKUP(U93,'GRPO Wiz Individual'!AP:BZ,33,FALSE),"")</f>
        <v/>
      </c>
    </row>
    <row r="94" spans="2:65" x14ac:dyDescent="0.25">
      <c r="B94" t="str">
        <f t="shared" si="4"/>
        <v/>
      </c>
      <c r="J94" s="43" t="str">
        <f t="shared" si="5"/>
        <v/>
      </c>
      <c r="X94" t="str">
        <f t="shared" si="3"/>
        <v/>
      </c>
      <c r="AG94" t="str">
        <f>_xlfn.IFNA(VLOOKUP(U94,'Incoming Material Report'!A:M,13,FALSE),"")</f>
        <v/>
      </c>
      <c r="AH94" t="str">
        <f>_xlfn.IFNA(IF(VLOOKUP(U94,'Incoming Material Report'!A:N,14,FALSE)="","",VLOOKUP(U94,'Incoming Material Report'!A:N,14,FALSE)),"")</f>
        <v/>
      </c>
      <c r="AI94" t="str">
        <f>_xlfn.IFNA(VLOOKUP(U94,'Incoming Material Report'!A:Z,24,FALSE),"")</f>
        <v/>
      </c>
      <c r="AJ94" t="str">
        <f>_xlfn.IFNA(VLOOKUP(U94,'Incoming Material Report'!A:Z,25,FALSE),"")</f>
        <v/>
      </c>
      <c r="AK94" t="str">
        <f>_xlfn.IFNA(VLOOKUP(U94,'Incoming Material Report'!A:Z,26,FALSE),"")</f>
        <v/>
      </c>
      <c r="AL94" t="str">
        <f>_xlfn.IFNA(VLOOKUP(U94,'Incoming Material Report'!A:Z,2,FALSE),"")</f>
        <v/>
      </c>
      <c r="AM94" s="54" t="str">
        <f>_xlfn.IFNA(VLOOKUP(U94,'Incoming Material Report'!A:K,11,FALSE)/1000,"")</f>
        <v/>
      </c>
      <c r="AN94" s="54"/>
      <c r="AO94" s="54" t="str">
        <f>_xlfn.IFNA(VLOOKUP(U94,'Incoming Material Report'!A:R,18,FALSE)*1000,"")</f>
        <v/>
      </c>
      <c r="AP94" s="54"/>
      <c r="AQ94" s="54" t="str">
        <f>_xlfn.IFNA(TEXT(VLOOKUP(U94,'Incoming Material Report'!A:D,4,FALSE),"dd.mm.yy"),"")</f>
        <v/>
      </c>
      <c r="AR94" s="54" t="str">
        <f>_xlfn.IFNA(VLOOKUP(U94,'Incoming Material Report'!A:Z,5,FALSE),"")</f>
        <v/>
      </c>
      <c r="AS94" s="54"/>
      <c r="AT94" s="54" t="str">
        <f>_xlfn.IFNA(VLOOKUP(U94,'Incoming Material Report'!A:Z,6,FALSE),"")</f>
        <v/>
      </c>
      <c r="AU94" s="54" t="str">
        <f>_xlfn.IFNA(VLOOKUP(U94,'Incoming Material Report'!A:Z,8,FALSE),"")</f>
        <v/>
      </c>
      <c r="AZ94" t="str">
        <f>_xlfn.IFNA(VLOOKUP(U94,'GRPO Wiz Individual'!AP:BT,17,FALSE),"")</f>
        <v/>
      </c>
      <c r="BA94" t="str">
        <f>_xlfn.IFNA(VLOOKUP(U94,'GRPO Wiz Individual'!AP:BT,18,FALSE),"")</f>
        <v/>
      </c>
      <c r="BB94" t="str">
        <f>_xlfn.IFNA(VLOOKUP(U94,'GRPO Wiz Individual'!AP:BT,19,FALSE),"")</f>
        <v/>
      </c>
      <c r="BC94" t="str">
        <f>_xlfn.IFNA(VLOOKUP(U94,'GRPO Wiz Individual'!AP:BT,20,FALSE),"")</f>
        <v/>
      </c>
      <c r="BD94" t="str">
        <f>_xlfn.IFNA(VLOOKUP(U94,'GRPO Wiz Individual'!AP:BT,21,FALSE),"")</f>
        <v/>
      </c>
      <c r="BE94" t="str">
        <f>_xlfn.IFNA((VLOOKUP(U94,'GRPO Wiz Individual'!AP:BT,22,FALSE)),"")</f>
        <v/>
      </c>
      <c r="BF94" t="str">
        <f>_xlfn.IFNA(VLOOKUP(U94,'GRPO Wiz Individual'!AP:BT,26,FALSE),"")</f>
        <v/>
      </c>
      <c r="BG94" t="str">
        <f>_xlfn.IFNA(VLOOKUP(U94,'GRPO Wiz Individual'!AP:BQ,28,FALSE),"")</f>
        <v/>
      </c>
      <c r="BH94" t="str">
        <f>_xlfn.IFNA(VLOOKUP(U94,'GRPO Wiz Individual'!AP:BN,25,FALSE),"")</f>
        <v/>
      </c>
      <c r="BI94" t="str">
        <f>_xlfn.IFNA(VLOOKUP(U94,'GRPO Wiz Individual'!AP:BT,31,FALSE),"")</f>
        <v/>
      </c>
      <c r="BJ94" t="str">
        <f>_xlfn.IFNA(VLOOKUP(U94,'GRPO Wiz Individual'!AP:BZ,32,FALSE),"")</f>
        <v/>
      </c>
      <c r="BK94" t="str">
        <f>_xlfn.IFNA(VLOOKUP(U94,'GRPO Wiz Individual'!AP:BZ,27,FALSE),"")</f>
        <v/>
      </c>
      <c r="BL94" t="str">
        <f>_xlfn.IFNA(VALUE(VLOOKUP(U94,'GRPO Wiz Individual'!AP:BZ,29,FALSE)),"")</f>
        <v/>
      </c>
      <c r="BM94" t="str">
        <f>_xlfn.IFNA(VLOOKUP(U94,'GRPO Wiz Individual'!AP:BZ,33,FALSE),"")</f>
        <v/>
      </c>
    </row>
    <row r="95" spans="2:65" x14ac:dyDescent="0.25">
      <c r="B95" t="str">
        <f t="shared" si="4"/>
        <v/>
      </c>
      <c r="J95" s="43" t="str">
        <f t="shared" si="5"/>
        <v/>
      </c>
      <c r="X95" t="str">
        <f t="shared" si="3"/>
        <v/>
      </c>
      <c r="AG95" t="str">
        <f>_xlfn.IFNA(VLOOKUP(U95,'Incoming Material Report'!A:M,13,FALSE),"")</f>
        <v/>
      </c>
      <c r="AH95" t="str">
        <f>_xlfn.IFNA(IF(VLOOKUP(U95,'Incoming Material Report'!A:N,14,FALSE)="","",VLOOKUP(U95,'Incoming Material Report'!A:N,14,FALSE)),"")</f>
        <v/>
      </c>
      <c r="AI95" t="str">
        <f>_xlfn.IFNA(VLOOKUP(U95,'Incoming Material Report'!A:Z,24,FALSE),"")</f>
        <v/>
      </c>
      <c r="AJ95" t="str">
        <f>_xlfn.IFNA(VLOOKUP(U95,'Incoming Material Report'!A:Z,25,FALSE),"")</f>
        <v/>
      </c>
      <c r="AK95" t="str">
        <f>_xlfn.IFNA(VLOOKUP(U95,'Incoming Material Report'!A:Z,26,FALSE),"")</f>
        <v/>
      </c>
      <c r="AL95" t="str">
        <f>_xlfn.IFNA(VLOOKUP(U95,'Incoming Material Report'!A:Z,2,FALSE),"")</f>
        <v/>
      </c>
      <c r="AM95" s="54" t="str">
        <f>_xlfn.IFNA(VLOOKUP(U95,'Incoming Material Report'!A:K,11,FALSE)/1000,"")</f>
        <v/>
      </c>
      <c r="AN95" s="54"/>
      <c r="AO95" s="54" t="str">
        <f>_xlfn.IFNA(VLOOKUP(U95,'Incoming Material Report'!A:R,18,FALSE)*1000,"")</f>
        <v/>
      </c>
      <c r="AP95" s="54"/>
      <c r="AQ95" s="54" t="str">
        <f>_xlfn.IFNA(TEXT(VLOOKUP(U95,'Incoming Material Report'!A:D,4,FALSE),"dd.mm.yy"),"")</f>
        <v/>
      </c>
      <c r="AR95" s="54" t="str">
        <f>_xlfn.IFNA(VLOOKUP(U95,'Incoming Material Report'!A:Z,5,FALSE),"")</f>
        <v/>
      </c>
      <c r="AS95" s="54"/>
      <c r="AT95" s="54" t="str">
        <f>_xlfn.IFNA(VLOOKUP(U95,'Incoming Material Report'!A:Z,6,FALSE),"")</f>
        <v/>
      </c>
      <c r="AU95" s="54" t="str">
        <f>_xlfn.IFNA(VLOOKUP(U95,'Incoming Material Report'!A:Z,8,FALSE),"")</f>
        <v/>
      </c>
      <c r="AZ95" t="str">
        <f>_xlfn.IFNA(VLOOKUP(U95,'GRPO Wiz Individual'!AP:BT,17,FALSE),"")</f>
        <v/>
      </c>
      <c r="BA95" t="str">
        <f>_xlfn.IFNA(VLOOKUP(U95,'GRPO Wiz Individual'!AP:BT,18,FALSE),"")</f>
        <v/>
      </c>
      <c r="BB95" t="str">
        <f>_xlfn.IFNA(VLOOKUP(U95,'GRPO Wiz Individual'!AP:BT,19,FALSE),"")</f>
        <v/>
      </c>
      <c r="BC95" t="str">
        <f>_xlfn.IFNA(VLOOKUP(U95,'GRPO Wiz Individual'!AP:BT,20,FALSE),"")</f>
        <v/>
      </c>
      <c r="BD95" t="str">
        <f>_xlfn.IFNA(VLOOKUP(U95,'GRPO Wiz Individual'!AP:BT,21,FALSE),"")</f>
        <v/>
      </c>
      <c r="BE95" t="str">
        <f>_xlfn.IFNA((VLOOKUP(U95,'GRPO Wiz Individual'!AP:BT,22,FALSE)),"")</f>
        <v/>
      </c>
      <c r="BF95" t="str">
        <f>_xlfn.IFNA(VLOOKUP(U95,'GRPO Wiz Individual'!AP:BT,26,FALSE),"")</f>
        <v/>
      </c>
      <c r="BG95" t="str">
        <f>_xlfn.IFNA(VLOOKUP(U95,'GRPO Wiz Individual'!AP:BQ,28,FALSE),"")</f>
        <v/>
      </c>
      <c r="BH95" t="str">
        <f>_xlfn.IFNA(VLOOKUP(U95,'GRPO Wiz Individual'!AP:BN,25,FALSE),"")</f>
        <v/>
      </c>
      <c r="BI95" t="str">
        <f>_xlfn.IFNA(VLOOKUP(U95,'GRPO Wiz Individual'!AP:BT,31,FALSE),"")</f>
        <v/>
      </c>
      <c r="BJ95" t="str">
        <f>_xlfn.IFNA(VLOOKUP(U95,'GRPO Wiz Individual'!AP:BZ,32,FALSE),"")</f>
        <v/>
      </c>
      <c r="BK95" t="str">
        <f>_xlfn.IFNA(VLOOKUP(U95,'GRPO Wiz Individual'!AP:BZ,27,FALSE),"")</f>
        <v/>
      </c>
      <c r="BL95" t="str">
        <f>_xlfn.IFNA(VALUE(VLOOKUP(U95,'GRPO Wiz Individual'!AP:BZ,29,FALSE)),"")</f>
        <v/>
      </c>
      <c r="BM95" t="str">
        <f>_xlfn.IFNA(VLOOKUP(U95,'GRPO Wiz Individual'!AP:BZ,33,FALSE),"")</f>
        <v/>
      </c>
    </row>
    <row r="96" spans="2:65" x14ac:dyDescent="0.25">
      <c r="B96" t="str">
        <f t="shared" si="4"/>
        <v/>
      </c>
      <c r="J96" s="43" t="str">
        <f t="shared" si="5"/>
        <v/>
      </c>
      <c r="X96" t="str">
        <f t="shared" si="3"/>
        <v/>
      </c>
      <c r="AG96" t="str">
        <f>_xlfn.IFNA(VLOOKUP(U96,'Incoming Material Report'!A:M,13,FALSE),"")</f>
        <v/>
      </c>
      <c r="AH96" t="str">
        <f>_xlfn.IFNA(IF(VLOOKUP(U96,'Incoming Material Report'!A:N,14,FALSE)="","",VLOOKUP(U96,'Incoming Material Report'!A:N,14,FALSE)),"")</f>
        <v/>
      </c>
      <c r="AI96" t="str">
        <f>_xlfn.IFNA(VLOOKUP(U96,'Incoming Material Report'!A:Z,24,FALSE),"")</f>
        <v/>
      </c>
      <c r="AJ96" t="str">
        <f>_xlfn.IFNA(VLOOKUP(U96,'Incoming Material Report'!A:Z,25,FALSE),"")</f>
        <v/>
      </c>
      <c r="AK96" t="str">
        <f>_xlfn.IFNA(VLOOKUP(U96,'Incoming Material Report'!A:Z,26,FALSE),"")</f>
        <v/>
      </c>
      <c r="AL96" t="str">
        <f>_xlfn.IFNA(VLOOKUP(U96,'Incoming Material Report'!A:Z,2,FALSE),"")</f>
        <v/>
      </c>
      <c r="AM96" s="54" t="str">
        <f>_xlfn.IFNA(VLOOKUP(U96,'Incoming Material Report'!A:K,11,FALSE)/1000,"")</f>
        <v/>
      </c>
      <c r="AN96" s="54"/>
      <c r="AO96" s="54" t="str">
        <f>_xlfn.IFNA(VLOOKUP(U96,'Incoming Material Report'!A:R,18,FALSE)*1000,"")</f>
        <v/>
      </c>
      <c r="AP96" s="54"/>
      <c r="AQ96" s="54" t="str">
        <f>_xlfn.IFNA(TEXT(VLOOKUP(U96,'Incoming Material Report'!A:D,4,FALSE),"dd.mm.yy"),"")</f>
        <v/>
      </c>
      <c r="AR96" s="54" t="str">
        <f>_xlfn.IFNA(VLOOKUP(U96,'Incoming Material Report'!A:Z,5,FALSE),"")</f>
        <v/>
      </c>
      <c r="AS96" s="54"/>
      <c r="AT96" s="54" t="str">
        <f>_xlfn.IFNA(VLOOKUP(U96,'Incoming Material Report'!A:Z,6,FALSE),"")</f>
        <v/>
      </c>
      <c r="AU96" s="54" t="str">
        <f>_xlfn.IFNA(VLOOKUP(U96,'Incoming Material Report'!A:Z,8,FALSE),"")</f>
        <v/>
      </c>
      <c r="AZ96" t="str">
        <f>_xlfn.IFNA(VLOOKUP(U96,'GRPO Wiz Individual'!AP:BT,17,FALSE),"")</f>
        <v/>
      </c>
      <c r="BA96" t="str">
        <f>_xlfn.IFNA(VLOOKUP(U96,'GRPO Wiz Individual'!AP:BT,18,FALSE),"")</f>
        <v/>
      </c>
      <c r="BB96" t="str">
        <f>_xlfn.IFNA(VLOOKUP(U96,'GRPO Wiz Individual'!AP:BT,19,FALSE),"")</f>
        <v/>
      </c>
      <c r="BC96" t="str">
        <f>_xlfn.IFNA(VLOOKUP(U96,'GRPO Wiz Individual'!AP:BT,20,FALSE),"")</f>
        <v/>
      </c>
      <c r="BD96" t="str">
        <f>_xlfn.IFNA(VLOOKUP(U96,'GRPO Wiz Individual'!AP:BT,21,FALSE),"")</f>
        <v/>
      </c>
      <c r="BE96" t="str">
        <f>_xlfn.IFNA((VLOOKUP(U96,'GRPO Wiz Individual'!AP:BT,22,FALSE)),"")</f>
        <v/>
      </c>
      <c r="BF96" t="str">
        <f>_xlfn.IFNA(VLOOKUP(U96,'GRPO Wiz Individual'!AP:BT,26,FALSE),"")</f>
        <v/>
      </c>
      <c r="BG96" t="str">
        <f>_xlfn.IFNA(VLOOKUP(U96,'GRPO Wiz Individual'!AP:BQ,28,FALSE),"")</f>
        <v/>
      </c>
      <c r="BH96" t="str">
        <f>_xlfn.IFNA(VLOOKUP(U96,'GRPO Wiz Individual'!AP:BN,25,FALSE),"")</f>
        <v/>
      </c>
      <c r="BI96" t="str">
        <f>_xlfn.IFNA(VLOOKUP(U96,'GRPO Wiz Individual'!AP:BT,31,FALSE),"")</f>
        <v/>
      </c>
      <c r="BJ96" t="str">
        <f>_xlfn.IFNA(VLOOKUP(U96,'GRPO Wiz Individual'!AP:BZ,32,FALSE),"")</f>
        <v/>
      </c>
      <c r="BK96" t="str">
        <f>_xlfn.IFNA(VLOOKUP(U96,'GRPO Wiz Individual'!AP:BZ,27,FALSE),"")</f>
        <v/>
      </c>
      <c r="BL96" t="str">
        <f>_xlfn.IFNA(VALUE(VLOOKUP(U96,'GRPO Wiz Individual'!AP:BZ,29,FALSE)),"")</f>
        <v/>
      </c>
      <c r="BM96" t="str">
        <f>_xlfn.IFNA(VLOOKUP(U96,'GRPO Wiz Individual'!AP:BZ,33,FALSE),"")</f>
        <v/>
      </c>
    </row>
    <row r="97" spans="2:65" x14ac:dyDescent="0.25">
      <c r="B97" t="str">
        <f t="shared" si="4"/>
        <v/>
      </c>
      <c r="J97" s="43" t="str">
        <f t="shared" si="5"/>
        <v/>
      </c>
      <c r="X97" t="str">
        <f t="shared" si="3"/>
        <v/>
      </c>
      <c r="AG97" t="str">
        <f>_xlfn.IFNA(VLOOKUP(U97,'Incoming Material Report'!A:M,13,FALSE),"")</f>
        <v/>
      </c>
      <c r="AH97" t="str">
        <f>_xlfn.IFNA(IF(VLOOKUP(U97,'Incoming Material Report'!A:N,14,FALSE)="","",VLOOKUP(U97,'Incoming Material Report'!A:N,14,FALSE)),"")</f>
        <v/>
      </c>
      <c r="AI97" t="str">
        <f>_xlfn.IFNA(VLOOKUP(U97,'Incoming Material Report'!A:Z,24,FALSE),"")</f>
        <v/>
      </c>
      <c r="AJ97" t="str">
        <f>_xlfn.IFNA(VLOOKUP(U97,'Incoming Material Report'!A:Z,25,FALSE),"")</f>
        <v/>
      </c>
      <c r="AK97" t="str">
        <f>_xlfn.IFNA(VLOOKUP(U97,'Incoming Material Report'!A:Z,26,FALSE),"")</f>
        <v/>
      </c>
      <c r="AL97" t="str">
        <f>_xlfn.IFNA(VLOOKUP(U97,'Incoming Material Report'!A:Z,2,FALSE),"")</f>
        <v/>
      </c>
      <c r="AM97" s="54" t="str">
        <f>_xlfn.IFNA(VLOOKUP(U97,'Incoming Material Report'!A:K,11,FALSE)/1000,"")</f>
        <v/>
      </c>
      <c r="AN97" s="54"/>
      <c r="AO97" s="54" t="str">
        <f>_xlfn.IFNA(VLOOKUP(U97,'Incoming Material Report'!A:R,18,FALSE)*1000,"")</f>
        <v/>
      </c>
      <c r="AP97" s="54"/>
      <c r="AQ97" s="54" t="str">
        <f>_xlfn.IFNA(TEXT(VLOOKUP(U97,'Incoming Material Report'!A:D,4,FALSE),"dd.mm.yy"),"")</f>
        <v/>
      </c>
      <c r="AR97" s="54" t="str">
        <f>_xlfn.IFNA(VLOOKUP(U97,'Incoming Material Report'!A:Z,5,FALSE),"")</f>
        <v/>
      </c>
      <c r="AS97" s="54"/>
      <c r="AT97" s="54" t="str">
        <f>_xlfn.IFNA(VLOOKUP(U97,'Incoming Material Report'!A:Z,6,FALSE),"")</f>
        <v/>
      </c>
      <c r="AU97" s="54" t="str">
        <f>_xlfn.IFNA(VLOOKUP(U97,'Incoming Material Report'!A:Z,8,FALSE),"")</f>
        <v/>
      </c>
      <c r="AZ97" t="str">
        <f>_xlfn.IFNA(VLOOKUP(U97,'GRPO Wiz Individual'!AP:BT,17,FALSE),"")</f>
        <v/>
      </c>
      <c r="BA97" t="str">
        <f>_xlfn.IFNA(VLOOKUP(U97,'GRPO Wiz Individual'!AP:BT,18,FALSE),"")</f>
        <v/>
      </c>
      <c r="BB97" t="str">
        <f>_xlfn.IFNA(VLOOKUP(U97,'GRPO Wiz Individual'!AP:BT,19,FALSE),"")</f>
        <v/>
      </c>
      <c r="BC97" t="str">
        <f>_xlfn.IFNA(VLOOKUP(U97,'GRPO Wiz Individual'!AP:BT,20,FALSE),"")</f>
        <v/>
      </c>
      <c r="BD97" t="str">
        <f>_xlfn.IFNA(VLOOKUP(U97,'GRPO Wiz Individual'!AP:BT,21,FALSE),"")</f>
        <v/>
      </c>
      <c r="BE97" t="str">
        <f>_xlfn.IFNA((VLOOKUP(U97,'GRPO Wiz Individual'!AP:BT,22,FALSE)),"")</f>
        <v/>
      </c>
      <c r="BF97" t="str">
        <f>_xlfn.IFNA(VLOOKUP(U97,'GRPO Wiz Individual'!AP:BT,26,FALSE),"")</f>
        <v/>
      </c>
      <c r="BG97" t="str">
        <f>_xlfn.IFNA(VLOOKUP(U97,'GRPO Wiz Individual'!AP:BQ,28,FALSE),"")</f>
        <v/>
      </c>
      <c r="BH97" t="str">
        <f>_xlfn.IFNA(VLOOKUP(U97,'GRPO Wiz Individual'!AP:BN,25,FALSE),"")</f>
        <v/>
      </c>
      <c r="BI97" t="str">
        <f>_xlfn.IFNA(VLOOKUP(U97,'GRPO Wiz Individual'!AP:BT,31,FALSE),"")</f>
        <v/>
      </c>
      <c r="BJ97" t="str">
        <f>_xlfn.IFNA(VLOOKUP(U97,'GRPO Wiz Individual'!AP:BZ,32,FALSE),"")</f>
        <v/>
      </c>
      <c r="BK97" t="str">
        <f>_xlfn.IFNA(VLOOKUP(U97,'GRPO Wiz Individual'!AP:BZ,27,FALSE),"")</f>
        <v/>
      </c>
      <c r="BL97" t="str">
        <f>_xlfn.IFNA(VALUE(VLOOKUP(U97,'GRPO Wiz Individual'!AP:BZ,29,FALSE)),"")</f>
        <v/>
      </c>
      <c r="BM97" t="str">
        <f>_xlfn.IFNA(VLOOKUP(U97,'GRPO Wiz Individual'!AP:BZ,33,FALSE),"")</f>
        <v/>
      </c>
    </row>
    <row r="98" spans="2:65" x14ac:dyDescent="0.25">
      <c r="B98" t="str">
        <f t="shared" si="4"/>
        <v/>
      </c>
      <c r="J98" s="43" t="str">
        <f t="shared" si="5"/>
        <v/>
      </c>
      <c r="X98" t="str">
        <f t="shared" si="3"/>
        <v/>
      </c>
      <c r="AG98" t="str">
        <f>_xlfn.IFNA(VLOOKUP(U98,'Incoming Material Report'!A:M,13,FALSE),"")</f>
        <v/>
      </c>
      <c r="AH98" t="str">
        <f>_xlfn.IFNA(IF(VLOOKUP(U98,'Incoming Material Report'!A:N,14,FALSE)="","",VLOOKUP(U98,'Incoming Material Report'!A:N,14,FALSE)),"")</f>
        <v/>
      </c>
      <c r="AI98" t="str">
        <f>_xlfn.IFNA(VLOOKUP(U98,'Incoming Material Report'!A:Z,24,FALSE),"")</f>
        <v/>
      </c>
      <c r="AJ98" t="str">
        <f>_xlfn.IFNA(VLOOKUP(U98,'Incoming Material Report'!A:Z,25,FALSE),"")</f>
        <v/>
      </c>
      <c r="AK98" t="str">
        <f>_xlfn.IFNA(VLOOKUP(U98,'Incoming Material Report'!A:Z,26,FALSE),"")</f>
        <v/>
      </c>
      <c r="AL98" t="str">
        <f>_xlfn.IFNA(VLOOKUP(U98,'Incoming Material Report'!A:Z,2,FALSE),"")</f>
        <v/>
      </c>
      <c r="AM98" s="54" t="str">
        <f>_xlfn.IFNA(VLOOKUP(U98,'Incoming Material Report'!A:K,11,FALSE)/1000,"")</f>
        <v/>
      </c>
      <c r="AN98" s="54"/>
      <c r="AO98" s="54" t="str">
        <f>_xlfn.IFNA(VLOOKUP(U98,'Incoming Material Report'!A:R,18,FALSE)*1000,"")</f>
        <v/>
      </c>
      <c r="AP98" s="54"/>
      <c r="AQ98" s="54" t="str">
        <f>_xlfn.IFNA(TEXT(VLOOKUP(U98,'Incoming Material Report'!A:D,4,FALSE),"dd.mm.yy"),"")</f>
        <v/>
      </c>
      <c r="AR98" s="54" t="str">
        <f>_xlfn.IFNA(VLOOKUP(U98,'Incoming Material Report'!A:Z,5,FALSE),"")</f>
        <v/>
      </c>
      <c r="AS98" s="54"/>
      <c r="AT98" s="54" t="str">
        <f>_xlfn.IFNA(VLOOKUP(U98,'Incoming Material Report'!A:Z,6,FALSE),"")</f>
        <v/>
      </c>
      <c r="AU98" s="54" t="str">
        <f>_xlfn.IFNA(VLOOKUP(U98,'Incoming Material Report'!A:Z,8,FALSE),"")</f>
        <v/>
      </c>
      <c r="AZ98" t="str">
        <f>_xlfn.IFNA(VLOOKUP(U98,'GRPO Wiz Individual'!AP:BT,17,FALSE),"")</f>
        <v/>
      </c>
      <c r="BA98" t="str">
        <f>_xlfn.IFNA(VLOOKUP(U98,'GRPO Wiz Individual'!AP:BT,18,FALSE),"")</f>
        <v/>
      </c>
      <c r="BB98" t="str">
        <f>_xlfn.IFNA(VLOOKUP(U98,'GRPO Wiz Individual'!AP:BT,19,FALSE),"")</f>
        <v/>
      </c>
      <c r="BC98" t="str">
        <f>_xlfn.IFNA(VLOOKUP(U98,'GRPO Wiz Individual'!AP:BT,20,FALSE),"")</f>
        <v/>
      </c>
      <c r="BD98" t="str">
        <f>_xlfn.IFNA(VLOOKUP(U98,'GRPO Wiz Individual'!AP:BT,21,FALSE),"")</f>
        <v/>
      </c>
      <c r="BE98" t="str">
        <f>_xlfn.IFNA((VLOOKUP(U98,'GRPO Wiz Individual'!AP:BT,22,FALSE)),"")</f>
        <v/>
      </c>
      <c r="BF98" t="str">
        <f>_xlfn.IFNA(VLOOKUP(U98,'GRPO Wiz Individual'!AP:BT,26,FALSE),"")</f>
        <v/>
      </c>
      <c r="BG98" t="str">
        <f>_xlfn.IFNA(VLOOKUP(U98,'GRPO Wiz Individual'!AP:BQ,28,FALSE),"")</f>
        <v/>
      </c>
      <c r="BH98" t="str">
        <f>_xlfn.IFNA(VLOOKUP(U98,'GRPO Wiz Individual'!AP:BN,25,FALSE),"")</f>
        <v/>
      </c>
      <c r="BI98" t="str">
        <f>_xlfn.IFNA(VLOOKUP(U98,'GRPO Wiz Individual'!AP:BT,31,FALSE),"")</f>
        <v/>
      </c>
      <c r="BJ98" t="str">
        <f>_xlfn.IFNA(VLOOKUP(U98,'GRPO Wiz Individual'!AP:BZ,32,FALSE),"")</f>
        <v/>
      </c>
      <c r="BK98" t="str">
        <f>_xlfn.IFNA(VLOOKUP(U98,'GRPO Wiz Individual'!AP:BZ,27,FALSE),"")</f>
        <v/>
      </c>
      <c r="BL98" t="str">
        <f>_xlfn.IFNA(VALUE(VLOOKUP(U98,'GRPO Wiz Individual'!AP:BZ,29,FALSE)),"")</f>
        <v/>
      </c>
      <c r="BM98" t="str">
        <f>_xlfn.IFNA(VLOOKUP(U98,'GRPO Wiz Individual'!AP:BZ,33,FALSE),"")</f>
        <v/>
      </c>
    </row>
    <row r="99" spans="2:65" x14ac:dyDescent="0.25">
      <c r="B99" t="str">
        <f t="shared" si="4"/>
        <v/>
      </c>
      <c r="J99" s="43" t="str">
        <f t="shared" si="5"/>
        <v/>
      </c>
      <c r="X99" t="str">
        <f t="shared" si="3"/>
        <v/>
      </c>
      <c r="AG99" t="str">
        <f>_xlfn.IFNA(VLOOKUP(U99,'Incoming Material Report'!A:M,13,FALSE),"")</f>
        <v/>
      </c>
      <c r="AH99" t="str">
        <f>_xlfn.IFNA(IF(VLOOKUP(U99,'Incoming Material Report'!A:N,14,FALSE)="","",VLOOKUP(U99,'Incoming Material Report'!A:N,14,FALSE)),"")</f>
        <v/>
      </c>
      <c r="AI99" t="str">
        <f>_xlfn.IFNA(VLOOKUP(U99,'Incoming Material Report'!A:Z,24,FALSE),"")</f>
        <v/>
      </c>
      <c r="AJ99" t="str">
        <f>_xlfn.IFNA(VLOOKUP(U99,'Incoming Material Report'!A:Z,25,FALSE),"")</f>
        <v/>
      </c>
      <c r="AK99" t="str">
        <f>_xlfn.IFNA(VLOOKUP(U99,'Incoming Material Report'!A:Z,26,FALSE),"")</f>
        <v/>
      </c>
      <c r="AL99" t="str">
        <f>_xlfn.IFNA(VLOOKUP(U99,'Incoming Material Report'!A:Z,2,FALSE),"")</f>
        <v/>
      </c>
      <c r="AM99" s="54" t="str">
        <f>_xlfn.IFNA(VLOOKUP(U99,'Incoming Material Report'!A:K,11,FALSE)/1000,"")</f>
        <v/>
      </c>
      <c r="AN99" s="54"/>
      <c r="AO99" s="54" t="str">
        <f>_xlfn.IFNA(VLOOKUP(U99,'Incoming Material Report'!A:R,18,FALSE)*1000,"")</f>
        <v/>
      </c>
      <c r="AP99" s="54"/>
      <c r="AQ99" s="54" t="str">
        <f>_xlfn.IFNA(TEXT(VLOOKUP(U99,'Incoming Material Report'!A:D,4,FALSE),"dd.mm.yy"),"")</f>
        <v/>
      </c>
      <c r="AR99" s="54" t="str">
        <f>_xlfn.IFNA(VLOOKUP(U99,'Incoming Material Report'!A:Z,5,FALSE),"")</f>
        <v/>
      </c>
      <c r="AS99" s="54"/>
      <c r="AT99" s="54" t="str">
        <f>_xlfn.IFNA(VLOOKUP(U99,'Incoming Material Report'!A:Z,6,FALSE),"")</f>
        <v/>
      </c>
      <c r="AU99" s="54" t="str">
        <f>_xlfn.IFNA(VLOOKUP(U99,'Incoming Material Report'!A:Z,8,FALSE),"")</f>
        <v/>
      </c>
      <c r="AZ99" t="str">
        <f>_xlfn.IFNA(VLOOKUP(U99,'GRPO Wiz Individual'!AP:BT,17,FALSE),"")</f>
        <v/>
      </c>
      <c r="BA99" t="str">
        <f>_xlfn.IFNA(VLOOKUP(U99,'GRPO Wiz Individual'!AP:BT,18,FALSE),"")</f>
        <v/>
      </c>
      <c r="BB99" t="str">
        <f>_xlfn.IFNA(VLOOKUP(U99,'GRPO Wiz Individual'!AP:BT,19,FALSE),"")</f>
        <v/>
      </c>
      <c r="BC99" t="str">
        <f>_xlfn.IFNA(VLOOKUP(U99,'GRPO Wiz Individual'!AP:BT,20,FALSE),"")</f>
        <v/>
      </c>
      <c r="BD99" t="str">
        <f>_xlfn.IFNA(VLOOKUP(U99,'GRPO Wiz Individual'!AP:BT,21,FALSE),"")</f>
        <v/>
      </c>
      <c r="BE99" t="str">
        <f>_xlfn.IFNA((VLOOKUP(U99,'GRPO Wiz Individual'!AP:BT,22,FALSE)),"")</f>
        <v/>
      </c>
      <c r="BF99" t="str">
        <f>_xlfn.IFNA(VLOOKUP(U99,'GRPO Wiz Individual'!AP:BT,26,FALSE),"")</f>
        <v/>
      </c>
      <c r="BG99" t="str">
        <f>_xlfn.IFNA(VLOOKUP(U99,'GRPO Wiz Individual'!AP:BQ,28,FALSE),"")</f>
        <v/>
      </c>
      <c r="BH99" t="str">
        <f>_xlfn.IFNA(VLOOKUP(U99,'GRPO Wiz Individual'!AP:BN,25,FALSE),"")</f>
        <v/>
      </c>
      <c r="BI99" t="str">
        <f>_xlfn.IFNA(VLOOKUP(U99,'GRPO Wiz Individual'!AP:BT,31,FALSE),"")</f>
        <v/>
      </c>
      <c r="BJ99" t="str">
        <f>_xlfn.IFNA(VLOOKUP(U99,'GRPO Wiz Individual'!AP:BZ,32,FALSE),"")</f>
        <v/>
      </c>
      <c r="BK99" t="str">
        <f>_xlfn.IFNA(VLOOKUP(U99,'GRPO Wiz Individual'!AP:BZ,27,FALSE),"")</f>
        <v/>
      </c>
      <c r="BL99" t="str">
        <f>_xlfn.IFNA(VALUE(VLOOKUP(U99,'GRPO Wiz Individual'!AP:BZ,29,FALSE)),"")</f>
        <v/>
      </c>
      <c r="BM99" t="str">
        <f>_xlfn.IFNA(VLOOKUP(U99,'GRPO Wiz Individual'!AP:BZ,33,FALSE),"")</f>
        <v/>
      </c>
    </row>
    <row r="100" spans="2:65" x14ac:dyDescent="0.25">
      <c r="B100" t="str">
        <f t="shared" si="4"/>
        <v/>
      </c>
      <c r="J100" s="43" t="str">
        <f t="shared" si="5"/>
        <v/>
      </c>
      <c r="X100" t="str">
        <f t="shared" si="3"/>
        <v/>
      </c>
      <c r="AG100" t="str">
        <f>_xlfn.IFNA(VLOOKUP(U100,'Incoming Material Report'!A:M,13,FALSE),"")</f>
        <v/>
      </c>
      <c r="AH100" t="str">
        <f>_xlfn.IFNA(IF(VLOOKUP(U100,'Incoming Material Report'!A:N,14,FALSE)="","",VLOOKUP(U100,'Incoming Material Report'!A:N,14,FALSE)),"")</f>
        <v/>
      </c>
      <c r="AI100" t="str">
        <f>_xlfn.IFNA(VLOOKUP(U100,'Incoming Material Report'!A:Z,24,FALSE),"")</f>
        <v/>
      </c>
      <c r="AJ100" t="str">
        <f>_xlfn.IFNA(VLOOKUP(U100,'Incoming Material Report'!A:Z,25,FALSE),"")</f>
        <v/>
      </c>
      <c r="AK100" t="str">
        <f>_xlfn.IFNA(VLOOKUP(U100,'Incoming Material Report'!A:Z,26,FALSE),"")</f>
        <v/>
      </c>
      <c r="AL100" t="str">
        <f>_xlfn.IFNA(VLOOKUP(U100,'Incoming Material Report'!A:Z,2,FALSE),"")</f>
        <v/>
      </c>
      <c r="AM100" s="54" t="str">
        <f>_xlfn.IFNA(VLOOKUP(U100,'Incoming Material Report'!A:K,11,FALSE)/1000,"")</f>
        <v/>
      </c>
      <c r="AN100" s="54"/>
      <c r="AO100" s="54" t="str">
        <f>_xlfn.IFNA(VLOOKUP(U100,'Incoming Material Report'!A:R,18,FALSE)*1000,"")</f>
        <v/>
      </c>
      <c r="AP100" s="54"/>
      <c r="AQ100" s="54" t="str">
        <f>_xlfn.IFNA(TEXT(VLOOKUP(U100,'Incoming Material Report'!A:D,4,FALSE),"dd.mm.yy"),"")</f>
        <v/>
      </c>
      <c r="AR100" s="54" t="str">
        <f>_xlfn.IFNA(VLOOKUP(U100,'Incoming Material Report'!A:Z,5,FALSE),"")</f>
        <v/>
      </c>
      <c r="AS100" s="54"/>
      <c r="AT100" s="54" t="str">
        <f>_xlfn.IFNA(VLOOKUP(U100,'Incoming Material Report'!A:Z,6,FALSE),"")</f>
        <v/>
      </c>
      <c r="AU100" s="54" t="str">
        <f>_xlfn.IFNA(VLOOKUP(U100,'Incoming Material Report'!A:Z,8,FALSE),"")</f>
        <v/>
      </c>
      <c r="AZ100" t="str">
        <f>_xlfn.IFNA(VLOOKUP(U100,'GRPO Wiz Individual'!AP:BT,17,FALSE),"")</f>
        <v/>
      </c>
      <c r="BA100" t="str">
        <f>_xlfn.IFNA(VLOOKUP(U100,'GRPO Wiz Individual'!AP:BT,18,FALSE),"")</f>
        <v/>
      </c>
      <c r="BB100" t="str">
        <f>_xlfn.IFNA(VLOOKUP(U100,'GRPO Wiz Individual'!AP:BT,19,FALSE),"")</f>
        <v/>
      </c>
      <c r="BC100" t="str">
        <f>_xlfn.IFNA(VLOOKUP(U100,'GRPO Wiz Individual'!AP:BT,20,FALSE),"")</f>
        <v/>
      </c>
      <c r="BD100" t="str">
        <f>_xlfn.IFNA(VLOOKUP(U100,'GRPO Wiz Individual'!AP:BT,21,FALSE),"")</f>
        <v/>
      </c>
      <c r="BE100" t="str">
        <f>_xlfn.IFNA((VLOOKUP(U100,'GRPO Wiz Individual'!AP:BT,22,FALSE)),"")</f>
        <v/>
      </c>
      <c r="BF100" t="str">
        <f>_xlfn.IFNA(VLOOKUP(U100,'GRPO Wiz Individual'!AP:BT,26,FALSE),"")</f>
        <v/>
      </c>
      <c r="BG100" t="str">
        <f>_xlfn.IFNA(VLOOKUP(U100,'GRPO Wiz Individual'!AP:BQ,28,FALSE),"")</f>
        <v/>
      </c>
      <c r="BH100" t="str">
        <f>_xlfn.IFNA(VLOOKUP(U100,'GRPO Wiz Individual'!AP:BN,25,FALSE),"")</f>
        <v/>
      </c>
      <c r="BI100" t="str">
        <f>_xlfn.IFNA(VLOOKUP(U100,'GRPO Wiz Individual'!AP:BT,31,FALSE),"")</f>
        <v/>
      </c>
      <c r="BJ100" t="str">
        <f>_xlfn.IFNA(VLOOKUP(U100,'GRPO Wiz Individual'!AP:BZ,32,FALSE),"")</f>
        <v/>
      </c>
      <c r="BK100" t="str">
        <f>_xlfn.IFNA(VLOOKUP(U100,'GRPO Wiz Individual'!AP:BZ,27,FALSE),"")</f>
        <v/>
      </c>
      <c r="BL100" t="str">
        <f>_xlfn.IFNA(VALUE(VLOOKUP(U100,'GRPO Wiz Individual'!AP:BZ,29,FALSE)),"")</f>
        <v/>
      </c>
      <c r="BM100" t="str">
        <f>_xlfn.IFNA(VLOOKUP(U100,'GRPO Wiz Individual'!AP:BZ,33,FALSE),"")</f>
        <v/>
      </c>
    </row>
    <row r="101" spans="2:65" x14ac:dyDescent="0.25">
      <c r="B101" t="str">
        <f t="shared" si="4"/>
        <v/>
      </c>
      <c r="J101" s="43" t="str">
        <f t="shared" si="5"/>
        <v/>
      </c>
      <c r="X101" t="str">
        <f t="shared" si="3"/>
        <v/>
      </c>
      <c r="AG101" t="str">
        <f>_xlfn.IFNA(VLOOKUP(U101,'Incoming Material Report'!A:M,13,FALSE),"")</f>
        <v/>
      </c>
      <c r="AH101" t="str">
        <f>_xlfn.IFNA(IF(VLOOKUP(U101,'Incoming Material Report'!A:N,14,FALSE)="","",VLOOKUP(U101,'Incoming Material Report'!A:N,14,FALSE)),"")</f>
        <v/>
      </c>
      <c r="AI101" t="str">
        <f>_xlfn.IFNA(VLOOKUP(U101,'Incoming Material Report'!A:Z,24,FALSE),"")</f>
        <v/>
      </c>
      <c r="AJ101" t="str">
        <f>_xlfn.IFNA(VLOOKUP(U101,'Incoming Material Report'!A:Z,25,FALSE),"")</f>
        <v/>
      </c>
      <c r="AK101" t="str">
        <f>_xlfn.IFNA(VLOOKUP(U101,'Incoming Material Report'!A:Z,26,FALSE),"")</f>
        <v/>
      </c>
      <c r="AL101" t="str">
        <f>_xlfn.IFNA(VLOOKUP(U101,'Incoming Material Report'!A:Z,2,FALSE),"")</f>
        <v/>
      </c>
      <c r="AM101" s="54" t="str">
        <f>_xlfn.IFNA(VLOOKUP(U101,'Incoming Material Report'!A:K,11,FALSE)/1000,"")</f>
        <v/>
      </c>
      <c r="AN101" s="54"/>
      <c r="AO101" s="54" t="str">
        <f>_xlfn.IFNA(VLOOKUP(U101,'Incoming Material Report'!A:R,18,FALSE)*1000,"")</f>
        <v/>
      </c>
      <c r="AP101" s="54"/>
      <c r="AQ101" s="54" t="str">
        <f>_xlfn.IFNA(TEXT(VLOOKUP(U101,'Incoming Material Report'!A:D,4,FALSE),"dd.mm.yy"),"")</f>
        <v/>
      </c>
      <c r="AR101" s="54" t="str">
        <f>_xlfn.IFNA(VLOOKUP(U101,'Incoming Material Report'!A:Z,5,FALSE),"")</f>
        <v/>
      </c>
      <c r="AS101" s="54"/>
      <c r="AT101" s="54" t="str">
        <f>_xlfn.IFNA(VLOOKUP(U101,'Incoming Material Report'!A:Z,6,FALSE),"")</f>
        <v/>
      </c>
      <c r="AU101" s="54" t="str">
        <f>_xlfn.IFNA(VLOOKUP(U101,'Incoming Material Report'!A:Z,8,FALSE),"")</f>
        <v/>
      </c>
      <c r="AZ101" t="str">
        <f>_xlfn.IFNA(VLOOKUP(U101,'GRPO Wiz Individual'!AP:BT,17,FALSE),"")</f>
        <v/>
      </c>
      <c r="BA101" t="str">
        <f>_xlfn.IFNA(VLOOKUP(U101,'GRPO Wiz Individual'!AP:BT,18,FALSE),"")</f>
        <v/>
      </c>
      <c r="BB101" t="str">
        <f>_xlfn.IFNA(VLOOKUP(U101,'GRPO Wiz Individual'!AP:BT,19,FALSE),"")</f>
        <v/>
      </c>
      <c r="BC101" t="str">
        <f>_xlfn.IFNA(VLOOKUP(U101,'GRPO Wiz Individual'!AP:BT,20,FALSE),"")</f>
        <v/>
      </c>
      <c r="BD101" t="str">
        <f>_xlfn.IFNA(VLOOKUP(U101,'GRPO Wiz Individual'!AP:BT,21,FALSE),"")</f>
        <v/>
      </c>
      <c r="BE101" t="str">
        <f>_xlfn.IFNA((VLOOKUP(U101,'GRPO Wiz Individual'!AP:BT,22,FALSE)),"")</f>
        <v/>
      </c>
      <c r="BF101" t="str">
        <f>_xlfn.IFNA(VLOOKUP(U101,'GRPO Wiz Individual'!AP:BT,26,FALSE),"")</f>
        <v/>
      </c>
      <c r="BG101" t="str">
        <f>_xlfn.IFNA(VLOOKUP(U101,'GRPO Wiz Individual'!AP:BQ,28,FALSE),"")</f>
        <v/>
      </c>
      <c r="BH101" t="str">
        <f>_xlfn.IFNA(VLOOKUP(U101,'GRPO Wiz Individual'!AP:BN,25,FALSE),"")</f>
        <v/>
      </c>
      <c r="BI101" t="str">
        <f>_xlfn.IFNA(VLOOKUP(U101,'GRPO Wiz Individual'!AP:BT,31,FALSE),"")</f>
        <v/>
      </c>
      <c r="BJ101" t="str">
        <f>_xlfn.IFNA(VLOOKUP(U101,'GRPO Wiz Individual'!AP:BZ,32,FALSE),"")</f>
        <v/>
      </c>
      <c r="BK101" t="str">
        <f>_xlfn.IFNA(VLOOKUP(U101,'GRPO Wiz Individual'!AP:BZ,27,FALSE),"")</f>
        <v/>
      </c>
      <c r="BL101" t="str">
        <f>_xlfn.IFNA(VALUE(VLOOKUP(U101,'GRPO Wiz Individual'!AP:BZ,29,FALSE)),"")</f>
        <v/>
      </c>
      <c r="BM101" t="str">
        <f>_xlfn.IFNA(VLOOKUP(U101,'GRPO Wiz Individual'!AP:BZ,33,FALSE),"")</f>
        <v/>
      </c>
    </row>
    <row r="102" spans="2:65" x14ac:dyDescent="0.25">
      <c r="B102" t="str">
        <f t="shared" si="4"/>
        <v/>
      </c>
      <c r="J102" s="43" t="str">
        <f t="shared" si="5"/>
        <v/>
      </c>
      <c r="X102" t="str">
        <f t="shared" si="3"/>
        <v/>
      </c>
      <c r="AG102" t="str">
        <f>_xlfn.IFNA(VLOOKUP(U102,'Incoming Material Report'!A:M,13,FALSE),"")</f>
        <v/>
      </c>
      <c r="AH102" t="str">
        <f>_xlfn.IFNA(IF(VLOOKUP(U102,'Incoming Material Report'!A:N,14,FALSE)="","",VLOOKUP(U102,'Incoming Material Report'!A:N,14,FALSE)),"")</f>
        <v/>
      </c>
      <c r="AI102" t="str">
        <f>_xlfn.IFNA(VLOOKUP(U102,'Incoming Material Report'!A:Z,24,FALSE),"")</f>
        <v/>
      </c>
      <c r="AJ102" t="str">
        <f>_xlfn.IFNA(VLOOKUP(U102,'Incoming Material Report'!A:Z,25,FALSE),"")</f>
        <v/>
      </c>
      <c r="AK102" t="str">
        <f>_xlfn.IFNA(VLOOKUP(U102,'Incoming Material Report'!A:Z,26,FALSE),"")</f>
        <v/>
      </c>
      <c r="AL102" t="str">
        <f>_xlfn.IFNA(VLOOKUP(U102,'Incoming Material Report'!A:Z,2,FALSE),"")</f>
        <v/>
      </c>
      <c r="AM102" s="54" t="str">
        <f>_xlfn.IFNA(VLOOKUP(U102,'Incoming Material Report'!A:K,11,FALSE)/1000,"")</f>
        <v/>
      </c>
      <c r="AN102" s="54"/>
      <c r="AO102" s="54" t="str">
        <f>_xlfn.IFNA(VLOOKUP(U102,'Incoming Material Report'!A:R,18,FALSE)*1000,"")</f>
        <v/>
      </c>
      <c r="AP102" s="54"/>
      <c r="AQ102" s="54" t="str">
        <f>_xlfn.IFNA(TEXT(VLOOKUP(U102,'Incoming Material Report'!A:D,4,FALSE),"dd.mm.yy"),"")</f>
        <v/>
      </c>
      <c r="AR102" s="54" t="str">
        <f>_xlfn.IFNA(VLOOKUP(U102,'Incoming Material Report'!A:Z,5,FALSE),"")</f>
        <v/>
      </c>
      <c r="AS102" s="54"/>
      <c r="AT102" s="54" t="str">
        <f>_xlfn.IFNA(VLOOKUP(U102,'Incoming Material Report'!A:Z,6,FALSE),"")</f>
        <v/>
      </c>
      <c r="AU102" s="54" t="str">
        <f>_xlfn.IFNA(VLOOKUP(U102,'Incoming Material Report'!A:Z,8,FALSE),"")</f>
        <v/>
      </c>
      <c r="AZ102" t="str">
        <f>_xlfn.IFNA(VLOOKUP(U102,'GRPO Wiz Individual'!AP:BT,17,FALSE),"")</f>
        <v/>
      </c>
      <c r="BA102" t="str">
        <f>_xlfn.IFNA(VLOOKUP(U102,'GRPO Wiz Individual'!AP:BT,18,FALSE),"")</f>
        <v/>
      </c>
      <c r="BB102" t="str">
        <f>_xlfn.IFNA(VLOOKUP(U102,'GRPO Wiz Individual'!AP:BT,19,FALSE),"")</f>
        <v/>
      </c>
      <c r="BC102" t="str">
        <f>_xlfn.IFNA(VLOOKUP(U102,'GRPO Wiz Individual'!AP:BT,20,FALSE),"")</f>
        <v/>
      </c>
      <c r="BD102" t="str">
        <f>_xlfn.IFNA(VLOOKUP(U102,'GRPO Wiz Individual'!AP:BT,21,FALSE),"")</f>
        <v/>
      </c>
      <c r="BE102" t="str">
        <f>_xlfn.IFNA((VLOOKUP(U102,'GRPO Wiz Individual'!AP:BT,22,FALSE)),"")</f>
        <v/>
      </c>
      <c r="BF102" t="str">
        <f>_xlfn.IFNA(VLOOKUP(U102,'GRPO Wiz Individual'!AP:BT,26,FALSE),"")</f>
        <v/>
      </c>
      <c r="BG102" t="str">
        <f>_xlfn.IFNA(VLOOKUP(U102,'GRPO Wiz Individual'!AP:BQ,28,FALSE),"")</f>
        <v/>
      </c>
      <c r="BH102" t="str">
        <f>_xlfn.IFNA(VLOOKUP(U102,'GRPO Wiz Individual'!AP:BN,25,FALSE),"")</f>
        <v/>
      </c>
      <c r="BI102" t="str">
        <f>_xlfn.IFNA(VLOOKUP(U102,'GRPO Wiz Individual'!AP:BT,31,FALSE),"")</f>
        <v/>
      </c>
      <c r="BJ102" t="str">
        <f>_xlfn.IFNA(VLOOKUP(U102,'GRPO Wiz Individual'!AP:BZ,32,FALSE),"")</f>
        <v/>
      </c>
      <c r="BK102" t="str">
        <f>_xlfn.IFNA(VLOOKUP(U102,'GRPO Wiz Individual'!AP:BZ,27,FALSE),"")</f>
        <v/>
      </c>
      <c r="BL102" t="str">
        <f>_xlfn.IFNA(VALUE(VLOOKUP(U102,'GRPO Wiz Individual'!AP:BZ,29,FALSE)),"")</f>
        <v/>
      </c>
      <c r="BM102" t="str">
        <f>_xlfn.IFNA(VLOOKUP(U102,'GRPO Wiz Individual'!AP:BZ,33,FALSE),"")</f>
        <v/>
      </c>
    </row>
    <row r="103" spans="2:65" x14ac:dyDescent="0.25">
      <c r="B103" t="str">
        <f t="shared" si="4"/>
        <v/>
      </c>
      <c r="J103" s="43" t="str">
        <f t="shared" si="5"/>
        <v/>
      </c>
      <c r="X103" t="str">
        <f t="shared" si="3"/>
        <v/>
      </c>
      <c r="AG103" t="str">
        <f>_xlfn.IFNA(VLOOKUP(U103,'Incoming Material Report'!A:M,13,FALSE),"")</f>
        <v/>
      </c>
      <c r="AH103" t="str">
        <f>_xlfn.IFNA(IF(VLOOKUP(U103,'Incoming Material Report'!A:N,14,FALSE)="","",VLOOKUP(U103,'Incoming Material Report'!A:N,14,FALSE)),"")</f>
        <v/>
      </c>
      <c r="AI103" t="str">
        <f>_xlfn.IFNA(VLOOKUP(U103,'Incoming Material Report'!A:Z,24,FALSE),"")</f>
        <v/>
      </c>
      <c r="AJ103" t="str">
        <f>_xlfn.IFNA(VLOOKUP(U103,'Incoming Material Report'!A:Z,25,FALSE),"")</f>
        <v/>
      </c>
      <c r="AK103" t="str">
        <f>_xlfn.IFNA(VLOOKUP(U103,'Incoming Material Report'!A:Z,26,FALSE),"")</f>
        <v/>
      </c>
      <c r="AL103" t="str">
        <f>_xlfn.IFNA(VLOOKUP(U103,'Incoming Material Report'!A:Z,2,FALSE),"")</f>
        <v/>
      </c>
      <c r="AM103" s="54" t="str">
        <f>_xlfn.IFNA(VLOOKUP(U103,'Incoming Material Report'!A:K,11,FALSE)/1000,"")</f>
        <v/>
      </c>
      <c r="AN103" s="54"/>
      <c r="AO103" s="54" t="str">
        <f>_xlfn.IFNA(VLOOKUP(U103,'Incoming Material Report'!A:R,18,FALSE)*1000,"")</f>
        <v/>
      </c>
      <c r="AP103" s="54"/>
      <c r="AQ103" s="54" t="str">
        <f>_xlfn.IFNA(TEXT(VLOOKUP(U103,'Incoming Material Report'!A:D,4,FALSE),"dd.mm.yy"),"")</f>
        <v/>
      </c>
      <c r="AR103" s="54" t="str">
        <f>_xlfn.IFNA(VLOOKUP(U103,'Incoming Material Report'!A:Z,5,FALSE),"")</f>
        <v/>
      </c>
      <c r="AS103" s="54"/>
      <c r="AT103" s="54" t="str">
        <f>_xlfn.IFNA(VLOOKUP(U103,'Incoming Material Report'!A:Z,6,FALSE),"")</f>
        <v/>
      </c>
      <c r="AU103" s="54" t="str">
        <f>_xlfn.IFNA(VLOOKUP(U103,'Incoming Material Report'!A:Z,8,FALSE),"")</f>
        <v/>
      </c>
      <c r="AZ103" t="str">
        <f>_xlfn.IFNA(VLOOKUP(U103,'GRPO Wiz Individual'!AP:BT,17,FALSE),"")</f>
        <v/>
      </c>
      <c r="BA103" t="str">
        <f>_xlfn.IFNA(VLOOKUP(U103,'GRPO Wiz Individual'!AP:BT,18,FALSE),"")</f>
        <v/>
      </c>
      <c r="BB103" t="str">
        <f>_xlfn.IFNA(VLOOKUP(U103,'GRPO Wiz Individual'!AP:BT,19,FALSE),"")</f>
        <v/>
      </c>
      <c r="BC103" t="str">
        <f>_xlfn.IFNA(VLOOKUP(U103,'GRPO Wiz Individual'!AP:BT,20,FALSE),"")</f>
        <v/>
      </c>
      <c r="BD103" t="str">
        <f>_xlfn.IFNA(VLOOKUP(U103,'GRPO Wiz Individual'!AP:BT,21,FALSE),"")</f>
        <v/>
      </c>
      <c r="BE103" t="str">
        <f>_xlfn.IFNA((VLOOKUP(U103,'GRPO Wiz Individual'!AP:BT,22,FALSE)),"")</f>
        <v/>
      </c>
      <c r="BF103" t="str">
        <f>_xlfn.IFNA(VLOOKUP(U103,'GRPO Wiz Individual'!AP:BT,26,FALSE),"")</f>
        <v/>
      </c>
      <c r="BG103" t="str">
        <f>_xlfn.IFNA(VLOOKUP(U103,'GRPO Wiz Individual'!AP:BQ,28,FALSE),"")</f>
        <v/>
      </c>
      <c r="BH103" t="str">
        <f>_xlfn.IFNA(VLOOKUP(U103,'GRPO Wiz Individual'!AP:BN,25,FALSE),"")</f>
        <v/>
      </c>
      <c r="BI103" t="str">
        <f>_xlfn.IFNA(VLOOKUP(U103,'GRPO Wiz Individual'!AP:BT,31,FALSE),"")</f>
        <v/>
      </c>
      <c r="BJ103" t="str">
        <f>_xlfn.IFNA(VLOOKUP(U103,'GRPO Wiz Individual'!AP:BZ,32,FALSE),"")</f>
        <v/>
      </c>
      <c r="BK103" t="str">
        <f>_xlfn.IFNA(VLOOKUP(U103,'GRPO Wiz Individual'!AP:BZ,27,FALSE),"")</f>
        <v/>
      </c>
      <c r="BL103" t="str">
        <f>_xlfn.IFNA(VALUE(VLOOKUP(U103,'GRPO Wiz Individual'!AP:BZ,29,FALSE)),"")</f>
        <v/>
      </c>
      <c r="BM103" t="str">
        <f>_xlfn.IFNA(VLOOKUP(U103,'GRPO Wiz Individual'!AP:BZ,33,FALSE),"")</f>
        <v/>
      </c>
    </row>
    <row r="104" spans="2:65" x14ac:dyDescent="0.25">
      <c r="B104" t="str">
        <f t="shared" si="4"/>
        <v/>
      </c>
      <c r="J104" s="43" t="str">
        <f t="shared" si="5"/>
        <v/>
      </c>
      <c r="X104" t="str">
        <f t="shared" si="3"/>
        <v/>
      </c>
      <c r="AG104" t="str">
        <f>_xlfn.IFNA(VLOOKUP(U104,'Incoming Material Report'!A:M,13,FALSE),"")</f>
        <v/>
      </c>
      <c r="AH104" t="str">
        <f>_xlfn.IFNA(IF(VLOOKUP(U104,'Incoming Material Report'!A:N,14,FALSE)="","",VLOOKUP(U104,'Incoming Material Report'!A:N,14,FALSE)),"")</f>
        <v/>
      </c>
      <c r="AI104" t="str">
        <f>_xlfn.IFNA(VLOOKUP(U104,'Incoming Material Report'!A:Z,24,FALSE),"")</f>
        <v/>
      </c>
      <c r="AJ104" t="str">
        <f>_xlfn.IFNA(VLOOKUP(U104,'Incoming Material Report'!A:Z,25,FALSE),"")</f>
        <v/>
      </c>
      <c r="AK104" t="str">
        <f>_xlfn.IFNA(VLOOKUP(U104,'Incoming Material Report'!A:Z,26,FALSE),"")</f>
        <v/>
      </c>
      <c r="AL104" t="str">
        <f>_xlfn.IFNA(VLOOKUP(U104,'Incoming Material Report'!A:Z,2,FALSE),"")</f>
        <v/>
      </c>
      <c r="AM104" s="54" t="str">
        <f>_xlfn.IFNA(VLOOKUP(U104,'Incoming Material Report'!A:K,11,FALSE)/1000,"")</f>
        <v/>
      </c>
      <c r="AN104" s="54"/>
      <c r="AO104" s="54" t="str">
        <f>_xlfn.IFNA(VLOOKUP(U104,'Incoming Material Report'!A:R,18,FALSE)*1000,"")</f>
        <v/>
      </c>
      <c r="AP104" s="54"/>
      <c r="AQ104" s="54" t="str">
        <f>_xlfn.IFNA(TEXT(VLOOKUP(U104,'Incoming Material Report'!A:D,4,FALSE),"dd.mm.yy"),"")</f>
        <v/>
      </c>
      <c r="AR104" s="54" t="str">
        <f>_xlfn.IFNA(VLOOKUP(U104,'Incoming Material Report'!A:Z,5,FALSE),"")</f>
        <v/>
      </c>
      <c r="AS104" s="54"/>
      <c r="AT104" s="54" t="str">
        <f>_xlfn.IFNA(VLOOKUP(U104,'Incoming Material Report'!A:Z,6,FALSE),"")</f>
        <v/>
      </c>
      <c r="AU104" s="54" t="str">
        <f>_xlfn.IFNA(VLOOKUP(U104,'Incoming Material Report'!A:Z,8,FALSE),"")</f>
        <v/>
      </c>
      <c r="AZ104" t="str">
        <f>_xlfn.IFNA(VLOOKUP(U104,'GRPO Wiz Individual'!AP:BT,17,FALSE),"")</f>
        <v/>
      </c>
      <c r="BA104" t="str">
        <f>_xlfn.IFNA(VLOOKUP(U104,'GRPO Wiz Individual'!AP:BT,18,FALSE),"")</f>
        <v/>
      </c>
      <c r="BB104" t="str">
        <f>_xlfn.IFNA(VLOOKUP(U104,'GRPO Wiz Individual'!AP:BT,19,FALSE),"")</f>
        <v/>
      </c>
      <c r="BC104" t="str">
        <f>_xlfn.IFNA(VLOOKUP(U104,'GRPO Wiz Individual'!AP:BT,20,FALSE),"")</f>
        <v/>
      </c>
      <c r="BD104" t="str">
        <f>_xlfn.IFNA(VLOOKUP(U104,'GRPO Wiz Individual'!AP:BT,21,FALSE),"")</f>
        <v/>
      </c>
      <c r="BE104" t="str">
        <f>_xlfn.IFNA((VLOOKUP(U104,'GRPO Wiz Individual'!AP:BT,22,FALSE)),"")</f>
        <v/>
      </c>
      <c r="BF104" t="str">
        <f>_xlfn.IFNA(VLOOKUP(U104,'GRPO Wiz Individual'!AP:BT,26,FALSE),"")</f>
        <v/>
      </c>
      <c r="BG104" t="str">
        <f>_xlfn.IFNA(VLOOKUP(U104,'GRPO Wiz Individual'!AP:BQ,28,FALSE),"")</f>
        <v/>
      </c>
      <c r="BH104" t="str">
        <f>_xlfn.IFNA(VLOOKUP(U104,'GRPO Wiz Individual'!AP:BN,25,FALSE),"")</f>
        <v/>
      </c>
      <c r="BI104" t="str">
        <f>_xlfn.IFNA(VLOOKUP(U104,'GRPO Wiz Individual'!AP:BT,31,FALSE),"")</f>
        <v/>
      </c>
      <c r="BJ104" t="str">
        <f>_xlfn.IFNA(VLOOKUP(U104,'GRPO Wiz Individual'!AP:BZ,32,FALSE),"")</f>
        <v/>
      </c>
      <c r="BK104" t="str">
        <f>_xlfn.IFNA(VLOOKUP(U104,'GRPO Wiz Individual'!AP:BZ,27,FALSE),"")</f>
        <v/>
      </c>
      <c r="BL104" t="str">
        <f>_xlfn.IFNA(VALUE(VLOOKUP(U104,'GRPO Wiz Individual'!AP:BZ,29,FALSE)),"")</f>
        <v/>
      </c>
      <c r="BM104" t="str">
        <f>_xlfn.IFNA(VLOOKUP(U104,'GRPO Wiz Individual'!AP:BZ,33,FALSE),"")</f>
        <v/>
      </c>
    </row>
    <row r="105" spans="2:65" x14ac:dyDescent="0.25">
      <c r="B105" t="str">
        <f t="shared" si="4"/>
        <v/>
      </c>
      <c r="J105" s="43" t="str">
        <f t="shared" si="5"/>
        <v/>
      </c>
      <c r="X105" t="str">
        <f t="shared" si="3"/>
        <v/>
      </c>
      <c r="AG105" t="str">
        <f>_xlfn.IFNA(VLOOKUP(U105,'Incoming Material Report'!A:M,13,FALSE),"")</f>
        <v/>
      </c>
      <c r="AH105" t="str">
        <f>_xlfn.IFNA(IF(VLOOKUP(U105,'Incoming Material Report'!A:N,14,FALSE)="","",VLOOKUP(U105,'Incoming Material Report'!A:N,14,FALSE)),"")</f>
        <v/>
      </c>
      <c r="AI105" t="str">
        <f>_xlfn.IFNA(VLOOKUP(U105,'Incoming Material Report'!A:Z,24,FALSE),"")</f>
        <v/>
      </c>
      <c r="AJ105" t="str">
        <f>_xlfn.IFNA(VLOOKUP(U105,'Incoming Material Report'!A:Z,25,FALSE),"")</f>
        <v/>
      </c>
      <c r="AK105" t="str">
        <f>_xlfn.IFNA(VLOOKUP(U105,'Incoming Material Report'!A:Z,26,FALSE),"")</f>
        <v/>
      </c>
      <c r="AL105" t="str">
        <f>_xlfn.IFNA(VLOOKUP(U105,'Incoming Material Report'!A:Z,2,FALSE),"")</f>
        <v/>
      </c>
      <c r="AM105" s="54" t="str">
        <f>_xlfn.IFNA(VLOOKUP(U105,'Incoming Material Report'!A:K,11,FALSE)/1000,"")</f>
        <v/>
      </c>
      <c r="AN105" s="54"/>
      <c r="AO105" s="54" t="str">
        <f>_xlfn.IFNA(VLOOKUP(U105,'Incoming Material Report'!A:R,18,FALSE)*1000,"")</f>
        <v/>
      </c>
      <c r="AP105" s="54"/>
      <c r="AQ105" s="54" t="str">
        <f>_xlfn.IFNA(TEXT(VLOOKUP(U105,'Incoming Material Report'!A:D,4,FALSE),"dd.mm.yy"),"")</f>
        <v/>
      </c>
      <c r="AR105" s="54" t="str">
        <f>_xlfn.IFNA(VLOOKUP(U105,'Incoming Material Report'!A:Z,5,FALSE),"")</f>
        <v/>
      </c>
      <c r="AS105" s="54"/>
      <c r="AT105" s="54" t="str">
        <f>_xlfn.IFNA(VLOOKUP(U105,'Incoming Material Report'!A:Z,6,FALSE),"")</f>
        <v/>
      </c>
      <c r="AU105" s="54" t="str">
        <f>_xlfn.IFNA(VLOOKUP(U105,'Incoming Material Report'!A:Z,8,FALSE),"")</f>
        <v/>
      </c>
      <c r="AZ105" t="str">
        <f>_xlfn.IFNA(VLOOKUP(U105,'GRPO Wiz Individual'!AP:BT,17,FALSE),"")</f>
        <v/>
      </c>
      <c r="BA105" t="str">
        <f>_xlfn.IFNA(VLOOKUP(U105,'GRPO Wiz Individual'!AP:BT,18,FALSE),"")</f>
        <v/>
      </c>
      <c r="BB105" t="str">
        <f>_xlfn.IFNA(VLOOKUP(U105,'GRPO Wiz Individual'!AP:BT,19,FALSE),"")</f>
        <v/>
      </c>
      <c r="BC105" t="str">
        <f>_xlfn.IFNA(VLOOKUP(U105,'GRPO Wiz Individual'!AP:BT,20,FALSE),"")</f>
        <v/>
      </c>
      <c r="BD105" t="str">
        <f>_xlfn.IFNA(VLOOKUP(U105,'GRPO Wiz Individual'!AP:BT,21,FALSE),"")</f>
        <v/>
      </c>
      <c r="BE105" t="str">
        <f>_xlfn.IFNA((VLOOKUP(U105,'GRPO Wiz Individual'!AP:BT,22,FALSE)),"")</f>
        <v/>
      </c>
      <c r="BF105" t="str">
        <f>_xlfn.IFNA(VLOOKUP(U105,'GRPO Wiz Individual'!AP:BT,26,FALSE),"")</f>
        <v/>
      </c>
      <c r="BG105" t="str">
        <f>_xlfn.IFNA(VLOOKUP(U105,'GRPO Wiz Individual'!AP:BQ,28,FALSE),"")</f>
        <v/>
      </c>
      <c r="BH105" t="str">
        <f>_xlfn.IFNA(VLOOKUP(U105,'GRPO Wiz Individual'!AP:BN,25,FALSE),"")</f>
        <v/>
      </c>
      <c r="BI105" t="str">
        <f>_xlfn.IFNA(VLOOKUP(U105,'GRPO Wiz Individual'!AP:BT,31,FALSE),"")</f>
        <v/>
      </c>
      <c r="BJ105" t="str">
        <f>_xlfn.IFNA(VLOOKUP(U105,'GRPO Wiz Individual'!AP:BZ,32,FALSE),"")</f>
        <v/>
      </c>
      <c r="BK105" t="str">
        <f>_xlfn.IFNA(VLOOKUP(U105,'GRPO Wiz Individual'!AP:BZ,27,FALSE),"")</f>
        <v/>
      </c>
      <c r="BL105" t="str">
        <f>_xlfn.IFNA(VALUE(VLOOKUP(U105,'GRPO Wiz Individual'!AP:BZ,29,FALSE)),"")</f>
        <v/>
      </c>
      <c r="BM105" t="str">
        <f>_xlfn.IFNA(VLOOKUP(U105,'GRPO Wiz Individual'!AP:BZ,33,FALSE),"")</f>
        <v/>
      </c>
    </row>
    <row r="106" spans="2:65" x14ac:dyDescent="0.25">
      <c r="B106" t="str">
        <f t="shared" si="4"/>
        <v/>
      </c>
      <c r="J106" s="43" t="str">
        <f t="shared" si="5"/>
        <v/>
      </c>
      <c r="X106" t="str">
        <f t="shared" si="3"/>
        <v/>
      </c>
      <c r="AG106" t="str">
        <f>_xlfn.IFNA(VLOOKUP(U106,'Incoming Material Report'!A:M,13,FALSE),"")</f>
        <v/>
      </c>
      <c r="AH106" t="str">
        <f>_xlfn.IFNA(IF(VLOOKUP(U106,'Incoming Material Report'!A:N,14,FALSE)="","",VLOOKUP(U106,'Incoming Material Report'!A:N,14,FALSE)),"")</f>
        <v/>
      </c>
      <c r="AI106" t="str">
        <f>_xlfn.IFNA(VLOOKUP(U106,'Incoming Material Report'!A:Z,24,FALSE),"")</f>
        <v/>
      </c>
      <c r="AJ106" t="str">
        <f>_xlfn.IFNA(VLOOKUP(U106,'Incoming Material Report'!A:Z,25,FALSE),"")</f>
        <v/>
      </c>
      <c r="AK106" t="str">
        <f>_xlfn.IFNA(VLOOKUP(U106,'Incoming Material Report'!A:Z,26,FALSE),"")</f>
        <v/>
      </c>
      <c r="AL106" t="str">
        <f>_xlfn.IFNA(VLOOKUP(U106,'Incoming Material Report'!A:Z,2,FALSE),"")</f>
        <v/>
      </c>
      <c r="AM106" s="54" t="str">
        <f>_xlfn.IFNA(VLOOKUP(U106,'Incoming Material Report'!A:K,11,FALSE)/1000,"")</f>
        <v/>
      </c>
      <c r="AN106" s="54"/>
      <c r="AO106" s="54" t="str">
        <f>_xlfn.IFNA(VLOOKUP(U106,'Incoming Material Report'!A:R,18,FALSE)*1000,"")</f>
        <v/>
      </c>
      <c r="AP106" s="54"/>
      <c r="AQ106" s="54" t="str">
        <f>_xlfn.IFNA(TEXT(VLOOKUP(U106,'Incoming Material Report'!A:D,4,FALSE),"dd.mm.yy"),"")</f>
        <v/>
      </c>
      <c r="AR106" s="54" t="str">
        <f>_xlfn.IFNA(VLOOKUP(U106,'Incoming Material Report'!A:Z,5,FALSE),"")</f>
        <v/>
      </c>
      <c r="AS106" s="54"/>
      <c r="AT106" s="54" t="str">
        <f>_xlfn.IFNA(VLOOKUP(U106,'Incoming Material Report'!A:Z,6,FALSE),"")</f>
        <v/>
      </c>
      <c r="AU106" s="54" t="str">
        <f>_xlfn.IFNA(VLOOKUP(U106,'Incoming Material Report'!A:Z,8,FALSE),"")</f>
        <v/>
      </c>
      <c r="AZ106" t="str">
        <f>_xlfn.IFNA(VLOOKUP(U106,'GRPO Wiz Individual'!AP:BT,17,FALSE),"")</f>
        <v/>
      </c>
      <c r="BA106" t="str">
        <f>_xlfn.IFNA(VLOOKUP(U106,'GRPO Wiz Individual'!AP:BT,18,FALSE),"")</f>
        <v/>
      </c>
      <c r="BB106" t="str">
        <f>_xlfn.IFNA(VLOOKUP(U106,'GRPO Wiz Individual'!AP:BT,19,FALSE),"")</f>
        <v/>
      </c>
      <c r="BC106" t="str">
        <f>_xlfn.IFNA(VLOOKUP(U106,'GRPO Wiz Individual'!AP:BT,20,FALSE),"")</f>
        <v/>
      </c>
      <c r="BD106" t="str">
        <f>_xlfn.IFNA(VLOOKUP(U106,'GRPO Wiz Individual'!AP:BT,21,FALSE),"")</f>
        <v/>
      </c>
      <c r="BE106" t="str">
        <f>_xlfn.IFNA((VLOOKUP(U106,'GRPO Wiz Individual'!AP:BT,22,FALSE)),"")</f>
        <v/>
      </c>
      <c r="BF106" t="str">
        <f>_xlfn.IFNA(VLOOKUP(U106,'GRPO Wiz Individual'!AP:BT,26,FALSE),"")</f>
        <v/>
      </c>
      <c r="BG106" t="str">
        <f>_xlfn.IFNA(VLOOKUP(U106,'GRPO Wiz Individual'!AP:BQ,28,FALSE),"")</f>
        <v/>
      </c>
      <c r="BH106" t="str">
        <f>_xlfn.IFNA(VLOOKUP(U106,'GRPO Wiz Individual'!AP:BN,25,FALSE),"")</f>
        <v/>
      </c>
      <c r="BI106" t="str">
        <f>_xlfn.IFNA(VLOOKUP(U106,'GRPO Wiz Individual'!AP:BT,31,FALSE),"")</f>
        <v/>
      </c>
      <c r="BJ106" t="str">
        <f>_xlfn.IFNA(VLOOKUP(U106,'GRPO Wiz Individual'!AP:BZ,32,FALSE),"")</f>
        <v/>
      </c>
      <c r="BK106" t="str">
        <f>_xlfn.IFNA(VLOOKUP(U106,'GRPO Wiz Individual'!AP:BZ,27,FALSE),"")</f>
        <v/>
      </c>
      <c r="BL106" t="str">
        <f>_xlfn.IFNA(VALUE(VLOOKUP(U106,'GRPO Wiz Individual'!AP:BZ,29,FALSE)),"")</f>
        <v/>
      </c>
      <c r="BM106" t="str">
        <f>_xlfn.IFNA(VLOOKUP(U106,'GRPO Wiz Individual'!AP:BZ,33,FALSE),"")</f>
        <v/>
      </c>
    </row>
    <row r="107" spans="2:65" x14ac:dyDescent="0.25">
      <c r="B107" t="str">
        <f t="shared" si="4"/>
        <v/>
      </c>
      <c r="J107" s="43" t="str">
        <f t="shared" si="5"/>
        <v/>
      </c>
      <c r="X107" t="str">
        <f t="shared" si="3"/>
        <v/>
      </c>
      <c r="AG107" t="str">
        <f>_xlfn.IFNA(VLOOKUP(U107,'Incoming Material Report'!A:M,13,FALSE),"")</f>
        <v/>
      </c>
      <c r="AH107" t="str">
        <f>_xlfn.IFNA(IF(VLOOKUP(U107,'Incoming Material Report'!A:N,14,FALSE)="","",VLOOKUP(U107,'Incoming Material Report'!A:N,14,FALSE)),"")</f>
        <v/>
      </c>
      <c r="AI107" t="str">
        <f>_xlfn.IFNA(VLOOKUP(U107,'Incoming Material Report'!A:Z,24,FALSE),"")</f>
        <v/>
      </c>
      <c r="AJ107" t="str">
        <f>_xlfn.IFNA(VLOOKUP(U107,'Incoming Material Report'!A:Z,25,FALSE),"")</f>
        <v/>
      </c>
      <c r="AK107" t="str">
        <f>_xlfn.IFNA(VLOOKUP(U107,'Incoming Material Report'!A:Z,26,FALSE),"")</f>
        <v/>
      </c>
      <c r="AL107" t="str">
        <f>_xlfn.IFNA(VLOOKUP(U107,'Incoming Material Report'!A:Z,2,FALSE),"")</f>
        <v/>
      </c>
      <c r="AM107" s="54" t="str">
        <f>_xlfn.IFNA(VLOOKUP(U107,'Incoming Material Report'!A:K,11,FALSE)/1000,"")</f>
        <v/>
      </c>
      <c r="AN107" s="54"/>
      <c r="AO107" s="54" t="str">
        <f>_xlfn.IFNA(VLOOKUP(U107,'Incoming Material Report'!A:R,18,FALSE)*1000,"")</f>
        <v/>
      </c>
      <c r="AP107" s="54"/>
      <c r="AQ107" s="54" t="str">
        <f>_xlfn.IFNA(TEXT(VLOOKUP(U107,'Incoming Material Report'!A:D,4,FALSE),"dd.mm.yy"),"")</f>
        <v/>
      </c>
      <c r="AR107" s="54" t="str">
        <f>_xlfn.IFNA(VLOOKUP(U107,'Incoming Material Report'!A:Z,5,FALSE),"")</f>
        <v/>
      </c>
      <c r="AS107" s="54"/>
      <c r="AT107" s="54" t="str">
        <f>_xlfn.IFNA(VLOOKUP(U107,'Incoming Material Report'!A:Z,6,FALSE),"")</f>
        <v/>
      </c>
      <c r="AU107" s="54" t="str">
        <f>_xlfn.IFNA(VLOOKUP(U107,'Incoming Material Report'!A:Z,8,FALSE),"")</f>
        <v/>
      </c>
      <c r="AZ107" t="str">
        <f>_xlfn.IFNA(VLOOKUP(U107,'GRPO Wiz Individual'!AP:BT,17,FALSE),"")</f>
        <v/>
      </c>
      <c r="BA107" t="str">
        <f>_xlfn.IFNA(VLOOKUP(U107,'GRPO Wiz Individual'!AP:BT,18,FALSE),"")</f>
        <v/>
      </c>
      <c r="BB107" t="str">
        <f>_xlfn.IFNA(VLOOKUP(U107,'GRPO Wiz Individual'!AP:BT,19,FALSE),"")</f>
        <v/>
      </c>
      <c r="BC107" t="str">
        <f>_xlfn.IFNA(VLOOKUP(U107,'GRPO Wiz Individual'!AP:BT,20,FALSE),"")</f>
        <v/>
      </c>
      <c r="BD107" t="str">
        <f>_xlfn.IFNA(VLOOKUP(U107,'GRPO Wiz Individual'!AP:BT,21,FALSE),"")</f>
        <v/>
      </c>
      <c r="BE107" t="str">
        <f>_xlfn.IFNA((VLOOKUP(U107,'GRPO Wiz Individual'!AP:BT,22,FALSE)),"")</f>
        <v/>
      </c>
      <c r="BF107" t="str">
        <f>_xlfn.IFNA(VLOOKUP(U107,'GRPO Wiz Individual'!AP:BT,26,FALSE),"")</f>
        <v/>
      </c>
      <c r="BG107" t="str">
        <f>_xlfn.IFNA(VLOOKUP(U107,'GRPO Wiz Individual'!AP:BQ,28,FALSE),"")</f>
        <v/>
      </c>
      <c r="BH107" t="str">
        <f>_xlfn.IFNA(VLOOKUP(U107,'GRPO Wiz Individual'!AP:BN,25,FALSE),"")</f>
        <v/>
      </c>
      <c r="BI107" t="str">
        <f>_xlfn.IFNA(VLOOKUP(U107,'GRPO Wiz Individual'!AP:BT,31,FALSE),"")</f>
        <v/>
      </c>
      <c r="BJ107" t="str">
        <f>_xlfn.IFNA(VLOOKUP(U107,'GRPO Wiz Individual'!AP:BZ,32,FALSE),"")</f>
        <v/>
      </c>
      <c r="BK107" t="str">
        <f>_xlfn.IFNA(VLOOKUP(U107,'GRPO Wiz Individual'!AP:BZ,27,FALSE),"")</f>
        <v/>
      </c>
      <c r="BL107" t="str">
        <f>_xlfn.IFNA(VALUE(VLOOKUP(U107,'GRPO Wiz Individual'!AP:BZ,29,FALSE)),"")</f>
        <v/>
      </c>
      <c r="BM107" t="str">
        <f>_xlfn.IFNA(VLOOKUP(U107,'GRPO Wiz Individual'!AP:BZ,33,FALSE),"")</f>
        <v/>
      </c>
    </row>
    <row r="108" spans="2:65" x14ac:dyDescent="0.25">
      <c r="B108" t="str">
        <f t="shared" si="4"/>
        <v/>
      </c>
      <c r="J108" s="43" t="str">
        <f t="shared" si="5"/>
        <v/>
      </c>
      <c r="X108" t="str">
        <f t="shared" si="3"/>
        <v/>
      </c>
      <c r="AG108" t="str">
        <f>_xlfn.IFNA(VLOOKUP(U108,'Incoming Material Report'!A:M,13,FALSE),"")</f>
        <v/>
      </c>
      <c r="AH108" t="str">
        <f>_xlfn.IFNA(IF(VLOOKUP(U108,'Incoming Material Report'!A:N,14,FALSE)="","",VLOOKUP(U108,'Incoming Material Report'!A:N,14,FALSE)),"")</f>
        <v/>
      </c>
      <c r="AI108" t="str">
        <f>_xlfn.IFNA(VLOOKUP(U108,'Incoming Material Report'!A:Z,24,FALSE),"")</f>
        <v/>
      </c>
      <c r="AJ108" t="str">
        <f>_xlfn.IFNA(VLOOKUP(U108,'Incoming Material Report'!A:Z,25,FALSE),"")</f>
        <v/>
      </c>
      <c r="AK108" t="str">
        <f>_xlfn.IFNA(VLOOKUP(U108,'Incoming Material Report'!A:Z,26,FALSE),"")</f>
        <v/>
      </c>
      <c r="AL108" t="str">
        <f>_xlfn.IFNA(VLOOKUP(U108,'Incoming Material Report'!A:Z,2,FALSE),"")</f>
        <v/>
      </c>
      <c r="AM108" s="54" t="str">
        <f>_xlfn.IFNA(VLOOKUP(U108,'Incoming Material Report'!A:K,11,FALSE)/1000,"")</f>
        <v/>
      </c>
      <c r="AN108" s="54"/>
      <c r="AO108" s="54" t="str">
        <f>_xlfn.IFNA(VLOOKUP(U108,'Incoming Material Report'!A:R,18,FALSE)*1000,"")</f>
        <v/>
      </c>
      <c r="AP108" s="54"/>
      <c r="AQ108" s="54" t="str">
        <f>_xlfn.IFNA(TEXT(VLOOKUP(U108,'Incoming Material Report'!A:D,4,FALSE),"dd.mm.yy"),"")</f>
        <v/>
      </c>
      <c r="AR108" s="54" t="str">
        <f>_xlfn.IFNA(VLOOKUP(U108,'Incoming Material Report'!A:Z,5,FALSE),"")</f>
        <v/>
      </c>
      <c r="AS108" s="54"/>
      <c r="AT108" s="54" t="str">
        <f>_xlfn.IFNA(VLOOKUP(U108,'Incoming Material Report'!A:Z,6,FALSE),"")</f>
        <v/>
      </c>
      <c r="AU108" s="54" t="str">
        <f>_xlfn.IFNA(VLOOKUP(U108,'Incoming Material Report'!A:Z,8,FALSE),"")</f>
        <v/>
      </c>
      <c r="AZ108" t="str">
        <f>_xlfn.IFNA(VLOOKUP(U108,'GRPO Wiz Individual'!AP:BT,17,FALSE),"")</f>
        <v/>
      </c>
      <c r="BA108" t="str">
        <f>_xlfn.IFNA(VLOOKUP(U108,'GRPO Wiz Individual'!AP:BT,18,FALSE),"")</f>
        <v/>
      </c>
      <c r="BB108" t="str">
        <f>_xlfn.IFNA(VLOOKUP(U108,'GRPO Wiz Individual'!AP:BT,19,FALSE),"")</f>
        <v/>
      </c>
      <c r="BC108" t="str">
        <f>_xlfn.IFNA(VLOOKUP(U108,'GRPO Wiz Individual'!AP:BT,20,FALSE),"")</f>
        <v/>
      </c>
      <c r="BD108" t="str">
        <f>_xlfn.IFNA(VLOOKUP(U108,'GRPO Wiz Individual'!AP:BT,21,FALSE),"")</f>
        <v/>
      </c>
      <c r="BE108" t="str">
        <f>_xlfn.IFNA((VLOOKUP(U108,'GRPO Wiz Individual'!AP:BT,22,FALSE)),"")</f>
        <v/>
      </c>
      <c r="BF108" t="str">
        <f>_xlfn.IFNA(VLOOKUP(U108,'GRPO Wiz Individual'!AP:BT,26,FALSE),"")</f>
        <v/>
      </c>
      <c r="BG108" t="str">
        <f>_xlfn.IFNA(VLOOKUP(U108,'GRPO Wiz Individual'!AP:BQ,28,FALSE),"")</f>
        <v/>
      </c>
      <c r="BH108" t="str">
        <f>_xlfn.IFNA(VLOOKUP(U108,'GRPO Wiz Individual'!AP:BN,25,FALSE),"")</f>
        <v/>
      </c>
      <c r="BI108" t="str">
        <f>_xlfn.IFNA(VLOOKUP(U108,'GRPO Wiz Individual'!AP:BT,31,FALSE),"")</f>
        <v/>
      </c>
      <c r="BJ108" t="str">
        <f>_xlfn.IFNA(VLOOKUP(U108,'GRPO Wiz Individual'!AP:BZ,32,FALSE),"")</f>
        <v/>
      </c>
      <c r="BK108" t="str">
        <f>_xlfn.IFNA(VLOOKUP(U108,'GRPO Wiz Individual'!AP:BZ,27,FALSE),"")</f>
        <v/>
      </c>
      <c r="BL108" t="str">
        <f>_xlfn.IFNA(VALUE(VLOOKUP(U108,'GRPO Wiz Individual'!AP:BZ,29,FALSE)),"")</f>
        <v/>
      </c>
      <c r="BM108" t="str">
        <f>_xlfn.IFNA(VLOOKUP(U108,'GRPO Wiz Individual'!AP:BZ,33,FALSE),"")</f>
        <v/>
      </c>
    </row>
    <row r="109" spans="2:65" x14ac:dyDescent="0.25">
      <c r="B109" t="str">
        <f t="shared" si="4"/>
        <v/>
      </c>
      <c r="J109" s="43" t="str">
        <f t="shared" si="5"/>
        <v/>
      </c>
      <c r="X109" t="str">
        <f t="shared" si="3"/>
        <v/>
      </c>
      <c r="AG109" t="str">
        <f>_xlfn.IFNA(VLOOKUP(U109,'Incoming Material Report'!A:M,13,FALSE),"")</f>
        <v/>
      </c>
      <c r="AH109" t="str">
        <f>_xlfn.IFNA(IF(VLOOKUP(U109,'Incoming Material Report'!A:N,14,FALSE)="","",VLOOKUP(U109,'Incoming Material Report'!A:N,14,FALSE)),"")</f>
        <v/>
      </c>
      <c r="AI109" t="str">
        <f>_xlfn.IFNA(VLOOKUP(U109,'Incoming Material Report'!A:Z,24,FALSE),"")</f>
        <v/>
      </c>
      <c r="AJ109" t="str">
        <f>_xlfn.IFNA(VLOOKUP(U109,'Incoming Material Report'!A:Z,25,FALSE),"")</f>
        <v/>
      </c>
      <c r="AK109" t="str">
        <f>_xlfn.IFNA(VLOOKUP(U109,'Incoming Material Report'!A:Z,26,FALSE),"")</f>
        <v/>
      </c>
      <c r="AL109" t="str">
        <f>_xlfn.IFNA(VLOOKUP(U109,'Incoming Material Report'!A:Z,2,FALSE),"")</f>
        <v/>
      </c>
      <c r="AM109" s="54" t="str">
        <f>_xlfn.IFNA(VLOOKUP(U109,'Incoming Material Report'!A:K,11,FALSE)/1000,"")</f>
        <v/>
      </c>
      <c r="AN109" s="54"/>
      <c r="AO109" s="54" t="str">
        <f>_xlfn.IFNA(VLOOKUP(U109,'Incoming Material Report'!A:R,18,FALSE)*1000,"")</f>
        <v/>
      </c>
      <c r="AP109" s="54"/>
      <c r="AQ109" s="54" t="str">
        <f>_xlfn.IFNA(TEXT(VLOOKUP(U109,'Incoming Material Report'!A:D,4,FALSE),"dd.mm.yy"),"")</f>
        <v/>
      </c>
      <c r="AR109" s="54" t="str">
        <f>_xlfn.IFNA(VLOOKUP(U109,'Incoming Material Report'!A:Z,5,FALSE),"")</f>
        <v/>
      </c>
      <c r="AS109" s="54"/>
      <c r="AT109" s="54" t="str">
        <f>_xlfn.IFNA(VLOOKUP(U109,'Incoming Material Report'!A:Z,6,FALSE),"")</f>
        <v/>
      </c>
      <c r="AU109" s="54" t="str">
        <f>_xlfn.IFNA(VLOOKUP(U109,'Incoming Material Report'!A:Z,8,FALSE),"")</f>
        <v/>
      </c>
      <c r="AZ109" t="str">
        <f>_xlfn.IFNA(VLOOKUP(U109,'GRPO Wiz Individual'!AP:BT,17,FALSE),"")</f>
        <v/>
      </c>
      <c r="BA109" t="str">
        <f>_xlfn.IFNA(VLOOKUP(U109,'GRPO Wiz Individual'!AP:BT,18,FALSE),"")</f>
        <v/>
      </c>
      <c r="BB109" t="str">
        <f>_xlfn.IFNA(VLOOKUP(U109,'GRPO Wiz Individual'!AP:BT,19,FALSE),"")</f>
        <v/>
      </c>
      <c r="BC109" t="str">
        <f>_xlfn.IFNA(VLOOKUP(U109,'GRPO Wiz Individual'!AP:BT,20,FALSE),"")</f>
        <v/>
      </c>
      <c r="BD109" t="str">
        <f>_xlfn.IFNA(VLOOKUP(U109,'GRPO Wiz Individual'!AP:BT,21,FALSE),"")</f>
        <v/>
      </c>
      <c r="BE109" t="str">
        <f>_xlfn.IFNA((VLOOKUP(U109,'GRPO Wiz Individual'!AP:BT,22,FALSE)),"")</f>
        <v/>
      </c>
      <c r="BF109" t="str">
        <f>_xlfn.IFNA(VLOOKUP(U109,'GRPO Wiz Individual'!AP:BT,26,FALSE),"")</f>
        <v/>
      </c>
      <c r="BG109" t="str">
        <f>_xlfn.IFNA(VLOOKUP(U109,'GRPO Wiz Individual'!AP:BQ,28,FALSE),"")</f>
        <v/>
      </c>
      <c r="BH109" t="str">
        <f>_xlfn.IFNA(VLOOKUP(U109,'GRPO Wiz Individual'!AP:BN,25,FALSE),"")</f>
        <v/>
      </c>
      <c r="BI109" t="str">
        <f>_xlfn.IFNA(VLOOKUP(U109,'GRPO Wiz Individual'!AP:BT,31,FALSE),"")</f>
        <v/>
      </c>
      <c r="BJ109" t="str">
        <f>_xlfn.IFNA(VLOOKUP(U109,'GRPO Wiz Individual'!AP:BZ,32,FALSE),"")</f>
        <v/>
      </c>
      <c r="BK109" t="str">
        <f>_xlfn.IFNA(VLOOKUP(U109,'GRPO Wiz Individual'!AP:BZ,27,FALSE),"")</f>
        <v/>
      </c>
      <c r="BL109" t="str">
        <f>_xlfn.IFNA(VALUE(VLOOKUP(U109,'GRPO Wiz Individual'!AP:BZ,29,FALSE)),"")</f>
        <v/>
      </c>
      <c r="BM109" t="str">
        <f>_xlfn.IFNA(VLOOKUP(U109,'GRPO Wiz Individual'!AP:BZ,33,FALSE),"")</f>
        <v/>
      </c>
    </row>
    <row r="110" spans="2:65" x14ac:dyDescent="0.25">
      <c r="B110" t="str">
        <f t="shared" si="4"/>
        <v/>
      </c>
      <c r="J110" s="43" t="str">
        <f t="shared" si="5"/>
        <v/>
      </c>
      <c r="X110" t="str">
        <f t="shared" si="3"/>
        <v/>
      </c>
      <c r="AG110" t="str">
        <f>_xlfn.IFNA(VLOOKUP(U110,'Incoming Material Report'!A:M,13,FALSE),"")</f>
        <v/>
      </c>
      <c r="AH110" t="str">
        <f>_xlfn.IFNA(IF(VLOOKUP(U110,'Incoming Material Report'!A:N,14,FALSE)="","",VLOOKUP(U110,'Incoming Material Report'!A:N,14,FALSE)),"")</f>
        <v/>
      </c>
      <c r="AI110" t="str">
        <f>_xlfn.IFNA(VLOOKUP(U110,'Incoming Material Report'!A:Z,24,FALSE),"")</f>
        <v/>
      </c>
      <c r="AJ110" t="str">
        <f>_xlfn.IFNA(VLOOKUP(U110,'Incoming Material Report'!A:Z,25,FALSE),"")</f>
        <v/>
      </c>
      <c r="AK110" t="str">
        <f>_xlfn.IFNA(VLOOKUP(U110,'Incoming Material Report'!A:Z,26,FALSE),"")</f>
        <v/>
      </c>
      <c r="AL110" t="str">
        <f>_xlfn.IFNA(VLOOKUP(U110,'Incoming Material Report'!A:Z,2,FALSE),"")</f>
        <v/>
      </c>
      <c r="AM110" s="54" t="str">
        <f>_xlfn.IFNA(VLOOKUP(U110,'Incoming Material Report'!A:K,11,FALSE)/1000,"")</f>
        <v/>
      </c>
      <c r="AN110" s="54"/>
      <c r="AO110" s="54" t="str">
        <f>_xlfn.IFNA(VLOOKUP(U110,'Incoming Material Report'!A:R,18,FALSE)*1000,"")</f>
        <v/>
      </c>
      <c r="AP110" s="54"/>
      <c r="AQ110" s="54" t="str">
        <f>_xlfn.IFNA(TEXT(VLOOKUP(U110,'Incoming Material Report'!A:D,4,FALSE),"dd.mm.yy"),"")</f>
        <v/>
      </c>
      <c r="AR110" s="54" t="str">
        <f>_xlfn.IFNA(VLOOKUP(U110,'Incoming Material Report'!A:Z,5,FALSE),"")</f>
        <v/>
      </c>
      <c r="AS110" s="54"/>
      <c r="AT110" s="54" t="str">
        <f>_xlfn.IFNA(VLOOKUP(U110,'Incoming Material Report'!A:Z,6,FALSE),"")</f>
        <v/>
      </c>
      <c r="AU110" s="54" t="str">
        <f>_xlfn.IFNA(VLOOKUP(U110,'Incoming Material Report'!A:Z,8,FALSE),"")</f>
        <v/>
      </c>
      <c r="AZ110" t="str">
        <f>_xlfn.IFNA(VLOOKUP(U110,'GRPO Wiz Individual'!AP:BT,17,FALSE),"")</f>
        <v/>
      </c>
      <c r="BA110" t="str">
        <f>_xlfn.IFNA(VLOOKUP(U110,'GRPO Wiz Individual'!AP:BT,18,FALSE),"")</f>
        <v/>
      </c>
      <c r="BB110" t="str">
        <f>_xlfn.IFNA(VLOOKUP(U110,'GRPO Wiz Individual'!AP:BT,19,FALSE),"")</f>
        <v/>
      </c>
      <c r="BC110" t="str">
        <f>_xlfn.IFNA(VLOOKUP(U110,'GRPO Wiz Individual'!AP:BT,20,FALSE),"")</f>
        <v/>
      </c>
      <c r="BD110" t="str">
        <f>_xlfn.IFNA(VLOOKUP(U110,'GRPO Wiz Individual'!AP:BT,21,FALSE),"")</f>
        <v/>
      </c>
      <c r="BE110" t="str">
        <f>_xlfn.IFNA((VLOOKUP(U110,'GRPO Wiz Individual'!AP:BT,22,FALSE)),"")</f>
        <v/>
      </c>
      <c r="BF110" t="str">
        <f>_xlfn.IFNA(VLOOKUP(U110,'GRPO Wiz Individual'!AP:BT,26,FALSE),"")</f>
        <v/>
      </c>
      <c r="BG110" t="str">
        <f>_xlfn.IFNA(VLOOKUP(U110,'GRPO Wiz Individual'!AP:BQ,28,FALSE),"")</f>
        <v/>
      </c>
      <c r="BH110" t="str">
        <f>_xlfn.IFNA(VLOOKUP(U110,'GRPO Wiz Individual'!AP:BN,25,FALSE),"")</f>
        <v/>
      </c>
      <c r="BI110" t="str">
        <f>_xlfn.IFNA(VLOOKUP(U110,'GRPO Wiz Individual'!AP:BT,31,FALSE),"")</f>
        <v/>
      </c>
      <c r="BJ110" t="str">
        <f>_xlfn.IFNA(VLOOKUP(U110,'GRPO Wiz Individual'!AP:BZ,32,FALSE),"")</f>
        <v/>
      </c>
      <c r="BK110" t="str">
        <f>_xlfn.IFNA(VLOOKUP(U110,'GRPO Wiz Individual'!AP:BZ,27,FALSE),"")</f>
        <v/>
      </c>
      <c r="BL110" t="str">
        <f>_xlfn.IFNA(VALUE(VLOOKUP(U110,'GRPO Wiz Individual'!AP:BZ,29,FALSE)),"")</f>
        <v/>
      </c>
      <c r="BM110" t="str">
        <f>_xlfn.IFNA(VLOOKUP(U110,'GRPO Wiz Individual'!AP:BZ,33,FALSE),"")</f>
        <v/>
      </c>
    </row>
    <row r="111" spans="2:65" x14ac:dyDescent="0.25">
      <c r="B111" t="str">
        <f t="shared" si="4"/>
        <v/>
      </c>
      <c r="J111" s="43" t="str">
        <f t="shared" si="5"/>
        <v/>
      </c>
      <c r="X111" t="str">
        <f t="shared" si="3"/>
        <v/>
      </c>
      <c r="AG111" t="str">
        <f>_xlfn.IFNA(VLOOKUP(U111,'Incoming Material Report'!A:M,13,FALSE),"")</f>
        <v/>
      </c>
      <c r="AH111" t="str">
        <f>_xlfn.IFNA(IF(VLOOKUP(U111,'Incoming Material Report'!A:N,14,FALSE)="","",VLOOKUP(U111,'Incoming Material Report'!A:N,14,FALSE)),"")</f>
        <v/>
      </c>
      <c r="AI111" t="str">
        <f>_xlfn.IFNA(VLOOKUP(U111,'Incoming Material Report'!A:Z,24,FALSE),"")</f>
        <v/>
      </c>
      <c r="AJ111" t="str">
        <f>_xlfn.IFNA(VLOOKUP(U111,'Incoming Material Report'!A:Z,25,FALSE),"")</f>
        <v/>
      </c>
      <c r="AK111" t="str">
        <f>_xlfn.IFNA(VLOOKUP(U111,'Incoming Material Report'!A:Z,26,FALSE),"")</f>
        <v/>
      </c>
      <c r="AL111" t="str">
        <f>_xlfn.IFNA(VLOOKUP(U111,'Incoming Material Report'!A:Z,2,FALSE),"")</f>
        <v/>
      </c>
      <c r="AM111" s="54" t="str">
        <f>_xlfn.IFNA(VLOOKUP(U111,'Incoming Material Report'!A:K,11,FALSE)/1000,"")</f>
        <v/>
      </c>
      <c r="AN111" s="54"/>
      <c r="AO111" s="54" t="str">
        <f>_xlfn.IFNA(VLOOKUP(U111,'Incoming Material Report'!A:R,18,FALSE)*1000,"")</f>
        <v/>
      </c>
      <c r="AP111" s="54"/>
      <c r="AQ111" s="54" t="str">
        <f>_xlfn.IFNA(TEXT(VLOOKUP(U111,'Incoming Material Report'!A:D,4,FALSE),"dd.mm.yy"),"")</f>
        <v/>
      </c>
      <c r="AR111" s="54" t="str">
        <f>_xlfn.IFNA(VLOOKUP(U111,'Incoming Material Report'!A:Z,5,FALSE),"")</f>
        <v/>
      </c>
      <c r="AS111" s="54"/>
      <c r="AT111" s="54" t="str">
        <f>_xlfn.IFNA(VLOOKUP(U111,'Incoming Material Report'!A:Z,6,FALSE),"")</f>
        <v/>
      </c>
      <c r="AU111" s="54" t="str">
        <f>_xlfn.IFNA(VLOOKUP(U111,'Incoming Material Report'!A:Z,8,FALSE),"")</f>
        <v/>
      </c>
      <c r="AZ111" t="str">
        <f>_xlfn.IFNA(VLOOKUP(U111,'GRPO Wiz Individual'!AP:BT,17,FALSE),"")</f>
        <v/>
      </c>
      <c r="BA111" t="str">
        <f>_xlfn.IFNA(VLOOKUP(U111,'GRPO Wiz Individual'!AP:BT,18,FALSE),"")</f>
        <v/>
      </c>
      <c r="BB111" t="str">
        <f>_xlfn.IFNA(VLOOKUP(U111,'GRPO Wiz Individual'!AP:BT,19,FALSE),"")</f>
        <v/>
      </c>
      <c r="BC111" t="str">
        <f>_xlfn.IFNA(VLOOKUP(U111,'GRPO Wiz Individual'!AP:BT,20,FALSE),"")</f>
        <v/>
      </c>
      <c r="BD111" t="str">
        <f>_xlfn.IFNA(VLOOKUP(U111,'GRPO Wiz Individual'!AP:BT,21,FALSE),"")</f>
        <v/>
      </c>
      <c r="BE111" t="str">
        <f>_xlfn.IFNA((VLOOKUP(U111,'GRPO Wiz Individual'!AP:BT,22,FALSE)),"")</f>
        <v/>
      </c>
      <c r="BF111" t="str">
        <f>_xlfn.IFNA(VLOOKUP(U111,'GRPO Wiz Individual'!AP:BT,26,FALSE),"")</f>
        <v/>
      </c>
      <c r="BG111" t="str">
        <f>_xlfn.IFNA(VLOOKUP(U111,'GRPO Wiz Individual'!AP:BQ,28,FALSE),"")</f>
        <v/>
      </c>
      <c r="BH111" t="str">
        <f>_xlfn.IFNA(VLOOKUP(U111,'GRPO Wiz Individual'!AP:BN,25,FALSE),"")</f>
        <v/>
      </c>
      <c r="BI111" t="str">
        <f>_xlfn.IFNA(VLOOKUP(U111,'GRPO Wiz Individual'!AP:BT,31,FALSE),"")</f>
        <v/>
      </c>
      <c r="BJ111" t="str">
        <f>_xlfn.IFNA(VLOOKUP(U111,'GRPO Wiz Individual'!AP:BZ,32,FALSE),"")</f>
        <v/>
      </c>
      <c r="BK111" t="str">
        <f>_xlfn.IFNA(VLOOKUP(U111,'GRPO Wiz Individual'!AP:BZ,27,FALSE),"")</f>
        <v/>
      </c>
      <c r="BL111" t="str">
        <f>_xlfn.IFNA(VALUE(VLOOKUP(U111,'GRPO Wiz Individual'!AP:BZ,29,FALSE)),"")</f>
        <v/>
      </c>
      <c r="BM111" t="str">
        <f>_xlfn.IFNA(VLOOKUP(U111,'GRPO Wiz Individual'!AP:BZ,33,FALSE),"")</f>
        <v/>
      </c>
    </row>
    <row r="112" spans="2:65" x14ac:dyDescent="0.25">
      <c r="B112" t="str">
        <f t="shared" si="4"/>
        <v/>
      </c>
      <c r="J112" s="43" t="str">
        <f t="shared" si="5"/>
        <v/>
      </c>
      <c r="X112" t="str">
        <f t="shared" si="3"/>
        <v/>
      </c>
      <c r="AG112" t="str">
        <f>_xlfn.IFNA(VLOOKUP(U112,'Incoming Material Report'!A:M,13,FALSE),"")</f>
        <v/>
      </c>
      <c r="AH112" t="str">
        <f>_xlfn.IFNA(IF(VLOOKUP(U112,'Incoming Material Report'!A:N,14,FALSE)="","",VLOOKUP(U112,'Incoming Material Report'!A:N,14,FALSE)),"")</f>
        <v/>
      </c>
      <c r="AI112" t="str">
        <f>_xlfn.IFNA(VLOOKUP(U112,'Incoming Material Report'!A:Z,24,FALSE),"")</f>
        <v/>
      </c>
      <c r="AJ112" t="str">
        <f>_xlfn.IFNA(VLOOKUP(U112,'Incoming Material Report'!A:Z,25,FALSE),"")</f>
        <v/>
      </c>
      <c r="AK112" t="str">
        <f>_xlfn.IFNA(VLOOKUP(U112,'Incoming Material Report'!A:Z,26,FALSE),"")</f>
        <v/>
      </c>
      <c r="AL112" t="str">
        <f>_xlfn.IFNA(VLOOKUP(U112,'Incoming Material Report'!A:Z,2,FALSE),"")</f>
        <v/>
      </c>
      <c r="AM112" s="54" t="str">
        <f>_xlfn.IFNA(VLOOKUP(U112,'Incoming Material Report'!A:K,11,FALSE)/1000,"")</f>
        <v/>
      </c>
      <c r="AN112" s="54"/>
      <c r="AO112" s="54" t="str">
        <f>_xlfn.IFNA(VLOOKUP(U112,'Incoming Material Report'!A:R,18,FALSE)*1000,"")</f>
        <v/>
      </c>
      <c r="AP112" s="54"/>
      <c r="AQ112" s="54" t="str">
        <f>_xlfn.IFNA(TEXT(VLOOKUP(U112,'Incoming Material Report'!A:D,4,FALSE),"dd.mm.yy"),"")</f>
        <v/>
      </c>
      <c r="AR112" s="54" t="str">
        <f>_xlfn.IFNA(VLOOKUP(U112,'Incoming Material Report'!A:Z,5,FALSE),"")</f>
        <v/>
      </c>
      <c r="AS112" s="54"/>
      <c r="AT112" s="54" t="str">
        <f>_xlfn.IFNA(VLOOKUP(U112,'Incoming Material Report'!A:Z,6,FALSE),"")</f>
        <v/>
      </c>
      <c r="AU112" s="54" t="str">
        <f>_xlfn.IFNA(VLOOKUP(U112,'Incoming Material Report'!A:Z,8,FALSE),"")</f>
        <v/>
      </c>
      <c r="AZ112" t="str">
        <f>_xlfn.IFNA(VLOOKUP(U112,'GRPO Wiz Individual'!AP:BT,17,FALSE),"")</f>
        <v/>
      </c>
      <c r="BA112" t="str">
        <f>_xlfn.IFNA(VLOOKUP(U112,'GRPO Wiz Individual'!AP:BT,18,FALSE),"")</f>
        <v/>
      </c>
      <c r="BB112" t="str">
        <f>_xlfn.IFNA(VLOOKUP(U112,'GRPO Wiz Individual'!AP:BT,19,FALSE),"")</f>
        <v/>
      </c>
      <c r="BC112" t="str">
        <f>_xlfn.IFNA(VLOOKUP(U112,'GRPO Wiz Individual'!AP:BT,20,FALSE),"")</f>
        <v/>
      </c>
      <c r="BD112" t="str">
        <f>_xlfn.IFNA(VLOOKUP(U112,'GRPO Wiz Individual'!AP:BT,21,FALSE),"")</f>
        <v/>
      </c>
      <c r="BE112" t="str">
        <f>_xlfn.IFNA((VLOOKUP(U112,'GRPO Wiz Individual'!AP:BT,22,FALSE)),"")</f>
        <v/>
      </c>
      <c r="BF112" t="str">
        <f>_xlfn.IFNA(VLOOKUP(U112,'GRPO Wiz Individual'!AP:BT,26,FALSE),"")</f>
        <v/>
      </c>
      <c r="BG112" t="str">
        <f>_xlfn.IFNA(VLOOKUP(U112,'GRPO Wiz Individual'!AP:BQ,28,FALSE),"")</f>
        <v/>
      </c>
      <c r="BH112" t="str">
        <f>_xlfn.IFNA(VLOOKUP(U112,'GRPO Wiz Individual'!AP:BN,25,FALSE),"")</f>
        <v/>
      </c>
      <c r="BI112" t="str">
        <f>_xlfn.IFNA(VLOOKUP(U112,'GRPO Wiz Individual'!AP:BT,31,FALSE),"")</f>
        <v/>
      </c>
      <c r="BJ112" t="str">
        <f>_xlfn.IFNA(VLOOKUP(U112,'GRPO Wiz Individual'!AP:BZ,32,FALSE),"")</f>
        <v/>
      </c>
      <c r="BK112" t="str">
        <f>_xlfn.IFNA(VLOOKUP(U112,'GRPO Wiz Individual'!AP:BZ,27,FALSE),"")</f>
        <v/>
      </c>
      <c r="BL112" t="str">
        <f>_xlfn.IFNA(VALUE(VLOOKUP(U112,'GRPO Wiz Individual'!AP:BZ,29,FALSE)),"")</f>
        <v/>
      </c>
      <c r="BM112" t="str">
        <f>_xlfn.IFNA(VLOOKUP(U112,'GRPO Wiz Individual'!AP:BZ,33,FALSE),"")</f>
        <v/>
      </c>
    </row>
    <row r="113" spans="24:65" x14ac:dyDescent="0.25">
      <c r="X113" t="str">
        <f t="shared" si="3"/>
        <v/>
      </c>
      <c r="AG113" t="str">
        <f>_xlfn.IFNA(VLOOKUP(U113,'Incoming Material Report'!A:M,13,FALSE),"")</f>
        <v/>
      </c>
      <c r="AH113" t="str">
        <f>_xlfn.IFNA(IF(VLOOKUP(U113,'Incoming Material Report'!A:N,14,FALSE)="","",VLOOKUP(U113,'Incoming Material Report'!A:N,14,FALSE)),"")</f>
        <v/>
      </c>
      <c r="AI113" t="str">
        <f>_xlfn.IFNA(VLOOKUP(U113,'Incoming Material Report'!A:Z,24,FALSE),"")</f>
        <v/>
      </c>
      <c r="AJ113" t="str">
        <f>_xlfn.IFNA(VLOOKUP(U113,'Incoming Material Report'!A:Z,25,FALSE),"")</f>
        <v/>
      </c>
      <c r="AK113" t="str">
        <f>_xlfn.IFNA(VLOOKUP(U113,'Incoming Material Report'!A:Z,26,FALSE),"")</f>
        <v/>
      </c>
      <c r="AL113" t="str">
        <f>_xlfn.IFNA(VLOOKUP(U113,'Incoming Material Report'!A:Z,2,FALSE),"")</f>
        <v/>
      </c>
      <c r="AM113" s="54" t="str">
        <f>_xlfn.IFNA(VLOOKUP(U113,'Incoming Material Report'!A:K,11,FALSE)/1000,"")</f>
        <v/>
      </c>
      <c r="AN113" s="54"/>
      <c r="AO113" s="54" t="str">
        <f>_xlfn.IFNA(VLOOKUP(U113,'Incoming Material Report'!A:R,18,FALSE)*1000,"")</f>
        <v/>
      </c>
      <c r="AP113" s="54"/>
      <c r="AQ113" s="54" t="str">
        <f>_xlfn.IFNA(TEXT(VLOOKUP(U113,'Incoming Material Report'!A:D,4,FALSE),"dd.mm.yy"),"")</f>
        <v/>
      </c>
      <c r="AR113" s="54" t="str">
        <f>_xlfn.IFNA(VLOOKUP(U113,'Incoming Material Report'!A:Z,5,FALSE),"")</f>
        <v/>
      </c>
      <c r="AS113" s="54"/>
      <c r="AT113" s="54" t="str">
        <f>_xlfn.IFNA(VLOOKUP(U113,'Incoming Material Report'!A:Z,6,FALSE),"")</f>
        <v/>
      </c>
      <c r="AU113" s="54" t="str">
        <f>_xlfn.IFNA(VLOOKUP(U113,'Incoming Material Report'!A:Z,8,FALSE),"")</f>
        <v/>
      </c>
      <c r="AZ113" t="str">
        <f>_xlfn.IFNA(VLOOKUP(U113,'GRPO Wiz Individual'!AP:BT,17,FALSE),"")</f>
        <v/>
      </c>
      <c r="BA113" t="str">
        <f>_xlfn.IFNA(VLOOKUP(U113,'GRPO Wiz Individual'!AP:BT,18,FALSE),"")</f>
        <v/>
      </c>
      <c r="BB113" t="str">
        <f>_xlfn.IFNA(VLOOKUP(U113,'GRPO Wiz Individual'!AP:BT,19,FALSE),"")</f>
        <v/>
      </c>
      <c r="BC113" t="str">
        <f>_xlfn.IFNA(VLOOKUP(U113,'GRPO Wiz Individual'!AP:BT,20,FALSE),"")</f>
        <v/>
      </c>
      <c r="BD113" t="str">
        <f>_xlfn.IFNA(VLOOKUP(U113,'GRPO Wiz Individual'!AP:BT,21,FALSE),"")</f>
        <v/>
      </c>
      <c r="BE113" t="str">
        <f>_xlfn.IFNA((VLOOKUP(U113,'GRPO Wiz Individual'!AP:BT,22,FALSE)),"")</f>
        <v/>
      </c>
      <c r="BF113" t="str">
        <f>_xlfn.IFNA(VLOOKUP(U113,'GRPO Wiz Individual'!AP:BT,26,FALSE),"")</f>
        <v/>
      </c>
      <c r="BG113" t="str">
        <f>_xlfn.IFNA(VLOOKUP(U113,'GRPO Wiz Individual'!AP:BQ,28,FALSE),"")</f>
        <v/>
      </c>
      <c r="BH113" t="str">
        <f>_xlfn.IFNA(VLOOKUP(U113,'GRPO Wiz Individual'!AP:BN,25,FALSE),"")</f>
        <v/>
      </c>
      <c r="BI113" t="str">
        <f>_xlfn.IFNA(VLOOKUP(U113,'GRPO Wiz Individual'!AP:BT,31,FALSE),"")</f>
        <v/>
      </c>
      <c r="BJ113" t="str">
        <f>_xlfn.IFNA(VLOOKUP(U113,'GRPO Wiz Individual'!AP:BZ,32,FALSE),"")</f>
        <v/>
      </c>
      <c r="BK113" t="str">
        <f>_xlfn.IFNA(VLOOKUP(U113,'GRPO Wiz Individual'!AP:BZ,27,FALSE),"")</f>
        <v/>
      </c>
      <c r="BL113" t="str">
        <f>_xlfn.IFNA(VALUE(VLOOKUP(U113,'GRPO Wiz Individual'!AP:BZ,29,FALSE)),"")</f>
        <v/>
      </c>
      <c r="BM113" t="str">
        <f>_xlfn.IFNA(VLOOKUP(U113,'GRPO Wiz Individual'!AP:BZ,33,FALSE),"")</f>
        <v/>
      </c>
    </row>
  </sheetData>
  <conditionalFormatting sqref="A4:A111 Y80:BM111 X80:X113 C4:W4 C5:I111 K5:W37 K80:W111 K39:BM79 J5:J112 B4:B112 A1:BM3 X4:BF37 K38:BF38 AG2:AU113 AZ2:BM113">
    <cfRule type="notContainsBlanks" dxfId="15" priority="1">
      <formula>LEN(TRIM(A1))&gt;0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1DB01DE-677E-4F55-8086-8060D45B9BFF}">
            <xm:f>AND('Validation GRPO'!A1="NA",A1&lt;&gt;"")</xm:f>
            <x14:dxf>
              <fill>
                <patternFill>
                  <bgColor rgb="FFFF0000"/>
                </patternFill>
              </fill>
            </x14:dxf>
          </x14:cfRule>
          <xm:sqref>A1:CK1 A114:CK135 CB2:CK33 A2:BY2 X3:X79 A113:W113 X80:CK113 C4:W4 K5:W37 K80:W112 K39:CK79 C5:J112 A3:W3 A4:B112 Y3:BY3 V2:V3 Y4:BF37 BH4:BY33 K38:BF38 BH34:CK38 AG2:AU113 AZ2:BM113</xm:sqref>
        </x14:conditionalFormatting>
        <x14:conditionalFormatting xmlns:xm="http://schemas.microsoft.com/office/excel/2006/main">
          <x14:cfRule type="expression" priority="2" id="{5C81B65E-FB0F-4365-8BA5-907B1F653F42}">
            <xm:f>AND('\\192.168.1.25\Steel_Operation\RPA\Accounts Payable Booking\Data\Output\Processed Invoices\JCAPCP\3000066343 13-09-21 09.51 AM\[JCAPCP Invoice 3000066343.xlsm]Validation'!#REF!="NA",BZ2&lt;&gt;"")</xm:f>
            <x14:dxf>
              <fill>
                <patternFill>
                  <bgColor rgb="FFFF0000"/>
                </patternFill>
              </fill>
            </x14:dxf>
          </x14:cfRule>
          <xm:sqref>BZ2:CA33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X752"/>
  <sheetViews>
    <sheetView topLeftCell="A3" zoomScale="99" workbookViewId="0">
      <selection activeCell="P20" sqref="P20"/>
    </sheetView>
  </sheetViews>
  <sheetFormatPr defaultRowHeight="15" x14ac:dyDescent="0.25"/>
  <cols>
    <col min="1" max="8" width="9.140625" style="38"/>
    <col min="9" max="9" width="18.28515625" style="38" bestFit="1" customWidth="1"/>
    <col min="10" max="16" width="9.140625" style="38"/>
    <col min="17" max="17" width="9.7109375" style="38" bestFit="1" customWidth="1"/>
    <col min="18" max="47" width="9.140625" style="38"/>
    <col min="48" max="48" width="9.5703125" style="38" bestFit="1" customWidth="1"/>
    <col min="49" max="55" width="9.140625" style="38"/>
    <col min="58" max="59" width="9.140625" style="1" customWidth="1"/>
    <col min="60" max="60" width="14" style="1" customWidth="1"/>
    <col min="61" max="62" width="9.140625" style="1" customWidth="1"/>
    <col min="63" max="63" width="18.28515625" style="1" bestFit="1" customWidth="1"/>
    <col min="64" max="64" width="18.5703125" style="1" bestFit="1" customWidth="1"/>
    <col min="65" max="65" width="13.140625" style="4" bestFit="1" customWidth="1"/>
    <col min="66" max="66" width="8.42578125" style="1" bestFit="1" customWidth="1"/>
    <col min="67" max="67" width="9.140625" style="1" customWidth="1"/>
    <col min="68" max="68" width="10" style="1" bestFit="1" customWidth="1"/>
    <col min="69" max="71" width="9.140625" style="1" customWidth="1"/>
    <col min="72" max="72" width="9.140625" style="4" customWidth="1"/>
  </cols>
  <sheetData>
    <row r="1" spans="58:76" x14ac:dyDescent="0.25">
      <c r="BF1" s="1" t="s">
        <v>83</v>
      </c>
      <c r="BG1" s="1" t="s">
        <v>84</v>
      </c>
      <c r="BH1" s="1" t="s">
        <v>30</v>
      </c>
      <c r="BI1" s="1" t="s">
        <v>31</v>
      </c>
      <c r="BJ1" s="1" t="s">
        <v>32</v>
      </c>
      <c r="BK1" s="1" t="s">
        <v>11</v>
      </c>
      <c r="BL1" s="1" t="s">
        <v>85</v>
      </c>
      <c r="BM1" s="4" t="s">
        <v>86</v>
      </c>
      <c r="BN1" s="1" t="s">
        <v>87</v>
      </c>
      <c r="BO1" s="1" t="s">
        <v>12</v>
      </c>
      <c r="BP1" s="1" t="s">
        <v>88</v>
      </c>
      <c r="BQ1" s="1" t="s">
        <v>89</v>
      </c>
      <c r="BR1" s="1" t="s">
        <v>17</v>
      </c>
      <c r="BS1" s="1" t="s">
        <v>82</v>
      </c>
      <c r="BT1" s="4" t="s">
        <v>28</v>
      </c>
      <c r="BU1" s="1" t="s">
        <v>90</v>
      </c>
      <c r="BV1" s="1" t="s">
        <v>85</v>
      </c>
      <c r="BW1" s="1" t="s">
        <v>20</v>
      </c>
      <c r="BX1" s="1" t="s">
        <v>129</v>
      </c>
    </row>
    <row r="2" spans="58:76" x14ac:dyDescent="0.2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39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65" si="2">L2</f>
        <v>0</v>
      </c>
      <c r="BM2" s="10" t="str">
        <f t="shared" ref="BM2:BM65" si="3">SUBSTITUTE(J2,"/",".")</f>
        <v/>
      </c>
      <c r="BN2" s="39">
        <f>VALUE(Q2)*1000</f>
        <v>0</v>
      </c>
      <c r="BO2" s="39">
        <f>VALUE(P2)/1000</f>
        <v>0</v>
      </c>
      <c r="BP2" s="1">
        <f t="shared" ref="BP2:BP65" si="4">VALUE(D2)</f>
        <v>0</v>
      </c>
      <c r="BQ2" s="1">
        <f>VALUE(G2)</f>
        <v>0</v>
      </c>
      <c r="BR2" s="1" t="str">
        <f t="shared" ref="BR2:BR65" si="5">SUBSTITUTE(O2,".","")</f>
        <v/>
      </c>
      <c r="BS2" s="1">
        <f t="shared" ref="BS2:BS65" si="6">S2</f>
        <v>0</v>
      </c>
      <c r="BT2" s="4">
        <f>VALUE(AJ2)</f>
        <v>0</v>
      </c>
      <c r="BU2" s="39">
        <f>K2</f>
        <v>0</v>
      </c>
      <c r="BV2" s="1">
        <f>AQ2</f>
        <v>0</v>
      </c>
      <c r="BW2">
        <f>X2</f>
        <v>0</v>
      </c>
      <c r="BX2">
        <f>AN2</f>
        <v>0</v>
      </c>
    </row>
    <row r="3" spans="58:76" x14ac:dyDescent="0.2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39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7">IFERROR(INT(I3),I3)</f>
        <v>0</v>
      </c>
      <c r="BL3" s="1">
        <f t="shared" si="2"/>
        <v>0</v>
      </c>
      <c r="BM3" s="10" t="str">
        <f t="shared" si="3"/>
        <v/>
      </c>
      <c r="BN3" s="39">
        <f t="shared" ref="BN3:BN66" si="8">VALUE(Q3)*1000</f>
        <v>0</v>
      </c>
      <c r="BO3" s="39">
        <f t="shared" ref="BO3:BO66" si="9">VALUE(P3)/1000</f>
        <v>0</v>
      </c>
      <c r="BP3" s="1">
        <f t="shared" si="4"/>
        <v>0</v>
      </c>
      <c r="BQ3" s="1">
        <f t="shared" ref="BQ3:BQ66" si="10">VALUE(G3)</f>
        <v>0</v>
      </c>
      <c r="BR3" s="1" t="str">
        <f t="shared" si="5"/>
        <v/>
      </c>
      <c r="BS3" s="1">
        <f t="shared" si="6"/>
        <v>0</v>
      </c>
      <c r="BT3" s="4">
        <f t="shared" ref="BT3:BT66" si="11">VALUE(AJ3)</f>
        <v>0</v>
      </c>
      <c r="BU3" s="39">
        <f t="shared" ref="BU3:BU66" si="12">K3</f>
        <v>0</v>
      </c>
      <c r="BV3" s="1">
        <f t="shared" ref="BV3:BV66" si="13">AQ3</f>
        <v>0</v>
      </c>
      <c r="BW3">
        <f t="shared" ref="BW3:BW66" si="14">X3</f>
        <v>0</v>
      </c>
      <c r="BX3">
        <f t="shared" ref="BX3:BX66" si="15">AN3</f>
        <v>0</v>
      </c>
    </row>
    <row r="4" spans="58:76" x14ac:dyDescent="0.2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39">
        <f t="shared" si="0"/>
        <v>0</v>
      </c>
      <c r="BI4" s="1">
        <f t="shared" si="0"/>
        <v>0</v>
      </c>
      <c r="BJ4" s="1">
        <f t="shared" si="1"/>
        <v>0</v>
      </c>
      <c r="BK4" s="1">
        <f t="shared" si="7"/>
        <v>0</v>
      </c>
      <c r="BL4" s="1">
        <f t="shared" si="2"/>
        <v>0</v>
      </c>
      <c r="BM4" s="10" t="str">
        <f t="shared" si="3"/>
        <v/>
      </c>
      <c r="BN4" s="39">
        <f t="shared" si="8"/>
        <v>0</v>
      </c>
      <c r="BO4" s="39">
        <f t="shared" si="9"/>
        <v>0</v>
      </c>
      <c r="BP4" s="1">
        <f t="shared" si="4"/>
        <v>0</v>
      </c>
      <c r="BQ4" s="1">
        <f t="shared" si="10"/>
        <v>0</v>
      </c>
      <c r="BR4" s="1" t="str">
        <f t="shared" si="5"/>
        <v/>
      </c>
      <c r="BS4" s="1">
        <f t="shared" si="6"/>
        <v>0</v>
      </c>
      <c r="BT4" s="4">
        <f t="shared" si="11"/>
        <v>0</v>
      </c>
      <c r="BU4" s="39">
        <f t="shared" si="12"/>
        <v>0</v>
      </c>
      <c r="BV4" s="1">
        <f t="shared" si="13"/>
        <v>0</v>
      </c>
      <c r="BW4">
        <f t="shared" si="14"/>
        <v>0</v>
      </c>
      <c r="BX4">
        <f t="shared" si="15"/>
        <v>0</v>
      </c>
    </row>
    <row r="5" spans="58:76" x14ac:dyDescent="0.2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39">
        <f t="shared" si="0"/>
        <v>0</v>
      </c>
      <c r="BI5" s="1">
        <f t="shared" si="0"/>
        <v>0</v>
      </c>
      <c r="BJ5" s="1">
        <f t="shared" si="1"/>
        <v>0</v>
      </c>
      <c r="BK5" s="1">
        <f t="shared" si="7"/>
        <v>0</v>
      </c>
      <c r="BL5" s="1">
        <f t="shared" si="2"/>
        <v>0</v>
      </c>
      <c r="BM5" s="10" t="str">
        <f t="shared" si="3"/>
        <v/>
      </c>
      <c r="BN5" s="39">
        <f t="shared" si="8"/>
        <v>0</v>
      </c>
      <c r="BO5" s="39">
        <f t="shared" si="9"/>
        <v>0</v>
      </c>
      <c r="BP5" s="1">
        <f t="shared" si="4"/>
        <v>0</v>
      </c>
      <c r="BQ5" s="1">
        <f t="shared" si="10"/>
        <v>0</v>
      </c>
      <c r="BR5" s="1" t="str">
        <f t="shared" si="5"/>
        <v/>
      </c>
      <c r="BS5" s="1">
        <f t="shared" si="6"/>
        <v>0</v>
      </c>
      <c r="BT5" s="4">
        <f t="shared" si="11"/>
        <v>0</v>
      </c>
      <c r="BU5" s="39">
        <f t="shared" si="12"/>
        <v>0</v>
      </c>
      <c r="BV5" s="1">
        <f t="shared" si="13"/>
        <v>0</v>
      </c>
      <c r="BW5">
        <f t="shared" si="14"/>
        <v>0</v>
      </c>
      <c r="BX5">
        <f t="shared" si="15"/>
        <v>0</v>
      </c>
    </row>
    <row r="6" spans="58:76" x14ac:dyDescent="0.2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39">
        <f t="shared" si="0"/>
        <v>0</v>
      </c>
      <c r="BI6" s="1">
        <f t="shared" si="0"/>
        <v>0</v>
      </c>
      <c r="BJ6" s="1">
        <f t="shared" si="1"/>
        <v>0</v>
      </c>
      <c r="BK6" s="1">
        <f t="shared" si="7"/>
        <v>0</v>
      </c>
      <c r="BL6" s="1">
        <f t="shared" si="2"/>
        <v>0</v>
      </c>
      <c r="BM6" s="10" t="str">
        <f t="shared" si="3"/>
        <v/>
      </c>
      <c r="BN6" s="39">
        <f t="shared" si="8"/>
        <v>0</v>
      </c>
      <c r="BO6" s="39">
        <f t="shared" si="9"/>
        <v>0</v>
      </c>
      <c r="BP6" s="1">
        <f t="shared" si="4"/>
        <v>0</v>
      </c>
      <c r="BQ6" s="1">
        <f t="shared" si="10"/>
        <v>0</v>
      </c>
      <c r="BR6" s="1" t="str">
        <f t="shared" si="5"/>
        <v/>
      </c>
      <c r="BS6" s="1">
        <f t="shared" si="6"/>
        <v>0</v>
      </c>
      <c r="BT6" s="4">
        <f t="shared" si="11"/>
        <v>0</v>
      </c>
      <c r="BU6" s="39">
        <f t="shared" si="12"/>
        <v>0</v>
      </c>
      <c r="BV6" s="1">
        <f t="shared" si="13"/>
        <v>0</v>
      </c>
      <c r="BW6">
        <f t="shared" si="14"/>
        <v>0</v>
      </c>
      <c r="BX6">
        <f t="shared" si="15"/>
        <v>0</v>
      </c>
    </row>
    <row r="7" spans="58:76" x14ac:dyDescent="0.2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39">
        <f t="shared" si="0"/>
        <v>0</v>
      </c>
      <c r="BI7" s="1">
        <f t="shared" si="0"/>
        <v>0</v>
      </c>
      <c r="BJ7" s="1">
        <f t="shared" si="1"/>
        <v>0</v>
      </c>
      <c r="BK7" s="1">
        <f t="shared" si="7"/>
        <v>0</v>
      </c>
      <c r="BL7" s="1">
        <f t="shared" si="2"/>
        <v>0</v>
      </c>
      <c r="BM7" s="10" t="str">
        <f t="shared" si="3"/>
        <v/>
      </c>
      <c r="BN7" s="39">
        <f t="shared" si="8"/>
        <v>0</v>
      </c>
      <c r="BO7" s="39">
        <f t="shared" si="9"/>
        <v>0</v>
      </c>
      <c r="BP7" s="1">
        <f t="shared" si="4"/>
        <v>0</v>
      </c>
      <c r="BQ7" s="1">
        <f t="shared" si="10"/>
        <v>0</v>
      </c>
      <c r="BR7" s="1" t="str">
        <f t="shared" si="5"/>
        <v/>
      </c>
      <c r="BS7" s="1">
        <f t="shared" si="6"/>
        <v>0</v>
      </c>
      <c r="BT7" s="4">
        <f t="shared" si="11"/>
        <v>0</v>
      </c>
      <c r="BU7" s="39">
        <f t="shared" si="12"/>
        <v>0</v>
      </c>
      <c r="BV7" s="1">
        <f t="shared" si="13"/>
        <v>0</v>
      </c>
      <c r="BW7">
        <f t="shared" si="14"/>
        <v>0</v>
      </c>
      <c r="BX7">
        <f t="shared" si="15"/>
        <v>0</v>
      </c>
    </row>
    <row r="8" spans="58:76" x14ac:dyDescent="0.2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39">
        <f t="shared" si="0"/>
        <v>0</v>
      </c>
      <c r="BI8" s="1">
        <f t="shared" si="0"/>
        <v>0</v>
      </c>
      <c r="BJ8" s="1">
        <f t="shared" si="1"/>
        <v>0</v>
      </c>
      <c r="BK8" s="1">
        <f t="shared" si="7"/>
        <v>0</v>
      </c>
      <c r="BL8" s="1">
        <f t="shared" si="2"/>
        <v>0</v>
      </c>
      <c r="BM8" s="10" t="str">
        <f t="shared" si="3"/>
        <v/>
      </c>
      <c r="BN8" s="39">
        <f t="shared" si="8"/>
        <v>0</v>
      </c>
      <c r="BO8" s="39">
        <f t="shared" si="9"/>
        <v>0</v>
      </c>
      <c r="BP8" s="1">
        <f t="shared" si="4"/>
        <v>0</v>
      </c>
      <c r="BQ8" s="1">
        <f t="shared" si="10"/>
        <v>0</v>
      </c>
      <c r="BR8" s="1" t="str">
        <f t="shared" si="5"/>
        <v/>
      </c>
      <c r="BS8" s="1">
        <f t="shared" si="6"/>
        <v>0</v>
      </c>
      <c r="BT8" s="4">
        <f t="shared" si="11"/>
        <v>0</v>
      </c>
      <c r="BU8" s="39">
        <f t="shared" si="12"/>
        <v>0</v>
      </c>
      <c r="BV8" s="1">
        <f t="shared" si="13"/>
        <v>0</v>
      </c>
      <c r="BW8">
        <f t="shared" si="14"/>
        <v>0</v>
      </c>
      <c r="BX8">
        <f t="shared" si="15"/>
        <v>0</v>
      </c>
    </row>
    <row r="9" spans="58:76" x14ac:dyDescent="0.2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39">
        <f t="shared" si="0"/>
        <v>0</v>
      </c>
      <c r="BI9" s="1">
        <f t="shared" si="0"/>
        <v>0</v>
      </c>
      <c r="BJ9" s="1">
        <f t="shared" si="1"/>
        <v>0</v>
      </c>
      <c r="BK9" s="1">
        <f t="shared" si="7"/>
        <v>0</v>
      </c>
      <c r="BL9" s="1">
        <f t="shared" si="2"/>
        <v>0</v>
      </c>
      <c r="BM9" s="10" t="str">
        <f t="shared" si="3"/>
        <v/>
      </c>
      <c r="BN9" s="39">
        <f t="shared" si="8"/>
        <v>0</v>
      </c>
      <c r="BO9" s="39">
        <f t="shared" si="9"/>
        <v>0</v>
      </c>
      <c r="BP9" s="1">
        <f t="shared" si="4"/>
        <v>0</v>
      </c>
      <c r="BQ9" s="1">
        <f t="shared" si="10"/>
        <v>0</v>
      </c>
      <c r="BR9" s="1" t="str">
        <f t="shared" si="5"/>
        <v/>
      </c>
      <c r="BS9" s="1">
        <f t="shared" si="6"/>
        <v>0</v>
      </c>
      <c r="BT9" s="4">
        <f t="shared" si="11"/>
        <v>0</v>
      </c>
      <c r="BU9" s="39">
        <f t="shared" si="12"/>
        <v>0</v>
      </c>
      <c r="BV9" s="1">
        <f t="shared" si="13"/>
        <v>0</v>
      </c>
      <c r="BW9">
        <f t="shared" si="14"/>
        <v>0</v>
      </c>
      <c r="BX9">
        <f t="shared" si="15"/>
        <v>0</v>
      </c>
    </row>
    <row r="10" spans="58:76" x14ac:dyDescent="0.2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39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7"/>
        <v>0</v>
      </c>
      <c r="BL10" s="1">
        <f t="shared" si="2"/>
        <v>0</v>
      </c>
      <c r="BM10" s="10" t="str">
        <f t="shared" si="3"/>
        <v/>
      </c>
      <c r="BN10" s="39">
        <f t="shared" si="8"/>
        <v>0</v>
      </c>
      <c r="BO10" s="39">
        <f t="shared" si="9"/>
        <v>0</v>
      </c>
      <c r="BP10" s="1">
        <f t="shared" si="4"/>
        <v>0</v>
      </c>
      <c r="BQ10" s="1">
        <f t="shared" si="10"/>
        <v>0</v>
      </c>
      <c r="BR10" s="1" t="str">
        <f t="shared" si="5"/>
        <v/>
      </c>
      <c r="BS10" s="1">
        <f t="shared" si="6"/>
        <v>0</v>
      </c>
      <c r="BT10" s="4">
        <f t="shared" si="11"/>
        <v>0</v>
      </c>
      <c r="BU10" s="39">
        <f t="shared" si="12"/>
        <v>0</v>
      </c>
      <c r="BV10" s="1">
        <f t="shared" si="13"/>
        <v>0</v>
      </c>
      <c r="BW10">
        <f t="shared" si="14"/>
        <v>0</v>
      </c>
      <c r="BX10">
        <f t="shared" si="15"/>
        <v>0</v>
      </c>
    </row>
    <row r="11" spans="58:76" x14ac:dyDescent="0.2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39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7"/>
        <v>0</v>
      </c>
      <c r="BL11" s="1">
        <f t="shared" si="2"/>
        <v>0</v>
      </c>
      <c r="BM11" s="10" t="str">
        <f t="shared" si="3"/>
        <v/>
      </c>
      <c r="BN11" s="39">
        <f t="shared" si="8"/>
        <v>0</v>
      </c>
      <c r="BO11" s="39">
        <f t="shared" si="9"/>
        <v>0</v>
      </c>
      <c r="BP11" s="1">
        <f t="shared" si="4"/>
        <v>0</v>
      </c>
      <c r="BQ11" s="1">
        <f t="shared" si="10"/>
        <v>0</v>
      </c>
      <c r="BR11" s="1" t="str">
        <f t="shared" si="5"/>
        <v/>
      </c>
      <c r="BS11" s="1">
        <f t="shared" si="6"/>
        <v>0</v>
      </c>
      <c r="BT11" s="4">
        <f t="shared" si="11"/>
        <v>0</v>
      </c>
      <c r="BU11" s="39">
        <f t="shared" si="12"/>
        <v>0</v>
      </c>
      <c r="BV11" s="1">
        <f t="shared" si="13"/>
        <v>0</v>
      </c>
      <c r="BW11">
        <f t="shared" si="14"/>
        <v>0</v>
      </c>
      <c r="BX11">
        <f t="shared" si="15"/>
        <v>0</v>
      </c>
    </row>
    <row r="12" spans="58:76" x14ac:dyDescent="0.2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39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7"/>
        <v>0</v>
      </c>
      <c r="BL12" s="1">
        <f t="shared" si="2"/>
        <v>0</v>
      </c>
      <c r="BM12" s="10" t="str">
        <f t="shared" si="3"/>
        <v/>
      </c>
      <c r="BN12" s="39">
        <f t="shared" si="8"/>
        <v>0</v>
      </c>
      <c r="BO12" s="39">
        <f t="shared" si="9"/>
        <v>0</v>
      </c>
      <c r="BP12" s="1">
        <f t="shared" si="4"/>
        <v>0</v>
      </c>
      <c r="BQ12" s="1">
        <f t="shared" si="10"/>
        <v>0</v>
      </c>
      <c r="BR12" s="1" t="str">
        <f t="shared" si="5"/>
        <v/>
      </c>
      <c r="BS12" s="1">
        <f t="shared" si="6"/>
        <v>0</v>
      </c>
      <c r="BT12" s="4">
        <f t="shared" si="11"/>
        <v>0</v>
      </c>
      <c r="BU12" s="39">
        <f t="shared" si="12"/>
        <v>0</v>
      </c>
      <c r="BV12" s="1">
        <f t="shared" si="13"/>
        <v>0</v>
      </c>
      <c r="BW12">
        <f t="shared" si="14"/>
        <v>0</v>
      </c>
      <c r="BX12">
        <f t="shared" si="15"/>
        <v>0</v>
      </c>
    </row>
    <row r="13" spans="58:76" x14ac:dyDescent="0.2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39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7"/>
        <v>0</v>
      </c>
      <c r="BL13" s="1">
        <f t="shared" si="2"/>
        <v>0</v>
      </c>
      <c r="BM13" s="10" t="str">
        <f t="shared" si="3"/>
        <v/>
      </c>
      <c r="BN13" s="39">
        <f t="shared" si="8"/>
        <v>0</v>
      </c>
      <c r="BO13" s="39">
        <f t="shared" si="9"/>
        <v>0</v>
      </c>
      <c r="BP13" s="1">
        <f t="shared" si="4"/>
        <v>0</v>
      </c>
      <c r="BQ13" s="1">
        <f t="shared" si="10"/>
        <v>0</v>
      </c>
      <c r="BR13" s="1" t="str">
        <f t="shared" si="5"/>
        <v/>
      </c>
      <c r="BS13" s="1">
        <f t="shared" si="6"/>
        <v>0</v>
      </c>
      <c r="BT13" s="4">
        <f t="shared" si="11"/>
        <v>0</v>
      </c>
      <c r="BU13" s="39">
        <f t="shared" si="12"/>
        <v>0</v>
      </c>
      <c r="BV13" s="1">
        <f t="shared" si="13"/>
        <v>0</v>
      </c>
      <c r="BW13">
        <f t="shared" si="14"/>
        <v>0</v>
      </c>
      <c r="BX13">
        <f t="shared" si="15"/>
        <v>0</v>
      </c>
    </row>
    <row r="14" spans="58:76" x14ac:dyDescent="0.2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39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7"/>
        <v>0</v>
      </c>
      <c r="BL14" s="1">
        <f t="shared" si="2"/>
        <v>0</v>
      </c>
      <c r="BM14" s="10" t="str">
        <f t="shared" si="3"/>
        <v/>
      </c>
      <c r="BN14" s="39">
        <f t="shared" si="8"/>
        <v>0</v>
      </c>
      <c r="BO14" s="39">
        <f t="shared" si="9"/>
        <v>0</v>
      </c>
      <c r="BP14" s="1">
        <f t="shared" si="4"/>
        <v>0</v>
      </c>
      <c r="BQ14" s="1">
        <f t="shared" si="10"/>
        <v>0</v>
      </c>
      <c r="BR14" s="1" t="str">
        <f t="shared" si="5"/>
        <v/>
      </c>
      <c r="BS14" s="1">
        <f t="shared" si="6"/>
        <v>0</v>
      </c>
      <c r="BT14" s="4">
        <f t="shared" si="11"/>
        <v>0</v>
      </c>
      <c r="BU14" s="39">
        <f t="shared" si="12"/>
        <v>0</v>
      </c>
      <c r="BV14" s="1">
        <f t="shared" si="13"/>
        <v>0</v>
      </c>
      <c r="BW14">
        <f t="shared" si="14"/>
        <v>0</v>
      </c>
      <c r="BX14">
        <f t="shared" si="15"/>
        <v>0</v>
      </c>
    </row>
    <row r="15" spans="58:76" x14ac:dyDescent="0.2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39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7"/>
        <v>0</v>
      </c>
      <c r="BL15" s="1">
        <f t="shared" si="2"/>
        <v>0</v>
      </c>
      <c r="BM15" s="10" t="str">
        <f t="shared" si="3"/>
        <v/>
      </c>
      <c r="BN15" s="39">
        <f t="shared" si="8"/>
        <v>0</v>
      </c>
      <c r="BO15" s="39">
        <f t="shared" si="9"/>
        <v>0</v>
      </c>
      <c r="BP15" s="1">
        <f t="shared" si="4"/>
        <v>0</v>
      </c>
      <c r="BQ15" s="1">
        <f t="shared" si="10"/>
        <v>0</v>
      </c>
      <c r="BR15" s="1" t="str">
        <f t="shared" si="5"/>
        <v/>
      </c>
      <c r="BS15" s="1">
        <f t="shared" si="6"/>
        <v>0</v>
      </c>
      <c r="BT15" s="4">
        <f t="shared" si="11"/>
        <v>0</v>
      </c>
      <c r="BU15" s="39">
        <f t="shared" si="12"/>
        <v>0</v>
      </c>
      <c r="BV15" s="1">
        <f t="shared" si="13"/>
        <v>0</v>
      </c>
      <c r="BW15">
        <f t="shared" si="14"/>
        <v>0</v>
      </c>
      <c r="BX15">
        <f t="shared" si="15"/>
        <v>0</v>
      </c>
    </row>
    <row r="16" spans="58:76" x14ac:dyDescent="0.2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39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7"/>
        <v>0</v>
      </c>
      <c r="BL16" s="1">
        <f t="shared" si="2"/>
        <v>0</v>
      </c>
      <c r="BM16" s="10" t="str">
        <f t="shared" si="3"/>
        <v/>
      </c>
      <c r="BN16" s="39">
        <f t="shared" si="8"/>
        <v>0</v>
      </c>
      <c r="BO16" s="39">
        <f t="shared" si="9"/>
        <v>0</v>
      </c>
      <c r="BP16" s="1">
        <f t="shared" si="4"/>
        <v>0</v>
      </c>
      <c r="BQ16" s="1">
        <f t="shared" si="10"/>
        <v>0</v>
      </c>
      <c r="BR16" s="1" t="str">
        <f t="shared" si="5"/>
        <v/>
      </c>
      <c r="BS16" s="1">
        <f t="shared" si="6"/>
        <v>0</v>
      </c>
      <c r="BT16" s="4">
        <f t="shared" si="11"/>
        <v>0</v>
      </c>
      <c r="BU16" s="39">
        <f t="shared" si="12"/>
        <v>0</v>
      </c>
      <c r="BV16" s="1">
        <f t="shared" si="13"/>
        <v>0</v>
      </c>
      <c r="BW16">
        <f t="shared" si="14"/>
        <v>0</v>
      </c>
      <c r="BX16">
        <f t="shared" si="15"/>
        <v>0</v>
      </c>
    </row>
    <row r="17" spans="58:76" x14ac:dyDescent="0.2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39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7"/>
        <v>0</v>
      </c>
      <c r="BL17" s="1">
        <f t="shared" si="2"/>
        <v>0</v>
      </c>
      <c r="BM17" s="10" t="str">
        <f t="shared" si="3"/>
        <v/>
      </c>
      <c r="BN17" s="39">
        <f t="shared" si="8"/>
        <v>0</v>
      </c>
      <c r="BO17" s="39">
        <f t="shared" si="9"/>
        <v>0</v>
      </c>
      <c r="BP17" s="1">
        <f t="shared" si="4"/>
        <v>0</v>
      </c>
      <c r="BQ17" s="1">
        <f t="shared" si="10"/>
        <v>0</v>
      </c>
      <c r="BR17" s="1" t="str">
        <f t="shared" si="5"/>
        <v/>
      </c>
      <c r="BS17" s="1">
        <f t="shared" si="6"/>
        <v>0</v>
      </c>
      <c r="BT17" s="4">
        <f t="shared" si="11"/>
        <v>0</v>
      </c>
      <c r="BU17" s="39">
        <f t="shared" si="12"/>
        <v>0</v>
      </c>
      <c r="BV17" s="1">
        <f t="shared" si="13"/>
        <v>0</v>
      </c>
      <c r="BW17">
        <f t="shared" si="14"/>
        <v>0</v>
      </c>
      <c r="BX17">
        <f t="shared" si="15"/>
        <v>0</v>
      </c>
    </row>
    <row r="18" spans="58:76" x14ac:dyDescent="0.2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39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7"/>
        <v>0</v>
      </c>
      <c r="BL18" s="1">
        <f t="shared" si="2"/>
        <v>0</v>
      </c>
      <c r="BM18" s="10" t="str">
        <f t="shared" si="3"/>
        <v/>
      </c>
      <c r="BN18" s="39">
        <f t="shared" si="8"/>
        <v>0</v>
      </c>
      <c r="BO18" s="39">
        <f t="shared" si="9"/>
        <v>0</v>
      </c>
      <c r="BP18" s="1">
        <f t="shared" si="4"/>
        <v>0</v>
      </c>
      <c r="BQ18" s="1">
        <f t="shared" si="10"/>
        <v>0</v>
      </c>
      <c r="BR18" s="1" t="str">
        <f t="shared" si="5"/>
        <v/>
      </c>
      <c r="BS18" s="1">
        <f t="shared" si="6"/>
        <v>0</v>
      </c>
      <c r="BT18" s="4">
        <f t="shared" si="11"/>
        <v>0</v>
      </c>
      <c r="BU18" s="39">
        <f t="shared" si="12"/>
        <v>0</v>
      </c>
      <c r="BV18" s="1">
        <f t="shared" si="13"/>
        <v>0</v>
      </c>
      <c r="BW18">
        <f t="shared" si="14"/>
        <v>0</v>
      </c>
      <c r="BX18">
        <f t="shared" si="15"/>
        <v>0</v>
      </c>
    </row>
    <row r="19" spans="58:76" x14ac:dyDescent="0.2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39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7"/>
        <v>0</v>
      </c>
      <c r="BL19" s="1">
        <f t="shared" si="2"/>
        <v>0</v>
      </c>
      <c r="BM19" s="10" t="str">
        <f t="shared" si="3"/>
        <v/>
      </c>
      <c r="BN19" s="39">
        <f t="shared" si="8"/>
        <v>0</v>
      </c>
      <c r="BO19" s="39">
        <f t="shared" si="9"/>
        <v>0</v>
      </c>
      <c r="BP19" s="1">
        <f t="shared" si="4"/>
        <v>0</v>
      </c>
      <c r="BQ19" s="1">
        <f t="shared" si="10"/>
        <v>0</v>
      </c>
      <c r="BR19" s="1" t="str">
        <f t="shared" si="5"/>
        <v/>
      </c>
      <c r="BS19" s="1">
        <f t="shared" si="6"/>
        <v>0</v>
      </c>
      <c r="BT19" s="4">
        <f t="shared" si="11"/>
        <v>0</v>
      </c>
      <c r="BU19" s="39">
        <f t="shared" si="12"/>
        <v>0</v>
      </c>
      <c r="BV19" s="1">
        <f t="shared" si="13"/>
        <v>0</v>
      </c>
      <c r="BW19">
        <f t="shared" si="14"/>
        <v>0</v>
      </c>
      <c r="BX19">
        <f t="shared" si="15"/>
        <v>0</v>
      </c>
    </row>
    <row r="20" spans="58:76" x14ac:dyDescent="0.2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39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7"/>
        <v>0</v>
      </c>
      <c r="BL20" s="1">
        <f t="shared" si="2"/>
        <v>0</v>
      </c>
      <c r="BM20" s="10" t="str">
        <f t="shared" si="3"/>
        <v/>
      </c>
      <c r="BN20" s="39">
        <f t="shared" si="8"/>
        <v>0</v>
      </c>
      <c r="BO20" s="39">
        <f t="shared" si="9"/>
        <v>0</v>
      </c>
      <c r="BP20" s="1">
        <f t="shared" si="4"/>
        <v>0</v>
      </c>
      <c r="BQ20" s="1">
        <f t="shared" si="10"/>
        <v>0</v>
      </c>
      <c r="BR20" s="1" t="str">
        <f t="shared" si="5"/>
        <v/>
      </c>
      <c r="BS20" s="1">
        <f t="shared" si="6"/>
        <v>0</v>
      </c>
      <c r="BT20" s="4">
        <f t="shared" si="11"/>
        <v>0</v>
      </c>
      <c r="BU20" s="39">
        <f t="shared" si="12"/>
        <v>0</v>
      </c>
      <c r="BV20" s="1">
        <f t="shared" si="13"/>
        <v>0</v>
      </c>
      <c r="BW20">
        <f t="shared" si="14"/>
        <v>0</v>
      </c>
      <c r="BX20">
        <f t="shared" si="15"/>
        <v>0</v>
      </c>
    </row>
    <row r="21" spans="58:76" x14ac:dyDescent="0.2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39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7"/>
        <v>0</v>
      </c>
      <c r="BL21" s="1">
        <f t="shared" si="2"/>
        <v>0</v>
      </c>
      <c r="BM21" s="10" t="str">
        <f t="shared" si="3"/>
        <v/>
      </c>
      <c r="BN21" s="39">
        <f t="shared" si="8"/>
        <v>0</v>
      </c>
      <c r="BO21" s="39">
        <f t="shared" si="9"/>
        <v>0</v>
      </c>
      <c r="BP21" s="1">
        <f t="shared" si="4"/>
        <v>0</v>
      </c>
      <c r="BQ21" s="1">
        <f t="shared" si="10"/>
        <v>0</v>
      </c>
      <c r="BR21" s="1" t="str">
        <f t="shared" si="5"/>
        <v/>
      </c>
      <c r="BS21" s="1">
        <f t="shared" si="6"/>
        <v>0</v>
      </c>
      <c r="BT21" s="4">
        <f t="shared" si="11"/>
        <v>0</v>
      </c>
      <c r="BU21" s="39">
        <f t="shared" si="12"/>
        <v>0</v>
      </c>
      <c r="BV21" s="1">
        <f t="shared" si="13"/>
        <v>0</v>
      </c>
      <c r="BW21">
        <f t="shared" si="14"/>
        <v>0</v>
      </c>
      <c r="BX21">
        <f t="shared" si="15"/>
        <v>0</v>
      </c>
    </row>
    <row r="22" spans="58:76" x14ac:dyDescent="0.2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39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7"/>
        <v>0</v>
      </c>
      <c r="BL22" s="1">
        <f t="shared" si="2"/>
        <v>0</v>
      </c>
      <c r="BM22" s="10" t="str">
        <f t="shared" si="3"/>
        <v/>
      </c>
      <c r="BN22" s="39">
        <f t="shared" si="8"/>
        <v>0</v>
      </c>
      <c r="BO22" s="39">
        <f t="shared" si="9"/>
        <v>0</v>
      </c>
      <c r="BP22" s="1">
        <f t="shared" si="4"/>
        <v>0</v>
      </c>
      <c r="BQ22" s="1">
        <f t="shared" si="10"/>
        <v>0</v>
      </c>
      <c r="BR22" s="1" t="str">
        <f t="shared" si="5"/>
        <v/>
      </c>
      <c r="BS22" s="1">
        <f t="shared" si="6"/>
        <v>0</v>
      </c>
      <c r="BT22" s="4">
        <f t="shared" si="11"/>
        <v>0</v>
      </c>
      <c r="BU22" s="39">
        <f t="shared" si="12"/>
        <v>0</v>
      </c>
      <c r="BV22" s="1">
        <f t="shared" si="13"/>
        <v>0</v>
      </c>
      <c r="BW22">
        <f t="shared" si="14"/>
        <v>0</v>
      </c>
      <c r="BX22">
        <f t="shared" si="15"/>
        <v>0</v>
      </c>
    </row>
    <row r="23" spans="58:76" x14ac:dyDescent="0.2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39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7"/>
        <v>0</v>
      </c>
      <c r="BL23" s="1">
        <f t="shared" si="2"/>
        <v>0</v>
      </c>
      <c r="BM23" s="10" t="str">
        <f t="shared" si="3"/>
        <v/>
      </c>
      <c r="BN23" s="39">
        <f t="shared" si="8"/>
        <v>0</v>
      </c>
      <c r="BO23" s="39">
        <f t="shared" si="9"/>
        <v>0</v>
      </c>
      <c r="BP23" s="1">
        <f t="shared" si="4"/>
        <v>0</v>
      </c>
      <c r="BQ23" s="1">
        <f t="shared" si="10"/>
        <v>0</v>
      </c>
      <c r="BR23" s="1" t="str">
        <f t="shared" si="5"/>
        <v/>
      </c>
      <c r="BS23" s="1">
        <f t="shared" si="6"/>
        <v>0</v>
      </c>
      <c r="BT23" s="4">
        <f t="shared" si="11"/>
        <v>0</v>
      </c>
      <c r="BU23" s="39">
        <f t="shared" si="12"/>
        <v>0</v>
      </c>
      <c r="BV23" s="1">
        <f t="shared" si="13"/>
        <v>0</v>
      </c>
      <c r="BW23">
        <f t="shared" si="14"/>
        <v>0</v>
      </c>
      <c r="BX23">
        <f t="shared" si="15"/>
        <v>0</v>
      </c>
    </row>
    <row r="24" spans="58:76" x14ac:dyDescent="0.2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39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7"/>
        <v>0</v>
      </c>
      <c r="BL24" s="1">
        <f t="shared" si="2"/>
        <v>0</v>
      </c>
      <c r="BM24" s="10" t="str">
        <f t="shared" si="3"/>
        <v/>
      </c>
      <c r="BN24" s="39">
        <f t="shared" si="8"/>
        <v>0</v>
      </c>
      <c r="BO24" s="39">
        <f t="shared" si="9"/>
        <v>0</v>
      </c>
      <c r="BP24" s="1">
        <f t="shared" si="4"/>
        <v>0</v>
      </c>
      <c r="BQ24" s="1">
        <f t="shared" si="10"/>
        <v>0</v>
      </c>
      <c r="BR24" s="1" t="str">
        <f t="shared" si="5"/>
        <v/>
      </c>
      <c r="BS24" s="1">
        <f t="shared" si="6"/>
        <v>0</v>
      </c>
      <c r="BT24" s="4">
        <f t="shared" si="11"/>
        <v>0</v>
      </c>
      <c r="BU24" s="39">
        <f t="shared" si="12"/>
        <v>0</v>
      </c>
      <c r="BV24" s="1">
        <f t="shared" si="13"/>
        <v>0</v>
      </c>
      <c r="BW24">
        <f t="shared" si="14"/>
        <v>0</v>
      </c>
      <c r="BX24">
        <f t="shared" si="15"/>
        <v>0</v>
      </c>
    </row>
    <row r="25" spans="58:76" x14ac:dyDescent="0.2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39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7"/>
        <v>0</v>
      </c>
      <c r="BL25" s="1">
        <f t="shared" si="2"/>
        <v>0</v>
      </c>
      <c r="BM25" s="10" t="str">
        <f t="shared" si="3"/>
        <v/>
      </c>
      <c r="BN25" s="39">
        <f t="shared" si="8"/>
        <v>0</v>
      </c>
      <c r="BO25" s="39">
        <f t="shared" si="9"/>
        <v>0</v>
      </c>
      <c r="BP25" s="1">
        <f t="shared" si="4"/>
        <v>0</v>
      </c>
      <c r="BQ25" s="1">
        <f t="shared" si="10"/>
        <v>0</v>
      </c>
      <c r="BR25" s="1" t="str">
        <f t="shared" si="5"/>
        <v/>
      </c>
      <c r="BS25" s="1">
        <f t="shared" si="6"/>
        <v>0</v>
      </c>
      <c r="BT25" s="4">
        <f t="shared" si="11"/>
        <v>0</v>
      </c>
      <c r="BU25" s="39">
        <f t="shared" si="12"/>
        <v>0</v>
      </c>
      <c r="BV25" s="1">
        <f t="shared" si="13"/>
        <v>0</v>
      </c>
      <c r="BW25">
        <f t="shared" si="14"/>
        <v>0</v>
      </c>
      <c r="BX25">
        <f t="shared" si="15"/>
        <v>0</v>
      </c>
    </row>
    <row r="26" spans="58:76" x14ac:dyDescent="0.2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39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7"/>
        <v>0</v>
      </c>
      <c r="BL26" s="1">
        <f t="shared" si="2"/>
        <v>0</v>
      </c>
      <c r="BM26" s="10" t="str">
        <f t="shared" si="3"/>
        <v/>
      </c>
      <c r="BN26" s="39">
        <f t="shared" si="8"/>
        <v>0</v>
      </c>
      <c r="BO26" s="39">
        <f t="shared" si="9"/>
        <v>0</v>
      </c>
      <c r="BP26" s="1">
        <f t="shared" si="4"/>
        <v>0</v>
      </c>
      <c r="BQ26" s="1">
        <f t="shared" si="10"/>
        <v>0</v>
      </c>
      <c r="BR26" s="1" t="str">
        <f t="shared" si="5"/>
        <v/>
      </c>
      <c r="BS26" s="1">
        <f t="shared" si="6"/>
        <v>0</v>
      </c>
      <c r="BT26" s="4">
        <f t="shared" si="11"/>
        <v>0</v>
      </c>
      <c r="BU26" s="39">
        <f t="shared" si="12"/>
        <v>0</v>
      </c>
      <c r="BV26" s="1">
        <f t="shared" si="13"/>
        <v>0</v>
      </c>
      <c r="BW26">
        <f t="shared" si="14"/>
        <v>0</v>
      </c>
      <c r="BX26">
        <f t="shared" si="15"/>
        <v>0</v>
      </c>
    </row>
    <row r="27" spans="58:76" x14ac:dyDescent="0.2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39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7"/>
        <v>0</v>
      </c>
      <c r="BL27" s="1">
        <f t="shared" si="2"/>
        <v>0</v>
      </c>
      <c r="BM27" s="10" t="str">
        <f t="shared" si="3"/>
        <v/>
      </c>
      <c r="BN27" s="39">
        <f t="shared" si="8"/>
        <v>0</v>
      </c>
      <c r="BO27" s="39">
        <f t="shared" si="9"/>
        <v>0</v>
      </c>
      <c r="BP27" s="1">
        <f t="shared" si="4"/>
        <v>0</v>
      </c>
      <c r="BQ27" s="1">
        <f t="shared" si="10"/>
        <v>0</v>
      </c>
      <c r="BR27" s="1" t="str">
        <f t="shared" si="5"/>
        <v/>
      </c>
      <c r="BS27" s="1">
        <f t="shared" si="6"/>
        <v>0</v>
      </c>
      <c r="BT27" s="4">
        <f t="shared" si="11"/>
        <v>0</v>
      </c>
      <c r="BU27" s="39">
        <f t="shared" si="12"/>
        <v>0</v>
      </c>
      <c r="BV27" s="1">
        <f t="shared" si="13"/>
        <v>0</v>
      </c>
      <c r="BW27">
        <f t="shared" si="14"/>
        <v>0</v>
      </c>
      <c r="BX27">
        <f t="shared" si="15"/>
        <v>0</v>
      </c>
    </row>
    <row r="28" spans="58:76" x14ac:dyDescent="0.2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39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7"/>
        <v>0</v>
      </c>
      <c r="BL28" s="1">
        <f t="shared" si="2"/>
        <v>0</v>
      </c>
      <c r="BM28" s="10" t="str">
        <f t="shared" si="3"/>
        <v/>
      </c>
      <c r="BN28" s="39">
        <f t="shared" si="8"/>
        <v>0</v>
      </c>
      <c r="BO28" s="39">
        <f t="shared" si="9"/>
        <v>0</v>
      </c>
      <c r="BP28" s="1">
        <f t="shared" si="4"/>
        <v>0</v>
      </c>
      <c r="BQ28" s="1">
        <f t="shared" si="10"/>
        <v>0</v>
      </c>
      <c r="BR28" s="1" t="str">
        <f t="shared" si="5"/>
        <v/>
      </c>
      <c r="BS28" s="1">
        <f t="shared" si="6"/>
        <v>0</v>
      </c>
      <c r="BT28" s="4">
        <f t="shared" si="11"/>
        <v>0</v>
      </c>
      <c r="BU28" s="39">
        <f t="shared" si="12"/>
        <v>0</v>
      </c>
      <c r="BV28" s="1">
        <f t="shared" si="13"/>
        <v>0</v>
      </c>
      <c r="BW28">
        <f t="shared" si="14"/>
        <v>0</v>
      </c>
      <c r="BX28">
        <f t="shared" si="15"/>
        <v>0</v>
      </c>
    </row>
    <row r="29" spans="58:76" x14ac:dyDescent="0.2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39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7"/>
        <v>0</v>
      </c>
      <c r="BL29" s="1">
        <f t="shared" si="2"/>
        <v>0</v>
      </c>
      <c r="BM29" s="10" t="str">
        <f t="shared" si="3"/>
        <v/>
      </c>
      <c r="BN29" s="39">
        <f t="shared" si="8"/>
        <v>0</v>
      </c>
      <c r="BO29" s="39">
        <f t="shared" si="9"/>
        <v>0</v>
      </c>
      <c r="BP29" s="1">
        <f t="shared" si="4"/>
        <v>0</v>
      </c>
      <c r="BQ29" s="1">
        <f t="shared" si="10"/>
        <v>0</v>
      </c>
      <c r="BR29" s="1" t="str">
        <f t="shared" si="5"/>
        <v/>
      </c>
      <c r="BS29" s="1">
        <f t="shared" si="6"/>
        <v>0</v>
      </c>
      <c r="BT29" s="4">
        <f t="shared" si="11"/>
        <v>0</v>
      </c>
      <c r="BU29" s="39">
        <f t="shared" si="12"/>
        <v>0</v>
      </c>
      <c r="BV29" s="1">
        <f t="shared" si="13"/>
        <v>0</v>
      </c>
      <c r="BW29">
        <f t="shared" si="14"/>
        <v>0</v>
      </c>
      <c r="BX29">
        <f t="shared" si="15"/>
        <v>0</v>
      </c>
    </row>
    <row r="30" spans="58:76" x14ac:dyDescent="0.2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39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7"/>
        <v>0</v>
      </c>
      <c r="BL30" s="1">
        <f t="shared" si="2"/>
        <v>0</v>
      </c>
      <c r="BM30" s="10" t="str">
        <f t="shared" si="3"/>
        <v/>
      </c>
      <c r="BN30" s="39">
        <f t="shared" si="8"/>
        <v>0</v>
      </c>
      <c r="BO30" s="39">
        <f t="shared" si="9"/>
        <v>0</v>
      </c>
      <c r="BP30" s="1">
        <f t="shared" si="4"/>
        <v>0</v>
      </c>
      <c r="BQ30" s="1">
        <f t="shared" si="10"/>
        <v>0</v>
      </c>
      <c r="BR30" s="1" t="str">
        <f t="shared" si="5"/>
        <v/>
      </c>
      <c r="BS30" s="1">
        <f t="shared" si="6"/>
        <v>0</v>
      </c>
      <c r="BT30" s="4">
        <f t="shared" si="11"/>
        <v>0</v>
      </c>
      <c r="BU30" s="39">
        <f t="shared" si="12"/>
        <v>0</v>
      </c>
      <c r="BV30" s="1">
        <f t="shared" si="13"/>
        <v>0</v>
      </c>
      <c r="BW30">
        <f t="shared" si="14"/>
        <v>0</v>
      </c>
      <c r="BX30">
        <f t="shared" si="15"/>
        <v>0</v>
      </c>
    </row>
    <row r="31" spans="58:76" x14ac:dyDescent="0.2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39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7"/>
        <v>0</v>
      </c>
      <c r="BL31" s="1">
        <f t="shared" si="2"/>
        <v>0</v>
      </c>
      <c r="BM31" s="10" t="str">
        <f t="shared" si="3"/>
        <v/>
      </c>
      <c r="BN31" s="39">
        <f t="shared" si="8"/>
        <v>0</v>
      </c>
      <c r="BO31" s="39">
        <f t="shared" si="9"/>
        <v>0</v>
      </c>
      <c r="BP31" s="1">
        <f t="shared" si="4"/>
        <v>0</v>
      </c>
      <c r="BQ31" s="1">
        <f t="shared" si="10"/>
        <v>0</v>
      </c>
      <c r="BR31" s="1" t="str">
        <f t="shared" si="5"/>
        <v/>
      </c>
      <c r="BS31" s="1">
        <f t="shared" si="6"/>
        <v>0</v>
      </c>
      <c r="BT31" s="4">
        <f t="shared" si="11"/>
        <v>0</v>
      </c>
      <c r="BU31" s="39">
        <f t="shared" si="12"/>
        <v>0</v>
      </c>
      <c r="BV31" s="1">
        <f t="shared" si="13"/>
        <v>0</v>
      </c>
      <c r="BW31">
        <f t="shared" si="14"/>
        <v>0</v>
      </c>
      <c r="BX31">
        <f t="shared" si="15"/>
        <v>0</v>
      </c>
    </row>
    <row r="32" spans="58:76" x14ac:dyDescent="0.2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39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7"/>
        <v>0</v>
      </c>
      <c r="BL32" s="1">
        <f t="shared" si="2"/>
        <v>0</v>
      </c>
      <c r="BM32" s="10" t="str">
        <f t="shared" si="3"/>
        <v/>
      </c>
      <c r="BN32" s="39">
        <f t="shared" si="8"/>
        <v>0</v>
      </c>
      <c r="BO32" s="39">
        <f t="shared" si="9"/>
        <v>0</v>
      </c>
      <c r="BP32" s="1">
        <f t="shared" si="4"/>
        <v>0</v>
      </c>
      <c r="BQ32" s="1">
        <f t="shared" si="10"/>
        <v>0</v>
      </c>
      <c r="BR32" s="1" t="str">
        <f t="shared" si="5"/>
        <v/>
      </c>
      <c r="BS32" s="1">
        <f t="shared" si="6"/>
        <v>0</v>
      </c>
      <c r="BT32" s="4">
        <f t="shared" si="11"/>
        <v>0</v>
      </c>
      <c r="BU32" s="39">
        <f t="shared" si="12"/>
        <v>0</v>
      </c>
      <c r="BV32" s="1">
        <f t="shared" si="13"/>
        <v>0</v>
      </c>
      <c r="BW32">
        <f t="shared" si="14"/>
        <v>0</v>
      </c>
      <c r="BX32">
        <f t="shared" si="15"/>
        <v>0</v>
      </c>
    </row>
    <row r="33" spans="58:76" x14ac:dyDescent="0.2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39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7"/>
        <v>0</v>
      </c>
      <c r="BL33" s="1">
        <f t="shared" si="2"/>
        <v>0</v>
      </c>
      <c r="BM33" s="10" t="str">
        <f t="shared" si="3"/>
        <v/>
      </c>
      <c r="BN33" s="39">
        <f t="shared" si="8"/>
        <v>0</v>
      </c>
      <c r="BO33" s="39">
        <f t="shared" si="9"/>
        <v>0</v>
      </c>
      <c r="BP33" s="1">
        <f t="shared" si="4"/>
        <v>0</v>
      </c>
      <c r="BQ33" s="1">
        <f t="shared" si="10"/>
        <v>0</v>
      </c>
      <c r="BR33" s="1" t="str">
        <f t="shared" si="5"/>
        <v/>
      </c>
      <c r="BS33" s="1">
        <f t="shared" si="6"/>
        <v>0</v>
      </c>
      <c r="BT33" s="4">
        <f t="shared" si="11"/>
        <v>0</v>
      </c>
      <c r="BU33" s="39">
        <f t="shared" si="12"/>
        <v>0</v>
      </c>
      <c r="BV33" s="1">
        <f t="shared" si="13"/>
        <v>0</v>
      </c>
      <c r="BW33">
        <f t="shared" si="14"/>
        <v>0</v>
      </c>
      <c r="BX33">
        <f t="shared" si="15"/>
        <v>0</v>
      </c>
    </row>
    <row r="34" spans="58:76" x14ac:dyDescent="0.2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39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7"/>
        <v>0</v>
      </c>
      <c r="BL34" s="1">
        <f t="shared" si="2"/>
        <v>0</v>
      </c>
      <c r="BM34" s="10" t="str">
        <f t="shared" si="3"/>
        <v/>
      </c>
      <c r="BN34" s="39">
        <f t="shared" si="8"/>
        <v>0</v>
      </c>
      <c r="BO34" s="39">
        <f t="shared" si="9"/>
        <v>0</v>
      </c>
      <c r="BP34" s="1">
        <f t="shared" si="4"/>
        <v>0</v>
      </c>
      <c r="BQ34" s="1">
        <f t="shared" si="10"/>
        <v>0</v>
      </c>
      <c r="BR34" s="1" t="str">
        <f t="shared" si="5"/>
        <v/>
      </c>
      <c r="BS34" s="1">
        <f t="shared" si="6"/>
        <v>0</v>
      </c>
      <c r="BT34" s="4">
        <f t="shared" si="11"/>
        <v>0</v>
      </c>
      <c r="BU34" s="39">
        <f t="shared" si="12"/>
        <v>0</v>
      </c>
      <c r="BV34" s="1">
        <f t="shared" si="13"/>
        <v>0</v>
      </c>
      <c r="BW34">
        <f t="shared" si="14"/>
        <v>0</v>
      </c>
      <c r="BX34">
        <f t="shared" si="15"/>
        <v>0</v>
      </c>
    </row>
    <row r="35" spans="58:76" x14ac:dyDescent="0.2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39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7"/>
        <v>0</v>
      </c>
      <c r="BL35" s="1">
        <f t="shared" si="2"/>
        <v>0</v>
      </c>
      <c r="BM35" s="10" t="str">
        <f t="shared" si="3"/>
        <v/>
      </c>
      <c r="BN35" s="39">
        <f t="shared" si="8"/>
        <v>0</v>
      </c>
      <c r="BO35" s="39">
        <f t="shared" si="9"/>
        <v>0</v>
      </c>
      <c r="BP35" s="1">
        <f t="shared" si="4"/>
        <v>0</v>
      </c>
      <c r="BQ35" s="1">
        <f t="shared" si="10"/>
        <v>0</v>
      </c>
      <c r="BR35" s="1" t="str">
        <f t="shared" si="5"/>
        <v/>
      </c>
      <c r="BS35" s="1">
        <f t="shared" si="6"/>
        <v>0</v>
      </c>
      <c r="BT35" s="4">
        <f t="shared" si="11"/>
        <v>0</v>
      </c>
      <c r="BU35" s="39">
        <f t="shared" si="12"/>
        <v>0</v>
      </c>
      <c r="BV35" s="1">
        <f t="shared" si="13"/>
        <v>0</v>
      </c>
      <c r="BW35">
        <f t="shared" si="14"/>
        <v>0</v>
      </c>
      <c r="BX35">
        <f t="shared" si="15"/>
        <v>0</v>
      </c>
    </row>
    <row r="36" spans="58:76" x14ac:dyDescent="0.2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39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7"/>
        <v>0</v>
      </c>
      <c r="BL36" s="1">
        <f t="shared" si="2"/>
        <v>0</v>
      </c>
      <c r="BM36" s="10" t="str">
        <f t="shared" si="3"/>
        <v/>
      </c>
      <c r="BN36" s="39">
        <f t="shared" si="8"/>
        <v>0</v>
      </c>
      <c r="BO36" s="39">
        <f t="shared" si="9"/>
        <v>0</v>
      </c>
      <c r="BP36" s="1">
        <f t="shared" si="4"/>
        <v>0</v>
      </c>
      <c r="BQ36" s="1">
        <f t="shared" si="10"/>
        <v>0</v>
      </c>
      <c r="BR36" s="1" t="str">
        <f t="shared" si="5"/>
        <v/>
      </c>
      <c r="BS36" s="1">
        <f t="shared" si="6"/>
        <v>0</v>
      </c>
      <c r="BT36" s="4">
        <f t="shared" si="11"/>
        <v>0</v>
      </c>
      <c r="BU36" s="39">
        <f t="shared" si="12"/>
        <v>0</v>
      </c>
      <c r="BV36" s="1">
        <f t="shared" si="13"/>
        <v>0</v>
      </c>
      <c r="BW36">
        <f t="shared" si="14"/>
        <v>0</v>
      </c>
      <c r="BX36">
        <f t="shared" si="15"/>
        <v>0</v>
      </c>
    </row>
    <row r="37" spans="58:76" x14ac:dyDescent="0.2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39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7"/>
        <v>0</v>
      </c>
      <c r="BL37" s="1">
        <f t="shared" si="2"/>
        <v>0</v>
      </c>
      <c r="BM37" s="10" t="str">
        <f t="shared" si="3"/>
        <v/>
      </c>
      <c r="BN37" s="39">
        <f t="shared" si="8"/>
        <v>0</v>
      </c>
      <c r="BO37" s="39">
        <f t="shared" si="9"/>
        <v>0</v>
      </c>
      <c r="BP37" s="1">
        <f t="shared" si="4"/>
        <v>0</v>
      </c>
      <c r="BQ37" s="1">
        <f t="shared" si="10"/>
        <v>0</v>
      </c>
      <c r="BR37" s="1" t="str">
        <f t="shared" si="5"/>
        <v/>
      </c>
      <c r="BS37" s="1">
        <f t="shared" si="6"/>
        <v>0</v>
      </c>
      <c r="BT37" s="4">
        <f t="shared" si="11"/>
        <v>0</v>
      </c>
      <c r="BU37" s="39">
        <f t="shared" si="12"/>
        <v>0</v>
      </c>
      <c r="BV37" s="1">
        <f t="shared" si="13"/>
        <v>0</v>
      </c>
      <c r="BW37">
        <f t="shared" si="14"/>
        <v>0</v>
      </c>
      <c r="BX37">
        <f t="shared" si="15"/>
        <v>0</v>
      </c>
    </row>
    <row r="38" spans="58:76" x14ac:dyDescent="0.2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39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7"/>
        <v>0</v>
      </c>
      <c r="BL38" s="1">
        <f t="shared" si="2"/>
        <v>0</v>
      </c>
      <c r="BM38" s="10" t="str">
        <f t="shared" si="3"/>
        <v/>
      </c>
      <c r="BN38" s="39">
        <f t="shared" si="8"/>
        <v>0</v>
      </c>
      <c r="BO38" s="39">
        <f t="shared" si="9"/>
        <v>0</v>
      </c>
      <c r="BP38" s="1">
        <f t="shared" si="4"/>
        <v>0</v>
      </c>
      <c r="BQ38" s="1">
        <f t="shared" si="10"/>
        <v>0</v>
      </c>
      <c r="BR38" s="1" t="str">
        <f t="shared" si="5"/>
        <v/>
      </c>
      <c r="BS38" s="1">
        <f t="shared" si="6"/>
        <v>0</v>
      </c>
      <c r="BT38" s="4">
        <f t="shared" si="11"/>
        <v>0</v>
      </c>
      <c r="BU38" s="39">
        <f t="shared" si="12"/>
        <v>0</v>
      </c>
      <c r="BV38" s="1">
        <f t="shared" si="13"/>
        <v>0</v>
      </c>
      <c r="BW38">
        <f t="shared" si="14"/>
        <v>0</v>
      </c>
      <c r="BX38">
        <f t="shared" si="15"/>
        <v>0</v>
      </c>
    </row>
    <row r="39" spans="58:76" x14ac:dyDescent="0.2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39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7"/>
        <v>0</v>
      </c>
      <c r="BL39" s="1">
        <f t="shared" si="2"/>
        <v>0</v>
      </c>
      <c r="BM39" s="10" t="str">
        <f t="shared" si="3"/>
        <v/>
      </c>
      <c r="BN39" s="39">
        <f t="shared" si="8"/>
        <v>0</v>
      </c>
      <c r="BO39" s="39">
        <f t="shared" si="9"/>
        <v>0</v>
      </c>
      <c r="BP39" s="1">
        <f t="shared" si="4"/>
        <v>0</v>
      </c>
      <c r="BQ39" s="1">
        <f t="shared" si="10"/>
        <v>0</v>
      </c>
      <c r="BR39" s="1" t="str">
        <f t="shared" si="5"/>
        <v/>
      </c>
      <c r="BS39" s="1">
        <f t="shared" si="6"/>
        <v>0</v>
      </c>
      <c r="BT39" s="4">
        <f t="shared" si="11"/>
        <v>0</v>
      </c>
      <c r="BU39" s="39">
        <f t="shared" si="12"/>
        <v>0</v>
      </c>
      <c r="BV39" s="1">
        <f t="shared" si="13"/>
        <v>0</v>
      </c>
      <c r="BW39">
        <f t="shared" si="14"/>
        <v>0</v>
      </c>
      <c r="BX39">
        <f t="shared" si="15"/>
        <v>0</v>
      </c>
    </row>
    <row r="40" spans="58:76" x14ac:dyDescent="0.2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39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7"/>
        <v>0</v>
      </c>
      <c r="BL40" s="1">
        <f t="shared" si="2"/>
        <v>0</v>
      </c>
      <c r="BM40" s="10" t="str">
        <f t="shared" si="3"/>
        <v/>
      </c>
      <c r="BN40" s="39">
        <f t="shared" si="8"/>
        <v>0</v>
      </c>
      <c r="BO40" s="39">
        <f t="shared" si="9"/>
        <v>0</v>
      </c>
      <c r="BP40" s="1">
        <f t="shared" si="4"/>
        <v>0</v>
      </c>
      <c r="BQ40" s="1">
        <f t="shared" si="10"/>
        <v>0</v>
      </c>
      <c r="BR40" s="1" t="str">
        <f t="shared" si="5"/>
        <v/>
      </c>
      <c r="BS40" s="1">
        <f t="shared" si="6"/>
        <v>0</v>
      </c>
      <c r="BT40" s="4">
        <f t="shared" si="11"/>
        <v>0</v>
      </c>
      <c r="BU40" s="39">
        <f t="shared" si="12"/>
        <v>0</v>
      </c>
      <c r="BV40" s="1">
        <f t="shared" si="13"/>
        <v>0</v>
      </c>
      <c r="BW40">
        <f t="shared" si="14"/>
        <v>0</v>
      </c>
      <c r="BX40">
        <f t="shared" si="15"/>
        <v>0</v>
      </c>
    </row>
    <row r="41" spans="58:76" x14ac:dyDescent="0.2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39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7"/>
        <v>0</v>
      </c>
      <c r="BL41" s="1">
        <f t="shared" si="2"/>
        <v>0</v>
      </c>
      <c r="BM41" s="10" t="str">
        <f t="shared" si="3"/>
        <v/>
      </c>
      <c r="BN41" s="39">
        <f t="shared" si="8"/>
        <v>0</v>
      </c>
      <c r="BO41" s="39">
        <f t="shared" si="9"/>
        <v>0</v>
      </c>
      <c r="BP41" s="1">
        <f t="shared" si="4"/>
        <v>0</v>
      </c>
      <c r="BQ41" s="1">
        <f t="shared" si="10"/>
        <v>0</v>
      </c>
      <c r="BR41" s="1" t="str">
        <f t="shared" si="5"/>
        <v/>
      </c>
      <c r="BS41" s="1">
        <f t="shared" si="6"/>
        <v>0</v>
      </c>
      <c r="BT41" s="4">
        <f t="shared" si="11"/>
        <v>0</v>
      </c>
      <c r="BU41" s="39">
        <f t="shared" si="12"/>
        <v>0</v>
      </c>
      <c r="BV41" s="1">
        <f t="shared" si="13"/>
        <v>0</v>
      </c>
      <c r="BW41">
        <f t="shared" si="14"/>
        <v>0</v>
      </c>
      <c r="BX41">
        <f t="shared" si="15"/>
        <v>0</v>
      </c>
    </row>
    <row r="42" spans="58:76" x14ac:dyDescent="0.2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39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7"/>
        <v>0</v>
      </c>
      <c r="BL42" s="1">
        <f t="shared" si="2"/>
        <v>0</v>
      </c>
      <c r="BM42" s="10" t="str">
        <f t="shared" si="3"/>
        <v/>
      </c>
      <c r="BN42" s="39">
        <f t="shared" si="8"/>
        <v>0</v>
      </c>
      <c r="BO42" s="39">
        <f t="shared" si="9"/>
        <v>0</v>
      </c>
      <c r="BP42" s="1">
        <f t="shared" si="4"/>
        <v>0</v>
      </c>
      <c r="BQ42" s="1">
        <f t="shared" si="10"/>
        <v>0</v>
      </c>
      <c r="BR42" s="1" t="str">
        <f t="shared" si="5"/>
        <v/>
      </c>
      <c r="BS42" s="1">
        <f t="shared" si="6"/>
        <v>0</v>
      </c>
      <c r="BT42" s="4">
        <f t="shared" si="11"/>
        <v>0</v>
      </c>
      <c r="BU42" s="39">
        <f t="shared" si="12"/>
        <v>0</v>
      </c>
      <c r="BV42" s="1">
        <f t="shared" si="13"/>
        <v>0</v>
      </c>
      <c r="BW42">
        <f t="shared" si="14"/>
        <v>0</v>
      </c>
      <c r="BX42">
        <f t="shared" si="15"/>
        <v>0</v>
      </c>
    </row>
    <row r="43" spans="58:76" x14ac:dyDescent="0.2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39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7"/>
        <v>0</v>
      </c>
      <c r="BL43" s="1">
        <f t="shared" si="2"/>
        <v>0</v>
      </c>
      <c r="BM43" s="10" t="str">
        <f t="shared" si="3"/>
        <v/>
      </c>
      <c r="BN43" s="39">
        <f t="shared" si="8"/>
        <v>0</v>
      </c>
      <c r="BO43" s="39">
        <f t="shared" si="9"/>
        <v>0</v>
      </c>
      <c r="BP43" s="1">
        <f t="shared" si="4"/>
        <v>0</v>
      </c>
      <c r="BQ43" s="1">
        <f t="shared" si="10"/>
        <v>0</v>
      </c>
      <c r="BR43" s="1" t="str">
        <f t="shared" si="5"/>
        <v/>
      </c>
      <c r="BS43" s="1">
        <f t="shared" si="6"/>
        <v>0</v>
      </c>
      <c r="BT43" s="4">
        <f t="shared" si="11"/>
        <v>0</v>
      </c>
      <c r="BU43" s="39">
        <f t="shared" si="12"/>
        <v>0</v>
      </c>
      <c r="BV43" s="1">
        <f t="shared" si="13"/>
        <v>0</v>
      </c>
      <c r="BW43">
        <f t="shared" si="14"/>
        <v>0</v>
      </c>
      <c r="BX43">
        <f t="shared" si="15"/>
        <v>0</v>
      </c>
    </row>
    <row r="44" spans="58:76" x14ac:dyDescent="0.2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39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7"/>
        <v>0</v>
      </c>
      <c r="BL44" s="1">
        <f t="shared" si="2"/>
        <v>0</v>
      </c>
      <c r="BM44" s="10" t="str">
        <f t="shared" si="3"/>
        <v/>
      </c>
      <c r="BN44" s="39">
        <f t="shared" si="8"/>
        <v>0</v>
      </c>
      <c r="BO44" s="39">
        <f t="shared" si="9"/>
        <v>0</v>
      </c>
      <c r="BP44" s="1">
        <f t="shared" si="4"/>
        <v>0</v>
      </c>
      <c r="BQ44" s="1">
        <f t="shared" si="10"/>
        <v>0</v>
      </c>
      <c r="BR44" s="1" t="str">
        <f t="shared" si="5"/>
        <v/>
      </c>
      <c r="BS44" s="1">
        <f t="shared" si="6"/>
        <v>0</v>
      </c>
      <c r="BT44" s="4">
        <f t="shared" si="11"/>
        <v>0</v>
      </c>
      <c r="BU44" s="39">
        <f t="shared" si="12"/>
        <v>0</v>
      </c>
      <c r="BV44" s="1">
        <f t="shared" si="13"/>
        <v>0</v>
      </c>
      <c r="BW44">
        <f t="shared" si="14"/>
        <v>0</v>
      </c>
      <c r="BX44">
        <f t="shared" si="15"/>
        <v>0</v>
      </c>
    </row>
    <row r="45" spans="58:76" x14ac:dyDescent="0.2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39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7"/>
        <v>0</v>
      </c>
      <c r="BL45" s="1">
        <f t="shared" si="2"/>
        <v>0</v>
      </c>
      <c r="BM45" s="10" t="str">
        <f t="shared" si="3"/>
        <v/>
      </c>
      <c r="BN45" s="39">
        <f t="shared" si="8"/>
        <v>0</v>
      </c>
      <c r="BO45" s="39">
        <f t="shared" si="9"/>
        <v>0</v>
      </c>
      <c r="BP45" s="1">
        <f t="shared" si="4"/>
        <v>0</v>
      </c>
      <c r="BQ45" s="1">
        <f t="shared" si="10"/>
        <v>0</v>
      </c>
      <c r="BR45" s="1" t="str">
        <f t="shared" si="5"/>
        <v/>
      </c>
      <c r="BS45" s="1">
        <f t="shared" si="6"/>
        <v>0</v>
      </c>
      <c r="BT45" s="4">
        <f t="shared" si="11"/>
        <v>0</v>
      </c>
      <c r="BU45" s="39">
        <f t="shared" si="12"/>
        <v>0</v>
      </c>
      <c r="BV45" s="1">
        <f t="shared" si="13"/>
        <v>0</v>
      </c>
      <c r="BW45">
        <f t="shared" si="14"/>
        <v>0</v>
      </c>
      <c r="BX45">
        <f t="shared" si="15"/>
        <v>0</v>
      </c>
    </row>
    <row r="46" spans="58:76" x14ac:dyDescent="0.2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39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7"/>
        <v>0</v>
      </c>
      <c r="BL46" s="1">
        <f t="shared" si="2"/>
        <v>0</v>
      </c>
      <c r="BM46" s="10" t="str">
        <f t="shared" si="3"/>
        <v/>
      </c>
      <c r="BN46" s="39">
        <f t="shared" si="8"/>
        <v>0</v>
      </c>
      <c r="BO46" s="39">
        <f t="shared" si="9"/>
        <v>0</v>
      </c>
      <c r="BP46" s="1">
        <f t="shared" si="4"/>
        <v>0</v>
      </c>
      <c r="BQ46" s="1">
        <f t="shared" si="10"/>
        <v>0</v>
      </c>
      <c r="BR46" s="1" t="str">
        <f t="shared" si="5"/>
        <v/>
      </c>
      <c r="BS46" s="1">
        <f t="shared" si="6"/>
        <v>0</v>
      </c>
      <c r="BT46" s="4">
        <f t="shared" si="11"/>
        <v>0</v>
      </c>
      <c r="BU46" s="39">
        <f t="shared" si="12"/>
        <v>0</v>
      </c>
      <c r="BV46" s="1">
        <f t="shared" si="13"/>
        <v>0</v>
      </c>
      <c r="BW46">
        <f t="shared" si="14"/>
        <v>0</v>
      </c>
      <c r="BX46">
        <f t="shared" si="15"/>
        <v>0</v>
      </c>
    </row>
    <row r="47" spans="58:76" x14ac:dyDescent="0.2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39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7"/>
        <v>0</v>
      </c>
      <c r="BL47" s="1">
        <f t="shared" si="2"/>
        <v>0</v>
      </c>
      <c r="BM47" s="10" t="str">
        <f t="shared" si="3"/>
        <v/>
      </c>
      <c r="BN47" s="39">
        <f t="shared" si="8"/>
        <v>0</v>
      </c>
      <c r="BO47" s="39">
        <f t="shared" si="9"/>
        <v>0</v>
      </c>
      <c r="BP47" s="1">
        <f t="shared" si="4"/>
        <v>0</v>
      </c>
      <c r="BQ47" s="1">
        <f t="shared" si="10"/>
        <v>0</v>
      </c>
      <c r="BR47" s="1" t="str">
        <f t="shared" si="5"/>
        <v/>
      </c>
      <c r="BS47" s="1">
        <f t="shared" si="6"/>
        <v>0</v>
      </c>
      <c r="BT47" s="4">
        <f t="shared" si="11"/>
        <v>0</v>
      </c>
      <c r="BU47" s="39">
        <f t="shared" si="12"/>
        <v>0</v>
      </c>
      <c r="BV47" s="1">
        <f t="shared" si="13"/>
        <v>0</v>
      </c>
      <c r="BW47">
        <f t="shared" si="14"/>
        <v>0</v>
      </c>
      <c r="BX47">
        <f t="shared" si="15"/>
        <v>0</v>
      </c>
    </row>
    <row r="48" spans="58:76" x14ac:dyDescent="0.2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39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7"/>
        <v>0</v>
      </c>
      <c r="BL48" s="1">
        <f t="shared" si="2"/>
        <v>0</v>
      </c>
      <c r="BM48" s="10" t="str">
        <f t="shared" si="3"/>
        <v/>
      </c>
      <c r="BN48" s="39">
        <f t="shared" si="8"/>
        <v>0</v>
      </c>
      <c r="BO48" s="39">
        <f t="shared" si="9"/>
        <v>0</v>
      </c>
      <c r="BP48" s="1">
        <f t="shared" si="4"/>
        <v>0</v>
      </c>
      <c r="BQ48" s="1">
        <f t="shared" si="10"/>
        <v>0</v>
      </c>
      <c r="BR48" s="1" t="str">
        <f t="shared" si="5"/>
        <v/>
      </c>
      <c r="BS48" s="1">
        <f t="shared" si="6"/>
        <v>0</v>
      </c>
      <c r="BT48" s="4">
        <f t="shared" si="11"/>
        <v>0</v>
      </c>
      <c r="BU48" s="39">
        <f t="shared" si="12"/>
        <v>0</v>
      </c>
      <c r="BV48" s="1">
        <f t="shared" si="13"/>
        <v>0</v>
      </c>
      <c r="BW48">
        <f t="shared" si="14"/>
        <v>0</v>
      </c>
      <c r="BX48">
        <f t="shared" si="15"/>
        <v>0</v>
      </c>
    </row>
    <row r="49" spans="58:76" x14ac:dyDescent="0.2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39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7"/>
        <v>0</v>
      </c>
      <c r="BL49" s="1">
        <f t="shared" si="2"/>
        <v>0</v>
      </c>
      <c r="BM49" s="10" t="str">
        <f t="shared" si="3"/>
        <v/>
      </c>
      <c r="BN49" s="39">
        <f t="shared" si="8"/>
        <v>0</v>
      </c>
      <c r="BO49" s="39">
        <f t="shared" si="9"/>
        <v>0</v>
      </c>
      <c r="BP49" s="1">
        <f t="shared" si="4"/>
        <v>0</v>
      </c>
      <c r="BQ49" s="1">
        <f t="shared" si="10"/>
        <v>0</v>
      </c>
      <c r="BR49" s="1" t="str">
        <f t="shared" si="5"/>
        <v/>
      </c>
      <c r="BS49" s="1">
        <f t="shared" si="6"/>
        <v>0</v>
      </c>
      <c r="BT49" s="4">
        <f t="shared" si="11"/>
        <v>0</v>
      </c>
      <c r="BU49" s="39">
        <f t="shared" si="12"/>
        <v>0</v>
      </c>
      <c r="BV49" s="1">
        <f t="shared" si="13"/>
        <v>0</v>
      </c>
      <c r="BW49">
        <f t="shared" si="14"/>
        <v>0</v>
      </c>
      <c r="BX49">
        <f t="shared" si="15"/>
        <v>0</v>
      </c>
    </row>
    <row r="50" spans="58:76" x14ac:dyDescent="0.2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39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7"/>
        <v>0</v>
      </c>
      <c r="BL50" s="1">
        <f t="shared" si="2"/>
        <v>0</v>
      </c>
      <c r="BM50" s="10" t="str">
        <f t="shared" si="3"/>
        <v/>
      </c>
      <c r="BN50" s="39">
        <f t="shared" si="8"/>
        <v>0</v>
      </c>
      <c r="BO50" s="39">
        <f t="shared" si="9"/>
        <v>0</v>
      </c>
      <c r="BP50" s="1">
        <f t="shared" si="4"/>
        <v>0</v>
      </c>
      <c r="BQ50" s="1">
        <f t="shared" si="10"/>
        <v>0</v>
      </c>
      <c r="BR50" s="1" t="str">
        <f t="shared" si="5"/>
        <v/>
      </c>
      <c r="BS50" s="1">
        <f t="shared" si="6"/>
        <v>0</v>
      </c>
      <c r="BT50" s="4">
        <f t="shared" si="11"/>
        <v>0</v>
      </c>
      <c r="BU50" s="39">
        <f t="shared" si="12"/>
        <v>0</v>
      </c>
      <c r="BV50" s="1">
        <f t="shared" si="13"/>
        <v>0</v>
      </c>
      <c r="BW50">
        <f t="shared" si="14"/>
        <v>0</v>
      </c>
      <c r="BX50">
        <f t="shared" si="15"/>
        <v>0</v>
      </c>
    </row>
    <row r="51" spans="58:76" x14ac:dyDescent="0.2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39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7"/>
        <v>0</v>
      </c>
      <c r="BL51" s="1">
        <f t="shared" si="2"/>
        <v>0</v>
      </c>
      <c r="BM51" s="10" t="str">
        <f t="shared" si="3"/>
        <v/>
      </c>
      <c r="BN51" s="39">
        <f t="shared" si="8"/>
        <v>0</v>
      </c>
      <c r="BO51" s="39">
        <f t="shared" si="9"/>
        <v>0</v>
      </c>
      <c r="BP51" s="1">
        <f t="shared" si="4"/>
        <v>0</v>
      </c>
      <c r="BQ51" s="1">
        <f t="shared" si="10"/>
        <v>0</v>
      </c>
      <c r="BR51" s="1" t="str">
        <f t="shared" si="5"/>
        <v/>
      </c>
      <c r="BS51" s="1">
        <f t="shared" si="6"/>
        <v>0</v>
      </c>
      <c r="BT51" s="4">
        <f t="shared" si="11"/>
        <v>0</v>
      </c>
      <c r="BU51" s="39">
        <f t="shared" si="12"/>
        <v>0</v>
      </c>
      <c r="BV51" s="1">
        <f t="shared" si="13"/>
        <v>0</v>
      </c>
      <c r="BW51">
        <f t="shared" si="14"/>
        <v>0</v>
      </c>
      <c r="BX51">
        <f t="shared" si="15"/>
        <v>0</v>
      </c>
    </row>
    <row r="52" spans="58:76" x14ac:dyDescent="0.2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39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7"/>
        <v>0</v>
      </c>
      <c r="BL52" s="1">
        <f t="shared" si="2"/>
        <v>0</v>
      </c>
      <c r="BM52" s="10" t="str">
        <f t="shared" si="3"/>
        <v/>
      </c>
      <c r="BN52" s="39">
        <f t="shared" si="8"/>
        <v>0</v>
      </c>
      <c r="BO52" s="39">
        <f t="shared" si="9"/>
        <v>0</v>
      </c>
      <c r="BP52" s="1">
        <f t="shared" si="4"/>
        <v>0</v>
      </c>
      <c r="BQ52" s="1">
        <f t="shared" si="10"/>
        <v>0</v>
      </c>
      <c r="BR52" s="1" t="str">
        <f t="shared" si="5"/>
        <v/>
      </c>
      <c r="BS52" s="1">
        <f t="shared" si="6"/>
        <v>0</v>
      </c>
      <c r="BT52" s="4">
        <f t="shared" si="11"/>
        <v>0</v>
      </c>
      <c r="BU52" s="39">
        <f t="shared" si="12"/>
        <v>0</v>
      </c>
      <c r="BV52" s="1">
        <f t="shared" si="13"/>
        <v>0</v>
      </c>
      <c r="BW52">
        <f t="shared" si="14"/>
        <v>0</v>
      </c>
      <c r="BX52">
        <f t="shared" si="15"/>
        <v>0</v>
      </c>
    </row>
    <row r="53" spans="58:76" x14ac:dyDescent="0.2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39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7"/>
        <v>0</v>
      </c>
      <c r="BL53" s="1">
        <f t="shared" si="2"/>
        <v>0</v>
      </c>
      <c r="BM53" s="10" t="str">
        <f t="shared" si="3"/>
        <v/>
      </c>
      <c r="BN53" s="39">
        <f t="shared" si="8"/>
        <v>0</v>
      </c>
      <c r="BO53" s="39">
        <f t="shared" si="9"/>
        <v>0</v>
      </c>
      <c r="BP53" s="1">
        <f t="shared" si="4"/>
        <v>0</v>
      </c>
      <c r="BQ53" s="1">
        <f t="shared" si="10"/>
        <v>0</v>
      </c>
      <c r="BR53" s="1" t="str">
        <f t="shared" si="5"/>
        <v/>
      </c>
      <c r="BS53" s="1">
        <f t="shared" si="6"/>
        <v>0</v>
      </c>
      <c r="BT53" s="4">
        <f t="shared" si="11"/>
        <v>0</v>
      </c>
      <c r="BU53" s="39">
        <f t="shared" si="12"/>
        <v>0</v>
      </c>
      <c r="BV53" s="1">
        <f t="shared" si="13"/>
        <v>0</v>
      </c>
      <c r="BW53">
        <f t="shared" si="14"/>
        <v>0</v>
      </c>
      <c r="BX53">
        <f t="shared" si="15"/>
        <v>0</v>
      </c>
    </row>
    <row r="54" spans="58:76" x14ac:dyDescent="0.2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39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7"/>
        <v>0</v>
      </c>
      <c r="BL54" s="1">
        <f t="shared" si="2"/>
        <v>0</v>
      </c>
      <c r="BM54" s="10" t="str">
        <f t="shared" si="3"/>
        <v/>
      </c>
      <c r="BN54" s="39">
        <f t="shared" si="8"/>
        <v>0</v>
      </c>
      <c r="BO54" s="39">
        <f t="shared" si="9"/>
        <v>0</v>
      </c>
      <c r="BP54" s="1">
        <f t="shared" si="4"/>
        <v>0</v>
      </c>
      <c r="BQ54" s="1">
        <f t="shared" si="10"/>
        <v>0</v>
      </c>
      <c r="BR54" s="1" t="str">
        <f t="shared" si="5"/>
        <v/>
      </c>
      <c r="BS54" s="1">
        <f t="shared" si="6"/>
        <v>0</v>
      </c>
      <c r="BT54" s="4">
        <f t="shared" si="11"/>
        <v>0</v>
      </c>
      <c r="BU54" s="39">
        <f t="shared" si="12"/>
        <v>0</v>
      </c>
      <c r="BV54" s="1">
        <f t="shared" si="13"/>
        <v>0</v>
      </c>
      <c r="BW54">
        <f t="shared" si="14"/>
        <v>0</v>
      </c>
      <c r="BX54">
        <f t="shared" si="15"/>
        <v>0</v>
      </c>
    </row>
    <row r="55" spans="58:76" x14ac:dyDescent="0.2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39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7"/>
        <v>0</v>
      </c>
      <c r="BL55" s="1">
        <f t="shared" si="2"/>
        <v>0</v>
      </c>
      <c r="BM55" s="10" t="str">
        <f t="shared" si="3"/>
        <v/>
      </c>
      <c r="BN55" s="39">
        <f t="shared" si="8"/>
        <v>0</v>
      </c>
      <c r="BO55" s="39">
        <f t="shared" si="9"/>
        <v>0</v>
      </c>
      <c r="BP55" s="1">
        <f t="shared" si="4"/>
        <v>0</v>
      </c>
      <c r="BQ55" s="1">
        <f t="shared" si="10"/>
        <v>0</v>
      </c>
      <c r="BR55" s="1" t="str">
        <f t="shared" si="5"/>
        <v/>
      </c>
      <c r="BS55" s="1">
        <f t="shared" si="6"/>
        <v>0</v>
      </c>
      <c r="BT55" s="4">
        <f t="shared" si="11"/>
        <v>0</v>
      </c>
      <c r="BU55" s="39">
        <f t="shared" si="12"/>
        <v>0</v>
      </c>
      <c r="BV55" s="1">
        <f t="shared" si="13"/>
        <v>0</v>
      </c>
      <c r="BW55">
        <f t="shared" si="14"/>
        <v>0</v>
      </c>
      <c r="BX55">
        <f t="shared" si="15"/>
        <v>0</v>
      </c>
    </row>
    <row r="56" spans="58:76" x14ac:dyDescent="0.2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39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7"/>
        <v>0</v>
      </c>
      <c r="BL56" s="1">
        <f t="shared" si="2"/>
        <v>0</v>
      </c>
      <c r="BM56" s="10" t="str">
        <f t="shared" si="3"/>
        <v/>
      </c>
      <c r="BN56" s="39">
        <f t="shared" si="8"/>
        <v>0</v>
      </c>
      <c r="BO56" s="39">
        <f t="shared" si="9"/>
        <v>0</v>
      </c>
      <c r="BP56" s="1">
        <f t="shared" si="4"/>
        <v>0</v>
      </c>
      <c r="BQ56" s="1">
        <f t="shared" si="10"/>
        <v>0</v>
      </c>
      <c r="BR56" s="1" t="str">
        <f t="shared" si="5"/>
        <v/>
      </c>
      <c r="BS56" s="1">
        <f t="shared" si="6"/>
        <v>0</v>
      </c>
      <c r="BT56" s="4">
        <f t="shared" si="11"/>
        <v>0</v>
      </c>
      <c r="BU56" s="39">
        <f t="shared" si="12"/>
        <v>0</v>
      </c>
      <c r="BV56" s="1">
        <f t="shared" si="13"/>
        <v>0</v>
      </c>
      <c r="BW56">
        <f t="shared" si="14"/>
        <v>0</v>
      </c>
      <c r="BX56">
        <f t="shared" si="15"/>
        <v>0</v>
      </c>
    </row>
    <row r="57" spans="58:76" x14ac:dyDescent="0.2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39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7"/>
        <v>0</v>
      </c>
      <c r="BL57" s="1">
        <f t="shared" si="2"/>
        <v>0</v>
      </c>
      <c r="BM57" s="10" t="str">
        <f t="shared" si="3"/>
        <v/>
      </c>
      <c r="BN57" s="39">
        <f t="shared" si="8"/>
        <v>0</v>
      </c>
      <c r="BO57" s="39">
        <f t="shared" si="9"/>
        <v>0</v>
      </c>
      <c r="BP57" s="1">
        <f t="shared" si="4"/>
        <v>0</v>
      </c>
      <c r="BQ57" s="1">
        <f t="shared" si="10"/>
        <v>0</v>
      </c>
      <c r="BR57" s="1" t="str">
        <f t="shared" si="5"/>
        <v/>
      </c>
      <c r="BS57" s="1">
        <f t="shared" si="6"/>
        <v>0</v>
      </c>
      <c r="BT57" s="4">
        <f t="shared" si="11"/>
        <v>0</v>
      </c>
      <c r="BU57" s="39">
        <f t="shared" si="12"/>
        <v>0</v>
      </c>
      <c r="BV57" s="1">
        <f t="shared" si="13"/>
        <v>0</v>
      </c>
      <c r="BW57">
        <f t="shared" si="14"/>
        <v>0</v>
      </c>
      <c r="BX57">
        <f t="shared" si="15"/>
        <v>0</v>
      </c>
    </row>
    <row r="58" spans="58:76" x14ac:dyDescent="0.2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39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7"/>
        <v>0</v>
      </c>
      <c r="BL58" s="1">
        <f t="shared" si="2"/>
        <v>0</v>
      </c>
      <c r="BM58" s="10" t="str">
        <f t="shared" si="3"/>
        <v/>
      </c>
      <c r="BN58" s="39">
        <f t="shared" si="8"/>
        <v>0</v>
      </c>
      <c r="BO58" s="39">
        <f t="shared" si="9"/>
        <v>0</v>
      </c>
      <c r="BP58" s="1">
        <f t="shared" si="4"/>
        <v>0</v>
      </c>
      <c r="BQ58" s="1">
        <f t="shared" si="10"/>
        <v>0</v>
      </c>
      <c r="BR58" s="1" t="str">
        <f t="shared" si="5"/>
        <v/>
      </c>
      <c r="BS58" s="1">
        <f t="shared" si="6"/>
        <v>0</v>
      </c>
      <c r="BT58" s="4">
        <f t="shared" si="11"/>
        <v>0</v>
      </c>
      <c r="BU58" s="39">
        <f t="shared" si="12"/>
        <v>0</v>
      </c>
      <c r="BV58" s="1">
        <f t="shared" si="13"/>
        <v>0</v>
      </c>
      <c r="BW58">
        <f t="shared" si="14"/>
        <v>0</v>
      </c>
      <c r="BX58">
        <f t="shared" si="15"/>
        <v>0</v>
      </c>
    </row>
    <row r="59" spans="58:76" x14ac:dyDescent="0.2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39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7"/>
        <v>0</v>
      </c>
      <c r="BL59" s="1">
        <f t="shared" si="2"/>
        <v>0</v>
      </c>
      <c r="BM59" s="10" t="str">
        <f t="shared" si="3"/>
        <v/>
      </c>
      <c r="BN59" s="39">
        <f t="shared" si="8"/>
        <v>0</v>
      </c>
      <c r="BO59" s="39">
        <f t="shared" si="9"/>
        <v>0</v>
      </c>
      <c r="BP59" s="1">
        <f t="shared" si="4"/>
        <v>0</v>
      </c>
      <c r="BQ59" s="1">
        <f t="shared" si="10"/>
        <v>0</v>
      </c>
      <c r="BR59" s="1" t="str">
        <f t="shared" si="5"/>
        <v/>
      </c>
      <c r="BS59" s="1">
        <f t="shared" si="6"/>
        <v>0</v>
      </c>
      <c r="BT59" s="4">
        <f t="shared" si="11"/>
        <v>0</v>
      </c>
      <c r="BU59" s="39">
        <f t="shared" si="12"/>
        <v>0</v>
      </c>
      <c r="BV59" s="1">
        <f t="shared" si="13"/>
        <v>0</v>
      </c>
      <c r="BW59">
        <f t="shared" si="14"/>
        <v>0</v>
      </c>
      <c r="BX59">
        <f t="shared" si="15"/>
        <v>0</v>
      </c>
    </row>
    <row r="60" spans="58:76" x14ac:dyDescent="0.2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39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7"/>
        <v>0</v>
      </c>
      <c r="BL60" s="1">
        <f t="shared" si="2"/>
        <v>0</v>
      </c>
      <c r="BM60" s="10" t="str">
        <f t="shared" si="3"/>
        <v/>
      </c>
      <c r="BN60" s="39">
        <f t="shared" si="8"/>
        <v>0</v>
      </c>
      <c r="BO60" s="39">
        <f t="shared" si="9"/>
        <v>0</v>
      </c>
      <c r="BP60" s="1">
        <f t="shared" si="4"/>
        <v>0</v>
      </c>
      <c r="BQ60" s="1">
        <f t="shared" si="10"/>
        <v>0</v>
      </c>
      <c r="BR60" s="1" t="str">
        <f t="shared" si="5"/>
        <v/>
      </c>
      <c r="BS60" s="1">
        <f t="shared" si="6"/>
        <v>0</v>
      </c>
      <c r="BT60" s="4">
        <f t="shared" si="11"/>
        <v>0</v>
      </c>
      <c r="BU60" s="39">
        <f t="shared" si="12"/>
        <v>0</v>
      </c>
      <c r="BV60" s="1">
        <f t="shared" si="13"/>
        <v>0</v>
      </c>
      <c r="BW60">
        <f t="shared" si="14"/>
        <v>0</v>
      </c>
      <c r="BX60">
        <f t="shared" si="15"/>
        <v>0</v>
      </c>
    </row>
    <row r="61" spans="58:76" x14ac:dyDescent="0.2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39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7"/>
        <v>0</v>
      </c>
      <c r="BL61" s="1">
        <f t="shared" si="2"/>
        <v>0</v>
      </c>
      <c r="BM61" s="10" t="str">
        <f t="shared" si="3"/>
        <v/>
      </c>
      <c r="BN61" s="39">
        <f t="shared" si="8"/>
        <v>0</v>
      </c>
      <c r="BO61" s="39">
        <f t="shared" si="9"/>
        <v>0</v>
      </c>
      <c r="BP61" s="1">
        <f t="shared" si="4"/>
        <v>0</v>
      </c>
      <c r="BQ61" s="1">
        <f t="shared" si="10"/>
        <v>0</v>
      </c>
      <c r="BR61" s="1" t="str">
        <f t="shared" si="5"/>
        <v/>
      </c>
      <c r="BS61" s="1">
        <f t="shared" si="6"/>
        <v>0</v>
      </c>
      <c r="BT61" s="4">
        <f t="shared" si="11"/>
        <v>0</v>
      </c>
      <c r="BU61" s="39">
        <f t="shared" si="12"/>
        <v>0</v>
      </c>
      <c r="BV61" s="1">
        <f t="shared" si="13"/>
        <v>0</v>
      </c>
      <c r="BW61">
        <f t="shared" si="14"/>
        <v>0</v>
      </c>
      <c r="BX61">
        <f t="shared" si="15"/>
        <v>0</v>
      </c>
    </row>
    <row r="62" spans="58:76" x14ac:dyDescent="0.2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39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7"/>
        <v>0</v>
      </c>
      <c r="BL62" s="1">
        <f t="shared" si="2"/>
        <v>0</v>
      </c>
      <c r="BM62" s="10" t="str">
        <f t="shared" si="3"/>
        <v/>
      </c>
      <c r="BN62" s="39">
        <f t="shared" si="8"/>
        <v>0</v>
      </c>
      <c r="BO62" s="39">
        <f t="shared" si="9"/>
        <v>0</v>
      </c>
      <c r="BP62" s="1">
        <f t="shared" si="4"/>
        <v>0</v>
      </c>
      <c r="BQ62" s="1">
        <f t="shared" si="10"/>
        <v>0</v>
      </c>
      <c r="BR62" s="1" t="str">
        <f t="shared" si="5"/>
        <v/>
      </c>
      <c r="BS62" s="1">
        <f t="shared" si="6"/>
        <v>0</v>
      </c>
      <c r="BT62" s="4">
        <f t="shared" si="11"/>
        <v>0</v>
      </c>
      <c r="BU62" s="39">
        <f t="shared" si="12"/>
        <v>0</v>
      </c>
      <c r="BV62" s="1">
        <f t="shared" si="13"/>
        <v>0</v>
      </c>
      <c r="BW62">
        <f t="shared" si="14"/>
        <v>0</v>
      </c>
      <c r="BX62">
        <f t="shared" si="15"/>
        <v>0</v>
      </c>
    </row>
    <row r="63" spans="58:76" x14ac:dyDescent="0.2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39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7"/>
        <v>0</v>
      </c>
      <c r="BL63" s="1">
        <f t="shared" si="2"/>
        <v>0</v>
      </c>
      <c r="BM63" s="10" t="str">
        <f t="shared" si="3"/>
        <v/>
      </c>
      <c r="BN63" s="39">
        <f t="shared" si="8"/>
        <v>0</v>
      </c>
      <c r="BO63" s="39">
        <f t="shared" si="9"/>
        <v>0</v>
      </c>
      <c r="BP63" s="1">
        <f t="shared" si="4"/>
        <v>0</v>
      </c>
      <c r="BQ63" s="1">
        <f t="shared" si="10"/>
        <v>0</v>
      </c>
      <c r="BR63" s="1" t="str">
        <f t="shared" si="5"/>
        <v/>
      </c>
      <c r="BS63" s="1">
        <f t="shared" si="6"/>
        <v>0</v>
      </c>
      <c r="BT63" s="4">
        <f t="shared" si="11"/>
        <v>0</v>
      </c>
      <c r="BU63" s="39">
        <f t="shared" si="12"/>
        <v>0</v>
      </c>
      <c r="BV63" s="1">
        <f t="shared" si="13"/>
        <v>0</v>
      </c>
      <c r="BW63">
        <f t="shared" si="14"/>
        <v>0</v>
      </c>
      <c r="BX63">
        <f t="shared" si="15"/>
        <v>0</v>
      </c>
    </row>
    <row r="64" spans="58:76" x14ac:dyDescent="0.2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39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7"/>
        <v>0</v>
      </c>
      <c r="BL64" s="1">
        <f t="shared" si="2"/>
        <v>0</v>
      </c>
      <c r="BM64" s="10" t="str">
        <f t="shared" si="3"/>
        <v/>
      </c>
      <c r="BN64" s="39">
        <f t="shared" si="8"/>
        <v>0</v>
      </c>
      <c r="BO64" s="39">
        <f t="shared" si="9"/>
        <v>0</v>
      </c>
      <c r="BP64" s="1">
        <f t="shared" si="4"/>
        <v>0</v>
      </c>
      <c r="BQ64" s="1">
        <f t="shared" si="10"/>
        <v>0</v>
      </c>
      <c r="BR64" s="1" t="str">
        <f t="shared" si="5"/>
        <v/>
      </c>
      <c r="BS64" s="1">
        <f t="shared" si="6"/>
        <v>0</v>
      </c>
      <c r="BT64" s="4">
        <f t="shared" si="11"/>
        <v>0</v>
      </c>
      <c r="BU64" s="39">
        <f t="shared" si="12"/>
        <v>0</v>
      </c>
      <c r="BV64" s="1">
        <f t="shared" si="13"/>
        <v>0</v>
      </c>
      <c r="BW64">
        <f t="shared" si="14"/>
        <v>0</v>
      </c>
      <c r="BX64">
        <f t="shared" si="15"/>
        <v>0</v>
      </c>
    </row>
    <row r="65" spans="58:76" x14ac:dyDescent="0.2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39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7"/>
        <v>0</v>
      </c>
      <c r="BL65" s="1">
        <f t="shared" si="2"/>
        <v>0</v>
      </c>
      <c r="BM65" s="10" t="str">
        <f t="shared" si="3"/>
        <v/>
      </c>
      <c r="BN65" s="39">
        <f t="shared" si="8"/>
        <v>0</v>
      </c>
      <c r="BO65" s="39">
        <f t="shared" si="9"/>
        <v>0</v>
      </c>
      <c r="BP65" s="1">
        <f t="shared" si="4"/>
        <v>0</v>
      </c>
      <c r="BQ65" s="1">
        <f t="shared" si="10"/>
        <v>0</v>
      </c>
      <c r="BR65" s="1" t="str">
        <f t="shared" si="5"/>
        <v/>
      </c>
      <c r="BS65" s="1">
        <f t="shared" si="6"/>
        <v>0</v>
      </c>
      <c r="BT65" s="4">
        <f t="shared" si="11"/>
        <v>0</v>
      </c>
      <c r="BU65" s="39">
        <f t="shared" si="12"/>
        <v>0</v>
      </c>
      <c r="BV65" s="1">
        <f t="shared" si="13"/>
        <v>0</v>
      </c>
      <c r="BW65">
        <f t="shared" si="14"/>
        <v>0</v>
      </c>
      <c r="BX65">
        <f t="shared" si="15"/>
        <v>0</v>
      </c>
    </row>
    <row r="66" spans="58:76" x14ac:dyDescent="0.2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39">
        <f t="shared" ref="BH66:BI97" si="17">VALUE(T66)</f>
        <v>0</v>
      </c>
      <c r="BI66" s="1">
        <f t="shared" si="17"/>
        <v>0</v>
      </c>
      <c r="BJ66" s="1">
        <f t="shared" ref="BJ66:BJ129" si="18">IFERROR(_xlfn.NUMBERVALUE(V66),V66)</f>
        <v>0</v>
      </c>
      <c r="BK66" s="1">
        <f t="shared" si="7"/>
        <v>0</v>
      </c>
      <c r="BL66" s="1">
        <f t="shared" ref="BL66:BL129" si="19">L66</f>
        <v>0</v>
      </c>
      <c r="BM66" s="10" t="str">
        <f t="shared" ref="BM66:BM129" si="20">SUBSTITUTE(J66,"/",".")</f>
        <v/>
      </c>
      <c r="BN66" s="39">
        <f t="shared" si="8"/>
        <v>0</v>
      </c>
      <c r="BO66" s="39">
        <f t="shared" si="9"/>
        <v>0</v>
      </c>
      <c r="BP66" s="1">
        <f t="shared" ref="BP66:BP129" si="21">VALUE(D66)</f>
        <v>0</v>
      </c>
      <c r="BQ66" s="1">
        <f t="shared" si="10"/>
        <v>0</v>
      </c>
      <c r="BR66" s="1" t="str">
        <f t="shared" ref="BR66:BR129" si="22">SUBSTITUTE(O66,".","")</f>
        <v/>
      </c>
      <c r="BS66" s="1">
        <f t="shared" ref="BS66:BS129" si="23">S66</f>
        <v>0</v>
      </c>
      <c r="BT66" s="4">
        <f t="shared" si="11"/>
        <v>0</v>
      </c>
      <c r="BU66" s="39">
        <f t="shared" si="12"/>
        <v>0</v>
      </c>
      <c r="BV66" s="1">
        <f t="shared" si="13"/>
        <v>0</v>
      </c>
      <c r="BW66">
        <f t="shared" si="14"/>
        <v>0</v>
      </c>
      <c r="BX66">
        <f t="shared" si="15"/>
        <v>0</v>
      </c>
    </row>
    <row r="67" spans="58:76" x14ac:dyDescent="0.2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39">
        <f t="shared" si="17"/>
        <v>0</v>
      </c>
      <c r="BI67" s="1">
        <f t="shared" si="17"/>
        <v>0</v>
      </c>
      <c r="BJ67" s="1">
        <f t="shared" si="18"/>
        <v>0</v>
      </c>
      <c r="BK67" s="1">
        <f t="shared" ref="BK67:BK130" si="24">IFERROR(INT(I67),I67)</f>
        <v>0</v>
      </c>
      <c r="BL67" s="1">
        <f t="shared" si="19"/>
        <v>0</v>
      </c>
      <c r="BM67" s="10" t="str">
        <f t="shared" si="20"/>
        <v/>
      </c>
      <c r="BN67" s="39">
        <f t="shared" ref="BN67:BN130" si="25">VALUE(Q67)*1000</f>
        <v>0</v>
      </c>
      <c r="BO67" s="39">
        <f t="shared" ref="BO67:BO130" si="26">VALUE(P67)/1000</f>
        <v>0</v>
      </c>
      <c r="BP67" s="1">
        <f t="shared" si="21"/>
        <v>0</v>
      </c>
      <c r="BQ67" s="1">
        <f t="shared" ref="BQ67:BQ130" si="27">VALUE(G67)</f>
        <v>0</v>
      </c>
      <c r="BR67" s="1" t="str">
        <f t="shared" si="22"/>
        <v/>
      </c>
      <c r="BS67" s="1">
        <f t="shared" si="23"/>
        <v>0</v>
      </c>
      <c r="BT67" s="4">
        <f t="shared" ref="BT67:BT130" si="28">VALUE(AJ67)</f>
        <v>0</v>
      </c>
      <c r="BU67" s="39">
        <f t="shared" ref="BU67:BU130" si="29">K67</f>
        <v>0</v>
      </c>
      <c r="BV67" s="1">
        <f t="shared" ref="BV67:BV130" si="30">AQ67</f>
        <v>0</v>
      </c>
      <c r="BW67">
        <f t="shared" ref="BW67:BW130" si="31">X67</f>
        <v>0</v>
      </c>
      <c r="BX67">
        <f t="shared" ref="BX67:BX130" si="32">AN67</f>
        <v>0</v>
      </c>
    </row>
    <row r="68" spans="58:76" x14ac:dyDescent="0.2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39">
        <f t="shared" si="17"/>
        <v>0</v>
      </c>
      <c r="BI68" s="1">
        <f t="shared" si="17"/>
        <v>0</v>
      </c>
      <c r="BJ68" s="1">
        <f t="shared" si="18"/>
        <v>0</v>
      </c>
      <c r="BK68" s="1">
        <f t="shared" si="24"/>
        <v>0</v>
      </c>
      <c r="BL68" s="1">
        <f t="shared" si="19"/>
        <v>0</v>
      </c>
      <c r="BM68" s="10" t="str">
        <f t="shared" si="20"/>
        <v/>
      </c>
      <c r="BN68" s="39">
        <f t="shared" si="25"/>
        <v>0</v>
      </c>
      <c r="BO68" s="39">
        <f t="shared" si="26"/>
        <v>0</v>
      </c>
      <c r="BP68" s="1">
        <f t="shared" si="21"/>
        <v>0</v>
      </c>
      <c r="BQ68" s="1">
        <f t="shared" si="27"/>
        <v>0</v>
      </c>
      <c r="BR68" s="1" t="str">
        <f t="shared" si="22"/>
        <v/>
      </c>
      <c r="BS68" s="1">
        <f t="shared" si="23"/>
        <v>0</v>
      </c>
      <c r="BT68" s="4">
        <f t="shared" si="28"/>
        <v>0</v>
      </c>
      <c r="BU68" s="39">
        <f t="shared" si="29"/>
        <v>0</v>
      </c>
      <c r="BV68" s="1">
        <f t="shared" si="30"/>
        <v>0</v>
      </c>
      <c r="BW68">
        <f t="shared" si="31"/>
        <v>0</v>
      </c>
      <c r="BX68">
        <f t="shared" si="32"/>
        <v>0</v>
      </c>
    </row>
    <row r="69" spans="58:76" x14ac:dyDescent="0.2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39">
        <f t="shared" si="17"/>
        <v>0</v>
      </c>
      <c r="BI69" s="1">
        <f t="shared" si="17"/>
        <v>0</v>
      </c>
      <c r="BJ69" s="1">
        <f t="shared" si="18"/>
        <v>0</v>
      </c>
      <c r="BK69" s="1">
        <f t="shared" si="24"/>
        <v>0</v>
      </c>
      <c r="BL69" s="1">
        <f t="shared" si="19"/>
        <v>0</v>
      </c>
      <c r="BM69" s="10" t="str">
        <f t="shared" si="20"/>
        <v/>
      </c>
      <c r="BN69" s="39">
        <f t="shared" si="25"/>
        <v>0</v>
      </c>
      <c r="BO69" s="39">
        <f t="shared" si="26"/>
        <v>0</v>
      </c>
      <c r="BP69" s="1">
        <f t="shared" si="21"/>
        <v>0</v>
      </c>
      <c r="BQ69" s="1">
        <f t="shared" si="27"/>
        <v>0</v>
      </c>
      <c r="BR69" s="1" t="str">
        <f t="shared" si="22"/>
        <v/>
      </c>
      <c r="BS69" s="1">
        <f t="shared" si="23"/>
        <v>0</v>
      </c>
      <c r="BT69" s="4">
        <f t="shared" si="28"/>
        <v>0</v>
      </c>
      <c r="BU69" s="39">
        <f t="shared" si="29"/>
        <v>0</v>
      </c>
      <c r="BV69" s="1">
        <f t="shared" si="30"/>
        <v>0</v>
      </c>
      <c r="BW69">
        <f t="shared" si="31"/>
        <v>0</v>
      </c>
      <c r="BX69">
        <f t="shared" si="32"/>
        <v>0</v>
      </c>
    </row>
    <row r="70" spans="58:76" x14ac:dyDescent="0.2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39">
        <f t="shared" si="17"/>
        <v>0</v>
      </c>
      <c r="BI70" s="1">
        <f t="shared" si="17"/>
        <v>0</v>
      </c>
      <c r="BJ70" s="1">
        <f t="shared" si="18"/>
        <v>0</v>
      </c>
      <c r="BK70" s="1">
        <f t="shared" si="24"/>
        <v>0</v>
      </c>
      <c r="BL70" s="1">
        <f t="shared" si="19"/>
        <v>0</v>
      </c>
      <c r="BM70" s="10" t="str">
        <f t="shared" si="20"/>
        <v/>
      </c>
      <c r="BN70" s="39">
        <f t="shared" si="25"/>
        <v>0</v>
      </c>
      <c r="BO70" s="39">
        <f t="shared" si="26"/>
        <v>0</v>
      </c>
      <c r="BP70" s="1">
        <f t="shared" si="21"/>
        <v>0</v>
      </c>
      <c r="BQ70" s="1">
        <f t="shared" si="27"/>
        <v>0</v>
      </c>
      <c r="BR70" s="1" t="str">
        <f t="shared" si="22"/>
        <v/>
      </c>
      <c r="BS70" s="1">
        <f t="shared" si="23"/>
        <v>0</v>
      </c>
      <c r="BT70" s="4">
        <f t="shared" si="28"/>
        <v>0</v>
      </c>
      <c r="BU70" s="39">
        <f t="shared" si="29"/>
        <v>0</v>
      </c>
      <c r="BV70" s="1">
        <f t="shared" si="30"/>
        <v>0</v>
      </c>
      <c r="BW70">
        <f t="shared" si="31"/>
        <v>0</v>
      </c>
      <c r="BX70">
        <f t="shared" si="32"/>
        <v>0</v>
      </c>
    </row>
    <row r="71" spans="58:76" x14ac:dyDescent="0.2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39">
        <f t="shared" si="17"/>
        <v>0</v>
      </c>
      <c r="BI71" s="1">
        <f t="shared" si="17"/>
        <v>0</v>
      </c>
      <c r="BJ71" s="1">
        <f t="shared" si="18"/>
        <v>0</v>
      </c>
      <c r="BK71" s="1">
        <f t="shared" si="24"/>
        <v>0</v>
      </c>
      <c r="BL71" s="1">
        <f t="shared" si="19"/>
        <v>0</v>
      </c>
      <c r="BM71" s="10" t="str">
        <f t="shared" si="20"/>
        <v/>
      </c>
      <c r="BN71" s="39">
        <f t="shared" si="25"/>
        <v>0</v>
      </c>
      <c r="BO71" s="39">
        <f t="shared" si="26"/>
        <v>0</v>
      </c>
      <c r="BP71" s="1">
        <f t="shared" si="21"/>
        <v>0</v>
      </c>
      <c r="BQ71" s="1">
        <f t="shared" si="27"/>
        <v>0</v>
      </c>
      <c r="BR71" s="1" t="str">
        <f t="shared" si="22"/>
        <v/>
      </c>
      <c r="BS71" s="1">
        <f t="shared" si="23"/>
        <v>0</v>
      </c>
      <c r="BT71" s="4">
        <f t="shared" si="28"/>
        <v>0</v>
      </c>
      <c r="BU71" s="39">
        <f t="shared" si="29"/>
        <v>0</v>
      </c>
      <c r="BV71" s="1">
        <f t="shared" si="30"/>
        <v>0</v>
      </c>
      <c r="BW71">
        <f t="shared" si="31"/>
        <v>0</v>
      </c>
      <c r="BX71">
        <f t="shared" si="32"/>
        <v>0</v>
      </c>
    </row>
    <row r="72" spans="58:76" x14ac:dyDescent="0.2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39">
        <f t="shared" si="17"/>
        <v>0</v>
      </c>
      <c r="BI72" s="1">
        <f t="shared" si="17"/>
        <v>0</v>
      </c>
      <c r="BJ72" s="1">
        <f t="shared" si="18"/>
        <v>0</v>
      </c>
      <c r="BK72" s="1">
        <f t="shared" si="24"/>
        <v>0</v>
      </c>
      <c r="BL72" s="1">
        <f t="shared" si="19"/>
        <v>0</v>
      </c>
      <c r="BM72" s="10" t="str">
        <f t="shared" si="20"/>
        <v/>
      </c>
      <c r="BN72" s="39">
        <f t="shared" si="25"/>
        <v>0</v>
      </c>
      <c r="BO72" s="39">
        <f t="shared" si="26"/>
        <v>0</v>
      </c>
      <c r="BP72" s="1">
        <f t="shared" si="21"/>
        <v>0</v>
      </c>
      <c r="BQ72" s="1">
        <f t="shared" si="27"/>
        <v>0</v>
      </c>
      <c r="BR72" s="1" t="str">
        <f t="shared" si="22"/>
        <v/>
      </c>
      <c r="BS72" s="1">
        <f t="shared" si="23"/>
        <v>0</v>
      </c>
      <c r="BT72" s="4">
        <f t="shared" si="28"/>
        <v>0</v>
      </c>
      <c r="BU72" s="39">
        <f t="shared" si="29"/>
        <v>0</v>
      </c>
      <c r="BV72" s="1">
        <f t="shared" si="30"/>
        <v>0</v>
      </c>
      <c r="BW72">
        <f t="shared" si="31"/>
        <v>0</v>
      </c>
      <c r="BX72">
        <f t="shared" si="32"/>
        <v>0</v>
      </c>
    </row>
    <row r="73" spans="58:76" x14ac:dyDescent="0.2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39">
        <f t="shared" si="17"/>
        <v>0</v>
      </c>
      <c r="BI73" s="1">
        <f t="shared" si="17"/>
        <v>0</v>
      </c>
      <c r="BJ73" s="1">
        <f t="shared" si="18"/>
        <v>0</v>
      </c>
      <c r="BK73" s="1">
        <f t="shared" si="24"/>
        <v>0</v>
      </c>
      <c r="BL73" s="1">
        <f t="shared" si="19"/>
        <v>0</v>
      </c>
      <c r="BM73" s="10" t="str">
        <f t="shared" si="20"/>
        <v/>
      </c>
      <c r="BN73" s="39">
        <f t="shared" si="25"/>
        <v>0</v>
      </c>
      <c r="BO73" s="39">
        <f t="shared" si="26"/>
        <v>0</v>
      </c>
      <c r="BP73" s="1">
        <f t="shared" si="21"/>
        <v>0</v>
      </c>
      <c r="BQ73" s="1">
        <f t="shared" si="27"/>
        <v>0</v>
      </c>
      <c r="BR73" s="1" t="str">
        <f t="shared" si="22"/>
        <v/>
      </c>
      <c r="BS73" s="1">
        <f t="shared" si="23"/>
        <v>0</v>
      </c>
      <c r="BT73" s="4">
        <f t="shared" si="28"/>
        <v>0</v>
      </c>
      <c r="BU73" s="39">
        <f t="shared" si="29"/>
        <v>0</v>
      </c>
      <c r="BV73" s="1">
        <f t="shared" si="30"/>
        <v>0</v>
      </c>
      <c r="BW73">
        <f t="shared" si="31"/>
        <v>0</v>
      </c>
      <c r="BX73">
        <f t="shared" si="32"/>
        <v>0</v>
      </c>
    </row>
    <row r="74" spans="58:76" x14ac:dyDescent="0.2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39">
        <f t="shared" si="17"/>
        <v>0</v>
      </c>
      <c r="BI74" s="1">
        <f t="shared" si="17"/>
        <v>0</v>
      </c>
      <c r="BJ74" s="1">
        <f t="shared" si="18"/>
        <v>0</v>
      </c>
      <c r="BK74" s="1">
        <f t="shared" si="24"/>
        <v>0</v>
      </c>
      <c r="BL74" s="1">
        <f t="shared" si="19"/>
        <v>0</v>
      </c>
      <c r="BM74" s="10" t="str">
        <f t="shared" si="20"/>
        <v/>
      </c>
      <c r="BN74" s="39">
        <f t="shared" si="25"/>
        <v>0</v>
      </c>
      <c r="BO74" s="39">
        <f t="shared" si="26"/>
        <v>0</v>
      </c>
      <c r="BP74" s="1">
        <f t="shared" si="21"/>
        <v>0</v>
      </c>
      <c r="BQ74" s="1">
        <f t="shared" si="27"/>
        <v>0</v>
      </c>
      <c r="BR74" s="1" t="str">
        <f t="shared" si="22"/>
        <v/>
      </c>
      <c r="BS74" s="1">
        <f t="shared" si="23"/>
        <v>0</v>
      </c>
      <c r="BT74" s="4">
        <f t="shared" si="28"/>
        <v>0</v>
      </c>
      <c r="BU74" s="39">
        <f t="shared" si="29"/>
        <v>0</v>
      </c>
      <c r="BV74" s="1">
        <f t="shared" si="30"/>
        <v>0</v>
      </c>
      <c r="BW74">
        <f t="shared" si="31"/>
        <v>0</v>
      </c>
      <c r="BX74">
        <f t="shared" si="32"/>
        <v>0</v>
      </c>
    </row>
    <row r="75" spans="58:76" x14ac:dyDescent="0.2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39">
        <f t="shared" si="17"/>
        <v>0</v>
      </c>
      <c r="BI75" s="1">
        <f t="shared" si="17"/>
        <v>0</v>
      </c>
      <c r="BJ75" s="1">
        <f t="shared" si="18"/>
        <v>0</v>
      </c>
      <c r="BK75" s="1">
        <f t="shared" si="24"/>
        <v>0</v>
      </c>
      <c r="BL75" s="1">
        <f t="shared" si="19"/>
        <v>0</v>
      </c>
      <c r="BM75" s="10" t="str">
        <f t="shared" si="20"/>
        <v/>
      </c>
      <c r="BN75" s="39">
        <f t="shared" si="25"/>
        <v>0</v>
      </c>
      <c r="BO75" s="39">
        <f t="shared" si="26"/>
        <v>0</v>
      </c>
      <c r="BP75" s="1">
        <f t="shared" si="21"/>
        <v>0</v>
      </c>
      <c r="BQ75" s="1">
        <f t="shared" si="27"/>
        <v>0</v>
      </c>
      <c r="BR75" s="1" t="str">
        <f t="shared" si="22"/>
        <v/>
      </c>
      <c r="BS75" s="1">
        <f t="shared" si="23"/>
        <v>0</v>
      </c>
      <c r="BT75" s="4">
        <f t="shared" si="28"/>
        <v>0</v>
      </c>
      <c r="BU75" s="39">
        <f t="shared" si="29"/>
        <v>0</v>
      </c>
      <c r="BV75" s="1">
        <f t="shared" si="30"/>
        <v>0</v>
      </c>
      <c r="BW75">
        <f t="shared" si="31"/>
        <v>0</v>
      </c>
      <c r="BX75">
        <f t="shared" si="32"/>
        <v>0</v>
      </c>
    </row>
    <row r="76" spans="58:76" x14ac:dyDescent="0.2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39">
        <f t="shared" si="17"/>
        <v>0</v>
      </c>
      <c r="BI76" s="1">
        <f t="shared" si="17"/>
        <v>0</v>
      </c>
      <c r="BJ76" s="1">
        <f t="shared" si="18"/>
        <v>0</v>
      </c>
      <c r="BK76" s="1">
        <f t="shared" si="24"/>
        <v>0</v>
      </c>
      <c r="BL76" s="1">
        <f t="shared" si="19"/>
        <v>0</v>
      </c>
      <c r="BM76" s="10" t="str">
        <f t="shared" si="20"/>
        <v/>
      </c>
      <c r="BN76" s="39">
        <f t="shared" si="25"/>
        <v>0</v>
      </c>
      <c r="BO76" s="39">
        <f t="shared" si="26"/>
        <v>0</v>
      </c>
      <c r="BP76" s="1">
        <f t="shared" si="21"/>
        <v>0</v>
      </c>
      <c r="BQ76" s="1">
        <f t="shared" si="27"/>
        <v>0</v>
      </c>
      <c r="BR76" s="1" t="str">
        <f t="shared" si="22"/>
        <v/>
      </c>
      <c r="BS76" s="1">
        <f t="shared" si="23"/>
        <v>0</v>
      </c>
      <c r="BT76" s="4">
        <f t="shared" si="28"/>
        <v>0</v>
      </c>
      <c r="BU76" s="39">
        <f t="shared" si="29"/>
        <v>0</v>
      </c>
      <c r="BV76" s="1">
        <f t="shared" si="30"/>
        <v>0</v>
      </c>
      <c r="BW76">
        <f t="shared" si="31"/>
        <v>0</v>
      </c>
      <c r="BX76">
        <f t="shared" si="32"/>
        <v>0</v>
      </c>
    </row>
    <row r="77" spans="58:76" x14ac:dyDescent="0.2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39">
        <f t="shared" si="17"/>
        <v>0</v>
      </c>
      <c r="BI77" s="1">
        <f t="shared" si="17"/>
        <v>0</v>
      </c>
      <c r="BJ77" s="1">
        <f t="shared" si="18"/>
        <v>0</v>
      </c>
      <c r="BK77" s="1">
        <f t="shared" si="24"/>
        <v>0</v>
      </c>
      <c r="BL77" s="1">
        <f t="shared" si="19"/>
        <v>0</v>
      </c>
      <c r="BM77" s="10" t="str">
        <f t="shared" si="20"/>
        <v/>
      </c>
      <c r="BN77" s="39">
        <f t="shared" si="25"/>
        <v>0</v>
      </c>
      <c r="BO77" s="39">
        <f t="shared" si="26"/>
        <v>0</v>
      </c>
      <c r="BP77" s="1">
        <f t="shared" si="21"/>
        <v>0</v>
      </c>
      <c r="BQ77" s="1">
        <f t="shared" si="27"/>
        <v>0</v>
      </c>
      <c r="BR77" s="1" t="str">
        <f t="shared" si="22"/>
        <v/>
      </c>
      <c r="BS77" s="1">
        <f t="shared" si="23"/>
        <v>0</v>
      </c>
      <c r="BT77" s="4">
        <f t="shared" si="28"/>
        <v>0</v>
      </c>
      <c r="BU77" s="39">
        <f t="shared" si="29"/>
        <v>0</v>
      </c>
      <c r="BV77" s="1">
        <f t="shared" si="30"/>
        <v>0</v>
      </c>
      <c r="BW77">
        <f t="shared" si="31"/>
        <v>0</v>
      </c>
      <c r="BX77">
        <f t="shared" si="32"/>
        <v>0</v>
      </c>
    </row>
    <row r="78" spans="58:76" x14ac:dyDescent="0.2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39">
        <f t="shared" si="17"/>
        <v>0</v>
      </c>
      <c r="BI78" s="1">
        <f t="shared" si="17"/>
        <v>0</v>
      </c>
      <c r="BJ78" s="1">
        <f t="shared" si="18"/>
        <v>0</v>
      </c>
      <c r="BK78" s="1">
        <f t="shared" si="24"/>
        <v>0</v>
      </c>
      <c r="BL78" s="1">
        <f t="shared" si="19"/>
        <v>0</v>
      </c>
      <c r="BM78" s="10" t="str">
        <f t="shared" si="20"/>
        <v/>
      </c>
      <c r="BN78" s="39">
        <f t="shared" si="25"/>
        <v>0</v>
      </c>
      <c r="BO78" s="39">
        <f t="shared" si="26"/>
        <v>0</v>
      </c>
      <c r="BP78" s="1">
        <f t="shared" si="21"/>
        <v>0</v>
      </c>
      <c r="BQ78" s="1">
        <f t="shared" si="27"/>
        <v>0</v>
      </c>
      <c r="BR78" s="1" t="str">
        <f t="shared" si="22"/>
        <v/>
      </c>
      <c r="BS78" s="1">
        <f t="shared" si="23"/>
        <v>0</v>
      </c>
      <c r="BT78" s="4">
        <f t="shared" si="28"/>
        <v>0</v>
      </c>
      <c r="BU78" s="39">
        <f t="shared" si="29"/>
        <v>0</v>
      </c>
      <c r="BV78" s="1">
        <f t="shared" si="30"/>
        <v>0</v>
      </c>
      <c r="BW78">
        <f t="shared" si="31"/>
        <v>0</v>
      </c>
      <c r="BX78">
        <f t="shared" si="32"/>
        <v>0</v>
      </c>
    </row>
    <row r="79" spans="58:76" x14ac:dyDescent="0.2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39">
        <f t="shared" si="17"/>
        <v>0</v>
      </c>
      <c r="BI79" s="1">
        <f t="shared" si="17"/>
        <v>0</v>
      </c>
      <c r="BJ79" s="1">
        <f t="shared" si="18"/>
        <v>0</v>
      </c>
      <c r="BK79" s="1">
        <f t="shared" si="24"/>
        <v>0</v>
      </c>
      <c r="BL79" s="1">
        <f t="shared" si="19"/>
        <v>0</v>
      </c>
      <c r="BM79" s="10" t="str">
        <f t="shared" si="20"/>
        <v/>
      </c>
      <c r="BN79" s="39">
        <f t="shared" si="25"/>
        <v>0</v>
      </c>
      <c r="BO79" s="39">
        <f t="shared" si="26"/>
        <v>0</v>
      </c>
      <c r="BP79" s="1">
        <f t="shared" si="21"/>
        <v>0</v>
      </c>
      <c r="BQ79" s="1">
        <f t="shared" si="27"/>
        <v>0</v>
      </c>
      <c r="BR79" s="1" t="str">
        <f t="shared" si="22"/>
        <v/>
      </c>
      <c r="BS79" s="1">
        <f t="shared" si="23"/>
        <v>0</v>
      </c>
      <c r="BT79" s="4">
        <f t="shared" si="28"/>
        <v>0</v>
      </c>
      <c r="BU79" s="39">
        <f t="shared" si="29"/>
        <v>0</v>
      </c>
      <c r="BV79" s="1">
        <f t="shared" si="30"/>
        <v>0</v>
      </c>
      <c r="BW79">
        <f t="shared" si="31"/>
        <v>0</v>
      </c>
      <c r="BX79">
        <f t="shared" si="32"/>
        <v>0</v>
      </c>
    </row>
    <row r="80" spans="58:76" x14ac:dyDescent="0.2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39">
        <f t="shared" si="17"/>
        <v>0</v>
      </c>
      <c r="BI80" s="1">
        <f t="shared" si="17"/>
        <v>0</v>
      </c>
      <c r="BJ80" s="1">
        <f t="shared" si="18"/>
        <v>0</v>
      </c>
      <c r="BK80" s="1">
        <f t="shared" si="24"/>
        <v>0</v>
      </c>
      <c r="BL80" s="1">
        <f t="shared" si="19"/>
        <v>0</v>
      </c>
      <c r="BM80" s="10" t="str">
        <f t="shared" si="20"/>
        <v/>
      </c>
      <c r="BN80" s="39">
        <f t="shared" si="25"/>
        <v>0</v>
      </c>
      <c r="BO80" s="39">
        <f t="shared" si="26"/>
        <v>0</v>
      </c>
      <c r="BP80" s="1">
        <f t="shared" si="21"/>
        <v>0</v>
      </c>
      <c r="BQ80" s="1">
        <f t="shared" si="27"/>
        <v>0</v>
      </c>
      <c r="BR80" s="1" t="str">
        <f t="shared" si="22"/>
        <v/>
      </c>
      <c r="BS80" s="1">
        <f t="shared" si="23"/>
        <v>0</v>
      </c>
      <c r="BT80" s="4">
        <f t="shared" si="28"/>
        <v>0</v>
      </c>
      <c r="BU80" s="39">
        <f t="shared" si="29"/>
        <v>0</v>
      </c>
      <c r="BV80" s="1">
        <f t="shared" si="30"/>
        <v>0</v>
      </c>
      <c r="BW80">
        <f t="shared" si="31"/>
        <v>0</v>
      </c>
      <c r="BX80">
        <f t="shared" si="32"/>
        <v>0</v>
      </c>
    </row>
    <row r="81" spans="58:76" x14ac:dyDescent="0.2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39">
        <f t="shared" si="17"/>
        <v>0</v>
      </c>
      <c r="BI81" s="1">
        <f t="shared" si="17"/>
        <v>0</v>
      </c>
      <c r="BJ81" s="1">
        <f t="shared" si="18"/>
        <v>0</v>
      </c>
      <c r="BK81" s="1">
        <f t="shared" si="24"/>
        <v>0</v>
      </c>
      <c r="BL81" s="1">
        <f t="shared" si="19"/>
        <v>0</v>
      </c>
      <c r="BM81" s="10" t="str">
        <f t="shared" si="20"/>
        <v/>
      </c>
      <c r="BN81" s="39">
        <f t="shared" si="25"/>
        <v>0</v>
      </c>
      <c r="BO81" s="39">
        <f t="shared" si="26"/>
        <v>0</v>
      </c>
      <c r="BP81" s="1">
        <f t="shared" si="21"/>
        <v>0</v>
      </c>
      <c r="BQ81" s="1">
        <f t="shared" si="27"/>
        <v>0</v>
      </c>
      <c r="BR81" s="1" t="str">
        <f t="shared" si="22"/>
        <v/>
      </c>
      <c r="BS81" s="1">
        <f t="shared" si="23"/>
        <v>0</v>
      </c>
      <c r="BT81" s="4">
        <f t="shared" si="28"/>
        <v>0</v>
      </c>
      <c r="BU81" s="39">
        <f t="shared" si="29"/>
        <v>0</v>
      </c>
      <c r="BV81" s="1">
        <f t="shared" si="30"/>
        <v>0</v>
      </c>
      <c r="BW81">
        <f t="shared" si="31"/>
        <v>0</v>
      </c>
      <c r="BX81">
        <f t="shared" si="32"/>
        <v>0</v>
      </c>
    </row>
    <row r="82" spans="58:76" x14ac:dyDescent="0.2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39">
        <f t="shared" si="17"/>
        <v>0</v>
      </c>
      <c r="BI82" s="1">
        <f t="shared" si="17"/>
        <v>0</v>
      </c>
      <c r="BJ82" s="1">
        <f t="shared" si="18"/>
        <v>0</v>
      </c>
      <c r="BK82" s="1">
        <f t="shared" si="24"/>
        <v>0</v>
      </c>
      <c r="BL82" s="1">
        <f t="shared" si="19"/>
        <v>0</v>
      </c>
      <c r="BM82" s="10" t="str">
        <f t="shared" si="20"/>
        <v/>
      </c>
      <c r="BN82" s="39">
        <f t="shared" si="25"/>
        <v>0</v>
      </c>
      <c r="BO82" s="39">
        <f t="shared" si="26"/>
        <v>0</v>
      </c>
      <c r="BP82" s="1">
        <f t="shared" si="21"/>
        <v>0</v>
      </c>
      <c r="BQ82" s="1">
        <f t="shared" si="27"/>
        <v>0</v>
      </c>
      <c r="BR82" s="1" t="str">
        <f t="shared" si="22"/>
        <v/>
      </c>
      <c r="BS82" s="1">
        <f t="shared" si="23"/>
        <v>0</v>
      </c>
      <c r="BT82" s="4">
        <f t="shared" si="28"/>
        <v>0</v>
      </c>
      <c r="BU82" s="39">
        <f t="shared" si="29"/>
        <v>0</v>
      </c>
      <c r="BV82" s="1">
        <f t="shared" si="30"/>
        <v>0</v>
      </c>
      <c r="BW82">
        <f t="shared" si="31"/>
        <v>0</v>
      </c>
      <c r="BX82">
        <f t="shared" si="32"/>
        <v>0</v>
      </c>
    </row>
    <row r="83" spans="58:76" x14ac:dyDescent="0.2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39">
        <f t="shared" si="17"/>
        <v>0</v>
      </c>
      <c r="BI83" s="1">
        <f t="shared" si="17"/>
        <v>0</v>
      </c>
      <c r="BJ83" s="1">
        <f t="shared" si="18"/>
        <v>0</v>
      </c>
      <c r="BK83" s="1">
        <f t="shared" si="24"/>
        <v>0</v>
      </c>
      <c r="BL83" s="1">
        <f t="shared" si="19"/>
        <v>0</v>
      </c>
      <c r="BM83" s="10" t="str">
        <f t="shared" si="20"/>
        <v/>
      </c>
      <c r="BN83" s="39">
        <f t="shared" si="25"/>
        <v>0</v>
      </c>
      <c r="BO83" s="39">
        <f t="shared" si="26"/>
        <v>0</v>
      </c>
      <c r="BP83" s="1">
        <f t="shared" si="21"/>
        <v>0</v>
      </c>
      <c r="BQ83" s="1">
        <f t="shared" si="27"/>
        <v>0</v>
      </c>
      <c r="BR83" s="1" t="str">
        <f t="shared" si="22"/>
        <v/>
      </c>
      <c r="BS83" s="1">
        <f t="shared" si="23"/>
        <v>0</v>
      </c>
      <c r="BT83" s="4">
        <f t="shared" si="28"/>
        <v>0</v>
      </c>
      <c r="BU83" s="39">
        <f t="shared" si="29"/>
        <v>0</v>
      </c>
      <c r="BV83" s="1">
        <f t="shared" si="30"/>
        <v>0</v>
      </c>
      <c r="BW83">
        <f t="shared" si="31"/>
        <v>0</v>
      </c>
      <c r="BX83">
        <f t="shared" si="32"/>
        <v>0</v>
      </c>
    </row>
    <row r="84" spans="58:76" x14ac:dyDescent="0.2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39">
        <f t="shared" si="17"/>
        <v>0</v>
      </c>
      <c r="BI84" s="1">
        <f t="shared" si="17"/>
        <v>0</v>
      </c>
      <c r="BJ84" s="1">
        <f t="shared" si="18"/>
        <v>0</v>
      </c>
      <c r="BK84" s="1">
        <f t="shared" si="24"/>
        <v>0</v>
      </c>
      <c r="BL84" s="1">
        <f t="shared" si="19"/>
        <v>0</v>
      </c>
      <c r="BM84" s="10" t="str">
        <f t="shared" si="20"/>
        <v/>
      </c>
      <c r="BN84" s="39">
        <f t="shared" si="25"/>
        <v>0</v>
      </c>
      <c r="BO84" s="39">
        <f t="shared" si="26"/>
        <v>0</v>
      </c>
      <c r="BP84" s="1">
        <f t="shared" si="21"/>
        <v>0</v>
      </c>
      <c r="BQ84" s="1">
        <f t="shared" si="27"/>
        <v>0</v>
      </c>
      <c r="BR84" s="1" t="str">
        <f t="shared" si="22"/>
        <v/>
      </c>
      <c r="BS84" s="1">
        <f t="shared" si="23"/>
        <v>0</v>
      </c>
      <c r="BT84" s="4">
        <f t="shared" si="28"/>
        <v>0</v>
      </c>
      <c r="BU84" s="39">
        <f t="shared" si="29"/>
        <v>0</v>
      </c>
      <c r="BV84" s="1">
        <f t="shared" si="30"/>
        <v>0</v>
      </c>
      <c r="BW84">
        <f t="shared" si="31"/>
        <v>0</v>
      </c>
      <c r="BX84">
        <f t="shared" si="32"/>
        <v>0</v>
      </c>
    </row>
    <row r="85" spans="58:76" x14ac:dyDescent="0.2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39">
        <f t="shared" si="17"/>
        <v>0</v>
      </c>
      <c r="BI85" s="1">
        <f t="shared" si="17"/>
        <v>0</v>
      </c>
      <c r="BJ85" s="1">
        <f t="shared" si="18"/>
        <v>0</v>
      </c>
      <c r="BK85" s="1">
        <f t="shared" si="24"/>
        <v>0</v>
      </c>
      <c r="BL85" s="1">
        <f t="shared" si="19"/>
        <v>0</v>
      </c>
      <c r="BM85" s="10" t="str">
        <f t="shared" si="20"/>
        <v/>
      </c>
      <c r="BN85" s="39">
        <f t="shared" si="25"/>
        <v>0</v>
      </c>
      <c r="BO85" s="39">
        <f t="shared" si="26"/>
        <v>0</v>
      </c>
      <c r="BP85" s="1">
        <f t="shared" si="21"/>
        <v>0</v>
      </c>
      <c r="BQ85" s="1">
        <f t="shared" si="27"/>
        <v>0</v>
      </c>
      <c r="BR85" s="1" t="str">
        <f t="shared" si="22"/>
        <v/>
      </c>
      <c r="BS85" s="1">
        <f t="shared" si="23"/>
        <v>0</v>
      </c>
      <c r="BT85" s="4">
        <f t="shared" si="28"/>
        <v>0</v>
      </c>
      <c r="BU85" s="39">
        <f t="shared" si="29"/>
        <v>0</v>
      </c>
      <c r="BV85" s="1">
        <f t="shared" si="30"/>
        <v>0</v>
      </c>
      <c r="BW85">
        <f t="shared" si="31"/>
        <v>0</v>
      </c>
      <c r="BX85">
        <f t="shared" si="32"/>
        <v>0</v>
      </c>
    </row>
    <row r="86" spans="58:76" x14ac:dyDescent="0.2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39">
        <f t="shared" si="17"/>
        <v>0</v>
      </c>
      <c r="BI86" s="1">
        <f t="shared" si="17"/>
        <v>0</v>
      </c>
      <c r="BJ86" s="1">
        <f t="shared" si="18"/>
        <v>0</v>
      </c>
      <c r="BK86" s="1">
        <f t="shared" si="24"/>
        <v>0</v>
      </c>
      <c r="BL86" s="1">
        <f t="shared" si="19"/>
        <v>0</v>
      </c>
      <c r="BM86" s="10" t="str">
        <f t="shared" si="20"/>
        <v/>
      </c>
      <c r="BN86" s="39">
        <f t="shared" si="25"/>
        <v>0</v>
      </c>
      <c r="BO86" s="39">
        <f t="shared" si="26"/>
        <v>0</v>
      </c>
      <c r="BP86" s="1">
        <f t="shared" si="21"/>
        <v>0</v>
      </c>
      <c r="BQ86" s="1">
        <f t="shared" si="27"/>
        <v>0</v>
      </c>
      <c r="BR86" s="1" t="str">
        <f t="shared" si="22"/>
        <v/>
      </c>
      <c r="BS86" s="1">
        <f t="shared" si="23"/>
        <v>0</v>
      </c>
      <c r="BT86" s="4">
        <f t="shared" si="28"/>
        <v>0</v>
      </c>
      <c r="BU86" s="39">
        <f t="shared" si="29"/>
        <v>0</v>
      </c>
      <c r="BV86" s="1">
        <f t="shared" si="30"/>
        <v>0</v>
      </c>
      <c r="BW86">
        <f t="shared" si="31"/>
        <v>0</v>
      </c>
      <c r="BX86">
        <f t="shared" si="32"/>
        <v>0</v>
      </c>
    </row>
    <row r="87" spans="58:76" x14ac:dyDescent="0.2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39">
        <f t="shared" si="17"/>
        <v>0</v>
      </c>
      <c r="BI87" s="1">
        <f t="shared" si="17"/>
        <v>0</v>
      </c>
      <c r="BJ87" s="1">
        <f t="shared" si="18"/>
        <v>0</v>
      </c>
      <c r="BK87" s="1">
        <f t="shared" si="24"/>
        <v>0</v>
      </c>
      <c r="BL87" s="1">
        <f t="shared" si="19"/>
        <v>0</v>
      </c>
      <c r="BM87" s="10" t="str">
        <f t="shared" si="20"/>
        <v/>
      </c>
      <c r="BN87" s="39">
        <f t="shared" si="25"/>
        <v>0</v>
      </c>
      <c r="BO87" s="39">
        <f t="shared" si="26"/>
        <v>0</v>
      </c>
      <c r="BP87" s="1">
        <f t="shared" si="21"/>
        <v>0</v>
      </c>
      <c r="BQ87" s="1">
        <f t="shared" si="27"/>
        <v>0</v>
      </c>
      <c r="BR87" s="1" t="str">
        <f t="shared" si="22"/>
        <v/>
      </c>
      <c r="BS87" s="1">
        <f t="shared" si="23"/>
        <v>0</v>
      </c>
      <c r="BT87" s="4">
        <f t="shared" si="28"/>
        <v>0</v>
      </c>
      <c r="BU87" s="39">
        <f t="shared" si="29"/>
        <v>0</v>
      </c>
      <c r="BV87" s="1">
        <f t="shared" si="30"/>
        <v>0</v>
      </c>
      <c r="BW87">
        <f t="shared" si="31"/>
        <v>0</v>
      </c>
      <c r="BX87">
        <f t="shared" si="32"/>
        <v>0</v>
      </c>
    </row>
    <row r="88" spans="58:76" x14ac:dyDescent="0.2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39">
        <f t="shared" si="17"/>
        <v>0</v>
      </c>
      <c r="BI88" s="1">
        <f t="shared" si="17"/>
        <v>0</v>
      </c>
      <c r="BJ88" s="1">
        <f t="shared" si="18"/>
        <v>0</v>
      </c>
      <c r="BK88" s="1">
        <f t="shared" si="24"/>
        <v>0</v>
      </c>
      <c r="BL88" s="1">
        <f t="shared" si="19"/>
        <v>0</v>
      </c>
      <c r="BM88" s="10" t="str">
        <f t="shared" si="20"/>
        <v/>
      </c>
      <c r="BN88" s="39">
        <f t="shared" si="25"/>
        <v>0</v>
      </c>
      <c r="BO88" s="39">
        <f t="shared" si="26"/>
        <v>0</v>
      </c>
      <c r="BP88" s="1">
        <f t="shared" si="21"/>
        <v>0</v>
      </c>
      <c r="BQ88" s="1">
        <f t="shared" si="27"/>
        <v>0</v>
      </c>
      <c r="BR88" s="1" t="str">
        <f t="shared" si="22"/>
        <v/>
      </c>
      <c r="BS88" s="1">
        <f t="shared" si="23"/>
        <v>0</v>
      </c>
      <c r="BT88" s="4">
        <f t="shared" si="28"/>
        <v>0</v>
      </c>
      <c r="BU88" s="39">
        <f t="shared" si="29"/>
        <v>0</v>
      </c>
      <c r="BV88" s="1">
        <f t="shared" si="30"/>
        <v>0</v>
      </c>
      <c r="BW88">
        <f t="shared" si="31"/>
        <v>0</v>
      </c>
      <c r="BX88">
        <f t="shared" si="32"/>
        <v>0</v>
      </c>
    </row>
    <row r="89" spans="58:76" x14ac:dyDescent="0.2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39">
        <f t="shared" si="17"/>
        <v>0</v>
      </c>
      <c r="BI89" s="1">
        <f t="shared" si="17"/>
        <v>0</v>
      </c>
      <c r="BJ89" s="1">
        <f t="shared" si="18"/>
        <v>0</v>
      </c>
      <c r="BK89" s="1">
        <f t="shared" si="24"/>
        <v>0</v>
      </c>
      <c r="BL89" s="1">
        <f t="shared" si="19"/>
        <v>0</v>
      </c>
      <c r="BM89" s="10" t="str">
        <f t="shared" si="20"/>
        <v/>
      </c>
      <c r="BN89" s="39">
        <f t="shared" si="25"/>
        <v>0</v>
      </c>
      <c r="BO89" s="39">
        <f t="shared" si="26"/>
        <v>0</v>
      </c>
      <c r="BP89" s="1">
        <f t="shared" si="21"/>
        <v>0</v>
      </c>
      <c r="BQ89" s="1">
        <f t="shared" si="27"/>
        <v>0</v>
      </c>
      <c r="BR89" s="1" t="str">
        <f t="shared" si="22"/>
        <v/>
      </c>
      <c r="BS89" s="1">
        <f t="shared" si="23"/>
        <v>0</v>
      </c>
      <c r="BT89" s="4">
        <f t="shared" si="28"/>
        <v>0</v>
      </c>
      <c r="BU89" s="39">
        <f t="shared" si="29"/>
        <v>0</v>
      </c>
      <c r="BV89" s="1">
        <f t="shared" si="30"/>
        <v>0</v>
      </c>
      <c r="BW89">
        <f t="shared" si="31"/>
        <v>0</v>
      </c>
      <c r="BX89">
        <f t="shared" si="32"/>
        <v>0</v>
      </c>
    </row>
    <row r="90" spans="58:76" x14ac:dyDescent="0.2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39">
        <f t="shared" si="17"/>
        <v>0</v>
      </c>
      <c r="BI90" s="1">
        <f t="shared" si="17"/>
        <v>0</v>
      </c>
      <c r="BJ90" s="1">
        <f t="shared" si="18"/>
        <v>0</v>
      </c>
      <c r="BK90" s="1">
        <f t="shared" si="24"/>
        <v>0</v>
      </c>
      <c r="BL90" s="1">
        <f t="shared" si="19"/>
        <v>0</v>
      </c>
      <c r="BM90" s="10" t="str">
        <f t="shared" si="20"/>
        <v/>
      </c>
      <c r="BN90" s="39">
        <f t="shared" si="25"/>
        <v>0</v>
      </c>
      <c r="BO90" s="39">
        <f t="shared" si="26"/>
        <v>0</v>
      </c>
      <c r="BP90" s="1">
        <f t="shared" si="21"/>
        <v>0</v>
      </c>
      <c r="BQ90" s="1">
        <f t="shared" si="27"/>
        <v>0</v>
      </c>
      <c r="BR90" s="1" t="str">
        <f t="shared" si="22"/>
        <v/>
      </c>
      <c r="BS90" s="1">
        <f t="shared" si="23"/>
        <v>0</v>
      </c>
      <c r="BT90" s="4">
        <f t="shared" si="28"/>
        <v>0</v>
      </c>
      <c r="BU90" s="39">
        <f t="shared" si="29"/>
        <v>0</v>
      </c>
      <c r="BV90" s="1">
        <f t="shared" si="30"/>
        <v>0</v>
      </c>
      <c r="BW90">
        <f t="shared" si="31"/>
        <v>0</v>
      </c>
      <c r="BX90">
        <f t="shared" si="32"/>
        <v>0</v>
      </c>
    </row>
    <row r="91" spans="58:76" x14ac:dyDescent="0.2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39">
        <f t="shared" si="17"/>
        <v>0</v>
      </c>
      <c r="BI91" s="1">
        <f t="shared" si="17"/>
        <v>0</v>
      </c>
      <c r="BJ91" s="1">
        <f t="shared" si="18"/>
        <v>0</v>
      </c>
      <c r="BK91" s="1">
        <f t="shared" si="24"/>
        <v>0</v>
      </c>
      <c r="BL91" s="1">
        <f t="shared" si="19"/>
        <v>0</v>
      </c>
      <c r="BM91" s="10" t="str">
        <f t="shared" si="20"/>
        <v/>
      </c>
      <c r="BN91" s="39">
        <f t="shared" si="25"/>
        <v>0</v>
      </c>
      <c r="BO91" s="39">
        <f t="shared" si="26"/>
        <v>0</v>
      </c>
      <c r="BP91" s="1">
        <f t="shared" si="21"/>
        <v>0</v>
      </c>
      <c r="BQ91" s="1">
        <f t="shared" si="27"/>
        <v>0</v>
      </c>
      <c r="BR91" s="1" t="str">
        <f t="shared" si="22"/>
        <v/>
      </c>
      <c r="BS91" s="1">
        <f t="shared" si="23"/>
        <v>0</v>
      </c>
      <c r="BT91" s="4">
        <f t="shared" si="28"/>
        <v>0</v>
      </c>
      <c r="BU91" s="39">
        <f t="shared" si="29"/>
        <v>0</v>
      </c>
      <c r="BV91" s="1">
        <f t="shared" si="30"/>
        <v>0</v>
      </c>
      <c r="BW91">
        <f t="shared" si="31"/>
        <v>0</v>
      </c>
      <c r="BX91">
        <f t="shared" si="32"/>
        <v>0</v>
      </c>
    </row>
    <row r="92" spans="58:76" x14ac:dyDescent="0.2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39">
        <f t="shared" si="17"/>
        <v>0</v>
      </c>
      <c r="BI92" s="1">
        <f t="shared" si="17"/>
        <v>0</v>
      </c>
      <c r="BJ92" s="1">
        <f t="shared" si="18"/>
        <v>0</v>
      </c>
      <c r="BK92" s="1">
        <f t="shared" si="24"/>
        <v>0</v>
      </c>
      <c r="BL92" s="1">
        <f t="shared" si="19"/>
        <v>0</v>
      </c>
      <c r="BM92" s="10" t="str">
        <f t="shared" si="20"/>
        <v/>
      </c>
      <c r="BN92" s="39">
        <f t="shared" si="25"/>
        <v>0</v>
      </c>
      <c r="BO92" s="39">
        <f t="shared" si="26"/>
        <v>0</v>
      </c>
      <c r="BP92" s="1">
        <f t="shared" si="21"/>
        <v>0</v>
      </c>
      <c r="BQ92" s="1">
        <f t="shared" si="27"/>
        <v>0</v>
      </c>
      <c r="BR92" s="1" t="str">
        <f t="shared" si="22"/>
        <v/>
      </c>
      <c r="BS92" s="1">
        <f t="shared" si="23"/>
        <v>0</v>
      </c>
      <c r="BT92" s="4">
        <f t="shared" si="28"/>
        <v>0</v>
      </c>
      <c r="BU92" s="39">
        <f t="shared" si="29"/>
        <v>0</v>
      </c>
      <c r="BV92" s="1">
        <f t="shared" si="30"/>
        <v>0</v>
      </c>
      <c r="BW92">
        <f t="shared" si="31"/>
        <v>0</v>
      </c>
      <c r="BX92">
        <f t="shared" si="32"/>
        <v>0</v>
      </c>
    </row>
    <row r="93" spans="58:76" x14ac:dyDescent="0.2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39">
        <f t="shared" si="17"/>
        <v>0</v>
      </c>
      <c r="BI93" s="1">
        <f t="shared" si="17"/>
        <v>0</v>
      </c>
      <c r="BJ93" s="1">
        <f t="shared" si="18"/>
        <v>0</v>
      </c>
      <c r="BK93" s="1">
        <f t="shared" si="24"/>
        <v>0</v>
      </c>
      <c r="BL93" s="1">
        <f t="shared" si="19"/>
        <v>0</v>
      </c>
      <c r="BM93" s="10" t="str">
        <f t="shared" si="20"/>
        <v/>
      </c>
      <c r="BN93" s="39">
        <f t="shared" si="25"/>
        <v>0</v>
      </c>
      <c r="BO93" s="39">
        <f t="shared" si="26"/>
        <v>0</v>
      </c>
      <c r="BP93" s="1">
        <f t="shared" si="21"/>
        <v>0</v>
      </c>
      <c r="BQ93" s="1">
        <f t="shared" si="27"/>
        <v>0</v>
      </c>
      <c r="BR93" s="1" t="str">
        <f t="shared" si="22"/>
        <v/>
      </c>
      <c r="BS93" s="1">
        <f t="shared" si="23"/>
        <v>0</v>
      </c>
      <c r="BT93" s="4">
        <f t="shared" si="28"/>
        <v>0</v>
      </c>
      <c r="BU93" s="39">
        <f t="shared" si="29"/>
        <v>0</v>
      </c>
      <c r="BV93" s="1">
        <f t="shared" si="30"/>
        <v>0</v>
      </c>
      <c r="BW93">
        <f t="shared" si="31"/>
        <v>0</v>
      </c>
      <c r="BX93">
        <f t="shared" si="32"/>
        <v>0</v>
      </c>
    </row>
    <row r="94" spans="58:76" x14ac:dyDescent="0.2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39">
        <f t="shared" si="17"/>
        <v>0</v>
      </c>
      <c r="BI94" s="1">
        <f t="shared" si="17"/>
        <v>0</v>
      </c>
      <c r="BJ94" s="1">
        <f t="shared" si="18"/>
        <v>0</v>
      </c>
      <c r="BK94" s="1">
        <f t="shared" si="24"/>
        <v>0</v>
      </c>
      <c r="BL94" s="1">
        <f t="shared" si="19"/>
        <v>0</v>
      </c>
      <c r="BM94" s="10" t="str">
        <f t="shared" si="20"/>
        <v/>
      </c>
      <c r="BN94" s="39">
        <f t="shared" si="25"/>
        <v>0</v>
      </c>
      <c r="BO94" s="39">
        <f t="shared" si="26"/>
        <v>0</v>
      </c>
      <c r="BP94" s="1">
        <f t="shared" si="21"/>
        <v>0</v>
      </c>
      <c r="BQ94" s="1">
        <f t="shared" si="27"/>
        <v>0</v>
      </c>
      <c r="BR94" s="1" t="str">
        <f t="shared" si="22"/>
        <v/>
      </c>
      <c r="BS94" s="1">
        <f t="shared" si="23"/>
        <v>0</v>
      </c>
      <c r="BT94" s="4">
        <f t="shared" si="28"/>
        <v>0</v>
      </c>
      <c r="BU94" s="39">
        <f t="shared" si="29"/>
        <v>0</v>
      </c>
      <c r="BV94" s="1">
        <f t="shared" si="30"/>
        <v>0</v>
      </c>
      <c r="BW94">
        <f t="shared" si="31"/>
        <v>0</v>
      </c>
      <c r="BX94">
        <f t="shared" si="32"/>
        <v>0</v>
      </c>
    </row>
    <row r="95" spans="58:76" x14ac:dyDescent="0.2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39">
        <f t="shared" si="17"/>
        <v>0</v>
      </c>
      <c r="BI95" s="1">
        <f t="shared" si="17"/>
        <v>0</v>
      </c>
      <c r="BJ95" s="1">
        <f t="shared" si="18"/>
        <v>0</v>
      </c>
      <c r="BK95" s="1">
        <f t="shared" si="24"/>
        <v>0</v>
      </c>
      <c r="BL95" s="1">
        <f t="shared" si="19"/>
        <v>0</v>
      </c>
      <c r="BM95" s="10" t="str">
        <f t="shared" si="20"/>
        <v/>
      </c>
      <c r="BN95" s="39">
        <f t="shared" si="25"/>
        <v>0</v>
      </c>
      <c r="BO95" s="39">
        <f t="shared" si="26"/>
        <v>0</v>
      </c>
      <c r="BP95" s="1">
        <f t="shared" si="21"/>
        <v>0</v>
      </c>
      <c r="BQ95" s="1">
        <f t="shared" si="27"/>
        <v>0</v>
      </c>
      <c r="BR95" s="1" t="str">
        <f t="shared" si="22"/>
        <v/>
      </c>
      <c r="BS95" s="1">
        <f t="shared" si="23"/>
        <v>0</v>
      </c>
      <c r="BT95" s="4">
        <f t="shared" si="28"/>
        <v>0</v>
      </c>
      <c r="BU95" s="39">
        <f t="shared" si="29"/>
        <v>0</v>
      </c>
      <c r="BV95" s="1">
        <f t="shared" si="30"/>
        <v>0</v>
      </c>
      <c r="BW95">
        <f t="shared" si="31"/>
        <v>0</v>
      </c>
      <c r="BX95">
        <f t="shared" si="32"/>
        <v>0</v>
      </c>
    </row>
    <row r="96" spans="58:76" x14ac:dyDescent="0.2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39">
        <f t="shared" si="17"/>
        <v>0</v>
      </c>
      <c r="BI96" s="1">
        <f t="shared" si="17"/>
        <v>0</v>
      </c>
      <c r="BJ96" s="1">
        <f t="shared" si="18"/>
        <v>0</v>
      </c>
      <c r="BK96" s="1">
        <f t="shared" si="24"/>
        <v>0</v>
      </c>
      <c r="BL96" s="1">
        <f t="shared" si="19"/>
        <v>0</v>
      </c>
      <c r="BM96" s="10" t="str">
        <f t="shared" si="20"/>
        <v/>
      </c>
      <c r="BN96" s="39">
        <f t="shared" si="25"/>
        <v>0</v>
      </c>
      <c r="BO96" s="39">
        <f t="shared" si="26"/>
        <v>0</v>
      </c>
      <c r="BP96" s="1">
        <f t="shared" si="21"/>
        <v>0</v>
      </c>
      <c r="BQ96" s="1">
        <f t="shared" si="27"/>
        <v>0</v>
      </c>
      <c r="BR96" s="1" t="str">
        <f t="shared" si="22"/>
        <v/>
      </c>
      <c r="BS96" s="1">
        <f t="shared" si="23"/>
        <v>0</v>
      </c>
      <c r="BT96" s="4">
        <f t="shared" si="28"/>
        <v>0</v>
      </c>
      <c r="BU96" s="39">
        <f t="shared" si="29"/>
        <v>0</v>
      </c>
      <c r="BV96" s="1">
        <f t="shared" si="30"/>
        <v>0</v>
      </c>
      <c r="BW96">
        <f t="shared" si="31"/>
        <v>0</v>
      </c>
      <c r="BX96">
        <f t="shared" si="32"/>
        <v>0</v>
      </c>
    </row>
    <row r="97" spans="58:76" x14ac:dyDescent="0.2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39">
        <f t="shared" si="17"/>
        <v>0</v>
      </c>
      <c r="BI97" s="1">
        <f t="shared" si="17"/>
        <v>0</v>
      </c>
      <c r="BJ97" s="1">
        <f t="shared" si="18"/>
        <v>0</v>
      </c>
      <c r="BK97" s="1">
        <f t="shared" si="24"/>
        <v>0</v>
      </c>
      <c r="BL97" s="1">
        <f t="shared" si="19"/>
        <v>0</v>
      </c>
      <c r="BM97" s="10" t="str">
        <f t="shared" si="20"/>
        <v/>
      </c>
      <c r="BN97" s="39">
        <f t="shared" si="25"/>
        <v>0</v>
      </c>
      <c r="BO97" s="39">
        <f t="shared" si="26"/>
        <v>0</v>
      </c>
      <c r="BP97" s="1">
        <f t="shared" si="21"/>
        <v>0</v>
      </c>
      <c r="BQ97" s="1">
        <f t="shared" si="27"/>
        <v>0</v>
      </c>
      <c r="BR97" s="1" t="str">
        <f t="shared" si="22"/>
        <v/>
      </c>
      <c r="BS97" s="1">
        <f t="shared" si="23"/>
        <v>0</v>
      </c>
      <c r="BT97" s="4">
        <f t="shared" si="28"/>
        <v>0</v>
      </c>
      <c r="BU97" s="39">
        <f t="shared" si="29"/>
        <v>0</v>
      </c>
      <c r="BV97" s="1">
        <f t="shared" si="30"/>
        <v>0</v>
      </c>
      <c r="BW97">
        <f t="shared" si="31"/>
        <v>0</v>
      </c>
      <c r="BX97">
        <f t="shared" si="32"/>
        <v>0</v>
      </c>
    </row>
    <row r="98" spans="58:76" x14ac:dyDescent="0.2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39">
        <f t="shared" ref="BH98:BI129" si="33">VALUE(T98)</f>
        <v>0</v>
      </c>
      <c r="BI98" s="1">
        <f t="shared" si="33"/>
        <v>0</v>
      </c>
      <c r="BJ98" s="1">
        <f t="shared" si="18"/>
        <v>0</v>
      </c>
      <c r="BK98" s="1">
        <f t="shared" si="24"/>
        <v>0</v>
      </c>
      <c r="BL98" s="1">
        <f t="shared" si="19"/>
        <v>0</v>
      </c>
      <c r="BM98" s="10" t="str">
        <f t="shared" si="20"/>
        <v/>
      </c>
      <c r="BN98" s="39">
        <f t="shared" si="25"/>
        <v>0</v>
      </c>
      <c r="BO98" s="39">
        <f t="shared" si="26"/>
        <v>0</v>
      </c>
      <c r="BP98" s="1">
        <f t="shared" si="21"/>
        <v>0</v>
      </c>
      <c r="BQ98" s="1">
        <f t="shared" si="27"/>
        <v>0</v>
      </c>
      <c r="BR98" s="1" t="str">
        <f t="shared" si="22"/>
        <v/>
      </c>
      <c r="BS98" s="1">
        <f t="shared" si="23"/>
        <v>0</v>
      </c>
      <c r="BT98" s="4">
        <f t="shared" si="28"/>
        <v>0</v>
      </c>
      <c r="BU98" s="39">
        <f t="shared" si="29"/>
        <v>0</v>
      </c>
      <c r="BV98" s="1">
        <f t="shared" si="30"/>
        <v>0</v>
      </c>
      <c r="BW98">
        <f t="shared" si="31"/>
        <v>0</v>
      </c>
      <c r="BX98">
        <f t="shared" si="32"/>
        <v>0</v>
      </c>
    </row>
    <row r="99" spans="58:76" x14ac:dyDescent="0.2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39">
        <f t="shared" si="33"/>
        <v>0</v>
      </c>
      <c r="BI99" s="1">
        <f t="shared" si="33"/>
        <v>0</v>
      </c>
      <c r="BJ99" s="1">
        <f t="shared" si="18"/>
        <v>0</v>
      </c>
      <c r="BK99" s="1">
        <f t="shared" si="24"/>
        <v>0</v>
      </c>
      <c r="BL99" s="1">
        <f t="shared" si="19"/>
        <v>0</v>
      </c>
      <c r="BM99" s="10" t="str">
        <f t="shared" si="20"/>
        <v/>
      </c>
      <c r="BN99" s="39">
        <f t="shared" si="25"/>
        <v>0</v>
      </c>
      <c r="BO99" s="39">
        <f t="shared" si="26"/>
        <v>0</v>
      </c>
      <c r="BP99" s="1">
        <f t="shared" si="21"/>
        <v>0</v>
      </c>
      <c r="BQ99" s="1">
        <f t="shared" si="27"/>
        <v>0</v>
      </c>
      <c r="BR99" s="1" t="str">
        <f t="shared" si="22"/>
        <v/>
      </c>
      <c r="BS99" s="1">
        <f t="shared" si="23"/>
        <v>0</v>
      </c>
      <c r="BT99" s="4">
        <f t="shared" si="28"/>
        <v>0</v>
      </c>
      <c r="BU99" s="39">
        <f t="shared" si="29"/>
        <v>0</v>
      </c>
      <c r="BV99" s="1">
        <f t="shared" si="30"/>
        <v>0</v>
      </c>
      <c r="BW99">
        <f t="shared" si="31"/>
        <v>0</v>
      </c>
      <c r="BX99">
        <f t="shared" si="32"/>
        <v>0</v>
      </c>
    </row>
    <row r="100" spans="58:76" x14ac:dyDescent="0.2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39">
        <f t="shared" si="33"/>
        <v>0</v>
      </c>
      <c r="BI100" s="1">
        <f t="shared" si="33"/>
        <v>0</v>
      </c>
      <c r="BJ100" s="1">
        <f t="shared" si="18"/>
        <v>0</v>
      </c>
      <c r="BK100" s="1">
        <f t="shared" si="24"/>
        <v>0</v>
      </c>
      <c r="BL100" s="1">
        <f t="shared" si="19"/>
        <v>0</v>
      </c>
      <c r="BM100" s="10" t="str">
        <f t="shared" si="20"/>
        <v/>
      </c>
      <c r="BN100" s="39">
        <f t="shared" si="25"/>
        <v>0</v>
      </c>
      <c r="BO100" s="39">
        <f t="shared" si="26"/>
        <v>0</v>
      </c>
      <c r="BP100" s="1">
        <f t="shared" si="21"/>
        <v>0</v>
      </c>
      <c r="BQ100" s="1">
        <f t="shared" si="27"/>
        <v>0</v>
      </c>
      <c r="BR100" s="1" t="str">
        <f t="shared" si="22"/>
        <v/>
      </c>
      <c r="BS100" s="1">
        <f t="shared" si="23"/>
        <v>0</v>
      </c>
      <c r="BT100" s="4">
        <f t="shared" si="28"/>
        <v>0</v>
      </c>
      <c r="BU100" s="39">
        <f t="shared" si="29"/>
        <v>0</v>
      </c>
      <c r="BV100" s="1">
        <f t="shared" si="30"/>
        <v>0</v>
      </c>
      <c r="BW100">
        <f t="shared" si="31"/>
        <v>0</v>
      </c>
      <c r="BX100">
        <f t="shared" si="32"/>
        <v>0</v>
      </c>
    </row>
    <row r="101" spans="58:76" x14ac:dyDescent="0.2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39">
        <f t="shared" si="33"/>
        <v>0</v>
      </c>
      <c r="BI101" s="1">
        <f t="shared" si="33"/>
        <v>0</v>
      </c>
      <c r="BJ101" s="1">
        <f t="shared" si="18"/>
        <v>0</v>
      </c>
      <c r="BK101" s="1">
        <f t="shared" si="24"/>
        <v>0</v>
      </c>
      <c r="BL101" s="1">
        <f t="shared" si="19"/>
        <v>0</v>
      </c>
      <c r="BM101" s="10" t="str">
        <f t="shared" si="20"/>
        <v/>
      </c>
      <c r="BN101" s="39">
        <f t="shared" si="25"/>
        <v>0</v>
      </c>
      <c r="BO101" s="39">
        <f t="shared" si="26"/>
        <v>0</v>
      </c>
      <c r="BP101" s="1">
        <f t="shared" si="21"/>
        <v>0</v>
      </c>
      <c r="BQ101" s="1">
        <f t="shared" si="27"/>
        <v>0</v>
      </c>
      <c r="BR101" s="1" t="str">
        <f t="shared" si="22"/>
        <v/>
      </c>
      <c r="BS101" s="1">
        <f t="shared" si="23"/>
        <v>0</v>
      </c>
      <c r="BT101" s="4">
        <f t="shared" si="28"/>
        <v>0</v>
      </c>
      <c r="BU101" s="39">
        <f t="shared" si="29"/>
        <v>0</v>
      </c>
      <c r="BV101" s="1">
        <f t="shared" si="30"/>
        <v>0</v>
      </c>
      <c r="BW101">
        <f t="shared" si="31"/>
        <v>0</v>
      </c>
      <c r="BX101">
        <f t="shared" si="32"/>
        <v>0</v>
      </c>
    </row>
    <row r="102" spans="58:76" x14ac:dyDescent="0.2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39">
        <f t="shared" si="33"/>
        <v>0</v>
      </c>
      <c r="BI102" s="1">
        <f t="shared" si="33"/>
        <v>0</v>
      </c>
      <c r="BJ102" s="1">
        <f t="shared" si="18"/>
        <v>0</v>
      </c>
      <c r="BK102" s="1">
        <f t="shared" si="24"/>
        <v>0</v>
      </c>
      <c r="BL102" s="1">
        <f t="shared" si="19"/>
        <v>0</v>
      </c>
      <c r="BM102" s="10" t="str">
        <f t="shared" si="20"/>
        <v/>
      </c>
      <c r="BN102" s="39">
        <f t="shared" si="25"/>
        <v>0</v>
      </c>
      <c r="BO102" s="39">
        <f t="shared" si="26"/>
        <v>0</v>
      </c>
      <c r="BP102" s="1">
        <f t="shared" si="21"/>
        <v>0</v>
      </c>
      <c r="BQ102" s="1">
        <f t="shared" si="27"/>
        <v>0</v>
      </c>
      <c r="BR102" s="1" t="str">
        <f t="shared" si="22"/>
        <v/>
      </c>
      <c r="BS102" s="1">
        <f t="shared" si="23"/>
        <v>0</v>
      </c>
      <c r="BT102" s="4">
        <f t="shared" si="28"/>
        <v>0</v>
      </c>
      <c r="BU102" s="39">
        <f t="shared" si="29"/>
        <v>0</v>
      </c>
      <c r="BV102" s="1">
        <f t="shared" si="30"/>
        <v>0</v>
      </c>
      <c r="BW102">
        <f t="shared" si="31"/>
        <v>0</v>
      </c>
      <c r="BX102">
        <f t="shared" si="32"/>
        <v>0</v>
      </c>
    </row>
    <row r="103" spans="58:76" x14ac:dyDescent="0.2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39">
        <f t="shared" si="33"/>
        <v>0</v>
      </c>
      <c r="BI103" s="1">
        <f t="shared" si="33"/>
        <v>0</v>
      </c>
      <c r="BJ103" s="1">
        <f t="shared" si="18"/>
        <v>0</v>
      </c>
      <c r="BK103" s="1">
        <f t="shared" si="24"/>
        <v>0</v>
      </c>
      <c r="BL103" s="1">
        <f t="shared" si="19"/>
        <v>0</v>
      </c>
      <c r="BM103" s="10" t="str">
        <f t="shared" si="20"/>
        <v/>
      </c>
      <c r="BN103" s="39">
        <f t="shared" si="25"/>
        <v>0</v>
      </c>
      <c r="BO103" s="39">
        <f t="shared" si="26"/>
        <v>0</v>
      </c>
      <c r="BP103" s="1">
        <f t="shared" si="21"/>
        <v>0</v>
      </c>
      <c r="BQ103" s="1">
        <f t="shared" si="27"/>
        <v>0</v>
      </c>
      <c r="BR103" s="1" t="str">
        <f t="shared" si="22"/>
        <v/>
      </c>
      <c r="BS103" s="1">
        <f t="shared" si="23"/>
        <v>0</v>
      </c>
      <c r="BT103" s="4">
        <f t="shared" si="28"/>
        <v>0</v>
      </c>
      <c r="BU103" s="39">
        <f t="shared" si="29"/>
        <v>0</v>
      </c>
      <c r="BV103" s="1">
        <f t="shared" si="30"/>
        <v>0</v>
      </c>
      <c r="BW103">
        <f t="shared" si="31"/>
        <v>0</v>
      </c>
      <c r="BX103">
        <f t="shared" si="32"/>
        <v>0</v>
      </c>
    </row>
    <row r="104" spans="58:76" x14ac:dyDescent="0.2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39">
        <f t="shared" si="33"/>
        <v>0</v>
      </c>
      <c r="BI104" s="1">
        <f t="shared" si="33"/>
        <v>0</v>
      </c>
      <c r="BJ104" s="1">
        <f t="shared" si="18"/>
        <v>0</v>
      </c>
      <c r="BK104" s="1">
        <f t="shared" si="24"/>
        <v>0</v>
      </c>
      <c r="BL104" s="1">
        <f t="shared" si="19"/>
        <v>0</v>
      </c>
      <c r="BM104" s="10" t="str">
        <f t="shared" si="20"/>
        <v/>
      </c>
      <c r="BN104" s="39">
        <f t="shared" si="25"/>
        <v>0</v>
      </c>
      <c r="BO104" s="39">
        <f t="shared" si="26"/>
        <v>0</v>
      </c>
      <c r="BP104" s="1">
        <f t="shared" si="21"/>
        <v>0</v>
      </c>
      <c r="BQ104" s="1">
        <f t="shared" si="27"/>
        <v>0</v>
      </c>
      <c r="BR104" s="1" t="str">
        <f t="shared" si="22"/>
        <v/>
      </c>
      <c r="BS104" s="1">
        <f t="shared" si="23"/>
        <v>0</v>
      </c>
      <c r="BT104" s="4">
        <f t="shared" si="28"/>
        <v>0</v>
      </c>
      <c r="BU104" s="39">
        <f t="shared" si="29"/>
        <v>0</v>
      </c>
      <c r="BV104" s="1">
        <f t="shared" si="30"/>
        <v>0</v>
      </c>
      <c r="BW104">
        <f t="shared" si="31"/>
        <v>0</v>
      </c>
      <c r="BX104">
        <f t="shared" si="32"/>
        <v>0</v>
      </c>
    </row>
    <row r="105" spans="58:76" x14ac:dyDescent="0.2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39">
        <f t="shared" si="33"/>
        <v>0</v>
      </c>
      <c r="BI105" s="1">
        <f t="shared" si="33"/>
        <v>0</v>
      </c>
      <c r="BJ105" s="1">
        <f t="shared" si="18"/>
        <v>0</v>
      </c>
      <c r="BK105" s="1">
        <f t="shared" si="24"/>
        <v>0</v>
      </c>
      <c r="BL105" s="1">
        <f t="shared" si="19"/>
        <v>0</v>
      </c>
      <c r="BM105" s="10" t="str">
        <f t="shared" si="20"/>
        <v/>
      </c>
      <c r="BN105" s="39">
        <f t="shared" si="25"/>
        <v>0</v>
      </c>
      <c r="BO105" s="39">
        <f t="shared" si="26"/>
        <v>0</v>
      </c>
      <c r="BP105" s="1">
        <f t="shared" si="21"/>
        <v>0</v>
      </c>
      <c r="BQ105" s="1">
        <f t="shared" si="27"/>
        <v>0</v>
      </c>
      <c r="BR105" s="1" t="str">
        <f t="shared" si="22"/>
        <v/>
      </c>
      <c r="BS105" s="1">
        <f t="shared" si="23"/>
        <v>0</v>
      </c>
      <c r="BT105" s="4">
        <f t="shared" si="28"/>
        <v>0</v>
      </c>
      <c r="BU105" s="39">
        <f t="shared" si="29"/>
        <v>0</v>
      </c>
      <c r="BV105" s="1">
        <f t="shared" si="30"/>
        <v>0</v>
      </c>
      <c r="BW105">
        <f t="shared" si="31"/>
        <v>0</v>
      </c>
      <c r="BX105">
        <f t="shared" si="32"/>
        <v>0</v>
      </c>
    </row>
    <row r="106" spans="58:76" x14ac:dyDescent="0.2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39">
        <f t="shared" si="33"/>
        <v>0</v>
      </c>
      <c r="BI106" s="1">
        <f t="shared" si="33"/>
        <v>0</v>
      </c>
      <c r="BJ106" s="1">
        <f t="shared" si="18"/>
        <v>0</v>
      </c>
      <c r="BK106" s="1">
        <f t="shared" si="24"/>
        <v>0</v>
      </c>
      <c r="BL106" s="1">
        <f t="shared" si="19"/>
        <v>0</v>
      </c>
      <c r="BM106" s="10" t="str">
        <f t="shared" si="20"/>
        <v/>
      </c>
      <c r="BN106" s="39">
        <f t="shared" si="25"/>
        <v>0</v>
      </c>
      <c r="BO106" s="39">
        <f t="shared" si="26"/>
        <v>0</v>
      </c>
      <c r="BP106" s="1">
        <f t="shared" si="21"/>
        <v>0</v>
      </c>
      <c r="BQ106" s="1">
        <f t="shared" si="27"/>
        <v>0</v>
      </c>
      <c r="BR106" s="1" t="str">
        <f t="shared" si="22"/>
        <v/>
      </c>
      <c r="BS106" s="1">
        <f t="shared" si="23"/>
        <v>0</v>
      </c>
      <c r="BT106" s="4">
        <f t="shared" si="28"/>
        <v>0</v>
      </c>
      <c r="BU106" s="39">
        <f t="shared" si="29"/>
        <v>0</v>
      </c>
      <c r="BV106" s="1">
        <f t="shared" si="30"/>
        <v>0</v>
      </c>
      <c r="BW106">
        <f t="shared" si="31"/>
        <v>0</v>
      </c>
      <c r="BX106">
        <f t="shared" si="32"/>
        <v>0</v>
      </c>
    </row>
    <row r="107" spans="58:76" x14ac:dyDescent="0.2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39">
        <f t="shared" si="33"/>
        <v>0</v>
      </c>
      <c r="BI107" s="1">
        <f t="shared" si="33"/>
        <v>0</v>
      </c>
      <c r="BJ107" s="1">
        <f t="shared" si="18"/>
        <v>0</v>
      </c>
      <c r="BK107" s="1">
        <f t="shared" si="24"/>
        <v>0</v>
      </c>
      <c r="BL107" s="1">
        <f t="shared" si="19"/>
        <v>0</v>
      </c>
      <c r="BM107" s="10" t="str">
        <f t="shared" si="20"/>
        <v/>
      </c>
      <c r="BN107" s="39">
        <f t="shared" si="25"/>
        <v>0</v>
      </c>
      <c r="BO107" s="39">
        <f t="shared" si="26"/>
        <v>0</v>
      </c>
      <c r="BP107" s="1">
        <f t="shared" si="21"/>
        <v>0</v>
      </c>
      <c r="BQ107" s="1">
        <f t="shared" si="27"/>
        <v>0</v>
      </c>
      <c r="BR107" s="1" t="str">
        <f t="shared" si="22"/>
        <v/>
      </c>
      <c r="BS107" s="1">
        <f t="shared" si="23"/>
        <v>0</v>
      </c>
      <c r="BT107" s="4">
        <f t="shared" si="28"/>
        <v>0</v>
      </c>
      <c r="BU107" s="39">
        <f t="shared" si="29"/>
        <v>0</v>
      </c>
      <c r="BV107" s="1">
        <f t="shared" si="30"/>
        <v>0</v>
      </c>
      <c r="BW107">
        <f t="shared" si="31"/>
        <v>0</v>
      </c>
      <c r="BX107">
        <f t="shared" si="32"/>
        <v>0</v>
      </c>
    </row>
    <row r="108" spans="58:76" x14ac:dyDescent="0.2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39">
        <f t="shared" si="33"/>
        <v>0</v>
      </c>
      <c r="BI108" s="1">
        <f t="shared" si="33"/>
        <v>0</v>
      </c>
      <c r="BJ108" s="1">
        <f t="shared" si="18"/>
        <v>0</v>
      </c>
      <c r="BK108" s="1">
        <f t="shared" si="24"/>
        <v>0</v>
      </c>
      <c r="BL108" s="1">
        <f t="shared" si="19"/>
        <v>0</v>
      </c>
      <c r="BM108" s="10" t="str">
        <f t="shared" si="20"/>
        <v/>
      </c>
      <c r="BN108" s="39">
        <f t="shared" si="25"/>
        <v>0</v>
      </c>
      <c r="BO108" s="39">
        <f t="shared" si="26"/>
        <v>0</v>
      </c>
      <c r="BP108" s="1">
        <f t="shared" si="21"/>
        <v>0</v>
      </c>
      <c r="BQ108" s="1">
        <f t="shared" si="27"/>
        <v>0</v>
      </c>
      <c r="BR108" s="1" t="str">
        <f t="shared" si="22"/>
        <v/>
      </c>
      <c r="BS108" s="1">
        <f t="shared" si="23"/>
        <v>0</v>
      </c>
      <c r="BT108" s="4">
        <f t="shared" si="28"/>
        <v>0</v>
      </c>
      <c r="BU108" s="39">
        <f t="shared" si="29"/>
        <v>0</v>
      </c>
      <c r="BV108" s="1">
        <f t="shared" si="30"/>
        <v>0</v>
      </c>
      <c r="BW108">
        <f t="shared" si="31"/>
        <v>0</v>
      </c>
      <c r="BX108">
        <f t="shared" si="32"/>
        <v>0</v>
      </c>
    </row>
    <row r="109" spans="58:76" x14ac:dyDescent="0.2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39">
        <f t="shared" si="33"/>
        <v>0</v>
      </c>
      <c r="BI109" s="1">
        <f t="shared" si="33"/>
        <v>0</v>
      </c>
      <c r="BJ109" s="1">
        <f t="shared" si="18"/>
        <v>0</v>
      </c>
      <c r="BK109" s="1">
        <f t="shared" si="24"/>
        <v>0</v>
      </c>
      <c r="BL109" s="1">
        <f t="shared" si="19"/>
        <v>0</v>
      </c>
      <c r="BM109" s="10" t="str">
        <f t="shared" si="20"/>
        <v/>
      </c>
      <c r="BN109" s="39">
        <f t="shared" si="25"/>
        <v>0</v>
      </c>
      <c r="BO109" s="39">
        <f t="shared" si="26"/>
        <v>0</v>
      </c>
      <c r="BP109" s="1">
        <f t="shared" si="21"/>
        <v>0</v>
      </c>
      <c r="BQ109" s="1">
        <f t="shared" si="27"/>
        <v>0</v>
      </c>
      <c r="BR109" s="1" t="str">
        <f t="shared" si="22"/>
        <v/>
      </c>
      <c r="BS109" s="1">
        <f t="shared" si="23"/>
        <v>0</v>
      </c>
      <c r="BT109" s="4">
        <f t="shared" si="28"/>
        <v>0</v>
      </c>
      <c r="BU109" s="39">
        <f t="shared" si="29"/>
        <v>0</v>
      </c>
      <c r="BV109" s="1">
        <f t="shared" si="30"/>
        <v>0</v>
      </c>
      <c r="BW109">
        <f t="shared" si="31"/>
        <v>0</v>
      </c>
      <c r="BX109">
        <f t="shared" si="32"/>
        <v>0</v>
      </c>
    </row>
    <row r="110" spans="58:76" x14ac:dyDescent="0.2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39">
        <f t="shared" si="33"/>
        <v>0</v>
      </c>
      <c r="BI110" s="1">
        <f t="shared" si="33"/>
        <v>0</v>
      </c>
      <c r="BJ110" s="1">
        <f t="shared" si="18"/>
        <v>0</v>
      </c>
      <c r="BK110" s="1">
        <f t="shared" si="24"/>
        <v>0</v>
      </c>
      <c r="BL110" s="1">
        <f t="shared" si="19"/>
        <v>0</v>
      </c>
      <c r="BM110" s="10" t="str">
        <f t="shared" si="20"/>
        <v/>
      </c>
      <c r="BN110" s="39">
        <f t="shared" si="25"/>
        <v>0</v>
      </c>
      <c r="BO110" s="39">
        <f t="shared" si="26"/>
        <v>0</v>
      </c>
      <c r="BP110" s="1">
        <f t="shared" si="21"/>
        <v>0</v>
      </c>
      <c r="BQ110" s="1">
        <f t="shared" si="27"/>
        <v>0</v>
      </c>
      <c r="BR110" s="1" t="str">
        <f t="shared" si="22"/>
        <v/>
      </c>
      <c r="BS110" s="1">
        <f t="shared" si="23"/>
        <v>0</v>
      </c>
      <c r="BT110" s="4">
        <f t="shared" si="28"/>
        <v>0</v>
      </c>
      <c r="BU110" s="39">
        <f t="shared" si="29"/>
        <v>0</v>
      </c>
      <c r="BV110" s="1">
        <f t="shared" si="30"/>
        <v>0</v>
      </c>
      <c r="BW110">
        <f t="shared" si="31"/>
        <v>0</v>
      </c>
      <c r="BX110">
        <f t="shared" si="32"/>
        <v>0</v>
      </c>
    </row>
    <row r="111" spans="58:76" x14ac:dyDescent="0.2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39">
        <f t="shared" si="33"/>
        <v>0</v>
      </c>
      <c r="BI111" s="1">
        <f t="shared" si="33"/>
        <v>0</v>
      </c>
      <c r="BJ111" s="1">
        <f t="shared" si="18"/>
        <v>0</v>
      </c>
      <c r="BK111" s="1">
        <f t="shared" si="24"/>
        <v>0</v>
      </c>
      <c r="BL111" s="1">
        <f t="shared" si="19"/>
        <v>0</v>
      </c>
      <c r="BM111" s="10" t="str">
        <f t="shared" si="20"/>
        <v/>
      </c>
      <c r="BN111" s="39">
        <f t="shared" si="25"/>
        <v>0</v>
      </c>
      <c r="BO111" s="39">
        <f t="shared" si="26"/>
        <v>0</v>
      </c>
      <c r="BP111" s="1">
        <f t="shared" si="21"/>
        <v>0</v>
      </c>
      <c r="BQ111" s="1">
        <f t="shared" si="27"/>
        <v>0</v>
      </c>
      <c r="BR111" s="1" t="str">
        <f t="shared" si="22"/>
        <v/>
      </c>
      <c r="BS111" s="1">
        <f t="shared" si="23"/>
        <v>0</v>
      </c>
      <c r="BT111" s="4">
        <f t="shared" si="28"/>
        <v>0</v>
      </c>
      <c r="BU111" s="39">
        <f t="shared" si="29"/>
        <v>0</v>
      </c>
      <c r="BV111" s="1">
        <f t="shared" si="30"/>
        <v>0</v>
      </c>
      <c r="BW111">
        <f t="shared" si="31"/>
        <v>0</v>
      </c>
      <c r="BX111">
        <f t="shared" si="32"/>
        <v>0</v>
      </c>
    </row>
    <row r="112" spans="58:76" x14ac:dyDescent="0.2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39">
        <f t="shared" si="33"/>
        <v>0</v>
      </c>
      <c r="BI112" s="1">
        <f t="shared" si="33"/>
        <v>0</v>
      </c>
      <c r="BJ112" s="1">
        <f t="shared" si="18"/>
        <v>0</v>
      </c>
      <c r="BK112" s="1">
        <f t="shared" si="24"/>
        <v>0</v>
      </c>
      <c r="BL112" s="1">
        <f t="shared" si="19"/>
        <v>0</v>
      </c>
      <c r="BM112" s="10" t="str">
        <f t="shared" si="20"/>
        <v/>
      </c>
      <c r="BN112" s="39">
        <f t="shared" si="25"/>
        <v>0</v>
      </c>
      <c r="BO112" s="39">
        <f t="shared" si="26"/>
        <v>0</v>
      </c>
      <c r="BP112" s="1">
        <f t="shared" si="21"/>
        <v>0</v>
      </c>
      <c r="BQ112" s="1">
        <f t="shared" si="27"/>
        <v>0</v>
      </c>
      <c r="BR112" s="1" t="str">
        <f t="shared" si="22"/>
        <v/>
      </c>
      <c r="BS112" s="1">
        <f t="shared" si="23"/>
        <v>0</v>
      </c>
      <c r="BT112" s="4">
        <f t="shared" si="28"/>
        <v>0</v>
      </c>
      <c r="BU112" s="39">
        <f t="shared" si="29"/>
        <v>0</v>
      </c>
      <c r="BV112" s="1">
        <f t="shared" si="30"/>
        <v>0</v>
      </c>
      <c r="BW112">
        <f t="shared" si="31"/>
        <v>0</v>
      </c>
      <c r="BX112">
        <f t="shared" si="32"/>
        <v>0</v>
      </c>
    </row>
    <row r="113" spans="58:76" x14ac:dyDescent="0.2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39">
        <f t="shared" si="33"/>
        <v>0</v>
      </c>
      <c r="BI113" s="1">
        <f t="shared" si="33"/>
        <v>0</v>
      </c>
      <c r="BJ113" s="1">
        <f t="shared" si="18"/>
        <v>0</v>
      </c>
      <c r="BK113" s="1">
        <f t="shared" si="24"/>
        <v>0</v>
      </c>
      <c r="BL113" s="1">
        <f t="shared" si="19"/>
        <v>0</v>
      </c>
      <c r="BM113" s="10" t="str">
        <f t="shared" si="20"/>
        <v/>
      </c>
      <c r="BN113" s="39">
        <f t="shared" si="25"/>
        <v>0</v>
      </c>
      <c r="BO113" s="39">
        <f t="shared" si="26"/>
        <v>0</v>
      </c>
      <c r="BP113" s="1">
        <f t="shared" si="21"/>
        <v>0</v>
      </c>
      <c r="BQ113" s="1">
        <f t="shared" si="27"/>
        <v>0</v>
      </c>
      <c r="BR113" s="1" t="str">
        <f t="shared" si="22"/>
        <v/>
      </c>
      <c r="BS113" s="1">
        <f t="shared" si="23"/>
        <v>0</v>
      </c>
      <c r="BT113" s="4">
        <f t="shared" si="28"/>
        <v>0</v>
      </c>
      <c r="BU113" s="39">
        <f t="shared" si="29"/>
        <v>0</v>
      </c>
      <c r="BV113" s="1">
        <f t="shared" si="30"/>
        <v>0</v>
      </c>
      <c r="BW113">
        <f t="shared" si="31"/>
        <v>0</v>
      </c>
      <c r="BX113">
        <f t="shared" si="32"/>
        <v>0</v>
      </c>
    </row>
    <row r="114" spans="58:76" x14ac:dyDescent="0.2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39">
        <f t="shared" si="33"/>
        <v>0</v>
      </c>
      <c r="BI114" s="1">
        <f t="shared" si="33"/>
        <v>0</v>
      </c>
      <c r="BJ114" s="1">
        <f t="shared" si="18"/>
        <v>0</v>
      </c>
      <c r="BK114" s="1">
        <f t="shared" si="24"/>
        <v>0</v>
      </c>
      <c r="BL114" s="1">
        <f t="shared" si="19"/>
        <v>0</v>
      </c>
      <c r="BM114" s="10" t="str">
        <f t="shared" si="20"/>
        <v/>
      </c>
      <c r="BN114" s="39">
        <f t="shared" si="25"/>
        <v>0</v>
      </c>
      <c r="BO114" s="39">
        <f t="shared" si="26"/>
        <v>0</v>
      </c>
      <c r="BP114" s="1">
        <f t="shared" si="21"/>
        <v>0</v>
      </c>
      <c r="BQ114" s="1">
        <f t="shared" si="27"/>
        <v>0</v>
      </c>
      <c r="BR114" s="1" t="str">
        <f t="shared" si="22"/>
        <v/>
      </c>
      <c r="BS114" s="1">
        <f t="shared" si="23"/>
        <v>0</v>
      </c>
      <c r="BT114" s="4">
        <f t="shared" si="28"/>
        <v>0</v>
      </c>
      <c r="BU114" s="39">
        <f t="shared" si="29"/>
        <v>0</v>
      </c>
      <c r="BV114" s="1">
        <f t="shared" si="30"/>
        <v>0</v>
      </c>
      <c r="BW114">
        <f t="shared" si="31"/>
        <v>0</v>
      </c>
      <c r="BX114">
        <f t="shared" si="32"/>
        <v>0</v>
      </c>
    </row>
    <row r="115" spans="58:76" x14ac:dyDescent="0.2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39">
        <f t="shared" si="33"/>
        <v>0</v>
      </c>
      <c r="BI115" s="1">
        <f t="shared" si="33"/>
        <v>0</v>
      </c>
      <c r="BJ115" s="1">
        <f t="shared" si="18"/>
        <v>0</v>
      </c>
      <c r="BK115" s="1">
        <f t="shared" si="24"/>
        <v>0</v>
      </c>
      <c r="BL115" s="1">
        <f t="shared" si="19"/>
        <v>0</v>
      </c>
      <c r="BM115" s="10" t="str">
        <f t="shared" si="20"/>
        <v/>
      </c>
      <c r="BN115" s="39">
        <f t="shared" si="25"/>
        <v>0</v>
      </c>
      <c r="BO115" s="39">
        <f t="shared" si="26"/>
        <v>0</v>
      </c>
      <c r="BP115" s="1">
        <f t="shared" si="21"/>
        <v>0</v>
      </c>
      <c r="BQ115" s="1">
        <f t="shared" si="27"/>
        <v>0</v>
      </c>
      <c r="BR115" s="1" t="str">
        <f t="shared" si="22"/>
        <v/>
      </c>
      <c r="BS115" s="1">
        <f t="shared" si="23"/>
        <v>0</v>
      </c>
      <c r="BT115" s="4">
        <f t="shared" si="28"/>
        <v>0</v>
      </c>
      <c r="BU115" s="39">
        <f t="shared" si="29"/>
        <v>0</v>
      </c>
      <c r="BV115" s="1">
        <f t="shared" si="30"/>
        <v>0</v>
      </c>
      <c r="BW115">
        <f t="shared" si="31"/>
        <v>0</v>
      </c>
      <c r="BX115">
        <f t="shared" si="32"/>
        <v>0</v>
      </c>
    </row>
    <row r="116" spans="58:76" x14ac:dyDescent="0.2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39">
        <f t="shared" si="33"/>
        <v>0</v>
      </c>
      <c r="BI116" s="1">
        <f t="shared" si="33"/>
        <v>0</v>
      </c>
      <c r="BJ116" s="1">
        <f t="shared" si="18"/>
        <v>0</v>
      </c>
      <c r="BK116" s="1">
        <f t="shared" si="24"/>
        <v>0</v>
      </c>
      <c r="BL116" s="1">
        <f t="shared" si="19"/>
        <v>0</v>
      </c>
      <c r="BM116" s="10" t="str">
        <f t="shared" si="20"/>
        <v/>
      </c>
      <c r="BN116" s="39">
        <f t="shared" si="25"/>
        <v>0</v>
      </c>
      <c r="BO116" s="39">
        <f t="shared" si="26"/>
        <v>0</v>
      </c>
      <c r="BP116" s="1">
        <f t="shared" si="21"/>
        <v>0</v>
      </c>
      <c r="BQ116" s="1">
        <f t="shared" si="27"/>
        <v>0</v>
      </c>
      <c r="BR116" s="1" t="str">
        <f t="shared" si="22"/>
        <v/>
      </c>
      <c r="BS116" s="1">
        <f t="shared" si="23"/>
        <v>0</v>
      </c>
      <c r="BT116" s="4">
        <f t="shared" si="28"/>
        <v>0</v>
      </c>
      <c r="BU116" s="39">
        <f t="shared" si="29"/>
        <v>0</v>
      </c>
      <c r="BV116" s="1">
        <f t="shared" si="30"/>
        <v>0</v>
      </c>
      <c r="BW116">
        <f t="shared" si="31"/>
        <v>0</v>
      </c>
      <c r="BX116">
        <f t="shared" si="32"/>
        <v>0</v>
      </c>
    </row>
    <row r="117" spans="58:76" x14ac:dyDescent="0.2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39">
        <f t="shared" si="33"/>
        <v>0</v>
      </c>
      <c r="BI117" s="1">
        <f t="shared" si="33"/>
        <v>0</v>
      </c>
      <c r="BJ117" s="1">
        <f t="shared" si="18"/>
        <v>0</v>
      </c>
      <c r="BK117" s="1">
        <f t="shared" si="24"/>
        <v>0</v>
      </c>
      <c r="BL117" s="1">
        <f t="shared" si="19"/>
        <v>0</v>
      </c>
      <c r="BM117" s="10" t="str">
        <f t="shared" si="20"/>
        <v/>
      </c>
      <c r="BN117" s="39">
        <f t="shared" si="25"/>
        <v>0</v>
      </c>
      <c r="BO117" s="39">
        <f t="shared" si="26"/>
        <v>0</v>
      </c>
      <c r="BP117" s="1">
        <f t="shared" si="21"/>
        <v>0</v>
      </c>
      <c r="BQ117" s="1">
        <f t="shared" si="27"/>
        <v>0</v>
      </c>
      <c r="BR117" s="1" t="str">
        <f t="shared" si="22"/>
        <v/>
      </c>
      <c r="BS117" s="1">
        <f t="shared" si="23"/>
        <v>0</v>
      </c>
      <c r="BT117" s="4">
        <f t="shared" si="28"/>
        <v>0</v>
      </c>
      <c r="BU117" s="39">
        <f t="shared" si="29"/>
        <v>0</v>
      </c>
      <c r="BV117" s="1">
        <f t="shared" si="30"/>
        <v>0</v>
      </c>
      <c r="BW117">
        <f t="shared" si="31"/>
        <v>0</v>
      </c>
      <c r="BX117">
        <f t="shared" si="32"/>
        <v>0</v>
      </c>
    </row>
    <row r="118" spans="58:76" x14ac:dyDescent="0.2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39">
        <f t="shared" si="33"/>
        <v>0</v>
      </c>
      <c r="BI118" s="1">
        <f t="shared" si="33"/>
        <v>0</v>
      </c>
      <c r="BJ118" s="1">
        <f t="shared" si="18"/>
        <v>0</v>
      </c>
      <c r="BK118" s="1">
        <f t="shared" si="24"/>
        <v>0</v>
      </c>
      <c r="BL118" s="1">
        <f t="shared" si="19"/>
        <v>0</v>
      </c>
      <c r="BM118" s="10" t="str">
        <f t="shared" si="20"/>
        <v/>
      </c>
      <c r="BN118" s="39">
        <f t="shared" si="25"/>
        <v>0</v>
      </c>
      <c r="BO118" s="39">
        <f t="shared" si="26"/>
        <v>0</v>
      </c>
      <c r="BP118" s="1">
        <f t="shared" si="21"/>
        <v>0</v>
      </c>
      <c r="BQ118" s="1">
        <f t="shared" si="27"/>
        <v>0</v>
      </c>
      <c r="BR118" s="1" t="str">
        <f t="shared" si="22"/>
        <v/>
      </c>
      <c r="BS118" s="1">
        <f t="shared" si="23"/>
        <v>0</v>
      </c>
      <c r="BT118" s="4">
        <f t="shared" si="28"/>
        <v>0</v>
      </c>
      <c r="BU118" s="39">
        <f t="shared" si="29"/>
        <v>0</v>
      </c>
      <c r="BV118" s="1">
        <f t="shared" si="30"/>
        <v>0</v>
      </c>
      <c r="BW118">
        <f t="shared" si="31"/>
        <v>0</v>
      </c>
      <c r="BX118">
        <f t="shared" si="32"/>
        <v>0</v>
      </c>
    </row>
    <row r="119" spans="58:76" x14ac:dyDescent="0.2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39">
        <f t="shared" si="33"/>
        <v>0</v>
      </c>
      <c r="BI119" s="1">
        <f t="shared" si="33"/>
        <v>0</v>
      </c>
      <c r="BJ119" s="1">
        <f t="shared" si="18"/>
        <v>0</v>
      </c>
      <c r="BK119" s="1">
        <f t="shared" si="24"/>
        <v>0</v>
      </c>
      <c r="BL119" s="1">
        <f t="shared" si="19"/>
        <v>0</v>
      </c>
      <c r="BM119" s="10" t="str">
        <f t="shared" si="20"/>
        <v/>
      </c>
      <c r="BN119" s="39">
        <f t="shared" si="25"/>
        <v>0</v>
      </c>
      <c r="BO119" s="39">
        <f t="shared" si="26"/>
        <v>0</v>
      </c>
      <c r="BP119" s="1">
        <f t="shared" si="21"/>
        <v>0</v>
      </c>
      <c r="BQ119" s="1">
        <f t="shared" si="27"/>
        <v>0</v>
      </c>
      <c r="BR119" s="1" t="str">
        <f t="shared" si="22"/>
        <v/>
      </c>
      <c r="BS119" s="1">
        <f t="shared" si="23"/>
        <v>0</v>
      </c>
      <c r="BT119" s="4">
        <f t="shared" si="28"/>
        <v>0</v>
      </c>
      <c r="BU119" s="39">
        <f t="shared" si="29"/>
        <v>0</v>
      </c>
      <c r="BV119" s="1">
        <f t="shared" si="30"/>
        <v>0</v>
      </c>
      <c r="BW119">
        <f t="shared" si="31"/>
        <v>0</v>
      </c>
      <c r="BX119">
        <f t="shared" si="32"/>
        <v>0</v>
      </c>
    </row>
    <row r="120" spans="58:76" x14ac:dyDescent="0.2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39">
        <f t="shared" si="33"/>
        <v>0</v>
      </c>
      <c r="BI120" s="1">
        <f t="shared" si="33"/>
        <v>0</v>
      </c>
      <c r="BJ120" s="1">
        <f t="shared" si="18"/>
        <v>0</v>
      </c>
      <c r="BK120" s="1">
        <f t="shared" si="24"/>
        <v>0</v>
      </c>
      <c r="BL120" s="1">
        <f t="shared" si="19"/>
        <v>0</v>
      </c>
      <c r="BM120" s="10" t="str">
        <f t="shared" si="20"/>
        <v/>
      </c>
      <c r="BN120" s="39">
        <f t="shared" si="25"/>
        <v>0</v>
      </c>
      <c r="BO120" s="39">
        <f t="shared" si="26"/>
        <v>0</v>
      </c>
      <c r="BP120" s="1">
        <f t="shared" si="21"/>
        <v>0</v>
      </c>
      <c r="BQ120" s="1">
        <f t="shared" si="27"/>
        <v>0</v>
      </c>
      <c r="BR120" s="1" t="str">
        <f t="shared" si="22"/>
        <v/>
      </c>
      <c r="BS120" s="1">
        <f t="shared" si="23"/>
        <v>0</v>
      </c>
      <c r="BT120" s="4">
        <f t="shared" si="28"/>
        <v>0</v>
      </c>
      <c r="BU120" s="39">
        <f t="shared" si="29"/>
        <v>0</v>
      </c>
      <c r="BV120" s="1">
        <f t="shared" si="30"/>
        <v>0</v>
      </c>
      <c r="BW120">
        <f t="shared" si="31"/>
        <v>0</v>
      </c>
      <c r="BX120">
        <f t="shared" si="32"/>
        <v>0</v>
      </c>
    </row>
    <row r="121" spans="58:76" x14ac:dyDescent="0.2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39">
        <f t="shared" si="33"/>
        <v>0</v>
      </c>
      <c r="BI121" s="1">
        <f t="shared" si="33"/>
        <v>0</v>
      </c>
      <c r="BJ121" s="1">
        <f t="shared" si="18"/>
        <v>0</v>
      </c>
      <c r="BK121" s="1">
        <f t="shared" si="24"/>
        <v>0</v>
      </c>
      <c r="BL121" s="1">
        <f t="shared" si="19"/>
        <v>0</v>
      </c>
      <c r="BM121" s="10" t="str">
        <f t="shared" si="20"/>
        <v/>
      </c>
      <c r="BN121" s="39">
        <f t="shared" si="25"/>
        <v>0</v>
      </c>
      <c r="BO121" s="39">
        <f t="shared" si="26"/>
        <v>0</v>
      </c>
      <c r="BP121" s="1">
        <f t="shared" si="21"/>
        <v>0</v>
      </c>
      <c r="BQ121" s="1">
        <f t="shared" si="27"/>
        <v>0</v>
      </c>
      <c r="BR121" s="1" t="str">
        <f t="shared" si="22"/>
        <v/>
      </c>
      <c r="BS121" s="1">
        <f t="shared" si="23"/>
        <v>0</v>
      </c>
      <c r="BT121" s="4">
        <f t="shared" si="28"/>
        <v>0</v>
      </c>
      <c r="BU121" s="39">
        <f t="shared" si="29"/>
        <v>0</v>
      </c>
      <c r="BV121" s="1">
        <f t="shared" si="30"/>
        <v>0</v>
      </c>
      <c r="BW121">
        <f t="shared" si="31"/>
        <v>0</v>
      </c>
      <c r="BX121">
        <f t="shared" si="32"/>
        <v>0</v>
      </c>
    </row>
    <row r="122" spans="58:76" x14ac:dyDescent="0.2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39">
        <f t="shared" si="33"/>
        <v>0</v>
      </c>
      <c r="BI122" s="1">
        <f t="shared" si="33"/>
        <v>0</v>
      </c>
      <c r="BJ122" s="1">
        <f t="shared" si="18"/>
        <v>0</v>
      </c>
      <c r="BK122" s="1">
        <f t="shared" si="24"/>
        <v>0</v>
      </c>
      <c r="BL122" s="1">
        <f t="shared" si="19"/>
        <v>0</v>
      </c>
      <c r="BM122" s="10" t="str">
        <f t="shared" si="20"/>
        <v/>
      </c>
      <c r="BN122" s="39">
        <f t="shared" si="25"/>
        <v>0</v>
      </c>
      <c r="BO122" s="39">
        <f t="shared" si="26"/>
        <v>0</v>
      </c>
      <c r="BP122" s="1">
        <f t="shared" si="21"/>
        <v>0</v>
      </c>
      <c r="BQ122" s="1">
        <f t="shared" si="27"/>
        <v>0</v>
      </c>
      <c r="BR122" s="1" t="str">
        <f t="shared" si="22"/>
        <v/>
      </c>
      <c r="BS122" s="1">
        <f t="shared" si="23"/>
        <v>0</v>
      </c>
      <c r="BT122" s="4">
        <f t="shared" si="28"/>
        <v>0</v>
      </c>
      <c r="BU122" s="39">
        <f t="shared" si="29"/>
        <v>0</v>
      </c>
      <c r="BV122" s="1">
        <f t="shared" si="30"/>
        <v>0</v>
      </c>
      <c r="BW122">
        <f t="shared" si="31"/>
        <v>0</v>
      </c>
      <c r="BX122">
        <f t="shared" si="32"/>
        <v>0</v>
      </c>
    </row>
    <row r="123" spans="58:76" x14ac:dyDescent="0.2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39">
        <f t="shared" si="33"/>
        <v>0</v>
      </c>
      <c r="BI123" s="1">
        <f t="shared" si="33"/>
        <v>0</v>
      </c>
      <c r="BJ123" s="1">
        <f t="shared" si="18"/>
        <v>0</v>
      </c>
      <c r="BK123" s="1">
        <f t="shared" si="24"/>
        <v>0</v>
      </c>
      <c r="BL123" s="1">
        <f t="shared" si="19"/>
        <v>0</v>
      </c>
      <c r="BM123" s="10" t="str">
        <f t="shared" si="20"/>
        <v/>
      </c>
      <c r="BN123" s="39">
        <f t="shared" si="25"/>
        <v>0</v>
      </c>
      <c r="BO123" s="39">
        <f t="shared" si="26"/>
        <v>0</v>
      </c>
      <c r="BP123" s="1">
        <f t="shared" si="21"/>
        <v>0</v>
      </c>
      <c r="BQ123" s="1">
        <f t="shared" si="27"/>
        <v>0</v>
      </c>
      <c r="BR123" s="1" t="str">
        <f t="shared" si="22"/>
        <v/>
      </c>
      <c r="BS123" s="1">
        <f t="shared" si="23"/>
        <v>0</v>
      </c>
      <c r="BT123" s="4">
        <f t="shared" si="28"/>
        <v>0</v>
      </c>
      <c r="BU123" s="39">
        <f t="shared" si="29"/>
        <v>0</v>
      </c>
      <c r="BV123" s="1">
        <f t="shared" si="30"/>
        <v>0</v>
      </c>
      <c r="BW123">
        <f t="shared" si="31"/>
        <v>0</v>
      </c>
      <c r="BX123">
        <f t="shared" si="32"/>
        <v>0</v>
      </c>
    </row>
    <row r="124" spans="58:76" x14ac:dyDescent="0.2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39">
        <f t="shared" si="33"/>
        <v>0</v>
      </c>
      <c r="BI124" s="1">
        <f t="shared" si="33"/>
        <v>0</v>
      </c>
      <c r="BJ124" s="1">
        <f t="shared" si="18"/>
        <v>0</v>
      </c>
      <c r="BK124" s="1">
        <f t="shared" si="24"/>
        <v>0</v>
      </c>
      <c r="BL124" s="1">
        <f t="shared" si="19"/>
        <v>0</v>
      </c>
      <c r="BM124" s="10" t="str">
        <f t="shared" si="20"/>
        <v/>
      </c>
      <c r="BN124" s="39">
        <f t="shared" si="25"/>
        <v>0</v>
      </c>
      <c r="BO124" s="39">
        <f t="shared" si="26"/>
        <v>0</v>
      </c>
      <c r="BP124" s="1">
        <f t="shared" si="21"/>
        <v>0</v>
      </c>
      <c r="BQ124" s="1">
        <f t="shared" si="27"/>
        <v>0</v>
      </c>
      <c r="BR124" s="1" t="str">
        <f t="shared" si="22"/>
        <v/>
      </c>
      <c r="BS124" s="1">
        <f t="shared" si="23"/>
        <v>0</v>
      </c>
      <c r="BT124" s="4">
        <f t="shared" si="28"/>
        <v>0</v>
      </c>
      <c r="BU124" s="39">
        <f t="shared" si="29"/>
        <v>0</v>
      </c>
      <c r="BV124" s="1">
        <f t="shared" si="30"/>
        <v>0</v>
      </c>
      <c r="BW124">
        <f t="shared" si="31"/>
        <v>0</v>
      </c>
      <c r="BX124">
        <f t="shared" si="32"/>
        <v>0</v>
      </c>
    </row>
    <row r="125" spans="58:76" x14ac:dyDescent="0.2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39">
        <f t="shared" si="33"/>
        <v>0</v>
      </c>
      <c r="BI125" s="1">
        <f t="shared" si="33"/>
        <v>0</v>
      </c>
      <c r="BJ125" s="1">
        <f t="shared" si="18"/>
        <v>0</v>
      </c>
      <c r="BK125" s="1">
        <f t="shared" si="24"/>
        <v>0</v>
      </c>
      <c r="BL125" s="1">
        <f t="shared" si="19"/>
        <v>0</v>
      </c>
      <c r="BM125" s="10" t="str">
        <f t="shared" si="20"/>
        <v/>
      </c>
      <c r="BN125" s="39">
        <f t="shared" si="25"/>
        <v>0</v>
      </c>
      <c r="BO125" s="39">
        <f t="shared" si="26"/>
        <v>0</v>
      </c>
      <c r="BP125" s="1">
        <f t="shared" si="21"/>
        <v>0</v>
      </c>
      <c r="BQ125" s="1">
        <f t="shared" si="27"/>
        <v>0</v>
      </c>
      <c r="BR125" s="1" t="str">
        <f t="shared" si="22"/>
        <v/>
      </c>
      <c r="BS125" s="1">
        <f t="shared" si="23"/>
        <v>0</v>
      </c>
      <c r="BT125" s="4">
        <f t="shared" si="28"/>
        <v>0</v>
      </c>
      <c r="BU125" s="39">
        <f t="shared" si="29"/>
        <v>0</v>
      </c>
      <c r="BV125" s="1">
        <f t="shared" si="30"/>
        <v>0</v>
      </c>
      <c r="BW125">
        <f t="shared" si="31"/>
        <v>0</v>
      </c>
      <c r="BX125">
        <f t="shared" si="32"/>
        <v>0</v>
      </c>
    </row>
    <row r="126" spans="58:76" x14ac:dyDescent="0.2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39">
        <f t="shared" si="33"/>
        <v>0</v>
      </c>
      <c r="BI126" s="1">
        <f t="shared" si="33"/>
        <v>0</v>
      </c>
      <c r="BJ126" s="1">
        <f t="shared" si="18"/>
        <v>0</v>
      </c>
      <c r="BK126" s="1">
        <f t="shared" si="24"/>
        <v>0</v>
      </c>
      <c r="BL126" s="1">
        <f t="shared" si="19"/>
        <v>0</v>
      </c>
      <c r="BM126" s="10" t="str">
        <f t="shared" si="20"/>
        <v/>
      </c>
      <c r="BN126" s="39">
        <f t="shared" si="25"/>
        <v>0</v>
      </c>
      <c r="BO126" s="39">
        <f t="shared" si="26"/>
        <v>0</v>
      </c>
      <c r="BP126" s="1">
        <f t="shared" si="21"/>
        <v>0</v>
      </c>
      <c r="BQ126" s="1">
        <f t="shared" si="27"/>
        <v>0</v>
      </c>
      <c r="BR126" s="1" t="str">
        <f t="shared" si="22"/>
        <v/>
      </c>
      <c r="BS126" s="1">
        <f t="shared" si="23"/>
        <v>0</v>
      </c>
      <c r="BT126" s="4">
        <f t="shared" si="28"/>
        <v>0</v>
      </c>
      <c r="BU126" s="39">
        <f t="shared" si="29"/>
        <v>0</v>
      </c>
      <c r="BV126" s="1">
        <f t="shared" si="30"/>
        <v>0</v>
      </c>
      <c r="BW126">
        <f t="shared" si="31"/>
        <v>0</v>
      </c>
      <c r="BX126">
        <f t="shared" si="32"/>
        <v>0</v>
      </c>
    </row>
    <row r="127" spans="58:76" x14ac:dyDescent="0.2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39">
        <f t="shared" si="33"/>
        <v>0</v>
      </c>
      <c r="BI127" s="1">
        <f t="shared" si="33"/>
        <v>0</v>
      </c>
      <c r="BJ127" s="1">
        <f t="shared" si="18"/>
        <v>0</v>
      </c>
      <c r="BK127" s="1">
        <f t="shared" si="24"/>
        <v>0</v>
      </c>
      <c r="BL127" s="1">
        <f t="shared" si="19"/>
        <v>0</v>
      </c>
      <c r="BM127" s="10" t="str">
        <f t="shared" si="20"/>
        <v/>
      </c>
      <c r="BN127" s="39">
        <f t="shared" si="25"/>
        <v>0</v>
      </c>
      <c r="BO127" s="39">
        <f t="shared" si="26"/>
        <v>0</v>
      </c>
      <c r="BP127" s="1">
        <f t="shared" si="21"/>
        <v>0</v>
      </c>
      <c r="BQ127" s="1">
        <f t="shared" si="27"/>
        <v>0</v>
      </c>
      <c r="BR127" s="1" t="str">
        <f t="shared" si="22"/>
        <v/>
      </c>
      <c r="BS127" s="1">
        <f t="shared" si="23"/>
        <v>0</v>
      </c>
      <c r="BT127" s="4">
        <f t="shared" si="28"/>
        <v>0</v>
      </c>
      <c r="BU127" s="39">
        <f t="shared" si="29"/>
        <v>0</v>
      </c>
      <c r="BV127" s="1">
        <f t="shared" si="30"/>
        <v>0</v>
      </c>
      <c r="BW127">
        <f t="shared" si="31"/>
        <v>0</v>
      </c>
      <c r="BX127">
        <f t="shared" si="32"/>
        <v>0</v>
      </c>
    </row>
    <row r="128" spans="58:76" x14ac:dyDescent="0.2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39">
        <f t="shared" si="33"/>
        <v>0</v>
      </c>
      <c r="BI128" s="1">
        <f t="shared" si="33"/>
        <v>0</v>
      </c>
      <c r="BJ128" s="1">
        <f t="shared" si="18"/>
        <v>0</v>
      </c>
      <c r="BK128" s="1">
        <f t="shared" si="24"/>
        <v>0</v>
      </c>
      <c r="BL128" s="1">
        <f t="shared" si="19"/>
        <v>0</v>
      </c>
      <c r="BM128" s="10" t="str">
        <f t="shared" si="20"/>
        <v/>
      </c>
      <c r="BN128" s="39">
        <f t="shared" si="25"/>
        <v>0</v>
      </c>
      <c r="BO128" s="39">
        <f t="shared" si="26"/>
        <v>0</v>
      </c>
      <c r="BP128" s="1">
        <f t="shared" si="21"/>
        <v>0</v>
      </c>
      <c r="BQ128" s="1">
        <f t="shared" si="27"/>
        <v>0</v>
      </c>
      <c r="BR128" s="1" t="str">
        <f t="shared" si="22"/>
        <v/>
      </c>
      <c r="BS128" s="1">
        <f t="shared" si="23"/>
        <v>0</v>
      </c>
      <c r="BT128" s="4">
        <f t="shared" si="28"/>
        <v>0</v>
      </c>
      <c r="BU128" s="39">
        <f t="shared" si="29"/>
        <v>0</v>
      </c>
      <c r="BV128" s="1">
        <f t="shared" si="30"/>
        <v>0</v>
      </c>
      <c r="BW128">
        <f t="shared" si="31"/>
        <v>0</v>
      </c>
      <c r="BX128">
        <f t="shared" si="32"/>
        <v>0</v>
      </c>
    </row>
    <row r="129" spans="58:76" x14ac:dyDescent="0.2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39">
        <f t="shared" si="33"/>
        <v>0</v>
      </c>
      <c r="BI129" s="1">
        <f t="shared" si="33"/>
        <v>0</v>
      </c>
      <c r="BJ129" s="1">
        <f t="shared" si="18"/>
        <v>0</v>
      </c>
      <c r="BK129" s="1">
        <f t="shared" si="24"/>
        <v>0</v>
      </c>
      <c r="BL129" s="1">
        <f t="shared" si="19"/>
        <v>0</v>
      </c>
      <c r="BM129" s="10" t="str">
        <f t="shared" si="20"/>
        <v/>
      </c>
      <c r="BN129" s="39">
        <f t="shared" si="25"/>
        <v>0</v>
      </c>
      <c r="BO129" s="39">
        <f t="shared" si="26"/>
        <v>0</v>
      </c>
      <c r="BP129" s="1">
        <f t="shared" si="21"/>
        <v>0</v>
      </c>
      <c r="BQ129" s="1">
        <f t="shared" si="27"/>
        <v>0</v>
      </c>
      <c r="BR129" s="1" t="str">
        <f t="shared" si="22"/>
        <v/>
      </c>
      <c r="BS129" s="1">
        <f t="shared" si="23"/>
        <v>0</v>
      </c>
      <c r="BT129" s="4">
        <f t="shared" si="28"/>
        <v>0</v>
      </c>
      <c r="BU129" s="39">
        <f t="shared" si="29"/>
        <v>0</v>
      </c>
      <c r="BV129" s="1">
        <f t="shared" si="30"/>
        <v>0</v>
      </c>
      <c r="BW129">
        <f t="shared" si="31"/>
        <v>0</v>
      </c>
      <c r="BX129">
        <f t="shared" si="32"/>
        <v>0</v>
      </c>
    </row>
    <row r="130" spans="58:76" x14ac:dyDescent="0.2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39">
        <f t="shared" ref="BH130:BI161" si="34">VALUE(T130)</f>
        <v>0</v>
      </c>
      <c r="BI130" s="1">
        <f t="shared" si="34"/>
        <v>0</v>
      </c>
      <c r="BJ130" s="1">
        <f t="shared" ref="BJ130:BJ185" si="35">IFERROR(_xlfn.NUMBERVALUE(V130),V130)</f>
        <v>0</v>
      </c>
      <c r="BK130" s="1">
        <f t="shared" si="24"/>
        <v>0</v>
      </c>
      <c r="BL130" s="1">
        <f t="shared" ref="BL130:BL185" si="36">L130</f>
        <v>0</v>
      </c>
      <c r="BM130" s="10" t="str">
        <f t="shared" ref="BM130:BM185" si="37">SUBSTITUTE(J130,"/",".")</f>
        <v/>
      </c>
      <c r="BN130" s="39">
        <f t="shared" si="25"/>
        <v>0</v>
      </c>
      <c r="BO130" s="39">
        <f t="shared" si="26"/>
        <v>0</v>
      </c>
      <c r="BP130" s="1">
        <f t="shared" ref="BP130:BP185" si="38">VALUE(D130)</f>
        <v>0</v>
      </c>
      <c r="BQ130" s="1">
        <f t="shared" si="27"/>
        <v>0</v>
      </c>
      <c r="BR130" s="1" t="str">
        <f t="shared" ref="BR130:BR185" si="39">SUBSTITUTE(O130,".","")</f>
        <v/>
      </c>
      <c r="BS130" s="1">
        <f t="shared" ref="BS130:BS185" si="40">S130</f>
        <v>0</v>
      </c>
      <c r="BT130" s="4">
        <f t="shared" si="28"/>
        <v>0</v>
      </c>
      <c r="BU130" s="39">
        <f t="shared" si="29"/>
        <v>0</v>
      </c>
      <c r="BV130" s="1">
        <f t="shared" si="30"/>
        <v>0</v>
      </c>
      <c r="BW130">
        <f t="shared" si="31"/>
        <v>0</v>
      </c>
      <c r="BX130">
        <f t="shared" si="32"/>
        <v>0</v>
      </c>
    </row>
    <row r="131" spans="58:76" x14ac:dyDescent="0.2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39">
        <f t="shared" si="34"/>
        <v>0</v>
      </c>
      <c r="BI131" s="1">
        <f t="shared" si="34"/>
        <v>0</v>
      </c>
      <c r="BJ131" s="1">
        <f t="shared" si="35"/>
        <v>0</v>
      </c>
      <c r="BK131" s="1">
        <f t="shared" ref="BK131:BK185" si="41">IFERROR(INT(I131),I131)</f>
        <v>0</v>
      </c>
      <c r="BL131" s="1">
        <f t="shared" si="36"/>
        <v>0</v>
      </c>
      <c r="BM131" s="10" t="str">
        <f t="shared" si="37"/>
        <v/>
      </c>
      <c r="BN131" s="39">
        <f t="shared" ref="BN131:BN185" si="42">VALUE(Q131)*1000</f>
        <v>0</v>
      </c>
      <c r="BO131" s="39">
        <f t="shared" ref="BO131:BO185" si="43">VALUE(P131)/1000</f>
        <v>0</v>
      </c>
      <c r="BP131" s="1">
        <f t="shared" si="38"/>
        <v>0</v>
      </c>
      <c r="BQ131" s="1">
        <f t="shared" ref="BQ131:BQ185" si="44">VALUE(G131)</f>
        <v>0</v>
      </c>
      <c r="BR131" s="1" t="str">
        <f t="shared" si="39"/>
        <v/>
      </c>
      <c r="BS131" s="1">
        <f t="shared" si="40"/>
        <v>0</v>
      </c>
      <c r="BT131" s="4">
        <f t="shared" ref="BT131:BT185" si="45">VALUE(AJ131)</f>
        <v>0</v>
      </c>
      <c r="BU131" s="39">
        <f t="shared" ref="BU131:BU185" si="46">K131</f>
        <v>0</v>
      </c>
      <c r="BV131" s="1">
        <f t="shared" ref="BV131:BV185" si="47">AQ131</f>
        <v>0</v>
      </c>
      <c r="BW131">
        <f t="shared" ref="BW131:BW185" si="48">X131</f>
        <v>0</v>
      </c>
      <c r="BX131">
        <f t="shared" ref="BX131:BX185" si="49">AN131</f>
        <v>0</v>
      </c>
    </row>
    <row r="132" spans="58:76" x14ac:dyDescent="0.2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39">
        <f t="shared" si="34"/>
        <v>0</v>
      </c>
      <c r="BI132" s="1">
        <f t="shared" si="34"/>
        <v>0</v>
      </c>
      <c r="BJ132" s="1">
        <f t="shared" si="35"/>
        <v>0</v>
      </c>
      <c r="BK132" s="1">
        <f t="shared" si="41"/>
        <v>0</v>
      </c>
      <c r="BL132" s="1">
        <f t="shared" si="36"/>
        <v>0</v>
      </c>
      <c r="BM132" s="10" t="str">
        <f t="shared" si="37"/>
        <v/>
      </c>
      <c r="BN132" s="39">
        <f t="shared" si="42"/>
        <v>0</v>
      </c>
      <c r="BO132" s="39">
        <f t="shared" si="43"/>
        <v>0</v>
      </c>
      <c r="BP132" s="1">
        <f t="shared" si="38"/>
        <v>0</v>
      </c>
      <c r="BQ132" s="1">
        <f t="shared" si="44"/>
        <v>0</v>
      </c>
      <c r="BR132" s="1" t="str">
        <f t="shared" si="39"/>
        <v/>
      </c>
      <c r="BS132" s="1">
        <f t="shared" si="40"/>
        <v>0</v>
      </c>
      <c r="BT132" s="4">
        <f t="shared" si="45"/>
        <v>0</v>
      </c>
      <c r="BU132" s="39">
        <f t="shared" si="46"/>
        <v>0</v>
      </c>
      <c r="BV132" s="1">
        <f t="shared" si="47"/>
        <v>0</v>
      </c>
      <c r="BW132">
        <f t="shared" si="48"/>
        <v>0</v>
      </c>
      <c r="BX132">
        <f t="shared" si="49"/>
        <v>0</v>
      </c>
    </row>
    <row r="133" spans="58:76" x14ac:dyDescent="0.2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39">
        <f t="shared" si="34"/>
        <v>0</v>
      </c>
      <c r="BI133" s="1">
        <f t="shared" si="34"/>
        <v>0</v>
      </c>
      <c r="BJ133" s="1">
        <f t="shared" si="35"/>
        <v>0</v>
      </c>
      <c r="BK133" s="1">
        <f t="shared" si="41"/>
        <v>0</v>
      </c>
      <c r="BL133" s="1">
        <f t="shared" si="36"/>
        <v>0</v>
      </c>
      <c r="BM133" s="10" t="str">
        <f t="shared" si="37"/>
        <v/>
      </c>
      <c r="BN133" s="39">
        <f t="shared" si="42"/>
        <v>0</v>
      </c>
      <c r="BO133" s="39">
        <f t="shared" si="43"/>
        <v>0</v>
      </c>
      <c r="BP133" s="1">
        <f t="shared" si="38"/>
        <v>0</v>
      </c>
      <c r="BQ133" s="1">
        <f t="shared" si="44"/>
        <v>0</v>
      </c>
      <c r="BR133" s="1" t="str">
        <f t="shared" si="39"/>
        <v/>
      </c>
      <c r="BS133" s="1">
        <f t="shared" si="40"/>
        <v>0</v>
      </c>
      <c r="BT133" s="4">
        <f t="shared" si="45"/>
        <v>0</v>
      </c>
      <c r="BU133" s="39">
        <f t="shared" si="46"/>
        <v>0</v>
      </c>
      <c r="BV133" s="1">
        <f t="shared" si="47"/>
        <v>0</v>
      </c>
      <c r="BW133">
        <f t="shared" si="48"/>
        <v>0</v>
      </c>
      <c r="BX133">
        <f t="shared" si="49"/>
        <v>0</v>
      </c>
    </row>
    <row r="134" spans="58:76" x14ac:dyDescent="0.2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39">
        <f t="shared" si="34"/>
        <v>0</v>
      </c>
      <c r="BI134" s="1">
        <f t="shared" si="34"/>
        <v>0</v>
      </c>
      <c r="BJ134" s="1">
        <f t="shared" si="35"/>
        <v>0</v>
      </c>
      <c r="BK134" s="1">
        <f t="shared" si="41"/>
        <v>0</v>
      </c>
      <c r="BL134" s="1">
        <f t="shared" si="36"/>
        <v>0</v>
      </c>
      <c r="BM134" s="10" t="str">
        <f t="shared" si="37"/>
        <v/>
      </c>
      <c r="BN134" s="39">
        <f t="shared" si="42"/>
        <v>0</v>
      </c>
      <c r="BO134" s="39">
        <f t="shared" si="43"/>
        <v>0</v>
      </c>
      <c r="BP134" s="1">
        <f t="shared" si="38"/>
        <v>0</v>
      </c>
      <c r="BQ134" s="1">
        <f t="shared" si="44"/>
        <v>0</v>
      </c>
      <c r="BR134" s="1" t="str">
        <f t="shared" si="39"/>
        <v/>
      </c>
      <c r="BS134" s="1">
        <f t="shared" si="40"/>
        <v>0</v>
      </c>
      <c r="BT134" s="4">
        <f t="shared" si="45"/>
        <v>0</v>
      </c>
      <c r="BU134" s="39">
        <f t="shared" si="46"/>
        <v>0</v>
      </c>
      <c r="BV134" s="1">
        <f t="shared" si="47"/>
        <v>0</v>
      </c>
      <c r="BW134">
        <f t="shared" si="48"/>
        <v>0</v>
      </c>
      <c r="BX134">
        <f t="shared" si="49"/>
        <v>0</v>
      </c>
    </row>
    <row r="135" spans="58:76" x14ac:dyDescent="0.2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39">
        <f t="shared" si="34"/>
        <v>0</v>
      </c>
      <c r="BI135" s="1">
        <f t="shared" si="34"/>
        <v>0</v>
      </c>
      <c r="BJ135" s="1">
        <f t="shared" si="35"/>
        <v>0</v>
      </c>
      <c r="BK135" s="1">
        <f t="shared" si="41"/>
        <v>0</v>
      </c>
      <c r="BL135" s="1">
        <f t="shared" si="36"/>
        <v>0</v>
      </c>
      <c r="BM135" s="10" t="str">
        <f t="shared" si="37"/>
        <v/>
      </c>
      <c r="BN135" s="39">
        <f t="shared" si="42"/>
        <v>0</v>
      </c>
      <c r="BO135" s="39">
        <f t="shared" si="43"/>
        <v>0</v>
      </c>
      <c r="BP135" s="1">
        <f t="shared" si="38"/>
        <v>0</v>
      </c>
      <c r="BQ135" s="1">
        <f t="shared" si="44"/>
        <v>0</v>
      </c>
      <c r="BR135" s="1" t="str">
        <f t="shared" si="39"/>
        <v/>
      </c>
      <c r="BS135" s="1">
        <f t="shared" si="40"/>
        <v>0</v>
      </c>
      <c r="BT135" s="4">
        <f t="shared" si="45"/>
        <v>0</v>
      </c>
      <c r="BU135" s="39">
        <f t="shared" si="46"/>
        <v>0</v>
      </c>
      <c r="BV135" s="1">
        <f t="shared" si="47"/>
        <v>0</v>
      </c>
      <c r="BW135">
        <f t="shared" si="48"/>
        <v>0</v>
      </c>
      <c r="BX135">
        <f t="shared" si="49"/>
        <v>0</v>
      </c>
    </row>
    <row r="136" spans="58:76" x14ac:dyDescent="0.2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39">
        <f t="shared" si="34"/>
        <v>0</v>
      </c>
      <c r="BI136" s="1">
        <f t="shared" si="34"/>
        <v>0</v>
      </c>
      <c r="BJ136" s="1">
        <f t="shared" si="35"/>
        <v>0</v>
      </c>
      <c r="BK136" s="1">
        <f t="shared" si="41"/>
        <v>0</v>
      </c>
      <c r="BL136" s="1">
        <f t="shared" si="36"/>
        <v>0</v>
      </c>
      <c r="BM136" s="10" t="str">
        <f t="shared" si="37"/>
        <v/>
      </c>
      <c r="BN136" s="39">
        <f t="shared" si="42"/>
        <v>0</v>
      </c>
      <c r="BO136" s="39">
        <f t="shared" si="43"/>
        <v>0</v>
      </c>
      <c r="BP136" s="1">
        <f t="shared" si="38"/>
        <v>0</v>
      </c>
      <c r="BQ136" s="1">
        <f t="shared" si="44"/>
        <v>0</v>
      </c>
      <c r="BR136" s="1" t="str">
        <f t="shared" si="39"/>
        <v/>
      </c>
      <c r="BS136" s="1">
        <f t="shared" si="40"/>
        <v>0</v>
      </c>
      <c r="BT136" s="4">
        <f t="shared" si="45"/>
        <v>0</v>
      </c>
      <c r="BU136" s="39">
        <f t="shared" si="46"/>
        <v>0</v>
      </c>
      <c r="BV136" s="1">
        <f t="shared" si="47"/>
        <v>0</v>
      </c>
      <c r="BW136">
        <f t="shared" si="48"/>
        <v>0</v>
      </c>
      <c r="BX136">
        <f t="shared" si="49"/>
        <v>0</v>
      </c>
    </row>
    <row r="137" spans="58:76" x14ac:dyDescent="0.2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39">
        <f t="shared" si="34"/>
        <v>0</v>
      </c>
      <c r="BI137" s="1">
        <f t="shared" si="34"/>
        <v>0</v>
      </c>
      <c r="BJ137" s="1">
        <f t="shared" si="35"/>
        <v>0</v>
      </c>
      <c r="BK137" s="1">
        <f t="shared" si="41"/>
        <v>0</v>
      </c>
      <c r="BL137" s="1">
        <f t="shared" si="36"/>
        <v>0</v>
      </c>
      <c r="BM137" s="10" t="str">
        <f t="shared" si="37"/>
        <v/>
      </c>
      <c r="BN137" s="39">
        <f t="shared" si="42"/>
        <v>0</v>
      </c>
      <c r="BO137" s="39">
        <f t="shared" si="43"/>
        <v>0</v>
      </c>
      <c r="BP137" s="1">
        <f t="shared" si="38"/>
        <v>0</v>
      </c>
      <c r="BQ137" s="1">
        <f t="shared" si="44"/>
        <v>0</v>
      </c>
      <c r="BR137" s="1" t="str">
        <f t="shared" si="39"/>
        <v/>
      </c>
      <c r="BS137" s="1">
        <f t="shared" si="40"/>
        <v>0</v>
      </c>
      <c r="BT137" s="4">
        <f t="shared" si="45"/>
        <v>0</v>
      </c>
      <c r="BU137" s="39">
        <f t="shared" si="46"/>
        <v>0</v>
      </c>
      <c r="BV137" s="1">
        <f t="shared" si="47"/>
        <v>0</v>
      </c>
      <c r="BW137">
        <f t="shared" si="48"/>
        <v>0</v>
      </c>
      <c r="BX137">
        <f t="shared" si="49"/>
        <v>0</v>
      </c>
    </row>
    <row r="138" spans="58:76" x14ac:dyDescent="0.2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39">
        <f t="shared" si="34"/>
        <v>0</v>
      </c>
      <c r="BI138" s="1">
        <f t="shared" si="34"/>
        <v>0</v>
      </c>
      <c r="BJ138" s="1">
        <f t="shared" si="35"/>
        <v>0</v>
      </c>
      <c r="BK138" s="1">
        <f t="shared" si="41"/>
        <v>0</v>
      </c>
      <c r="BL138" s="1">
        <f t="shared" si="36"/>
        <v>0</v>
      </c>
      <c r="BM138" s="10" t="str">
        <f t="shared" si="37"/>
        <v/>
      </c>
      <c r="BN138" s="39">
        <f t="shared" si="42"/>
        <v>0</v>
      </c>
      <c r="BO138" s="39">
        <f t="shared" si="43"/>
        <v>0</v>
      </c>
      <c r="BP138" s="1">
        <f t="shared" si="38"/>
        <v>0</v>
      </c>
      <c r="BQ138" s="1">
        <f t="shared" si="44"/>
        <v>0</v>
      </c>
      <c r="BR138" s="1" t="str">
        <f t="shared" si="39"/>
        <v/>
      </c>
      <c r="BS138" s="1">
        <f t="shared" si="40"/>
        <v>0</v>
      </c>
      <c r="BT138" s="4">
        <f t="shared" si="45"/>
        <v>0</v>
      </c>
      <c r="BU138" s="39">
        <f t="shared" si="46"/>
        <v>0</v>
      </c>
      <c r="BV138" s="1">
        <f t="shared" si="47"/>
        <v>0</v>
      </c>
      <c r="BW138">
        <f t="shared" si="48"/>
        <v>0</v>
      </c>
      <c r="BX138">
        <f t="shared" si="49"/>
        <v>0</v>
      </c>
    </row>
    <row r="139" spans="58:76" x14ac:dyDescent="0.2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39">
        <f t="shared" si="34"/>
        <v>0</v>
      </c>
      <c r="BI139" s="1">
        <f t="shared" si="34"/>
        <v>0</v>
      </c>
      <c r="BJ139" s="1">
        <f t="shared" si="35"/>
        <v>0</v>
      </c>
      <c r="BK139" s="1">
        <f t="shared" si="41"/>
        <v>0</v>
      </c>
      <c r="BL139" s="1">
        <f t="shared" si="36"/>
        <v>0</v>
      </c>
      <c r="BM139" s="10" t="str">
        <f t="shared" si="37"/>
        <v/>
      </c>
      <c r="BN139" s="39">
        <f t="shared" si="42"/>
        <v>0</v>
      </c>
      <c r="BO139" s="39">
        <f t="shared" si="43"/>
        <v>0</v>
      </c>
      <c r="BP139" s="1">
        <f t="shared" si="38"/>
        <v>0</v>
      </c>
      <c r="BQ139" s="1">
        <f t="shared" si="44"/>
        <v>0</v>
      </c>
      <c r="BR139" s="1" t="str">
        <f t="shared" si="39"/>
        <v/>
      </c>
      <c r="BS139" s="1">
        <f t="shared" si="40"/>
        <v>0</v>
      </c>
      <c r="BT139" s="4">
        <f t="shared" si="45"/>
        <v>0</v>
      </c>
      <c r="BU139" s="39">
        <f t="shared" si="46"/>
        <v>0</v>
      </c>
      <c r="BV139" s="1">
        <f t="shared" si="47"/>
        <v>0</v>
      </c>
      <c r="BW139">
        <f t="shared" si="48"/>
        <v>0</v>
      </c>
      <c r="BX139">
        <f t="shared" si="49"/>
        <v>0</v>
      </c>
    </row>
    <row r="140" spans="58:76" x14ac:dyDescent="0.2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39">
        <f t="shared" si="34"/>
        <v>0</v>
      </c>
      <c r="BI140" s="1">
        <f t="shared" si="34"/>
        <v>0</v>
      </c>
      <c r="BJ140" s="1">
        <f t="shared" si="35"/>
        <v>0</v>
      </c>
      <c r="BK140" s="1">
        <f t="shared" si="41"/>
        <v>0</v>
      </c>
      <c r="BL140" s="1">
        <f t="shared" si="36"/>
        <v>0</v>
      </c>
      <c r="BM140" s="10" t="str">
        <f t="shared" si="37"/>
        <v/>
      </c>
      <c r="BN140" s="39">
        <f t="shared" si="42"/>
        <v>0</v>
      </c>
      <c r="BO140" s="39">
        <f t="shared" si="43"/>
        <v>0</v>
      </c>
      <c r="BP140" s="1">
        <f t="shared" si="38"/>
        <v>0</v>
      </c>
      <c r="BQ140" s="1">
        <f t="shared" si="44"/>
        <v>0</v>
      </c>
      <c r="BR140" s="1" t="str">
        <f t="shared" si="39"/>
        <v/>
      </c>
      <c r="BS140" s="1">
        <f t="shared" si="40"/>
        <v>0</v>
      </c>
      <c r="BT140" s="4">
        <f t="shared" si="45"/>
        <v>0</v>
      </c>
      <c r="BU140" s="39">
        <f t="shared" si="46"/>
        <v>0</v>
      </c>
      <c r="BV140" s="1">
        <f t="shared" si="47"/>
        <v>0</v>
      </c>
      <c r="BW140">
        <f t="shared" si="48"/>
        <v>0</v>
      </c>
      <c r="BX140">
        <f t="shared" si="49"/>
        <v>0</v>
      </c>
    </row>
    <row r="141" spans="58:76" x14ac:dyDescent="0.2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39">
        <f t="shared" si="34"/>
        <v>0</v>
      </c>
      <c r="BI141" s="1">
        <f t="shared" si="34"/>
        <v>0</v>
      </c>
      <c r="BJ141" s="1">
        <f t="shared" si="35"/>
        <v>0</v>
      </c>
      <c r="BK141" s="1">
        <f t="shared" si="41"/>
        <v>0</v>
      </c>
      <c r="BL141" s="1">
        <f t="shared" si="36"/>
        <v>0</v>
      </c>
      <c r="BM141" s="10" t="str">
        <f t="shared" si="37"/>
        <v/>
      </c>
      <c r="BN141" s="39">
        <f t="shared" si="42"/>
        <v>0</v>
      </c>
      <c r="BO141" s="39">
        <f t="shared" si="43"/>
        <v>0</v>
      </c>
      <c r="BP141" s="1">
        <f t="shared" si="38"/>
        <v>0</v>
      </c>
      <c r="BQ141" s="1">
        <f t="shared" si="44"/>
        <v>0</v>
      </c>
      <c r="BR141" s="1" t="str">
        <f t="shared" si="39"/>
        <v/>
      </c>
      <c r="BS141" s="1">
        <f t="shared" si="40"/>
        <v>0</v>
      </c>
      <c r="BT141" s="4">
        <f t="shared" si="45"/>
        <v>0</v>
      </c>
      <c r="BU141" s="39">
        <f t="shared" si="46"/>
        <v>0</v>
      </c>
      <c r="BV141" s="1">
        <f t="shared" si="47"/>
        <v>0</v>
      </c>
      <c r="BW141">
        <f t="shared" si="48"/>
        <v>0</v>
      </c>
      <c r="BX141">
        <f t="shared" si="49"/>
        <v>0</v>
      </c>
    </row>
    <row r="142" spans="58:76" x14ac:dyDescent="0.2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39">
        <f t="shared" si="34"/>
        <v>0</v>
      </c>
      <c r="BI142" s="1">
        <f t="shared" si="34"/>
        <v>0</v>
      </c>
      <c r="BJ142" s="1">
        <f t="shared" si="35"/>
        <v>0</v>
      </c>
      <c r="BK142" s="1">
        <f t="shared" si="41"/>
        <v>0</v>
      </c>
      <c r="BL142" s="1">
        <f t="shared" si="36"/>
        <v>0</v>
      </c>
      <c r="BM142" s="10" t="str">
        <f t="shared" si="37"/>
        <v/>
      </c>
      <c r="BN142" s="39">
        <f t="shared" si="42"/>
        <v>0</v>
      </c>
      <c r="BO142" s="39">
        <f t="shared" si="43"/>
        <v>0</v>
      </c>
      <c r="BP142" s="1">
        <f t="shared" si="38"/>
        <v>0</v>
      </c>
      <c r="BQ142" s="1">
        <f t="shared" si="44"/>
        <v>0</v>
      </c>
      <c r="BR142" s="1" t="str">
        <f t="shared" si="39"/>
        <v/>
      </c>
      <c r="BS142" s="1">
        <f t="shared" si="40"/>
        <v>0</v>
      </c>
      <c r="BT142" s="4">
        <f t="shared" si="45"/>
        <v>0</v>
      </c>
      <c r="BU142" s="39">
        <f t="shared" si="46"/>
        <v>0</v>
      </c>
      <c r="BV142" s="1">
        <f t="shared" si="47"/>
        <v>0</v>
      </c>
      <c r="BW142">
        <f t="shared" si="48"/>
        <v>0</v>
      </c>
      <c r="BX142">
        <f t="shared" si="49"/>
        <v>0</v>
      </c>
    </row>
    <row r="143" spans="58:76" x14ac:dyDescent="0.2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39">
        <f t="shared" si="34"/>
        <v>0</v>
      </c>
      <c r="BI143" s="1">
        <f t="shared" si="34"/>
        <v>0</v>
      </c>
      <c r="BJ143" s="1">
        <f t="shared" si="35"/>
        <v>0</v>
      </c>
      <c r="BK143" s="1">
        <f t="shared" si="41"/>
        <v>0</v>
      </c>
      <c r="BL143" s="1">
        <f t="shared" si="36"/>
        <v>0</v>
      </c>
      <c r="BM143" s="10" t="str">
        <f t="shared" si="37"/>
        <v/>
      </c>
      <c r="BN143" s="39">
        <f t="shared" si="42"/>
        <v>0</v>
      </c>
      <c r="BO143" s="39">
        <f t="shared" si="43"/>
        <v>0</v>
      </c>
      <c r="BP143" s="1">
        <f t="shared" si="38"/>
        <v>0</v>
      </c>
      <c r="BQ143" s="1">
        <f t="shared" si="44"/>
        <v>0</v>
      </c>
      <c r="BR143" s="1" t="str">
        <f t="shared" si="39"/>
        <v/>
      </c>
      <c r="BS143" s="1">
        <f t="shared" si="40"/>
        <v>0</v>
      </c>
      <c r="BT143" s="4">
        <f t="shared" si="45"/>
        <v>0</v>
      </c>
      <c r="BU143" s="39">
        <f t="shared" si="46"/>
        <v>0</v>
      </c>
      <c r="BV143" s="1">
        <f t="shared" si="47"/>
        <v>0</v>
      </c>
      <c r="BW143">
        <f t="shared" si="48"/>
        <v>0</v>
      </c>
      <c r="BX143">
        <f t="shared" si="49"/>
        <v>0</v>
      </c>
    </row>
    <row r="144" spans="58:76" x14ac:dyDescent="0.2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39">
        <f t="shared" si="34"/>
        <v>0</v>
      </c>
      <c r="BI144" s="1">
        <f t="shared" si="34"/>
        <v>0</v>
      </c>
      <c r="BJ144" s="1">
        <f t="shared" si="35"/>
        <v>0</v>
      </c>
      <c r="BK144" s="1">
        <f t="shared" si="41"/>
        <v>0</v>
      </c>
      <c r="BL144" s="1">
        <f t="shared" si="36"/>
        <v>0</v>
      </c>
      <c r="BM144" s="10" t="str">
        <f t="shared" si="37"/>
        <v/>
      </c>
      <c r="BN144" s="39">
        <f t="shared" si="42"/>
        <v>0</v>
      </c>
      <c r="BO144" s="39">
        <f t="shared" si="43"/>
        <v>0</v>
      </c>
      <c r="BP144" s="1">
        <f t="shared" si="38"/>
        <v>0</v>
      </c>
      <c r="BQ144" s="1">
        <f t="shared" si="44"/>
        <v>0</v>
      </c>
      <c r="BR144" s="1" t="str">
        <f t="shared" si="39"/>
        <v/>
      </c>
      <c r="BS144" s="1">
        <f t="shared" si="40"/>
        <v>0</v>
      </c>
      <c r="BT144" s="4">
        <f t="shared" si="45"/>
        <v>0</v>
      </c>
      <c r="BU144" s="39">
        <f t="shared" si="46"/>
        <v>0</v>
      </c>
      <c r="BV144" s="1">
        <f t="shared" si="47"/>
        <v>0</v>
      </c>
      <c r="BW144">
        <f t="shared" si="48"/>
        <v>0</v>
      </c>
      <c r="BX144">
        <f t="shared" si="49"/>
        <v>0</v>
      </c>
    </row>
    <row r="145" spans="58:76" x14ac:dyDescent="0.2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39">
        <f t="shared" si="34"/>
        <v>0</v>
      </c>
      <c r="BI145" s="1">
        <f t="shared" si="34"/>
        <v>0</v>
      </c>
      <c r="BJ145" s="1">
        <f t="shared" si="35"/>
        <v>0</v>
      </c>
      <c r="BK145" s="1">
        <f t="shared" si="41"/>
        <v>0</v>
      </c>
      <c r="BL145" s="1">
        <f t="shared" si="36"/>
        <v>0</v>
      </c>
      <c r="BM145" s="10" t="str">
        <f t="shared" si="37"/>
        <v/>
      </c>
      <c r="BN145" s="39">
        <f t="shared" si="42"/>
        <v>0</v>
      </c>
      <c r="BO145" s="39">
        <f t="shared" si="43"/>
        <v>0</v>
      </c>
      <c r="BP145" s="1">
        <f t="shared" si="38"/>
        <v>0</v>
      </c>
      <c r="BQ145" s="1">
        <f t="shared" si="44"/>
        <v>0</v>
      </c>
      <c r="BR145" s="1" t="str">
        <f t="shared" si="39"/>
        <v/>
      </c>
      <c r="BS145" s="1">
        <f t="shared" si="40"/>
        <v>0</v>
      </c>
      <c r="BT145" s="4">
        <f t="shared" si="45"/>
        <v>0</v>
      </c>
      <c r="BU145" s="39">
        <f t="shared" si="46"/>
        <v>0</v>
      </c>
      <c r="BV145" s="1">
        <f t="shared" si="47"/>
        <v>0</v>
      </c>
      <c r="BW145">
        <f t="shared" si="48"/>
        <v>0</v>
      </c>
      <c r="BX145">
        <f t="shared" si="49"/>
        <v>0</v>
      </c>
    </row>
    <row r="146" spans="58:76" x14ac:dyDescent="0.2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39">
        <f t="shared" si="34"/>
        <v>0</v>
      </c>
      <c r="BI146" s="1">
        <f t="shared" si="34"/>
        <v>0</v>
      </c>
      <c r="BJ146" s="1">
        <f t="shared" si="35"/>
        <v>0</v>
      </c>
      <c r="BK146" s="1">
        <f t="shared" si="41"/>
        <v>0</v>
      </c>
      <c r="BL146" s="1">
        <f t="shared" si="36"/>
        <v>0</v>
      </c>
      <c r="BM146" s="10" t="str">
        <f t="shared" si="37"/>
        <v/>
      </c>
      <c r="BN146" s="39">
        <f t="shared" si="42"/>
        <v>0</v>
      </c>
      <c r="BO146" s="39">
        <f t="shared" si="43"/>
        <v>0</v>
      </c>
      <c r="BP146" s="1">
        <f t="shared" si="38"/>
        <v>0</v>
      </c>
      <c r="BQ146" s="1">
        <f t="shared" si="44"/>
        <v>0</v>
      </c>
      <c r="BR146" s="1" t="str">
        <f t="shared" si="39"/>
        <v/>
      </c>
      <c r="BS146" s="1">
        <f t="shared" si="40"/>
        <v>0</v>
      </c>
      <c r="BT146" s="4">
        <f t="shared" si="45"/>
        <v>0</v>
      </c>
      <c r="BU146" s="39">
        <f t="shared" si="46"/>
        <v>0</v>
      </c>
      <c r="BV146" s="1">
        <f t="shared" si="47"/>
        <v>0</v>
      </c>
      <c r="BW146">
        <f t="shared" si="48"/>
        <v>0</v>
      </c>
      <c r="BX146">
        <f t="shared" si="49"/>
        <v>0</v>
      </c>
    </row>
    <row r="147" spans="58:76" x14ac:dyDescent="0.2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39">
        <f t="shared" si="34"/>
        <v>0</v>
      </c>
      <c r="BI147" s="1">
        <f t="shared" si="34"/>
        <v>0</v>
      </c>
      <c r="BJ147" s="1">
        <f t="shared" si="35"/>
        <v>0</v>
      </c>
      <c r="BK147" s="1">
        <f t="shared" si="41"/>
        <v>0</v>
      </c>
      <c r="BL147" s="1">
        <f t="shared" si="36"/>
        <v>0</v>
      </c>
      <c r="BM147" s="10" t="str">
        <f t="shared" si="37"/>
        <v/>
      </c>
      <c r="BN147" s="39">
        <f t="shared" si="42"/>
        <v>0</v>
      </c>
      <c r="BO147" s="39">
        <f t="shared" si="43"/>
        <v>0</v>
      </c>
      <c r="BP147" s="1">
        <f t="shared" si="38"/>
        <v>0</v>
      </c>
      <c r="BQ147" s="1">
        <f t="shared" si="44"/>
        <v>0</v>
      </c>
      <c r="BR147" s="1" t="str">
        <f t="shared" si="39"/>
        <v/>
      </c>
      <c r="BS147" s="1">
        <f t="shared" si="40"/>
        <v>0</v>
      </c>
      <c r="BT147" s="4">
        <f t="shared" si="45"/>
        <v>0</v>
      </c>
      <c r="BU147" s="39">
        <f t="shared" si="46"/>
        <v>0</v>
      </c>
      <c r="BV147" s="1">
        <f t="shared" si="47"/>
        <v>0</v>
      </c>
      <c r="BW147">
        <f t="shared" si="48"/>
        <v>0</v>
      </c>
      <c r="BX147">
        <f t="shared" si="49"/>
        <v>0</v>
      </c>
    </row>
    <row r="148" spans="58:76" x14ac:dyDescent="0.2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39">
        <f t="shared" si="34"/>
        <v>0</v>
      </c>
      <c r="BI148" s="1">
        <f t="shared" si="34"/>
        <v>0</v>
      </c>
      <c r="BJ148" s="1">
        <f t="shared" si="35"/>
        <v>0</v>
      </c>
      <c r="BK148" s="1">
        <f t="shared" si="41"/>
        <v>0</v>
      </c>
      <c r="BL148" s="1">
        <f t="shared" si="36"/>
        <v>0</v>
      </c>
      <c r="BM148" s="10" t="str">
        <f t="shared" si="37"/>
        <v/>
      </c>
      <c r="BN148" s="39">
        <f t="shared" si="42"/>
        <v>0</v>
      </c>
      <c r="BO148" s="39">
        <f t="shared" si="43"/>
        <v>0</v>
      </c>
      <c r="BP148" s="1">
        <f t="shared" si="38"/>
        <v>0</v>
      </c>
      <c r="BQ148" s="1">
        <f t="shared" si="44"/>
        <v>0</v>
      </c>
      <c r="BR148" s="1" t="str">
        <f t="shared" si="39"/>
        <v/>
      </c>
      <c r="BS148" s="1">
        <f t="shared" si="40"/>
        <v>0</v>
      </c>
      <c r="BT148" s="4">
        <f t="shared" si="45"/>
        <v>0</v>
      </c>
      <c r="BU148" s="39">
        <f t="shared" si="46"/>
        <v>0</v>
      </c>
      <c r="BV148" s="1">
        <f t="shared" si="47"/>
        <v>0</v>
      </c>
      <c r="BW148">
        <f t="shared" si="48"/>
        <v>0</v>
      </c>
      <c r="BX148">
        <f t="shared" si="49"/>
        <v>0</v>
      </c>
    </row>
    <row r="149" spans="58:76" x14ac:dyDescent="0.2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39">
        <f t="shared" si="34"/>
        <v>0</v>
      </c>
      <c r="BI149" s="1">
        <f t="shared" si="34"/>
        <v>0</v>
      </c>
      <c r="BJ149" s="1">
        <f t="shared" si="35"/>
        <v>0</v>
      </c>
      <c r="BK149" s="1">
        <f t="shared" si="41"/>
        <v>0</v>
      </c>
      <c r="BL149" s="1">
        <f t="shared" si="36"/>
        <v>0</v>
      </c>
      <c r="BM149" s="10" t="str">
        <f t="shared" si="37"/>
        <v/>
      </c>
      <c r="BN149" s="39">
        <f t="shared" si="42"/>
        <v>0</v>
      </c>
      <c r="BO149" s="39">
        <f t="shared" si="43"/>
        <v>0</v>
      </c>
      <c r="BP149" s="1">
        <f t="shared" si="38"/>
        <v>0</v>
      </c>
      <c r="BQ149" s="1">
        <f t="shared" si="44"/>
        <v>0</v>
      </c>
      <c r="BR149" s="1" t="str">
        <f t="shared" si="39"/>
        <v/>
      </c>
      <c r="BS149" s="1">
        <f t="shared" si="40"/>
        <v>0</v>
      </c>
      <c r="BT149" s="4">
        <f t="shared" si="45"/>
        <v>0</v>
      </c>
      <c r="BU149" s="39">
        <f t="shared" si="46"/>
        <v>0</v>
      </c>
      <c r="BV149" s="1">
        <f t="shared" si="47"/>
        <v>0</v>
      </c>
      <c r="BW149">
        <f t="shared" si="48"/>
        <v>0</v>
      </c>
      <c r="BX149">
        <f t="shared" si="49"/>
        <v>0</v>
      </c>
    </row>
    <row r="150" spans="58:76" x14ac:dyDescent="0.2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39">
        <f t="shared" si="34"/>
        <v>0</v>
      </c>
      <c r="BI150" s="1">
        <f t="shared" si="34"/>
        <v>0</v>
      </c>
      <c r="BJ150" s="1">
        <f t="shared" si="35"/>
        <v>0</v>
      </c>
      <c r="BK150" s="1">
        <f t="shared" si="41"/>
        <v>0</v>
      </c>
      <c r="BL150" s="1">
        <f t="shared" si="36"/>
        <v>0</v>
      </c>
      <c r="BM150" s="10" t="str">
        <f t="shared" si="37"/>
        <v/>
      </c>
      <c r="BN150" s="39">
        <f t="shared" si="42"/>
        <v>0</v>
      </c>
      <c r="BO150" s="39">
        <f t="shared" si="43"/>
        <v>0</v>
      </c>
      <c r="BP150" s="1">
        <f t="shared" si="38"/>
        <v>0</v>
      </c>
      <c r="BQ150" s="1">
        <f t="shared" si="44"/>
        <v>0</v>
      </c>
      <c r="BR150" s="1" t="str">
        <f t="shared" si="39"/>
        <v/>
      </c>
      <c r="BS150" s="1">
        <f t="shared" si="40"/>
        <v>0</v>
      </c>
      <c r="BT150" s="4">
        <f t="shared" si="45"/>
        <v>0</v>
      </c>
      <c r="BU150" s="39">
        <f t="shared" si="46"/>
        <v>0</v>
      </c>
      <c r="BV150" s="1">
        <f t="shared" si="47"/>
        <v>0</v>
      </c>
      <c r="BW150">
        <f t="shared" si="48"/>
        <v>0</v>
      </c>
      <c r="BX150">
        <f t="shared" si="49"/>
        <v>0</v>
      </c>
    </row>
    <row r="151" spans="58:76" x14ac:dyDescent="0.2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39">
        <f t="shared" si="34"/>
        <v>0</v>
      </c>
      <c r="BI151" s="1">
        <f t="shared" si="34"/>
        <v>0</v>
      </c>
      <c r="BJ151" s="1">
        <f t="shared" si="35"/>
        <v>0</v>
      </c>
      <c r="BK151" s="1">
        <f t="shared" si="41"/>
        <v>0</v>
      </c>
      <c r="BL151" s="1">
        <f t="shared" si="36"/>
        <v>0</v>
      </c>
      <c r="BM151" s="10" t="str">
        <f t="shared" si="37"/>
        <v/>
      </c>
      <c r="BN151" s="39">
        <f t="shared" si="42"/>
        <v>0</v>
      </c>
      <c r="BO151" s="39">
        <f t="shared" si="43"/>
        <v>0</v>
      </c>
      <c r="BP151" s="1">
        <f t="shared" si="38"/>
        <v>0</v>
      </c>
      <c r="BQ151" s="1">
        <f t="shared" si="44"/>
        <v>0</v>
      </c>
      <c r="BR151" s="1" t="str">
        <f t="shared" si="39"/>
        <v/>
      </c>
      <c r="BS151" s="1">
        <f t="shared" si="40"/>
        <v>0</v>
      </c>
      <c r="BT151" s="4">
        <f t="shared" si="45"/>
        <v>0</v>
      </c>
      <c r="BU151" s="39">
        <f t="shared" si="46"/>
        <v>0</v>
      </c>
      <c r="BV151" s="1">
        <f t="shared" si="47"/>
        <v>0</v>
      </c>
      <c r="BW151">
        <f t="shared" si="48"/>
        <v>0</v>
      </c>
      <c r="BX151">
        <f t="shared" si="49"/>
        <v>0</v>
      </c>
    </row>
    <row r="152" spans="58:76" x14ac:dyDescent="0.2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39">
        <f t="shared" si="34"/>
        <v>0</v>
      </c>
      <c r="BI152" s="1">
        <f t="shared" si="34"/>
        <v>0</v>
      </c>
      <c r="BJ152" s="1">
        <f t="shared" si="35"/>
        <v>0</v>
      </c>
      <c r="BK152" s="1">
        <f t="shared" si="41"/>
        <v>0</v>
      </c>
      <c r="BL152" s="1">
        <f t="shared" si="36"/>
        <v>0</v>
      </c>
      <c r="BM152" s="10" t="str">
        <f t="shared" si="37"/>
        <v/>
      </c>
      <c r="BN152" s="39">
        <f t="shared" si="42"/>
        <v>0</v>
      </c>
      <c r="BO152" s="39">
        <f t="shared" si="43"/>
        <v>0</v>
      </c>
      <c r="BP152" s="1">
        <f t="shared" si="38"/>
        <v>0</v>
      </c>
      <c r="BQ152" s="1">
        <f t="shared" si="44"/>
        <v>0</v>
      </c>
      <c r="BR152" s="1" t="str">
        <f t="shared" si="39"/>
        <v/>
      </c>
      <c r="BS152" s="1">
        <f t="shared" si="40"/>
        <v>0</v>
      </c>
      <c r="BT152" s="4">
        <f t="shared" si="45"/>
        <v>0</v>
      </c>
      <c r="BU152" s="39">
        <f t="shared" si="46"/>
        <v>0</v>
      </c>
      <c r="BV152" s="1">
        <f t="shared" si="47"/>
        <v>0</v>
      </c>
      <c r="BW152">
        <f t="shared" si="48"/>
        <v>0</v>
      </c>
      <c r="BX152">
        <f t="shared" si="49"/>
        <v>0</v>
      </c>
    </row>
    <row r="153" spans="58:76" x14ac:dyDescent="0.2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39">
        <f t="shared" si="34"/>
        <v>0</v>
      </c>
      <c r="BI153" s="1">
        <f t="shared" si="34"/>
        <v>0</v>
      </c>
      <c r="BJ153" s="1">
        <f t="shared" si="35"/>
        <v>0</v>
      </c>
      <c r="BK153" s="1">
        <f t="shared" si="41"/>
        <v>0</v>
      </c>
      <c r="BL153" s="1">
        <f t="shared" si="36"/>
        <v>0</v>
      </c>
      <c r="BM153" s="10" t="str">
        <f t="shared" si="37"/>
        <v/>
      </c>
      <c r="BN153" s="39">
        <f t="shared" si="42"/>
        <v>0</v>
      </c>
      <c r="BO153" s="39">
        <f t="shared" si="43"/>
        <v>0</v>
      </c>
      <c r="BP153" s="1">
        <f t="shared" si="38"/>
        <v>0</v>
      </c>
      <c r="BQ153" s="1">
        <f t="shared" si="44"/>
        <v>0</v>
      </c>
      <c r="BR153" s="1" t="str">
        <f t="shared" si="39"/>
        <v/>
      </c>
      <c r="BS153" s="1">
        <f t="shared" si="40"/>
        <v>0</v>
      </c>
      <c r="BT153" s="4">
        <f t="shared" si="45"/>
        <v>0</v>
      </c>
      <c r="BU153" s="39">
        <f t="shared" si="46"/>
        <v>0</v>
      </c>
      <c r="BV153" s="1">
        <f t="shared" si="47"/>
        <v>0</v>
      </c>
      <c r="BW153">
        <f t="shared" si="48"/>
        <v>0</v>
      </c>
      <c r="BX153">
        <f t="shared" si="49"/>
        <v>0</v>
      </c>
    </row>
    <row r="154" spans="58:76" x14ac:dyDescent="0.2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39">
        <f t="shared" si="34"/>
        <v>0</v>
      </c>
      <c r="BI154" s="1">
        <f t="shared" si="34"/>
        <v>0</v>
      </c>
      <c r="BJ154" s="1">
        <f t="shared" si="35"/>
        <v>0</v>
      </c>
      <c r="BK154" s="1">
        <f t="shared" si="41"/>
        <v>0</v>
      </c>
      <c r="BL154" s="1">
        <f t="shared" si="36"/>
        <v>0</v>
      </c>
      <c r="BM154" s="10" t="str">
        <f t="shared" si="37"/>
        <v/>
      </c>
      <c r="BN154" s="39">
        <f t="shared" si="42"/>
        <v>0</v>
      </c>
      <c r="BO154" s="39">
        <f t="shared" si="43"/>
        <v>0</v>
      </c>
      <c r="BP154" s="1">
        <f t="shared" si="38"/>
        <v>0</v>
      </c>
      <c r="BQ154" s="1">
        <f t="shared" si="44"/>
        <v>0</v>
      </c>
      <c r="BR154" s="1" t="str">
        <f t="shared" si="39"/>
        <v/>
      </c>
      <c r="BS154" s="1">
        <f t="shared" si="40"/>
        <v>0</v>
      </c>
      <c r="BT154" s="4">
        <f t="shared" si="45"/>
        <v>0</v>
      </c>
      <c r="BU154" s="39">
        <f t="shared" si="46"/>
        <v>0</v>
      </c>
      <c r="BV154" s="1">
        <f t="shared" si="47"/>
        <v>0</v>
      </c>
      <c r="BW154">
        <f t="shared" si="48"/>
        <v>0</v>
      </c>
      <c r="BX154">
        <f t="shared" si="49"/>
        <v>0</v>
      </c>
    </row>
    <row r="155" spans="58:76" x14ac:dyDescent="0.2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39">
        <f t="shared" si="34"/>
        <v>0</v>
      </c>
      <c r="BI155" s="1">
        <f t="shared" si="34"/>
        <v>0</v>
      </c>
      <c r="BJ155" s="1">
        <f t="shared" si="35"/>
        <v>0</v>
      </c>
      <c r="BK155" s="1">
        <f t="shared" si="41"/>
        <v>0</v>
      </c>
      <c r="BL155" s="1">
        <f t="shared" si="36"/>
        <v>0</v>
      </c>
      <c r="BM155" s="10" t="str">
        <f t="shared" si="37"/>
        <v/>
      </c>
      <c r="BN155" s="39">
        <f t="shared" si="42"/>
        <v>0</v>
      </c>
      <c r="BO155" s="39">
        <f t="shared" si="43"/>
        <v>0</v>
      </c>
      <c r="BP155" s="1">
        <f t="shared" si="38"/>
        <v>0</v>
      </c>
      <c r="BQ155" s="1">
        <f t="shared" si="44"/>
        <v>0</v>
      </c>
      <c r="BR155" s="1" t="str">
        <f t="shared" si="39"/>
        <v/>
      </c>
      <c r="BS155" s="1">
        <f t="shared" si="40"/>
        <v>0</v>
      </c>
      <c r="BT155" s="4">
        <f t="shared" si="45"/>
        <v>0</v>
      </c>
      <c r="BU155" s="39">
        <f t="shared" si="46"/>
        <v>0</v>
      </c>
      <c r="BV155" s="1">
        <f t="shared" si="47"/>
        <v>0</v>
      </c>
      <c r="BW155">
        <f t="shared" si="48"/>
        <v>0</v>
      </c>
      <c r="BX155">
        <f t="shared" si="49"/>
        <v>0</v>
      </c>
    </row>
    <row r="156" spans="58:76" x14ac:dyDescent="0.2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39">
        <f t="shared" si="34"/>
        <v>0</v>
      </c>
      <c r="BI156" s="1">
        <f t="shared" si="34"/>
        <v>0</v>
      </c>
      <c r="BJ156" s="1">
        <f t="shared" si="35"/>
        <v>0</v>
      </c>
      <c r="BK156" s="1">
        <f t="shared" si="41"/>
        <v>0</v>
      </c>
      <c r="BL156" s="1">
        <f t="shared" si="36"/>
        <v>0</v>
      </c>
      <c r="BM156" s="10" t="str">
        <f t="shared" si="37"/>
        <v/>
      </c>
      <c r="BN156" s="39">
        <f t="shared" si="42"/>
        <v>0</v>
      </c>
      <c r="BO156" s="39">
        <f t="shared" si="43"/>
        <v>0</v>
      </c>
      <c r="BP156" s="1">
        <f t="shared" si="38"/>
        <v>0</v>
      </c>
      <c r="BQ156" s="1">
        <f t="shared" si="44"/>
        <v>0</v>
      </c>
      <c r="BR156" s="1" t="str">
        <f t="shared" si="39"/>
        <v/>
      </c>
      <c r="BS156" s="1">
        <f t="shared" si="40"/>
        <v>0</v>
      </c>
      <c r="BT156" s="4">
        <f t="shared" si="45"/>
        <v>0</v>
      </c>
      <c r="BU156" s="39">
        <f t="shared" si="46"/>
        <v>0</v>
      </c>
      <c r="BV156" s="1">
        <f t="shared" si="47"/>
        <v>0</v>
      </c>
      <c r="BW156">
        <f t="shared" si="48"/>
        <v>0</v>
      </c>
      <c r="BX156">
        <f t="shared" si="49"/>
        <v>0</v>
      </c>
    </row>
    <row r="157" spans="58:76" x14ac:dyDescent="0.2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39">
        <f t="shared" si="34"/>
        <v>0</v>
      </c>
      <c r="BI157" s="1">
        <f t="shared" si="34"/>
        <v>0</v>
      </c>
      <c r="BJ157" s="1">
        <f t="shared" si="35"/>
        <v>0</v>
      </c>
      <c r="BK157" s="1">
        <f t="shared" si="41"/>
        <v>0</v>
      </c>
      <c r="BL157" s="1">
        <f t="shared" si="36"/>
        <v>0</v>
      </c>
      <c r="BM157" s="10" t="str">
        <f t="shared" si="37"/>
        <v/>
      </c>
      <c r="BN157" s="39">
        <f t="shared" si="42"/>
        <v>0</v>
      </c>
      <c r="BO157" s="39">
        <f t="shared" si="43"/>
        <v>0</v>
      </c>
      <c r="BP157" s="1">
        <f t="shared" si="38"/>
        <v>0</v>
      </c>
      <c r="BQ157" s="1">
        <f t="shared" si="44"/>
        <v>0</v>
      </c>
      <c r="BR157" s="1" t="str">
        <f t="shared" si="39"/>
        <v/>
      </c>
      <c r="BS157" s="1">
        <f t="shared" si="40"/>
        <v>0</v>
      </c>
      <c r="BT157" s="4">
        <f t="shared" si="45"/>
        <v>0</v>
      </c>
      <c r="BU157" s="39">
        <f t="shared" si="46"/>
        <v>0</v>
      </c>
      <c r="BV157" s="1">
        <f t="shared" si="47"/>
        <v>0</v>
      </c>
      <c r="BW157">
        <f t="shared" si="48"/>
        <v>0</v>
      </c>
      <c r="BX157">
        <f t="shared" si="49"/>
        <v>0</v>
      </c>
    </row>
    <row r="158" spans="58:76" x14ac:dyDescent="0.2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39">
        <f t="shared" si="34"/>
        <v>0</v>
      </c>
      <c r="BI158" s="1">
        <f t="shared" si="34"/>
        <v>0</v>
      </c>
      <c r="BJ158" s="1">
        <f t="shared" si="35"/>
        <v>0</v>
      </c>
      <c r="BK158" s="1">
        <f t="shared" si="41"/>
        <v>0</v>
      </c>
      <c r="BL158" s="1">
        <f t="shared" si="36"/>
        <v>0</v>
      </c>
      <c r="BM158" s="10" t="str">
        <f t="shared" si="37"/>
        <v/>
      </c>
      <c r="BN158" s="39">
        <f t="shared" si="42"/>
        <v>0</v>
      </c>
      <c r="BO158" s="39">
        <f t="shared" si="43"/>
        <v>0</v>
      </c>
      <c r="BP158" s="1">
        <f t="shared" si="38"/>
        <v>0</v>
      </c>
      <c r="BQ158" s="1">
        <f t="shared" si="44"/>
        <v>0</v>
      </c>
      <c r="BR158" s="1" t="str">
        <f t="shared" si="39"/>
        <v/>
      </c>
      <c r="BS158" s="1">
        <f t="shared" si="40"/>
        <v>0</v>
      </c>
      <c r="BT158" s="4">
        <f t="shared" si="45"/>
        <v>0</v>
      </c>
      <c r="BU158" s="39">
        <f t="shared" si="46"/>
        <v>0</v>
      </c>
      <c r="BV158" s="1">
        <f t="shared" si="47"/>
        <v>0</v>
      </c>
      <c r="BW158">
        <f t="shared" si="48"/>
        <v>0</v>
      </c>
      <c r="BX158">
        <f t="shared" si="49"/>
        <v>0</v>
      </c>
    </row>
    <row r="159" spans="58:76" x14ac:dyDescent="0.2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39">
        <f t="shared" si="34"/>
        <v>0</v>
      </c>
      <c r="BI159" s="1">
        <f t="shared" si="34"/>
        <v>0</v>
      </c>
      <c r="BJ159" s="1">
        <f t="shared" si="35"/>
        <v>0</v>
      </c>
      <c r="BK159" s="1">
        <f t="shared" si="41"/>
        <v>0</v>
      </c>
      <c r="BL159" s="1">
        <f t="shared" si="36"/>
        <v>0</v>
      </c>
      <c r="BM159" s="10" t="str">
        <f t="shared" si="37"/>
        <v/>
      </c>
      <c r="BN159" s="39">
        <f t="shared" si="42"/>
        <v>0</v>
      </c>
      <c r="BO159" s="39">
        <f t="shared" si="43"/>
        <v>0</v>
      </c>
      <c r="BP159" s="1">
        <f t="shared" si="38"/>
        <v>0</v>
      </c>
      <c r="BQ159" s="1">
        <f t="shared" si="44"/>
        <v>0</v>
      </c>
      <c r="BR159" s="1" t="str">
        <f t="shared" si="39"/>
        <v/>
      </c>
      <c r="BS159" s="1">
        <f t="shared" si="40"/>
        <v>0</v>
      </c>
      <c r="BT159" s="4">
        <f t="shared" si="45"/>
        <v>0</v>
      </c>
      <c r="BU159" s="39">
        <f t="shared" si="46"/>
        <v>0</v>
      </c>
      <c r="BV159" s="1">
        <f t="shared" si="47"/>
        <v>0</v>
      </c>
      <c r="BW159">
        <f t="shared" si="48"/>
        <v>0</v>
      </c>
      <c r="BX159">
        <f t="shared" si="49"/>
        <v>0</v>
      </c>
    </row>
    <row r="160" spans="58:76" x14ac:dyDescent="0.2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39">
        <f t="shared" si="34"/>
        <v>0</v>
      </c>
      <c r="BI160" s="1">
        <f t="shared" si="34"/>
        <v>0</v>
      </c>
      <c r="BJ160" s="1">
        <f t="shared" si="35"/>
        <v>0</v>
      </c>
      <c r="BK160" s="1">
        <f t="shared" si="41"/>
        <v>0</v>
      </c>
      <c r="BL160" s="1">
        <f t="shared" si="36"/>
        <v>0</v>
      </c>
      <c r="BM160" s="10" t="str">
        <f t="shared" si="37"/>
        <v/>
      </c>
      <c r="BN160" s="39">
        <f t="shared" si="42"/>
        <v>0</v>
      </c>
      <c r="BO160" s="39">
        <f t="shared" si="43"/>
        <v>0</v>
      </c>
      <c r="BP160" s="1">
        <f t="shared" si="38"/>
        <v>0</v>
      </c>
      <c r="BQ160" s="1">
        <f t="shared" si="44"/>
        <v>0</v>
      </c>
      <c r="BR160" s="1" t="str">
        <f t="shared" si="39"/>
        <v/>
      </c>
      <c r="BS160" s="1">
        <f t="shared" si="40"/>
        <v>0</v>
      </c>
      <c r="BT160" s="4">
        <f t="shared" si="45"/>
        <v>0</v>
      </c>
      <c r="BU160" s="39">
        <f t="shared" si="46"/>
        <v>0</v>
      </c>
      <c r="BV160" s="1">
        <f t="shared" si="47"/>
        <v>0</v>
      </c>
      <c r="BW160">
        <f t="shared" si="48"/>
        <v>0</v>
      </c>
      <c r="BX160">
        <f t="shared" si="49"/>
        <v>0</v>
      </c>
    </row>
    <row r="161" spans="58:76" x14ac:dyDescent="0.2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39">
        <f t="shared" si="34"/>
        <v>0</v>
      </c>
      <c r="BI161" s="1">
        <f t="shared" si="34"/>
        <v>0</v>
      </c>
      <c r="BJ161" s="1">
        <f t="shared" si="35"/>
        <v>0</v>
      </c>
      <c r="BK161" s="1">
        <f t="shared" si="41"/>
        <v>0</v>
      </c>
      <c r="BL161" s="1">
        <f t="shared" si="36"/>
        <v>0</v>
      </c>
      <c r="BM161" s="10" t="str">
        <f t="shared" si="37"/>
        <v/>
      </c>
      <c r="BN161" s="39">
        <f t="shared" si="42"/>
        <v>0</v>
      </c>
      <c r="BO161" s="39">
        <f t="shared" si="43"/>
        <v>0</v>
      </c>
      <c r="BP161" s="1">
        <f t="shared" si="38"/>
        <v>0</v>
      </c>
      <c r="BQ161" s="1">
        <f t="shared" si="44"/>
        <v>0</v>
      </c>
      <c r="BR161" s="1" t="str">
        <f t="shared" si="39"/>
        <v/>
      </c>
      <c r="BS161" s="1">
        <f t="shared" si="40"/>
        <v>0</v>
      </c>
      <c r="BT161" s="4">
        <f t="shared" si="45"/>
        <v>0</v>
      </c>
      <c r="BU161" s="39">
        <f t="shared" si="46"/>
        <v>0</v>
      </c>
      <c r="BV161" s="1">
        <f t="shared" si="47"/>
        <v>0</v>
      </c>
      <c r="BW161">
        <f t="shared" si="48"/>
        <v>0</v>
      </c>
      <c r="BX161">
        <f t="shared" si="49"/>
        <v>0</v>
      </c>
    </row>
    <row r="162" spans="58:76" x14ac:dyDescent="0.2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39">
        <f t="shared" ref="BH162:BI185" si="50">VALUE(T162)</f>
        <v>0</v>
      </c>
      <c r="BI162" s="1">
        <f t="shared" si="50"/>
        <v>0</v>
      </c>
      <c r="BJ162" s="1">
        <f t="shared" si="35"/>
        <v>0</v>
      </c>
      <c r="BK162" s="1">
        <f t="shared" si="41"/>
        <v>0</v>
      </c>
      <c r="BL162" s="1">
        <f t="shared" si="36"/>
        <v>0</v>
      </c>
      <c r="BM162" s="10" t="str">
        <f t="shared" si="37"/>
        <v/>
      </c>
      <c r="BN162" s="39">
        <f t="shared" si="42"/>
        <v>0</v>
      </c>
      <c r="BO162" s="39">
        <f t="shared" si="43"/>
        <v>0</v>
      </c>
      <c r="BP162" s="1">
        <f t="shared" si="38"/>
        <v>0</v>
      </c>
      <c r="BQ162" s="1">
        <f t="shared" si="44"/>
        <v>0</v>
      </c>
      <c r="BR162" s="1" t="str">
        <f t="shared" si="39"/>
        <v/>
      </c>
      <c r="BS162" s="1">
        <f t="shared" si="40"/>
        <v>0</v>
      </c>
      <c r="BT162" s="4">
        <f t="shared" si="45"/>
        <v>0</v>
      </c>
      <c r="BU162" s="39">
        <f t="shared" si="46"/>
        <v>0</v>
      </c>
      <c r="BV162" s="1">
        <f t="shared" si="47"/>
        <v>0</v>
      </c>
      <c r="BW162">
        <f t="shared" si="48"/>
        <v>0</v>
      </c>
      <c r="BX162">
        <f t="shared" si="49"/>
        <v>0</v>
      </c>
    </row>
    <row r="163" spans="58:76" x14ac:dyDescent="0.2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39">
        <f t="shared" si="50"/>
        <v>0</v>
      </c>
      <c r="BI163" s="1">
        <f t="shared" si="50"/>
        <v>0</v>
      </c>
      <c r="BJ163" s="1">
        <f t="shared" si="35"/>
        <v>0</v>
      </c>
      <c r="BK163" s="1">
        <f t="shared" si="41"/>
        <v>0</v>
      </c>
      <c r="BL163" s="1">
        <f t="shared" si="36"/>
        <v>0</v>
      </c>
      <c r="BM163" s="10" t="str">
        <f t="shared" si="37"/>
        <v/>
      </c>
      <c r="BN163" s="39">
        <f t="shared" si="42"/>
        <v>0</v>
      </c>
      <c r="BO163" s="39">
        <f t="shared" si="43"/>
        <v>0</v>
      </c>
      <c r="BP163" s="1">
        <f t="shared" si="38"/>
        <v>0</v>
      </c>
      <c r="BQ163" s="1">
        <f t="shared" si="44"/>
        <v>0</v>
      </c>
      <c r="BR163" s="1" t="str">
        <f t="shared" si="39"/>
        <v/>
      </c>
      <c r="BS163" s="1">
        <f t="shared" si="40"/>
        <v>0</v>
      </c>
      <c r="BT163" s="4">
        <f t="shared" si="45"/>
        <v>0</v>
      </c>
      <c r="BU163" s="39">
        <f t="shared" si="46"/>
        <v>0</v>
      </c>
      <c r="BV163" s="1">
        <f t="shared" si="47"/>
        <v>0</v>
      </c>
      <c r="BW163">
        <f t="shared" si="48"/>
        <v>0</v>
      </c>
      <c r="BX163">
        <f t="shared" si="49"/>
        <v>0</v>
      </c>
    </row>
    <row r="164" spans="58:76" x14ac:dyDescent="0.2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39">
        <f t="shared" si="50"/>
        <v>0</v>
      </c>
      <c r="BI164" s="1">
        <f t="shared" si="50"/>
        <v>0</v>
      </c>
      <c r="BJ164" s="1">
        <f t="shared" si="35"/>
        <v>0</v>
      </c>
      <c r="BK164" s="1">
        <f t="shared" si="41"/>
        <v>0</v>
      </c>
      <c r="BL164" s="1">
        <f t="shared" si="36"/>
        <v>0</v>
      </c>
      <c r="BM164" s="10" t="str">
        <f t="shared" si="37"/>
        <v/>
      </c>
      <c r="BN164" s="39">
        <f t="shared" si="42"/>
        <v>0</v>
      </c>
      <c r="BO164" s="39">
        <f t="shared" si="43"/>
        <v>0</v>
      </c>
      <c r="BP164" s="1">
        <f t="shared" si="38"/>
        <v>0</v>
      </c>
      <c r="BQ164" s="1">
        <f t="shared" si="44"/>
        <v>0</v>
      </c>
      <c r="BR164" s="1" t="str">
        <f t="shared" si="39"/>
        <v/>
      </c>
      <c r="BS164" s="1">
        <f t="shared" si="40"/>
        <v>0</v>
      </c>
      <c r="BT164" s="4">
        <f t="shared" si="45"/>
        <v>0</v>
      </c>
      <c r="BU164" s="39">
        <f t="shared" si="46"/>
        <v>0</v>
      </c>
      <c r="BV164" s="1">
        <f t="shared" si="47"/>
        <v>0</v>
      </c>
      <c r="BW164">
        <f t="shared" si="48"/>
        <v>0</v>
      </c>
      <c r="BX164">
        <f t="shared" si="49"/>
        <v>0</v>
      </c>
    </row>
    <row r="165" spans="58:76" x14ac:dyDescent="0.2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39">
        <f t="shared" si="50"/>
        <v>0</v>
      </c>
      <c r="BI165" s="1">
        <f t="shared" si="50"/>
        <v>0</v>
      </c>
      <c r="BJ165" s="1">
        <f t="shared" si="35"/>
        <v>0</v>
      </c>
      <c r="BK165" s="1">
        <f t="shared" si="41"/>
        <v>0</v>
      </c>
      <c r="BL165" s="1">
        <f t="shared" si="36"/>
        <v>0</v>
      </c>
      <c r="BM165" s="10" t="str">
        <f t="shared" si="37"/>
        <v/>
      </c>
      <c r="BN165" s="39">
        <f t="shared" si="42"/>
        <v>0</v>
      </c>
      <c r="BO165" s="39">
        <f t="shared" si="43"/>
        <v>0</v>
      </c>
      <c r="BP165" s="1">
        <f t="shared" si="38"/>
        <v>0</v>
      </c>
      <c r="BQ165" s="1">
        <f t="shared" si="44"/>
        <v>0</v>
      </c>
      <c r="BR165" s="1" t="str">
        <f t="shared" si="39"/>
        <v/>
      </c>
      <c r="BS165" s="1">
        <f t="shared" si="40"/>
        <v>0</v>
      </c>
      <c r="BT165" s="4">
        <f t="shared" si="45"/>
        <v>0</v>
      </c>
      <c r="BU165" s="39">
        <f t="shared" si="46"/>
        <v>0</v>
      </c>
      <c r="BV165" s="1">
        <f t="shared" si="47"/>
        <v>0</v>
      </c>
      <c r="BW165">
        <f t="shared" si="48"/>
        <v>0</v>
      </c>
      <c r="BX165">
        <f t="shared" si="49"/>
        <v>0</v>
      </c>
    </row>
    <row r="166" spans="58:76" x14ac:dyDescent="0.2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39">
        <f t="shared" si="50"/>
        <v>0</v>
      </c>
      <c r="BI166" s="1">
        <f t="shared" si="50"/>
        <v>0</v>
      </c>
      <c r="BJ166" s="1">
        <f t="shared" si="35"/>
        <v>0</v>
      </c>
      <c r="BK166" s="1">
        <f t="shared" si="41"/>
        <v>0</v>
      </c>
      <c r="BL166" s="1">
        <f t="shared" si="36"/>
        <v>0</v>
      </c>
      <c r="BM166" s="10" t="str">
        <f t="shared" si="37"/>
        <v/>
      </c>
      <c r="BN166" s="39">
        <f t="shared" si="42"/>
        <v>0</v>
      </c>
      <c r="BO166" s="39">
        <f t="shared" si="43"/>
        <v>0</v>
      </c>
      <c r="BP166" s="1">
        <f t="shared" si="38"/>
        <v>0</v>
      </c>
      <c r="BQ166" s="1">
        <f t="shared" si="44"/>
        <v>0</v>
      </c>
      <c r="BR166" s="1" t="str">
        <f t="shared" si="39"/>
        <v/>
      </c>
      <c r="BS166" s="1">
        <f t="shared" si="40"/>
        <v>0</v>
      </c>
      <c r="BT166" s="4">
        <f t="shared" si="45"/>
        <v>0</v>
      </c>
      <c r="BU166" s="39">
        <f t="shared" si="46"/>
        <v>0</v>
      </c>
      <c r="BV166" s="1">
        <f t="shared" si="47"/>
        <v>0</v>
      </c>
      <c r="BW166">
        <f t="shared" si="48"/>
        <v>0</v>
      </c>
      <c r="BX166">
        <f t="shared" si="49"/>
        <v>0</v>
      </c>
    </row>
    <row r="167" spans="58:76" x14ac:dyDescent="0.2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39">
        <f t="shared" si="50"/>
        <v>0</v>
      </c>
      <c r="BI167" s="1">
        <f t="shared" si="50"/>
        <v>0</v>
      </c>
      <c r="BJ167" s="1">
        <f t="shared" si="35"/>
        <v>0</v>
      </c>
      <c r="BK167" s="1">
        <f t="shared" si="41"/>
        <v>0</v>
      </c>
      <c r="BL167" s="1">
        <f t="shared" si="36"/>
        <v>0</v>
      </c>
      <c r="BM167" s="10" t="str">
        <f t="shared" si="37"/>
        <v/>
      </c>
      <c r="BN167" s="39">
        <f t="shared" si="42"/>
        <v>0</v>
      </c>
      <c r="BO167" s="39">
        <f t="shared" si="43"/>
        <v>0</v>
      </c>
      <c r="BP167" s="1">
        <f t="shared" si="38"/>
        <v>0</v>
      </c>
      <c r="BQ167" s="1">
        <f t="shared" si="44"/>
        <v>0</v>
      </c>
      <c r="BR167" s="1" t="str">
        <f t="shared" si="39"/>
        <v/>
      </c>
      <c r="BS167" s="1">
        <f t="shared" si="40"/>
        <v>0</v>
      </c>
      <c r="BT167" s="4">
        <f t="shared" si="45"/>
        <v>0</v>
      </c>
      <c r="BU167" s="39">
        <f t="shared" si="46"/>
        <v>0</v>
      </c>
      <c r="BV167" s="1">
        <f t="shared" si="47"/>
        <v>0</v>
      </c>
      <c r="BW167">
        <f t="shared" si="48"/>
        <v>0</v>
      </c>
      <c r="BX167">
        <f t="shared" si="49"/>
        <v>0</v>
      </c>
    </row>
    <row r="168" spans="58:76" x14ac:dyDescent="0.2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39">
        <f t="shared" si="50"/>
        <v>0</v>
      </c>
      <c r="BI168" s="1">
        <f t="shared" si="50"/>
        <v>0</v>
      </c>
      <c r="BJ168" s="1">
        <f t="shared" si="35"/>
        <v>0</v>
      </c>
      <c r="BK168" s="1">
        <f t="shared" si="41"/>
        <v>0</v>
      </c>
      <c r="BL168" s="1">
        <f t="shared" si="36"/>
        <v>0</v>
      </c>
      <c r="BM168" s="10" t="str">
        <f t="shared" si="37"/>
        <v/>
      </c>
      <c r="BN168" s="39">
        <f t="shared" si="42"/>
        <v>0</v>
      </c>
      <c r="BO168" s="39">
        <f t="shared" si="43"/>
        <v>0</v>
      </c>
      <c r="BP168" s="1">
        <f t="shared" si="38"/>
        <v>0</v>
      </c>
      <c r="BQ168" s="1">
        <f t="shared" si="44"/>
        <v>0</v>
      </c>
      <c r="BR168" s="1" t="str">
        <f t="shared" si="39"/>
        <v/>
      </c>
      <c r="BS168" s="1">
        <f t="shared" si="40"/>
        <v>0</v>
      </c>
      <c r="BT168" s="4">
        <f t="shared" si="45"/>
        <v>0</v>
      </c>
      <c r="BU168" s="39">
        <f t="shared" si="46"/>
        <v>0</v>
      </c>
      <c r="BV168" s="1">
        <f t="shared" si="47"/>
        <v>0</v>
      </c>
      <c r="BW168">
        <f t="shared" si="48"/>
        <v>0</v>
      </c>
      <c r="BX168">
        <f t="shared" si="49"/>
        <v>0</v>
      </c>
    </row>
    <row r="169" spans="58:76" x14ac:dyDescent="0.2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39">
        <f t="shared" si="50"/>
        <v>0</v>
      </c>
      <c r="BI169" s="1">
        <f t="shared" si="50"/>
        <v>0</v>
      </c>
      <c r="BJ169" s="1">
        <f t="shared" si="35"/>
        <v>0</v>
      </c>
      <c r="BK169" s="1">
        <f t="shared" si="41"/>
        <v>0</v>
      </c>
      <c r="BL169" s="1">
        <f t="shared" si="36"/>
        <v>0</v>
      </c>
      <c r="BM169" s="10" t="str">
        <f t="shared" si="37"/>
        <v/>
      </c>
      <c r="BN169" s="39">
        <f t="shared" si="42"/>
        <v>0</v>
      </c>
      <c r="BO169" s="39">
        <f t="shared" si="43"/>
        <v>0</v>
      </c>
      <c r="BP169" s="1">
        <f t="shared" si="38"/>
        <v>0</v>
      </c>
      <c r="BQ169" s="1">
        <f t="shared" si="44"/>
        <v>0</v>
      </c>
      <c r="BR169" s="1" t="str">
        <f t="shared" si="39"/>
        <v/>
      </c>
      <c r="BS169" s="1">
        <f t="shared" si="40"/>
        <v>0</v>
      </c>
      <c r="BT169" s="4">
        <f t="shared" si="45"/>
        <v>0</v>
      </c>
      <c r="BU169" s="39">
        <f t="shared" si="46"/>
        <v>0</v>
      </c>
      <c r="BV169" s="1">
        <f t="shared" si="47"/>
        <v>0</v>
      </c>
      <c r="BW169">
        <f t="shared" si="48"/>
        <v>0</v>
      </c>
      <c r="BX169">
        <f t="shared" si="49"/>
        <v>0</v>
      </c>
    </row>
    <row r="170" spans="58:76" x14ac:dyDescent="0.2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39">
        <f t="shared" si="50"/>
        <v>0</v>
      </c>
      <c r="BI170" s="1">
        <f t="shared" si="50"/>
        <v>0</v>
      </c>
      <c r="BJ170" s="1">
        <f t="shared" si="35"/>
        <v>0</v>
      </c>
      <c r="BK170" s="1">
        <f t="shared" si="41"/>
        <v>0</v>
      </c>
      <c r="BL170" s="1">
        <f t="shared" si="36"/>
        <v>0</v>
      </c>
      <c r="BM170" s="10" t="str">
        <f t="shared" si="37"/>
        <v/>
      </c>
      <c r="BN170" s="39">
        <f t="shared" si="42"/>
        <v>0</v>
      </c>
      <c r="BO170" s="39">
        <f t="shared" si="43"/>
        <v>0</v>
      </c>
      <c r="BP170" s="1">
        <f t="shared" si="38"/>
        <v>0</v>
      </c>
      <c r="BQ170" s="1">
        <f t="shared" si="44"/>
        <v>0</v>
      </c>
      <c r="BR170" s="1" t="str">
        <f t="shared" si="39"/>
        <v/>
      </c>
      <c r="BS170" s="1">
        <f t="shared" si="40"/>
        <v>0</v>
      </c>
      <c r="BT170" s="4">
        <f t="shared" si="45"/>
        <v>0</v>
      </c>
      <c r="BU170" s="39">
        <f t="shared" si="46"/>
        <v>0</v>
      </c>
      <c r="BV170" s="1">
        <f t="shared" si="47"/>
        <v>0</v>
      </c>
      <c r="BW170">
        <f t="shared" si="48"/>
        <v>0</v>
      </c>
      <c r="BX170">
        <f t="shared" si="49"/>
        <v>0</v>
      </c>
    </row>
    <row r="171" spans="58:76" x14ac:dyDescent="0.2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39">
        <f t="shared" si="50"/>
        <v>0</v>
      </c>
      <c r="BI171" s="1">
        <f t="shared" si="50"/>
        <v>0</v>
      </c>
      <c r="BJ171" s="1">
        <f t="shared" si="35"/>
        <v>0</v>
      </c>
      <c r="BK171" s="1">
        <f t="shared" si="41"/>
        <v>0</v>
      </c>
      <c r="BL171" s="1">
        <f t="shared" si="36"/>
        <v>0</v>
      </c>
      <c r="BM171" s="10" t="str">
        <f t="shared" si="37"/>
        <v/>
      </c>
      <c r="BN171" s="39">
        <f t="shared" si="42"/>
        <v>0</v>
      </c>
      <c r="BO171" s="39">
        <f t="shared" si="43"/>
        <v>0</v>
      </c>
      <c r="BP171" s="1">
        <f t="shared" si="38"/>
        <v>0</v>
      </c>
      <c r="BQ171" s="1">
        <f t="shared" si="44"/>
        <v>0</v>
      </c>
      <c r="BR171" s="1" t="str">
        <f t="shared" si="39"/>
        <v/>
      </c>
      <c r="BS171" s="1">
        <f t="shared" si="40"/>
        <v>0</v>
      </c>
      <c r="BT171" s="4">
        <f t="shared" si="45"/>
        <v>0</v>
      </c>
      <c r="BU171" s="39">
        <f t="shared" si="46"/>
        <v>0</v>
      </c>
      <c r="BV171" s="1">
        <f t="shared" si="47"/>
        <v>0</v>
      </c>
      <c r="BW171">
        <f t="shared" si="48"/>
        <v>0</v>
      </c>
      <c r="BX171">
        <f t="shared" si="49"/>
        <v>0</v>
      </c>
    </row>
    <row r="172" spans="58:76" x14ac:dyDescent="0.2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39">
        <f t="shared" si="50"/>
        <v>0</v>
      </c>
      <c r="BI172" s="1">
        <f t="shared" si="50"/>
        <v>0</v>
      </c>
      <c r="BJ172" s="1">
        <f t="shared" si="35"/>
        <v>0</v>
      </c>
      <c r="BK172" s="1">
        <f t="shared" si="41"/>
        <v>0</v>
      </c>
      <c r="BL172" s="1">
        <f t="shared" si="36"/>
        <v>0</v>
      </c>
      <c r="BM172" s="10" t="str">
        <f t="shared" si="37"/>
        <v/>
      </c>
      <c r="BN172" s="39">
        <f t="shared" si="42"/>
        <v>0</v>
      </c>
      <c r="BO172" s="39">
        <f t="shared" si="43"/>
        <v>0</v>
      </c>
      <c r="BP172" s="1">
        <f t="shared" si="38"/>
        <v>0</v>
      </c>
      <c r="BQ172" s="1">
        <f t="shared" si="44"/>
        <v>0</v>
      </c>
      <c r="BR172" s="1" t="str">
        <f t="shared" si="39"/>
        <v/>
      </c>
      <c r="BS172" s="1">
        <f t="shared" si="40"/>
        <v>0</v>
      </c>
      <c r="BT172" s="4">
        <f t="shared" si="45"/>
        <v>0</v>
      </c>
      <c r="BU172" s="39">
        <f t="shared" si="46"/>
        <v>0</v>
      </c>
      <c r="BV172" s="1">
        <f t="shared" si="47"/>
        <v>0</v>
      </c>
      <c r="BW172">
        <f t="shared" si="48"/>
        <v>0</v>
      </c>
      <c r="BX172">
        <f t="shared" si="49"/>
        <v>0</v>
      </c>
    </row>
    <row r="173" spans="58:76" x14ac:dyDescent="0.2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39">
        <f t="shared" si="50"/>
        <v>0</v>
      </c>
      <c r="BI173" s="1">
        <f t="shared" si="50"/>
        <v>0</v>
      </c>
      <c r="BJ173" s="1">
        <f t="shared" si="35"/>
        <v>0</v>
      </c>
      <c r="BK173" s="1">
        <f t="shared" si="41"/>
        <v>0</v>
      </c>
      <c r="BL173" s="1">
        <f t="shared" si="36"/>
        <v>0</v>
      </c>
      <c r="BM173" s="10" t="str">
        <f t="shared" si="37"/>
        <v/>
      </c>
      <c r="BN173" s="39">
        <f t="shared" si="42"/>
        <v>0</v>
      </c>
      <c r="BO173" s="39">
        <f t="shared" si="43"/>
        <v>0</v>
      </c>
      <c r="BP173" s="1">
        <f t="shared" si="38"/>
        <v>0</v>
      </c>
      <c r="BQ173" s="1">
        <f t="shared" si="44"/>
        <v>0</v>
      </c>
      <c r="BR173" s="1" t="str">
        <f t="shared" si="39"/>
        <v/>
      </c>
      <c r="BS173" s="1">
        <f t="shared" si="40"/>
        <v>0</v>
      </c>
      <c r="BT173" s="4">
        <f t="shared" si="45"/>
        <v>0</v>
      </c>
      <c r="BU173" s="39">
        <f t="shared" si="46"/>
        <v>0</v>
      </c>
      <c r="BV173" s="1">
        <f t="shared" si="47"/>
        <v>0</v>
      </c>
      <c r="BW173">
        <f t="shared" si="48"/>
        <v>0</v>
      </c>
      <c r="BX173">
        <f t="shared" si="49"/>
        <v>0</v>
      </c>
    </row>
    <row r="174" spans="58:76" x14ac:dyDescent="0.2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39">
        <f t="shared" si="50"/>
        <v>0</v>
      </c>
      <c r="BI174" s="1">
        <f t="shared" si="50"/>
        <v>0</v>
      </c>
      <c r="BJ174" s="1">
        <f t="shared" si="35"/>
        <v>0</v>
      </c>
      <c r="BK174" s="1">
        <f t="shared" si="41"/>
        <v>0</v>
      </c>
      <c r="BL174" s="1">
        <f t="shared" si="36"/>
        <v>0</v>
      </c>
      <c r="BM174" s="10" t="str">
        <f t="shared" si="37"/>
        <v/>
      </c>
      <c r="BN174" s="39">
        <f t="shared" si="42"/>
        <v>0</v>
      </c>
      <c r="BO174" s="39">
        <f t="shared" si="43"/>
        <v>0</v>
      </c>
      <c r="BP174" s="1">
        <f t="shared" si="38"/>
        <v>0</v>
      </c>
      <c r="BQ174" s="1">
        <f t="shared" si="44"/>
        <v>0</v>
      </c>
      <c r="BR174" s="1" t="str">
        <f t="shared" si="39"/>
        <v/>
      </c>
      <c r="BS174" s="1">
        <f t="shared" si="40"/>
        <v>0</v>
      </c>
      <c r="BT174" s="4">
        <f t="shared" si="45"/>
        <v>0</v>
      </c>
      <c r="BU174" s="39">
        <f t="shared" si="46"/>
        <v>0</v>
      </c>
      <c r="BV174" s="1">
        <f t="shared" si="47"/>
        <v>0</v>
      </c>
      <c r="BW174">
        <f t="shared" si="48"/>
        <v>0</v>
      </c>
      <c r="BX174">
        <f t="shared" si="49"/>
        <v>0</v>
      </c>
    </row>
    <row r="175" spans="58:76" x14ac:dyDescent="0.2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39">
        <f t="shared" si="50"/>
        <v>0</v>
      </c>
      <c r="BI175" s="1">
        <f t="shared" si="50"/>
        <v>0</v>
      </c>
      <c r="BJ175" s="1">
        <f t="shared" si="35"/>
        <v>0</v>
      </c>
      <c r="BK175" s="1">
        <f t="shared" si="41"/>
        <v>0</v>
      </c>
      <c r="BL175" s="1">
        <f t="shared" si="36"/>
        <v>0</v>
      </c>
      <c r="BM175" s="10" t="str">
        <f t="shared" si="37"/>
        <v/>
      </c>
      <c r="BN175" s="39">
        <f t="shared" si="42"/>
        <v>0</v>
      </c>
      <c r="BO175" s="39">
        <f t="shared" si="43"/>
        <v>0</v>
      </c>
      <c r="BP175" s="1">
        <f t="shared" si="38"/>
        <v>0</v>
      </c>
      <c r="BQ175" s="1">
        <f t="shared" si="44"/>
        <v>0</v>
      </c>
      <c r="BR175" s="1" t="str">
        <f t="shared" si="39"/>
        <v/>
      </c>
      <c r="BS175" s="1">
        <f t="shared" si="40"/>
        <v>0</v>
      </c>
      <c r="BT175" s="4">
        <f t="shared" si="45"/>
        <v>0</v>
      </c>
      <c r="BU175" s="39">
        <f t="shared" si="46"/>
        <v>0</v>
      </c>
      <c r="BV175" s="1">
        <f t="shared" si="47"/>
        <v>0</v>
      </c>
      <c r="BW175">
        <f t="shared" si="48"/>
        <v>0</v>
      </c>
      <c r="BX175">
        <f t="shared" si="49"/>
        <v>0</v>
      </c>
    </row>
    <row r="176" spans="58:76" x14ac:dyDescent="0.2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39">
        <f t="shared" si="50"/>
        <v>0</v>
      </c>
      <c r="BI176" s="1">
        <f t="shared" si="50"/>
        <v>0</v>
      </c>
      <c r="BJ176" s="1">
        <f t="shared" si="35"/>
        <v>0</v>
      </c>
      <c r="BK176" s="1">
        <f t="shared" si="41"/>
        <v>0</v>
      </c>
      <c r="BL176" s="1">
        <f t="shared" si="36"/>
        <v>0</v>
      </c>
      <c r="BM176" s="10" t="str">
        <f t="shared" si="37"/>
        <v/>
      </c>
      <c r="BN176" s="39">
        <f t="shared" si="42"/>
        <v>0</v>
      </c>
      <c r="BO176" s="39">
        <f t="shared" si="43"/>
        <v>0</v>
      </c>
      <c r="BP176" s="1">
        <f t="shared" si="38"/>
        <v>0</v>
      </c>
      <c r="BQ176" s="1">
        <f t="shared" si="44"/>
        <v>0</v>
      </c>
      <c r="BR176" s="1" t="str">
        <f t="shared" si="39"/>
        <v/>
      </c>
      <c r="BS176" s="1">
        <f t="shared" si="40"/>
        <v>0</v>
      </c>
      <c r="BT176" s="4">
        <f t="shared" si="45"/>
        <v>0</v>
      </c>
      <c r="BU176" s="39">
        <f t="shared" si="46"/>
        <v>0</v>
      </c>
      <c r="BV176" s="1">
        <f t="shared" si="47"/>
        <v>0</v>
      </c>
      <c r="BW176">
        <f t="shared" si="48"/>
        <v>0</v>
      </c>
      <c r="BX176">
        <f t="shared" si="49"/>
        <v>0</v>
      </c>
    </row>
    <row r="177" spans="58:76" x14ac:dyDescent="0.2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39">
        <f t="shared" si="50"/>
        <v>0</v>
      </c>
      <c r="BI177" s="1">
        <f t="shared" si="50"/>
        <v>0</v>
      </c>
      <c r="BJ177" s="1">
        <f t="shared" si="35"/>
        <v>0</v>
      </c>
      <c r="BK177" s="1">
        <f t="shared" si="41"/>
        <v>0</v>
      </c>
      <c r="BL177" s="1">
        <f t="shared" si="36"/>
        <v>0</v>
      </c>
      <c r="BM177" s="10" t="str">
        <f t="shared" si="37"/>
        <v/>
      </c>
      <c r="BN177" s="39">
        <f t="shared" si="42"/>
        <v>0</v>
      </c>
      <c r="BO177" s="39">
        <f t="shared" si="43"/>
        <v>0</v>
      </c>
      <c r="BP177" s="1">
        <f t="shared" si="38"/>
        <v>0</v>
      </c>
      <c r="BQ177" s="1">
        <f t="shared" si="44"/>
        <v>0</v>
      </c>
      <c r="BR177" s="1" t="str">
        <f t="shared" si="39"/>
        <v/>
      </c>
      <c r="BS177" s="1">
        <f t="shared" si="40"/>
        <v>0</v>
      </c>
      <c r="BT177" s="4">
        <f t="shared" si="45"/>
        <v>0</v>
      </c>
      <c r="BU177" s="39">
        <f t="shared" si="46"/>
        <v>0</v>
      </c>
      <c r="BV177" s="1">
        <f t="shared" si="47"/>
        <v>0</v>
      </c>
      <c r="BW177">
        <f t="shared" si="48"/>
        <v>0</v>
      </c>
      <c r="BX177">
        <f t="shared" si="49"/>
        <v>0</v>
      </c>
    </row>
    <row r="178" spans="58:76" x14ac:dyDescent="0.2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39">
        <f t="shared" si="50"/>
        <v>0</v>
      </c>
      <c r="BI178" s="1">
        <f t="shared" si="50"/>
        <v>0</v>
      </c>
      <c r="BJ178" s="1">
        <f t="shared" si="35"/>
        <v>0</v>
      </c>
      <c r="BK178" s="1">
        <f t="shared" si="41"/>
        <v>0</v>
      </c>
      <c r="BL178" s="1">
        <f t="shared" si="36"/>
        <v>0</v>
      </c>
      <c r="BM178" s="10" t="str">
        <f t="shared" si="37"/>
        <v/>
      </c>
      <c r="BN178" s="39">
        <f t="shared" si="42"/>
        <v>0</v>
      </c>
      <c r="BO178" s="39">
        <f t="shared" si="43"/>
        <v>0</v>
      </c>
      <c r="BP178" s="1">
        <f t="shared" si="38"/>
        <v>0</v>
      </c>
      <c r="BQ178" s="1">
        <f t="shared" si="44"/>
        <v>0</v>
      </c>
      <c r="BR178" s="1" t="str">
        <f t="shared" si="39"/>
        <v/>
      </c>
      <c r="BS178" s="1">
        <f t="shared" si="40"/>
        <v>0</v>
      </c>
      <c r="BT178" s="4">
        <f t="shared" si="45"/>
        <v>0</v>
      </c>
      <c r="BU178" s="39">
        <f t="shared" si="46"/>
        <v>0</v>
      </c>
      <c r="BV178" s="1">
        <f t="shared" si="47"/>
        <v>0</v>
      </c>
      <c r="BW178">
        <f t="shared" si="48"/>
        <v>0</v>
      </c>
      <c r="BX178">
        <f t="shared" si="49"/>
        <v>0</v>
      </c>
    </row>
    <row r="179" spans="58:76" x14ac:dyDescent="0.2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39">
        <f t="shared" si="50"/>
        <v>0</v>
      </c>
      <c r="BI179" s="1">
        <f t="shared" si="50"/>
        <v>0</v>
      </c>
      <c r="BJ179" s="1">
        <f t="shared" si="35"/>
        <v>0</v>
      </c>
      <c r="BK179" s="1">
        <f t="shared" si="41"/>
        <v>0</v>
      </c>
      <c r="BL179" s="1">
        <f t="shared" si="36"/>
        <v>0</v>
      </c>
      <c r="BM179" s="10" t="str">
        <f t="shared" si="37"/>
        <v/>
      </c>
      <c r="BN179" s="39">
        <f t="shared" si="42"/>
        <v>0</v>
      </c>
      <c r="BO179" s="39">
        <f t="shared" si="43"/>
        <v>0</v>
      </c>
      <c r="BP179" s="1">
        <f t="shared" si="38"/>
        <v>0</v>
      </c>
      <c r="BQ179" s="1">
        <f t="shared" si="44"/>
        <v>0</v>
      </c>
      <c r="BR179" s="1" t="str">
        <f t="shared" si="39"/>
        <v/>
      </c>
      <c r="BS179" s="1">
        <f t="shared" si="40"/>
        <v>0</v>
      </c>
      <c r="BT179" s="4">
        <f t="shared" si="45"/>
        <v>0</v>
      </c>
      <c r="BU179" s="39">
        <f t="shared" si="46"/>
        <v>0</v>
      </c>
      <c r="BV179" s="1">
        <f t="shared" si="47"/>
        <v>0</v>
      </c>
      <c r="BW179">
        <f t="shared" si="48"/>
        <v>0</v>
      </c>
      <c r="BX179">
        <f t="shared" si="49"/>
        <v>0</v>
      </c>
    </row>
    <row r="180" spans="58:76" x14ac:dyDescent="0.2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39">
        <f t="shared" si="50"/>
        <v>0</v>
      </c>
      <c r="BI180" s="1">
        <f t="shared" si="50"/>
        <v>0</v>
      </c>
      <c r="BJ180" s="1">
        <f t="shared" si="35"/>
        <v>0</v>
      </c>
      <c r="BK180" s="1">
        <f t="shared" si="41"/>
        <v>0</v>
      </c>
      <c r="BL180" s="1">
        <f t="shared" si="36"/>
        <v>0</v>
      </c>
      <c r="BM180" s="10" t="str">
        <f t="shared" si="37"/>
        <v/>
      </c>
      <c r="BN180" s="39">
        <f t="shared" si="42"/>
        <v>0</v>
      </c>
      <c r="BO180" s="39">
        <f t="shared" si="43"/>
        <v>0</v>
      </c>
      <c r="BP180" s="1">
        <f t="shared" si="38"/>
        <v>0</v>
      </c>
      <c r="BQ180" s="1">
        <f t="shared" si="44"/>
        <v>0</v>
      </c>
      <c r="BR180" s="1" t="str">
        <f t="shared" si="39"/>
        <v/>
      </c>
      <c r="BS180" s="1">
        <f t="shared" si="40"/>
        <v>0</v>
      </c>
      <c r="BT180" s="4">
        <f t="shared" si="45"/>
        <v>0</v>
      </c>
      <c r="BU180" s="39">
        <f t="shared" si="46"/>
        <v>0</v>
      </c>
      <c r="BV180" s="1">
        <f t="shared" si="47"/>
        <v>0</v>
      </c>
      <c r="BW180">
        <f t="shared" si="48"/>
        <v>0</v>
      </c>
      <c r="BX180">
        <f t="shared" si="49"/>
        <v>0</v>
      </c>
    </row>
    <row r="181" spans="58:76" x14ac:dyDescent="0.2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39">
        <f t="shared" si="50"/>
        <v>0</v>
      </c>
      <c r="BI181" s="1">
        <f t="shared" si="50"/>
        <v>0</v>
      </c>
      <c r="BJ181" s="1">
        <f t="shared" si="35"/>
        <v>0</v>
      </c>
      <c r="BK181" s="1">
        <f t="shared" si="41"/>
        <v>0</v>
      </c>
      <c r="BL181" s="1">
        <f t="shared" si="36"/>
        <v>0</v>
      </c>
      <c r="BM181" s="10" t="str">
        <f t="shared" si="37"/>
        <v/>
      </c>
      <c r="BN181" s="39">
        <f t="shared" si="42"/>
        <v>0</v>
      </c>
      <c r="BO181" s="39">
        <f t="shared" si="43"/>
        <v>0</v>
      </c>
      <c r="BP181" s="1">
        <f t="shared" si="38"/>
        <v>0</v>
      </c>
      <c r="BQ181" s="1">
        <f t="shared" si="44"/>
        <v>0</v>
      </c>
      <c r="BR181" s="1" t="str">
        <f t="shared" si="39"/>
        <v/>
      </c>
      <c r="BS181" s="1">
        <f t="shared" si="40"/>
        <v>0</v>
      </c>
      <c r="BT181" s="4">
        <f t="shared" si="45"/>
        <v>0</v>
      </c>
      <c r="BU181" s="39">
        <f t="shared" si="46"/>
        <v>0</v>
      </c>
      <c r="BV181" s="1">
        <f t="shared" si="47"/>
        <v>0</v>
      </c>
      <c r="BW181">
        <f t="shared" si="48"/>
        <v>0</v>
      </c>
      <c r="BX181">
        <f t="shared" si="49"/>
        <v>0</v>
      </c>
    </row>
    <row r="182" spans="58:76" x14ac:dyDescent="0.2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39">
        <f t="shared" si="50"/>
        <v>0</v>
      </c>
      <c r="BI182" s="1">
        <f t="shared" si="50"/>
        <v>0</v>
      </c>
      <c r="BJ182" s="1">
        <f t="shared" si="35"/>
        <v>0</v>
      </c>
      <c r="BK182" s="1">
        <f t="shared" si="41"/>
        <v>0</v>
      </c>
      <c r="BL182" s="1">
        <f t="shared" si="36"/>
        <v>0</v>
      </c>
      <c r="BM182" s="10" t="str">
        <f t="shared" si="37"/>
        <v/>
      </c>
      <c r="BN182" s="39">
        <f t="shared" si="42"/>
        <v>0</v>
      </c>
      <c r="BO182" s="39">
        <f t="shared" si="43"/>
        <v>0</v>
      </c>
      <c r="BP182" s="1">
        <f t="shared" si="38"/>
        <v>0</v>
      </c>
      <c r="BQ182" s="1">
        <f t="shared" si="44"/>
        <v>0</v>
      </c>
      <c r="BR182" s="1" t="str">
        <f t="shared" si="39"/>
        <v/>
      </c>
      <c r="BS182" s="1">
        <f t="shared" si="40"/>
        <v>0</v>
      </c>
      <c r="BT182" s="4">
        <f t="shared" si="45"/>
        <v>0</v>
      </c>
      <c r="BU182" s="39">
        <f t="shared" si="46"/>
        <v>0</v>
      </c>
      <c r="BV182" s="1">
        <f t="shared" si="47"/>
        <v>0</v>
      </c>
      <c r="BW182">
        <f t="shared" si="48"/>
        <v>0</v>
      </c>
      <c r="BX182">
        <f t="shared" si="49"/>
        <v>0</v>
      </c>
    </row>
    <row r="183" spans="58:76" x14ac:dyDescent="0.2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39">
        <f t="shared" si="50"/>
        <v>0</v>
      </c>
      <c r="BI183" s="1">
        <f t="shared" si="50"/>
        <v>0</v>
      </c>
      <c r="BJ183" s="1">
        <f t="shared" si="35"/>
        <v>0</v>
      </c>
      <c r="BK183" s="1">
        <f t="shared" si="41"/>
        <v>0</v>
      </c>
      <c r="BL183" s="1">
        <f t="shared" si="36"/>
        <v>0</v>
      </c>
      <c r="BM183" s="10" t="str">
        <f t="shared" si="37"/>
        <v/>
      </c>
      <c r="BN183" s="39">
        <f t="shared" si="42"/>
        <v>0</v>
      </c>
      <c r="BO183" s="39">
        <f t="shared" si="43"/>
        <v>0</v>
      </c>
      <c r="BP183" s="1">
        <f t="shared" si="38"/>
        <v>0</v>
      </c>
      <c r="BQ183" s="1">
        <f t="shared" si="44"/>
        <v>0</v>
      </c>
      <c r="BR183" s="1" t="str">
        <f t="shared" si="39"/>
        <v/>
      </c>
      <c r="BS183" s="1">
        <f t="shared" si="40"/>
        <v>0</v>
      </c>
      <c r="BT183" s="4">
        <f t="shared" si="45"/>
        <v>0</v>
      </c>
      <c r="BU183" s="39">
        <f t="shared" si="46"/>
        <v>0</v>
      </c>
      <c r="BV183" s="1">
        <f t="shared" si="47"/>
        <v>0</v>
      </c>
      <c r="BW183">
        <f t="shared" si="48"/>
        <v>0</v>
      </c>
      <c r="BX183">
        <f t="shared" si="49"/>
        <v>0</v>
      </c>
    </row>
    <row r="184" spans="58:76" x14ac:dyDescent="0.2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39">
        <f t="shared" si="50"/>
        <v>0</v>
      </c>
      <c r="BI184" s="1">
        <f t="shared" si="50"/>
        <v>0</v>
      </c>
      <c r="BJ184" s="1">
        <f t="shared" si="35"/>
        <v>0</v>
      </c>
      <c r="BK184" s="1">
        <f t="shared" si="41"/>
        <v>0</v>
      </c>
      <c r="BL184" s="1">
        <f t="shared" si="36"/>
        <v>0</v>
      </c>
      <c r="BM184" s="10" t="str">
        <f t="shared" si="37"/>
        <v/>
      </c>
      <c r="BN184" s="39">
        <f t="shared" si="42"/>
        <v>0</v>
      </c>
      <c r="BO184" s="39">
        <f t="shared" si="43"/>
        <v>0</v>
      </c>
      <c r="BP184" s="1">
        <f t="shared" si="38"/>
        <v>0</v>
      </c>
      <c r="BQ184" s="1">
        <f t="shared" si="44"/>
        <v>0</v>
      </c>
      <c r="BR184" s="1" t="str">
        <f t="shared" si="39"/>
        <v/>
      </c>
      <c r="BS184" s="1">
        <f t="shared" si="40"/>
        <v>0</v>
      </c>
      <c r="BT184" s="4">
        <f t="shared" si="45"/>
        <v>0</v>
      </c>
      <c r="BU184" s="39">
        <f t="shared" si="46"/>
        <v>0</v>
      </c>
      <c r="BV184" s="1">
        <f t="shared" si="47"/>
        <v>0</v>
      </c>
      <c r="BW184">
        <f t="shared" si="48"/>
        <v>0</v>
      </c>
      <c r="BX184">
        <f t="shared" si="49"/>
        <v>0</v>
      </c>
    </row>
    <row r="185" spans="58:76" x14ac:dyDescent="0.2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39">
        <f t="shared" si="50"/>
        <v>0</v>
      </c>
      <c r="BI185" s="1">
        <f t="shared" si="50"/>
        <v>0</v>
      </c>
      <c r="BJ185" s="1">
        <f t="shared" si="35"/>
        <v>0</v>
      </c>
      <c r="BK185" s="1">
        <f t="shared" si="41"/>
        <v>0</v>
      </c>
      <c r="BL185" s="1">
        <f t="shared" si="36"/>
        <v>0</v>
      </c>
      <c r="BM185" s="10" t="str">
        <f t="shared" si="37"/>
        <v/>
      </c>
      <c r="BN185" s="39">
        <f t="shared" si="42"/>
        <v>0</v>
      </c>
      <c r="BO185" s="39">
        <f t="shared" si="43"/>
        <v>0</v>
      </c>
      <c r="BP185" s="1">
        <f t="shared" si="38"/>
        <v>0</v>
      </c>
      <c r="BQ185" s="1">
        <f t="shared" si="44"/>
        <v>0</v>
      </c>
      <c r="BR185" s="1" t="str">
        <f t="shared" si="39"/>
        <v/>
      </c>
      <c r="BS185" s="1">
        <f t="shared" si="40"/>
        <v>0</v>
      </c>
      <c r="BT185" s="4">
        <f t="shared" si="45"/>
        <v>0</v>
      </c>
      <c r="BU185" s="39">
        <f t="shared" si="46"/>
        <v>0</v>
      </c>
      <c r="BV185" s="1">
        <f t="shared" si="47"/>
        <v>0</v>
      </c>
      <c r="BW185">
        <f t="shared" si="48"/>
        <v>0</v>
      </c>
      <c r="BX185">
        <f t="shared" si="49"/>
        <v>0</v>
      </c>
    </row>
    <row r="186" spans="58:76" x14ac:dyDescent="0.25">
      <c r="BF186" s="1" t="e">
        <f>VLOOKUP(N186,'Incoming Material Report'!H:M,6,FALSE)</f>
        <v>#N/A</v>
      </c>
      <c r="BG186" s="1" t="e">
        <f>IF(VLOOKUP(N186,'Incoming Material Report'!H:N,7,FALSE)=0,"",VLOOKUP(N186,'Incoming Material Report'!H:N,7,FALSE))</f>
        <v>#N/A</v>
      </c>
      <c r="BH186" s="39">
        <f t="shared" ref="BH186:BH249" si="51">VALUE(T186)</f>
        <v>0</v>
      </c>
      <c r="BI186" s="1">
        <f t="shared" ref="BI186:BI249" si="52">VALUE(U186)</f>
        <v>0</v>
      </c>
      <c r="BJ186" s="1">
        <f t="shared" ref="BJ186:BJ249" si="53">IFERROR(_xlfn.NUMBERVALUE(V186),V186)</f>
        <v>0</v>
      </c>
      <c r="BK186" s="1">
        <f t="shared" ref="BK186:BK249" si="54">IFERROR(INT(I186),I186)</f>
        <v>0</v>
      </c>
      <c r="BL186" s="1">
        <f t="shared" ref="BL186:BL249" si="55">L186</f>
        <v>0</v>
      </c>
      <c r="BM186" s="10" t="str">
        <f t="shared" ref="BM186:BM249" si="56">SUBSTITUTE(J186,"/",".")</f>
        <v/>
      </c>
      <c r="BN186" s="39">
        <f t="shared" ref="BN186:BN249" si="57">VALUE(Q186)*1000</f>
        <v>0</v>
      </c>
      <c r="BO186" s="39">
        <f t="shared" ref="BO186:BO249" si="58">VALUE(P186)/1000</f>
        <v>0</v>
      </c>
      <c r="BP186" s="1">
        <f t="shared" ref="BP186:BP249" si="59">VALUE(D186)</f>
        <v>0</v>
      </c>
      <c r="BQ186" s="1">
        <f t="shared" ref="BQ186:BQ249" si="60">VALUE(G186)</f>
        <v>0</v>
      </c>
      <c r="BR186" s="1" t="str">
        <f t="shared" ref="BR186:BR249" si="61">SUBSTITUTE(O186,".","")</f>
        <v/>
      </c>
      <c r="BS186" s="1">
        <f t="shared" ref="BS186:BS249" si="62">S186</f>
        <v>0</v>
      </c>
      <c r="BT186" s="4">
        <f t="shared" ref="BT186:BT249" si="63">VALUE(AJ186)</f>
        <v>0</v>
      </c>
      <c r="BU186" s="39">
        <f t="shared" ref="BU186:BU249" si="64">K186</f>
        <v>0</v>
      </c>
      <c r="BV186" s="1">
        <f t="shared" ref="BV186:BV249" si="65">AQ186</f>
        <v>0</v>
      </c>
      <c r="BW186">
        <f t="shared" ref="BW186:BW249" si="66">X186</f>
        <v>0</v>
      </c>
      <c r="BX186">
        <f t="shared" ref="BX186:BX249" si="67">AN186</f>
        <v>0</v>
      </c>
    </row>
    <row r="187" spans="58:76" x14ac:dyDescent="0.25">
      <c r="BF187" s="1" t="e">
        <f>VLOOKUP(N187,'Incoming Material Report'!H:M,6,FALSE)</f>
        <v>#N/A</v>
      </c>
      <c r="BG187" s="1" t="e">
        <f>IF(VLOOKUP(N187,'Incoming Material Report'!H:N,7,FALSE)=0,"",VLOOKUP(N187,'Incoming Material Report'!H:N,7,FALSE))</f>
        <v>#N/A</v>
      </c>
      <c r="BH187" s="39">
        <f t="shared" si="51"/>
        <v>0</v>
      </c>
      <c r="BI187" s="1">
        <f t="shared" si="52"/>
        <v>0</v>
      </c>
      <c r="BJ187" s="1">
        <f t="shared" si="53"/>
        <v>0</v>
      </c>
      <c r="BK187" s="1">
        <f t="shared" si="54"/>
        <v>0</v>
      </c>
      <c r="BL187" s="1">
        <f t="shared" si="55"/>
        <v>0</v>
      </c>
      <c r="BM187" s="10" t="str">
        <f t="shared" si="56"/>
        <v/>
      </c>
      <c r="BN187" s="39">
        <f t="shared" si="57"/>
        <v>0</v>
      </c>
      <c r="BO187" s="39">
        <f t="shared" si="58"/>
        <v>0</v>
      </c>
      <c r="BP187" s="1">
        <f t="shared" si="59"/>
        <v>0</v>
      </c>
      <c r="BQ187" s="1">
        <f t="shared" si="60"/>
        <v>0</v>
      </c>
      <c r="BR187" s="1" t="str">
        <f t="shared" si="61"/>
        <v/>
      </c>
      <c r="BS187" s="1">
        <f t="shared" si="62"/>
        <v>0</v>
      </c>
      <c r="BT187" s="4">
        <f t="shared" si="63"/>
        <v>0</v>
      </c>
      <c r="BU187" s="39">
        <f t="shared" si="64"/>
        <v>0</v>
      </c>
      <c r="BV187" s="1">
        <f t="shared" si="65"/>
        <v>0</v>
      </c>
      <c r="BW187">
        <f t="shared" si="66"/>
        <v>0</v>
      </c>
      <c r="BX187">
        <f t="shared" si="67"/>
        <v>0</v>
      </c>
    </row>
    <row r="188" spans="58:76" x14ac:dyDescent="0.25">
      <c r="BF188" s="1" t="e">
        <f>VLOOKUP(N188,'Incoming Material Report'!H:M,6,FALSE)</f>
        <v>#N/A</v>
      </c>
      <c r="BG188" s="1" t="e">
        <f>IF(VLOOKUP(N188,'Incoming Material Report'!H:N,7,FALSE)=0,"",VLOOKUP(N188,'Incoming Material Report'!H:N,7,FALSE))</f>
        <v>#N/A</v>
      </c>
      <c r="BH188" s="39">
        <f t="shared" si="51"/>
        <v>0</v>
      </c>
      <c r="BI188" s="1">
        <f t="shared" si="52"/>
        <v>0</v>
      </c>
      <c r="BJ188" s="1">
        <f t="shared" si="53"/>
        <v>0</v>
      </c>
      <c r="BK188" s="1">
        <f t="shared" si="54"/>
        <v>0</v>
      </c>
      <c r="BL188" s="1">
        <f t="shared" si="55"/>
        <v>0</v>
      </c>
      <c r="BM188" s="10" t="str">
        <f t="shared" si="56"/>
        <v/>
      </c>
      <c r="BN188" s="39">
        <f t="shared" si="57"/>
        <v>0</v>
      </c>
      <c r="BO188" s="39">
        <f t="shared" si="58"/>
        <v>0</v>
      </c>
      <c r="BP188" s="1">
        <f t="shared" si="59"/>
        <v>0</v>
      </c>
      <c r="BQ188" s="1">
        <f t="shared" si="60"/>
        <v>0</v>
      </c>
      <c r="BR188" s="1" t="str">
        <f t="shared" si="61"/>
        <v/>
      </c>
      <c r="BS188" s="1">
        <f t="shared" si="62"/>
        <v>0</v>
      </c>
      <c r="BT188" s="4">
        <f t="shared" si="63"/>
        <v>0</v>
      </c>
      <c r="BU188" s="39">
        <f t="shared" si="64"/>
        <v>0</v>
      </c>
      <c r="BV188" s="1">
        <f t="shared" si="65"/>
        <v>0</v>
      </c>
      <c r="BW188">
        <f t="shared" si="66"/>
        <v>0</v>
      </c>
      <c r="BX188">
        <f t="shared" si="67"/>
        <v>0</v>
      </c>
    </row>
    <row r="189" spans="58:76" x14ac:dyDescent="0.25">
      <c r="BF189" s="1" t="e">
        <f>VLOOKUP(N189,'Incoming Material Report'!H:M,6,FALSE)</f>
        <v>#N/A</v>
      </c>
      <c r="BG189" s="1" t="e">
        <f>IF(VLOOKUP(N189,'Incoming Material Report'!H:N,7,FALSE)=0,"",VLOOKUP(N189,'Incoming Material Report'!H:N,7,FALSE))</f>
        <v>#N/A</v>
      </c>
      <c r="BH189" s="39">
        <f t="shared" si="51"/>
        <v>0</v>
      </c>
      <c r="BI189" s="1">
        <f t="shared" si="52"/>
        <v>0</v>
      </c>
      <c r="BJ189" s="1">
        <f t="shared" si="53"/>
        <v>0</v>
      </c>
      <c r="BK189" s="1">
        <f t="shared" si="54"/>
        <v>0</v>
      </c>
      <c r="BL189" s="1">
        <f t="shared" si="55"/>
        <v>0</v>
      </c>
      <c r="BM189" s="10" t="str">
        <f t="shared" si="56"/>
        <v/>
      </c>
      <c r="BN189" s="39">
        <f t="shared" si="57"/>
        <v>0</v>
      </c>
      <c r="BO189" s="39">
        <f t="shared" si="58"/>
        <v>0</v>
      </c>
      <c r="BP189" s="1">
        <f t="shared" si="59"/>
        <v>0</v>
      </c>
      <c r="BQ189" s="1">
        <f t="shared" si="60"/>
        <v>0</v>
      </c>
      <c r="BR189" s="1" t="str">
        <f t="shared" si="61"/>
        <v/>
      </c>
      <c r="BS189" s="1">
        <f t="shared" si="62"/>
        <v>0</v>
      </c>
      <c r="BT189" s="4">
        <f t="shared" si="63"/>
        <v>0</v>
      </c>
      <c r="BU189" s="39">
        <f t="shared" si="64"/>
        <v>0</v>
      </c>
      <c r="BV189" s="1">
        <f t="shared" si="65"/>
        <v>0</v>
      </c>
      <c r="BW189">
        <f t="shared" si="66"/>
        <v>0</v>
      </c>
      <c r="BX189">
        <f t="shared" si="67"/>
        <v>0</v>
      </c>
    </row>
    <row r="190" spans="58:76" x14ac:dyDescent="0.25">
      <c r="BF190" s="1" t="e">
        <f>VLOOKUP(N190,'Incoming Material Report'!H:M,6,FALSE)</f>
        <v>#N/A</v>
      </c>
      <c r="BG190" s="1" t="e">
        <f>IF(VLOOKUP(N190,'Incoming Material Report'!H:N,7,FALSE)=0,"",VLOOKUP(N190,'Incoming Material Report'!H:N,7,FALSE))</f>
        <v>#N/A</v>
      </c>
      <c r="BH190" s="39">
        <f t="shared" si="51"/>
        <v>0</v>
      </c>
      <c r="BI190" s="1">
        <f t="shared" si="52"/>
        <v>0</v>
      </c>
      <c r="BJ190" s="1">
        <f t="shared" si="53"/>
        <v>0</v>
      </c>
      <c r="BK190" s="1">
        <f t="shared" si="54"/>
        <v>0</v>
      </c>
      <c r="BL190" s="1">
        <f t="shared" si="55"/>
        <v>0</v>
      </c>
      <c r="BM190" s="10" t="str">
        <f t="shared" si="56"/>
        <v/>
      </c>
      <c r="BN190" s="39">
        <f t="shared" si="57"/>
        <v>0</v>
      </c>
      <c r="BO190" s="39">
        <f t="shared" si="58"/>
        <v>0</v>
      </c>
      <c r="BP190" s="1">
        <f t="shared" si="59"/>
        <v>0</v>
      </c>
      <c r="BQ190" s="1">
        <f t="shared" si="60"/>
        <v>0</v>
      </c>
      <c r="BR190" s="1" t="str">
        <f t="shared" si="61"/>
        <v/>
      </c>
      <c r="BS190" s="1">
        <f t="shared" si="62"/>
        <v>0</v>
      </c>
      <c r="BT190" s="4">
        <f t="shared" si="63"/>
        <v>0</v>
      </c>
      <c r="BU190" s="39">
        <f t="shared" si="64"/>
        <v>0</v>
      </c>
      <c r="BV190" s="1">
        <f t="shared" si="65"/>
        <v>0</v>
      </c>
      <c r="BW190">
        <f t="shared" si="66"/>
        <v>0</v>
      </c>
      <c r="BX190">
        <f t="shared" si="67"/>
        <v>0</v>
      </c>
    </row>
    <row r="191" spans="58:76" x14ac:dyDescent="0.25">
      <c r="BF191" s="1" t="e">
        <f>VLOOKUP(N191,'Incoming Material Report'!H:M,6,FALSE)</f>
        <v>#N/A</v>
      </c>
      <c r="BG191" s="1" t="e">
        <f>IF(VLOOKUP(N191,'Incoming Material Report'!H:N,7,FALSE)=0,"",VLOOKUP(N191,'Incoming Material Report'!H:N,7,FALSE))</f>
        <v>#N/A</v>
      </c>
      <c r="BH191" s="39">
        <f t="shared" si="51"/>
        <v>0</v>
      </c>
      <c r="BI191" s="1">
        <f t="shared" si="52"/>
        <v>0</v>
      </c>
      <c r="BJ191" s="1">
        <f t="shared" si="53"/>
        <v>0</v>
      </c>
      <c r="BK191" s="1">
        <f t="shared" si="54"/>
        <v>0</v>
      </c>
      <c r="BL191" s="1">
        <f t="shared" si="55"/>
        <v>0</v>
      </c>
      <c r="BM191" s="10" t="str">
        <f t="shared" si="56"/>
        <v/>
      </c>
      <c r="BN191" s="39">
        <f t="shared" si="57"/>
        <v>0</v>
      </c>
      <c r="BO191" s="39">
        <f t="shared" si="58"/>
        <v>0</v>
      </c>
      <c r="BP191" s="1">
        <f t="shared" si="59"/>
        <v>0</v>
      </c>
      <c r="BQ191" s="1">
        <f t="shared" si="60"/>
        <v>0</v>
      </c>
      <c r="BR191" s="1" t="str">
        <f t="shared" si="61"/>
        <v/>
      </c>
      <c r="BS191" s="1">
        <f t="shared" si="62"/>
        <v>0</v>
      </c>
      <c r="BT191" s="4">
        <f t="shared" si="63"/>
        <v>0</v>
      </c>
      <c r="BU191" s="39">
        <f t="shared" si="64"/>
        <v>0</v>
      </c>
      <c r="BV191" s="1">
        <f t="shared" si="65"/>
        <v>0</v>
      </c>
      <c r="BW191">
        <f t="shared" si="66"/>
        <v>0</v>
      </c>
      <c r="BX191">
        <f t="shared" si="67"/>
        <v>0</v>
      </c>
    </row>
    <row r="192" spans="58:76" x14ac:dyDescent="0.25">
      <c r="BF192" s="1" t="e">
        <f>VLOOKUP(N192,'Incoming Material Report'!H:M,6,FALSE)</f>
        <v>#N/A</v>
      </c>
      <c r="BG192" s="1" t="e">
        <f>IF(VLOOKUP(N192,'Incoming Material Report'!H:N,7,FALSE)=0,"",VLOOKUP(N192,'Incoming Material Report'!H:N,7,FALSE))</f>
        <v>#N/A</v>
      </c>
      <c r="BH192" s="39">
        <f t="shared" si="51"/>
        <v>0</v>
      </c>
      <c r="BI192" s="1">
        <f t="shared" si="52"/>
        <v>0</v>
      </c>
      <c r="BJ192" s="1">
        <f t="shared" si="53"/>
        <v>0</v>
      </c>
      <c r="BK192" s="1">
        <f t="shared" si="54"/>
        <v>0</v>
      </c>
      <c r="BL192" s="1">
        <f t="shared" si="55"/>
        <v>0</v>
      </c>
      <c r="BM192" s="10" t="str">
        <f t="shared" si="56"/>
        <v/>
      </c>
      <c r="BN192" s="39">
        <f t="shared" si="57"/>
        <v>0</v>
      </c>
      <c r="BO192" s="39">
        <f t="shared" si="58"/>
        <v>0</v>
      </c>
      <c r="BP192" s="1">
        <f t="shared" si="59"/>
        <v>0</v>
      </c>
      <c r="BQ192" s="1">
        <f t="shared" si="60"/>
        <v>0</v>
      </c>
      <c r="BR192" s="1" t="str">
        <f t="shared" si="61"/>
        <v/>
      </c>
      <c r="BS192" s="1">
        <f t="shared" si="62"/>
        <v>0</v>
      </c>
      <c r="BT192" s="4">
        <f t="shared" si="63"/>
        <v>0</v>
      </c>
      <c r="BU192" s="39">
        <f t="shared" si="64"/>
        <v>0</v>
      </c>
      <c r="BV192" s="1">
        <f t="shared" si="65"/>
        <v>0</v>
      </c>
      <c r="BW192">
        <f t="shared" si="66"/>
        <v>0</v>
      </c>
      <c r="BX192">
        <f t="shared" si="67"/>
        <v>0</v>
      </c>
    </row>
    <row r="193" spans="58:76" x14ac:dyDescent="0.25">
      <c r="BF193" s="1" t="e">
        <f>VLOOKUP(N193,'Incoming Material Report'!H:M,6,FALSE)</f>
        <v>#N/A</v>
      </c>
      <c r="BG193" s="1" t="e">
        <f>IF(VLOOKUP(N193,'Incoming Material Report'!H:N,7,FALSE)=0,"",VLOOKUP(N193,'Incoming Material Report'!H:N,7,FALSE))</f>
        <v>#N/A</v>
      </c>
      <c r="BH193" s="39">
        <f t="shared" si="51"/>
        <v>0</v>
      </c>
      <c r="BI193" s="1">
        <f t="shared" si="52"/>
        <v>0</v>
      </c>
      <c r="BJ193" s="1">
        <f t="shared" si="53"/>
        <v>0</v>
      </c>
      <c r="BK193" s="1">
        <f t="shared" si="54"/>
        <v>0</v>
      </c>
      <c r="BL193" s="1">
        <f t="shared" si="55"/>
        <v>0</v>
      </c>
      <c r="BM193" s="10" t="str">
        <f t="shared" si="56"/>
        <v/>
      </c>
      <c r="BN193" s="39">
        <f t="shared" si="57"/>
        <v>0</v>
      </c>
      <c r="BO193" s="39">
        <f t="shared" si="58"/>
        <v>0</v>
      </c>
      <c r="BP193" s="1">
        <f t="shared" si="59"/>
        <v>0</v>
      </c>
      <c r="BQ193" s="1">
        <f t="shared" si="60"/>
        <v>0</v>
      </c>
      <c r="BR193" s="1" t="str">
        <f t="shared" si="61"/>
        <v/>
      </c>
      <c r="BS193" s="1">
        <f t="shared" si="62"/>
        <v>0</v>
      </c>
      <c r="BT193" s="4">
        <f t="shared" si="63"/>
        <v>0</v>
      </c>
      <c r="BU193" s="39">
        <f t="shared" si="64"/>
        <v>0</v>
      </c>
      <c r="BV193" s="1">
        <f t="shared" si="65"/>
        <v>0</v>
      </c>
      <c r="BW193">
        <f t="shared" si="66"/>
        <v>0</v>
      </c>
      <c r="BX193">
        <f t="shared" si="67"/>
        <v>0</v>
      </c>
    </row>
    <row r="194" spans="58:76" x14ac:dyDescent="0.25">
      <c r="BF194" s="1" t="e">
        <f>VLOOKUP(N194,'Incoming Material Report'!H:M,6,FALSE)</f>
        <v>#N/A</v>
      </c>
      <c r="BG194" s="1" t="e">
        <f>IF(VLOOKUP(N194,'Incoming Material Report'!H:N,7,FALSE)=0,"",VLOOKUP(N194,'Incoming Material Report'!H:N,7,FALSE))</f>
        <v>#N/A</v>
      </c>
      <c r="BH194" s="39">
        <f t="shared" si="51"/>
        <v>0</v>
      </c>
      <c r="BI194" s="1">
        <f t="shared" si="52"/>
        <v>0</v>
      </c>
      <c r="BJ194" s="1">
        <f t="shared" si="53"/>
        <v>0</v>
      </c>
      <c r="BK194" s="1">
        <f t="shared" si="54"/>
        <v>0</v>
      </c>
      <c r="BL194" s="1">
        <f t="shared" si="55"/>
        <v>0</v>
      </c>
      <c r="BM194" s="10" t="str">
        <f t="shared" si="56"/>
        <v/>
      </c>
      <c r="BN194" s="39">
        <f t="shared" si="57"/>
        <v>0</v>
      </c>
      <c r="BO194" s="39">
        <f t="shared" si="58"/>
        <v>0</v>
      </c>
      <c r="BP194" s="1">
        <f t="shared" si="59"/>
        <v>0</v>
      </c>
      <c r="BQ194" s="1">
        <f t="shared" si="60"/>
        <v>0</v>
      </c>
      <c r="BR194" s="1" t="str">
        <f t="shared" si="61"/>
        <v/>
      </c>
      <c r="BS194" s="1">
        <f t="shared" si="62"/>
        <v>0</v>
      </c>
      <c r="BT194" s="4">
        <f t="shared" si="63"/>
        <v>0</v>
      </c>
      <c r="BU194" s="39">
        <f t="shared" si="64"/>
        <v>0</v>
      </c>
      <c r="BV194" s="1">
        <f t="shared" si="65"/>
        <v>0</v>
      </c>
      <c r="BW194">
        <f t="shared" si="66"/>
        <v>0</v>
      </c>
      <c r="BX194">
        <f t="shared" si="67"/>
        <v>0</v>
      </c>
    </row>
    <row r="195" spans="58:76" x14ac:dyDescent="0.25">
      <c r="BF195" s="1" t="e">
        <f>VLOOKUP(N195,'Incoming Material Report'!H:M,6,FALSE)</f>
        <v>#N/A</v>
      </c>
      <c r="BG195" s="1" t="e">
        <f>IF(VLOOKUP(N195,'Incoming Material Report'!H:N,7,FALSE)=0,"",VLOOKUP(N195,'Incoming Material Report'!H:N,7,FALSE))</f>
        <v>#N/A</v>
      </c>
      <c r="BH195" s="39">
        <f t="shared" si="51"/>
        <v>0</v>
      </c>
      <c r="BI195" s="1">
        <f t="shared" si="52"/>
        <v>0</v>
      </c>
      <c r="BJ195" s="1">
        <f t="shared" si="53"/>
        <v>0</v>
      </c>
      <c r="BK195" s="1">
        <f t="shared" si="54"/>
        <v>0</v>
      </c>
      <c r="BL195" s="1">
        <f t="shared" si="55"/>
        <v>0</v>
      </c>
      <c r="BM195" s="10" t="str">
        <f t="shared" si="56"/>
        <v/>
      </c>
      <c r="BN195" s="39">
        <f t="shared" si="57"/>
        <v>0</v>
      </c>
      <c r="BO195" s="39">
        <f t="shared" si="58"/>
        <v>0</v>
      </c>
      <c r="BP195" s="1">
        <f t="shared" si="59"/>
        <v>0</v>
      </c>
      <c r="BQ195" s="1">
        <f t="shared" si="60"/>
        <v>0</v>
      </c>
      <c r="BR195" s="1" t="str">
        <f t="shared" si="61"/>
        <v/>
      </c>
      <c r="BS195" s="1">
        <f t="shared" si="62"/>
        <v>0</v>
      </c>
      <c r="BT195" s="4">
        <f t="shared" si="63"/>
        <v>0</v>
      </c>
      <c r="BU195" s="39">
        <f t="shared" si="64"/>
        <v>0</v>
      </c>
      <c r="BV195" s="1">
        <f t="shared" si="65"/>
        <v>0</v>
      </c>
      <c r="BW195">
        <f t="shared" si="66"/>
        <v>0</v>
      </c>
      <c r="BX195">
        <f t="shared" si="67"/>
        <v>0</v>
      </c>
    </row>
    <row r="196" spans="58:76" x14ac:dyDescent="0.25">
      <c r="BF196" s="1" t="e">
        <f>VLOOKUP(N196,'Incoming Material Report'!H:M,6,FALSE)</f>
        <v>#N/A</v>
      </c>
      <c r="BG196" s="1" t="e">
        <f>IF(VLOOKUP(N196,'Incoming Material Report'!H:N,7,FALSE)=0,"",VLOOKUP(N196,'Incoming Material Report'!H:N,7,FALSE))</f>
        <v>#N/A</v>
      </c>
      <c r="BH196" s="39">
        <f t="shared" si="51"/>
        <v>0</v>
      </c>
      <c r="BI196" s="1">
        <f t="shared" si="52"/>
        <v>0</v>
      </c>
      <c r="BJ196" s="1">
        <f t="shared" si="53"/>
        <v>0</v>
      </c>
      <c r="BK196" s="1">
        <f t="shared" si="54"/>
        <v>0</v>
      </c>
      <c r="BL196" s="1">
        <f t="shared" si="55"/>
        <v>0</v>
      </c>
      <c r="BM196" s="10" t="str">
        <f t="shared" si="56"/>
        <v/>
      </c>
      <c r="BN196" s="39">
        <f t="shared" si="57"/>
        <v>0</v>
      </c>
      <c r="BO196" s="39">
        <f t="shared" si="58"/>
        <v>0</v>
      </c>
      <c r="BP196" s="1">
        <f t="shared" si="59"/>
        <v>0</v>
      </c>
      <c r="BQ196" s="1">
        <f t="shared" si="60"/>
        <v>0</v>
      </c>
      <c r="BR196" s="1" t="str">
        <f t="shared" si="61"/>
        <v/>
      </c>
      <c r="BS196" s="1">
        <f t="shared" si="62"/>
        <v>0</v>
      </c>
      <c r="BT196" s="4">
        <f t="shared" si="63"/>
        <v>0</v>
      </c>
      <c r="BU196" s="39">
        <f t="shared" si="64"/>
        <v>0</v>
      </c>
      <c r="BV196" s="1">
        <f t="shared" si="65"/>
        <v>0</v>
      </c>
      <c r="BW196">
        <f t="shared" si="66"/>
        <v>0</v>
      </c>
      <c r="BX196">
        <f t="shared" si="67"/>
        <v>0</v>
      </c>
    </row>
    <row r="197" spans="58:76" x14ac:dyDescent="0.25">
      <c r="BF197" s="1" t="e">
        <f>VLOOKUP(N197,'Incoming Material Report'!H:M,6,FALSE)</f>
        <v>#N/A</v>
      </c>
      <c r="BG197" s="1" t="e">
        <f>IF(VLOOKUP(N197,'Incoming Material Report'!H:N,7,FALSE)=0,"",VLOOKUP(N197,'Incoming Material Report'!H:N,7,FALSE))</f>
        <v>#N/A</v>
      </c>
      <c r="BH197" s="39">
        <f t="shared" si="51"/>
        <v>0</v>
      </c>
      <c r="BI197" s="1">
        <f t="shared" si="52"/>
        <v>0</v>
      </c>
      <c r="BJ197" s="1">
        <f t="shared" si="53"/>
        <v>0</v>
      </c>
      <c r="BK197" s="1">
        <f t="shared" si="54"/>
        <v>0</v>
      </c>
      <c r="BL197" s="1">
        <f t="shared" si="55"/>
        <v>0</v>
      </c>
      <c r="BM197" s="10" t="str">
        <f t="shared" si="56"/>
        <v/>
      </c>
      <c r="BN197" s="39">
        <f t="shared" si="57"/>
        <v>0</v>
      </c>
      <c r="BO197" s="39">
        <f t="shared" si="58"/>
        <v>0</v>
      </c>
      <c r="BP197" s="1">
        <f t="shared" si="59"/>
        <v>0</v>
      </c>
      <c r="BQ197" s="1">
        <f t="shared" si="60"/>
        <v>0</v>
      </c>
      <c r="BR197" s="1" t="str">
        <f t="shared" si="61"/>
        <v/>
      </c>
      <c r="BS197" s="1">
        <f t="shared" si="62"/>
        <v>0</v>
      </c>
      <c r="BT197" s="4">
        <f t="shared" si="63"/>
        <v>0</v>
      </c>
      <c r="BU197" s="39">
        <f t="shared" si="64"/>
        <v>0</v>
      </c>
      <c r="BV197" s="1">
        <f t="shared" si="65"/>
        <v>0</v>
      </c>
      <c r="BW197">
        <f t="shared" si="66"/>
        <v>0</v>
      </c>
      <c r="BX197">
        <f t="shared" si="67"/>
        <v>0</v>
      </c>
    </row>
    <row r="198" spans="58:76" x14ac:dyDescent="0.25">
      <c r="BF198" s="1" t="e">
        <f>VLOOKUP(N198,'Incoming Material Report'!H:M,6,FALSE)</f>
        <v>#N/A</v>
      </c>
      <c r="BG198" s="1" t="e">
        <f>IF(VLOOKUP(N198,'Incoming Material Report'!H:N,7,FALSE)=0,"",VLOOKUP(N198,'Incoming Material Report'!H:N,7,FALSE))</f>
        <v>#N/A</v>
      </c>
      <c r="BH198" s="39">
        <f t="shared" si="51"/>
        <v>0</v>
      </c>
      <c r="BI198" s="1">
        <f t="shared" si="52"/>
        <v>0</v>
      </c>
      <c r="BJ198" s="1">
        <f t="shared" si="53"/>
        <v>0</v>
      </c>
      <c r="BK198" s="1">
        <f t="shared" si="54"/>
        <v>0</v>
      </c>
      <c r="BL198" s="1">
        <f t="shared" si="55"/>
        <v>0</v>
      </c>
      <c r="BM198" s="10" t="str">
        <f t="shared" si="56"/>
        <v/>
      </c>
      <c r="BN198" s="39">
        <f t="shared" si="57"/>
        <v>0</v>
      </c>
      <c r="BO198" s="39">
        <f t="shared" si="58"/>
        <v>0</v>
      </c>
      <c r="BP198" s="1">
        <f t="shared" si="59"/>
        <v>0</v>
      </c>
      <c r="BQ198" s="1">
        <f t="shared" si="60"/>
        <v>0</v>
      </c>
      <c r="BR198" s="1" t="str">
        <f t="shared" si="61"/>
        <v/>
      </c>
      <c r="BS198" s="1">
        <f t="shared" si="62"/>
        <v>0</v>
      </c>
      <c r="BT198" s="4">
        <f t="shared" si="63"/>
        <v>0</v>
      </c>
      <c r="BU198" s="39">
        <f t="shared" si="64"/>
        <v>0</v>
      </c>
      <c r="BV198" s="1">
        <f t="shared" si="65"/>
        <v>0</v>
      </c>
      <c r="BW198">
        <f t="shared" si="66"/>
        <v>0</v>
      </c>
      <c r="BX198">
        <f t="shared" si="67"/>
        <v>0</v>
      </c>
    </row>
    <row r="199" spans="58:76" x14ac:dyDescent="0.25">
      <c r="BF199" s="1" t="e">
        <f>VLOOKUP(N199,'Incoming Material Report'!H:M,6,FALSE)</f>
        <v>#N/A</v>
      </c>
      <c r="BG199" s="1" t="e">
        <f>IF(VLOOKUP(N199,'Incoming Material Report'!H:N,7,FALSE)=0,"",VLOOKUP(N199,'Incoming Material Report'!H:N,7,FALSE))</f>
        <v>#N/A</v>
      </c>
      <c r="BH199" s="39">
        <f t="shared" si="51"/>
        <v>0</v>
      </c>
      <c r="BI199" s="1">
        <f t="shared" si="52"/>
        <v>0</v>
      </c>
      <c r="BJ199" s="1">
        <f t="shared" si="53"/>
        <v>0</v>
      </c>
      <c r="BK199" s="1">
        <f t="shared" si="54"/>
        <v>0</v>
      </c>
      <c r="BL199" s="1">
        <f t="shared" si="55"/>
        <v>0</v>
      </c>
      <c r="BM199" s="10" t="str">
        <f t="shared" si="56"/>
        <v/>
      </c>
      <c r="BN199" s="39">
        <f t="shared" si="57"/>
        <v>0</v>
      </c>
      <c r="BO199" s="39">
        <f t="shared" si="58"/>
        <v>0</v>
      </c>
      <c r="BP199" s="1">
        <f t="shared" si="59"/>
        <v>0</v>
      </c>
      <c r="BQ199" s="1">
        <f t="shared" si="60"/>
        <v>0</v>
      </c>
      <c r="BR199" s="1" t="str">
        <f t="shared" si="61"/>
        <v/>
      </c>
      <c r="BS199" s="1">
        <f t="shared" si="62"/>
        <v>0</v>
      </c>
      <c r="BT199" s="4">
        <f t="shared" si="63"/>
        <v>0</v>
      </c>
      <c r="BU199" s="39">
        <f t="shared" si="64"/>
        <v>0</v>
      </c>
      <c r="BV199" s="1">
        <f t="shared" si="65"/>
        <v>0</v>
      </c>
      <c r="BW199">
        <f t="shared" si="66"/>
        <v>0</v>
      </c>
      <c r="BX199">
        <f t="shared" si="67"/>
        <v>0</v>
      </c>
    </row>
    <row r="200" spans="58:76" x14ac:dyDescent="0.25">
      <c r="BF200" s="1" t="e">
        <f>VLOOKUP(N200,'Incoming Material Report'!H:M,6,FALSE)</f>
        <v>#N/A</v>
      </c>
      <c r="BG200" s="1" t="e">
        <f>IF(VLOOKUP(N200,'Incoming Material Report'!H:N,7,FALSE)=0,"",VLOOKUP(N200,'Incoming Material Report'!H:N,7,FALSE))</f>
        <v>#N/A</v>
      </c>
      <c r="BH200" s="39">
        <f t="shared" si="51"/>
        <v>0</v>
      </c>
      <c r="BI200" s="1">
        <f t="shared" si="52"/>
        <v>0</v>
      </c>
      <c r="BJ200" s="1">
        <f t="shared" si="53"/>
        <v>0</v>
      </c>
      <c r="BK200" s="1">
        <f t="shared" si="54"/>
        <v>0</v>
      </c>
      <c r="BL200" s="1">
        <f t="shared" si="55"/>
        <v>0</v>
      </c>
      <c r="BM200" s="10" t="str">
        <f t="shared" si="56"/>
        <v/>
      </c>
      <c r="BN200" s="39">
        <f t="shared" si="57"/>
        <v>0</v>
      </c>
      <c r="BO200" s="39">
        <f t="shared" si="58"/>
        <v>0</v>
      </c>
      <c r="BP200" s="1">
        <f t="shared" si="59"/>
        <v>0</v>
      </c>
      <c r="BQ200" s="1">
        <f t="shared" si="60"/>
        <v>0</v>
      </c>
      <c r="BR200" s="1" t="str">
        <f t="shared" si="61"/>
        <v/>
      </c>
      <c r="BS200" s="1">
        <f t="shared" si="62"/>
        <v>0</v>
      </c>
      <c r="BT200" s="4">
        <f t="shared" si="63"/>
        <v>0</v>
      </c>
      <c r="BU200" s="39">
        <f t="shared" si="64"/>
        <v>0</v>
      </c>
      <c r="BV200" s="1">
        <f t="shared" si="65"/>
        <v>0</v>
      </c>
      <c r="BW200">
        <f t="shared" si="66"/>
        <v>0</v>
      </c>
      <c r="BX200">
        <f t="shared" si="67"/>
        <v>0</v>
      </c>
    </row>
    <row r="201" spans="58:76" x14ac:dyDescent="0.25">
      <c r="BF201" s="1" t="e">
        <f>VLOOKUP(N201,'Incoming Material Report'!H:M,6,FALSE)</f>
        <v>#N/A</v>
      </c>
      <c r="BG201" s="1" t="e">
        <f>IF(VLOOKUP(N201,'Incoming Material Report'!H:N,7,FALSE)=0,"",VLOOKUP(N201,'Incoming Material Report'!H:N,7,FALSE))</f>
        <v>#N/A</v>
      </c>
      <c r="BH201" s="39">
        <f t="shared" si="51"/>
        <v>0</v>
      </c>
      <c r="BI201" s="1">
        <f t="shared" si="52"/>
        <v>0</v>
      </c>
      <c r="BJ201" s="1">
        <f t="shared" si="53"/>
        <v>0</v>
      </c>
      <c r="BK201" s="1">
        <f t="shared" si="54"/>
        <v>0</v>
      </c>
      <c r="BL201" s="1">
        <f t="shared" si="55"/>
        <v>0</v>
      </c>
      <c r="BM201" s="10" t="str">
        <f t="shared" si="56"/>
        <v/>
      </c>
      <c r="BN201" s="39">
        <f t="shared" si="57"/>
        <v>0</v>
      </c>
      <c r="BO201" s="39">
        <f t="shared" si="58"/>
        <v>0</v>
      </c>
      <c r="BP201" s="1">
        <f t="shared" si="59"/>
        <v>0</v>
      </c>
      <c r="BQ201" s="1">
        <f t="shared" si="60"/>
        <v>0</v>
      </c>
      <c r="BR201" s="1" t="str">
        <f t="shared" si="61"/>
        <v/>
      </c>
      <c r="BS201" s="1">
        <f t="shared" si="62"/>
        <v>0</v>
      </c>
      <c r="BT201" s="4">
        <f t="shared" si="63"/>
        <v>0</v>
      </c>
      <c r="BU201" s="39">
        <f t="shared" si="64"/>
        <v>0</v>
      </c>
      <c r="BV201" s="1">
        <f t="shared" si="65"/>
        <v>0</v>
      </c>
      <c r="BW201">
        <f t="shared" si="66"/>
        <v>0</v>
      </c>
      <c r="BX201">
        <f t="shared" si="67"/>
        <v>0</v>
      </c>
    </row>
    <row r="202" spans="58:76" x14ac:dyDescent="0.25">
      <c r="BF202" s="1" t="e">
        <f>VLOOKUP(N202,'Incoming Material Report'!H:M,6,FALSE)</f>
        <v>#N/A</v>
      </c>
      <c r="BG202" s="1" t="e">
        <f>IF(VLOOKUP(N202,'Incoming Material Report'!H:N,7,FALSE)=0,"",VLOOKUP(N202,'Incoming Material Report'!H:N,7,FALSE))</f>
        <v>#N/A</v>
      </c>
      <c r="BH202" s="39">
        <f t="shared" si="51"/>
        <v>0</v>
      </c>
      <c r="BI202" s="1">
        <f t="shared" si="52"/>
        <v>0</v>
      </c>
      <c r="BJ202" s="1">
        <f t="shared" si="53"/>
        <v>0</v>
      </c>
      <c r="BK202" s="1">
        <f t="shared" si="54"/>
        <v>0</v>
      </c>
      <c r="BL202" s="1">
        <f t="shared" si="55"/>
        <v>0</v>
      </c>
      <c r="BM202" s="10" t="str">
        <f t="shared" si="56"/>
        <v/>
      </c>
      <c r="BN202" s="39">
        <f t="shared" si="57"/>
        <v>0</v>
      </c>
      <c r="BO202" s="39">
        <f t="shared" si="58"/>
        <v>0</v>
      </c>
      <c r="BP202" s="1">
        <f t="shared" si="59"/>
        <v>0</v>
      </c>
      <c r="BQ202" s="1">
        <f t="shared" si="60"/>
        <v>0</v>
      </c>
      <c r="BR202" s="1" t="str">
        <f t="shared" si="61"/>
        <v/>
      </c>
      <c r="BS202" s="1">
        <f t="shared" si="62"/>
        <v>0</v>
      </c>
      <c r="BT202" s="4">
        <f t="shared" si="63"/>
        <v>0</v>
      </c>
      <c r="BU202" s="39">
        <f t="shared" si="64"/>
        <v>0</v>
      </c>
      <c r="BV202" s="1">
        <f t="shared" si="65"/>
        <v>0</v>
      </c>
      <c r="BW202">
        <f t="shared" si="66"/>
        <v>0</v>
      </c>
      <c r="BX202">
        <f t="shared" si="67"/>
        <v>0</v>
      </c>
    </row>
    <row r="203" spans="58:76" x14ac:dyDescent="0.25">
      <c r="BF203" s="1" t="e">
        <f>VLOOKUP(N203,'Incoming Material Report'!H:M,6,FALSE)</f>
        <v>#N/A</v>
      </c>
      <c r="BG203" s="1" t="e">
        <f>IF(VLOOKUP(N203,'Incoming Material Report'!H:N,7,FALSE)=0,"",VLOOKUP(N203,'Incoming Material Report'!H:N,7,FALSE))</f>
        <v>#N/A</v>
      </c>
      <c r="BH203" s="39">
        <f t="shared" si="51"/>
        <v>0</v>
      </c>
      <c r="BI203" s="1">
        <f t="shared" si="52"/>
        <v>0</v>
      </c>
      <c r="BJ203" s="1">
        <f t="shared" si="53"/>
        <v>0</v>
      </c>
      <c r="BK203" s="1">
        <f t="shared" si="54"/>
        <v>0</v>
      </c>
      <c r="BL203" s="1">
        <f t="shared" si="55"/>
        <v>0</v>
      </c>
      <c r="BM203" s="10" t="str">
        <f t="shared" si="56"/>
        <v/>
      </c>
      <c r="BN203" s="39">
        <f t="shared" si="57"/>
        <v>0</v>
      </c>
      <c r="BO203" s="39">
        <f t="shared" si="58"/>
        <v>0</v>
      </c>
      <c r="BP203" s="1">
        <f t="shared" si="59"/>
        <v>0</v>
      </c>
      <c r="BQ203" s="1">
        <f t="shared" si="60"/>
        <v>0</v>
      </c>
      <c r="BR203" s="1" t="str">
        <f t="shared" si="61"/>
        <v/>
      </c>
      <c r="BS203" s="1">
        <f t="shared" si="62"/>
        <v>0</v>
      </c>
      <c r="BT203" s="4">
        <f t="shared" si="63"/>
        <v>0</v>
      </c>
      <c r="BU203" s="39">
        <f t="shared" si="64"/>
        <v>0</v>
      </c>
      <c r="BV203" s="1">
        <f t="shared" si="65"/>
        <v>0</v>
      </c>
      <c r="BW203">
        <f t="shared" si="66"/>
        <v>0</v>
      </c>
      <c r="BX203">
        <f t="shared" si="67"/>
        <v>0</v>
      </c>
    </row>
    <row r="204" spans="58:76" x14ac:dyDescent="0.25">
      <c r="BF204" s="1" t="e">
        <f>VLOOKUP(N204,'Incoming Material Report'!H:M,6,FALSE)</f>
        <v>#N/A</v>
      </c>
      <c r="BG204" s="1" t="e">
        <f>IF(VLOOKUP(N204,'Incoming Material Report'!H:N,7,FALSE)=0,"",VLOOKUP(N204,'Incoming Material Report'!H:N,7,FALSE))</f>
        <v>#N/A</v>
      </c>
      <c r="BH204" s="39">
        <f t="shared" si="51"/>
        <v>0</v>
      </c>
      <c r="BI204" s="1">
        <f t="shared" si="52"/>
        <v>0</v>
      </c>
      <c r="BJ204" s="1">
        <f t="shared" si="53"/>
        <v>0</v>
      </c>
      <c r="BK204" s="1">
        <f t="shared" si="54"/>
        <v>0</v>
      </c>
      <c r="BL204" s="1">
        <f t="shared" si="55"/>
        <v>0</v>
      </c>
      <c r="BM204" s="10" t="str">
        <f t="shared" si="56"/>
        <v/>
      </c>
      <c r="BN204" s="39">
        <f t="shared" si="57"/>
        <v>0</v>
      </c>
      <c r="BO204" s="39">
        <f t="shared" si="58"/>
        <v>0</v>
      </c>
      <c r="BP204" s="1">
        <f t="shared" si="59"/>
        <v>0</v>
      </c>
      <c r="BQ204" s="1">
        <f t="shared" si="60"/>
        <v>0</v>
      </c>
      <c r="BR204" s="1" t="str">
        <f t="shared" si="61"/>
        <v/>
      </c>
      <c r="BS204" s="1">
        <f t="shared" si="62"/>
        <v>0</v>
      </c>
      <c r="BT204" s="4">
        <f t="shared" si="63"/>
        <v>0</v>
      </c>
      <c r="BU204" s="39">
        <f t="shared" si="64"/>
        <v>0</v>
      </c>
      <c r="BV204" s="1">
        <f t="shared" si="65"/>
        <v>0</v>
      </c>
      <c r="BW204">
        <f t="shared" si="66"/>
        <v>0</v>
      </c>
      <c r="BX204">
        <f t="shared" si="67"/>
        <v>0</v>
      </c>
    </row>
    <row r="205" spans="58:76" x14ac:dyDescent="0.25">
      <c r="BF205" s="1" t="e">
        <f>VLOOKUP(N205,'Incoming Material Report'!H:M,6,FALSE)</f>
        <v>#N/A</v>
      </c>
      <c r="BG205" s="1" t="e">
        <f>IF(VLOOKUP(N205,'Incoming Material Report'!H:N,7,FALSE)=0,"",VLOOKUP(N205,'Incoming Material Report'!H:N,7,FALSE))</f>
        <v>#N/A</v>
      </c>
      <c r="BH205" s="39">
        <f t="shared" si="51"/>
        <v>0</v>
      </c>
      <c r="BI205" s="1">
        <f t="shared" si="52"/>
        <v>0</v>
      </c>
      <c r="BJ205" s="1">
        <f t="shared" si="53"/>
        <v>0</v>
      </c>
      <c r="BK205" s="1">
        <f t="shared" si="54"/>
        <v>0</v>
      </c>
      <c r="BL205" s="1">
        <f t="shared" si="55"/>
        <v>0</v>
      </c>
      <c r="BM205" s="10" t="str">
        <f t="shared" si="56"/>
        <v/>
      </c>
      <c r="BN205" s="39">
        <f t="shared" si="57"/>
        <v>0</v>
      </c>
      <c r="BO205" s="39">
        <f t="shared" si="58"/>
        <v>0</v>
      </c>
      <c r="BP205" s="1">
        <f t="shared" si="59"/>
        <v>0</v>
      </c>
      <c r="BQ205" s="1">
        <f t="shared" si="60"/>
        <v>0</v>
      </c>
      <c r="BR205" s="1" t="str">
        <f t="shared" si="61"/>
        <v/>
      </c>
      <c r="BS205" s="1">
        <f t="shared" si="62"/>
        <v>0</v>
      </c>
      <c r="BT205" s="4">
        <f t="shared" si="63"/>
        <v>0</v>
      </c>
      <c r="BU205" s="39">
        <f t="shared" si="64"/>
        <v>0</v>
      </c>
      <c r="BV205" s="1">
        <f t="shared" si="65"/>
        <v>0</v>
      </c>
      <c r="BW205">
        <f t="shared" si="66"/>
        <v>0</v>
      </c>
      <c r="BX205">
        <f t="shared" si="67"/>
        <v>0</v>
      </c>
    </row>
    <row r="206" spans="58:76" x14ac:dyDescent="0.25">
      <c r="BF206" s="1" t="e">
        <f>VLOOKUP(N206,'Incoming Material Report'!H:M,6,FALSE)</f>
        <v>#N/A</v>
      </c>
      <c r="BG206" s="1" t="e">
        <f>IF(VLOOKUP(N206,'Incoming Material Report'!H:N,7,FALSE)=0,"",VLOOKUP(N206,'Incoming Material Report'!H:N,7,FALSE))</f>
        <v>#N/A</v>
      </c>
      <c r="BH206" s="39">
        <f t="shared" si="51"/>
        <v>0</v>
      </c>
      <c r="BI206" s="1">
        <f t="shared" si="52"/>
        <v>0</v>
      </c>
      <c r="BJ206" s="1">
        <f t="shared" si="53"/>
        <v>0</v>
      </c>
      <c r="BK206" s="1">
        <f t="shared" si="54"/>
        <v>0</v>
      </c>
      <c r="BL206" s="1">
        <f t="shared" si="55"/>
        <v>0</v>
      </c>
      <c r="BM206" s="10" t="str">
        <f t="shared" si="56"/>
        <v/>
      </c>
      <c r="BN206" s="39">
        <f t="shared" si="57"/>
        <v>0</v>
      </c>
      <c r="BO206" s="39">
        <f t="shared" si="58"/>
        <v>0</v>
      </c>
      <c r="BP206" s="1">
        <f t="shared" si="59"/>
        <v>0</v>
      </c>
      <c r="BQ206" s="1">
        <f t="shared" si="60"/>
        <v>0</v>
      </c>
      <c r="BR206" s="1" t="str">
        <f t="shared" si="61"/>
        <v/>
      </c>
      <c r="BS206" s="1">
        <f t="shared" si="62"/>
        <v>0</v>
      </c>
      <c r="BT206" s="4">
        <f t="shared" si="63"/>
        <v>0</v>
      </c>
      <c r="BU206" s="39">
        <f t="shared" si="64"/>
        <v>0</v>
      </c>
      <c r="BV206" s="1">
        <f t="shared" si="65"/>
        <v>0</v>
      </c>
      <c r="BW206">
        <f t="shared" si="66"/>
        <v>0</v>
      </c>
      <c r="BX206">
        <f t="shared" si="67"/>
        <v>0</v>
      </c>
    </row>
    <row r="207" spans="58:76" x14ac:dyDescent="0.25">
      <c r="BF207" s="1" t="e">
        <f>VLOOKUP(N207,'Incoming Material Report'!H:M,6,FALSE)</f>
        <v>#N/A</v>
      </c>
      <c r="BG207" s="1" t="e">
        <f>IF(VLOOKUP(N207,'Incoming Material Report'!H:N,7,FALSE)=0,"",VLOOKUP(N207,'Incoming Material Report'!H:N,7,FALSE))</f>
        <v>#N/A</v>
      </c>
      <c r="BH207" s="39">
        <f t="shared" si="51"/>
        <v>0</v>
      </c>
      <c r="BI207" s="1">
        <f t="shared" si="52"/>
        <v>0</v>
      </c>
      <c r="BJ207" s="1">
        <f t="shared" si="53"/>
        <v>0</v>
      </c>
      <c r="BK207" s="1">
        <f t="shared" si="54"/>
        <v>0</v>
      </c>
      <c r="BL207" s="1">
        <f t="shared" si="55"/>
        <v>0</v>
      </c>
      <c r="BM207" s="10" t="str">
        <f t="shared" si="56"/>
        <v/>
      </c>
      <c r="BN207" s="39">
        <f t="shared" si="57"/>
        <v>0</v>
      </c>
      <c r="BO207" s="39">
        <f t="shared" si="58"/>
        <v>0</v>
      </c>
      <c r="BP207" s="1">
        <f t="shared" si="59"/>
        <v>0</v>
      </c>
      <c r="BQ207" s="1">
        <f t="shared" si="60"/>
        <v>0</v>
      </c>
      <c r="BR207" s="1" t="str">
        <f t="shared" si="61"/>
        <v/>
      </c>
      <c r="BS207" s="1">
        <f t="shared" si="62"/>
        <v>0</v>
      </c>
      <c r="BT207" s="4">
        <f t="shared" si="63"/>
        <v>0</v>
      </c>
      <c r="BU207" s="39">
        <f t="shared" si="64"/>
        <v>0</v>
      </c>
      <c r="BV207" s="1">
        <f t="shared" si="65"/>
        <v>0</v>
      </c>
      <c r="BW207">
        <f t="shared" si="66"/>
        <v>0</v>
      </c>
      <c r="BX207">
        <f t="shared" si="67"/>
        <v>0</v>
      </c>
    </row>
    <row r="208" spans="58:76" x14ac:dyDescent="0.25">
      <c r="BF208" s="1" t="e">
        <f>VLOOKUP(N208,'Incoming Material Report'!H:M,6,FALSE)</f>
        <v>#N/A</v>
      </c>
      <c r="BG208" s="1" t="e">
        <f>IF(VLOOKUP(N208,'Incoming Material Report'!H:N,7,FALSE)=0,"",VLOOKUP(N208,'Incoming Material Report'!H:N,7,FALSE))</f>
        <v>#N/A</v>
      </c>
      <c r="BH208" s="39">
        <f t="shared" si="51"/>
        <v>0</v>
      </c>
      <c r="BI208" s="1">
        <f t="shared" si="52"/>
        <v>0</v>
      </c>
      <c r="BJ208" s="1">
        <f t="shared" si="53"/>
        <v>0</v>
      </c>
      <c r="BK208" s="1">
        <f t="shared" si="54"/>
        <v>0</v>
      </c>
      <c r="BL208" s="1">
        <f t="shared" si="55"/>
        <v>0</v>
      </c>
      <c r="BM208" s="10" t="str">
        <f t="shared" si="56"/>
        <v/>
      </c>
      <c r="BN208" s="39">
        <f t="shared" si="57"/>
        <v>0</v>
      </c>
      <c r="BO208" s="39">
        <f t="shared" si="58"/>
        <v>0</v>
      </c>
      <c r="BP208" s="1">
        <f t="shared" si="59"/>
        <v>0</v>
      </c>
      <c r="BQ208" s="1">
        <f t="shared" si="60"/>
        <v>0</v>
      </c>
      <c r="BR208" s="1" t="str">
        <f t="shared" si="61"/>
        <v/>
      </c>
      <c r="BS208" s="1">
        <f t="shared" si="62"/>
        <v>0</v>
      </c>
      <c r="BT208" s="4">
        <f t="shared" si="63"/>
        <v>0</v>
      </c>
      <c r="BU208" s="39">
        <f t="shared" si="64"/>
        <v>0</v>
      </c>
      <c r="BV208" s="1">
        <f t="shared" si="65"/>
        <v>0</v>
      </c>
      <c r="BW208">
        <f t="shared" si="66"/>
        <v>0</v>
      </c>
      <c r="BX208">
        <f t="shared" si="67"/>
        <v>0</v>
      </c>
    </row>
    <row r="209" spans="58:76" x14ac:dyDescent="0.25">
      <c r="BF209" s="1" t="e">
        <f>VLOOKUP(N209,'Incoming Material Report'!H:M,6,FALSE)</f>
        <v>#N/A</v>
      </c>
      <c r="BG209" s="1" t="e">
        <f>IF(VLOOKUP(N209,'Incoming Material Report'!H:N,7,FALSE)=0,"",VLOOKUP(N209,'Incoming Material Report'!H:N,7,FALSE))</f>
        <v>#N/A</v>
      </c>
      <c r="BH209" s="39">
        <f t="shared" si="51"/>
        <v>0</v>
      </c>
      <c r="BI209" s="1">
        <f t="shared" si="52"/>
        <v>0</v>
      </c>
      <c r="BJ209" s="1">
        <f t="shared" si="53"/>
        <v>0</v>
      </c>
      <c r="BK209" s="1">
        <f t="shared" si="54"/>
        <v>0</v>
      </c>
      <c r="BL209" s="1">
        <f t="shared" si="55"/>
        <v>0</v>
      </c>
      <c r="BM209" s="10" t="str">
        <f t="shared" si="56"/>
        <v/>
      </c>
      <c r="BN209" s="39">
        <f t="shared" si="57"/>
        <v>0</v>
      </c>
      <c r="BO209" s="39">
        <f t="shared" si="58"/>
        <v>0</v>
      </c>
      <c r="BP209" s="1">
        <f t="shared" si="59"/>
        <v>0</v>
      </c>
      <c r="BQ209" s="1">
        <f t="shared" si="60"/>
        <v>0</v>
      </c>
      <c r="BR209" s="1" t="str">
        <f t="shared" si="61"/>
        <v/>
      </c>
      <c r="BS209" s="1">
        <f t="shared" si="62"/>
        <v>0</v>
      </c>
      <c r="BT209" s="4">
        <f t="shared" si="63"/>
        <v>0</v>
      </c>
      <c r="BU209" s="39">
        <f t="shared" si="64"/>
        <v>0</v>
      </c>
      <c r="BV209" s="1">
        <f t="shared" si="65"/>
        <v>0</v>
      </c>
      <c r="BW209">
        <f t="shared" si="66"/>
        <v>0</v>
      </c>
      <c r="BX209">
        <f t="shared" si="67"/>
        <v>0</v>
      </c>
    </row>
    <row r="210" spans="58:76" x14ac:dyDescent="0.25">
      <c r="BF210" s="1" t="e">
        <f>VLOOKUP(N210,'Incoming Material Report'!H:M,6,FALSE)</f>
        <v>#N/A</v>
      </c>
      <c r="BG210" s="1" t="e">
        <f>IF(VLOOKUP(N210,'Incoming Material Report'!H:N,7,FALSE)=0,"",VLOOKUP(N210,'Incoming Material Report'!H:N,7,FALSE))</f>
        <v>#N/A</v>
      </c>
      <c r="BH210" s="39">
        <f t="shared" si="51"/>
        <v>0</v>
      </c>
      <c r="BI210" s="1">
        <f t="shared" si="52"/>
        <v>0</v>
      </c>
      <c r="BJ210" s="1">
        <f t="shared" si="53"/>
        <v>0</v>
      </c>
      <c r="BK210" s="1">
        <f t="shared" si="54"/>
        <v>0</v>
      </c>
      <c r="BL210" s="1">
        <f t="shared" si="55"/>
        <v>0</v>
      </c>
      <c r="BM210" s="10" t="str">
        <f t="shared" si="56"/>
        <v/>
      </c>
      <c r="BN210" s="39">
        <f t="shared" si="57"/>
        <v>0</v>
      </c>
      <c r="BO210" s="39">
        <f t="shared" si="58"/>
        <v>0</v>
      </c>
      <c r="BP210" s="1">
        <f t="shared" si="59"/>
        <v>0</v>
      </c>
      <c r="BQ210" s="1">
        <f t="shared" si="60"/>
        <v>0</v>
      </c>
      <c r="BR210" s="1" t="str">
        <f t="shared" si="61"/>
        <v/>
      </c>
      <c r="BS210" s="1">
        <f t="shared" si="62"/>
        <v>0</v>
      </c>
      <c r="BT210" s="4">
        <f t="shared" si="63"/>
        <v>0</v>
      </c>
      <c r="BU210" s="39">
        <f t="shared" si="64"/>
        <v>0</v>
      </c>
      <c r="BV210" s="1">
        <f t="shared" si="65"/>
        <v>0</v>
      </c>
      <c r="BW210">
        <f t="shared" si="66"/>
        <v>0</v>
      </c>
      <c r="BX210">
        <f t="shared" si="67"/>
        <v>0</v>
      </c>
    </row>
    <row r="211" spans="58:76" x14ac:dyDescent="0.25">
      <c r="BF211" s="1" t="e">
        <f>VLOOKUP(N211,'Incoming Material Report'!H:M,6,FALSE)</f>
        <v>#N/A</v>
      </c>
      <c r="BG211" s="1" t="e">
        <f>IF(VLOOKUP(N211,'Incoming Material Report'!H:N,7,FALSE)=0,"",VLOOKUP(N211,'Incoming Material Report'!H:N,7,FALSE))</f>
        <v>#N/A</v>
      </c>
      <c r="BH211" s="39">
        <f t="shared" si="51"/>
        <v>0</v>
      </c>
      <c r="BI211" s="1">
        <f t="shared" si="52"/>
        <v>0</v>
      </c>
      <c r="BJ211" s="1">
        <f t="shared" si="53"/>
        <v>0</v>
      </c>
      <c r="BK211" s="1">
        <f t="shared" si="54"/>
        <v>0</v>
      </c>
      <c r="BL211" s="1">
        <f t="shared" si="55"/>
        <v>0</v>
      </c>
      <c r="BM211" s="10" t="str">
        <f t="shared" si="56"/>
        <v/>
      </c>
      <c r="BN211" s="39">
        <f t="shared" si="57"/>
        <v>0</v>
      </c>
      <c r="BO211" s="39">
        <f t="shared" si="58"/>
        <v>0</v>
      </c>
      <c r="BP211" s="1">
        <f t="shared" si="59"/>
        <v>0</v>
      </c>
      <c r="BQ211" s="1">
        <f t="shared" si="60"/>
        <v>0</v>
      </c>
      <c r="BR211" s="1" t="str">
        <f t="shared" si="61"/>
        <v/>
      </c>
      <c r="BS211" s="1">
        <f t="shared" si="62"/>
        <v>0</v>
      </c>
      <c r="BT211" s="4">
        <f t="shared" si="63"/>
        <v>0</v>
      </c>
      <c r="BU211" s="39">
        <f t="shared" si="64"/>
        <v>0</v>
      </c>
      <c r="BV211" s="1">
        <f t="shared" si="65"/>
        <v>0</v>
      </c>
      <c r="BW211">
        <f t="shared" si="66"/>
        <v>0</v>
      </c>
      <c r="BX211">
        <f t="shared" si="67"/>
        <v>0</v>
      </c>
    </row>
    <row r="212" spans="58:76" x14ac:dyDescent="0.25">
      <c r="BF212" s="1" t="e">
        <f>VLOOKUP(N212,'Incoming Material Report'!H:M,6,FALSE)</f>
        <v>#N/A</v>
      </c>
      <c r="BG212" s="1" t="e">
        <f>IF(VLOOKUP(N212,'Incoming Material Report'!H:N,7,FALSE)=0,"",VLOOKUP(N212,'Incoming Material Report'!H:N,7,FALSE))</f>
        <v>#N/A</v>
      </c>
      <c r="BH212" s="39">
        <f t="shared" si="51"/>
        <v>0</v>
      </c>
      <c r="BI212" s="1">
        <f t="shared" si="52"/>
        <v>0</v>
      </c>
      <c r="BJ212" s="1">
        <f t="shared" si="53"/>
        <v>0</v>
      </c>
      <c r="BK212" s="1">
        <f t="shared" si="54"/>
        <v>0</v>
      </c>
      <c r="BL212" s="1">
        <f t="shared" si="55"/>
        <v>0</v>
      </c>
      <c r="BM212" s="10" t="str">
        <f t="shared" si="56"/>
        <v/>
      </c>
      <c r="BN212" s="39">
        <f t="shared" si="57"/>
        <v>0</v>
      </c>
      <c r="BO212" s="39">
        <f t="shared" si="58"/>
        <v>0</v>
      </c>
      <c r="BP212" s="1">
        <f t="shared" si="59"/>
        <v>0</v>
      </c>
      <c r="BQ212" s="1">
        <f t="shared" si="60"/>
        <v>0</v>
      </c>
      <c r="BR212" s="1" t="str">
        <f t="shared" si="61"/>
        <v/>
      </c>
      <c r="BS212" s="1">
        <f t="shared" si="62"/>
        <v>0</v>
      </c>
      <c r="BT212" s="4">
        <f t="shared" si="63"/>
        <v>0</v>
      </c>
      <c r="BU212" s="39">
        <f t="shared" si="64"/>
        <v>0</v>
      </c>
      <c r="BV212" s="1">
        <f t="shared" si="65"/>
        <v>0</v>
      </c>
      <c r="BW212">
        <f t="shared" si="66"/>
        <v>0</v>
      </c>
      <c r="BX212">
        <f t="shared" si="67"/>
        <v>0</v>
      </c>
    </row>
    <row r="213" spans="58:76" x14ac:dyDescent="0.25">
      <c r="BF213" s="1" t="e">
        <f>VLOOKUP(N213,'Incoming Material Report'!H:M,6,FALSE)</f>
        <v>#N/A</v>
      </c>
      <c r="BG213" s="1" t="e">
        <f>IF(VLOOKUP(N213,'Incoming Material Report'!H:N,7,FALSE)=0,"",VLOOKUP(N213,'Incoming Material Report'!H:N,7,FALSE))</f>
        <v>#N/A</v>
      </c>
      <c r="BH213" s="39">
        <f t="shared" si="51"/>
        <v>0</v>
      </c>
      <c r="BI213" s="1">
        <f t="shared" si="52"/>
        <v>0</v>
      </c>
      <c r="BJ213" s="1">
        <f t="shared" si="53"/>
        <v>0</v>
      </c>
      <c r="BK213" s="1">
        <f t="shared" si="54"/>
        <v>0</v>
      </c>
      <c r="BL213" s="1">
        <f t="shared" si="55"/>
        <v>0</v>
      </c>
      <c r="BM213" s="10" t="str">
        <f t="shared" si="56"/>
        <v/>
      </c>
      <c r="BN213" s="39">
        <f t="shared" si="57"/>
        <v>0</v>
      </c>
      <c r="BO213" s="39">
        <f t="shared" si="58"/>
        <v>0</v>
      </c>
      <c r="BP213" s="1">
        <f t="shared" si="59"/>
        <v>0</v>
      </c>
      <c r="BQ213" s="1">
        <f t="shared" si="60"/>
        <v>0</v>
      </c>
      <c r="BR213" s="1" t="str">
        <f t="shared" si="61"/>
        <v/>
      </c>
      <c r="BS213" s="1">
        <f t="shared" si="62"/>
        <v>0</v>
      </c>
      <c r="BT213" s="4">
        <f t="shared" si="63"/>
        <v>0</v>
      </c>
      <c r="BU213" s="39">
        <f t="shared" si="64"/>
        <v>0</v>
      </c>
      <c r="BV213" s="1">
        <f t="shared" si="65"/>
        <v>0</v>
      </c>
      <c r="BW213">
        <f t="shared" si="66"/>
        <v>0</v>
      </c>
      <c r="BX213">
        <f t="shared" si="67"/>
        <v>0</v>
      </c>
    </row>
    <row r="214" spans="58:76" x14ac:dyDescent="0.25">
      <c r="BF214" s="1" t="e">
        <f>VLOOKUP(N214,'Incoming Material Report'!H:M,6,FALSE)</f>
        <v>#N/A</v>
      </c>
      <c r="BG214" s="1" t="e">
        <f>IF(VLOOKUP(N214,'Incoming Material Report'!H:N,7,FALSE)=0,"",VLOOKUP(N214,'Incoming Material Report'!H:N,7,FALSE))</f>
        <v>#N/A</v>
      </c>
      <c r="BH214" s="39">
        <f t="shared" si="51"/>
        <v>0</v>
      </c>
      <c r="BI214" s="1">
        <f t="shared" si="52"/>
        <v>0</v>
      </c>
      <c r="BJ214" s="1">
        <f t="shared" si="53"/>
        <v>0</v>
      </c>
      <c r="BK214" s="1">
        <f t="shared" si="54"/>
        <v>0</v>
      </c>
      <c r="BL214" s="1">
        <f t="shared" si="55"/>
        <v>0</v>
      </c>
      <c r="BM214" s="10" t="str">
        <f t="shared" si="56"/>
        <v/>
      </c>
      <c r="BN214" s="39">
        <f t="shared" si="57"/>
        <v>0</v>
      </c>
      <c r="BO214" s="39">
        <f t="shared" si="58"/>
        <v>0</v>
      </c>
      <c r="BP214" s="1">
        <f t="shared" si="59"/>
        <v>0</v>
      </c>
      <c r="BQ214" s="1">
        <f t="shared" si="60"/>
        <v>0</v>
      </c>
      <c r="BR214" s="1" t="str">
        <f t="shared" si="61"/>
        <v/>
      </c>
      <c r="BS214" s="1">
        <f t="shared" si="62"/>
        <v>0</v>
      </c>
      <c r="BT214" s="4">
        <f t="shared" si="63"/>
        <v>0</v>
      </c>
      <c r="BU214" s="39">
        <f t="shared" si="64"/>
        <v>0</v>
      </c>
      <c r="BV214" s="1">
        <f t="shared" si="65"/>
        <v>0</v>
      </c>
      <c r="BW214">
        <f t="shared" si="66"/>
        <v>0</v>
      </c>
      <c r="BX214">
        <f t="shared" si="67"/>
        <v>0</v>
      </c>
    </row>
    <row r="215" spans="58:76" x14ac:dyDescent="0.25">
      <c r="BF215" s="1" t="e">
        <f>VLOOKUP(N215,'Incoming Material Report'!H:M,6,FALSE)</f>
        <v>#N/A</v>
      </c>
      <c r="BG215" s="1" t="e">
        <f>IF(VLOOKUP(N215,'Incoming Material Report'!H:N,7,FALSE)=0,"",VLOOKUP(N215,'Incoming Material Report'!H:N,7,FALSE))</f>
        <v>#N/A</v>
      </c>
      <c r="BH215" s="39">
        <f t="shared" si="51"/>
        <v>0</v>
      </c>
      <c r="BI215" s="1">
        <f t="shared" si="52"/>
        <v>0</v>
      </c>
      <c r="BJ215" s="1">
        <f t="shared" si="53"/>
        <v>0</v>
      </c>
      <c r="BK215" s="1">
        <f t="shared" si="54"/>
        <v>0</v>
      </c>
      <c r="BL215" s="1">
        <f t="shared" si="55"/>
        <v>0</v>
      </c>
      <c r="BM215" s="10" t="str">
        <f t="shared" si="56"/>
        <v/>
      </c>
      <c r="BN215" s="39">
        <f t="shared" si="57"/>
        <v>0</v>
      </c>
      <c r="BO215" s="39">
        <f t="shared" si="58"/>
        <v>0</v>
      </c>
      <c r="BP215" s="1">
        <f t="shared" si="59"/>
        <v>0</v>
      </c>
      <c r="BQ215" s="1">
        <f t="shared" si="60"/>
        <v>0</v>
      </c>
      <c r="BR215" s="1" t="str">
        <f t="shared" si="61"/>
        <v/>
      </c>
      <c r="BS215" s="1">
        <f t="shared" si="62"/>
        <v>0</v>
      </c>
      <c r="BT215" s="4">
        <f t="shared" si="63"/>
        <v>0</v>
      </c>
      <c r="BU215" s="39">
        <f t="shared" si="64"/>
        <v>0</v>
      </c>
      <c r="BV215" s="1">
        <f t="shared" si="65"/>
        <v>0</v>
      </c>
      <c r="BW215">
        <f t="shared" si="66"/>
        <v>0</v>
      </c>
      <c r="BX215">
        <f t="shared" si="67"/>
        <v>0</v>
      </c>
    </row>
    <row r="216" spans="58:76" x14ac:dyDescent="0.25">
      <c r="BF216" s="1" t="e">
        <f>VLOOKUP(N216,'Incoming Material Report'!H:M,6,FALSE)</f>
        <v>#N/A</v>
      </c>
      <c r="BG216" s="1" t="e">
        <f>IF(VLOOKUP(N216,'Incoming Material Report'!H:N,7,FALSE)=0,"",VLOOKUP(N216,'Incoming Material Report'!H:N,7,FALSE))</f>
        <v>#N/A</v>
      </c>
      <c r="BH216" s="39">
        <f t="shared" si="51"/>
        <v>0</v>
      </c>
      <c r="BI216" s="1">
        <f t="shared" si="52"/>
        <v>0</v>
      </c>
      <c r="BJ216" s="1">
        <f t="shared" si="53"/>
        <v>0</v>
      </c>
      <c r="BK216" s="1">
        <f t="shared" si="54"/>
        <v>0</v>
      </c>
      <c r="BL216" s="1">
        <f t="shared" si="55"/>
        <v>0</v>
      </c>
      <c r="BM216" s="10" t="str">
        <f t="shared" si="56"/>
        <v/>
      </c>
      <c r="BN216" s="39">
        <f t="shared" si="57"/>
        <v>0</v>
      </c>
      <c r="BO216" s="39">
        <f t="shared" si="58"/>
        <v>0</v>
      </c>
      <c r="BP216" s="1">
        <f t="shared" si="59"/>
        <v>0</v>
      </c>
      <c r="BQ216" s="1">
        <f t="shared" si="60"/>
        <v>0</v>
      </c>
      <c r="BR216" s="1" t="str">
        <f t="shared" si="61"/>
        <v/>
      </c>
      <c r="BS216" s="1">
        <f t="shared" si="62"/>
        <v>0</v>
      </c>
      <c r="BT216" s="4">
        <f t="shared" si="63"/>
        <v>0</v>
      </c>
      <c r="BU216" s="39">
        <f t="shared" si="64"/>
        <v>0</v>
      </c>
      <c r="BV216" s="1">
        <f t="shared" si="65"/>
        <v>0</v>
      </c>
      <c r="BW216">
        <f t="shared" si="66"/>
        <v>0</v>
      </c>
      <c r="BX216">
        <f t="shared" si="67"/>
        <v>0</v>
      </c>
    </row>
    <row r="217" spans="58:76" x14ac:dyDescent="0.25">
      <c r="BF217" s="1" t="e">
        <f>VLOOKUP(N217,'Incoming Material Report'!H:M,6,FALSE)</f>
        <v>#N/A</v>
      </c>
      <c r="BG217" s="1" t="e">
        <f>IF(VLOOKUP(N217,'Incoming Material Report'!H:N,7,FALSE)=0,"",VLOOKUP(N217,'Incoming Material Report'!H:N,7,FALSE))</f>
        <v>#N/A</v>
      </c>
      <c r="BH217" s="39">
        <f t="shared" si="51"/>
        <v>0</v>
      </c>
      <c r="BI217" s="1">
        <f t="shared" si="52"/>
        <v>0</v>
      </c>
      <c r="BJ217" s="1">
        <f t="shared" si="53"/>
        <v>0</v>
      </c>
      <c r="BK217" s="1">
        <f t="shared" si="54"/>
        <v>0</v>
      </c>
      <c r="BL217" s="1">
        <f t="shared" si="55"/>
        <v>0</v>
      </c>
      <c r="BM217" s="10" t="str">
        <f t="shared" si="56"/>
        <v/>
      </c>
      <c r="BN217" s="39">
        <f t="shared" si="57"/>
        <v>0</v>
      </c>
      <c r="BO217" s="39">
        <f t="shared" si="58"/>
        <v>0</v>
      </c>
      <c r="BP217" s="1">
        <f t="shared" si="59"/>
        <v>0</v>
      </c>
      <c r="BQ217" s="1">
        <f t="shared" si="60"/>
        <v>0</v>
      </c>
      <c r="BR217" s="1" t="str">
        <f t="shared" si="61"/>
        <v/>
      </c>
      <c r="BS217" s="1">
        <f t="shared" si="62"/>
        <v>0</v>
      </c>
      <c r="BT217" s="4">
        <f t="shared" si="63"/>
        <v>0</v>
      </c>
      <c r="BU217" s="39">
        <f t="shared" si="64"/>
        <v>0</v>
      </c>
      <c r="BV217" s="1">
        <f t="shared" si="65"/>
        <v>0</v>
      </c>
      <c r="BW217">
        <f t="shared" si="66"/>
        <v>0</v>
      </c>
      <c r="BX217">
        <f t="shared" si="67"/>
        <v>0</v>
      </c>
    </row>
    <row r="218" spans="58:76" x14ac:dyDescent="0.25">
      <c r="BF218" s="1" t="e">
        <f>VLOOKUP(N218,'Incoming Material Report'!H:M,6,FALSE)</f>
        <v>#N/A</v>
      </c>
      <c r="BG218" s="1" t="e">
        <f>IF(VLOOKUP(N218,'Incoming Material Report'!H:N,7,FALSE)=0,"",VLOOKUP(N218,'Incoming Material Report'!H:N,7,FALSE))</f>
        <v>#N/A</v>
      </c>
      <c r="BH218" s="39">
        <f t="shared" si="51"/>
        <v>0</v>
      </c>
      <c r="BI218" s="1">
        <f t="shared" si="52"/>
        <v>0</v>
      </c>
      <c r="BJ218" s="1">
        <f t="shared" si="53"/>
        <v>0</v>
      </c>
      <c r="BK218" s="1">
        <f t="shared" si="54"/>
        <v>0</v>
      </c>
      <c r="BL218" s="1">
        <f t="shared" si="55"/>
        <v>0</v>
      </c>
      <c r="BM218" s="10" t="str">
        <f t="shared" si="56"/>
        <v/>
      </c>
      <c r="BN218" s="39">
        <f t="shared" si="57"/>
        <v>0</v>
      </c>
      <c r="BO218" s="39">
        <f t="shared" si="58"/>
        <v>0</v>
      </c>
      <c r="BP218" s="1">
        <f t="shared" si="59"/>
        <v>0</v>
      </c>
      <c r="BQ218" s="1">
        <f t="shared" si="60"/>
        <v>0</v>
      </c>
      <c r="BR218" s="1" t="str">
        <f t="shared" si="61"/>
        <v/>
      </c>
      <c r="BS218" s="1">
        <f t="shared" si="62"/>
        <v>0</v>
      </c>
      <c r="BT218" s="4">
        <f t="shared" si="63"/>
        <v>0</v>
      </c>
      <c r="BU218" s="39">
        <f t="shared" si="64"/>
        <v>0</v>
      </c>
      <c r="BV218" s="1">
        <f t="shared" si="65"/>
        <v>0</v>
      </c>
      <c r="BW218">
        <f t="shared" si="66"/>
        <v>0</v>
      </c>
      <c r="BX218">
        <f t="shared" si="67"/>
        <v>0</v>
      </c>
    </row>
    <row r="219" spans="58:76" x14ac:dyDescent="0.25">
      <c r="BF219" s="1" t="e">
        <f>VLOOKUP(N219,'Incoming Material Report'!H:M,6,FALSE)</f>
        <v>#N/A</v>
      </c>
      <c r="BG219" s="1" t="e">
        <f>IF(VLOOKUP(N219,'Incoming Material Report'!H:N,7,FALSE)=0,"",VLOOKUP(N219,'Incoming Material Report'!H:N,7,FALSE))</f>
        <v>#N/A</v>
      </c>
      <c r="BH219" s="39">
        <f t="shared" si="51"/>
        <v>0</v>
      </c>
      <c r="BI219" s="1">
        <f t="shared" si="52"/>
        <v>0</v>
      </c>
      <c r="BJ219" s="1">
        <f t="shared" si="53"/>
        <v>0</v>
      </c>
      <c r="BK219" s="1">
        <f t="shared" si="54"/>
        <v>0</v>
      </c>
      <c r="BL219" s="1">
        <f t="shared" si="55"/>
        <v>0</v>
      </c>
      <c r="BM219" s="10" t="str">
        <f t="shared" si="56"/>
        <v/>
      </c>
      <c r="BN219" s="39">
        <f t="shared" si="57"/>
        <v>0</v>
      </c>
      <c r="BO219" s="39">
        <f t="shared" si="58"/>
        <v>0</v>
      </c>
      <c r="BP219" s="1">
        <f t="shared" si="59"/>
        <v>0</v>
      </c>
      <c r="BQ219" s="1">
        <f t="shared" si="60"/>
        <v>0</v>
      </c>
      <c r="BR219" s="1" t="str">
        <f t="shared" si="61"/>
        <v/>
      </c>
      <c r="BS219" s="1">
        <f t="shared" si="62"/>
        <v>0</v>
      </c>
      <c r="BT219" s="4">
        <f t="shared" si="63"/>
        <v>0</v>
      </c>
      <c r="BU219" s="39">
        <f t="shared" si="64"/>
        <v>0</v>
      </c>
      <c r="BV219" s="1">
        <f t="shared" si="65"/>
        <v>0</v>
      </c>
      <c r="BW219">
        <f t="shared" si="66"/>
        <v>0</v>
      </c>
      <c r="BX219">
        <f t="shared" si="67"/>
        <v>0</v>
      </c>
    </row>
    <row r="220" spans="58:76" x14ac:dyDescent="0.25">
      <c r="BF220" s="1" t="e">
        <f>VLOOKUP(N220,'Incoming Material Report'!H:M,6,FALSE)</f>
        <v>#N/A</v>
      </c>
      <c r="BG220" s="1" t="e">
        <f>IF(VLOOKUP(N220,'Incoming Material Report'!H:N,7,FALSE)=0,"",VLOOKUP(N220,'Incoming Material Report'!H:N,7,FALSE))</f>
        <v>#N/A</v>
      </c>
      <c r="BH220" s="39">
        <f t="shared" si="51"/>
        <v>0</v>
      </c>
      <c r="BI220" s="1">
        <f t="shared" si="52"/>
        <v>0</v>
      </c>
      <c r="BJ220" s="1">
        <f t="shared" si="53"/>
        <v>0</v>
      </c>
      <c r="BK220" s="1">
        <f t="shared" si="54"/>
        <v>0</v>
      </c>
      <c r="BL220" s="1">
        <f t="shared" si="55"/>
        <v>0</v>
      </c>
      <c r="BM220" s="10" t="str">
        <f t="shared" si="56"/>
        <v/>
      </c>
      <c r="BN220" s="39">
        <f t="shared" si="57"/>
        <v>0</v>
      </c>
      <c r="BO220" s="39">
        <f t="shared" si="58"/>
        <v>0</v>
      </c>
      <c r="BP220" s="1">
        <f t="shared" si="59"/>
        <v>0</v>
      </c>
      <c r="BQ220" s="1">
        <f t="shared" si="60"/>
        <v>0</v>
      </c>
      <c r="BR220" s="1" t="str">
        <f t="shared" si="61"/>
        <v/>
      </c>
      <c r="BS220" s="1">
        <f t="shared" si="62"/>
        <v>0</v>
      </c>
      <c r="BT220" s="4">
        <f t="shared" si="63"/>
        <v>0</v>
      </c>
      <c r="BU220" s="39">
        <f t="shared" si="64"/>
        <v>0</v>
      </c>
      <c r="BV220" s="1">
        <f t="shared" si="65"/>
        <v>0</v>
      </c>
      <c r="BW220">
        <f t="shared" si="66"/>
        <v>0</v>
      </c>
      <c r="BX220">
        <f t="shared" si="67"/>
        <v>0</v>
      </c>
    </row>
    <row r="221" spans="58:76" x14ac:dyDescent="0.25">
      <c r="BF221" s="1" t="e">
        <f>VLOOKUP(N221,'Incoming Material Report'!H:M,6,FALSE)</f>
        <v>#N/A</v>
      </c>
      <c r="BG221" s="1" t="e">
        <f>IF(VLOOKUP(N221,'Incoming Material Report'!H:N,7,FALSE)=0,"",VLOOKUP(N221,'Incoming Material Report'!H:N,7,FALSE))</f>
        <v>#N/A</v>
      </c>
      <c r="BH221" s="39">
        <f t="shared" si="51"/>
        <v>0</v>
      </c>
      <c r="BI221" s="1">
        <f t="shared" si="52"/>
        <v>0</v>
      </c>
      <c r="BJ221" s="1">
        <f t="shared" si="53"/>
        <v>0</v>
      </c>
      <c r="BK221" s="1">
        <f t="shared" si="54"/>
        <v>0</v>
      </c>
      <c r="BL221" s="1">
        <f t="shared" si="55"/>
        <v>0</v>
      </c>
      <c r="BM221" s="10" t="str">
        <f t="shared" si="56"/>
        <v/>
      </c>
      <c r="BN221" s="39">
        <f t="shared" si="57"/>
        <v>0</v>
      </c>
      <c r="BO221" s="39">
        <f t="shared" si="58"/>
        <v>0</v>
      </c>
      <c r="BP221" s="1">
        <f t="shared" si="59"/>
        <v>0</v>
      </c>
      <c r="BQ221" s="1">
        <f t="shared" si="60"/>
        <v>0</v>
      </c>
      <c r="BR221" s="1" t="str">
        <f t="shared" si="61"/>
        <v/>
      </c>
      <c r="BS221" s="1">
        <f t="shared" si="62"/>
        <v>0</v>
      </c>
      <c r="BT221" s="4">
        <f t="shared" si="63"/>
        <v>0</v>
      </c>
      <c r="BU221" s="39">
        <f t="shared" si="64"/>
        <v>0</v>
      </c>
      <c r="BV221" s="1">
        <f t="shared" si="65"/>
        <v>0</v>
      </c>
      <c r="BW221">
        <f t="shared" si="66"/>
        <v>0</v>
      </c>
      <c r="BX221">
        <f t="shared" si="67"/>
        <v>0</v>
      </c>
    </row>
    <row r="222" spans="58:76" x14ac:dyDescent="0.25">
      <c r="BF222" s="1" t="e">
        <f>VLOOKUP(N222,'Incoming Material Report'!H:M,6,FALSE)</f>
        <v>#N/A</v>
      </c>
      <c r="BG222" s="1" t="e">
        <f>IF(VLOOKUP(N222,'Incoming Material Report'!H:N,7,FALSE)=0,"",VLOOKUP(N222,'Incoming Material Report'!H:N,7,FALSE))</f>
        <v>#N/A</v>
      </c>
      <c r="BH222" s="39">
        <f t="shared" si="51"/>
        <v>0</v>
      </c>
      <c r="BI222" s="1">
        <f t="shared" si="52"/>
        <v>0</v>
      </c>
      <c r="BJ222" s="1">
        <f t="shared" si="53"/>
        <v>0</v>
      </c>
      <c r="BK222" s="1">
        <f t="shared" si="54"/>
        <v>0</v>
      </c>
      <c r="BL222" s="1">
        <f t="shared" si="55"/>
        <v>0</v>
      </c>
      <c r="BM222" s="10" t="str">
        <f t="shared" si="56"/>
        <v/>
      </c>
      <c r="BN222" s="39">
        <f t="shared" si="57"/>
        <v>0</v>
      </c>
      <c r="BO222" s="39">
        <f t="shared" si="58"/>
        <v>0</v>
      </c>
      <c r="BP222" s="1">
        <f t="shared" si="59"/>
        <v>0</v>
      </c>
      <c r="BQ222" s="1">
        <f t="shared" si="60"/>
        <v>0</v>
      </c>
      <c r="BR222" s="1" t="str">
        <f t="shared" si="61"/>
        <v/>
      </c>
      <c r="BS222" s="1">
        <f t="shared" si="62"/>
        <v>0</v>
      </c>
      <c r="BT222" s="4">
        <f t="shared" si="63"/>
        <v>0</v>
      </c>
      <c r="BU222" s="39">
        <f t="shared" si="64"/>
        <v>0</v>
      </c>
      <c r="BV222" s="1">
        <f t="shared" si="65"/>
        <v>0</v>
      </c>
      <c r="BW222">
        <f t="shared" si="66"/>
        <v>0</v>
      </c>
      <c r="BX222">
        <f t="shared" si="67"/>
        <v>0</v>
      </c>
    </row>
    <row r="223" spans="58:76" x14ac:dyDescent="0.25">
      <c r="BF223" s="1" t="e">
        <f>VLOOKUP(N223,'Incoming Material Report'!H:M,6,FALSE)</f>
        <v>#N/A</v>
      </c>
      <c r="BG223" s="1" t="e">
        <f>IF(VLOOKUP(N223,'Incoming Material Report'!H:N,7,FALSE)=0,"",VLOOKUP(N223,'Incoming Material Report'!H:N,7,FALSE))</f>
        <v>#N/A</v>
      </c>
      <c r="BH223" s="39">
        <f t="shared" si="51"/>
        <v>0</v>
      </c>
      <c r="BI223" s="1">
        <f t="shared" si="52"/>
        <v>0</v>
      </c>
      <c r="BJ223" s="1">
        <f t="shared" si="53"/>
        <v>0</v>
      </c>
      <c r="BK223" s="1">
        <f t="shared" si="54"/>
        <v>0</v>
      </c>
      <c r="BL223" s="1">
        <f t="shared" si="55"/>
        <v>0</v>
      </c>
      <c r="BM223" s="10" t="str">
        <f t="shared" si="56"/>
        <v/>
      </c>
      <c r="BN223" s="39">
        <f t="shared" si="57"/>
        <v>0</v>
      </c>
      <c r="BO223" s="39">
        <f t="shared" si="58"/>
        <v>0</v>
      </c>
      <c r="BP223" s="1">
        <f t="shared" si="59"/>
        <v>0</v>
      </c>
      <c r="BQ223" s="1">
        <f t="shared" si="60"/>
        <v>0</v>
      </c>
      <c r="BR223" s="1" t="str">
        <f t="shared" si="61"/>
        <v/>
      </c>
      <c r="BS223" s="1">
        <f t="shared" si="62"/>
        <v>0</v>
      </c>
      <c r="BT223" s="4">
        <f t="shared" si="63"/>
        <v>0</v>
      </c>
      <c r="BU223" s="39">
        <f t="shared" si="64"/>
        <v>0</v>
      </c>
      <c r="BV223" s="1">
        <f t="shared" si="65"/>
        <v>0</v>
      </c>
      <c r="BW223">
        <f t="shared" si="66"/>
        <v>0</v>
      </c>
      <c r="BX223">
        <f t="shared" si="67"/>
        <v>0</v>
      </c>
    </row>
    <row r="224" spans="58:76" x14ac:dyDescent="0.25">
      <c r="BF224" s="1" t="e">
        <f>VLOOKUP(N224,'Incoming Material Report'!H:M,6,FALSE)</f>
        <v>#N/A</v>
      </c>
      <c r="BG224" s="1" t="e">
        <f>IF(VLOOKUP(N224,'Incoming Material Report'!H:N,7,FALSE)=0,"",VLOOKUP(N224,'Incoming Material Report'!H:N,7,FALSE))</f>
        <v>#N/A</v>
      </c>
      <c r="BH224" s="39">
        <f t="shared" si="51"/>
        <v>0</v>
      </c>
      <c r="BI224" s="1">
        <f t="shared" si="52"/>
        <v>0</v>
      </c>
      <c r="BJ224" s="1">
        <f t="shared" si="53"/>
        <v>0</v>
      </c>
      <c r="BK224" s="1">
        <f t="shared" si="54"/>
        <v>0</v>
      </c>
      <c r="BL224" s="1">
        <f t="shared" si="55"/>
        <v>0</v>
      </c>
      <c r="BM224" s="10" t="str">
        <f t="shared" si="56"/>
        <v/>
      </c>
      <c r="BN224" s="39">
        <f t="shared" si="57"/>
        <v>0</v>
      </c>
      <c r="BO224" s="39">
        <f t="shared" si="58"/>
        <v>0</v>
      </c>
      <c r="BP224" s="1">
        <f t="shared" si="59"/>
        <v>0</v>
      </c>
      <c r="BQ224" s="1">
        <f t="shared" si="60"/>
        <v>0</v>
      </c>
      <c r="BR224" s="1" t="str">
        <f t="shared" si="61"/>
        <v/>
      </c>
      <c r="BS224" s="1">
        <f t="shared" si="62"/>
        <v>0</v>
      </c>
      <c r="BT224" s="4">
        <f t="shared" si="63"/>
        <v>0</v>
      </c>
      <c r="BU224" s="39">
        <f t="shared" si="64"/>
        <v>0</v>
      </c>
      <c r="BV224" s="1">
        <f t="shared" si="65"/>
        <v>0</v>
      </c>
      <c r="BW224">
        <f t="shared" si="66"/>
        <v>0</v>
      </c>
      <c r="BX224">
        <f t="shared" si="67"/>
        <v>0</v>
      </c>
    </row>
    <row r="225" spans="58:76" x14ac:dyDescent="0.25">
      <c r="BF225" s="1" t="e">
        <f>VLOOKUP(N225,'Incoming Material Report'!H:M,6,FALSE)</f>
        <v>#N/A</v>
      </c>
      <c r="BG225" s="1" t="e">
        <f>IF(VLOOKUP(N225,'Incoming Material Report'!H:N,7,FALSE)=0,"",VLOOKUP(N225,'Incoming Material Report'!H:N,7,FALSE))</f>
        <v>#N/A</v>
      </c>
      <c r="BH225" s="39">
        <f t="shared" si="51"/>
        <v>0</v>
      </c>
      <c r="BI225" s="1">
        <f t="shared" si="52"/>
        <v>0</v>
      </c>
      <c r="BJ225" s="1">
        <f t="shared" si="53"/>
        <v>0</v>
      </c>
      <c r="BK225" s="1">
        <f t="shared" si="54"/>
        <v>0</v>
      </c>
      <c r="BL225" s="1">
        <f t="shared" si="55"/>
        <v>0</v>
      </c>
      <c r="BM225" s="10" t="str">
        <f t="shared" si="56"/>
        <v/>
      </c>
      <c r="BN225" s="39">
        <f t="shared" si="57"/>
        <v>0</v>
      </c>
      <c r="BO225" s="39">
        <f t="shared" si="58"/>
        <v>0</v>
      </c>
      <c r="BP225" s="1">
        <f t="shared" si="59"/>
        <v>0</v>
      </c>
      <c r="BQ225" s="1">
        <f t="shared" si="60"/>
        <v>0</v>
      </c>
      <c r="BR225" s="1" t="str">
        <f t="shared" si="61"/>
        <v/>
      </c>
      <c r="BS225" s="1">
        <f t="shared" si="62"/>
        <v>0</v>
      </c>
      <c r="BT225" s="4">
        <f t="shared" si="63"/>
        <v>0</v>
      </c>
      <c r="BU225" s="39">
        <f t="shared" si="64"/>
        <v>0</v>
      </c>
      <c r="BV225" s="1">
        <f t="shared" si="65"/>
        <v>0</v>
      </c>
      <c r="BW225">
        <f t="shared" si="66"/>
        <v>0</v>
      </c>
      <c r="BX225">
        <f t="shared" si="67"/>
        <v>0</v>
      </c>
    </row>
    <row r="226" spans="58:76" x14ac:dyDescent="0.25">
      <c r="BF226" s="1" t="e">
        <f>VLOOKUP(N226,'Incoming Material Report'!H:M,6,FALSE)</f>
        <v>#N/A</v>
      </c>
      <c r="BG226" s="1" t="e">
        <f>IF(VLOOKUP(N226,'Incoming Material Report'!H:N,7,FALSE)=0,"",VLOOKUP(N226,'Incoming Material Report'!H:N,7,FALSE))</f>
        <v>#N/A</v>
      </c>
      <c r="BH226" s="39">
        <f t="shared" si="51"/>
        <v>0</v>
      </c>
      <c r="BI226" s="1">
        <f t="shared" si="52"/>
        <v>0</v>
      </c>
      <c r="BJ226" s="1">
        <f t="shared" si="53"/>
        <v>0</v>
      </c>
      <c r="BK226" s="1">
        <f t="shared" si="54"/>
        <v>0</v>
      </c>
      <c r="BL226" s="1">
        <f t="shared" si="55"/>
        <v>0</v>
      </c>
      <c r="BM226" s="10" t="str">
        <f t="shared" si="56"/>
        <v/>
      </c>
      <c r="BN226" s="39">
        <f t="shared" si="57"/>
        <v>0</v>
      </c>
      <c r="BO226" s="39">
        <f t="shared" si="58"/>
        <v>0</v>
      </c>
      <c r="BP226" s="1">
        <f t="shared" si="59"/>
        <v>0</v>
      </c>
      <c r="BQ226" s="1">
        <f t="shared" si="60"/>
        <v>0</v>
      </c>
      <c r="BR226" s="1" t="str">
        <f t="shared" si="61"/>
        <v/>
      </c>
      <c r="BS226" s="1">
        <f t="shared" si="62"/>
        <v>0</v>
      </c>
      <c r="BT226" s="4">
        <f t="shared" si="63"/>
        <v>0</v>
      </c>
      <c r="BU226" s="39">
        <f t="shared" si="64"/>
        <v>0</v>
      </c>
      <c r="BV226" s="1">
        <f t="shared" si="65"/>
        <v>0</v>
      </c>
      <c r="BW226">
        <f t="shared" si="66"/>
        <v>0</v>
      </c>
      <c r="BX226">
        <f t="shared" si="67"/>
        <v>0</v>
      </c>
    </row>
    <row r="227" spans="58:76" x14ac:dyDescent="0.25">
      <c r="BF227" s="1" t="e">
        <f>VLOOKUP(N227,'Incoming Material Report'!H:M,6,FALSE)</f>
        <v>#N/A</v>
      </c>
      <c r="BG227" s="1" t="e">
        <f>IF(VLOOKUP(N227,'Incoming Material Report'!H:N,7,FALSE)=0,"",VLOOKUP(N227,'Incoming Material Report'!H:N,7,FALSE))</f>
        <v>#N/A</v>
      </c>
      <c r="BH227" s="39">
        <f t="shared" si="51"/>
        <v>0</v>
      </c>
      <c r="BI227" s="1">
        <f t="shared" si="52"/>
        <v>0</v>
      </c>
      <c r="BJ227" s="1">
        <f t="shared" si="53"/>
        <v>0</v>
      </c>
      <c r="BK227" s="1">
        <f t="shared" si="54"/>
        <v>0</v>
      </c>
      <c r="BL227" s="1">
        <f t="shared" si="55"/>
        <v>0</v>
      </c>
      <c r="BM227" s="10" t="str">
        <f t="shared" si="56"/>
        <v/>
      </c>
      <c r="BN227" s="39">
        <f t="shared" si="57"/>
        <v>0</v>
      </c>
      <c r="BO227" s="39">
        <f t="shared" si="58"/>
        <v>0</v>
      </c>
      <c r="BP227" s="1">
        <f t="shared" si="59"/>
        <v>0</v>
      </c>
      <c r="BQ227" s="1">
        <f t="shared" si="60"/>
        <v>0</v>
      </c>
      <c r="BR227" s="1" t="str">
        <f t="shared" si="61"/>
        <v/>
      </c>
      <c r="BS227" s="1">
        <f t="shared" si="62"/>
        <v>0</v>
      </c>
      <c r="BT227" s="4">
        <f t="shared" si="63"/>
        <v>0</v>
      </c>
      <c r="BU227" s="39">
        <f t="shared" si="64"/>
        <v>0</v>
      </c>
      <c r="BV227" s="1">
        <f t="shared" si="65"/>
        <v>0</v>
      </c>
      <c r="BW227">
        <f t="shared" si="66"/>
        <v>0</v>
      </c>
      <c r="BX227">
        <f t="shared" si="67"/>
        <v>0</v>
      </c>
    </row>
    <row r="228" spans="58:76" x14ac:dyDescent="0.25">
      <c r="BF228" s="1" t="e">
        <f>VLOOKUP(N228,'Incoming Material Report'!H:M,6,FALSE)</f>
        <v>#N/A</v>
      </c>
      <c r="BG228" s="1" t="e">
        <f>IF(VLOOKUP(N228,'Incoming Material Report'!H:N,7,FALSE)=0,"",VLOOKUP(N228,'Incoming Material Report'!H:N,7,FALSE))</f>
        <v>#N/A</v>
      </c>
      <c r="BH228" s="39">
        <f t="shared" si="51"/>
        <v>0</v>
      </c>
      <c r="BI228" s="1">
        <f t="shared" si="52"/>
        <v>0</v>
      </c>
      <c r="BJ228" s="1">
        <f t="shared" si="53"/>
        <v>0</v>
      </c>
      <c r="BK228" s="1">
        <f t="shared" si="54"/>
        <v>0</v>
      </c>
      <c r="BL228" s="1">
        <f t="shared" si="55"/>
        <v>0</v>
      </c>
      <c r="BM228" s="10" t="str">
        <f t="shared" si="56"/>
        <v/>
      </c>
      <c r="BN228" s="39">
        <f t="shared" si="57"/>
        <v>0</v>
      </c>
      <c r="BO228" s="39">
        <f t="shared" si="58"/>
        <v>0</v>
      </c>
      <c r="BP228" s="1">
        <f t="shared" si="59"/>
        <v>0</v>
      </c>
      <c r="BQ228" s="1">
        <f t="shared" si="60"/>
        <v>0</v>
      </c>
      <c r="BR228" s="1" t="str">
        <f t="shared" si="61"/>
        <v/>
      </c>
      <c r="BS228" s="1">
        <f t="shared" si="62"/>
        <v>0</v>
      </c>
      <c r="BT228" s="4">
        <f t="shared" si="63"/>
        <v>0</v>
      </c>
      <c r="BU228" s="39">
        <f t="shared" si="64"/>
        <v>0</v>
      </c>
      <c r="BV228" s="1">
        <f t="shared" si="65"/>
        <v>0</v>
      </c>
      <c r="BW228">
        <f t="shared" si="66"/>
        <v>0</v>
      </c>
      <c r="BX228">
        <f t="shared" si="67"/>
        <v>0</v>
      </c>
    </row>
    <row r="229" spans="58:76" x14ac:dyDescent="0.25">
      <c r="BF229" s="1" t="e">
        <f>VLOOKUP(N229,'Incoming Material Report'!H:M,6,FALSE)</f>
        <v>#N/A</v>
      </c>
      <c r="BG229" s="1" t="e">
        <f>IF(VLOOKUP(N229,'Incoming Material Report'!H:N,7,FALSE)=0,"",VLOOKUP(N229,'Incoming Material Report'!H:N,7,FALSE))</f>
        <v>#N/A</v>
      </c>
      <c r="BH229" s="39">
        <f t="shared" si="51"/>
        <v>0</v>
      </c>
      <c r="BI229" s="1">
        <f t="shared" si="52"/>
        <v>0</v>
      </c>
      <c r="BJ229" s="1">
        <f t="shared" si="53"/>
        <v>0</v>
      </c>
      <c r="BK229" s="1">
        <f t="shared" si="54"/>
        <v>0</v>
      </c>
      <c r="BL229" s="1">
        <f t="shared" si="55"/>
        <v>0</v>
      </c>
      <c r="BM229" s="10" t="str">
        <f t="shared" si="56"/>
        <v/>
      </c>
      <c r="BN229" s="39">
        <f t="shared" si="57"/>
        <v>0</v>
      </c>
      <c r="BO229" s="39">
        <f t="shared" si="58"/>
        <v>0</v>
      </c>
      <c r="BP229" s="1">
        <f t="shared" si="59"/>
        <v>0</v>
      </c>
      <c r="BQ229" s="1">
        <f t="shared" si="60"/>
        <v>0</v>
      </c>
      <c r="BR229" s="1" t="str">
        <f t="shared" si="61"/>
        <v/>
      </c>
      <c r="BS229" s="1">
        <f t="shared" si="62"/>
        <v>0</v>
      </c>
      <c r="BT229" s="4">
        <f t="shared" si="63"/>
        <v>0</v>
      </c>
      <c r="BU229" s="39">
        <f t="shared" si="64"/>
        <v>0</v>
      </c>
      <c r="BV229" s="1">
        <f t="shared" si="65"/>
        <v>0</v>
      </c>
      <c r="BW229">
        <f t="shared" si="66"/>
        <v>0</v>
      </c>
      <c r="BX229">
        <f t="shared" si="67"/>
        <v>0</v>
      </c>
    </row>
    <row r="230" spans="58:76" x14ac:dyDescent="0.25">
      <c r="BF230" s="1" t="e">
        <f>VLOOKUP(N230,'Incoming Material Report'!H:M,6,FALSE)</f>
        <v>#N/A</v>
      </c>
      <c r="BG230" s="1" t="e">
        <f>IF(VLOOKUP(N230,'Incoming Material Report'!H:N,7,FALSE)=0,"",VLOOKUP(N230,'Incoming Material Report'!H:N,7,FALSE))</f>
        <v>#N/A</v>
      </c>
      <c r="BH230" s="39">
        <f t="shared" si="51"/>
        <v>0</v>
      </c>
      <c r="BI230" s="1">
        <f t="shared" si="52"/>
        <v>0</v>
      </c>
      <c r="BJ230" s="1">
        <f t="shared" si="53"/>
        <v>0</v>
      </c>
      <c r="BK230" s="1">
        <f t="shared" si="54"/>
        <v>0</v>
      </c>
      <c r="BL230" s="1">
        <f t="shared" si="55"/>
        <v>0</v>
      </c>
      <c r="BM230" s="10" t="str">
        <f t="shared" si="56"/>
        <v/>
      </c>
      <c r="BN230" s="39">
        <f t="shared" si="57"/>
        <v>0</v>
      </c>
      <c r="BO230" s="39">
        <f t="shared" si="58"/>
        <v>0</v>
      </c>
      <c r="BP230" s="1">
        <f t="shared" si="59"/>
        <v>0</v>
      </c>
      <c r="BQ230" s="1">
        <f t="shared" si="60"/>
        <v>0</v>
      </c>
      <c r="BR230" s="1" t="str">
        <f t="shared" si="61"/>
        <v/>
      </c>
      <c r="BS230" s="1">
        <f t="shared" si="62"/>
        <v>0</v>
      </c>
      <c r="BT230" s="4">
        <f t="shared" si="63"/>
        <v>0</v>
      </c>
      <c r="BU230" s="39">
        <f t="shared" si="64"/>
        <v>0</v>
      </c>
      <c r="BV230" s="1">
        <f t="shared" si="65"/>
        <v>0</v>
      </c>
      <c r="BW230">
        <f t="shared" si="66"/>
        <v>0</v>
      </c>
      <c r="BX230">
        <f t="shared" si="67"/>
        <v>0</v>
      </c>
    </row>
    <row r="231" spans="58:76" x14ac:dyDescent="0.25">
      <c r="BF231" s="1" t="e">
        <f>VLOOKUP(N231,'Incoming Material Report'!H:M,6,FALSE)</f>
        <v>#N/A</v>
      </c>
      <c r="BG231" s="1" t="e">
        <f>IF(VLOOKUP(N231,'Incoming Material Report'!H:N,7,FALSE)=0,"",VLOOKUP(N231,'Incoming Material Report'!H:N,7,FALSE))</f>
        <v>#N/A</v>
      </c>
      <c r="BH231" s="39">
        <f t="shared" si="51"/>
        <v>0</v>
      </c>
      <c r="BI231" s="1">
        <f t="shared" si="52"/>
        <v>0</v>
      </c>
      <c r="BJ231" s="1">
        <f t="shared" si="53"/>
        <v>0</v>
      </c>
      <c r="BK231" s="1">
        <f t="shared" si="54"/>
        <v>0</v>
      </c>
      <c r="BL231" s="1">
        <f t="shared" si="55"/>
        <v>0</v>
      </c>
      <c r="BM231" s="10" t="str">
        <f t="shared" si="56"/>
        <v/>
      </c>
      <c r="BN231" s="39">
        <f t="shared" si="57"/>
        <v>0</v>
      </c>
      <c r="BO231" s="39">
        <f t="shared" si="58"/>
        <v>0</v>
      </c>
      <c r="BP231" s="1">
        <f t="shared" si="59"/>
        <v>0</v>
      </c>
      <c r="BQ231" s="1">
        <f t="shared" si="60"/>
        <v>0</v>
      </c>
      <c r="BR231" s="1" t="str">
        <f t="shared" si="61"/>
        <v/>
      </c>
      <c r="BS231" s="1">
        <f t="shared" si="62"/>
        <v>0</v>
      </c>
      <c r="BT231" s="4">
        <f t="shared" si="63"/>
        <v>0</v>
      </c>
      <c r="BU231" s="39">
        <f t="shared" si="64"/>
        <v>0</v>
      </c>
      <c r="BV231" s="1">
        <f t="shared" si="65"/>
        <v>0</v>
      </c>
      <c r="BW231">
        <f t="shared" si="66"/>
        <v>0</v>
      </c>
      <c r="BX231">
        <f t="shared" si="67"/>
        <v>0</v>
      </c>
    </row>
    <row r="232" spans="58:76" x14ac:dyDescent="0.25">
      <c r="BF232" s="1" t="e">
        <f>VLOOKUP(N232,'Incoming Material Report'!H:M,6,FALSE)</f>
        <v>#N/A</v>
      </c>
      <c r="BG232" s="1" t="e">
        <f>IF(VLOOKUP(N232,'Incoming Material Report'!H:N,7,FALSE)=0,"",VLOOKUP(N232,'Incoming Material Report'!H:N,7,FALSE))</f>
        <v>#N/A</v>
      </c>
      <c r="BH232" s="39">
        <f t="shared" si="51"/>
        <v>0</v>
      </c>
      <c r="BI232" s="1">
        <f t="shared" si="52"/>
        <v>0</v>
      </c>
      <c r="BJ232" s="1">
        <f t="shared" si="53"/>
        <v>0</v>
      </c>
      <c r="BK232" s="1">
        <f t="shared" si="54"/>
        <v>0</v>
      </c>
      <c r="BL232" s="1">
        <f t="shared" si="55"/>
        <v>0</v>
      </c>
      <c r="BM232" s="10" t="str">
        <f t="shared" si="56"/>
        <v/>
      </c>
      <c r="BN232" s="39">
        <f t="shared" si="57"/>
        <v>0</v>
      </c>
      <c r="BO232" s="39">
        <f t="shared" si="58"/>
        <v>0</v>
      </c>
      <c r="BP232" s="1">
        <f t="shared" si="59"/>
        <v>0</v>
      </c>
      <c r="BQ232" s="1">
        <f t="shared" si="60"/>
        <v>0</v>
      </c>
      <c r="BR232" s="1" t="str">
        <f t="shared" si="61"/>
        <v/>
      </c>
      <c r="BS232" s="1">
        <f t="shared" si="62"/>
        <v>0</v>
      </c>
      <c r="BT232" s="4">
        <f t="shared" si="63"/>
        <v>0</v>
      </c>
      <c r="BU232" s="39">
        <f t="shared" si="64"/>
        <v>0</v>
      </c>
      <c r="BV232" s="1">
        <f t="shared" si="65"/>
        <v>0</v>
      </c>
      <c r="BW232">
        <f t="shared" si="66"/>
        <v>0</v>
      </c>
      <c r="BX232">
        <f t="shared" si="67"/>
        <v>0</v>
      </c>
    </row>
    <row r="233" spans="58:76" x14ac:dyDescent="0.25">
      <c r="BF233" s="1" t="e">
        <f>VLOOKUP(N233,'Incoming Material Report'!H:M,6,FALSE)</f>
        <v>#N/A</v>
      </c>
      <c r="BG233" s="1" t="e">
        <f>IF(VLOOKUP(N233,'Incoming Material Report'!H:N,7,FALSE)=0,"",VLOOKUP(N233,'Incoming Material Report'!H:N,7,FALSE))</f>
        <v>#N/A</v>
      </c>
      <c r="BH233" s="39">
        <f t="shared" si="51"/>
        <v>0</v>
      </c>
      <c r="BI233" s="1">
        <f t="shared" si="52"/>
        <v>0</v>
      </c>
      <c r="BJ233" s="1">
        <f t="shared" si="53"/>
        <v>0</v>
      </c>
      <c r="BK233" s="1">
        <f t="shared" si="54"/>
        <v>0</v>
      </c>
      <c r="BL233" s="1">
        <f t="shared" si="55"/>
        <v>0</v>
      </c>
      <c r="BM233" s="10" t="str">
        <f t="shared" si="56"/>
        <v/>
      </c>
      <c r="BN233" s="39">
        <f t="shared" si="57"/>
        <v>0</v>
      </c>
      <c r="BO233" s="39">
        <f t="shared" si="58"/>
        <v>0</v>
      </c>
      <c r="BP233" s="1">
        <f t="shared" si="59"/>
        <v>0</v>
      </c>
      <c r="BQ233" s="1">
        <f t="shared" si="60"/>
        <v>0</v>
      </c>
      <c r="BR233" s="1" t="str">
        <f t="shared" si="61"/>
        <v/>
      </c>
      <c r="BS233" s="1">
        <f t="shared" si="62"/>
        <v>0</v>
      </c>
      <c r="BT233" s="4">
        <f t="shared" si="63"/>
        <v>0</v>
      </c>
      <c r="BU233" s="39">
        <f t="shared" si="64"/>
        <v>0</v>
      </c>
      <c r="BV233" s="1">
        <f t="shared" si="65"/>
        <v>0</v>
      </c>
      <c r="BW233">
        <f t="shared" si="66"/>
        <v>0</v>
      </c>
      <c r="BX233">
        <f t="shared" si="67"/>
        <v>0</v>
      </c>
    </row>
    <row r="234" spans="58:76" x14ac:dyDescent="0.25">
      <c r="BF234" s="1" t="e">
        <f>VLOOKUP(N234,'Incoming Material Report'!H:M,6,FALSE)</f>
        <v>#N/A</v>
      </c>
      <c r="BG234" s="1" t="e">
        <f>IF(VLOOKUP(N234,'Incoming Material Report'!H:N,7,FALSE)=0,"",VLOOKUP(N234,'Incoming Material Report'!H:N,7,FALSE))</f>
        <v>#N/A</v>
      </c>
      <c r="BH234" s="39">
        <f t="shared" si="51"/>
        <v>0</v>
      </c>
      <c r="BI234" s="1">
        <f t="shared" si="52"/>
        <v>0</v>
      </c>
      <c r="BJ234" s="1">
        <f t="shared" si="53"/>
        <v>0</v>
      </c>
      <c r="BK234" s="1">
        <f t="shared" si="54"/>
        <v>0</v>
      </c>
      <c r="BL234" s="1">
        <f t="shared" si="55"/>
        <v>0</v>
      </c>
      <c r="BM234" s="10" t="str">
        <f t="shared" si="56"/>
        <v/>
      </c>
      <c r="BN234" s="39">
        <f t="shared" si="57"/>
        <v>0</v>
      </c>
      <c r="BO234" s="39">
        <f t="shared" si="58"/>
        <v>0</v>
      </c>
      <c r="BP234" s="1">
        <f t="shared" si="59"/>
        <v>0</v>
      </c>
      <c r="BQ234" s="1">
        <f t="shared" si="60"/>
        <v>0</v>
      </c>
      <c r="BR234" s="1" t="str">
        <f t="shared" si="61"/>
        <v/>
      </c>
      <c r="BS234" s="1">
        <f t="shared" si="62"/>
        <v>0</v>
      </c>
      <c r="BT234" s="4">
        <f t="shared" si="63"/>
        <v>0</v>
      </c>
      <c r="BU234" s="39">
        <f t="shared" si="64"/>
        <v>0</v>
      </c>
      <c r="BV234" s="1">
        <f t="shared" si="65"/>
        <v>0</v>
      </c>
      <c r="BW234">
        <f t="shared" si="66"/>
        <v>0</v>
      </c>
      <c r="BX234">
        <f t="shared" si="67"/>
        <v>0</v>
      </c>
    </row>
    <row r="235" spans="58:76" x14ac:dyDescent="0.25">
      <c r="BF235" s="1" t="e">
        <f>VLOOKUP(N235,'Incoming Material Report'!H:M,6,FALSE)</f>
        <v>#N/A</v>
      </c>
      <c r="BG235" s="1" t="e">
        <f>IF(VLOOKUP(N235,'Incoming Material Report'!H:N,7,FALSE)=0,"",VLOOKUP(N235,'Incoming Material Report'!H:N,7,FALSE))</f>
        <v>#N/A</v>
      </c>
      <c r="BH235" s="39">
        <f t="shared" si="51"/>
        <v>0</v>
      </c>
      <c r="BI235" s="1">
        <f t="shared" si="52"/>
        <v>0</v>
      </c>
      <c r="BJ235" s="1">
        <f t="shared" si="53"/>
        <v>0</v>
      </c>
      <c r="BK235" s="1">
        <f t="shared" si="54"/>
        <v>0</v>
      </c>
      <c r="BL235" s="1">
        <f t="shared" si="55"/>
        <v>0</v>
      </c>
      <c r="BM235" s="10" t="str">
        <f t="shared" si="56"/>
        <v/>
      </c>
      <c r="BN235" s="39">
        <f t="shared" si="57"/>
        <v>0</v>
      </c>
      <c r="BO235" s="39">
        <f t="shared" si="58"/>
        <v>0</v>
      </c>
      <c r="BP235" s="1">
        <f t="shared" si="59"/>
        <v>0</v>
      </c>
      <c r="BQ235" s="1">
        <f t="shared" si="60"/>
        <v>0</v>
      </c>
      <c r="BR235" s="1" t="str">
        <f t="shared" si="61"/>
        <v/>
      </c>
      <c r="BS235" s="1">
        <f t="shared" si="62"/>
        <v>0</v>
      </c>
      <c r="BT235" s="4">
        <f t="shared" si="63"/>
        <v>0</v>
      </c>
      <c r="BU235" s="39">
        <f t="shared" si="64"/>
        <v>0</v>
      </c>
      <c r="BV235" s="1">
        <f t="shared" si="65"/>
        <v>0</v>
      </c>
      <c r="BW235">
        <f t="shared" si="66"/>
        <v>0</v>
      </c>
      <c r="BX235">
        <f t="shared" si="67"/>
        <v>0</v>
      </c>
    </row>
    <row r="236" spans="58:76" x14ac:dyDescent="0.25">
      <c r="BF236" s="1" t="e">
        <f>VLOOKUP(N236,'Incoming Material Report'!H:M,6,FALSE)</f>
        <v>#N/A</v>
      </c>
      <c r="BG236" s="1" t="e">
        <f>IF(VLOOKUP(N236,'Incoming Material Report'!H:N,7,FALSE)=0,"",VLOOKUP(N236,'Incoming Material Report'!H:N,7,FALSE))</f>
        <v>#N/A</v>
      </c>
      <c r="BH236" s="39">
        <f t="shared" si="51"/>
        <v>0</v>
      </c>
      <c r="BI236" s="1">
        <f t="shared" si="52"/>
        <v>0</v>
      </c>
      <c r="BJ236" s="1">
        <f t="shared" si="53"/>
        <v>0</v>
      </c>
      <c r="BK236" s="1">
        <f t="shared" si="54"/>
        <v>0</v>
      </c>
      <c r="BL236" s="1">
        <f t="shared" si="55"/>
        <v>0</v>
      </c>
      <c r="BM236" s="10" t="str">
        <f t="shared" si="56"/>
        <v/>
      </c>
      <c r="BN236" s="39">
        <f t="shared" si="57"/>
        <v>0</v>
      </c>
      <c r="BO236" s="39">
        <f t="shared" si="58"/>
        <v>0</v>
      </c>
      <c r="BP236" s="1">
        <f t="shared" si="59"/>
        <v>0</v>
      </c>
      <c r="BQ236" s="1">
        <f t="shared" si="60"/>
        <v>0</v>
      </c>
      <c r="BR236" s="1" t="str">
        <f t="shared" si="61"/>
        <v/>
      </c>
      <c r="BS236" s="1">
        <f t="shared" si="62"/>
        <v>0</v>
      </c>
      <c r="BT236" s="4">
        <f t="shared" si="63"/>
        <v>0</v>
      </c>
      <c r="BU236" s="39">
        <f t="shared" si="64"/>
        <v>0</v>
      </c>
      <c r="BV236" s="1">
        <f t="shared" si="65"/>
        <v>0</v>
      </c>
      <c r="BW236">
        <f t="shared" si="66"/>
        <v>0</v>
      </c>
      <c r="BX236">
        <f t="shared" si="67"/>
        <v>0</v>
      </c>
    </row>
    <row r="237" spans="58:76" x14ac:dyDescent="0.25">
      <c r="BF237" s="1" t="e">
        <f>VLOOKUP(N237,'Incoming Material Report'!H:M,6,FALSE)</f>
        <v>#N/A</v>
      </c>
      <c r="BG237" s="1" t="e">
        <f>IF(VLOOKUP(N237,'Incoming Material Report'!H:N,7,FALSE)=0,"",VLOOKUP(N237,'Incoming Material Report'!H:N,7,FALSE))</f>
        <v>#N/A</v>
      </c>
      <c r="BH237" s="39">
        <f t="shared" si="51"/>
        <v>0</v>
      </c>
      <c r="BI237" s="1">
        <f t="shared" si="52"/>
        <v>0</v>
      </c>
      <c r="BJ237" s="1">
        <f t="shared" si="53"/>
        <v>0</v>
      </c>
      <c r="BK237" s="1">
        <f t="shared" si="54"/>
        <v>0</v>
      </c>
      <c r="BL237" s="1">
        <f t="shared" si="55"/>
        <v>0</v>
      </c>
      <c r="BM237" s="10" t="str">
        <f t="shared" si="56"/>
        <v/>
      </c>
      <c r="BN237" s="39">
        <f t="shared" si="57"/>
        <v>0</v>
      </c>
      <c r="BO237" s="39">
        <f t="shared" si="58"/>
        <v>0</v>
      </c>
      <c r="BP237" s="1">
        <f t="shared" si="59"/>
        <v>0</v>
      </c>
      <c r="BQ237" s="1">
        <f t="shared" si="60"/>
        <v>0</v>
      </c>
      <c r="BR237" s="1" t="str">
        <f t="shared" si="61"/>
        <v/>
      </c>
      <c r="BS237" s="1">
        <f t="shared" si="62"/>
        <v>0</v>
      </c>
      <c r="BT237" s="4">
        <f t="shared" si="63"/>
        <v>0</v>
      </c>
      <c r="BU237" s="39">
        <f t="shared" si="64"/>
        <v>0</v>
      </c>
      <c r="BV237" s="1">
        <f t="shared" si="65"/>
        <v>0</v>
      </c>
      <c r="BW237">
        <f t="shared" si="66"/>
        <v>0</v>
      </c>
      <c r="BX237">
        <f t="shared" si="67"/>
        <v>0</v>
      </c>
    </row>
    <row r="238" spans="58:76" x14ac:dyDescent="0.25">
      <c r="BF238" s="1" t="e">
        <f>VLOOKUP(N238,'Incoming Material Report'!H:M,6,FALSE)</f>
        <v>#N/A</v>
      </c>
      <c r="BG238" s="1" t="e">
        <f>IF(VLOOKUP(N238,'Incoming Material Report'!H:N,7,FALSE)=0,"",VLOOKUP(N238,'Incoming Material Report'!H:N,7,FALSE))</f>
        <v>#N/A</v>
      </c>
      <c r="BH238" s="39">
        <f t="shared" si="51"/>
        <v>0</v>
      </c>
      <c r="BI238" s="1">
        <f t="shared" si="52"/>
        <v>0</v>
      </c>
      <c r="BJ238" s="1">
        <f t="shared" si="53"/>
        <v>0</v>
      </c>
      <c r="BK238" s="1">
        <f t="shared" si="54"/>
        <v>0</v>
      </c>
      <c r="BL238" s="1">
        <f t="shared" si="55"/>
        <v>0</v>
      </c>
      <c r="BM238" s="10" t="str">
        <f t="shared" si="56"/>
        <v/>
      </c>
      <c r="BN238" s="39">
        <f t="shared" si="57"/>
        <v>0</v>
      </c>
      <c r="BO238" s="39">
        <f t="shared" si="58"/>
        <v>0</v>
      </c>
      <c r="BP238" s="1">
        <f t="shared" si="59"/>
        <v>0</v>
      </c>
      <c r="BQ238" s="1">
        <f t="shared" si="60"/>
        <v>0</v>
      </c>
      <c r="BR238" s="1" t="str">
        <f t="shared" si="61"/>
        <v/>
      </c>
      <c r="BS238" s="1">
        <f t="shared" si="62"/>
        <v>0</v>
      </c>
      <c r="BT238" s="4">
        <f t="shared" si="63"/>
        <v>0</v>
      </c>
      <c r="BU238" s="39">
        <f t="shared" si="64"/>
        <v>0</v>
      </c>
      <c r="BV238" s="1">
        <f t="shared" si="65"/>
        <v>0</v>
      </c>
      <c r="BW238">
        <f t="shared" si="66"/>
        <v>0</v>
      </c>
      <c r="BX238">
        <f t="shared" si="67"/>
        <v>0</v>
      </c>
    </row>
    <row r="239" spans="58:76" x14ac:dyDescent="0.25">
      <c r="BF239" s="1" t="e">
        <f>VLOOKUP(N239,'Incoming Material Report'!H:M,6,FALSE)</f>
        <v>#N/A</v>
      </c>
      <c r="BG239" s="1" t="e">
        <f>IF(VLOOKUP(N239,'Incoming Material Report'!H:N,7,FALSE)=0,"",VLOOKUP(N239,'Incoming Material Report'!H:N,7,FALSE))</f>
        <v>#N/A</v>
      </c>
      <c r="BH239" s="39">
        <f t="shared" si="51"/>
        <v>0</v>
      </c>
      <c r="BI239" s="1">
        <f t="shared" si="52"/>
        <v>0</v>
      </c>
      <c r="BJ239" s="1">
        <f t="shared" si="53"/>
        <v>0</v>
      </c>
      <c r="BK239" s="1">
        <f t="shared" si="54"/>
        <v>0</v>
      </c>
      <c r="BL239" s="1">
        <f t="shared" si="55"/>
        <v>0</v>
      </c>
      <c r="BM239" s="10" t="str">
        <f t="shared" si="56"/>
        <v/>
      </c>
      <c r="BN239" s="39">
        <f t="shared" si="57"/>
        <v>0</v>
      </c>
      <c r="BO239" s="39">
        <f t="shared" si="58"/>
        <v>0</v>
      </c>
      <c r="BP239" s="1">
        <f t="shared" si="59"/>
        <v>0</v>
      </c>
      <c r="BQ239" s="1">
        <f t="shared" si="60"/>
        <v>0</v>
      </c>
      <c r="BR239" s="1" t="str">
        <f t="shared" si="61"/>
        <v/>
      </c>
      <c r="BS239" s="1">
        <f t="shared" si="62"/>
        <v>0</v>
      </c>
      <c r="BT239" s="4">
        <f t="shared" si="63"/>
        <v>0</v>
      </c>
      <c r="BU239" s="39">
        <f t="shared" si="64"/>
        <v>0</v>
      </c>
      <c r="BV239" s="1">
        <f t="shared" si="65"/>
        <v>0</v>
      </c>
      <c r="BW239">
        <f t="shared" si="66"/>
        <v>0</v>
      </c>
      <c r="BX239">
        <f t="shared" si="67"/>
        <v>0</v>
      </c>
    </row>
    <row r="240" spans="58:76" x14ac:dyDescent="0.25">
      <c r="BF240" s="1" t="e">
        <f>VLOOKUP(N240,'Incoming Material Report'!H:M,6,FALSE)</f>
        <v>#N/A</v>
      </c>
      <c r="BG240" s="1" t="e">
        <f>IF(VLOOKUP(N240,'Incoming Material Report'!H:N,7,FALSE)=0,"",VLOOKUP(N240,'Incoming Material Report'!H:N,7,FALSE))</f>
        <v>#N/A</v>
      </c>
      <c r="BH240" s="39">
        <f t="shared" si="51"/>
        <v>0</v>
      </c>
      <c r="BI240" s="1">
        <f t="shared" si="52"/>
        <v>0</v>
      </c>
      <c r="BJ240" s="1">
        <f t="shared" si="53"/>
        <v>0</v>
      </c>
      <c r="BK240" s="1">
        <f t="shared" si="54"/>
        <v>0</v>
      </c>
      <c r="BL240" s="1">
        <f t="shared" si="55"/>
        <v>0</v>
      </c>
      <c r="BM240" s="10" t="str">
        <f t="shared" si="56"/>
        <v/>
      </c>
      <c r="BN240" s="39">
        <f t="shared" si="57"/>
        <v>0</v>
      </c>
      <c r="BO240" s="39">
        <f t="shared" si="58"/>
        <v>0</v>
      </c>
      <c r="BP240" s="1">
        <f t="shared" si="59"/>
        <v>0</v>
      </c>
      <c r="BQ240" s="1">
        <f t="shared" si="60"/>
        <v>0</v>
      </c>
      <c r="BR240" s="1" t="str">
        <f t="shared" si="61"/>
        <v/>
      </c>
      <c r="BS240" s="1">
        <f t="shared" si="62"/>
        <v>0</v>
      </c>
      <c r="BT240" s="4">
        <f t="shared" si="63"/>
        <v>0</v>
      </c>
      <c r="BU240" s="39">
        <f t="shared" si="64"/>
        <v>0</v>
      </c>
      <c r="BV240" s="1">
        <f t="shared" si="65"/>
        <v>0</v>
      </c>
      <c r="BW240">
        <f t="shared" si="66"/>
        <v>0</v>
      </c>
      <c r="BX240">
        <f t="shared" si="67"/>
        <v>0</v>
      </c>
    </row>
    <row r="241" spans="58:76" x14ac:dyDescent="0.25">
      <c r="BF241" s="1" t="e">
        <f>VLOOKUP(N241,'Incoming Material Report'!H:M,6,FALSE)</f>
        <v>#N/A</v>
      </c>
      <c r="BG241" s="1" t="e">
        <f>IF(VLOOKUP(N241,'Incoming Material Report'!H:N,7,FALSE)=0,"",VLOOKUP(N241,'Incoming Material Report'!H:N,7,FALSE))</f>
        <v>#N/A</v>
      </c>
      <c r="BH241" s="39">
        <f t="shared" si="51"/>
        <v>0</v>
      </c>
      <c r="BI241" s="1">
        <f t="shared" si="52"/>
        <v>0</v>
      </c>
      <c r="BJ241" s="1">
        <f t="shared" si="53"/>
        <v>0</v>
      </c>
      <c r="BK241" s="1">
        <f t="shared" si="54"/>
        <v>0</v>
      </c>
      <c r="BL241" s="1">
        <f t="shared" si="55"/>
        <v>0</v>
      </c>
      <c r="BM241" s="10" t="str">
        <f t="shared" si="56"/>
        <v/>
      </c>
      <c r="BN241" s="39">
        <f t="shared" si="57"/>
        <v>0</v>
      </c>
      <c r="BO241" s="39">
        <f t="shared" si="58"/>
        <v>0</v>
      </c>
      <c r="BP241" s="1">
        <f t="shared" si="59"/>
        <v>0</v>
      </c>
      <c r="BQ241" s="1">
        <f t="shared" si="60"/>
        <v>0</v>
      </c>
      <c r="BR241" s="1" t="str">
        <f t="shared" si="61"/>
        <v/>
      </c>
      <c r="BS241" s="1">
        <f t="shared" si="62"/>
        <v>0</v>
      </c>
      <c r="BT241" s="4">
        <f t="shared" si="63"/>
        <v>0</v>
      </c>
      <c r="BU241" s="39">
        <f t="shared" si="64"/>
        <v>0</v>
      </c>
      <c r="BV241" s="1">
        <f t="shared" si="65"/>
        <v>0</v>
      </c>
      <c r="BW241">
        <f t="shared" si="66"/>
        <v>0</v>
      </c>
      <c r="BX241">
        <f t="shared" si="67"/>
        <v>0</v>
      </c>
    </row>
    <row r="242" spans="58:76" x14ac:dyDescent="0.25">
      <c r="BF242" s="1" t="e">
        <f>VLOOKUP(N242,'Incoming Material Report'!H:M,6,FALSE)</f>
        <v>#N/A</v>
      </c>
      <c r="BG242" s="1" t="e">
        <f>IF(VLOOKUP(N242,'Incoming Material Report'!H:N,7,FALSE)=0,"",VLOOKUP(N242,'Incoming Material Report'!H:N,7,FALSE))</f>
        <v>#N/A</v>
      </c>
      <c r="BH242" s="39">
        <f t="shared" si="51"/>
        <v>0</v>
      </c>
      <c r="BI242" s="1">
        <f t="shared" si="52"/>
        <v>0</v>
      </c>
      <c r="BJ242" s="1">
        <f t="shared" si="53"/>
        <v>0</v>
      </c>
      <c r="BK242" s="1">
        <f t="shared" si="54"/>
        <v>0</v>
      </c>
      <c r="BL242" s="1">
        <f t="shared" si="55"/>
        <v>0</v>
      </c>
      <c r="BM242" s="10" t="str">
        <f t="shared" si="56"/>
        <v/>
      </c>
      <c r="BN242" s="39">
        <f t="shared" si="57"/>
        <v>0</v>
      </c>
      <c r="BO242" s="39">
        <f t="shared" si="58"/>
        <v>0</v>
      </c>
      <c r="BP242" s="1">
        <f t="shared" si="59"/>
        <v>0</v>
      </c>
      <c r="BQ242" s="1">
        <f t="shared" si="60"/>
        <v>0</v>
      </c>
      <c r="BR242" s="1" t="str">
        <f t="shared" si="61"/>
        <v/>
      </c>
      <c r="BS242" s="1">
        <f t="shared" si="62"/>
        <v>0</v>
      </c>
      <c r="BT242" s="4">
        <f t="shared" si="63"/>
        <v>0</v>
      </c>
      <c r="BU242" s="39">
        <f t="shared" si="64"/>
        <v>0</v>
      </c>
      <c r="BV242" s="1">
        <f t="shared" si="65"/>
        <v>0</v>
      </c>
      <c r="BW242">
        <f t="shared" si="66"/>
        <v>0</v>
      </c>
      <c r="BX242">
        <f t="shared" si="67"/>
        <v>0</v>
      </c>
    </row>
    <row r="243" spans="58:76" x14ac:dyDescent="0.25">
      <c r="BF243" s="1" t="e">
        <f>VLOOKUP(N243,'Incoming Material Report'!H:M,6,FALSE)</f>
        <v>#N/A</v>
      </c>
      <c r="BG243" s="1" t="e">
        <f>IF(VLOOKUP(N243,'Incoming Material Report'!H:N,7,FALSE)=0,"",VLOOKUP(N243,'Incoming Material Report'!H:N,7,FALSE))</f>
        <v>#N/A</v>
      </c>
      <c r="BH243" s="39">
        <f t="shared" si="51"/>
        <v>0</v>
      </c>
      <c r="BI243" s="1">
        <f t="shared" si="52"/>
        <v>0</v>
      </c>
      <c r="BJ243" s="1">
        <f t="shared" si="53"/>
        <v>0</v>
      </c>
      <c r="BK243" s="1">
        <f t="shared" si="54"/>
        <v>0</v>
      </c>
      <c r="BL243" s="1">
        <f t="shared" si="55"/>
        <v>0</v>
      </c>
      <c r="BM243" s="10" t="str">
        <f t="shared" si="56"/>
        <v/>
      </c>
      <c r="BN243" s="39">
        <f t="shared" si="57"/>
        <v>0</v>
      </c>
      <c r="BO243" s="39">
        <f t="shared" si="58"/>
        <v>0</v>
      </c>
      <c r="BP243" s="1">
        <f t="shared" si="59"/>
        <v>0</v>
      </c>
      <c r="BQ243" s="1">
        <f t="shared" si="60"/>
        <v>0</v>
      </c>
      <c r="BR243" s="1" t="str">
        <f t="shared" si="61"/>
        <v/>
      </c>
      <c r="BS243" s="1">
        <f t="shared" si="62"/>
        <v>0</v>
      </c>
      <c r="BT243" s="4">
        <f t="shared" si="63"/>
        <v>0</v>
      </c>
      <c r="BU243" s="39">
        <f t="shared" si="64"/>
        <v>0</v>
      </c>
      <c r="BV243" s="1">
        <f t="shared" si="65"/>
        <v>0</v>
      </c>
      <c r="BW243">
        <f t="shared" si="66"/>
        <v>0</v>
      </c>
      <c r="BX243">
        <f t="shared" si="67"/>
        <v>0</v>
      </c>
    </row>
    <row r="244" spans="58:76" x14ac:dyDescent="0.25">
      <c r="BF244" s="1" t="e">
        <f>VLOOKUP(N244,'Incoming Material Report'!H:M,6,FALSE)</f>
        <v>#N/A</v>
      </c>
      <c r="BG244" s="1" t="e">
        <f>IF(VLOOKUP(N244,'Incoming Material Report'!H:N,7,FALSE)=0,"",VLOOKUP(N244,'Incoming Material Report'!H:N,7,FALSE))</f>
        <v>#N/A</v>
      </c>
      <c r="BH244" s="39">
        <f t="shared" si="51"/>
        <v>0</v>
      </c>
      <c r="BI244" s="1">
        <f t="shared" si="52"/>
        <v>0</v>
      </c>
      <c r="BJ244" s="1">
        <f t="shared" si="53"/>
        <v>0</v>
      </c>
      <c r="BK244" s="1">
        <f t="shared" si="54"/>
        <v>0</v>
      </c>
      <c r="BL244" s="1">
        <f t="shared" si="55"/>
        <v>0</v>
      </c>
      <c r="BM244" s="10" t="str">
        <f t="shared" si="56"/>
        <v/>
      </c>
      <c r="BN244" s="39">
        <f t="shared" si="57"/>
        <v>0</v>
      </c>
      <c r="BO244" s="39">
        <f t="shared" si="58"/>
        <v>0</v>
      </c>
      <c r="BP244" s="1">
        <f t="shared" si="59"/>
        <v>0</v>
      </c>
      <c r="BQ244" s="1">
        <f t="shared" si="60"/>
        <v>0</v>
      </c>
      <c r="BR244" s="1" t="str">
        <f t="shared" si="61"/>
        <v/>
      </c>
      <c r="BS244" s="1">
        <f t="shared" si="62"/>
        <v>0</v>
      </c>
      <c r="BT244" s="4">
        <f t="shared" si="63"/>
        <v>0</v>
      </c>
      <c r="BU244" s="39">
        <f t="shared" si="64"/>
        <v>0</v>
      </c>
      <c r="BV244" s="1">
        <f t="shared" si="65"/>
        <v>0</v>
      </c>
      <c r="BW244">
        <f t="shared" si="66"/>
        <v>0</v>
      </c>
      <c r="BX244">
        <f t="shared" si="67"/>
        <v>0</v>
      </c>
    </row>
    <row r="245" spans="58:76" x14ac:dyDescent="0.25">
      <c r="BF245" s="1" t="e">
        <f>VLOOKUP(N245,'Incoming Material Report'!H:M,6,FALSE)</f>
        <v>#N/A</v>
      </c>
      <c r="BG245" s="1" t="e">
        <f>IF(VLOOKUP(N245,'Incoming Material Report'!H:N,7,FALSE)=0,"",VLOOKUP(N245,'Incoming Material Report'!H:N,7,FALSE))</f>
        <v>#N/A</v>
      </c>
      <c r="BH245" s="39">
        <f t="shared" si="51"/>
        <v>0</v>
      </c>
      <c r="BI245" s="1">
        <f t="shared" si="52"/>
        <v>0</v>
      </c>
      <c r="BJ245" s="1">
        <f t="shared" si="53"/>
        <v>0</v>
      </c>
      <c r="BK245" s="1">
        <f t="shared" si="54"/>
        <v>0</v>
      </c>
      <c r="BL245" s="1">
        <f t="shared" si="55"/>
        <v>0</v>
      </c>
      <c r="BM245" s="10" t="str">
        <f t="shared" si="56"/>
        <v/>
      </c>
      <c r="BN245" s="39">
        <f t="shared" si="57"/>
        <v>0</v>
      </c>
      <c r="BO245" s="39">
        <f t="shared" si="58"/>
        <v>0</v>
      </c>
      <c r="BP245" s="1">
        <f t="shared" si="59"/>
        <v>0</v>
      </c>
      <c r="BQ245" s="1">
        <f t="shared" si="60"/>
        <v>0</v>
      </c>
      <c r="BR245" s="1" t="str">
        <f t="shared" si="61"/>
        <v/>
      </c>
      <c r="BS245" s="1">
        <f t="shared" si="62"/>
        <v>0</v>
      </c>
      <c r="BT245" s="4">
        <f t="shared" si="63"/>
        <v>0</v>
      </c>
      <c r="BU245" s="39">
        <f t="shared" si="64"/>
        <v>0</v>
      </c>
      <c r="BV245" s="1">
        <f t="shared" si="65"/>
        <v>0</v>
      </c>
      <c r="BW245">
        <f t="shared" si="66"/>
        <v>0</v>
      </c>
      <c r="BX245">
        <f t="shared" si="67"/>
        <v>0</v>
      </c>
    </row>
    <row r="246" spans="58:76" x14ac:dyDescent="0.25">
      <c r="BF246" s="1" t="e">
        <f>VLOOKUP(N246,'Incoming Material Report'!H:M,6,FALSE)</f>
        <v>#N/A</v>
      </c>
      <c r="BG246" s="1" t="e">
        <f>IF(VLOOKUP(N246,'Incoming Material Report'!H:N,7,FALSE)=0,"",VLOOKUP(N246,'Incoming Material Report'!H:N,7,FALSE))</f>
        <v>#N/A</v>
      </c>
      <c r="BH246" s="39">
        <f t="shared" si="51"/>
        <v>0</v>
      </c>
      <c r="BI246" s="1">
        <f t="shared" si="52"/>
        <v>0</v>
      </c>
      <c r="BJ246" s="1">
        <f t="shared" si="53"/>
        <v>0</v>
      </c>
      <c r="BK246" s="1">
        <f t="shared" si="54"/>
        <v>0</v>
      </c>
      <c r="BL246" s="1">
        <f t="shared" si="55"/>
        <v>0</v>
      </c>
      <c r="BM246" s="10" t="str">
        <f t="shared" si="56"/>
        <v/>
      </c>
      <c r="BN246" s="39">
        <f t="shared" si="57"/>
        <v>0</v>
      </c>
      <c r="BO246" s="39">
        <f t="shared" si="58"/>
        <v>0</v>
      </c>
      <c r="BP246" s="1">
        <f t="shared" si="59"/>
        <v>0</v>
      </c>
      <c r="BQ246" s="1">
        <f t="shared" si="60"/>
        <v>0</v>
      </c>
      <c r="BR246" s="1" t="str">
        <f t="shared" si="61"/>
        <v/>
      </c>
      <c r="BS246" s="1">
        <f t="shared" si="62"/>
        <v>0</v>
      </c>
      <c r="BT246" s="4">
        <f t="shared" si="63"/>
        <v>0</v>
      </c>
      <c r="BU246" s="39">
        <f t="shared" si="64"/>
        <v>0</v>
      </c>
      <c r="BV246" s="1">
        <f t="shared" si="65"/>
        <v>0</v>
      </c>
      <c r="BW246">
        <f t="shared" si="66"/>
        <v>0</v>
      </c>
      <c r="BX246">
        <f t="shared" si="67"/>
        <v>0</v>
      </c>
    </row>
    <row r="247" spans="58:76" x14ac:dyDescent="0.25">
      <c r="BF247" s="1" t="e">
        <f>VLOOKUP(N247,'Incoming Material Report'!H:M,6,FALSE)</f>
        <v>#N/A</v>
      </c>
      <c r="BG247" s="1" t="e">
        <f>IF(VLOOKUP(N247,'Incoming Material Report'!H:N,7,FALSE)=0,"",VLOOKUP(N247,'Incoming Material Report'!H:N,7,FALSE))</f>
        <v>#N/A</v>
      </c>
      <c r="BH247" s="39">
        <f t="shared" si="51"/>
        <v>0</v>
      </c>
      <c r="BI247" s="1">
        <f t="shared" si="52"/>
        <v>0</v>
      </c>
      <c r="BJ247" s="1">
        <f t="shared" si="53"/>
        <v>0</v>
      </c>
      <c r="BK247" s="1">
        <f t="shared" si="54"/>
        <v>0</v>
      </c>
      <c r="BL247" s="1">
        <f t="shared" si="55"/>
        <v>0</v>
      </c>
      <c r="BM247" s="10" t="str">
        <f t="shared" si="56"/>
        <v/>
      </c>
      <c r="BN247" s="39">
        <f t="shared" si="57"/>
        <v>0</v>
      </c>
      <c r="BO247" s="39">
        <f t="shared" si="58"/>
        <v>0</v>
      </c>
      <c r="BP247" s="1">
        <f t="shared" si="59"/>
        <v>0</v>
      </c>
      <c r="BQ247" s="1">
        <f t="shared" si="60"/>
        <v>0</v>
      </c>
      <c r="BR247" s="1" t="str">
        <f t="shared" si="61"/>
        <v/>
      </c>
      <c r="BS247" s="1">
        <f t="shared" si="62"/>
        <v>0</v>
      </c>
      <c r="BT247" s="4">
        <f t="shared" si="63"/>
        <v>0</v>
      </c>
      <c r="BU247" s="39">
        <f t="shared" si="64"/>
        <v>0</v>
      </c>
      <c r="BV247" s="1">
        <f t="shared" si="65"/>
        <v>0</v>
      </c>
      <c r="BW247">
        <f t="shared" si="66"/>
        <v>0</v>
      </c>
      <c r="BX247">
        <f t="shared" si="67"/>
        <v>0</v>
      </c>
    </row>
    <row r="248" spans="58:76" x14ac:dyDescent="0.25">
      <c r="BF248" s="1" t="e">
        <f>VLOOKUP(N248,'Incoming Material Report'!H:M,6,FALSE)</f>
        <v>#N/A</v>
      </c>
      <c r="BG248" s="1" t="e">
        <f>IF(VLOOKUP(N248,'Incoming Material Report'!H:N,7,FALSE)=0,"",VLOOKUP(N248,'Incoming Material Report'!H:N,7,FALSE))</f>
        <v>#N/A</v>
      </c>
      <c r="BH248" s="39">
        <f t="shared" si="51"/>
        <v>0</v>
      </c>
      <c r="BI248" s="1">
        <f t="shared" si="52"/>
        <v>0</v>
      </c>
      <c r="BJ248" s="1">
        <f t="shared" si="53"/>
        <v>0</v>
      </c>
      <c r="BK248" s="1">
        <f t="shared" si="54"/>
        <v>0</v>
      </c>
      <c r="BL248" s="1">
        <f t="shared" si="55"/>
        <v>0</v>
      </c>
      <c r="BM248" s="10" t="str">
        <f t="shared" si="56"/>
        <v/>
      </c>
      <c r="BN248" s="39">
        <f t="shared" si="57"/>
        <v>0</v>
      </c>
      <c r="BO248" s="39">
        <f t="shared" si="58"/>
        <v>0</v>
      </c>
      <c r="BP248" s="1">
        <f t="shared" si="59"/>
        <v>0</v>
      </c>
      <c r="BQ248" s="1">
        <f t="shared" si="60"/>
        <v>0</v>
      </c>
      <c r="BR248" s="1" t="str">
        <f t="shared" si="61"/>
        <v/>
      </c>
      <c r="BS248" s="1">
        <f t="shared" si="62"/>
        <v>0</v>
      </c>
      <c r="BT248" s="4">
        <f t="shared" si="63"/>
        <v>0</v>
      </c>
      <c r="BU248" s="39">
        <f t="shared" si="64"/>
        <v>0</v>
      </c>
      <c r="BV248" s="1">
        <f t="shared" si="65"/>
        <v>0</v>
      </c>
      <c r="BW248">
        <f t="shared" si="66"/>
        <v>0</v>
      </c>
      <c r="BX248">
        <f t="shared" si="67"/>
        <v>0</v>
      </c>
    </row>
    <row r="249" spans="58:76" x14ac:dyDescent="0.25">
      <c r="BF249" s="1" t="e">
        <f>VLOOKUP(N249,'Incoming Material Report'!H:M,6,FALSE)</f>
        <v>#N/A</v>
      </c>
      <c r="BG249" s="1" t="e">
        <f>IF(VLOOKUP(N249,'Incoming Material Report'!H:N,7,FALSE)=0,"",VLOOKUP(N249,'Incoming Material Report'!H:N,7,FALSE))</f>
        <v>#N/A</v>
      </c>
      <c r="BH249" s="39">
        <f t="shared" si="51"/>
        <v>0</v>
      </c>
      <c r="BI249" s="1">
        <f t="shared" si="52"/>
        <v>0</v>
      </c>
      <c r="BJ249" s="1">
        <f t="shared" si="53"/>
        <v>0</v>
      </c>
      <c r="BK249" s="1">
        <f t="shared" si="54"/>
        <v>0</v>
      </c>
      <c r="BL249" s="1">
        <f t="shared" si="55"/>
        <v>0</v>
      </c>
      <c r="BM249" s="10" t="str">
        <f t="shared" si="56"/>
        <v/>
      </c>
      <c r="BN249" s="39">
        <f t="shared" si="57"/>
        <v>0</v>
      </c>
      <c r="BO249" s="39">
        <f t="shared" si="58"/>
        <v>0</v>
      </c>
      <c r="BP249" s="1">
        <f t="shared" si="59"/>
        <v>0</v>
      </c>
      <c r="BQ249" s="1">
        <f t="shared" si="60"/>
        <v>0</v>
      </c>
      <c r="BR249" s="1" t="str">
        <f t="shared" si="61"/>
        <v/>
      </c>
      <c r="BS249" s="1">
        <f t="shared" si="62"/>
        <v>0</v>
      </c>
      <c r="BT249" s="4">
        <f t="shared" si="63"/>
        <v>0</v>
      </c>
      <c r="BU249" s="39">
        <f t="shared" si="64"/>
        <v>0</v>
      </c>
      <c r="BV249" s="1">
        <f t="shared" si="65"/>
        <v>0</v>
      </c>
      <c r="BW249">
        <f t="shared" si="66"/>
        <v>0</v>
      </c>
      <c r="BX249">
        <f t="shared" si="67"/>
        <v>0</v>
      </c>
    </row>
    <row r="250" spans="58:76" x14ac:dyDescent="0.25">
      <c r="BF250" s="1" t="e">
        <f>VLOOKUP(N250,'Incoming Material Report'!H:M,6,FALSE)</f>
        <v>#N/A</v>
      </c>
      <c r="BG250" s="1" t="e">
        <f>IF(VLOOKUP(N250,'Incoming Material Report'!H:N,7,FALSE)=0,"",VLOOKUP(N250,'Incoming Material Report'!H:N,7,FALSE))</f>
        <v>#N/A</v>
      </c>
      <c r="BH250" s="39">
        <f t="shared" ref="BH250:BH313" si="68">VALUE(T250)</f>
        <v>0</v>
      </c>
      <c r="BI250" s="1">
        <f t="shared" ref="BI250:BI313" si="69">VALUE(U250)</f>
        <v>0</v>
      </c>
      <c r="BJ250" s="1">
        <f t="shared" ref="BJ250:BJ313" si="70">IFERROR(_xlfn.NUMBERVALUE(V250),V250)</f>
        <v>0</v>
      </c>
      <c r="BK250" s="1">
        <f t="shared" ref="BK250:BK313" si="71">IFERROR(INT(I250),I250)</f>
        <v>0</v>
      </c>
      <c r="BL250" s="1">
        <f t="shared" ref="BL250:BL313" si="72">L250</f>
        <v>0</v>
      </c>
      <c r="BM250" s="10" t="str">
        <f t="shared" ref="BM250:BM313" si="73">SUBSTITUTE(J250,"/",".")</f>
        <v/>
      </c>
      <c r="BN250" s="39">
        <f t="shared" ref="BN250:BN313" si="74">VALUE(Q250)*1000</f>
        <v>0</v>
      </c>
      <c r="BO250" s="39">
        <f t="shared" ref="BO250:BO313" si="75">VALUE(P250)/1000</f>
        <v>0</v>
      </c>
      <c r="BP250" s="1">
        <f t="shared" ref="BP250:BP313" si="76">VALUE(D250)</f>
        <v>0</v>
      </c>
      <c r="BQ250" s="1">
        <f t="shared" ref="BQ250:BQ313" si="77">VALUE(G250)</f>
        <v>0</v>
      </c>
      <c r="BR250" s="1" t="str">
        <f t="shared" ref="BR250:BR313" si="78">SUBSTITUTE(O250,".","")</f>
        <v/>
      </c>
      <c r="BS250" s="1">
        <f t="shared" ref="BS250:BS313" si="79">S250</f>
        <v>0</v>
      </c>
      <c r="BT250" s="4">
        <f t="shared" ref="BT250:BT313" si="80">VALUE(AJ250)</f>
        <v>0</v>
      </c>
      <c r="BU250" s="39">
        <f t="shared" ref="BU250:BU313" si="81">K250</f>
        <v>0</v>
      </c>
      <c r="BV250" s="1">
        <f t="shared" ref="BV250:BV313" si="82">AQ250</f>
        <v>0</v>
      </c>
      <c r="BW250">
        <f t="shared" ref="BW250:BW313" si="83">X250</f>
        <v>0</v>
      </c>
      <c r="BX250">
        <f t="shared" ref="BX250:BX313" si="84">AN250</f>
        <v>0</v>
      </c>
    </row>
    <row r="251" spans="58:76" x14ac:dyDescent="0.25">
      <c r="BF251" s="1" t="e">
        <f>VLOOKUP(N251,'Incoming Material Report'!H:M,6,FALSE)</f>
        <v>#N/A</v>
      </c>
      <c r="BG251" s="1" t="e">
        <f>IF(VLOOKUP(N251,'Incoming Material Report'!H:N,7,FALSE)=0,"",VLOOKUP(N251,'Incoming Material Report'!H:N,7,FALSE))</f>
        <v>#N/A</v>
      </c>
      <c r="BH251" s="39">
        <f t="shared" si="68"/>
        <v>0</v>
      </c>
      <c r="BI251" s="1">
        <f t="shared" si="69"/>
        <v>0</v>
      </c>
      <c r="BJ251" s="1">
        <f t="shared" si="70"/>
        <v>0</v>
      </c>
      <c r="BK251" s="1">
        <f t="shared" si="71"/>
        <v>0</v>
      </c>
      <c r="BL251" s="1">
        <f t="shared" si="72"/>
        <v>0</v>
      </c>
      <c r="BM251" s="10" t="str">
        <f t="shared" si="73"/>
        <v/>
      </c>
      <c r="BN251" s="39">
        <f t="shared" si="74"/>
        <v>0</v>
      </c>
      <c r="BO251" s="39">
        <f t="shared" si="75"/>
        <v>0</v>
      </c>
      <c r="BP251" s="1">
        <f t="shared" si="76"/>
        <v>0</v>
      </c>
      <c r="BQ251" s="1">
        <f t="shared" si="77"/>
        <v>0</v>
      </c>
      <c r="BR251" s="1" t="str">
        <f t="shared" si="78"/>
        <v/>
      </c>
      <c r="BS251" s="1">
        <f t="shared" si="79"/>
        <v>0</v>
      </c>
      <c r="BT251" s="4">
        <f t="shared" si="80"/>
        <v>0</v>
      </c>
      <c r="BU251" s="39">
        <f t="shared" si="81"/>
        <v>0</v>
      </c>
      <c r="BV251" s="1">
        <f t="shared" si="82"/>
        <v>0</v>
      </c>
      <c r="BW251">
        <f t="shared" si="83"/>
        <v>0</v>
      </c>
      <c r="BX251">
        <f t="shared" si="84"/>
        <v>0</v>
      </c>
    </row>
    <row r="252" spans="58:76" x14ac:dyDescent="0.25">
      <c r="BF252" s="1" t="e">
        <f>VLOOKUP(N252,'Incoming Material Report'!H:M,6,FALSE)</f>
        <v>#N/A</v>
      </c>
      <c r="BG252" s="1" t="e">
        <f>IF(VLOOKUP(N252,'Incoming Material Report'!H:N,7,FALSE)=0,"",VLOOKUP(N252,'Incoming Material Report'!H:N,7,FALSE))</f>
        <v>#N/A</v>
      </c>
      <c r="BH252" s="39">
        <f t="shared" si="68"/>
        <v>0</v>
      </c>
      <c r="BI252" s="1">
        <f t="shared" si="69"/>
        <v>0</v>
      </c>
      <c r="BJ252" s="1">
        <f t="shared" si="70"/>
        <v>0</v>
      </c>
      <c r="BK252" s="1">
        <f t="shared" si="71"/>
        <v>0</v>
      </c>
      <c r="BL252" s="1">
        <f t="shared" si="72"/>
        <v>0</v>
      </c>
      <c r="BM252" s="10" t="str">
        <f t="shared" si="73"/>
        <v/>
      </c>
      <c r="BN252" s="39">
        <f t="shared" si="74"/>
        <v>0</v>
      </c>
      <c r="BO252" s="39">
        <f t="shared" si="75"/>
        <v>0</v>
      </c>
      <c r="BP252" s="1">
        <f t="shared" si="76"/>
        <v>0</v>
      </c>
      <c r="BQ252" s="1">
        <f t="shared" si="77"/>
        <v>0</v>
      </c>
      <c r="BR252" s="1" t="str">
        <f t="shared" si="78"/>
        <v/>
      </c>
      <c r="BS252" s="1">
        <f t="shared" si="79"/>
        <v>0</v>
      </c>
      <c r="BT252" s="4">
        <f t="shared" si="80"/>
        <v>0</v>
      </c>
      <c r="BU252" s="39">
        <f t="shared" si="81"/>
        <v>0</v>
      </c>
      <c r="BV252" s="1">
        <f t="shared" si="82"/>
        <v>0</v>
      </c>
      <c r="BW252">
        <f t="shared" si="83"/>
        <v>0</v>
      </c>
      <c r="BX252">
        <f t="shared" si="84"/>
        <v>0</v>
      </c>
    </row>
    <row r="253" spans="58:76" x14ac:dyDescent="0.25">
      <c r="BF253" s="1" t="e">
        <f>VLOOKUP(N253,'Incoming Material Report'!H:M,6,FALSE)</f>
        <v>#N/A</v>
      </c>
      <c r="BG253" s="1" t="e">
        <f>IF(VLOOKUP(N253,'Incoming Material Report'!H:N,7,FALSE)=0,"",VLOOKUP(N253,'Incoming Material Report'!H:N,7,FALSE))</f>
        <v>#N/A</v>
      </c>
      <c r="BH253" s="39">
        <f t="shared" si="68"/>
        <v>0</v>
      </c>
      <c r="BI253" s="1">
        <f t="shared" si="69"/>
        <v>0</v>
      </c>
      <c r="BJ253" s="1">
        <f t="shared" si="70"/>
        <v>0</v>
      </c>
      <c r="BK253" s="1">
        <f t="shared" si="71"/>
        <v>0</v>
      </c>
      <c r="BL253" s="1">
        <f t="shared" si="72"/>
        <v>0</v>
      </c>
      <c r="BM253" s="10" t="str">
        <f t="shared" si="73"/>
        <v/>
      </c>
      <c r="BN253" s="39">
        <f t="shared" si="74"/>
        <v>0</v>
      </c>
      <c r="BO253" s="39">
        <f t="shared" si="75"/>
        <v>0</v>
      </c>
      <c r="BP253" s="1">
        <f t="shared" si="76"/>
        <v>0</v>
      </c>
      <c r="BQ253" s="1">
        <f t="shared" si="77"/>
        <v>0</v>
      </c>
      <c r="BR253" s="1" t="str">
        <f t="shared" si="78"/>
        <v/>
      </c>
      <c r="BS253" s="1">
        <f t="shared" si="79"/>
        <v>0</v>
      </c>
      <c r="BT253" s="4">
        <f t="shared" si="80"/>
        <v>0</v>
      </c>
      <c r="BU253" s="39">
        <f t="shared" si="81"/>
        <v>0</v>
      </c>
      <c r="BV253" s="1">
        <f t="shared" si="82"/>
        <v>0</v>
      </c>
      <c r="BW253">
        <f t="shared" si="83"/>
        <v>0</v>
      </c>
      <c r="BX253">
        <f t="shared" si="84"/>
        <v>0</v>
      </c>
    </row>
    <row r="254" spans="58:76" x14ac:dyDescent="0.25">
      <c r="BF254" s="1" t="e">
        <f>VLOOKUP(N254,'Incoming Material Report'!H:M,6,FALSE)</f>
        <v>#N/A</v>
      </c>
      <c r="BG254" s="1" t="e">
        <f>IF(VLOOKUP(N254,'Incoming Material Report'!H:N,7,FALSE)=0,"",VLOOKUP(N254,'Incoming Material Report'!H:N,7,FALSE))</f>
        <v>#N/A</v>
      </c>
      <c r="BH254" s="39">
        <f t="shared" si="68"/>
        <v>0</v>
      </c>
      <c r="BI254" s="1">
        <f t="shared" si="69"/>
        <v>0</v>
      </c>
      <c r="BJ254" s="1">
        <f t="shared" si="70"/>
        <v>0</v>
      </c>
      <c r="BK254" s="1">
        <f t="shared" si="71"/>
        <v>0</v>
      </c>
      <c r="BL254" s="1">
        <f t="shared" si="72"/>
        <v>0</v>
      </c>
      <c r="BM254" s="10" t="str">
        <f t="shared" si="73"/>
        <v/>
      </c>
      <c r="BN254" s="39">
        <f t="shared" si="74"/>
        <v>0</v>
      </c>
      <c r="BO254" s="39">
        <f t="shared" si="75"/>
        <v>0</v>
      </c>
      <c r="BP254" s="1">
        <f t="shared" si="76"/>
        <v>0</v>
      </c>
      <c r="BQ254" s="1">
        <f t="shared" si="77"/>
        <v>0</v>
      </c>
      <c r="BR254" s="1" t="str">
        <f t="shared" si="78"/>
        <v/>
      </c>
      <c r="BS254" s="1">
        <f t="shared" si="79"/>
        <v>0</v>
      </c>
      <c r="BT254" s="4">
        <f t="shared" si="80"/>
        <v>0</v>
      </c>
      <c r="BU254" s="39">
        <f t="shared" si="81"/>
        <v>0</v>
      </c>
      <c r="BV254" s="1">
        <f t="shared" si="82"/>
        <v>0</v>
      </c>
      <c r="BW254">
        <f t="shared" si="83"/>
        <v>0</v>
      </c>
      <c r="BX254">
        <f t="shared" si="84"/>
        <v>0</v>
      </c>
    </row>
    <row r="255" spans="58:76" x14ac:dyDescent="0.25">
      <c r="BF255" s="1" t="e">
        <f>VLOOKUP(N255,'Incoming Material Report'!H:M,6,FALSE)</f>
        <v>#N/A</v>
      </c>
      <c r="BG255" s="1" t="e">
        <f>IF(VLOOKUP(N255,'Incoming Material Report'!H:N,7,FALSE)=0,"",VLOOKUP(N255,'Incoming Material Report'!H:N,7,FALSE))</f>
        <v>#N/A</v>
      </c>
      <c r="BH255" s="39">
        <f t="shared" si="68"/>
        <v>0</v>
      </c>
      <c r="BI255" s="1">
        <f t="shared" si="69"/>
        <v>0</v>
      </c>
      <c r="BJ255" s="1">
        <f t="shared" si="70"/>
        <v>0</v>
      </c>
      <c r="BK255" s="1">
        <f t="shared" si="71"/>
        <v>0</v>
      </c>
      <c r="BL255" s="1">
        <f t="shared" si="72"/>
        <v>0</v>
      </c>
      <c r="BM255" s="10" t="str">
        <f t="shared" si="73"/>
        <v/>
      </c>
      <c r="BN255" s="39">
        <f t="shared" si="74"/>
        <v>0</v>
      </c>
      <c r="BO255" s="39">
        <f t="shared" si="75"/>
        <v>0</v>
      </c>
      <c r="BP255" s="1">
        <f t="shared" si="76"/>
        <v>0</v>
      </c>
      <c r="BQ255" s="1">
        <f t="shared" si="77"/>
        <v>0</v>
      </c>
      <c r="BR255" s="1" t="str">
        <f t="shared" si="78"/>
        <v/>
      </c>
      <c r="BS255" s="1">
        <f t="shared" si="79"/>
        <v>0</v>
      </c>
      <c r="BT255" s="4">
        <f t="shared" si="80"/>
        <v>0</v>
      </c>
      <c r="BU255" s="39">
        <f t="shared" si="81"/>
        <v>0</v>
      </c>
      <c r="BV255" s="1">
        <f t="shared" si="82"/>
        <v>0</v>
      </c>
      <c r="BW255">
        <f t="shared" si="83"/>
        <v>0</v>
      </c>
      <c r="BX255">
        <f t="shared" si="84"/>
        <v>0</v>
      </c>
    </row>
    <row r="256" spans="58:76" x14ac:dyDescent="0.25">
      <c r="BF256" s="1" t="e">
        <f>VLOOKUP(N256,'Incoming Material Report'!H:M,6,FALSE)</f>
        <v>#N/A</v>
      </c>
      <c r="BG256" s="1" t="e">
        <f>IF(VLOOKUP(N256,'Incoming Material Report'!H:N,7,FALSE)=0,"",VLOOKUP(N256,'Incoming Material Report'!H:N,7,FALSE))</f>
        <v>#N/A</v>
      </c>
      <c r="BH256" s="39">
        <f t="shared" si="68"/>
        <v>0</v>
      </c>
      <c r="BI256" s="1">
        <f t="shared" si="69"/>
        <v>0</v>
      </c>
      <c r="BJ256" s="1">
        <f t="shared" si="70"/>
        <v>0</v>
      </c>
      <c r="BK256" s="1">
        <f t="shared" si="71"/>
        <v>0</v>
      </c>
      <c r="BL256" s="1">
        <f t="shared" si="72"/>
        <v>0</v>
      </c>
      <c r="BM256" s="10" t="str">
        <f t="shared" si="73"/>
        <v/>
      </c>
      <c r="BN256" s="39">
        <f t="shared" si="74"/>
        <v>0</v>
      </c>
      <c r="BO256" s="39">
        <f t="shared" si="75"/>
        <v>0</v>
      </c>
      <c r="BP256" s="1">
        <f t="shared" si="76"/>
        <v>0</v>
      </c>
      <c r="BQ256" s="1">
        <f t="shared" si="77"/>
        <v>0</v>
      </c>
      <c r="BR256" s="1" t="str">
        <f t="shared" si="78"/>
        <v/>
      </c>
      <c r="BS256" s="1">
        <f t="shared" si="79"/>
        <v>0</v>
      </c>
      <c r="BT256" s="4">
        <f t="shared" si="80"/>
        <v>0</v>
      </c>
      <c r="BU256" s="39">
        <f t="shared" si="81"/>
        <v>0</v>
      </c>
      <c r="BV256" s="1">
        <f t="shared" si="82"/>
        <v>0</v>
      </c>
      <c r="BW256">
        <f t="shared" si="83"/>
        <v>0</v>
      </c>
      <c r="BX256">
        <f t="shared" si="84"/>
        <v>0</v>
      </c>
    </row>
    <row r="257" spans="58:76" x14ac:dyDescent="0.25">
      <c r="BF257" s="1" t="e">
        <f>VLOOKUP(N257,'Incoming Material Report'!H:M,6,FALSE)</f>
        <v>#N/A</v>
      </c>
      <c r="BG257" s="1" t="e">
        <f>IF(VLOOKUP(N257,'Incoming Material Report'!H:N,7,FALSE)=0,"",VLOOKUP(N257,'Incoming Material Report'!H:N,7,FALSE))</f>
        <v>#N/A</v>
      </c>
      <c r="BH257" s="39">
        <f t="shared" si="68"/>
        <v>0</v>
      </c>
      <c r="BI257" s="1">
        <f t="shared" si="69"/>
        <v>0</v>
      </c>
      <c r="BJ257" s="1">
        <f t="shared" si="70"/>
        <v>0</v>
      </c>
      <c r="BK257" s="1">
        <f t="shared" si="71"/>
        <v>0</v>
      </c>
      <c r="BL257" s="1">
        <f t="shared" si="72"/>
        <v>0</v>
      </c>
      <c r="BM257" s="10" t="str">
        <f t="shared" si="73"/>
        <v/>
      </c>
      <c r="BN257" s="39">
        <f t="shared" si="74"/>
        <v>0</v>
      </c>
      <c r="BO257" s="39">
        <f t="shared" si="75"/>
        <v>0</v>
      </c>
      <c r="BP257" s="1">
        <f t="shared" si="76"/>
        <v>0</v>
      </c>
      <c r="BQ257" s="1">
        <f t="shared" si="77"/>
        <v>0</v>
      </c>
      <c r="BR257" s="1" t="str">
        <f t="shared" si="78"/>
        <v/>
      </c>
      <c r="BS257" s="1">
        <f t="shared" si="79"/>
        <v>0</v>
      </c>
      <c r="BT257" s="4">
        <f t="shared" si="80"/>
        <v>0</v>
      </c>
      <c r="BU257" s="39">
        <f t="shared" si="81"/>
        <v>0</v>
      </c>
      <c r="BV257" s="1">
        <f t="shared" si="82"/>
        <v>0</v>
      </c>
      <c r="BW257">
        <f t="shared" si="83"/>
        <v>0</v>
      </c>
      <c r="BX257">
        <f t="shared" si="84"/>
        <v>0</v>
      </c>
    </row>
    <row r="258" spans="58:76" x14ac:dyDescent="0.25">
      <c r="BF258" s="1" t="e">
        <f>VLOOKUP(N258,'Incoming Material Report'!H:M,6,FALSE)</f>
        <v>#N/A</v>
      </c>
      <c r="BG258" s="1" t="e">
        <f>IF(VLOOKUP(N258,'Incoming Material Report'!H:N,7,FALSE)=0,"",VLOOKUP(N258,'Incoming Material Report'!H:N,7,FALSE))</f>
        <v>#N/A</v>
      </c>
      <c r="BH258" s="39">
        <f t="shared" si="68"/>
        <v>0</v>
      </c>
      <c r="BI258" s="1">
        <f t="shared" si="69"/>
        <v>0</v>
      </c>
      <c r="BJ258" s="1">
        <f t="shared" si="70"/>
        <v>0</v>
      </c>
      <c r="BK258" s="1">
        <f t="shared" si="71"/>
        <v>0</v>
      </c>
      <c r="BL258" s="1">
        <f t="shared" si="72"/>
        <v>0</v>
      </c>
      <c r="BM258" s="10" t="str">
        <f t="shared" si="73"/>
        <v/>
      </c>
      <c r="BN258" s="39">
        <f t="shared" si="74"/>
        <v>0</v>
      </c>
      <c r="BO258" s="39">
        <f t="shared" si="75"/>
        <v>0</v>
      </c>
      <c r="BP258" s="1">
        <f t="shared" si="76"/>
        <v>0</v>
      </c>
      <c r="BQ258" s="1">
        <f t="shared" si="77"/>
        <v>0</v>
      </c>
      <c r="BR258" s="1" t="str">
        <f t="shared" si="78"/>
        <v/>
      </c>
      <c r="BS258" s="1">
        <f t="shared" si="79"/>
        <v>0</v>
      </c>
      <c r="BT258" s="4">
        <f t="shared" si="80"/>
        <v>0</v>
      </c>
      <c r="BU258" s="39">
        <f t="shared" si="81"/>
        <v>0</v>
      </c>
      <c r="BV258" s="1">
        <f t="shared" si="82"/>
        <v>0</v>
      </c>
      <c r="BW258">
        <f t="shared" si="83"/>
        <v>0</v>
      </c>
      <c r="BX258">
        <f t="shared" si="84"/>
        <v>0</v>
      </c>
    </row>
    <row r="259" spans="58:76" x14ac:dyDescent="0.25">
      <c r="BF259" s="1" t="e">
        <f>VLOOKUP(N259,'Incoming Material Report'!H:M,6,FALSE)</f>
        <v>#N/A</v>
      </c>
      <c r="BG259" s="1" t="e">
        <f>IF(VLOOKUP(N259,'Incoming Material Report'!H:N,7,FALSE)=0,"",VLOOKUP(N259,'Incoming Material Report'!H:N,7,FALSE))</f>
        <v>#N/A</v>
      </c>
      <c r="BH259" s="39">
        <f t="shared" si="68"/>
        <v>0</v>
      </c>
      <c r="BI259" s="1">
        <f t="shared" si="69"/>
        <v>0</v>
      </c>
      <c r="BJ259" s="1">
        <f t="shared" si="70"/>
        <v>0</v>
      </c>
      <c r="BK259" s="1">
        <f t="shared" si="71"/>
        <v>0</v>
      </c>
      <c r="BL259" s="1">
        <f t="shared" si="72"/>
        <v>0</v>
      </c>
      <c r="BM259" s="10" t="str">
        <f t="shared" si="73"/>
        <v/>
      </c>
      <c r="BN259" s="39">
        <f t="shared" si="74"/>
        <v>0</v>
      </c>
      <c r="BO259" s="39">
        <f t="shared" si="75"/>
        <v>0</v>
      </c>
      <c r="BP259" s="1">
        <f t="shared" si="76"/>
        <v>0</v>
      </c>
      <c r="BQ259" s="1">
        <f t="shared" si="77"/>
        <v>0</v>
      </c>
      <c r="BR259" s="1" t="str">
        <f t="shared" si="78"/>
        <v/>
      </c>
      <c r="BS259" s="1">
        <f t="shared" si="79"/>
        <v>0</v>
      </c>
      <c r="BT259" s="4">
        <f t="shared" si="80"/>
        <v>0</v>
      </c>
      <c r="BU259" s="39">
        <f t="shared" si="81"/>
        <v>0</v>
      </c>
      <c r="BV259" s="1">
        <f t="shared" si="82"/>
        <v>0</v>
      </c>
      <c r="BW259">
        <f t="shared" si="83"/>
        <v>0</v>
      </c>
      <c r="BX259">
        <f t="shared" si="84"/>
        <v>0</v>
      </c>
    </row>
    <row r="260" spans="58:76" x14ac:dyDescent="0.25">
      <c r="BF260" s="1" t="e">
        <f>VLOOKUP(N260,'Incoming Material Report'!H:M,6,FALSE)</f>
        <v>#N/A</v>
      </c>
      <c r="BG260" s="1" t="e">
        <f>IF(VLOOKUP(N260,'Incoming Material Report'!H:N,7,FALSE)=0,"",VLOOKUP(N260,'Incoming Material Report'!H:N,7,FALSE))</f>
        <v>#N/A</v>
      </c>
      <c r="BH260" s="39">
        <f t="shared" si="68"/>
        <v>0</v>
      </c>
      <c r="BI260" s="1">
        <f t="shared" si="69"/>
        <v>0</v>
      </c>
      <c r="BJ260" s="1">
        <f t="shared" si="70"/>
        <v>0</v>
      </c>
      <c r="BK260" s="1">
        <f t="shared" si="71"/>
        <v>0</v>
      </c>
      <c r="BL260" s="1">
        <f t="shared" si="72"/>
        <v>0</v>
      </c>
      <c r="BM260" s="10" t="str">
        <f t="shared" si="73"/>
        <v/>
      </c>
      <c r="BN260" s="39">
        <f t="shared" si="74"/>
        <v>0</v>
      </c>
      <c r="BO260" s="39">
        <f t="shared" si="75"/>
        <v>0</v>
      </c>
      <c r="BP260" s="1">
        <f t="shared" si="76"/>
        <v>0</v>
      </c>
      <c r="BQ260" s="1">
        <f t="shared" si="77"/>
        <v>0</v>
      </c>
      <c r="BR260" s="1" t="str">
        <f t="shared" si="78"/>
        <v/>
      </c>
      <c r="BS260" s="1">
        <f t="shared" si="79"/>
        <v>0</v>
      </c>
      <c r="BT260" s="4">
        <f t="shared" si="80"/>
        <v>0</v>
      </c>
      <c r="BU260" s="39">
        <f t="shared" si="81"/>
        <v>0</v>
      </c>
      <c r="BV260" s="1">
        <f t="shared" si="82"/>
        <v>0</v>
      </c>
      <c r="BW260">
        <f t="shared" si="83"/>
        <v>0</v>
      </c>
      <c r="BX260">
        <f t="shared" si="84"/>
        <v>0</v>
      </c>
    </row>
    <row r="261" spans="58:76" x14ac:dyDescent="0.25">
      <c r="BF261" s="1" t="e">
        <f>VLOOKUP(N261,'Incoming Material Report'!H:M,6,FALSE)</f>
        <v>#N/A</v>
      </c>
      <c r="BG261" s="1" t="e">
        <f>IF(VLOOKUP(N261,'Incoming Material Report'!H:N,7,FALSE)=0,"",VLOOKUP(N261,'Incoming Material Report'!H:N,7,FALSE))</f>
        <v>#N/A</v>
      </c>
      <c r="BH261" s="39">
        <f t="shared" si="68"/>
        <v>0</v>
      </c>
      <c r="BI261" s="1">
        <f t="shared" si="69"/>
        <v>0</v>
      </c>
      <c r="BJ261" s="1">
        <f t="shared" si="70"/>
        <v>0</v>
      </c>
      <c r="BK261" s="1">
        <f t="shared" si="71"/>
        <v>0</v>
      </c>
      <c r="BL261" s="1">
        <f t="shared" si="72"/>
        <v>0</v>
      </c>
      <c r="BM261" s="10" t="str">
        <f t="shared" si="73"/>
        <v/>
      </c>
      <c r="BN261" s="39">
        <f t="shared" si="74"/>
        <v>0</v>
      </c>
      <c r="BO261" s="39">
        <f t="shared" si="75"/>
        <v>0</v>
      </c>
      <c r="BP261" s="1">
        <f t="shared" si="76"/>
        <v>0</v>
      </c>
      <c r="BQ261" s="1">
        <f t="shared" si="77"/>
        <v>0</v>
      </c>
      <c r="BR261" s="1" t="str">
        <f t="shared" si="78"/>
        <v/>
      </c>
      <c r="BS261" s="1">
        <f t="shared" si="79"/>
        <v>0</v>
      </c>
      <c r="BT261" s="4">
        <f t="shared" si="80"/>
        <v>0</v>
      </c>
      <c r="BU261" s="39">
        <f t="shared" si="81"/>
        <v>0</v>
      </c>
      <c r="BV261" s="1">
        <f t="shared" si="82"/>
        <v>0</v>
      </c>
      <c r="BW261">
        <f t="shared" si="83"/>
        <v>0</v>
      </c>
      <c r="BX261">
        <f t="shared" si="84"/>
        <v>0</v>
      </c>
    </row>
    <row r="262" spans="58:76" x14ac:dyDescent="0.25">
      <c r="BF262" s="1" t="e">
        <f>VLOOKUP(N262,'Incoming Material Report'!H:M,6,FALSE)</f>
        <v>#N/A</v>
      </c>
      <c r="BG262" s="1" t="e">
        <f>IF(VLOOKUP(N262,'Incoming Material Report'!H:N,7,FALSE)=0,"",VLOOKUP(N262,'Incoming Material Report'!H:N,7,FALSE))</f>
        <v>#N/A</v>
      </c>
      <c r="BH262" s="39">
        <f t="shared" si="68"/>
        <v>0</v>
      </c>
      <c r="BI262" s="1">
        <f t="shared" si="69"/>
        <v>0</v>
      </c>
      <c r="BJ262" s="1">
        <f t="shared" si="70"/>
        <v>0</v>
      </c>
      <c r="BK262" s="1">
        <f t="shared" si="71"/>
        <v>0</v>
      </c>
      <c r="BL262" s="1">
        <f t="shared" si="72"/>
        <v>0</v>
      </c>
      <c r="BM262" s="10" t="str">
        <f t="shared" si="73"/>
        <v/>
      </c>
      <c r="BN262" s="39">
        <f t="shared" si="74"/>
        <v>0</v>
      </c>
      <c r="BO262" s="39">
        <f t="shared" si="75"/>
        <v>0</v>
      </c>
      <c r="BP262" s="1">
        <f t="shared" si="76"/>
        <v>0</v>
      </c>
      <c r="BQ262" s="1">
        <f t="shared" si="77"/>
        <v>0</v>
      </c>
      <c r="BR262" s="1" t="str">
        <f t="shared" si="78"/>
        <v/>
      </c>
      <c r="BS262" s="1">
        <f t="shared" si="79"/>
        <v>0</v>
      </c>
      <c r="BT262" s="4">
        <f t="shared" si="80"/>
        <v>0</v>
      </c>
      <c r="BU262" s="39">
        <f t="shared" si="81"/>
        <v>0</v>
      </c>
      <c r="BV262" s="1">
        <f t="shared" si="82"/>
        <v>0</v>
      </c>
      <c r="BW262">
        <f t="shared" si="83"/>
        <v>0</v>
      </c>
      <c r="BX262">
        <f t="shared" si="84"/>
        <v>0</v>
      </c>
    </row>
    <row r="263" spans="58:76" x14ac:dyDescent="0.25">
      <c r="BF263" s="1" t="e">
        <f>VLOOKUP(N263,'Incoming Material Report'!H:M,6,FALSE)</f>
        <v>#N/A</v>
      </c>
      <c r="BG263" s="1" t="e">
        <f>IF(VLOOKUP(N263,'Incoming Material Report'!H:N,7,FALSE)=0,"",VLOOKUP(N263,'Incoming Material Report'!H:N,7,FALSE))</f>
        <v>#N/A</v>
      </c>
      <c r="BH263" s="39">
        <f t="shared" si="68"/>
        <v>0</v>
      </c>
      <c r="BI263" s="1">
        <f t="shared" si="69"/>
        <v>0</v>
      </c>
      <c r="BJ263" s="1">
        <f t="shared" si="70"/>
        <v>0</v>
      </c>
      <c r="BK263" s="1">
        <f t="shared" si="71"/>
        <v>0</v>
      </c>
      <c r="BL263" s="1">
        <f t="shared" si="72"/>
        <v>0</v>
      </c>
      <c r="BM263" s="10" t="str">
        <f t="shared" si="73"/>
        <v/>
      </c>
      <c r="BN263" s="39">
        <f t="shared" si="74"/>
        <v>0</v>
      </c>
      <c r="BO263" s="39">
        <f t="shared" si="75"/>
        <v>0</v>
      </c>
      <c r="BP263" s="1">
        <f t="shared" si="76"/>
        <v>0</v>
      </c>
      <c r="BQ263" s="1">
        <f t="shared" si="77"/>
        <v>0</v>
      </c>
      <c r="BR263" s="1" t="str">
        <f t="shared" si="78"/>
        <v/>
      </c>
      <c r="BS263" s="1">
        <f t="shared" si="79"/>
        <v>0</v>
      </c>
      <c r="BT263" s="4">
        <f t="shared" si="80"/>
        <v>0</v>
      </c>
      <c r="BU263" s="39">
        <f t="shared" si="81"/>
        <v>0</v>
      </c>
      <c r="BV263" s="1">
        <f t="shared" si="82"/>
        <v>0</v>
      </c>
      <c r="BW263">
        <f t="shared" si="83"/>
        <v>0</v>
      </c>
      <c r="BX263">
        <f t="shared" si="84"/>
        <v>0</v>
      </c>
    </row>
    <row r="264" spans="58:76" x14ac:dyDescent="0.25">
      <c r="BF264" s="1" t="e">
        <f>VLOOKUP(N264,'Incoming Material Report'!H:M,6,FALSE)</f>
        <v>#N/A</v>
      </c>
      <c r="BG264" s="1" t="e">
        <f>IF(VLOOKUP(N264,'Incoming Material Report'!H:N,7,FALSE)=0,"",VLOOKUP(N264,'Incoming Material Report'!H:N,7,FALSE))</f>
        <v>#N/A</v>
      </c>
      <c r="BH264" s="39">
        <f t="shared" si="68"/>
        <v>0</v>
      </c>
      <c r="BI264" s="1">
        <f t="shared" si="69"/>
        <v>0</v>
      </c>
      <c r="BJ264" s="1">
        <f t="shared" si="70"/>
        <v>0</v>
      </c>
      <c r="BK264" s="1">
        <f t="shared" si="71"/>
        <v>0</v>
      </c>
      <c r="BL264" s="1">
        <f t="shared" si="72"/>
        <v>0</v>
      </c>
      <c r="BM264" s="10" t="str">
        <f t="shared" si="73"/>
        <v/>
      </c>
      <c r="BN264" s="39">
        <f t="shared" si="74"/>
        <v>0</v>
      </c>
      <c r="BO264" s="39">
        <f t="shared" si="75"/>
        <v>0</v>
      </c>
      <c r="BP264" s="1">
        <f t="shared" si="76"/>
        <v>0</v>
      </c>
      <c r="BQ264" s="1">
        <f t="shared" si="77"/>
        <v>0</v>
      </c>
      <c r="BR264" s="1" t="str">
        <f t="shared" si="78"/>
        <v/>
      </c>
      <c r="BS264" s="1">
        <f t="shared" si="79"/>
        <v>0</v>
      </c>
      <c r="BT264" s="4">
        <f t="shared" si="80"/>
        <v>0</v>
      </c>
      <c r="BU264" s="39">
        <f t="shared" si="81"/>
        <v>0</v>
      </c>
      <c r="BV264" s="1">
        <f t="shared" si="82"/>
        <v>0</v>
      </c>
      <c r="BW264">
        <f t="shared" si="83"/>
        <v>0</v>
      </c>
      <c r="BX264">
        <f t="shared" si="84"/>
        <v>0</v>
      </c>
    </row>
    <row r="265" spans="58:76" x14ac:dyDescent="0.25">
      <c r="BF265" s="1" t="e">
        <f>VLOOKUP(N265,'Incoming Material Report'!H:M,6,FALSE)</f>
        <v>#N/A</v>
      </c>
      <c r="BG265" s="1" t="e">
        <f>IF(VLOOKUP(N265,'Incoming Material Report'!H:N,7,FALSE)=0,"",VLOOKUP(N265,'Incoming Material Report'!H:N,7,FALSE))</f>
        <v>#N/A</v>
      </c>
      <c r="BH265" s="39">
        <f t="shared" si="68"/>
        <v>0</v>
      </c>
      <c r="BI265" s="1">
        <f t="shared" si="69"/>
        <v>0</v>
      </c>
      <c r="BJ265" s="1">
        <f t="shared" si="70"/>
        <v>0</v>
      </c>
      <c r="BK265" s="1">
        <f t="shared" si="71"/>
        <v>0</v>
      </c>
      <c r="BL265" s="1">
        <f t="shared" si="72"/>
        <v>0</v>
      </c>
      <c r="BM265" s="10" t="str">
        <f t="shared" si="73"/>
        <v/>
      </c>
      <c r="BN265" s="39">
        <f t="shared" si="74"/>
        <v>0</v>
      </c>
      <c r="BO265" s="39">
        <f t="shared" si="75"/>
        <v>0</v>
      </c>
      <c r="BP265" s="1">
        <f t="shared" si="76"/>
        <v>0</v>
      </c>
      <c r="BQ265" s="1">
        <f t="shared" si="77"/>
        <v>0</v>
      </c>
      <c r="BR265" s="1" t="str">
        <f t="shared" si="78"/>
        <v/>
      </c>
      <c r="BS265" s="1">
        <f t="shared" si="79"/>
        <v>0</v>
      </c>
      <c r="BT265" s="4">
        <f t="shared" si="80"/>
        <v>0</v>
      </c>
      <c r="BU265" s="39">
        <f t="shared" si="81"/>
        <v>0</v>
      </c>
      <c r="BV265" s="1">
        <f t="shared" si="82"/>
        <v>0</v>
      </c>
      <c r="BW265">
        <f t="shared" si="83"/>
        <v>0</v>
      </c>
      <c r="BX265">
        <f t="shared" si="84"/>
        <v>0</v>
      </c>
    </row>
    <row r="266" spans="58:76" x14ac:dyDescent="0.25">
      <c r="BF266" s="1" t="e">
        <f>VLOOKUP(N266,'Incoming Material Report'!H:M,6,FALSE)</f>
        <v>#N/A</v>
      </c>
      <c r="BG266" s="1" t="e">
        <f>IF(VLOOKUP(N266,'Incoming Material Report'!H:N,7,FALSE)=0,"",VLOOKUP(N266,'Incoming Material Report'!H:N,7,FALSE))</f>
        <v>#N/A</v>
      </c>
      <c r="BH266" s="39">
        <f t="shared" si="68"/>
        <v>0</v>
      </c>
      <c r="BI266" s="1">
        <f t="shared" si="69"/>
        <v>0</v>
      </c>
      <c r="BJ266" s="1">
        <f t="shared" si="70"/>
        <v>0</v>
      </c>
      <c r="BK266" s="1">
        <f t="shared" si="71"/>
        <v>0</v>
      </c>
      <c r="BL266" s="1">
        <f t="shared" si="72"/>
        <v>0</v>
      </c>
      <c r="BM266" s="10" t="str">
        <f t="shared" si="73"/>
        <v/>
      </c>
      <c r="BN266" s="39">
        <f t="shared" si="74"/>
        <v>0</v>
      </c>
      <c r="BO266" s="39">
        <f t="shared" si="75"/>
        <v>0</v>
      </c>
      <c r="BP266" s="1">
        <f t="shared" si="76"/>
        <v>0</v>
      </c>
      <c r="BQ266" s="1">
        <f t="shared" si="77"/>
        <v>0</v>
      </c>
      <c r="BR266" s="1" t="str">
        <f t="shared" si="78"/>
        <v/>
      </c>
      <c r="BS266" s="1">
        <f t="shared" si="79"/>
        <v>0</v>
      </c>
      <c r="BT266" s="4">
        <f t="shared" si="80"/>
        <v>0</v>
      </c>
      <c r="BU266" s="39">
        <f t="shared" si="81"/>
        <v>0</v>
      </c>
      <c r="BV266" s="1">
        <f t="shared" si="82"/>
        <v>0</v>
      </c>
      <c r="BW266">
        <f t="shared" si="83"/>
        <v>0</v>
      </c>
      <c r="BX266">
        <f t="shared" si="84"/>
        <v>0</v>
      </c>
    </row>
    <row r="267" spans="58:76" x14ac:dyDescent="0.25">
      <c r="BF267" s="1" t="e">
        <f>VLOOKUP(N267,'Incoming Material Report'!H:M,6,FALSE)</f>
        <v>#N/A</v>
      </c>
      <c r="BG267" s="1" t="e">
        <f>IF(VLOOKUP(N267,'Incoming Material Report'!H:N,7,FALSE)=0,"",VLOOKUP(N267,'Incoming Material Report'!H:N,7,FALSE))</f>
        <v>#N/A</v>
      </c>
      <c r="BH267" s="39">
        <f t="shared" si="68"/>
        <v>0</v>
      </c>
      <c r="BI267" s="1">
        <f t="shared" si="69"/>
        <v>0</v>
      </c>
      <c r="BJ267" s="1">
        <f t="shared" si="70"/>
        <v>0</v>
      </c>
      <c r="BK267" s="1">
        <f t="shared" si="71"/>
        <v>0</v>
      </c>
      <c r="BL267" s="1">
        <f t="shared" si="72"/>
        <v>0</v>
      </c>
      <c r="BM267" s="10" t="str">
        <f t="shared" si="73"/>
        <v/>
      </c>
      <c r="BN267" s="39">
        <f t="shared" si="74"/>
        <v>0</v>
      </c>
      <c r="BO267" s="39">
        <f t="shared" si="75"/>
        <v>0</v>
      </c>
      <c r="BP267" s="1">
        <f t="shared" si="76"/>
        <v>0</v>
      </c>
      <c r="BQ267" s="1">
        <f t="shared" si="77"/>
        <v>0</v>
      </c>
      <c r="BR267" s="1" t="str">
        <f t="shared" si="78"/>
        <v/>
      </c>
      <c r="BS267" s="1">
        <f t="shared" si="79"/>
        <v>0</v>
      </c>
      <c r="BT267" s="4">
        <f t="shared" si="80"/>
        <v>0</v>
      </c>
      <c r="BU267" s="39">
        <f t="shared" si="81"/>
        <v>0</v>
      </c>
      <c r="BV267" s="1">
        <f t="shared" si="82"/>
        <v>0</v>
      </c>
      <c r="BW267">
        <f t="shared" si="83"/>
        <v>0</v>
      </c>
      <c r="BX267">
        <f t="shared" si="84"/>
        <v>0</v>
      </c>
    </row>
    <row r="268" spans="58:76" x14ac:dyDescent="0.25">
      <c r="BF268" s="1" t="e">
        <f>VLOOKUP(N268,'Incoming Material Report'!H:M,6,FALSE)</f>
        <v>#N/A</v>
      </c>
      <c r="BG268" s="1" t="e">
        <f>IF(VLOOKUP(N268,'Incoming Material Report'!H:N,7,FALSE)=0,"",VLOOKUP(N268,'Incoming Material Report'!H:N,7,FALSE))</f>
        <v>#N/A</v>
      </c>
      <c r="BH268" s="39">
        <f t="shared" si="68"/>
        <v>0</v>
      </c>
      <c r="BI268" s="1">
        <f t="shared" si="69"/>
        <v>0</v>
      </c>
      <c r="BJ268" s="1">
        <f t="shared" si="70"/>
        <v>0</v>
      </c>
      <c r="BK268" s="1">
        <f t="shared" si="71"/>
        <v>0</v>
      </c>
      <c r="BL268" s="1">
        <f t="shared" si="72"/>
        <v>0</v>
      </c>
      <c r="BM268" s="10" t="str">
        <f t="shared" si="73"/>
        <v/>
      </c>
      <c r="BN268" s="39">
        <f t="shared" si="74"/>
        <v>0</v>
      </c>
      <c r="BO268" s="39">
        <f t="shared" si="75"/>
        <v>0</v>
      </c>
      <c r="BP268" s="1">
        <f t="shared" si="76"/>
        <v>0</v>
      </c>
      <c r="BQ268" s="1">
        <f t="shared" si="77"/>
        <v>0</v>
      </c>
      <c r="BR268" s="1" t="str">
        <f t="shared" si="78"/>
        <v/>
      </c>
      <c r="BS268" s="1">
        <f t="shared" si="79"/>
        <v>0</v>
      </c>
      <c r="BT268" s="4">
        <f t="shared" si="80"/>
        <v>0</v>
      </c>
      <c r="BU268" s="39">
        <f t="shared" si="81"/>
        <v>0</v>
      </c>
      <c r="BV268" s="1">
        <f t="shared" si="82"/>
        <v>0</v>
      </c>
      <c r="BW268">
        <f t="shared" si="83"/>
        <v>0</v>
      </c>
      <c r="BX268">
        <f t="shared" si="84"/>
        <v>0</v>
      </c>
    </row>
    <row r="269" spans="58:76" x14ac:dyDescent="0.25">
      <c r="BF269" s="1" t="e">
        <f>VLOOKUP(N269,'Incoming Material Report'!H:M,6,FALSE)</f>
        <v>#N/A</v>
      </c>
      <c r="BG269" s="1" t="e">
        <f>IF(VLOOKUP(N269,'Incoming Material Report'!H:N,7,FALSE)=0,"",VLOOKUP(N269,'Incoming Material Report'!H:N,7,FALSE))</f>
        <v>#N/A</v>
      </c>
      <c r="BH269" s="39">
        <f t="shared" si="68"/>
        <v>0</v>
      </c>
      <c r="BI269" s="1">
        <f t="shared" si="69"/>
        <v>0</v>
      </c>
      <c r="BJ269" s="1">
        <f t="shared" si="70"/>
        <v>0</v>
      </c>
      <c r="BK269" s="1">
        <f t="shared" si="71"/>
        <v>0</v>
      </c>
      <c r="BL269" s="1">
        <f t="shared" si="72"/>
        <v>0</v>
      </c>
      <c r="BM269" s="10" t="str">
        <f t="shared" si="73"/>
        <v/>
      </c>
      <c r="BN269" s="39">
        <f t="shared" si="74"/>
        <v>0</v>
      </c>
      <c r="BO269" s="39">
        <f t="shared" si="75"/>
        <v>0</v>
      </c>
      <c r="BP269" s="1">
        <f t="shared" si="76"/>
        <v>0</v>
      </c>
      <c r="BQ269" s="1">
        <f t="shared" si="77"/>
        <v>0</v>
      </c>
      <c r="BR269" s="1" t="str">
        <f t="shared" si="78"/>
        <v/>
      </c>
      <c r="BS269" s="1">
        <f t="shared" si="79"/>
        <v>0</v>
      </c>
      <c r="BT269" s="4">
        <f t="shared" si="80"/>
        <v>0</v>
      </c>
      <c r="BU269" s="39">
        <f t="shared" si="81"/>
        <v>0</v>
      </c>
      <c r="BV269" s="1">
        <f t="shared" si="82"/>
        <v>0</v>
      </c>
      <c r="BW269">
        <f t="shared" si="83"/>
        <v>0</v>
      </c>
      <c r="BX269">
        <f t="shared" si="84"/>
        <v>0</v>
      </c>
    </row>
    <row r="270" spans="58:76" x14ac:dyDescent="0.25">
      <c r="BF270" s="1" t="e">
        <f>VLOOKUP(N270,'Incoming Material Report'!H:M,6,FALSE)</f>
        <v>#N/A</v>
      </c>
      <c r="BG270" s="1" t="e">
        <f>IF(VLOOKUP(N270,'Incoming Material Report'!H:N,7,FALSE)=0,"",VLOOKUP(N270,'Incoming Material Report'!H:N,7,FALSE))</f>
        <v>#N/A</v>
      </c>
      <c r="BH270" s="39">
        <f t="shared" si="68"/>
        <v>0</v>
      </c>
      <c r="BI270" s="1">
        <f t="shared" si="69"/>
        <v>0</v>
      </c>
      <c r="BJ270" s="1">
        <f t="shared" si="70"/>
        <v>0</v>
      </c>
      <c r="BK270" s="1">
        <f t="shared" si="71"/>
        <v>0</v>
      </c>
      <c r="BL270" s="1">
        <f t="shared" si="72"/>
        <v>0</v>
      </c>
      <c r="BM270" s="10" t="str">
        <f t="shared" si="73"/>
        <v/>
      </c>
      <c r="BN270" s="39">
        <f t="shared" si="74"/>
        <v>0</v>
      </c>
      <c r="BO270" s="39">
        <f t="shared" si="75"/>
        <v>0</v>
      </c>
      <c r="BP270" s="1">
        <f t="shared" si="76"/>
        <v>0</v>
      </c>
      <c r="BQ270" s="1">
        <f t="shared" si="77"/>
        <v>0</v>
      </c>
      <c r="BR270" s="1" t="str">
        <f t="shared" si="78"/>
        <v/>
      </c>
      <c r="BS270" s="1">
        <f t="shared" si="79"/>
        <v>0</v>
      </c>
      <c r="BT270" s="4">
        <f t="shared" si="80"/>
        <v>0</v>
      </c>
      <c r="BU270" s="39">
        <f t="shared" si="81"/>
        <v>0</v>
      </c>
      <c r="BV270" s="1">
        <f t="shared" si="82"/>
        <v>0</v>
      </c>
      <c r="BW270">
        <f t="shared" si="83"/>
        <v>0</v>
      </c>
      <c r="BX270">
        <f t="shared" si="84"/>
        <v>0</v>
      </c>
    </row>
    <row r="271" spans="58:76" x14ac:dyDescent="0.25">
      <c r="BF271" s="1" t="e">
        <f>VLOOKUP(N271,'Incoming Material Report'!H:M,6,FALSE)</f>
        <v>#N/A</v>
      </c>
      <c r="BG271" s="1" t="e">
        <f>IF(VLOOKUP(N271,'Incoming Material Report'!H:N,7,FALSE)=0,"",VLOOKUP(N271,'Incoming Material Report'!H:N,7,FALSE))</f>
        <v>#N/A</v>
      </c>
      <c r="BH271" s="39">
        <f t="shared" si="68"/>
        <v>0</v>
      </c>
      <c r="BI271" s="1">
        <f t="shared" si="69"/>
        <v>0</v>
      </c>
      <c r="BJ271" s="1">
        <f t="shared" si="70"/>
        <v>0</v>
      </c>
      <c r="BK271" s="1">
        <f t="shared" si="71"/>
        <v>0</v>
      </c>
      <c r="BL271" s="1">
        <f t="shared" si="72"/>
        <v>0</v>
      </c>
      <c r="BM271" s="10" t="str">
        <f t="shared" si="73"/>
        <v/>
      </c>
      <c r="BN271" s="39">
        <f t="shared" si="74"/>
        <v>0</v>
      </c>
      <c r="BO271" s="39">
        <f t="shared" si="75"/>
        <v>0</v>
      </c>
      <c r="BP271" s="1">
        <f t="shared" si="76"/>
        <v>0</v>
      </c>
      <c r="BQ271" s="1">
        <f t="shared" si="77"/>
        <v>0</v>
      </c>
      <c r="BR271" s="1" t="str">
        <f t="shared" si="78"/>
        <v/>
      </c>
      <c r="BS271" s="1">
        <f t="shared" si="79"/>
        <v>0</v>
      </c>
      <c r="BT271" s="4">
        <f t="shared" si="80"/>
        <v>0</v>
      </c>
      <c r="BU271" s="39">
        <f t="shared" si="81"/>
        <v>0</v>
      </c>
      <c r="BV271" s="1">
        <f t="shared" si="82"/>
        <v>0</v>
      </c>
      <c r="BW271">
        <f t="shared" si="83"/>
        <v>0</v>
      </c>
      <c r="BX271">
        <f t="shared" si="84"/>
        <v>0</v>
      </c>
    </row>
    <row r="272" spans="58:76" x14ac:dyDescent="0.25">
      <c r="BF272" s="1" t="e">
        <f>VLOOKUP(N272,'Incoming Material Report'!H:M,6,FALSE)</f>
        <v>#N/A</v>
      </c>
      <c r="BG272" s="1" t="e">
        <f>IF(VLOOKUP(N272,'Incoming Material Report'!H:N,7,FALSE)=0,"",VLOOKUP(N272,'Incoming Material Report'!H:N,7,FALSE))</f>
        <v>#N/A</v>
      </c>
      <c r="BH272" s="39">
        <f t="shared" si="68"/>
        <v>0</v>
      </c>
      <c r="BI272" s="1">
        <f t="shared" si="69"/>
        <v>0</v>
      </c>
      <c r="BJ272" s="1">
        <f t="shared" si="70"/>
        <v>0</v>
      </c>
      <c r="BK272" s="1">
        <f t="shared" si="71"/>
        <v>0</v>
      </c>
      <c r="BL272" s="1">
        <f t="shared" si="72"/>
        <v>0</v>
      </c>
      <c r="BM272" s="10" t="str">
        <f t="shared" si="73"/>
        <v/>
      </c>
      <c r="BN272" s="39">
        <f t="shared" si="74"/>
        <v>0</v>
      </c>
      <c r="BO272" s="39">
        <f t="shared" si="75"/>
        <v>0</v>
      </c>
      <c r="BP272" s="1">
        <f t="shared" si="76"/>
        <v>0</v>
      </c>
      <c r="BQ272" s="1">
        <f t="shared" si="77"/>
        <v>0</v>
      </c>
      <c r="BR272" s="1" t="str">
        <f t="shared" si="78"/>
        <v/>
      </c>
      <c r="BS272" s="1">
        <f t="shared" si="79"/>
        <v>0</v>
      </c>
      <c r="BT272" s="4">
        <f t="shared" si="80"/>
        <v>0</v>
      </c>
      <c r="BU272" s="39">
        <f t="shared" si="81"/>
        <v>0</v>
      </c>
      <c r="BV272" s="1">
        <f t="shared" si="82"/>
        <v>0</v>
      </c>
      <c r="BW272">
        <f t="shared" si="83"/>
        <v>0</v>
      </c>
      <c r="BX272">
        <f t="shared" si="84"/>
        <v>0</v>
      </c>
    </row>
    <row r="273" spans="58:76" x14ac:dyDescent="0.25">
      <c r="BF273" s="1" t="e">
        <f>VLOOKUP(N273,'Incoming Material Report'!H:M,6,FALSE)</f>
        <v>#N/A</v>
      </c>
      <c r="BG273" s="1" t="e">
        <f>IF(VLOOKUP(N273,'Incoming Material Report'!H:N,7,FALSE)=0,"",VLOOKUP(N273,'Incoming Material Report'!H:N,7,FALSE))</f>
        <v>#N/A</v>
      </c>
      <c r="BH273" s="39">
        <f t="shared" si="68"/>
        <v>0</v>
      </c>
      <c r="BI273" s="1">
        <f t="shared" si="69"/>
        <v>0</v>
      </c>
      <c r="BJ273" s="1">
        <f t="shared" si="70"/>
        <v>0</v>
      </c>
      <c r="BK273" s="1">
        <f t="shared" si="71"/>
        <v>0</v>
      </c>
      <c r="BL273" s="1">
        <f t="shared" si="72"/>
        <v>0</v>
      </c>
      <c r="BM273" s="10" t="str">
        <f t="shared" si="73"/>
        <v/>
      </c>
      <c r="BN273" s="39">
        <f t="shared" si="74"/>
        <v>0</v>
      </c>
      <c r="BO273" s="39">
        <f t="shared" si="75"/>
        <v>0</v>
      </c>
      <c r="BP273" s="1">
        <f t="shared" si="76"/>
        <v>0</v>
      </c>
      <c r="BQ273" s="1">
        <f t="shared" si="77"/>
        <v>0</v>
      </c>
      <c r="BR273" s="1" t="str">
        <f t="shared" si="78"/>
        <v/>
      </c>
      <c r="BS273" s="1">
        <f t="shared" si="79"/>
        <v>0</v>
      </c>
      <c r="BT273" s="4">
        <f t="shared" si="80"/>
        <v>0</v>
      </c>
      <c r="BU273" s="39">
        <f t="shared" si="81"/>
        <v>0</v>
      </c>
      <c r="BV273" s="1">
        <f t="shared" si="82"/>
        <v>0</v>
      </c>
      <c r="BW273">
        <f t="shared" si="83"/>
        <v>0</v>
      </c>
      <c r="BX273">
        <f t="shared" si="84"/>
        <v>0</v>
      </c>
    </row>
    <row r="274" spans="58:76" x14ac:dyDescent="0.25">
      <c r="BF274" s="1" t="e">
        <f>VLOOKUP(N274,'Incoming Material Report'!H:M,6,FALSE)</f>
        <v>#N/A</v>
      </c>
      <c r="BG274" s="1" t="e">
        <f>IF(VLOOKUP(N274,'Incoming Material Report'!H:N,7,FALSE)=0,"",VLOOKUP(N274,'Incoming Material Report'!H:N,7,FALSE))</f>
        <v>#N/A</v>
      </c>
      <c r="BH274" s="39">
        <f t="shared" si="68"/>
        <v>0</v>
      </c>
      <c r="BI274" s="1">
        <f t="shared" si="69"/>
        <v>0</v>
      </c>
      <c r="BJ274" s="1">
        <f t="shared" si="70"/>
        <v>0</v>
      </c>
      <c r="BK274" s="1">
        <f t="shared" si="71"/>
        <v>0</v>
      </c>
      <c r="BL274" s="1">
        <f t="shared" si="72"/>
        <v>0</v>
      </c>
      <c r="BM274" s="10" t="str">
        <f t="shared" si="73"/>
        <v/>
      </c>
      <c r="BN274" s="39">
        <f t="shared" si="74"/>
        <v>0</v>
      </c>
      <c r="BO274" s="39">
        <f t="shared" si="75"/>
        <v>0</v>
      </c>
      <c r="BP274" s="1">
        <f t="shared" si="76"/>
        <v>0</v>
      </c>
      <c r="BQ274" s="1">
        <f t="shared" si="77"/>
        <v>0</v>
      </c>
      <c r="BR274" s="1" t="str">
        <f t="shared" si="78"/>
        <v/>
      </c>
      <c r="BS274" s="1">
        <f t="shared" si="79"/>
        <v>0</v>
      </c>
      <c r="BT274" s="4">
        <f t="shared" si="80"/>
        <v>0</v>
      </c>
      <c r="BU274" s="39">
        <f t="shared" si="81"/>
        <v>0</v>
      </c>
      <c r="BV274" s="1">
        <f t="shared" si="82"/>
        <v>0</v>
      </c>
      <c r="BW274">
        <f t="shared" si="83"/>
        <v>0</v>
      </c>
      <c r="BX274">
        <f t="shared" si="84"/>
        <v>0</v>
      </c>
    </row>
    <row r="275" spans="58:76" x14ac:dyDescent="0.25">
      <c r="BF275" s="1" t="e">
        <f>VLOOKUP(N275,'Incoming Material Report'!H:M,6,FALSE)</f>
        <v>#N/A</v>
      </c>
      <c r="BG275" s="1" t="e">
        <f>IF(VLOOKUP(N275,'Incoming Material Report'!H:N,7,FALSE)=0,"",VLOOKUP(N275,'Incoming Material Report'!H:N,7,FALSE))</f>
        <v>#N/A</v>
      </c>
      <c r="BH275" s="39">
        <f t="shared" si="68"/>
        <v>0</v>
      </c>
      <c r="BI275" s="1">
        <f t="shared" si="69"/>
        <v>0</v>
      </c>
      <c r="BJ275" s="1">
        <f t="shared" si="70"/>
        <v>0</v>
      </c>
      <c r="BK275" s="1">
        <f t="shared" si="71"/>
        <v>0</v>
      </c>
      <c r="BL275" s="1">
        <f t="shared" si="72"/>
        <v>0</v>
      </c>
      <c r="BM275" s="10" t="str">
        <f t="shared" si="73"/>
        <v/>
      </c>
      <c r="BN275" s="39">
        <f t="shared" si="74"/>
        <v>0</v>
      </c>
      <c r="BO275" s="39">
        <f t="shared" si="75"/>
        <v>0</v>
      </c>
      <c r="BP275" s="1">
        <f t="shared" si="76"/>
        <v>0</v>
      </c>
      <c r="BQ275" s="1">
        <f t="shared" si="77"/>
        <v>0</v>
      </c>
      <c r="BR275" s="1" t="str">
        <f t="shared" si="78"/>
        <v/>
      </c>
      <c r="BS275" s="1">
        <f t="shared" si="79"/>
        <v>0</v>
      </c>
      <c r="BT275" s="4">
        <f t="shared" si="80"/>
        <v>0</v>
      </c>
      <c r="BU275" s="39">
        <f t="shared" si="81"/>
        <v>0</v>
      </c>
      <c r="BV275" s="1">
        <f t="shared" si="82"/>
        <v>0</v>
      </c>
      <c r="BW275">
        <f t="shared" si="83"/>
        <v>0</v>
      </c>
      <c r="BX275">
        <f t="shared" si="84"/>
        <v>0</v>
      </c>
    </row>
    <row r="276" spans="58:76" x14ac:dyDescent="0.25">
      <c r="BF276" s="1" t="e">
        <f>VLOOKUP(N276,'Incoming Material Report'!H:M,6,FALSE)</f>
        <v>#N/A</v>
      </c>
      <c r="BG276" s="1" t="e">
        <f>IF(VLOOKUP(N276,'Incoming Material Report'!H:N,7,FALSE)=0,"",VLOOKUP(N276,'Incoming Material Report'!H:N,7,FALSE))</f>
        <v>#N/A</v>
      </c>
      <c r="BH276" s="39">
        <f t="shared" si="68"/>
        <v>0</v>
      </c>
      <c r="BI276" s="1">
        <f t="shared" si="69"/>
        <v>0</v>
      </c>
      <c r="BJ276" s="1">
        <f t="shared" si="70"/>
        <v>0</v>
      </c>
      <c r="BK276" s="1">
        <f t="shared" si="71"/>
        <v>0</v>
      </c>
      <c r="BL276" s="1">
        <f t="shared" si="72"/>
        <v>0</v>
      </c>
      <c r="BM276" s="10" t="str">
        <f t="shared" si="73"/>
        <v/>
      </c>
      <c r="BN276" s="39">
        <f t="shared" si="74"/>
        <v>0</v>
      </c>
      <c r="BO276" s="39">
        <f t="shared" si="75"/>
        <v>0</v>
      </c>
      <c r="BP276" s="1">
        <f t="shared" si="76"/>
        <v>0</v>
      </c>
      <c r="BQ276" s="1">
        <f t="shared" si="77"/>
        <v>0</v>
      </c>
      <c r="BR276" s="1" t="str">
        <f t="shared" si="78"/>
        <v/>
      </c>
      <c r="BS276" s="1">
        <f t="shared" si="79"/>
        <v>0</v>
      </c>
      <c r="BT276" s="4">
        <f t="shared" si="80"/>
        <v>0</v>
      </c>
      <c r="BU276" s="39">
        <f t="shared" si="81"/>
        <v>0</v>
      </c>
      <c r="BV276" s="1">
        <f t="shared" si="82"/>
        <v>0</v>
      </c>
      <c r="BW276">
        <f t="shared" si="83"/>
        <v>0</v>
      </c>
      <c r="BX276">
        <f t="shared" si="84"/>
        <v>0</v>
      </c>
    </row>
    <row r="277" spans="58:76" x14ac:dyDescent="0.25">
      <c r="BF277" s="1" t="e">
        <f>VLOOKUP(N277,'Incoming Material Report'!H:M,6,FALSE)</f>
        <v>#N/A</v>
      </c>
      <c r="BG277" s="1" t="e">
        <f>IF(VLOOKUP(N277,'Incoming Material Report'!H:N,7,FALSE)=0,"",VLOOKUP(N277,'Incoming Material Report'!H:N,7,FALSE))</f>
        <v>#N/A</v>
      </c>
      <c r="BH277" s="39">
        <f t="shared" si="68"/>
        <v>0</v>
      </c>
      <c r="BI277" s="1">
        <f t="shared" si="69"/>
        <v>0</v>
      </c>
      <c r="BJ277" s="1">
        <f t="shared" si="70"/>
        <v>0</v>
      </c>
      <c r="BK277" s="1">
        <f t="shared" si="71"/>
        <v>0</v>
      </c>
      <c r="BL277" s="1">
        <f t="shared" si="72"/>
        <v>0</v>
      </c>
      <c r="BM277" s="10" t="str">
        <f t="shared" si="73"/>
        <v/>
      </c>
      <c r="BN277" s="39">
        <f t="shared" si="74"/>
        <v>0</v>
      </c>
      <c r="BO277" s="39">
        <f t="shared" si="75"/>
        <v>0</v>
      </c>
      <c r="BP277" s="1">
        <f t="shared" si="76"/>
        <v>0</v>
      </c>
      <c r="BQ277" s="1">
        <f t="shared" si="77"/>
        <v>0</v>
      </c>
      <c r="BR277" s="1" t="str">
        <f t="shared" si="78"/>
        <v/>
      </c>
      <c r="BS277" s="1">
        <f t="shared" si="79"/>
        <v>0</v>
      </c>
      <c r="BT277" s="4">
        <f t="shared" si="80"/>
        <v>0</v>
      </c>
      <c r="BU277" s="39">
        <f t="shared" si="81"/>
        <v>0</v>
      </c>
      <c r="BV277" s="1">
        <f t="shared" si="82"/>
        <v>0</v>
      </c>
      <c r="BW277">
        <f t="shared" si="83"/>
        <v>0</v>
      </c>
      <c r="BX277">
        <f t="shared" si="84"/>
        <v>0</v>
      </c>
    </row>
    <row r="278" spans="58:76" x14ac:dyDescent="0.25">
      <c r="BF278" s="1" t="e">
        <f>VLOOKUP(N278,'Incoming Material Report'!H:M,6,FALSE)</f>
        <v>#N/A</v>
      </c>
      <c r="BG278" s="1" t="e">
        <f>IF(VLOOKUP(N278,'Incoming Material Report'!H:N,7,FALSE)=0,"",VLOOKUP(N278,'Incoming Material Report'!H:N,7,FALSE))</f>
        <v>#N/A</v>
      </c>
      <c r="BH278" s="39">
        <f t="shared" si="68"/>
        <v>0</v>
      </c>
      <c r="BI278" s="1">
        <f t="shared" si="69"/>
        <v>0</v>
      </c>
      <c r="BJ278" s="1">
        <f t="shared" si="70"/>
        <v>0</v>
      </c>
      <c r="BK278" s="1">
        <f t="shared" si="71"/>
        <v>0</v>
      </c>
      <c r="BL278" s="1">
        <f t="shared" si="72"/>
        <v>0</v>
      </c>
      <c r="BM278" s="10" t="str">
        <f t="shared" si="73"/>
        <v/>
      </c>
      <c r="BN278" s="39">
        <f t="shared" si="74"/>
        <v>0</v>
      </c>
      <c r="BO278" s="39">
        <f t="shared" si="75"/>
        <v>0</v>
      </c>
      <c r="BP278" s="1">
        <f t="shared" si="76"/>
        <v>0</v>
      </c>
      <c r="BQ278" s="1">
        <f t="shared" si="77"/>
        <v>0</v>
      </c>
      <c r="BR278" s="1" t="str">
        <f t="shared" si="78"/>
        <v/>
      </c>
      <c r="BS278" s="1">
        <f t="shared" si="79"/>
        <v>0</v>
      </c>
      <c r="BT278" s="4">
        <f t="shared" si="80"/>
        <v>0</v>
      </c>
      <c r="BU278" s="39">
        <f t="shared" si="81"/>
        <v>0</v>
      </c>
      <c r="BV278" s="1">
        <f t="shared" si="82"/>
        <v>0</v>
      </c>
      <c r="BW278">
        <f t="shared" si="83"/>
        <v>0</v>
      </c>
      <c r="BX278">
        <f t="shared" si="84"/>
        <v>0</v>
      </c>
    </row>
    <row r="279" spans="58:76" x14ac:dyDescent="0.25">
      <c r="BF279" s="1" t="e">
        <f>VLOOKUP(N279,'Incoming Material Report'!H:M,6,FALSE)</f>
        <v>#N/A</v>
      </c>
      <c r="BG279" s="1" t="e">
        <f>IF(VLOOKUP(N279,'Incoming Material Report'!H:N,7,FALSE)=0,"",VLOOKUP(N279,'Incoming Material Report'!H:N,7,FALSE))</f>
        <v>#N/A</v>
      </c>
      <c r="BH279" s="39">
        <f t="shared" si="68"/>
        <v>0</v>
      </c>
      <c r="BI279" s="1">
        <f t="shared" si="69"/>
        <v>0</v>
      </c>
      <c r="BJ279" s="1">
        <f t="shared" si="70"/>
        <v>0</v>
      </c>
      <c r="BK279" s="1">
        <f t="shared" si="71"/>
        <v>0</v>
      </c>
      <c r="BL279" s="1">
        <f t="shared" si="72"/>
        <v>0</v>
      </c>
      <c r="BM279" s="10" t="str">
        <f t="shared" si="73"/>
        <v/>
      </c>
      <c r="BN279" s="39">
        <f t="shared" si="74"/>
        <v>0</v>
      </c>
      <c r="BO279" s="39">
        <f t="shared" si="75"/>
        <v>0</v>
      </c>
      <c r="BP279" s="1">
        <f t="shared" si="76"/>
        <v>0</v>
      </c>
      <c r="BQ279" s="1">
        <f t="shared" si="77"/>
        <v>0</v>
      </c>
      <c r="BR279" s="1" t="str">
        <f t="shared" si="78"/>
        <v/>
      </c>
      <c r="BS279" s="1">
        <f t="shared" si="79"/>
        <v>0</v>
      </c>
      <c r="BT279" s="4">
        <f t="shared" si="80"/>
        <v>0</v>
      </c>
      <c r="BU279" s="39">
        <f t="shared" si="81"/>
        <v>0</v>
      </c>
      <c r="BV279" s="1">
        <f t="shared" si="82"/>
        <v>0</v>
      </c>
      <c r="BW279">
        <f t="shared" si="83"/>
        <v>0</v>
      </c>
      <c r="BX279">
        <f t="shared" si="84"/>
        <v>0</v>
      </c>
    </row>
    <row r="280" spans="58:76" x14ac:dyDescent="0.25">
      <c r="BF280" s="1" t="e">
        <f>VLOOKUP(N280,'Incoming Material Report'!H:M,6,FALSE)</f>
        <v>#N/A</v>
      </c>
      <c r="BG280" s="1" t="e">
        <f>IF(VLOOKUP(N280,'Incoming Material Report'!H:N,7,FALSE)=0,"",VLOOKUP(N280,'Incoming Material Report'!H:N,7,FALSE))</f>
        <v>#N/A</v>
      </c>
      <c r="BH280" s="39">
        <f t="shared" si="68"/>
        <v>0</v>
      </c>
      <c r="BI280" s="1">
        <f t="shared" si="69"/>
        <v>0</v>
      </c>
      <c r="BJ280" s="1">
        <f t="shared" si="70"/>
        <v>0</v>
      </c>
      <c r="BK280" s="1">
        <f t="shared" si="71"/>
        <v>0</v>
      </c>
      <c r="BL280" s="1">
        <f t="shared" si="72"/>
        <v>0</v>
      </c>
      <c r="BM280" s="10" t="str">
        <f t="shared" si="73"/>
        <v/>
      </c>
      <c r="BN280" s="39">
        <f t="shared" si="74"/>
        <v>0</v>
      </c>
      <c r="BO280" s="39">
        <f t="shared" si="75"/>
        <v>0</v>
      </c>
      <c r="BP280" s="1">
        <f t="shared" si="76"/>
        <v>0</v>
      </c>
      <c r="BQ280" s="1">
        <f t="shared" si="77"/>
        <v>0</v>
      </c>
      <c r="BR280" s="1" t="str">
        <f t="shared" si="78"/>
        <v/>
      </c>
      <c r="BS280" s="1">
        <f t="shared" si="79"/>
        <v>0</v>
      </c>
      <c r="BT280" s="4">
        <f t="shared" si="80"/>
        <v>0</v>
      </c>
      <c r="BU280" s="39">
        <f t="shared" si="81"/>
        <v>0</v>
      </c>
      <c r="BV280" s="1">
        <f t="shared" si="82"/>
        <v>0</v>
      </c>
      <c r="BW280">
        <f t="shared" si="83"/>
        <v>0</v>
      </c>
      <c r="BX280">
        <f t="shared" si="84"/>
        <v>0</v>
      </c>
    </row>
    <row r="281" spans="58:76" x14ac:dyDescent="0.25">
      <c r="BF281" s="1" t="e">
        <f>VLOOKUP(N281,'Incoming Material Report'!H:M,6,FALSE)</f>
        <v>#N/A</v>
      </c>
      <c r="BG281" s="1" t="e">
        <f>IF(VLOOKUP(N281,'Incoming Material Report'!H:N,7,FALSE)=0,"",VLOOKUP(N281,'Incoming Material Report'!H:N,7,FALSE))</f>
        <v>#N/A</v>
      </c>
      <c r="BH281" s="39">
        <f t="shared" si="68"/>
        <v>0</v>
      </c>
      <c r="BI281" s="1">
        <f t="shared" si="69"/>
        <v>0</v>
      </c>
      <c r="BJ281" s="1">
        <f t="shared" si="70"/>
        <v>0</v>
      </c>
      <c r="BK281" s="1">
        <f t="shared" si="71"/>
        <v>0</v>
      </c>
      <c r="BL281" s="1">
        <f t="shared" si="72"/>
        <v>0</v>
      </c>
      <c r="BM281" s="10" t="str">
        <f t="shared" si="73"/>
        <v/>
      </c>
      <c r="BN281" s="39">
        <f t="shared" si="74"/>
        <v>0</v>
      </c>
      <c r="BO281" s="39">
        <f t="shared" si="75"/>
        <v>0</v>
      </c>
      <c r="BP281" s="1">
        <f t="shared" si="76"/>
        <v>0</v>
      </c>
      <c r="BQ281" s="1">
        <f t="shared" si="77"/>
        <v>0</v>
      </c>
      <c r="BR281" s="1" t="str">
        <f t="shared" si="78"/>
        <v/>
      </c>
      <c r="BS281" s="1">
        <f t="shared" si="79"/>
        <v>0</v>
      </c>
      <c r="BT281" s="4">
        <f t="shared" si="80"/>
        <v>0</v>
      </c>
      <c r="BU281" s="39">
        <f t="shared" si="81"/>
        <v>0</v>
      </c>
      <c r="BV281" s="1">
        <f t="shared" si="82"/>
        <v>0</v>
      </c>
      <c r="BW281">
        <f t="shared" si="83"/>
        <v>0</v>
      </c>
      <c r="BX281">
        <f t="shared" si="84"/>
        <v>0</v>
      </c>
    </row>
    <row r="282" spans="58:76" x14ac:dyDescent="0.25">
      <c r="BF282" s="1" t="e">
        <f>VLOOKUP(N282,'Incoming Material Report'!H:M,6,FALSE)</f>
        <v>#N/A</v>
      </c>
      <c r="BG282" s="1" t="e">
        <f>IF(VLOOKUP(N282,'Incoming Material Report'!H:N,7,FALSE)=0,"",VLOOKUP(N282,'Incoming Material Report'!H:N,7,FALSE))</f>
        <v>#N/A</v>
      </c>
      <c r="BH282" s="39">
        <f t="shared" si="68"/>
        <v>0</v>
      </c>
      <c r="BI282" s="1">
        <f t="shared" si="69"/>
        <v>0</v>
      </c>
      <c r="BJ282" s="1">
        <f t="shared" si="70"/>
        <v>0</v>
      </c>
      <c r="BK282" s="1">
        <f t="shared" si="71"/>
        <v>0</v>
      </c>
      <c r="BL282" s="1">
        <f t="shared" si="72"/>
        <v>0</v>
      </c>
      <c r="BM282" s="10" t="str">
        <f t="shared" si="73"/>
        <v/>
      </c>
      <c r="BN282" s="39">
        <f t="shared" si="74"/>
        <v>0</v>
      </c>
      <c r="BO282" s="39">
        <f t="shared" si="75"/>
        <v>0</v>
      </c>
      <c r="BP282" s="1">
        <f t="shared" si="76"/>
        <v>0</v>
      </c>
      <c r="BQ282" s="1">
        <f t="shared" si="77"/>
        <v>0</v>
      </c>
      <c r="BR282" s="1" t="str">
        <f t="shared" si="78"/>
        <v/>
      </c>
      <c r="BS282" s="1">
        <f t="shared" si="79"/>
        <v>0</v>
      </c>
      <c r="BT282" s="4">
        <f t="shared" si="80"/>
        <v>0</v>
      </c>
      <c r="BU282" s="39">
        <f t="shared" si="81"/>
        <v>0</v>
      </c>
      <c r="BV282" s="1">
        <f t="shared" si="82"/>
        <v>0</v>
      </c>
      <c r="BW282">
        <f t="shared" si="83"/>
        <v>0</v>
      </c>
      <c r="BX282">
        <f t="shared" si="84"/>
        <v>0</v>
      </c>
    </row>
    <row r="283" spans="58:76" x14ac:dyDescent="0.25">
      <c r="BF283" s="1" t="e">
        <f>VLOOKUP(N283,'Incoming Material Report'!H:M,6,FALSE)</f>
        <v>#N/A</v>
      </c>
      <c r="BG283" s="1" t="e">
        <f>IF(VLOOKUP(N283,'Incoming Material Report'!H:N,7,FALSE)=0,"",VLOOKUP(N283,'Incoming Material Report'!H:N,7,FALSE))</f>
        <v>#N/A</v>
      </c>
      <c r="BH283" s="39">
        <f t="shared" si="68"/>
        <v>0</v>
      </c>
      <c r="BI283" s="1">
        <f t="shared" si="69"/>
        <v>0</v>
      </c>
      <c r="BJ283" s="1">
        <f t="shared" si="70"/>
        <v>0</v>
      </c>
      <c r="BK283" s="1">
        <f t="shared" si="71"/>
        <v>0</v>
      </c>
      <c r="BL283" s="1">
        <f t="shared" si="72"/>
        <v>0</v>
      </c>
      <c r="BM283" s="10" t="str">
        <f t="shared" si="73"/>
        <v/>
      </c>
      <c r="BN283" s="39">
        <f t="shared" si="74"/>
        <v>0</v>
      </c>
      <c r="BO283" s="39">
        <f t="shared" si="75"/>
        <v>0</v>
      </c>
      <c r="BP283" s="1">
        <f t="shared" si="76"/>
        <v>0</v>
      </c>
      <c r="BQ283" s="1">
        <f t="shared" si="77"/>
        <v>0</v>
      </c>
      <c r="BR283" s="1" t="str">
        <f t="shared" si="78"/>
        <v/>
      </c>
      <c r="BS283" s="1">
        <f t="shared" si="79"/>
        <v>0</v>
      </c>
      <c r="BT283" s="4">
        <f t="shared" si="80"/>
        <v>0</v>
      </c>
      <c r="BU283" s="39">
        <f t="shared" si="81"/>
        <v>0</v>
      </c>
      <c r="BV283" s="1">
        <f t="shared" si="82"/>
        <v>0</v>
      </c>
      <c r="BW283">
        <f t="shared" si="83"/>
        <v>0</v>
      </c>
      <c r="BX283">
        <f t="shared" si="84"/>
        <v>0</v>
      </c>
    </row>
    <row r="284" spans="58:76" x14ac:dyDescent="0.25">
      <c r="BF284" s="1" t="e">
        <f>VLOOKUP(N284,'Incoming Material Report'!H:M,6,FALSE)</f>
        <v>#N/A</v>
      </c>
      <c r="BG284" s="1" t="e">
        <f>IF(VLOOKUP(N284,'Incoming Material Report'!H:N,7,FALSE)=0,"",VLOOKUP(N284,'Incoming Material Report'!H:N,7,FALSE))</f>
        <v>#N/A</v>
      </c>
      <c r="BH284" s="39">
        <f t="shared" si="68"/>
        <v>0</v>
      </c>
      <c r="BI284" s="1">
        <f t="shared" si="69"/>
        <v>0</v>
      </c>
      <c r="BJ284" s="1">
        <f t="shared" si="70"/>
        <v>0</v>
      </c>
      <c r="BK284" s="1">
        <f t="shared" si="71"/>
        <v>0</v>
      </c>
      <c r="BL284" s="1">
        <f t="shared" si="72"/>
        <v>0</v>
      </c>
      <c r="BM284" s="10" t="str">
        <f t="shared" si="73"/>
        <v/>
      </c>
      <c r="BN284" s="39">
        <f t="shared" si="74"/>
        <v>0</v>
      </c>
      <c r="BO284" s="39">
        <f t="shared" si="75"/>
        <v>0</v>
      </c>
      <c r="BP284" s="1">
        <f t="shared" si="76"/>
        <v>0</v>
      </c>
      <c r="BQ284" s="1">
        <f t="shared" si="77"/>
        <v>0</v>
      </c>
      <c r="BR284" s="1" t="str">
        <f t="shared" si="78"/>
        <v/>
      </c>
      <c r="BS284" s="1">
        <f t="shared" si="79"/>
        <v>0</v>
      </c>
      <c r="BT284" s="4">
        <f t="shared" si="80"/>
        <v>0</v>
      </c>
      <c r="BU284" s="39">
        <f t="shared" si="81"/>
        <v>0</v>
      </c>
      <c r="BV284" s="1">
        <f t="shared" si="82"/>
        <v>0</v>
      </c>
      <c r="BW284">
        <f t="shared" si="83"/>
        <v>0</v>
      </c>
      <c r="BX284">
        <f t="shared" si="84"/>
        <v>0</v>
      </c>
    </row>
    <row r="285" spans="58:76" x14ac:dyDescent="0.25">
      <c r="BF285" s="1" t="e">
        <f>VLOOKUP(N285,'Incoming Material Report'!H:M,6,FALSE)</f>
        <v>#N/A</v>
      </c>
      <c r="BG285" s="1" t="e">
        <f>IF(VLOOKUP(N285,'Incoming Material Report'!H:N,7,FALSE)=0,"",VLOOKUP(N285,'Incoming Material Report'!H:N,7,FALSE))</f>
        <v>#N/A</v>
      </c>
      <c r="BH285" s="39">
        <f t="shared" si="68"/>
        <v>0</v>
      </c>
      <c r="BI285" s="1">
        <f t="shared" si="69"/>
        <v>0</v>
      </c>
      <c r="BJ285" s="1">
        <f t="shared" si="70"/>
        <v>0</v>
      </c>
      <c r="BK285" s="1">
        <f t="shared" si="71"/>
        <v>0</v>
      </c>
      <c r="BL285" s="1">
        <f t="shared" si="72"/>
        <v>0</v>
      </c>
      <c r="BM285" s="10" t="str">
        <f t="shared" si="73"/>
        <v/>
      </c>
      <c r="BN285" s="39">
        <f t="shared" si="74"/>
        <v>0</v>
      </c>
      <c r="BO285" s="39">
        <f t="shared" si="75"/>
        <v>0</v>
      </c>
      <c r="BP285" s="1">
        <f t="shared" si="76"/>
        <v>0</v>
      </c>
      <c r="BQ285" s="1">
        <f t="shared" si="77"/>
        <v>0</v>
      </c>
      <c r="BR285" s="1" t="str">
        <f t="shared" si="78"/>
        <v/>
      </c>
      <c r="BS285" s="1">
        <f t="shared" si="79"/>
        <v>0</v>
      </c>
      <c r="BT285" s="4">
        <f t="shared" si="80"/>
        <v>0</v>
      </c>
      <c r="BU285" s="39">
        <f t="shared" si="81"/>
        <v>0</v>
      </c>
      <c r="BV285" s="1">
        <f t="shared" si="82"/>
        <v>0</v>
      </c>
      <c r="BW285">
        <f t="shared" si="83"/>
        <v>0</v>
      </c>
      <c r="BX285">
        <f t="shared" si="84"/>
        <v>0</v>
      </c>
    </row>
    <row r="286" spans="58:76" x14ac:dyDescent="0.25">
      <c r="BF286" s="1" t="e">
        <f>VLOOKUP(N286,'Incoming Material Report'!H:M,6,FALSE)</f>
        <v>#N/A</v>
      </c>
      <c r="BG286" s="1" t="e">
        <f>IF(VLOOKUP(N286,'Incoming Material Report'!H:N,7,FALSE)=0,"",VLOOKUP(N286,'Incoming Material Report'!H:N,7,FALSE))</f>
        <v>#N/A</v>
      </c>
      <c r="BH286" s="39">
        <f t="shared" si="68"/>
        <v>0</v>
      </c>
      <c r="BI286" s="1">
        <f t="shared" si="69"/>
        <v>0</v>
      </c>
      <c r="BJ286" s="1">
        <f t="shared" si="70"/>
        <v>0</v>
      </c>
      <c r="BK286" s="1">
        <f t="shared" si="71"/>
        <v>0</v>
      </c>
      <c r="BL286" s="1">
        <f t="shared" si="72"/>
        <v>0</v>
      </c>
      <c r="BM286" s="10" t="str">
        <f t="shared" si="73"/>
        <v/>
      </c>
      <c r="BN286" s="39">
        <f t="shared" si="74"/>
        <v>0</v>
      </c>
      <c r="BO286" s="39">
        <f t="shared" si="75"/>
        <v>0</v>
      </c>
      <c r="BP286" s="1">
        <f t="shared" si="76"/>
        <v>0</v>
      </c>
      <c r="BQ286" s="1">
        <f t="shared" si="77"/>
        <v>0</v>
      </c>
      <c r="BR286" s="1" t="str">
        <f t="shared" si="78"/>
        <v/>
      </c>
      <c r="BS286" s="1">
        <f t="shared" si="79"/>
        <v>0</v>
      </c>
      <c r="BT286" s="4">
        <f t="shared" si="80"/>
        <v>0</v>
      </c>
      <c r="BU286" s="39">
        <f t="shared" si="81"/>
        <v>0</v>
      </c>
      <c r="BV286" s="1">
        <f t="shared" si="82"/>
        <v>0</v>
      </c>
      <c r="BW286">
        <f t="shared" si="83"/>
        <v>0</v>
      </c>
      <c r="BX286">
        <f t="shared" si="84"/>
        <v>0</v>
      </c>
    </row>
    <row r="287" spans="58:76" x14ac:dyDescent="0.25">
      <c r="BF287" s="1" t="e">
        <f>VLOOKUP(N287,'Incoming Material Report'!H:M,6,FALSE)</f>
        <v>#N/A</v>
      </c>
      <c r="BG287" s="1" t="e">
        <f>IF(VLOOKUP(N287,'Incoming Material Report'!H:N,7,FALSE)=0,"",VLOOKUP(N287,'Incoming Material Report'!H:N,7,FALSE))</f>
        <v>#N/A</v>
      </c>
      <c r="BH287" s="39">
        <f t="shared" si="68"/>
        <v>0</v>
      </c>
      <c r="BI287" s="1">
        <f t="shared" si="69"/>
        <v>0</v>
      </c>
      <c r="BJ287" s="1">
        <f t="shared" si="70"/>
        <v>0</v>
      </c>
      <c r="BK287" s="1">
        <f t="shared" si="71"/>
        <v>0</v>
      </c>
      <c r="BL287" s="1">
        <f t="shared" si="72"/>
        <v>0</v>
      </c>
      <c r="BM287" s="10" t="str">
        <f t="shared" si="73"/>
        <v/>
      </c>
      <c r="BN287" s="39">
        <f t="shared" si="74"/>
        <v>0</v>
      </c>
      <c r="BO287" s="39">
        <f t="shared" si="75"/>
        <v>0</v>
      </c>
      <c r="BP287" s="1">
        <f t="shared" si="76"/>
        <v>0</v>
      </c>
      <c r="BQ287" s="1">
        <f t="shared" si="77"/>
        <v>0</v>
      </c>
      <c r="BR287" s="1" t="str">
        <f t="shared" si="78"/>
        <v/>
      </c>
      <c r="BS287" s="1">
        <f t="shared" si="79"/>
        <v>0</v>
      </c>
      <c r="BT287" s="4">
        <f t="shared" si="80"/>
        <v>0</v>
      </c>
      <c r="BU287" s="39">
        <f t="shared" si="81"/>
        <v>0</v>
      </c>
      <c r="BV287" s="1">
        <f t="shared" si="82"/>
        <v>0</v>
      </c>
      <c r="BW287">
        <f t="shared" si="83"/>
        <v>0</v>
      </c>
      <c r="BX287">
        <f t="shared" si="84"/>
        <v>0</v>
      </c>
    </row>
    <row r="288" spans="58:76" x14ac:dyDescent="0.25">
      <c r="BF288" s="1" t="e">
        <f>VLOOKUP(N288,'Incoming Material Report'!H:M,6,FALSE)</f>
        <v>#N/A</v>
      </c>
      <c r="BG288" s="1" t="e">
        <f>IF(VLOOKUP(N288,'Incoming Material Report'!H:N,7,FALSE)=0,"",VLOOKUP(N288,'Incoming Material Report'!H:N,7,FALSE))</f>
        <v>#N/A</v>
      </c>
      <c r="BH288" s="39">
        <f t="shared" si="68"/>
        <v>0</v>
      </c>
      <c r="BI288" s="1">
        <f t="shared" si="69"/>
        <v>0</v>
      </c>
      <c r="BJ288" s="1">
        <f t="shared" si="70"/>
        <v>0</v>
      </c>
      <c r="BK288" s="1">
        <f t="shared" si="71"/>
        <v>0</v>
      </c>
      <c r="BL288" s="1">
        <f t="shared" si="72"/>
        <v>0</v>
      </c>
      <c r="BM288" s="10" t="str">
        <f t="shared" si="73"/>
        <v/>
      </c>
      <c r="BN288" s="39">
        <f t="shared" si="74"/>
        <v>0</v>
      </c>
      <c r="BO288" s="39">
        <f t="shared" si="75"/>
        <v>0</v>
      </c>
      <c r="BP288" s="1">
        <f t="shared" si="76"/>
        <v>0</v>
      </c>
      <c r="BQ288" s="1">
        <f t="shared" si="77"/>
        <v>0</v>
      </c>
      <c r="BR288" s="1" t="str">
        <f t="shared" si="78"/>
        <v/>
      </c>
      <c r="BS288" s="1">
        <f t="shared" si="79"/>
        <v>0</v>
      </c>
      <c r="BT288" s="4">
        <f t="shared" si="80"/>
        <v>0</v>
      </c>
      <c r="BU288" s="39">
        <f t="shared" si="81"/>
        <v>0</v>
      </c>
      <c r="BV288" s="1">
        <f t="shared" si="82"/>
        <v>0</v>
      </c>
      <c r="BW288">
        <f t="shared" si="83"/>
        <v>0</v>
      </c>
      <c r="BX288">
        <f t="shared" si="84"/>
        <v>0</v>
      </c>
    </row>
    <row r="289" spans="58:76" x14ac:dyDescent="0.25">
      <c r="BF289" s="1" t="e">
        <f>VLOOKUP(N289,'Incoming Material Report'!H:M,6,FALSE)</f>
        <v>#N/A</v>
      </c>
      <c r="BG289" s="1" t="e">
        <f>IF(VLOOKUP(N289,'Incoming Material Report'!H:N,7,FALSE)=0,"",VLOOKUP(N289,'Incoming Material Report'!H:N,7,FALSE))</f>
        <v>#N/A</v>
      </c>
      <c r="BH289" s="39">
        <f t="shared" si="68"/>
        <v>0</v>
      </c>
      <c r="BI289" s="1">
        <f t="shared" si="69"/>
        <v>0</v>
      </c>
      <c r="BJ289" s="1">
        <f t="shared" si="70"/>
        <v>0</v>
      </c>
      <c r="BK289" s="1">
        <f t="shared" si="71"/>
        <v>0</v>
      </c>
      <c r="BL289" s="1">
        <f t="shared" si="72"/>
        <v>0</v>
      </c>
      <c r="BM289" s="10" t="str">
        <f t="shared" si="73"/>
        <v/>
      </c>
      <c r="BN289" s="39">
        <f t="shared" si="74"/>
        <v>0</v>
      </c>
      <c r="BO289" s="39">
        <f t="shared" si="75"/>
        <v>0</v>
      </c>
      <c r="BP289" s="1">
        <f t="shared" si="76"/>
        <v>0</v>
      </c>
      <c r="BQ289" s="1">
        <f t="shared" si="77"/>
        <v>0</v>
      </c>
      <c r="BR289" s="1" t="str">
        <f t="shared" si="78"/>
        <v/>
      </c>
      <c r="BS289" s="1">
        <f t="shared" si="79"/>
        <v>0</v>
      </c>
      <c r="BT289" s="4">
        <f t="shared" si="80"/>
        <v>0</v>
      </c>
      <c r="BU289" s="39">
        <f t="shared" si="81"/>
        <v>0</v>
      </c>
      <c r="BV289" s="1">
        <f t="shared" si="82"/>
        <v>0</v>
      </c>
      <c r="BW289">
        <f t="shared" si="83"/>
        <v>0</v>
      </c>
      <c r="BX289">
        <f t="shared" si="84"/>
        <v>0</v>
      </c>
    </row>
    <row r="290" spans="58:76" x14ac:dyDescent="0.25">
      <c r="BF290" s="1" t="e">
        <f>VLOOKUP(N290,'Incoming Material Report'!H:M,6,FALSE)</f>
        <v>#N/A</v>
      </c>
      <c r="BG290" s="1" t="e">
        <f>IF(VLOOKUP(N290,'Incoming Material Report'!H:N,7,FALSE)=0,"",VLOOKUP(N290,'Incoming Material Report'!H:N,7,FALSE))</f>
        <v>#N/A</v>
      </c>
      <c r="BH290" s="39">
        <f t="shared" si="68"/>
        <v>0</v>
      </c>
      <c r="BI290" s="1">
        <f t="shared" si="69"/>
        <v>0</v>
      </c>
      <c r="BJ290" s="1">
        <f t="shared" si="70"/>
        <v>0</v>
      </c>
      <c r="BK290" s="1">
        <f t="shared" si="71"/>
        <v>0</v>
      </c>
      <c r="BL290" s="1">
        <f t="shared" si="72"/>
        <v>0</v>
      </c>
      <c r="BM290" s="10" t="str">
        <f t="shared" si="73"/>
        <v/>
      </c>
      <c r="BN290" s="39">
        <f t="shared" si="74"/>
        <v>0</v>
      </c>
      <c r="BO290" s="39">
        <f t="shared" si="75"/>
        <v>0</v>
      </c>
      <c r="BP290" s="1">
        <f t="shared" si="76"/>
        <v>0</v>
      </c>
      <c r="BQ290" s="1">
        <f t="shared" si="77"/>
        <v>0</v>
      </c>
      <c r="BR290" s="1" t="str">
        <f t="shared" si="78"/>
        <v/>
      </c>
      <c r="BS290" s="1">
        <f t="shared" si="79"/>
        <v>0</v>
      </c>
      <c r="BT290" s="4">
        <f t="shared" si="80"/>
        <v>0</v>
      </c>
      <c r="BU290" s="39">
        <f t="shared" si="81"/>
        <v>0</v>
      </c>
      <c r="BV290" s="1">
        <f t="shared" si="82"/>
        <v>0</v>
      </c>
      <c r="BW290">
        <f t="shared" si="83"/>
        <v>0</v>
      </c>
      <c r="BX290">
        <f t="shared" si="84"/>
        <v>0</v>
      </c>
    </row>
    <row r="291" spans="58:76" x14ac:dyDescent="0.25">
      <c r="BF291" s="1" t="e">
        <f>VLOOKUP(N291,'Incoming Material Report'!H:M,6,FALSE)</f>
        <v>#N/A</v>
      </c>
      <c r="BG291" s="1" t="e">
        <f>IF(VLOOKUP(N291,'Incoming Material Report'!H:N,7,FALSE)=0,"",VLOOKUP(N291,'Incoming Material Report'!H:N,7,FALSE))</f>
        <v>#N/A</v>
      </c>
      <c r="BH291" s="39">
        <f t="shared" si="68"/>
        <v>0</v>
      </c>
      <c r="BI291" s="1">
        <f t="shared" si="69"/>
        <v>0</v>
      </c>
      <c r="BJ291" s="1">
        <f t="shared" si="70"/>
        <v>0</v>
      </c>
      <c r="BK291" s="1">
        <f t="shared" si="71"/>
        <v>0</v>
      </c>
      <c r="BL291" s="1">
        <f t="shared" si="72"/>
        <v>0</v>
      </c>
      <c r="BM291" s="10" t="str">
        <f t="shared" si="73"/>
        <v/>
      </c>
      <c r="BN291" s="39">
        <f t="shared" si="74"/>
        <v>0</v>
      </c>
      <c r="BO291" s="39">
        <f t="shared" si="75"/>
        <v>0</v>
      </c>
      <c r="BP291" s="1">
        <f t="shared" si="76"/>
        <v>0</v>
      </c>
      <c r="BQ291" s="1">
        <f t="shared" si="77"/>
        <v>0</v>
      </c>
      <c r="BR291" s="1" t="str">
        <f t="shared" si="78"/>
        <v/>
      </c>
      <c r="BS291" s="1">
        <f t="shared" si="79"/>
        <v>0</v>
      </c>
      <c r="BT291" s="4">
        <f t="shared" si="80"/>
        <v>0</v>
      </c>
      <c r="BU291" s="39">
        <f t="shared" si="81"/>
        <v>0</v>
      </c>
      <c r="BV291" s="1">
        <f t="shared" si="82"/>
        <v>0</v>
      </c>
      <c r="BW291">
        <f t="shared" si="83"/>
        <v>0</v>
      </c>
      <c r="BX291">
        <f t="shared" si="84"/>
        <v>0</v>
      </c>
    </row>
    <row r="292" spans="58:76" x14ac:dyDescent="0.25">
      <c r="BF292" s="1" t="e">
        <f>VLOOKUP(N292,'Incoming Material Report'!H:M,6,FALSE)</f>
        <v>#N/A</v>
      </c>
      <c r="BG292" s="1" t="e">
        <f>IF(VLOOKUP(N292,'Incoming Material Report'!H:N,7,FALSE)=0,"",VLOOKUP(N292,'Incoming Material Report'!H:N,7,FALSE))</f>
        <v>#N/A</v>
      </c>
      <c r="BH292" s="39">
        <f t="shared" si="68"/>
        <v>0</v>
      </c>
      <c r="BI292" s="1">
        <f t="shared" si="69"/>
        <v>0</v>
      </c>
      <c r="BJ292" s="1">
        <f t="shared" si="70"/>
        <v>0</v>
      </c>
      <c r="BK292" s="1">
        <f t="shared" si="71"/>
        <v>0</v>
      </c>
      <c r="BL292" s="1">
        <f t="shared" si="72"/>
        <v>0</v>
      </c>
      <c r="BM292" s="10" t="str">
        <f t="shared" si="73"/>
        <v/>
      </c>
      <c r="BN292" s="39">
        <f t="shared" si="74"/>
        <v>0</v>
      </c>
      <c r="BO292" s="39">
        <f t="shared" si="75"/>
        <v>0</v>
      </c>
      <c r="BP292" s="1">
        <f t="shared" si="76"/>
        <v>0</v>
      </c>
      <c r="BQ292" s="1">
        <f t="shared" si="77"/>
        <v>0</v>
      </c>
      <c r="BR292" s="1" t="str">
        <f t="shared" si="78"/>
        <v/>
      </c>
      <c r="BS292" s="1">
        <f t="shared" si="79"/>
        <v>0</v>
      </c>
      <c r="BT292" s="4">
        <f t="shared" si="80"/>
        <v>0</v>
      </c>
      <c r="BU292" s="39">
        <f t="shared" si="81"/>
        <v>0</v>
      </c>
      <c r="BV292" s="1">
        <f t="shared" si="82"/>
        <v>0</v>
      </c>
      <c r="BW292">
        <f t="shared" si="83"/>
        <v>0</v>
      </c>
      <c r="BX292">
        <f t="shared" si="84"/>
        <v>0</v>
      </c>
    </row>
    <row r="293" spans="58:76" x14ac:dyDescent="0.25">
      <c r="BF293" s="1" t="e">
        <f>VLOOKUP(N293,'Incoming Material Report'!H:M,6,FALSE)</f>
        <v>#N/A</v>
      </c>
      <c r="BG293" s="1" t="e">
        <f>IF(VLOOKUP(N293,'Incoming Material Report'!H:N,7,FALSE)=0,"",VLOOKUP(N293,'Incoming Material Report'!H:N,7,FALSE))</f>
        <v>#N/A</v>
      </c>
      <c r="BH293" s="39">
        <f t="shared" si="68"/>
        <v>0</v>
      </c>
      <c r="BI293" s="1">
        <f t="shared" si="69"/>
        <v>0</v>
      </c>
      <c r="BJ293" s="1">
        <f t="shared" si="70"/>
        <v>0</v>
      </c>
      <c r="BK293" s="1">
        <f t="shared" si="71"/>
        <v>0</v>
      </c>
      <c r="BL293" s="1">
        <f t="shared" si="72"/>
        <v>0</v>
      </c>
      <c r="BM293" s="10" t="str">
        <f t="shared" si="73"/>
        <v/>
      </c>
      <c r="BN293" s="39">
        <f t="shared" si="74"/>
        <v>0</v>
      </c>
      <c r="BO293" s="39">
        <f t="shared" si="75"/>
        <v>0</v>
      </c>
      <c r="BP293" s="1">
        <f t="shared" si="76"/>
        <v>0</v>
      </c>
      <c r="BQ293" s="1">
        <f t="shared" si="77"/>
        <v>0</v>
      </c>
      <c r="BR293" s="1" t="str">
        <f t="shared" si="78"/>
        <v/>
      </c>
      <c r="BS293" s="1">
        <f t="shared" si="79"/>
        <v>0</v>
      </c>
      <c r="BT293" s="4">
        <f t="shared" si="80"/>
        <v>0</v>
      </c>
      <c r="BU293" s="39">
        <f t="shared" si="81"/>
        <v>0</v>
      </c>
      <c r="BV293" s="1">
        <f t="shared" si="82"/>
        <v>0</v>
      </c>
      <c r="BW293">
        <f t="shared" si="83"/>
        <v>0</v>
      </c>
      <c r="BX293">
        <f t="shared" si="84"/>
        <v>0</v>
      </c>
    </row>
    <row r="294" spans="58:76" x14ac:dyDescent="0.25">
      <c r="BF294" s="1" t="e">
        <f>VLOOKUP(N294,'Incoming Material Report'!H:M,6,FALSE)</f>
        <v>#N/A</v>
      </c>
      <c r="BG294" s="1" t="e">
        <f>IF(VLOOKUP(N294,'Incoming Material Report'!H:N,7,FALSE)=0,"",VLOOKUP(N294,'Incoming Material Report'!H:N,7,FALSE))</f>
        <v>#N/A</v>
      </c>
      <c r="BH294" s="39">
        <f t="shared" si="68"/>
        <v>0</v>
      </c>
      <c r="BI294" s="1">
        <f t="shared" si="69"/>
        <v>0</v>
      </c>
      <c r="BJ294" s="1">
        <f t="shared" si="70"/>
        <v>0</v>
      </c>
      <c r="BK294" s="1">
        <f t="shared" si="71"/>
        <v>0</v>
      </c>
      <c r="BL294" s="1">
        <f t="shared" si="72"/>
        <v>0</v>
      </c>
      <c r="BM294" s="10" t="str">
        <f t="shared" si="73"/>
        <v/>
      </c>
      <c r="BN294" s="39">
        <f t="shared" si="74"/>
        <v>0</v>
      </c>
      <c r="BO294" s="39">
        <f t="shared" si="75"/>
        <v>0</v>
      </c>
      <c r="BP294" s="1">
        <f t="shared" si="76"/>
        <v>0</v>
      </c>
      <c r="BQ294" s="1">
        <f t="shared" si="77"/>
        <v>0</v>
      </c>
      <c r="BR294" s="1" t="str">
        <f t="shared" si="78"/>
        <v/>
      </c>
      <c r="BS294" s="1">
        <f t="shared" si="79"/>
        <v>0</v>
      </c>
      <c r="BT294" s="4">
        <f t="shared" si="80"/>
        <v>0</v>
      </c>
      <c r="BU294" s="39">
        <f t="shared" si="81"/>
        <v>0</v>
      </c>
      <c r="BV294" s="1">
        <f t="shared" si="82"/>
        <v>0</v>
      </c>
      <c r="BW294">
        <f t="shared" si="83"/>
        <v>0</v>
      </c>
      <c r="BX294">
        <f t="shared" si="84"/>
        <v>0</v>
      </c>
    </row>
    <row r="295" spans="58:76" x14ac:dyDescent="0.25">
      <c r="BF295" s="1" t="e">
        <f>VLOOKUP(N295,'Incoming Material Report'!H:M,6,FALSE)</f>
        <v>#N/A</v>
      </c>
      <c r="BG295" s="1" t="e">
        <f>IF(VLOOKUP(N295,'Incoming Material Report'!H:N,7,FALSE)=0,"",VLOOKUP(N295,'Incoming Material Report'!H:N,7,FALSE))</f>
        <v>#N/A</v>
      </c>
      <c r="BH295" s="39">
        <f t="shared" si="68"/>
        <v>0</v>
      </c>
      <c r="BI295" s="1">
        <f t="shared" si="69"/>
        <v>0</v>
      </c>
      <c r="BJ295" s="1">
        <f t="shared" si="70"/>
        <v>0</v>
      </c>
      <c r="BK295" s="1">
        <f t="shared" si="71"/>
        <v>0</v>
      </c>
      <c r="BL295" s="1">
        <f t="shared" si="72"/>
        <v>0</v>
      </c>
      <c r="BM295" s="10" t="str">
        <f t="shared" si="73"/>
        <v/>
      </c>
      <c r="BN295" s="39">
        <f t="shared" si="74"/>
        <v>0</v>
      </c>
      <c r="BO295" s="39">
        <f t="shared" si="75"/>
        <v>0</v>
      </c>
      <c r="BP295" s="1">
        <f t="shared" si="76"/>
        <v>0</v>
      </c>
      <c r="BQ295" s="1">
        <f t="shared" si="77"/>
        <v>0</v>
      </c>
      <c r="BR295" s="1" t="str">
        <f t="shared" si="78"/>
        <v/>
      </c>
      <c r="BS295" s="1">
        <f t="shared" si="79"/>
        <v>0</v>
      </c>
      <c r="BT295" s="4">
        <f t="shared" si="80"/>
        <v>0</v>
      </c>
      <c r="BU295" s="39">
        <f t="shared" si="81"/>
        <v>0</v>
      </c>
      <c r="BV295" s="1">
        <f t="shared" si="82"/>
        <v>0</v>
      </c>
      <c r="BW295">
        <f t="shared" si="83"/>
        <v>0</v>
      </c>
      <c r="BX295">
        <f t="shared" si="84"/>
        <v>0</v>
      </c>
    </row>
    <row r="296" spans="58:76" x14ac:dyDescent="0.25">
      <c r="BF296" s="1" t="e">
        <f>VLOOKUP(N296,'Incoming Material Report'!H:M,6,FALSE)</f>
        <v>#N/A</v>
      </c>
      <c r="BG296" s="1" t="e">
        <f>IF(VLOOKUP(N296,'Incoming Material Report'!H:N,7,FALSE)=0,"",VLOOKUP(N296,'Incoming Material Report'!H:N,7,FALSE))</f>
        <v>#N/A</v>
      </c>
      <c r="BH296" s="39">
        <f t="shared" si="68"/>
        <v>0</v>
      </c>
      <c r="BI296" s="1">
        <f t="shared" si="69"/>
        <v>0</v>
      </c>
      <c r="BJ296" s="1">
        <f t="shared" si="70"/>
        <v>0</v>
      </c>
      <c r="BK296" s="1">
        <f t="shared" si="71"/>
        <v>0</v>
      </c>
      <c r="BL296" s="1">
        <f t="shared" si="72"/>
        <v>0</v>
      </c>
      <c r="BM296" s="10" t="str">
        <f t="shared" si="73"/>
        <v/>
      </c>
      <c r="BN296" s="39">
        <f t="shared" si="74"/>
        <v>0</v>
      </c>
      <c r="BO296" s="39">
        <f t="shared" si="75"/>
        <v>0</v>
      </c>
      <c r="BP296" s="1">
        <f t="shared" si="76"/>
        <v>0</v>
      </c>
      <c r="BQ296" s="1">
        <f t="shared" si="77"/>
        <v>0</v>
      </c>
      <c r="BR296" s="1" t="str">
        <f t="shared" si="78"/>
        <v/>
      </c>
      <c r="BS296" s="1">
        <f t="shared" si="79"/>
        <v>0</v>
      </c>
      <c r="BT296" s="4">
        <f t="shared" si="80"/>
        <v>0</v>
      </c>
      <c r="BU296" s="39">
        <f t="shared" si="81"/>
        <v>0</v>
      </c>
      <c r="BV296" s="1">
        <f t="shared" si="82"/>
        <v>0</v>
      </c>
      <c r="BW296">
        <f t="shared" si="83"/>
        <v>0</v>
      </c>
      <c r="BX296">
        <f t="shared" si="84"/>
        <v>0</v>
      </c>
    </row>
    <row r="297" spans="58:76" x14ac:dyDescent="0.25">
      <c r="BF297" s="1" t="e">
        <f>VLOOKUP(N297,'Incoming Material Report'!H:M,6,FALSE)</f>
        <v>#N/A</v>
      </c>
      <c r="BG297" s="1" t="e">
        <f>IF(VLOOKUP(N297,'Incoming Material Report'!H:N,7,FALSE)=0,"",VLOOKUP(N297,'Incoming Material Report'!H:N,7,FALSE))</f>
        <v>#N/A</v>
      </c>
      <c r="BH297" s="39">
        <f t="shared" si="68"/>
        <v>0</v>
      </c>
      <c r="BI297" s="1">
        <f t="shared" si="69"/>
        <v>0</v>
      </c>
      <c r="BJ297" s="1">
        <f t="shared" si="70"/>
        <v>0</v>
      </c>
      <c r="BK297" s="1">
        <f t="shared" si="71"/>
        <v>0</v>
      </c>
      <c r="BL297" s="1">
        <f t="shared" si="72"/>
        <v>0</v>
      </c>
      <c r="BM297" s="10" t="str">
        <f t="shared" si="73"/>
        <v/>
      </c>
      <c r="BN297" s="39">
        <f t="shared" si="74"/>
        <v>0</v>
      </c>
      <c r="BO297" s="39">
        <f t="shared" si="75"/>
        <v>0</v>
      </c>
      <c r="BP297" s="1">
        <f t="shared" si="76"/>
        <v>0</v>
      </c>
      <c r="BQ297" s="1">
        <f t="shared" si="77"/>
        <v>0</v>
      </c>
      <c r="BR297" s="1" t="str">
        <f t="shared" si="78"/>
        <v/>
      </c>
      <c r="BS297" s="1">
        <f t="shared" si="79"/>
        <v>0</v>
      </c>
      <c r="BT297" s="4">
        <f t="shared" si="80"/>
        <v>0</v>
      </c>
      <c r="BU297" s="39">
        <f t="shared" si="81"/>
        <v>0</v>
      </c>
      <c r="BV297" s="1">
        <f t="shared" si="82"/>
        <v>0</v>
      </c>
      <c r="BW297">
        <f t="shared" si="83"/>
        <v>0</v>
      </c>
      <c r="BX297">
        <f t="shared" si="84"/>
        <v>0</v>
      </c>
    </row>
    <row r="298" spans="58:76" x14ac:dyDescent="0.25">
      <c r="BF298" s="1" t="e">
        <f>VLOOKUP(N298,'Incoming Material Report'!H:M,6,FALSE)</f>
        <v>#N/A</v>
      </c>
      <c r="BG298" s="1" t="e">
        <f>IF(VLOOKUP(N298,'Incoming Material Report'!H:N,7,FALSE)=0,"",VLOOKUP(N298,'Incoming Material Report'!H:N,7,FALSE))</f>
        <v>#N/A</v>
      </c>
      <c r="BH298" s="39">
        <f t="shared" si="68"/>
        <v>0</v>
      </c>
      <c r="BI298" s="1">
        <f t="shared" si="69"/>
        <v>0</v>
      </c>
      <c r="BJ298" s="1">
        <f t="shared" si="70"/>
        <v>0</v>
      </c>
      <c r="BK298" s="1">
        <f t="shared" si="71"/>
        <v>0</v>
      </c>
      <c r="BL298" s="1">
        <f t="shared" si="72"/>
        <v>0</v>
      </c>
      <c r="BM298" s="10" t="str">
        <f t="shared" si="73"/>
        <v/>
      </c>
      <c r="BN298" s="39">
        <f t="shared" si="74"/>
        <v>0</v>
      </c>
      <c r="BO298" s="39">
        <f t="shared" si="75"/>
        <v>0</v>
      </c>
      <c r="BP298" s="1">
        <f t="shared" si="76"/>
        <v>0</v>
      </c>
      <c r="BQ298" s="1">
        <f t="shared" si="77"/>
        <v>0</v>
      </c>
      <c r="BR298" s="1" t="str">
        <f t="shared" si="78"/>
        <v/>
      </c>
      <c r="BS298" s="1">
        <f t="shared" si="79"/>
        <v>0</v>
      </c>
      <c r="BT298" s="4">
        <f t="shared" si="80"/>
        <v>0</v>
      </c>
      <c r="BU298" s="39">
        <f t="shared" si="81"/>
        <v>0</v>
      </c>
      <c r="BV298" s="1">
        <f t="shared" si="82"/>
        <v>0</v>
      </c>
      <c r="BW298">
        <f t="shared" si="83"/>
        <v>0</v>
      </c>
      <c r="BX298">
        <f t="shared" si="84"/>
        <v>0</v>
      </c>
    </row>
    <row r="299" spans="58:76" x14ac:dyDescent="0.25">
      <c r="BF299" s="1" t="e">
        <f>VLOOKUP(N299,'Incoming Material Report'!H:M,6,FALSE)</f>
        <v>#N/A</v>
      </c>
      <c r="BG299" s="1" t="e">
        <f>IF(VLOOKUP(N299,'Incoming Material Report'!H:N,7,FALSE)=0,"",VLOOKUP(N299,'Incoming Material Report'!H:N,7,FALSE))</f>
        <v>#N/A</v>
      </c>
      <c r="BH299" s="39">
        <f t="shared" si="68"/>
        <v>0</v>
      </c>
      <c r="BI299" s="1">
        <f t="shared" si="69"/>
        <v>0</v>
      </c>
      <c r="BJ299" s="1">
        <f t="shared" si="70"/>
        <v>0</v>
      </c>
      <c r="BK299" s="1">
        <f t="shared" si="71"/>
        <v>0</v>
      </c>
      <c r="BL299" s="1">
        <f t="shared" si="72"/>
        <v>0</v>
      </c>
      <c r="BM299" s="10" t="str">
        <f t="shared" si="73"/>
        <v/>
      </c>
      <c r="BN299" s="39">
        <f t="shared" si="74"/>
        <v>0</v>
      </c>
      <c r="BO299" s="39">
        <f t="shared" si="75"/>
        <v>0</v>
      </c>
      <c r="BP299" s="1">
        <f t="shared" si="76"/>
        <v>0</v>
      </c>
      <c r="BQ299" s="1">
        <f t="shared" si="77"/>
        <v>0</v>
      </c>
      <c r="BR299" s="1" t="str">
        <f t="shared" si="78"/>
        <v/>
      </c>
      <c r="BS299" s="1">
        <f t="shared" si="79"/>
        <v>0</v>
      </c>
      <c r="BT299" s="4">
        <f t="shared" si="80"/>
        <v>0</v>
      </c>
      <c r="BU299" s="39">
        <f t="shared" si="81"/>
        <v>0</v>
      </c>
      <c r="BV299" s="1">
        <f t="shared" si="82"/>
        <v>0</v>
      </c>
      <c r="BW299">
        <f t="shared" si="83"/>
        <v>0</v>
      </c>
      <c r="BX299">
        <f t="shared" si="84"/>
        <v>0</v>
      </c>
    </row>
    <row r="300" spans="58:76" x14ac:dyDescent="0.25">
      <c r="BF300" s="1" t="e">
        <f>VLOOKUP(N300,'Incoming Material Report'!H:M,6,FALSE)</f>
        <v>#N/A</v>
      </c>
      <c r="BG300" s="1" t="e">
        <f>IF(VLOOKUP(N300,'Incoming Material Report'!H:N,7,FALSE)=0,"",VLOOKUP(N300,'Incoming Material Report'!H:N,7,FALSE))</f>
        <v>#N/A</v>
      </c>
      <c r="BH300" s="39">
        <f t="shared" si="68"/>
        <v>0</v>
      </c>
      <c r="BI300" s="1">
        <f t="shared" si="69"/>
        <v>0</v>
      </c>
      <c r="BJ300" s="1">
        <f t="shared" si="70"/>
        <v>0</v>
      </c>
      <c r="BK300" s="1">
        <f t="shared" si="71"/>
        <v>0</v>
      </c>
      <c r="BL300" s="1">
        <f t="shared" si="72"/>
        <v>0</v>
      </c>
      <c r="BM300" s="10" t="str">
        <f t="shared" si="73"/>
        <v/>
      </c>
      <c r="BN300" s="39">
        <f t="shared" si="74"/>
        <v>0</v>
      </c>
      <c r="BO300" s="39">
        <f t="shared" si="75"/>
        <v>0</v>
      </c>
      <c r="BP300" s="1">
        <f t="shared" si="76"/>
        <v>0</v>
      </c>
      <c r="BQ300" s="1">
        <f t="shared" si="77"/>
        <v>0</v>
      </c>
      <c r="BR300" s="1" t="str">
        <f t="shared" si="78"/>
        <v/>
      </c>
      <c r="BS300" s="1">
        <f t="shared" si="79"/>
        <v>0</v>
      </c>
      <c r="BT300" s="4">
        <f t="shared" si="80"/>
        <v>0</v>
      </c>
      <c r="BU300" s="39">
        <f t="shared" si="81"/>
        <v>0</v>
      </c>
      <c r="BV300" s="1">
        <f t="shared" si="82"/>
        <v>0</v>
      </c>
      <c r="BW300">
        <f t="shared" si="83"/>
        <v>0</v>
      </c>
      <c r="BX300">
        <f t="shared" si="84"/>
        <v>0</v>
      </c>
    </row>
    <row r="301" spans="58:76" x14ac:dyDescent="0.25">
      <c r="BF301" s="1" t="e">
        <f>VLOOKUP(N301,'Incoming Material Report'!H:M,6,FALSE)</f>
        <v>#N/A</v>
      </c>
      <c r="BG301" s="1" t="e">
        <f>IF(VLOOKUP(N301,'Incoming Material Report'!H:N,7,FALSE)=0,"",VLOOKUP(N301,'Incoming Material Report'!H:N,7,FALSE))</f>
        <v>#N/A</v>
      </c>
      <c r="BH301" s="39">
        <f t="shared" si="68"/>
        <v>0</v>
      </c>
      <c r="BI301" s="1">
        <f t="shared" si="69"/>
        <v>0</v>
      </c>
      <c r="BJ301" s="1">
        <f t="shared" si="70"/>
        <v>0</v>
      </c>
      <c r="BK301" s="1">
        <f t="shared" si="71"/>
        <v>0</v>
      </c>
      <c r="BL301" s="1">
        <f t="shared" si="72"/>
        <v>0</v>
      </c>
      <c r="BM301" s="10" t="str">
        <f t="shared" si="73"/>
        <v/>
      </c>
      <c r="BN301" s="39">
        <f t="shared" si="74"/>
        <v>0</v>
      </c>
      <c r="BO301" s="39">
        <f t="shared" si="75"/>
        <v>0</v>
      </c>
      <c r="BP301" s="1">
        <f t="shared" si="76"/>
        <v>0</v>
      </c>
      <c r="BQ301" s="1">
        <f t="shared" si="77"/>
        <v>0</v>
      </c>
      <c r="BR301" s="1" t="str">
        <f t="shared" si="78"/>
        <v/>
      </c>
      <c r="BS301" s="1">
        <f t="shared" si="79"/>
        <v>0</v>
      </c>
      <c r="BT301" s="4">
        <f t="shared" si="80"/>
        <v>0</v>
      </c>
      <c r="BU301" s="39">
        <f t="shared" si="81"/>
        <v>0</v>
      </c>
      <c r="BV301" s="1">
        <f t="shared" si="82"/>
        <v>0</v>
      </c>
      <c r="BW301">
        <f t="shared" si="83"/>
        <v>0</v>
      </c>
      <c r="BX301">
        <f t="shared" si="84"/>
        <v>0</v>
      </c>
    </row>
    <row r="302" spans="58:76" x14ac:dyDescent="0.25">
      <c r="BF302" s="1" t="e">
        <f>VLOOKUP(N302,'Incoming Material Report'!H:M,6,FALSE)</f>
        <v>#N/A</v>
      </c>
      <c r="BG302" s="1" t="e">
        <f>IF(VLOOKUP(N302,'Incoming Material Report'!H:N,7,FALSE)=0,"",VLOOKUP(N302,'Incoming Material Report'!H:N,7,FALSE))</f>
        <v>#N/A</v>
      </c>
      <c r="BH302" s="39">
        <f t="shared" si="68"/>
        <v>0</v>
      </c>
      <c r="BI302" s="1">
        <f t="shared" si="69"/>
        <v>0</v>
      </c>
      <c r="BJ302" s="1">
        <f t="shared" si="70"/>
        <v>0</v>
      </c>
      <c r="BK302" s="1">
        <f t="shared" si="71"/>
        <v>0</v>
      </c>
      <c r="BL302" s="1">
        <f t="shared" si="72"/>
        <v>0</v>
      </c>
      <c r="BM302" s="10" t="str">
        <f t="shared" si="73"/>
        <v/>
      </c>
      <c r="BN302" s="39">
        <f t="shared" si="74"/>
        <v>0</v>
      </c>
      <c r="BO302" s="39">
        <f t="shared" si="75"/>
        <v>0</v>
      </c>
      <c r="BP302" s="1">
        <f t="shared" si="76"/>
        <v>0</v>
      </c>
      <c r="BQ302" s="1">
        <f t="shared" si="77"/>
        <v>0</v>
      </c>
      <c r="BR302" s="1" t="str">
        <f t="shared" si="78"/>
        <v/>
      </c>
      <c r="BS302" s="1">
        <f t="shared" si="79"/>
        <v>0</v>
      </c>
      <c r="BT302" s="4">
        <f t="shared" si="80"/>
        <v>0</v>
      </c>
      <c r="BU302" s="39">
        <f t="shared" si="81"/>
        <v>0</v>
      </c>
      <c r="BV302" s="1">
        <f t="shared" si="82"/>
        <v>0</v>
      </c>
      <c r="BW302">
        <f t="shared" si="83"/>
        <v>0</v>
      </c>
      <c r="BX302">
        <f t="shared" si="84"/>
        <v>0</v>
      </c>
    </row>
    <row r="303" spans="58:76" x14ac:dyDescent="0.25">
      <c r="BF303" s="1" t="e">
        <f>VLOOKUP(N303,'Incoming Material Report'!H:M,6,FALSE)</f>
        <v>#N/A</v>
      </c>
      <c r="BG303" s="1" t="e">
        <f>IF(VLOOKUP(N303,'Incoming Material Report'!H:N,7,FALSE)=0,"",VLOOKUP(N303,'Incoming Material Report'!H:N,7,FALSE))</f>
        <v>#N/A</v>
      </c>
      <c r="BH303" s="39">
        <f t="shared" si="68"/>
        <v>0</v>
      </c>
      <c r="BI303" s="1">
        <f t="shared" si="69"/>
        <v>0</v>
      </c>
      <c r="BJ303" s="1">
        <f t="shared" si="70"/>
        <v>0</v>
      </c>
      <c r="BK303" s="1">
        <f t="shared" si="71"/>
        <v>0</v>
      </c>
      <c r="BL303" s="1">
        <f t="shared" si="72"/>
        <v>0</v>
      </c>
      <c r="BM303" s="10" t="str">
        <f t="shared" si="73"/>
        <v/>
      </c>
      <c r="BN303" s="39">
        <f t="shared" si="74"/>
        <v>0</v>
      </c>
      <c r="BO303" s="39">
        <f t="shared" si="75"/>
        <v>0</v>
      </c>
      <c r="BP303" s="1">
        <f t="shared" si="76"/>
        <v>0</v>
      </c>
      <c r="BQ303" s="1">
        <f t="shared" si="77"/>
        <v>0</v>
      </c>
      <c r="BR303" s="1" t="str">
        <f t="shared" si="78"/>
        <v/>
      </c>
      <c r="BS303" s="1">
        <f t="shared" si="79"/>
        <v>0</v>
      </c>
      <c r="BT303" s="4">
        <f t="shared" si="80"/>
        <v>0</v>
      </c>
      <c r="BU303" s="39">
        <f t="shared" si="81"/>
        <v>0</v>
      </c>
      <c r="BV303" s="1">
        <f t="shared" si="82"/>
        <v>0</v>
      </c>
      <c r="BW303">
        <f t="shared" si="83"/>
        <v>0</v>
      </c>
      <c r="BX303">
        <f t="shared" si="84"/>
        <v>0</v>
      </c>
    </row>
    <row r="304" spans="58:76" x14ac:dyDescent="0.25">
      <c r="BF304" s="1" t="e">
        <f>VLOOKUP(N304,'Incoming Material Report'!H:M,6,FALSE)</f>
        <v>#N/A</v>
      </c>
      <c r="BG304" s="1" t="e">
        <f>IF(VLOOKUP(N304,'Incoming Material Report'!H:N,7,FALSE)=0,"",VLOOKUP(N304,'Incoming Material Report'!H:N,7,FALSE))</f>
        <v>#N/A</v>
      </c>
      <c r="BH304" s="39">
        <f t="shared" si="68"/>
        <v>0</v>
      </c>
      <c r="BI304" s="1">
        <f t="shared" si="69"/>
        <v>0</v>
      </c>
      <c r="BJ304" s="1">
        <f t="shared" si="70"/>
        <v>0</v>
      </c>
      <c r="BK304" s="1">
        <f t="shared" si="71"/>
        <v>0</v>
      </c>
      <c r="BL304" s="1">
        <f t="shared" si="72"/>
        <v>0</v>
      </c>
      <c r="BM304" s="10" t="str">
        <f t="shared" si="73"/>
        <v/>
      </c>
      <c r="BN304" s="39">
        <f t="shared" si="74"/>
        <v>0</v>
      </c>
      <c r="BO304" s="39">
        <f t="shared" si="75"/>
        <v>0</v>
      </c>
      <c r="BP304" s="1">
        <f t="shared" si="76"/>
        <v>0</v>
      </c>
      <c r="BQ304" s="1">
        <f t="shared" si="77"/>
        <v>0</v>
      </c>
      <c r="BR304" s="1" t="str">
        <f t="shared" si="78"/>
        <v/>
      </c>
      <c r="BS304" s="1">
        <f t="shared" si="79"/>
        <v>0</v>
      </c>
      <c r="BT304" s="4">
        <f t="shared" si="80"/>
        <v>0</v>
      </c>
      <c r="BU304" s="39">
        <f t="shared" si="81"/>
        <v>0</v>
      </c>
      <c r="BV304" s="1">
        <f t="shared" si="82"/>
        <v>0</v>
      </c>
      <c r="BW304">
        <f t="shared" si="83"/>
        <v>0</v>
      </c>
      <c r="BX304">
        <f t="shared" si="84"/>
        <v>0</v>
      </c>
    </row>
    <row r="305" spans="58:76" x14ac:dyDescent="0.25">
      <c r="BF305" s="1" t="e">
        <f>VLOOKUP(N305,'Incoming Material Report'!H:M,6,FALSE)</f>
        <v>#N/A</v>
      </c>
      <c r="BG305" s="1" t="e">
        <f>IF(VLOOKUP(N305,'Incoming Material Report'!H:N,7,FALSE)=0,"",VLOOKUP(N305,'Incoming Material Report'!H:N,7,FALSE))</f>
        <v>#N/A</v>
      </c>
      <c r="BH305" s="39">
        <f t="shared" si="68"/>
        <v>0</v>
      </c>
      <c r="BI305" s="1">
        <f t="shared" si="69"/>
        <v>0</v>
      </c>
      <c r="BJ305" s="1">
        <f t="shared" si="70"/>
        <v>0</v>
      </c>
      <c r="BK305" s="1">
        <f t="shared" si="71"/>
        <v>0</v>
      </c>
      <c r="BL305" s="1">
        <f t="shared" si="72"/>
        <v>0</v>
      </c>
      <c r="BM305" s="10" t="str">
        <f t="shared" si="73"/>
        <v/>
      </c>
      <c r="BN305" s="39">
        <f t="shared" si="74"/>
        <v>0</v>
      </c>
      <c r="BO305" s="39">
        <f t="shared" si="75"/>
        <v>0</v>
      </c>
      <c r="BP305" s="1">
        <f t="shared" si="76"/>
        <v>0</v>
      </c>
      <c r="BQ305" s="1">
        <f t="shared" si="77"/>
        <v>0</v>
      </c>
      <c r="BR305" s="1" t="str">
        <f t="shared" si="78"/>
        <v/>
      </c>
      <c r="BS305" s="1">
        <f t="shared" si="79"/>
        <v>0</v>
      </c>
      <c r="BT305" s="4">
        <f t="shared" si="80"/>
        <v>0</v>
      </c>
      <c r="BU305" s="39">
        <f t="shared" si="81"/>
        <v>0</v>
      </c>
      <c r="BV305" s="1">
        <f t="shared" si="82"/>
        <v>0</v>
      </c>
      <c r="BW305">
        <f t="shared" si="83"/>
        <v>0</v>
      </c>
      <c r="BX305">
        <f t="shared" si="84"/>
        <v>0</v>
      </c>
    </row>
    <row r="306" spans="58:76" x14ac:dyDescent="0.25">
      <c r="BF306" s="1" t="e">
        <f>VLOOKUP(N306,'Incoming Material Report'!H:M,6,FALSE)</f>
        <v>#N/A</v>
      </c>
      <c r="BG306" s="1" t="e">
        <f>IF(VLOOKUP(N306,'Incoming Material Report'!H:N,7,FALSE)=0,"",VLOOKUP(N306,'Incoming Material Report'!H:N,7,FALSE))</f>
        <v>#N/A</v>
      </c>
      <c r="BH306" s="39">
        <f t="shared" si="68"/>
        <v>0</v>
      </c>
      <c r="BI306" s="1">
        <f t="shared" si="69"/>
        <v>0</v>
      </c>
      <c r="BJ306" s="1">
        <f t="shared" si="70"/>
        <v>0</v>
      </c>
      <c r="BK306" s="1">
        <f t="shared" si="71"/>
        <v>0</v>
      </c>
      <c r="BL306" s="1">
        <f t="shared" si="72"/>
        <v>0</v>
      </c>
      <c r="BM306" s="10" t="str">
        <f t="shared" si="73"/>
        <v/>
      </c>
      <c r="BN306" s="39">
        <f t="shared" si="74"/>
        <v>0</v>
      </c>
      <c r="BO306" s="39">
        <f t="shared" si="75"/>
        <v>0</v>
      </c>
      <c r="BP306" s="1">
        <f t="shared" si="76"/>
        <v>0</v>
      </c>
      <c r="BQ306" s="1">
        <f t="shared" si="77"/>
        <v>0</v>
      </c>
      <c r="BR306" s="1" t="str">
        <f t="shared" si="78"/>
        <v/>
      </c>
      <c r="BS306" s="1">
        <f t="shared" si="79"/>
        <v>0</v>
      </c>
      <c r="BT306" s="4">
        <f t="shared" si="80"/>
        <v>0</v>
      </c>
      <c r="BU306" s="39">
        <f t="shared" si="81"/>
        <v>0</v>
      </c>
      <c r="BV306" s="1">
        <f t="shared" si="82"/>
        <v>0</v>
      </c>
      <c r="BW306">
        <f t="shared" si="83"/>
        <v>0</v>
      </c>
      <c r="BX306">
        <f t="shared" si="84"/>
        <v>0</v>
      </c>
    </row>
    <row r="307" spans="58:76" x14ac:dyDescent="0.25">
      <c r="BF307" s="1" t="e">
        <f>VLOOKUP(N307,'Incoming Material Report'!H:M,6,FALSE)</f>
        <v>#N/A</v>
      </c>
      <c r="BG307" s="1" t="e">
        <f>IF(VLOOKUP(N307,'Incoming Material Report'!H:N,7,FALSE)=0,"",VLOOKUP(N307,'Incoming Material Report'!H:N,7,FALSE))</f>
        <v>#N/A</v>
      </c>
      <c r="BH307" s="39">
        <f t="shared" si="68"/>
        <v>0</v>
      </c>
      <c r="BI307" s="1">
        <f t="shared" si="69"/>
        <v>0</v>
      </c>
      <c r="BJ307" s="1">
        <f t="shared" si="70"/>
        <v>0</v>
      </c>
      <c r="BK307" s="1">
        <f t="shared" si="71"/>
        <v>0</v>
      </c>
      <c r="BL307" s="1">
        <f t="shared" si="72"/>
        <v>0</v>
      </c>
      <c r="BM307" s="10" t="str">
        <f t="shared" si="73"/>
        <v/>
      </c>
      <c r="BN307" s="39">
        <f t="shared" si="74"/>
        <v>0</v>
      </c>
      <c r="BO307" s="39">
        <f t="shared" si="75"/>
        <v>0</v>
      </c>
      <c r="BP307" s="1">
        <f t="shared" si="76"/>
        <v>0</v>
      </c>
      <c r="BQ307" s="1">
        <f t="shared" si="77"/>
        <v>0</v>
      </c>
      <c r="BR307" s="1" t="str">
        <f t="shared" si="78"/>
        <v/>
      </c>
      <c r="BS307" s="1">
        <f t="shared" si="79"/>
        <v>0</v>
      </c>
      <c r="BT307" s="4">
        <f t="shared" si="80"/>
        <v>0</v>
      </c>
      <c r="BU307" s="39">
        <f t="shared" si="81"/>
        <v>0</v>
      </c>
      <c r="BV307" s="1">
        <f t="shared" si="82"/>
        <v>0</v>
      </c>
      <c r="BW307">
        <f t="shared" si="83"/>
        <v>0</v>
      </c>
      <c r="BX307">
        <f t="shared" si="84"/>
        <v>0</v>
      </c>
    </row>
    <row r="308" spans="58:76" x14ac:dyDescent="0.25">
      <c r="BF308" s="1" t="e">
        <f>VLOOKUP(N308,'Incoming Material Report'!H:M,6,FALSE)</f>
        <v>#N/A</v>
      </c>
      <c r="BG308" s="1" t="e">
        <f>IF(VLOOKUP(N308,'Incoming Material Report'!H:N,7,FALSE)=0,"",VLOOKUP(N308,'Incoming Material Report'!H:N,7,FALSE))</f>
        <v>#N/A</v>
      </c>
      <c r="BH308" s="39">
        <f t="shared" si="68"/>
        <v>0</v>
      </c>
      <c r="BI308" s="1">
        <f t="shared" si="69"/>
        <v>0</v>
      </c>
      <c r="BJ308" s="1">
        <f t="shared" si="70"/>
        <v>0</v>
      </c>
      <c r="BK308" s="1">
        <f t="shared" si="71"/>
        <v>0</v>
      </c>
      <c r="BL308" s="1">
        <f t="shared" si="72"/>
        <v>0</v>
      </c>
      <c r="BM308" s="10" t="str">
        <f t="shared" si="73"/>
        <v/>
      </c>
      <c r="BN308" s="39">
        <f t="shared" si="74"/>
        <v>0</v>
      </c>
      <c r="BO308" s="39">
        <f t="shared" si="75"/>
        <v>0</v>
      </c>
      <c r="BP308" s="1">
        <f t="shared" si="76"/>
        <v>0</v>
      </c>
      <c r="BQ308" s="1">
        <f t="shared" si="77"/>
        <v>0</v>
      </c>
      <c r="BR308" s="1" t="str">
        <f t="shared" si="78"/>
        <v/>
      </c>
      <c r="BS308" s="1">
        <f t="shared" si="79"/>
        <v>0</v>
      </c>
      <c r="BT308" s="4">
        <f t="shared" si="80"/>
        <v>0</v>
      </c>
      <c r="BU308" s="39">
        <f t="shared" si="81"/>
        <v>0</v>
      </c>
      <c r="BV308" s="1">
        <f t="shared" si="82"/>
        <v>0</v>
      </c>
      <c r="BW308">
        <f t="shared" si="83"/>
        <v>0</v>
      </c>
      <c r="BX308">
        <f t="shared" si="84"/>
        <v>0</v>
      </c>
    </row>
    <row r="309" spans="58:76" x14ac:dyDescent="0.25">
      <c r="BF309" s="1" t="e">
        <f>VLOOKUP(N309,'Incoming Material Report'!H:M,6,FALSE)</f>
        <v>#N/A</v>
      </c>
      <c r="BG309" s="1" t="e">
        <f>IF(VLOOKUP(N309,'Incoming Material Report'!H:N,7,FALSE)=0,"",VLOOKUP(N309,'Incoming Material Report'!H:N,7,FALSE))</f>
        <v>#N/A</v>
      </c>
      <c r="BH309" s="39">
        <f t="shared" si="68"/>
        <v>0</v>
      </c>
      <c r="BI309" s="1">
        <f t="shared" si="69"/>
        <v>0</v>
      </c>
      <c r="BJ309" s="1">
        <f t="shared" si="70"/>
        <v>0</v>
      </c>
      <c r="BK309" s="1">
        <f t="shared" si="71"/>
        <v>0</v>
      </c>
      <c r="BL309" s="1">
        <f t="shared" si="72"/>
        <v>0</v>
      </c>
      <c r="BM309" s="10" t="str">
        <f t="shared" si="73"/>
        <v/>
      </c>
      <c r="BN309" s="39">
        <f t="shared" si="74"/>
        <v>0</v>
      </c>
      <c r="BO309" s="39">
        <f t="shared" si="75"/>
        <v>0</v>
      </c>
      <c r="BP309" s="1">
        <f t="shared" si="76"/>
        <v>0</v>
      </c>
      <c r="BQ309" s="1">
        <f t="shared" si="77"/>
        <v>0</v>
      </c>
      <c r="BR309" s="1" t="str">
        <f t="shared" si="78"/>
        <v/>
      </c>
      <c r="BS309" s="1">
        <f t="shared" si="79"/>
        <v>0</v>
      </c>
      <c r="BT309" s="4">
        <f t="shared" si="80"/>
        <v>0</v>
      </c>
      <c r="BU309" s="39">
        <f t="shared" si="81"/>
        <v>0</v>
      </c>
      <c r="BV309" s="1">
        <f t="shared" si="82"/>
        <v>0</v>
      </c>
      <c r="BW309">
        <f t="shared" si="83"/>
        <v>0</v>
      </c>
      <c r="BX309">
        <f t="shared" si="84"/>
        <v>0</v>
      </c>
    </row>
    <row r="310" spans="58:76" x14ac:dyDescent="0.25">
      <c r="BF310" s="1" t="e">
        <f>VLOOKUP(N310,'Incoming Material Report'!H:M,6,FALSE)</f>
        <v>#N/A</v>
      </c>
      <c r="BG310" s="1" t="e">
        <f>IF(VLOOKUP(N310,'Incoming Material Report'!H:N,7,FALSE)=0,"",VLOOKUP(N310,'Incoming Material Report'!H:N,7,FALSE))</f>
        <v>#N/A</v>
      </c>
      <c r="BH310" s="39">
        <f t="shared" si="68"/>
        <v>0</v>
      </c>
      <c r="BI310" s="1">
        <f t="shared" si="69"/>
        <v>0</v>
      </c>
      <c r="BJ310" s="1">
        <f t="shared" si="70"/>
        <v>0</v>
      </c>
      <c r="BK310" s="1">
        <f t="shared" si="71"/>
        <v>0</v>
      </c>
      <c r="BL310" s="1">
        <f t="shared" si="72"/>
        <v>0</v>
      </c>
      <c r="BM310" s="10" t="str">
        <f t="shared" si="73"/>
        <v/>
      </c>
      <c r="BN310" s="39">
        <f t="shared" si="74"/>
        <v>0</v>
      </c>
      <c r="BO310" s="39">
        <f t="shared" si="75"/>
        <v>0</v>
      </c>
      <c r="BP310" s="1">
        <f t="shared" si="76"/>
        <v>0</v>
      </c>
      <c r="BQ310" s="1">
        <f t="shared" si="77"/>
        <v>0</v>
      </c>
      <c r="BR310" s="1" t="str">
        <f t="shared" si="78"/>
        <v/>
      </c>
      <c r="BS310" s="1">
        <f t="shared" si="79"/>
        <v>0</v>
      </c>
      <c r="BT310" s="4">
        <f t="shared" si="80"/>
        <v>0</v>
      </c>
      <c r="BU310" s="39">
        <f t="shared" si="81"/>
        <v>0</v>
      </c>
      <c r="BV310" s="1">
        <f t="shared" si="82"/>
        <v>0</v>
      </c>
      <c r="BW310">
        <f t="shared" si="83"/>
        <v>0</v>
      </c>
      <c r="BX310">
        <f t="shared" si="84"/>
        <v>0</v>
      </c>
    </row>
    <row r="311" spans="58:76" x14ac:dyDescent="0.25">
      <c r="BF311" s="1" t="e">
        <f>VLOOKUP(N311,'Incoming Material Report'!H:M,6,FALSE)</f>
        <v>#N/A</v>
      </c>
      <c r="BG311" s="1" t="e">
        <f>IF(VLOOKUP(N311,'Incoming Material Report'!H:N,7,FALSE)=0,"",VLOOKUP(N311,'Incoming Material Report'!H:N,7,FALSE))</f>
        <v>#N/A</v>
      </c>
      <c r="BH311" s="39">
        <f t="shared" si="68"/>
        <v>0</v>
      </c>
      <c r="BI311" s="1">
        <f t="shared" si="69"/>
        <v>0</v>
      </c>
      <c r="BJ311" s="1">
        <f t="shared" si="70"/>
        <v>0</v>
      </c>
      <c r="BK311" s="1">
        <f t="shared" si="71"/>
        <v>0</v>
      </c>
      <c r="BL311" s="1">
        <f t="shared" si="72"/>
        <v>0</v>
      </c>
      <c r="BM311" s="10" t="str">
        <f t="shared" si="73"/>
        <v/>
      </c>
      <c r="BN311" s="39">
        <f t="shared" si="74"/>
        <v>0</v>
      </c>
      <c r="BO311" s="39">
        <f t="shared" si="75"/>
        <v>0</v>
      </c>
      <c r="BP311" s="1">
        <f t="shared" si="76"/>
        <v>0</v>
      </c>
      <c r="BQ311" s="1">
        <f t="shared" si="77"/>
        <v>0</v>
      </c>
      <c r="BR311" s="1" t="str">
        <f t="shared" si="78"/>
        <v/>
      </c>
      <c r="BS311" s="1">
        <f t="shared" si="79"/>
        <v>0</v>
      </c>
      <c r="BT311" s="4">
        <f t="shared" si="80"/>
        <v>0</v>
      </c>
      <c r="BU311" s="39">
        <f t="shared" si="81"/>
        <v>0</v>
      </c>
      <c r="BV311" s="1">
        <f t="shared" si="82"/>
        <v>0</v>
      </c>
      <c r="BW311">
        <f t="shared" si="83"/>
        <v>0</v>
      </c>
      <c r="BX311">
        <f t="shared" si="84"/>
        <v>0</v>
      </c>
    </row>
    <row r="312" spans="58:76" x14ac:dyDescent="0.25">
      <c r="BF312" s="1" t="e">
        <f>VLOOKUP(N312,'Incoming Material Report'!H:M,6,FALSE)</f>
        <v>#N/A</v>
      </c>
      <c r="BG312" s="1" t="e">
        <f>IF(VLOOKUP(N312,'Incoming Material Report'!H:N,7,FALSE)=0,"",VLOOKUP(N312,'Incoming Material Report'!H:N,7,FALSE))</f>
        <v>#N/A</v>
      </c>
      <c r="BH312" s="39">
        <f t="shared" si="68"/>
        <v>0</v>
      </c>
      <c r="BI312" s="1">
        <f t="shared" si="69"/>
        <v>0</v>
      </c>
      <c r="BJ312" s="1">
        <f t="shared" si="70"/>
        <v>0</v>
      </c>
      <c r="BK312" s="1">
        <f t="shared" si="71"/>
        <v>0</v>
      </c>
      <c r="BL312" s="1">
        <f t="shared" si="72"/>
        <v>0</v>
      </c>
      <c r="BM312" s="10" t="str">
        <f t="shared" si="73"/>
        <v/>
      </c>
      <c r="BN312" s="39">
        <f t="shared" si="74"/>
        <v>0</v>
      </c>
      <c r="BO312" s="39">
        <f t="shared" si="75"/>
        <v>0</v>
      </c>
      <c r="BP312" s="1">
        <f t="shared" si="76"/>
        <v>0</v>
      </c>
      <c r="BQ312" s="1">
        <f t="shared" si="77"/>
        <v>0</v>
      </c>
      <c r="BR312" s="1" t="str">
        <f t="shared" si="78"/>
        <v/>
      </c>
      <c r="BS312" s="1">
        <f t="shared" si="79"/>
        <v>0</v>
      </c>
      <c r="BT312" s="4">
        <f t="shared" si="80"/>
        <v>0</v>
      </c>
      <c r="BU312" s="39">
        <f t="shared" si="81"/>
        <v>0</v>
      </c>
      <c r="BV312" s="1">
        <f t="shared" si="82"/>
        <v>0</v>
      </c>
      <c r="BW312">
        <f t="shared" si="83"/>
        <v>0</v>
      </c>
      <c r="BX312">
        <f t="shared" si="84"/>
        <v>0</v>
      </c>
    </row>
    <row r="313" spans="58:76" x14ac:dyDescent="0.25">
      <c r="BF313" s="1" t="e">
        <f>VLOOKUP(N313,'Incoming Material Report'!H:M,6,FALSE)</f>
        <v>#N/A</v>
      </c>
      <c r="BG313" s="1" t="e">
        <f>IF(VLOOKUP(N313,'Incoming Material Report'!H:N,7,FALSE)=0,"",VLOOKUP(N313,'Incoming Material Report'!H:N,7,FALSE))</f>
        <v>#N/A</v>
      </c>
      <c r="BH313" s="39">
        <f t="shared" si="68"/>
        <v>0</v>
      </c>
      <c r="BI313" s="1">
        <f t="shared" si="69"/>
        <v>0</v>
      </c>
      <c r="BJ313" s="1">
        <f t="shared" si="70"/>
        <v>0</v>
      </c>
      <c r="BK313" s="1">
        <f t="shared" si="71"/>
        <v>0</v>
      </c>
      <c r="BL313" s="1">
        <f t="shared" si="72"/>
        <v>0</v>
      </c>
      <c r="BM313" s="10" t="str">
        <f t="shared" si="73"/>
        <v/>
      </c>
      <c r="BN313" s="39">
        <f t="shared" si="74"/>
        <v>0</v>
      </c>
      <c r="BO313" s="39">
        <f t="shared" si="75"/>
        <v>0</v>
      </c>
      <c r="BP313" s="1">
        <f t="shared" si="76"/>
        <v>0</v>
      </c>
      <c r="BQ313" s="1">
        <f t="shared" si="77"/>
        <v>0</v>
      </c>
      <c r="BR313" s="1" t="str">
        <f t="shared" si="78"/>
        <v/>
      </c>
      <c r="BS313" s="1">
        <f t="shared" si="79"/>
        <v>0</v>
      </c>
      <c r="BT313" s="4">
        <f t="shared" si="80"/>
        <v>0</v>
      </c>
      <c r="BU313" s="39">
        <f t="shared" si="81"/>
        <v>0</v>
      </c>
      <c r="BV313" s="1">
        <f t="shared" si="82"/>
        <v>0</v>
      </c>
      <c r="BW313">
        <f t="shared" si="83"/>
        <v>0</v>
      </c>
      <c r="BX313">
        <f t="shared" si="84"/>
        <v>0</v>
      </c>
    </row>
    <row r="314" spans="58:76" x14ac:dyDescent="0.25">
      <c r="BF314" s="1" t="e">
        <f>VLOOKUP(N314,'Incoming Material Report'!H:M,6,FALSE)</f>
        <v>#N/A</v>
      </c>
      <c r="BG314" s="1" t="e">
        <f>IF(VLOOKUP(N314,'Incoming Material Report'!H:N,7,FALSE)=0,"",VLOOKUP(N314,'Incoming Material Report'!H:N,7,FALSE))</f>
        <v>#N/A</v>
      </c>
      <c r="BH314" s="39">
        <f t="shared" ref="BH314:BH377" si="85">VALUE(T314)</f>
        <v>0</v>
      </c>
      <c r="BI314" s="1">
        <f t="shared" ref="BI314:BI377" si="86">VALUE(U314)</f>
        <v>0</v>
      </c>
      <c r="BJ314" s="1">
        <f t="shared" ref="BJ314:BJ377" si="87">IFERROR(_xlfn.NUMBERVALUE(V314),V314)</f>
        <v>0</v>
      </c>
      <c r="BK314" s="1">
        <f t="shared" ref="BK314:BK377" si="88">IFERROR(INT(I314),I314)</f>
        <v>0</v>
      </c>
      <c r="BL314" s="1">
        <f t="shared" ref="BL314:BL377" si="89">L314</f>
        <v>0</v>
      </c>
      <c r="BM314" s="10" t="str">
        <f t="shared" ref="BM314:BM377" si="90">SUBSTITUTE(J314,"/",".")</f>
        <v/>
      </c>
      <c r="BN314" s="39">
        <f t="shared" ref="BN314:BN377" si="91">VALUE(Q314)*1000</f>
        <v>0</v>
      </c>
      <c r="BO314" s="39">
        <f t="shared" ref="BO314:BO377" si="92">VALUE(P314)/1000</f>
        <v>0</v>
      </c>
      <c r="BP314" s="1">
        <f t="shared" ref="BP314:BP377" si="93">VALUE(D314)</f>
        <v>0</v>
      </c>
      <c r="BQ314" s="1">
        <f t="shared" ref="BQ314:BQ377" si="94">VALUE(G314)</f>
        <v>0</v>
      </c>
      <c r="BR314" s="1" t="str">
        <f t="shared" ref="BR314:BR377" si="95">SUBSTITUTE(O314,".","")</f>
        <v/>
      </c>
      <c r="BS314" s="1">
        <f t="shared" ref="BS314:BS377" si="96">S314</f>
        <v>0</v>
      </c>
      <c r="BT314" s="4">
        <f t="shared" ref="BT314:BT377" si="97">VALUE(AJ314)</f>
        <v>0</v>
      </c>
      <c r="BU314" s="39">
        <f t="shared" ref="BU314:BU377" si="98">K314</f>
        <v>0</v>
      </c>
      <c r="BV314" s="1">
        <f t="shared" ref="BV314:BV377" si="99">AQ314</f>
        <v>0</v>
      </c>
      <c r="BW314">
        <f t="shared" ref="BW314:BW377" si="100">X314</f>
        <v>0</v>
      </c>
      <c r="BX314">
        <f t="shared" ref="BX314:BX377" si="101">AN314</f>
        <v>0</v>
      </c>
    </row>
    <row r="315" spans="58:76" x14ac:dyDescent="0.25">
      <c r="BF315" s="1" t="e">
        <f>VLOOKUP(N315,'Incoming Material Report'!H:M,6,FALSE)</f>
        <v>#N/A</v>
      </c>
      <c r="BG315" s="1" t="e">
        <f>IF(VLOOKUP(N315,'Incoming Material Report'!H:N,7,FALSE)=0,"",VLOOKUP(N315,'Incoming Material Report'!H:N,7,FALSE))</f>
        <v>#N/A</v>
      </c>
      <c r="BH315" s="39">
        <f t="shared" si="85"/>
        <v>0</v>
      </c>
      <c r="BI315" s="1">
        <f t="shared" si="86"/>
        <v>0</v>
      </c>
      <c r="BJ315" s="1">
        <f t="shared" si="87"/>
        <v>0</v>
      </c>
      <c r="BK315" s="1">
        <f t="shared" si="88"/>
        <v>0</v>
      </c>
      <c r="BL315" s="1">
        <f t="shared" si="89"/>
        <v>0</v>
      </c>
      <c r="BM315" s="10" t="str">
        <f t="shared" si="90"/>
        <v/>
      </c>
      <c r="BN315" s="39">
        <f t="shared" si="91"/>
        <v>0</v>
      </c>
      <c r="BO315" s="39">
        <f t="shared" si="92"/>
        <v>0</v>
      </c>
      <c r="BP315" s="1">
        <f t="shared" si="93"/>
        <v>0</v>
      </c>
      <c r="BQ315" s="1">
        <f t="shared" si="94"/>
        <v>0</v>
      </c>
      <c r="BR315" s="1" t="str">
        <f t="shared" si="95"/>
        <v/>
      </c>
      <c r="BS315" s="1">
        <f t="shared" si="96"/>
        <v>0</v>
      </c>
      <c r="BT315" s="4">
        <f t="shared" si="97"/>
        <v>0</v>
      </c>
      <c r="BU315" s="39">
        <f t="shared" si="98"/>
        <v>0</v>
      </c>
      <c r="BV315" s="1">
        <f t="shared" si="99"/>
        <v>0</v>
      </c>
      <c r="BW315">
        <f t="shared" si="100"/>
        <v>0</v>
      </c>
      <c r="BX315">
        <f t="shared" si="101"/>
        <v>0</v>
      </c>
    </row>
    <row r="316" spans="58:76" x14ac:dyDescent="0.25">
      <c r="BF316" s="1" t="e">
        <f>VLOOKUP(N316,'Incoming Material Report'!H:M,6,FALSE)</f>
        <v>#N/A</v>
      </c>
      <c r="BG316" s="1" t="e">
        <f>IF(VLOOKUP(N316,'Incoming Material Report'!H:N,7,FALSE)=0,"",VLOOKUP(N316,'Incoming Material Report'!H:N,7,FALSE))</f>
        <v>#N/A</v>
      </c>
      <c r="BH316" s="39">
        <f t="shared" si="85"/>
        <v>0</v>
      </c>
      <c r="BI316" s="1">
        <f t="shared" si="86"/>
        <v>0</v>
      </c>
      <c r="BJ316" s="1">
        <f t="shared" si="87"/>
        <v>0</v>
      </c>
      <c r="BK316" s="1">
        <f t="shared" si="88"/>
        <v>0</v>
      </c>
      <c r="BL316" s="1">
        <f t="shared" si="89"/>
        <v>0</v>
      </c>
      <c r="BM316" s="10" t="str">
        <f t="shared" si="90"/>
        <v/>
      </c>
      <c r="BN316" s="39">
        <f t="shared" si="91"/>
        <v>0</v>
      </c>
      <c r="BO316" s="39">
        <f t="shared" si="92"/>
        <v>0</v>
      </c>
      <c r="BP316" s="1">
        <f t="shared" si="93"/>
        <v>0</v>
      </c>
      <c r="BQ316" s="1">
        <f t="shared" si="94"/>
        <v>0</v>
      </c>
      <c r="BR316" s="1" t="str">
        <f t="shared" si="95"/>
        <v/>
      </c>
      <c r="BS316" s="1">
        <f t="shared" si="96"/>
        <v>0</v>
      </c>
      <c r="BT316" s="4">
        <f t="shared" si="97"/>
        <v>0</v>
      </c>
      <c r="BU316" s="39">
        <f t="shared" si="98"/>
        <v>0</v>
      </c>
      <c r="BV316" s="1">
        <f t="shared" si="99"/>
        <v>0</v>
      </c>
      <c r="BW316">
        <f t="shared" si="100"/>
        <v>0</v>
      </c>
      <c r="BX316">
        <f t="shared" si="101"/>
        <v>0</v>
      </c>
    </row>
    <row r="317" spans="58:76" x14ac:dyDescent="0.25">
      <c r="BF317" s="1" t="e">
        <f>VLOOKUP(N317,'Incoming Material Report'!H:M,6,FALSE)</f>
        <v>#N/A</v>
      </c>
      <c r="BG317" s="1" t="e">
        <f>IF(VLOOKUP(N317,'Incoming Material Report'!H:N,7,FALSE)=0,"",VLOOKUP(N317,'Incoming Material Report'!H:N,7,FALSE))</f>
        <v>#N/A</v>
      </c>
      <c r="BH317" s="39">
        <f t="shared" si="85"/>
        <v>0</v>
      </c>
      <c r="BI317" s="1">
        <f t="shared" si="86"/>
        <v>0</v>
      </c>
      <c r="BJ317" s="1">
        <f t="shared" si="87"/>
        <v>0</v>
      </c>
      <c r="BK317" s="1">
        <f t="shared" si="88"/>
        <v>0</v>
      </c>
      <c r="BL317" s="1">
        <f t="shared" si="89"/>
        <v>0</v>
      </c>
      <c r="BM317" s="10" t="str">
        <f t="shared" si="90"/>
        <v/>
      </c>
      <c r="BN317" s="39">
        <f t="shared" si="91"/>
        <v>0</v>
      </c>
      <c r="BO317" s="39">
        <f t="shared" si="92"/>
        <v>0</v>
      </c>
      <c r="BP317" s="1">
        <f t="shared" si="93"/>
        <v>0</v>
      </c>
      <c r="BQ317" s="1">
        <f t="shared" si="94"/>
        <v>0</v>
      </c>
      <c r="BR317" s="1" t="str">
        <f t="shared" si="95"/>
        <v/>
      </c>
      <c r="BS317" s="1">
        <f t="shared" si="96"/>
        <v>0</v>
      </c>
      <c r="BT317" s="4">
        <f t="shared" si="97"/>
        <v>0</v>
      </c>
      <c r="BU317" s="39">
        <f t="shared" si="98"/>
        <v>0</v>
      </c>
      <c r="BV317" s="1">
        <f t="shared" si="99"/>
        <v>0</v>
      </c>
      <c r="BW317">
        <f t="shared" si="100"/>
        <v>0</v>
      </c>
      <c r="BX317">
        <f t="shared" si="101"/>
        <v>0</v>
      </c>
    </row>
    <row r="318" spans="58:76" x14ac:dyDescent="0.25">
      <c r="BF318" s="1" t="e">
        <f>VLOOKUP(N318,'Incoming Material Report'!H:M,6,FALSE)</f>
        <v>#N/A</v>
      </c>
      <c r="BG318" s="1" t="e">
        <f>IF(VLOOKUP(N318,'Incoming Material Report'!H:N,7,FALSE)=0,"",VLOOKUP(N318,'Incoming Material Report'!H:N,7,FALSE))</f>
        <v>#N/A</v>
      </c>
      <c r="BH318" s="39">
        <f t="shared" si="85"/>
        <v>0</v>
      </c>
      <c r="BI318" s="1">
        <f t="shared" si="86"/>
        <v>0</v>
      </c>
      <c r="BJ318" s="1">
        <f t="shared" si="87"/>
        <v>0</v>
      </c>
      <c r="BK318" s="1">
        <f t="shared" si="88"/>
        <v>0</v>
      </c>
      <c r="BL318" s="1">
        <f t="shared" si="89"/>
        <v>0</v>
      </c>
      <c r="BM318" s="10" t="str">
        <f t="shared" si="90"/>
        <v/>
      </c>
      <c r="BN318" s="39">
        <f t="shared" si="91"/>
        <v>0</v>
      </c>
      <c r="BO318" s="39">
        <f t="shared" si="92"/>
        <v>0</v>
      </c>
      <c r="BP318" s="1">
        <f t="shared" si="93"/>
        <v>0</v>
      </c>
      <c r="BQ318" s="1">
        <f t="shared" si="94"/>
        <v>0</v>
      </c>
      <c r="BR318" s="1" t="str">
        <f t="shared" si="95"/>
        <v/>
      </c>
      <c r="BS318" s="1">
        <f t="shared" si="96"/>
        <v>0</v>
      </c>
      <c r="BT318" s="4">
        <f t="shared" si="97"/>
        <v>0</v>
      </c>
      <c r="BU318" s="39">
        <f t="shared" si="98"/>
        <v>0</v>
      </c>
      <c r="BV318" s="1">
        <f t="shared" si="99"/>
        <v>0</v>
      </c>
      <c r="BW318">
        <f t="shared" si="100"/>
        <v>0</v>
      </c>
      <c r="BX318">
        <f t="shared" si="101"/>
        <v>0</v>
      </c>
    </row>
    <row r="319" spans="58:76" x14ac:dyDescent="0.25">
      <c r="BF319" s="1" t="e">
        <f>VLOOKUP(N319,'Incoming Material Report'!H:M,6,FALSE)</f>
        <v>#N/A</v>
      </c>
      <c r="BG319" s="1" t="e">
        <f>IF(VLOOKUP(N319,'Incoming Material Report'!H:N,7,FALSE)=0,"",VLOOKUP(N319,'Incoming Material Report'!H:N,7,FALSE))</f>
        <v>#N/A</v>
      </c>
      <c r="BH319" s="39">
        <f t="shared" si="85"/>
        <v>0</v>
      </c>
      <c r="BI319" s="1">
        <f t="shared" si="86"/>
        <v>0</v>
      </c>
      <c r="BJ319" s="1">
        <f t="shared" si="87"/>
        <v>0</v>
      </c>
      <c r="BK319" s="1">
        <f t="shared" si="88"/>
        <v>0</v>
      </c>
      <c r="BL319" s="1">
        <f t="shared" si="89"/>
        <v>0</v>
      </c>
      <c r="BM319" s="10" t="str">
        <f t="shared" si="90"/>
        <v/>
      </c>
      <c r="BN319" s="39">
        <f t="shared" si="91"/>
        <v>0</v>
      </c>
      <c r="BO319" s="39">
        <f t="shared" si="92"/>
        <v>0</v>
      </c>
      <c r="BP319" s="1">
        <f t="shared" si="93"/>
        <v>0</v>
      </c>
      <c r="BQ319" s="1">
        <f t="shared" si="94"/>
        <v>0</v>
      </c>
      <c r="BR319" s="1" t="str">
        <f t="shared" si="95"/>
        <v/>
      </c>
      <c r="BS319" s="1">
        <f t="shared" si="96"/>
        <v>0</v>
      </c>
      <c r="BT319" s="4">
        <f t="shared" si="97"/>
        <v>0</v>
      </c>
      <c r="BU319" s="39">
        <f t="shared" si="98"/>
        <v>0</v>
      </c>
      <c r="BV319" s="1">
        <f t="shared" si="99"/>
        <v>0</v>
      </c>
      <c r="BW319">
        <f t="shared" si="100"/>
        <v>0</v>
      </c>
      <c r="BX319">
        <f t="shared" si="101"/>
        <v>0</v>
      </c>
    </row>
    <row r="320" spans="58:76" x14ac:dyDescent="0.25">
      <c r="BF320" s="1" t="e">
        <f>VLOOKUP(N320,'Incoming Material Report'!H:M,6,FALSE)</f>
        <v>#N/A</v>
      </c>
      <c r="BG320" s="1" t="e">
        <f>IF(VLOOKUP(N320,'Incoming Material Report'!H:N,7,FALSE)=0,"",VLOOKUP(N320,'Incoming Material Report'!H:N,7,FALSE))</f>
        <v>#N/A</v>
      </c>
      <c r="BH320" s="39">
        <f t="shared" si="85"/>
        <v>0</v>
      </c>
      <c r="BI320" s="1">
        <f t="shared" si="86"/>
        <v>0</v>
      </c>
      <c r="BJ320" s="1">
        <f t="shared" si="87"/>
        <v>0</v>
      </c>
      <c r="BK320" s="1">
        <f t="shared" si="88"/>
        <v>0</v>
      </c>
      <c r="BL320" s="1">
        <f t="shared" si="89"/>
        <v>0</v>
      </c>
      <c r="BM320" s="10" t="str">
        <f t="shared" si="90"/>
        <v/>
      </c>
      <c r="BN320" s="39">
        <f t="shared" si="91"/>
        <v>0</v>
      </c>
      <c r="BO320" s="39">
        <f t="shared" si="92"/>
        <v>0</v>
      </c>
      <c r="BP320" s="1">
        <f t="shared" si="93"/>
        <v>0</v>
      </c>
      <c r="BQ320" s="1">
        <f t="shared" si="94"/>
        <v>0</v>
      </c>
      <c r="BR320" s="1" t="str">
        <f t="shared" si="95"/>
        <v/>
      </c>
      <c r="BS320" s="1">
        <f t="shared" si="96"/>
        <v>0</v>
      </c>
      <c r="BT320" s="4">
        <f t="shared" si="97"/>
        <v>0</v>
      </c>
      <c r="BU320" s="39">
        <f t="shared" si="98"/>
        <v>0</v>
      </c>
      <c r="BV320" s="1">
        <f t="shared" si="99"/>
        <v>0</v>
      </c>
      <c r="BW320">
        <f t="shared" si="100"/>
        <v>0</v>
      </c>
      <c r="BX320">
        <f t="shared" si="101"/>
        <v>0</v>
      </c>
    </row>
    <row r="321" spans="58:76" x14ac:dyDescent="0.25">
      <c r="BF321" s="1" t="e">
        <f>VLOOKUP(N321,'Incoming Material Report'!H:M,6,FALSE)</f>
        <v>#N/A</v>
      </c>
      <c r="BG321" s="1" t="e">
        <f>IF(VLOOKUP(N321,'Incoming Material Report'!H:N,7,FALSE)=0,"",VLOOKUP(N321,'Incoming Material Report'!H:N,7,FALSE))</f>
        <v>#N/A</v>
      </c>
      <c r="BH321" s="39">
        <f t="shared" si="85"/>
        <v>0</v>
      </c>
      <c r="BI321" s="1">
        <f t="shared" si="86"/>
        <v>0</v>
      </c>
      <c r="BJ321" s="1">
        <f t="shared" si="87"/>
        <v>0</v>
      </c>
      <c r="BK321" s="1">
        <f t="shared" si="88"/>
        <v>0</v>
      </c>
      <c r="BL321" s="1">
        <f t="shared" si="89"/>
        <v>0</v>
      </c>
      <c r="BM321" s="10" t="str">
        <f t="shared" si="90"/>
        <v/>
      </c>
      <c r="BN321" s="39">
        <f t="shared" si="91"/>
        <v>0</v>
      </c>
      <c r="BO321" s="39">
        <f t="shared" si="92"/>
        <v>0</v>
      </c>
      <c r="BP321" s="1">
        <f t="shared" si="93"/>
        <v>0</v>
      </c>
      <c r="BQ321" s="1">
        <f t="shared" si="94"/>
        <v>0</v>
      </c>
      <c r="BR321" s="1" t="str">
        <f t="shared" si="95"/>
        <v/>
      </c>
      <c r="BS321" s="1">
        <f t="shared" si="96"/>
        <v>0</v>
      </c>
      <c r="BT321" s="4">
        <f t="shared" si="97"/>
        <v>0</v>
      </c>
      <c r="BU321" s="39">
        <f t="shared" si="98"/>
        <v>0</v>
      </c>
      <c r="BV321" s="1">
        <f t="shared" si="99"/>
        <v>0</v>
      </c>
      <c r="BW321">
        <f t="shared" si="100"/>
        <v>0</v>
      </c>
      <c r="BX321">
        <f t="shared" si="101"/>
        <v>0</v>
      </c>
    </row>
    <row r="322" spans="58:76" x14ac:dyDescent="0.25">
      <c r="BF322" s="1" t="e">
        <f>VLOOKUP(N322,'Incoming Material Report'!H:M,6,FALSE)</f>
        <v>#N/A</v>
      </c>
      <c r="BG322" s="1" t="e">
        <f>IF(VLOOKUP(N322,'Incoming Material Report'!H:N,7,FALSE)=0,"",VLOOKUP(N322,'Incoming Material Report'!H:N,7,FALSE))</f>
        <v>#N/A</v>
      </c>
      <c r="BH322" s="39">
        <f t="shared" si="85"/>
        <v>0</v>
      </c>
      <c r="BI322" s="1">
        <f t="shared" si="86"/>
        <v>0</v>
      </c>
      <c r="BJ322" s="1">
        <f t="shared" si="87"/>
        <v>0</v>
      </c>
      <c r="BK322" s="1">
        <f t="shared" si="88"/>
        <v>0</v>
      </c>
      <c r="BL322" s="1">
        <f t="shared" si="89"/>
        <v>0</v>
      </c>
      <c r="BM322" s="10" t="str">
        <f t="shared" si="90"/>
        <v/>
      </c>
      <c r="BN322" s="39">
        <f t="shared" si="91"/>
        <v>0</v>
      </c>
      <c r="BO322" s="39">
        <f t="shared" si="92"/>
        <v>0</v>
      </c>
      <c r="BP322" s="1">
        <f t="shared" si="93"/>
        <v>0</v>
      </c>
      <c r="BQ322" s="1">
        <f t="shared" si="94"/>
        <v>0</v>
      </c>
      <c r="BR322" s="1" t="str">
        <f t="shared" si="95"/>
        <v/>
      </c>
      <c r="BS322" s="1">
        <f t="shared" si="96"/>
        <v>0</v>
      </c>
      <c r="BT322" s="4">
        <f t="shared" si="97"/>
        <v>0</v>
      </c>
      <c r="BU322" s="39">
        <f t="shared" si="98"/>
        <v>0</v>
      </c>
      <c r="BV322" s="1">
        <f t="shared" si="99"/>
        <v>0</v>
      </c>
      <c r="BW322">
        <f t="shared" si="100"/>
        <v>0</v>
      </c>
      <c r="BX322">
        <f t="shared" si="101"/>
        <v>0</v>
      </c>
    </row>
    <row r="323" spans="58:76" x14ac:dyDescent="0.25">
      <c r="BF323" s="1" t="e">
        <f>VLOOKUP(N323,'Incoming Material Report'!H:M,6,FALSE)</f>
        <v>#N/A</v>
      </c>
      <c r="BG323" s="1" t="e">
        <f>IF(VLOOKUP(N323,'Incoming Material Report'!H:N,7,FALSE)=0,"",VLOOKUP(N323,'Incoming Material Report'!H:N,7,FALSE))</f>
        <v>#N/A</v>
      </c>
      <c r="BH323" s="39">
        <f t="shared" si="85"/>
        <v>0</v>
      </c>
      <c r="BI323" s="1">
        <f t="shared" si="86"/>
        <v>0</v>
      </c>
      <c r="BJ323" s="1">
        <f t="shared" si="87"/>
        <v>0</v>
      </c>
      <c r="BK323" s="1">
        <f t="shared" si="88"/>
        <v>0</v>
      </c>
      <c r="BL323" s="1">
        <f t="shared" si="89"/>
        <v>0</v>
      </c>
      <c r="BM323" s="10" t="str">
        <f t="shared" si="90"/>
        <v/>
      </c>
      <c r="BN323" s="39">
        <f t="shared" si="91"/>
        <v>0</v>
      </c>
      <c r="BO323" s="39">
        <f t="shared" si="92"/>
        <v>0</v>
      </c>
      <c r="BP323" s="1">
        <f t="shared" si="93"/>
        <v>0</v>
      </c>
      <c r="BQ323" s="1">
        <f t="shared" si="94"/>
        <v>0</v>
      </c>
      <c r="BR323" s="1" t="str">
        <f t="shared" si="95"/>
        <v/>
      </c>
      <c r="BS323" s="1">
        <f t="shared" si="96"/>
        <v>0</v>
      </c>
      <c r="BT323" s="4">
        <f t="shared" si="97"/>
        <v>0</v>
      </c>
      <c r="BU323" s="39">
        <f t="shared" si="98"/>
        <v>0</v>
      </c>
      <c r="BV323" s="1">
        <f t="shared" si="99"/>
        <v>0</v>
      </c>
      <c r="BW323">
        <f t="shared" si="100"/>
        <v>0</v>
      </c>
      <c r="BX323">
        <f t="shared" si="101"/>
        <v>0</v>
      </c>
    </row>
    <row r="324" spans="58:76" x14ac:dyDescent="0.25">
      <c r="BF324" s="1" t="e">
        <f>VLOOKUP(N324,'Incoming Material Report'!H:M,6,FALSE)</f>
        <v>#N/A</v>
      </c>
      <c r="BG324" s="1" t="e">
        <f>IF(VLOOKUP(N324,'Incoming Material Report'!H:N,7,FALSE)=0,"",VLOOKUP(N324,'Incoming Material Report'!H:N,7,FALSE))</f>
        <v>#N/A</v>
      </c>
      <c r="BH324" s="39">
        <f t="shared" si="85"/>
        <v>0</v>
      </c>
      <c r="BI324" s="1">
        <f t="shared" si="86"/>
        <v>0</v>
      </c>
      <c r="BJ324" s="1">
        <f t="shared" si="87"/>
        <v>0</v>
      </c>
      <c r="BK324" s="1">
        <f t="shared" si="88"/>
        <v>0</v>
      </c>
      <c r="BL324" s="1">
        <f t="shared" si="89"/>
        <v>0</v>
      </c>
      <c r="BM324" s="10" t="str">
        <f t="shared" si="90"/>
        <v/>
      </c>
      <c r="BN324" s="39">
        <f t="shared" si="91"/>
        <v>0</v>
      </c>
      <c r="BO324" s="39">
        <f t="shared" si="92"/>
        <v>0</v>
      </c>
      <c r="BP324" s="1">
        <f t="shared" si="93"/>
        <v>0</v>
      </c>
      <c r="BQ324" s="1">
        <f t="shared" si="94"/>
        <v>0</v>
      </c>
      <c r="BR324" s="1" t="str">
        <f t="shared" si="95"/>
        <v/>
      </c>
      <c r="BS324" s="1">
        <f t="shared" si="96"/>
        <v>0</v>
      </c>
      <c r="BT324" s="4">
        <f t="shared" si="97"/>
        <v>0</v>
      </c>
      <c r="BU324" s="39">
        <f t="shared" si="98"/>
        <v>0</v>
      </c>
      <c r="BV324" s="1">
        <f t="shared" si="99"/>
        <v>0</v>
      </c>
      <c r="BW324">
        <f t="shared" si="100"/>
        <v>0</v>
      </c>
      <c r="BX324">
        <f t="shared" si="101"/>
        <v>0</v>
      </c>
    </row>
    <row r="325" spans="58:76" x14ac:dyDescent="0.25">
      <c r="BF325" s="1" t="e">
        <f>VLOOKUP(N325,'Incoming Material Report'!H:M,6,FALSE)</f>
        <v>#N/A</v>
      </c>
      <c r="BG325" s="1" t="e">
        <f>IF(VLOOKUP(N325,'Incoming Material Report'!H:N,7,FALSE)=0,"",VLOOKUP(N325,'Incoming Material Report'!H:N,7,FALSE))</f>
        <v>#N/A</v>
      </c>
      <c r="BH325" s="39">
        <f t="shared" si="85"/>
        <v>0</v>
      </c>
      <c r="BI325" s="1">
        <f t="shared" si="86"/>
        <v>0</v>
      </c>
      <c r="BJ325" s="1">
        <f t="shared" si="87"/>
        <v>0</v>
      </c>
      <c r="BK325" s="1">
        <f t="shared" si="88"/>
        <v>0</v>
      </c>
      <c r="BL325" s="1">
        <f t="shared" si="89"/>
        <v>0</v>
      </c>
      <c r="BM325" s="10" t="str">
        <f t="shared" si="90"/>
        <v/>
      </c>
      <c r="BN325" s="39">
        <f t="shared" si="91"/>
        <v>0</v>
      </c>
      <c r="BO325" s="39">
        <f t="shared" si="92"/>
        <v>0</v>
      </c>
      <c r="BP325" s="1">
        <f t="shared" si="93"/>
        <v>0</v>
      </c>
      <c r="BQ325" s="1">
        <f t="shared" si="94"/>
        <v>0</v>
      </c>
      <c r="BR325" s="1" t="str">
        <f t="shared" si="95"/>
        <v/>
      </c>
      <c r="BS325" s="1">
        <f t="shared" si="96"/>
        <v>0</v>
      </c>
      <c r="BT325" s="4">
        <f t="shared" si="97"/>
        <v>0</v>
      </c>
      <c r="BU325" s="39">
        <f t="shared" si="98"/>
        <v>0</v>
      </c>
      <c r="BV325" s="1">
        <f t="shared" si="99"/>
        <v>0</v>
      </c>
      <c r="BW325">
        <f t="shared" si="100"/>
        <v>0</v>
      </c>
      <c r="BX325">
        <f t="shared" si="101"/>
        <v>0</v>
      </c>
    </row>
    <row r="326" spans="58:76" x14ac:dyDescent="0.25">
      <c r="BF326" s="1" t="e">
        <f>VLOOKUP(N326,'Incoming Material Report'!H:M,6,FALSE)</f>
        <v>#N/A</v>
      </c>
      <c r="BG326" s="1" t="e">
        <f>IF(VLOOKUP(N326,'Incoming Material Report'!H:N,7,FALSE)=0,"",VLOOKUP(N326,'Incoming Material Report'!H:N,7,FALSE))</f>
        <v>#N/A</v>
      </c>
      <c r="BH326" s="39">
        <f t="shared" si="85"/>
        <v>0</v>
      </c>
      <c r="BI326" s="1">
        <f t="shared" si="86"/>
        <v>0</v>
      </c>
      <c r="BJ326" s="1">
        <f t="shared" si="87"/>
        <v>0</v>
      </c>
      <c r="BK326" s="1">
        <f t="shared" si="88"/>
        <v>0</v>
      </c>
      <c r="BL326" s="1">
        <f t="shared" si="89"/>
        <v>0</v>
      </c>
      <c r="BM326" s="10" t="str">
        <f t="shared" si="90"/>
        <v/>
      </c>
      <c r="BN326" s="39">
        <f t="shared" si="91"/>
        <v>0</v>
      </c>
      <c r="BO326" s="39">
        <f t="shared" si="92"/>
        <v>0</v>
      </c>
      <c r="BP326" s="1">
        <f t="shared" si="93"/>
        <v>0</v>
      </c>
      <c r="BQ326" s="1">
        <f t="shared" si="94"/>
        <v>0</v>
      </c>
      <c r="BR326" s="1" t="str">
        <f t="shared" si="95"/>
        <v/>
      </c>
      <c r="BS326" s="1">
        <f t="shared" si="96"/>
        <v>0</v>
      </c>
      <c r="BT326" s="4">
        <f t="shared" si="97"/>
        <v>0</v>
      </c>
      <c r="BU326" s="39">
        <f t="shared" si="98"/>
        <v>0</v>
      </c>
      <c r="BV326" s="1">
        <f t="shared" si="99"/>
        <v>0</v>
      </c>
      <c r="BW326">
        <f t="shared" si="100"/>
        <v>0</v>
      </c>
      <c r="BX326">
        <f t="shared" si="101"/>
        <v>0</v>
      </c>
    </row>
    <row r="327" spans="58:76" x14ac:dyDescent="0.25">
      <c r="BF327" s="1" t="e">
        <f>VLOOKUP(N327,'Incoming Material Report'!H:M,6,FALSE)</f>
        <v>#N/A</v>
      </c>
      <c r="BG327" s="1" t="e">
        <f>IF(VLOOKUP(N327,'Incoming Material Report'!H:N,7,FALSE)=0,"",VLOOKUP(N327,'Incoming Material Report'!H:N,7,FALSE))</f>
        <v>#N/A</v>
      </c>
      <c r="BH327" s="39">
        <f t="shared" si="85"/>
        <v>0</v>
      </c>
      <c r="BI327" s="1">
        <f t="shared" si="86"/>
        <v>0</v>
      </c>
      <c r="BJ327" s="1">
        <f t="shared" si="87"/>
        <v>0</v>
      </c>
      <c r="BK327" s="1">
        <f t="shared" si="88"/>
        <v>0</v>
      </c>
      <c r="BL327" s="1">
        <f t="shared" si="89"/>
        <v>0</v>
      </c>
      <c r="BM327" s="10" t="str">
        <f t="shared" si="90"/>
        <v/>
      </c>
      <c r="BN327" s="39">
        <f t="shared" si="91"/>
        <v>0</v>
      </c>
      <c r="BO327" s="39">
        <f t="shared" si="92"/>
        <v>0</v>
      </c>
      <c r="BP327" s="1">
        <f t="shared" si="93"/>
        <v>0</v>
      </c>
      <c r="BQ327" s="1">
        <f t="shared" si="94"/>
        <v>0</v>
      </c>
      <c r="BR327" s="1" t="str">
        <f t="shared" si="95"/>
        <v/>
      </c>
      <c r="BS327" s="1">
        <f t="shared" si="96"/>
        <v>0</v>
      </c>
      <c r="BT327" s="4">
        <f t="shared" si="97"/>
        <v>0</v>
      </c>
      <c r="BU327" s="39">
        <f t="shared" si="98"/>
        <v>0</v>
      </c>
      <c r="BV327" s="1">
        <f t="shared" si="99"/>
        <v>0</v>
      </c>
      <c r="BW327">
        <f t="shared" si="100"/>
        <v>0</v>
      </c>
      <c r="BX327">
        <f t="shared" si="101"/>
        <v>0</v>
      </c>
    </row>
    <row r="328" spans="58:76" x14ac:dyDescent="0.25">
      <c r="BF328" s="1" t="e">
        <f>VLOOKUP(N328,'Incoming Material Report'!H:M,6,FALSE)</f>
        <v>#N/A</v>
      </c>
      <c r="BG328" s="1" t="e">
        <f>IF(VLOOKUP(N328,'Incoming Material Report'!H:N,7,FALSE)=0,"",VLOOKUP(N328,'Incoming Material Report'!H:N,7,FALSE))</f>
        <v>#N/A</v>
      </c>
      <c r="BH328" s="39">
        <f t="shared" si="85"/>
        <v>0</v>
      </c>
      <c r="BI328" s="1">
        <f t="shared" si="86"/>
        <v>0</v>
      </c>
      <c r="BJ328" s="1">
        <f t="shared" si="87"/>
        <v>0</v>
      </c>
      <c r="BK328" s="1">
        <f t="shared" si="88"/>
        <v>0</v>
      </c>
      <c r="BL328" s="1">
        <f t="shared" si="89"/>
        <v>0</v>
      </c>
      <c r="BM328" s="10" t="str">
        <f t="shared" si="90"/>
        <v/>
      </c>
      <c r="BN328" s="39">
        <f t="shared" si="91"/>
        <v>0</v>
      </c>
      <c r="BO328" s="39">
        <f t="shared" si="92"/>
        <v>0</v>
      </c>
      <c r="BP328" s="1">
        <f t="shared" si="93"/>
        <v>0</v>
      </c>
      <c r="BQ328" s="1">
        <f t="shared" si="94"/>
        <v>0</v>
      </c>
      <c r="BR328" s="1" t="str">
        <f t="shared" si="95"/>
        <v/>
      </c>
      <c r="BS328" s="1">
        <f t="shared" si="96"/>
        <v>0</v>
      </c>
      <c r="BT328" s="4">
        <f t="shared" si="97"/>
        <v>0</v>
      </c>
      <c r="BU328" s="39">
        <f t="shared" si="98"/>
        <v>0</v>
      </c>
      <c r="BV328" s="1">
        <f t="shared" si="99"/>
        <v>0</v>
      </c>
      <c r="BW328">
        <f t="shared" si="100"/>
        <v>0</v>
      </c>
      <c r="BX328">
        <f t="shared" si="101"/>
        <v>0</v>
      </c>
    </row>
    <row r="329" spans="58:76" x14ac:dyDescent="0.25">
      <c r="BF329" s="1" t="e">
        <f>VLOOKUP(N329,'Incoming Material Report'!H:M,6,FALSE)</f>
        <v>#N/A</v>
      </c>
      <c r="BG329" s="1" t="e">
        <f>IF(VLOOKUP(N329,'Incoming Material Report'!H:N,7,FALSE)=0,"",VLOOKUP(N329,'Incoming Material Report'!H:N,7,FALSE))</f>
        <v>#N/A</v>
      </c>
      <c r="BH329" s="39">
        <f t="shared" si="85"/>
        <v>0</v>
      </c>
      <c r="BI329" s="1">
        <f t="shared" si="86"/>
        <v>0</v>
      </c>
      <c r="BJ329" s="1">
        <f t="shared" si="87"/>
        <v>0</v>
      </c>
      <c r="BK329" s="1">
        <f t="shared" si="88"/>
        <v>0</v>
      </c>
      <c r="BL329" s="1">
        <f t="shared" si="89"/>
        <v>0</v>
      </c>
      <c r="BM329" s="10" t="str">
        <f t="shared" si="90"/>
        <v/>
      </c>
      <c r="BN329" s="39">
        <f t="shared" si="91"/>
        <v>0</v>
      </c>
      <c r="BO329" s="39">
        <f t="shared" si="92"/>
        <v>0</v>
      </c>
      <c r="BP329" s="1">
        <f t="shared" si="93"/>
        <v>0</v>
      </c>
      <c r="BQ329" s="1">
        <f t="shared" si="94"/>
        <v>0</v>
      </c>
      <c r="BR329" s="1" t="str">
        <f t="shared" si="95"/>
        <v/>
      </c>
      <c r="BS329" s="1">
        <f t="shared" si="96"/>
        <v>0</v>
      </c>
      <c r="BT329" s="4">
        <f t="shared" si="97"/>
        <v>0</v>
      </c>
      <c r="BU329" s="39">
        <f t="shared" si="98"/>
        <v>0</v>
      </c>
      <c r="BV329" s="1">
        <f t="shared" si="99"/>
        <v>0</v>
      </c>
      <c r="BW329">
        <f t="shared" si="100"/>
        <v>0</v>
      </c>
      <c r="BX329">
        <f t="shared" si="101"/>
        <v>0</v>
      </c>
    </row>
    <row r="330" spans="58:76" x14ac:dyDescent="0.25">
      <c r="BF330" s="1" t="e">
        <f>VLOOKUP(N330,'Incoming Material Report'!H:M,6,FALSE)</f>
        <v>#N/A</v>
      </c>
      <c r="BG330" s="1" t="e">
        <f>IF(VLOOKUP(N330,'Incoming Material Report'!H:N,7,FALSE)=0,"",VLOOKUP(N330,'Incoming Material Report'!H:N,7,FALSE))</f>
        <v>#N/A</v>
      </c>
      <c r="BH330" s="39">
        <f t="shared" si="85"/>
        <v>0</v>
      </c>
      <c r="BI330" s="1">
        <f t="shared" si="86"/>
        <v>0</v>
      </c>
      <c r="BJ330" s="1">
        <f t="shared" si="87"/>
        <v>0</v>
      </c>
      <c r="BK330" s="1">
        <f t="shared" si="88"/>
        <v>0</v>
      </c>
      <c r="BL330" s="1">
        <f t="shared" si="89"/>
        <v>0</v>
      </c>
      <c r="BM330" s="10" t="str">
        <f t="shared" si="90"/>
        <v/>
      </c>
      <c r="BN330" s="39">
        <f t="shared" si="91"/>
        <v>0</v>
      </c>
      <c r="BO330" s="39">
        <f t="shared" si="92"/>
        <v>0</v>
      </c>
      <c r="BP330" s="1">
        <f t="shared" si="93"/>
        <v>0</v>
      </c>
      <c r="BQ330" s="1">
        <f t="shared" si="94"/>
        <v>0</v>
      </c>
      <c r="BR330" s="1" t="str">
        <f t="shared" si="95"/>
        <v/>
      </c>
      <c r="BS330" s="1">
        <f t="shared" si="96"/>
        <v>0</v>
      </c>
      <c r="BT330" s="4">
        <f t="shared" si="97"/>
        <v>0</v>
      </c>
      <c r="BU330" s="39">
        <f t="shared" si="98"/>
        <v>0</v>
      </c>
      <c r="BV330" s="1">
        <f t="shared" si="99"/>
        <v>0</v>
      </c>
      <c r="BW330">
        <f t="shared" si="100"/>
        <v>0</v>
      </c>
      <c r="BX330">
        <f t="shared" si="101"/>
        <v>0</v>
      </c>
    </row>
    <row r="331" spans="58:76" x14ac:dyDescent="0.25">
      <c r="BF331" s="1" t="e">
        <f>VLOOKUP(N331,'Incoming Material Report'!H:M,6,FALSE)</f>
        <v>#N/A</v>
      </c>
      <c r="BG331" s="1" t="e">
        <f>IF(VLOOKUP(N331,'Incoming Material Report'!H:N,7,FALSE)=0,"",VLOOKUP(N331,'Incoming Material Report'!H:N,7,FALSE))</f>
        <v>#N/A</v>
      </c>
      <c r="BH331" s="39">
        <f t="shared" si="85"/>
        <v>0</v>
      </c>
      <c r="BI331" s="1">
        <f t="shared" si="86"/>
        <v>0</v>
      </c>
      <c r="BJ331" s="1">
        <f t="shared" si="87"/>
        <v>0</v>
      </c>
      <c r="BK331" s="1">
        <f t="shared" si="88"/>
        <v>0</v>
      </c>
      <c r="BL331" s="1">
        <f t="shared" si="89"/>
        <v>0</v>
      </c>
      <c r="BM331" s="10" t="str">
        <f t="shared" si="90"/>
        <v/>
      </c>
      <c r="BN331" s="39">
        <f t="shared" si="91"/>
        <v>0</v>
      </c>
      <c r="BO331" s="39">
        <f t="shared" si="92"/>
        <v>0</v>
      </c>
      <c r="BP331" s="1">
        <f t="shared" si="93"/>
        <v>0</v>
      </c>
      <c r="BQ331" s="1">
        <f t="shared" si="94"/>
        <v>0</v>
      </c>
      <c r="BR331" s="1" t="str">
        <f t="shared" si="95"/>
        <v/>
      </c>
      <c r="BS331" s="1">
        <f t="shared" si="96"/>
        <v>0</v>
      </c>
      <c r="BT331" s="4">
        <f t="shared" si="97"/>
        <v>0</v>
      </c>
      <c r="BU331" s="39">
        <f t="shared" si="98"/>
        <v>0</v>
      </c>
      <c r="BV331" s="1">
        <f t="shared" si="99"/>
        <v>0</v>
      </c>
      <c r="BW331">
        <f t="shared" si="100"/>
        <v>0</v>
      </c>
      <c r="BX331">
        <f t="shared" si="101"/>
        <v>0</v>
      </c>
    </row>
    <row r="332" spans="58:76" x14ac:dyDescent="0.25">
      <c r="BF332" s="1" t="e">
        <f>VLOOKUP(N332,'Incoming Material Report'!H:M,6,FALSE)</f>
        <v>#N/A</v>
      </c>
      <c r="BG332" s="1" t="e">
        <f>IF(VLOOKUP(N332,'Incoming Material Report'!H:N,7,FALSE)=0,"",VLOOKUP(N332,'Incoming Material Report'!H:N,7,FALSE))</f>
        <v>#N/A</v>
      </c>
      <c r="BH332" s="39">
        <f t="shared" si="85"/>
        <v>0</v>
      </c>
      <c r="BI332" s="1">
        <f t="shared" si="86"/>
        <v>0</v>
      </c>
      <c r="BJ332" s="1">
        <f t="shared" si="87"/>
        <v>0</v>
      </c>
      <c r="BK332" s="1">
        <f t="shared" si="88"/>
        <v>0</v>
      </c>
      <c r="BL332" s="1">
        <f t="shared" si="89"/>
        <v>0</v>
      </c>
      <c r="BM332" s="10" t="str">
        <f t="shared" si="90"/>
        <v/>
      </c>
      <c r="BN332" s="39">
        <f t="shared" si="91"/>
        <v>0</v>
      </c>
      <c r="BO332" s="39">
        <f t="shared" si="92"/>
        <v>0</v>
      </c>
      <c r="BP332" s="1">
        <f t="shared" si="93"/>
        <v>0</v>
      </c>
      <c r="BQ332" s="1">
        <f t="shared" si="94"/>
        <v>0</v>
      </c>
      <c r="BR332" s="1" t="str">
        <f t="shared" si="95"/>
        <v/>
      </c>
      <c r="BS332" s="1">
        <f t="shared" si="96"/>
        <v>0</v>
      </c>
      <c r="BT332" s="4">
        <f t="shared" si="97"/>
        <v>0</v>
      </c>
      <c r="BU332" s="39">
        <f t="shared" si="98"/>
        <v>0</v>
      </c>
      <c r="BV332" s="1">
        <f t="shared" si="99"/>
        <v>0</v>
      </c>
      <c r="BW332">
        <f t="shared" si="100"/>
        <v>0</v>
      </c>
      <c r="BX332">
        <f t="shared" si="101"/>
        <v>0</v>
      </c>
    </row>
    <row r="333" spans="58:76" x14ac:dyDescent="0.25">
      <c r="BF333" s="1" t="e">
        <f>VLOOKUP(N333,'Incoming Material Report'!H:M,6,FALSE)</f>
        <v>#N/A</v>
      </c>
      <c r="BG333" s="1" t="e">
        <f>IF(VLOOKUP(N333,'Incoming Material Report'!H:N,7,FALSE)=0,"",VLOOKUP(N333,'Incoming Material Report'!H:N,7,FALSE))</f>
        <v>#N/A</v>
      </c>
      <c r="BH333" s="39">
        <f t="shared" si="85"/>
        <v>0</v>
      </c>
      <c r="BI333" s="1">
        <f t="shared" si="86"/>
        <v>0</v>
      </c>
      <c r="BJ333" s="1">
        <f t="shared" si="87"/>
        <v>0</v>
      </c>
      <c r="BK333" s="1">
        <f t="shared" si="88"/>
        <v>0</v>
      </c>
      <c r="BL333" s="1">
        <f t="shared" si="89"/>
        <v>0</v>
      </c>
      <c r="BM333" s="10" t="str">
        <f t="shared" si="90"/>
        <v/>
      </c>
      <c r="BN333" s="39">
        <f t="shared" si="91"/>
        <v>0</v>
      </c>
      <c r="BO333" s="39">
        <f t="shared" si="92"/>
        <v>0</v>
      </c>
      <c r="BP333" s="1">
        <f t="shared" si="93"/>
        <v>0</v>
      </c>
      <c r="BQ333" s="1">
        <f t="shared" si="94"/>
        <v>0</v>
      </c>
      <c r="BR333" s="1" t="str">
        <f t="shared" si="95"/>
        <v/>
      </c>
      <c r="BS333" s="1">
        <f t="shared" si="96"/>
        <v>0</v>
      </c>
      <c r="BT333" s="4">
        <f t="shared" si="97"/>
        <v>0</v>
      </c>
      <c r="BU333" s="39">
        <f t="shared" si="98"/>
        <v>0</v>
      </c>
      <c r="BV333" s="1">
        <f t="shared" si="99"/>
        <v>0</v>
      </c>
      <c r="BW333">
        <f t="shared" si="100"/>
        <v>0</v>
      </c>
      <c r="BX333">
        <f t="shared" si="101"/>
        <v>0</v>
      </c>
    </row>
    <row r="334" spans="58:76" x14ac:dyDescent="0.25">
      <c r="BF334" s="1" t="e">
        <f>VLOOKUP(N334,'Incoming Material Report'!H:M,6,FALSE)</f>
        <v>#N/A</v>
      </c>
      <c r="BG334" s="1" t="e">
        <f>IF(VLOOKUP(N334,'Incoming Material Report'!H:N,7,FALSE)=0,"",VLOOKUP(N334,'Incoming Material Report'!H:N,7,FALSE))</f>
        <v>#N/A</v>
      </c>
      <c r="BH334" s="39">
        <f t="shared" si="85"/>
        <v>0</v>
      </c>
      <c r="BI334" s="1">
        <f t="shared" si="86"/>
        <v>0</v>
      </c>
      <c r="BJ334" s="1">
        <f t="shared" si="87"/>
        <v>0</v>
      </c>
      <c r="BK334" s="1">
        <f t="shared" si="88"/>
        <v>0</v>
      </c>
      <c r="BL334" s="1">
        <f t="shared" si="89"/>
        <v>0</v>
      </c>
      <c r="BM334" s="10" t="str">
        <f t="shared" si="90"/>
        <v/>
      </c>
      <c r="BN334" s="39">
        <f t="shared" si="91"/>
        <v>0</v>
      </c>
      <c r="BO334" s="39">
        <f t="shared" si="92"/>
        <v>0</v>
      </c>
      <c r="BP334" s="1">
        <f t="shared" si="93"/>
        <v>0</v>
      </c>
      <c r="BQ334" s="1">
        <f t="shared" si="94"/>
        <v>0</v>
      </c>
      <c r="BR334" s="1" t="str">
        <f t="shared" si="95"/>
        <v/>
      </c>
      <c r="BS334" s="1">
        <f t="shared" si="96"/>
        <v>0</v>
      </c>
      <c r="BT334" s="4">
        <f t="shared" si="97"/>
        <v>0</v>
      </c>
      <c r="BU334" s="39">
        <f t="shared" si="98"/>
        <v>0</v>
      </c>
      <c r="BV334" s="1">
        <f t="shared" si="99"/>
        <v>0</v>
      </c>
      <c r="BW334">
        <f t="shared" si="100"/>
        <v>0</v>
      </c>
      <c r="BX334">
        <f t="shared" si="101"/>
        <v>0</v>
      </c>
    </row>
    <row r="335" spans="58:76" x14ac:dyDescent="0.25">
      <c r="BF335" s="1" t="e">
        <f>VLOOKUP(N335,'Incoming Material Report'!H:M,6,FALSE)</f>
        <v>#N/A</v>
      </c>
      <c r="BG335" s="1" t="e">
        <f>IF(VLOOKUP(N335,'Incoming Material Report'!H:N,7,FALSE)=0,"",VLOOKUP(N335,'Incoming Material Report'!H:N,7,FALSE))</f>
        <v>#N/A</v>
      </c>
      <c r="BH335" s="39">
        <f t="shared" si="85"/>
        <v>0</v>
      </c>
      <c r="BI335" s="1">
        <f t="shared" si="86"/>
        <v>0</v>
      </c>
      <c r="BJ335" s="1">
        <f t="shared" si="87"/>
        <v>0</v>
      </c>
      <c r="BK335" s="1">
        <f t="shared" si="88"/>
        <v>0</v>
      </c>
      <c r="BL335" s="1">
        <f t="shared" si="89"/>
        <v>0</v>
      </c>
      <c r="BM335" s="10" t="str">
        <f t="shared" si="90"/>
        <v/>
      </c>
      <c r="BN335" s="39">
        <f t="shared" si="91"/>
        <v>0</v>
      </c>
      <c r="BO335" s="39">
        <f t="shared" si="92"/>
        <v>0</v>
      </c>
      <c r="BP335" s="1">
        <f t="shared" si="93"/>
        <v>0</v>
      </c>
      <c r="BQ335" s="1">
        <f t="shared" si="94"/>
        <v>0</v>
      </c>
      <c r="BR335" s="1" t="str">
        <f t="shared" si="95"/>
        <v/>
      </c>
      <c r="BS335" s="1">
        <f t="shared" si="96"/>
        <v>0</v>
      </c>
      <c r="BT335" s="4">
        <f t="shared" si="97"/>
        <v>0</v>
      </c>
      <c r="BU335" s="39">
        <f t="shared" si="98"/>
        <v>0</v>
      </c>
      <c r="BV335" s="1">
        <f t="shared" si="99"/>
        <v>0</v>
      </c>
      <c r="BW335">
        <f t="shared" si="100"/>
        <v>0</v>
      </c>
      <c r="BX335">
        <f t="shared" si="101"/>
        <v>0</v>
      </c>
    </row>
    <row r="336" spans="58:76" x14ac:dyDescent="0.25">
      <c r="BF336" s="1" t="e">
        <f>VLOOKUP(N336,'Incoming Material Report'!H:M,6,FALSE)</f>
        <v>#N/A</v>
      </c>
      <c r="BG336" s="1" t="e">
        <f>IF(VLOOKUP(N336,'Incoming Material Report'!H:N,7,FALSE)=0,"",VLOOKUP(N336,'Incoming Material Report'!H:N,7,FALSE))</f>
        <v>#N/A</v>
      </c>
      <c r="BH336" s="39">
        <f t="shared" si="85"/>
        <v>0</v>
      </c>
      <c r="BI336" s="1">
        <f t="shared" si="86"/>
        <v>0</v>
      </c>
      <c r="BJ336" s="1">
        <f t="shared" si="87"/>
        <v>0</v>
      </c>
      <c r="BK336" s="1">
        <f t="shared" si="88"/>
        <v>0</v>
      </c>
      <c r="BL336" s="1">
        <f t="shared" si="89"/>
        <v>0</v>
      </c>
      <c r="BM336" s="10" t="str">
        <f t="shared" si="90"/>
        <v/>
      </c>
      <c r="BN336" s="39">
        <f t="shared" si="91"/>
        <v>0</v>
      </c>
      <c r="BO336" s="39">
        <f t="shared" si="92"/>
        <v>0</v>
      </c>
      <c r="BP336" s="1">
        <f t="shared" si="93"/>
        <v>0</v>
      </c>
      <c r="BQ336" s="1">
        <f t="shared" si="94"/>
        <v>0</v>
      </c>
      <c r="BR336" s="1" t="str">
        <f t="shared" si="95"/>
        <v/>
      </c>
      <c r="BS336" s="1">
        <f t="shared" si="96"/>
        <v>0</v>
      </c>
      <c r="BT336" s="4">
        <f t="shared" si="97"/>
        <v>0</v>
      </c>
      <c r="BU336" s="39">
        <f t="shared" si="98"/>
        <v>0</v>
      </c>
      <c r="BV336" s="1">
        <f t="shared" si="99"/>
        <v>0</v>
      </c>
      <c r="BW336">
        <f t="shared" si="100"/>
        <v>0</v>
      </c>
      <c r="BX336">
        <f t="shared" si="101"/>
        <v>0</v>
      </c>
    </row>
    <row r="337" spans="58:76" x14ac:dyDescent="0.25">
      <c r="BF337" s="1" t="e">
        <f>VLOOKUP(N337,'Incoming Material Report'!H:M,6,FALSE)</f>
        <v>#N/A</v>
      </c>
      <c r="BG337" s="1" t="e">
        <f>IF(VLOOKUP(N337,'Incoming Material Report'!H:N,7,FALSE)=0,"",VLOOKUP(N337,'Incoming Material Report'!H:N,7,FALSE))</f>
        <v>#N/A</v>
      </c>
      <c r="BH337" s="39">
        <f t="shared" si="85"/>
        <v>0</v>
      </c>
      <c r="BI337" s="1">
        <f t="shared" si="86"/>
        <v>0</v>
      </c>
      <c r="BJ337" s="1">
        <f t="shared" si="87"/>
        <v>0</v>
      </c>
      <c r="BK337" s="1">
        <f t="shared" si="88"/>
        <v>0</v>
      </c>
      <c r="BL337" s="1">
        <f t="shared" si="89"/>
        <v>0</v>
      </c>
      <c r="BM337" s="10" t="str">
        <f t="shared" si="90"/>
        <v/>
      </c>
      <c r="BN337" s="39">
        <f t="shared" si="91"/>
        <v>0</v>
      </c>
      <c r="BO337" s="39">
        <f t="shared" si="92"/>
        <v>0</v>
      </c>
      <c r="BP337" s="1">
        <f t="shared" si="93"/>
        <v>0</v>
      </c>
      <c r="BQ337" s="1">
        <f t="shared" si="94"/>
        <v>0</v>
      </c>
      <c r="BR337" s="1" t="str">
        <f t="shared" si="95"/>
        <v/>
      </c>
      <c r="BS337" s="1">
        <f t="shared" si="96"/>
        <v>0</v>
      </c>
      <c r="BT337" s="4">
        <f t="shared" si="97"/>
        <v>0</v>
      </c>
      <c r="BU337" s="39">
        <f t="shared" si="98"/>
        <v>0</v>
      </c>
      <c r="BV337" s="1">
        <f t="shared" si="99"/>
        <v>0</v>
      </c>
      <c r="BW337">
        <f t="shared" si="100"/>
        <v>0</v>
      </c>
      <c r="BX337">
        <f t="shared" si="101"/>
        <v>0</v>
      </c>
    </row>
    <row r="338" spans="58:76" x14ac:dyDescent="0.25">
      <c r="BF338" s="1" t="e">
        <f>VLOOKUP(N338,'Incoming Material Report'!H:M,6,FALSE)</f>
        <v>#N/A</v>
      </c>
      <c r="BG338" s="1" t="e">
        <f>IF(VLOOKUP(N338,'Incoming Material Report'!H:N,7,FALSE)=0,"",VLOOKUP(N338,'Incoming Material Report'!H:N,7,FALSE))</f>
        <v>#N/A</v>
      </c>
      <c r="BH338" s="39">
        <f t="shared" si="85"/>
        <v>0</v>
      </c>
      <c r="BI338" s="1">
        <f t="shared" si="86"/>
        <v>0</v>
      </c>
      <c r="BJ338" s="1">
        <f t="shared" si="87"/>
        <v>0</v>
      </c>
      <c r="BK338" s="1">
        <f t="shared" si="88"/>
        <v>0</v>
      </c>
      <c r="BL338" s="1">
        <f t="shared" si="89"/>
        <v>0</v>
      </c>
      <c r="BM338" s="10" t="str">
        <f t="shared" si="90"/>
        <v/>
      </c>
      <c r="BN338" s="39">
        <f t="shared" si="91"/>
        <v>0</v>
      </c>
      <c r="BO338" s="39">
        <f t="shared" si="92"/>
        <v>0</v>
      </c>
      <c r="BP338" s="1">
        <f t="shared" si="93"/>
        <v>0</v>
      </c>
      <c r="BQ338" s="1">
        <f t="shared" si="94"/>
        <v>0</v>
      </c>
      <c r="BR338" s="1" t="str">
        <f t="shared" si="95"/>
        <v/>
      </c>
      <c r="BS338" s="1">
        <f t="shared" si="96"/>
        <v>0</v>
      </c>
      <c r="BT338" s="4">
        <f t="shared" si="97"/>
        <v>0</v>
      </c>
      <c r="BU338" s="39">
        <f t="shared" si="98"/>
        <v>0</v>
      </c>
      <c r="BV338" s="1">
        <f t="shared" si="99"/>
        <v>0</v>
      </c>
      <c r="BW338">
        <f t="shared" si="100"/>
        <v>0</v>
      </c>
      <c r="BX338">
        <f t="shared" si="101"/>
        <v>0</v>
      </c>
    </row>
    <row r="339" spans="58:76" x14ac:dyDescent="0.25">
      <c r="BF339" s="1" t="e">
        <f>VLOOKUP(N339,'Incoming Material Report'!H:M,6,FALSE)</f>
        <v>#N/A</v>
      </c>
      <c r="BG339" s="1" t="e">
        <f>IF(VLOOKUP(N339,'Incoming Material Report'!H:N,7,FALSE)=0,"",VLOOKUP(N339,'Incoming Material Report'!H:N,7,FALSE))</f>
        <v>#N/A</v>
      </c>
      <c r="BH339" s="39">
        <f t="shared" si="85"/>
        <v>0</v>
      </c>
      <c r="BI339" s="1">
        <f t="shared" si="86"/>
        <v>0</v>
      </c>
      <c r="BJ339" s="1">
        <f t="shared" si="87"/>
        <v>0</v>
      </c>
      <c r="BK339" s="1">
        <f t="shared" si="88"/>
        <v>0</v>
      </c>
      <c r="BL339" s="1">
        <f t="shared" si="89"/>
        <v>0</v>
      </c>
      <c r="BM339" s="10" t="str">
        <f t="shared" si="90"/>
        <v/>
      </c>
      <c r="BN339" s="39">
        <f t="shared" si="91"/>
        <v>0</v>
      </c>
      <c r="BO339" s="39">
        <f t="shared" si="92"/>
        <v>0</v>
      </c>
      <c r="BP339" s="1">
        <f t="shared" si="93"/>
        <v>0</v>
      </c>
      <c r="BQ339" s="1">
        <f t="shared" si="94"/>
        <v>0</v>
      </c>
      <c r="BR339" s="1" t="str">
        <f t="shared" si="95"/>
        <v/>
      </c>
      <c r="BS339" s="1">
        <f t="shared" si="96"/>
        <v>0</v>
      </c>
      <c r="BT339" s="4">
        <f t="shared" si="97"/>
        <v>0</v>
      </c>
      <c r="BU339" s="39">
        <f t="shared" si="98"/>
        <v>0</v>
      </c>
      <c r="BV339" s="1">
        <f t="shared" si="99"/>
        <v>0</v>
      </c>
      <c r="BW339">
        <f t="shared" si="100"/>
        <v>0</v>
      </c>
      <c r="BX339">
        <f t="shared" si="101"/>
        <v>0</v>
      </c>
    </row>
    <row r="340" spans="58:76" x14ac:dyDescent="0.25">
      <c r="BF340" s="1" t="e">
        <f>VLOOKUP(N340,'Incoming Material Report'!H:M,6,FALSE)</f>
        <v>#N/A</v>
      </c>
      <c r="BG340" s="1" t="e">
        <f>IF(VLOOKUP(N340,'Incoming Material Report'!H:N,7,FALSE)=0,"",VLOOKUP(N340,'Incoming Material Report'!H:N,7,FALSE))</f>
        <v>#N/A</v>
      </c>
      <c r="BH340" s="39">
        <f t="shared" si="85"/>
        <v>0</v>
      </c>
      <c r="BI340" s="1">
        <f t="shared" si="86"/>
        <v>0</v>
      </c>
      <c r="BJ340" s="1">
        <f t="shared" si="87"/>
        <v>0</v>
      </c>
      <c r="BK340" s="1">
        <f t="shared" si="88"/>
        <v>0</v>
      </c>
      <c r="BL340" s="1">
        <f t="shared" si="89"/>
        <v>0</v>
      </c>
      <c r="BM340" s="10" t="str">
        <f t="shared" si="90"/>
        <v/>
      </c>
      <c r="BN340" s="39">
        <f t="shared" si="91"/>
        <v>0</v>
      </c>
      <c r="BO340" s="39">
        <f t="shared" si="92"/>
        <v>0</v>
      </c>
      <c r="BP340" s="1">
        <f t="shared" si="93"/>
        <v>0</v>
      </c>
      <c r="BQ340" s="1">
        <f t="shared" si="94"/>
        <v>0</v>
      </c>
      <c r="BR340" s="1" t="str">
        <f t="shared" si="95"/>
        <v/>
      </c>
      <c r="BS340" s="1">
        <f t="shared" si="96"/>
        <v>0</v>
      </c>
      <c r="BT340" s="4">
        <f t="shared" si="97"/>
        <v>0</v>
      </c>
      <c r="BU340" s="39">
        <f t="shared" si="98"/>
        <v>0</v>
      </c>
      <c r="BV340" s="1">
        <f t="shared" si="99"/>
        <v>0</v>
      </c>
      <c r="BW340">
        <f t="shared" si="100"/>
        <v>0</v>
      </c>
      <c r="BX340">
        <f t="shared" si="101"/>
        <v>0</v>
      </c>
    </row>
    <row r="341" spans="58:76" x14ac:dyDescent="0.25">
      <c r="BF341" s="1" t="e">
        <f>VLOOKUP(N341,'Incoming Material Report'!H:M,6,FALSE)</f>
        <v>#N/A</v>
      </c>
      <c r="BG341" s="1" t="e">
        <f>IF(VLOOKUP(N341,'Incoming Material Report'!H:N,7,FALSE)=0,"",VLOOKUP(N341,'Incoming Material Report'!H:N,7,FALSE))</f>
        <v>#N/A</v>
      </c>
      <c r="BH341" s="39">
        <f t="shared" si="85"/>
        <v>0</v>
      </c>
      <c r="BI341" s="1">
        <f t="shared" si="86"/>
        <v>0</v>
      </c>
      <c r="BJ341" s="1">
        <f t="shared" si="87"/>
        <v>0</v>
      </c>
      <c r="BK341" s="1">
        <f t="shared" si="88"/>
        <v>0</v>
      </c>
      <c r="BL341" s="1">
        <f t="shared" si="89"/>
        <v>0</v>
      </c>
      <c r="BM341" s="10" t="str">
        <f t="shared" si="90"/>
        <v/>
      </c>
      <c r="BN341" s="39">
        <f t="shared" si="91"/>
        <v>0</v>
      </c>
      <c r="BO341" s="39">
        <f t="shared" si="92"/>
        <v>0</v>
      </c>
      <c r="BP341" s="1">
        <f t="shared" si="93"/>
        <v>0</v>
      </c>
      <c r="BQ341" s="1">
        <f t="shared" si="94"/>
        <v>0</v>
      </c>
      <c r="BR341" s="1" t="str">
        <f t="shared" si="95"/>
        <v/>
      </c>
      <c r="BS341" s="1">
        <f t="shared" si="96"/>
        <v>0</v>
      </c>
      <c r="BT341" s="4">
        <f t="shared" si="97"/>
        <v>0</v>
      </c>
      <c r="BU341" s="39">
        <f t="shared" si="98"/>
        <v>0</v>
      </c>
      <c r="BV341" s="1">
        <f t="shared" si="99"/>
        <v>0</v>
      </c>
      <c r="BW341">
        <f t="shared" si="100"/>
        <v>0</v>
      </c>
      <c r="BX341">
        <f t="shared" si="101"/>
        <v>0</v>
      </c>
    </row>
    <row r="342" spans="58:76" x14ac:dyDescent="0.25">
      <c r="BF342" s="1" t="e">
        <f>VLOOKUP(N342,'Incoming Material Report'!H:M,6,FALSE)</f>
        <v>#N/A</v>
      </c>
      <c r="BG342" s="1" t="e">
        <f>IF(VLOOKUP(N342,'Incoming Material Report'!H:N,7,FALSE)=0,"",VLOOKUP(N342,'Incoming Material Report'!H:N,7,FALSE))</f>
        <v>#N/A</v>
      </c>
      <c r="BH342" s="39">
        <f t="shared" si="85"/>
        <v>0</v>
      </c>
      <c r="BI342" s="1">
        <f t="shared" si="86"/>
        <v>0</v>
      </c>
      <c r="BJ342" s="1">
        <f t="shared" si="87"/>
        <v>0</v>
      </c>
      <c r="BK342" s="1">
        <f t="shared" si="88"/>
        <v>0</v>
      </c>
      <c r="BL342" s="1">
        <f t="shared" si="89"/>
        <v>0</v>
      </c>
      <c r="BM342" s="10" t="str">
        <f t="shared" si="90"/>
        <v/>
      </c>
      <c r="BN342" s="39">
        <f t="shared" si="91"/>
        <v>0</v>
      </c>
      <c r="BO342" s="39">
        <f t="shared" si="92"/>
        <v>0</v>
      </c>
      <c r="BP342" s="1">
        <f t="shared" si="93"/>
        <v>0</v>
      </c>
      <c r="BQ342" s="1">
        <f t="shared" si="94"/>
        <v>0</v>
      </c>
      <c r="BR342" s="1" t="str">
        <f t="shared" si="95"/>
        <v/>
      </c>
      <c r="BS342" s="1">
        <f t="shared" si="96"/>
        <v>0</v>
      </c>
      <c r="BT342" s="4">
        <f t="shared" si="97"/>
        <v>0</v>
      </c>
      <c r="BU342" s="39">
        <f t="shared" si="98"/>
        <v>0</v>
      </c>
      <c r="BV342" s="1">
        <f t="shared" si="99"/>
        <v>0</v>
      </c>
      <c r="BW342">
        <f t="shared" si="100"/>
        <v>0</v>
      </c>
      <c r="BX342">
        <f t="shared" si="101"/>
        <v>0</v>
      </c>
    </row>
    <row r="343" spans="58:76" x14ac:dyDescent="0.25">
      <c r="BF343" s="1" t="e">
        <f>VLOOKUP(N343,'Incoming Material Report'!H:M,6,FALSE)</f>
        <v>#N/A</v>
      </c>
      <c r="BG343" s="1" t="e">
        <f>IF(VLOOKUP(N343,'Incoming Material Report'!H:N,7,FALSE)=0,"",VLOOKUP(N343,'Incoming Material Report'!H:N,7,FALSE))</f>
        <v>#N/A</v>
      </c>
      <c r="BH343" s="39">
        <f t="shared" si="85"/>
        <v>0</v>
      </c>
      <c r="BI343" s="1">
        <f t="shared" si="86"/>
        <v>0</v>
      </c>
      <c r="BJ343" s="1">
        <f t="shared" si="87"/>
        <v>0</v>
      </c>
      <c r="BK343" s="1">
        <f t="shared" si="88"/>
        <v>0</v>
      </c>
      <c r="BL343" s="1">
        <f t="shared" si="89"/>
        <v>0</v>
      </c>
      <c r="BM343" s="10" t="str">
        <f t="shared" si="90"/>
        <v/>
      </c>
      <c r="BN343" s="39">
        <f t="shared" si="91"/>
        <v>0</v>
      </c>
      <c r="BO343" s="39">
        <f t="shared" si="92"/>
        <v>0</v>
      </c>
      <c r="BP343" s="1">
        <f t="shared" si="93"/>
        <v>0</v>
      </c>
      <c r="BQ343" s="1">
        <f t="shared" si="94"/>
        <v>0</v>
      </c>
      <c r="BR343" s="1" t="str">
        <f t="shared" si="95"/>
        <v/>
      </c>
      <c r="BS343" s="1">
        <f t="shared" si="96"/>
        <v>0</v>
      </c>
      <c r="BT343" s="4">
        <f t="shared" si="97"/>
        <v>0</v>
      </c>
      <c r="BU343" s="39">
        <f t="shared" si="98"/>
        <v>0</v>
      </c>
      <c r="BV343" s="1">
        <f t="shared" si="99"/>
        <v>0</v>
      </c>
      <c r="BW343">
        <f t="shared" si="100"/>
        <v>0</v>
      </c>
      <c r="BX343">
        <f t="shared" si="101"/>
        <v>0</v>
      </c>
    </row>
    <row r="344" spans="58:76" x14ac:dyDescent="0.25">
      <c r="BF344" s="1" t="e">
        <f>VLOOKUP(N344,'Incoming Material Report'!H:M,6,FALSE)</f>
        <v>#N/A</v>
      </c>
      <c r="BG344" s="1" t="e">
        <f>IF(VLOOKUP(N344,'Incoming Material Report'!H:N,7,FALSE)=0,"",VLOOKUP(N344,'Incoming Material Report'!H:N,7,FALSE))</f>
        <v>#N/A</v>
      </c>
      <c r="BH344" s="39">
        <f t="shared" si="85"/>
        <v>0</v>
      </c>
      <c r="BI344" s="1">
        <f t="shared" si="86"/>
        <v>0</v>
      </c>
      <c r="BJ344" s="1">
        <f t="shared" si="87"/>
        <v>0</v>
      </c>
      <c r="BK344" s="1">
        <f t="shared" si="88"/>
        <v>0</v>
      </c>
      <c r="BL344" s="1">
        <f t="shared" si="89"/>
        <v>0</v>
      </c>
      <c r="BM344" s="10" t="str">
        <f t="shared" si="90"/>
        <v/>
      </c>
      <c r="BN344" s="39">
        <f t="shared" si="91"/>
        <v>0</v>
      </c>
      <c r="BO344" s="39">
        <f t="shared" si="92"/>
        <v>0</v>
      </c>
      <c r="BP344" s="1">
        <f t="shared" si="93"/>
        <v>0</v>
      </c>
      <c r="BQ344" s="1">
        <f t="shared" si="94"/>
        <v>0</v>
      </c>
      <c r="BR344" s="1" t="str">
        <f t="shared" si="95"/>
        <v/>
      </c>
      <c r="BS344" s="1">
        <f t="shared" si="96"/>
        <v>0</v>
      </c>
      <c r="BT344" s="4">
        <f t="shared" si="97"/>
        <v>0</v>
      </c>
      <c r="BU344" s="39">
        <f t="shared" si="98"/>
        <v>0</v>
      </c>
      <c r="BV344" s="1">
        <f t="shared" si="99"/>
        <v>0</v>
      </c>
      <c r="BW344">
        <f t="shared" si="100"/>
        <v>0</v>
      </c>
      <c r="BX344">
        <f t="shared" si="101"/>
        <v>0</v>
      </c>
    </row>
    <row r="345" spans="58:76" x14ac:dyDescent="0.25">
      <c r="BF345" s="1" t="e">
        <f>VLOOKUP(N345,'Incoming Material Report'!H:M,6,FALSE)</f>
        <v>#N/A</v>
      </c>
      <c r="BG345" s="1" t="e">
        <f>IF(VLOOKUP(N345,'Incoming Material Report'!H:N,7,FALSE)=0,"",VLOOKUP(N345,'Incoming Material Report'!H:N,7,FALSE))</f>
        <v>#N/A</v>
      </c>
      <c r="BH345" s="39">
        <f t="shared" si="85"/>
        <v>0</v>
      </c>
      <c r="BI345" s="1">
        <f t="shared" si="86"/>
        <v>0</v>
      </c>
      <c r="BJ345" s="1">
        <f t="shared" si="87"/>
        <v>0</v>
      </c>
      <c r="BK345" s="1">
        <f t="shared" si="88"/>
        <v>0</v>
      </c>
      <c r="BL345" s="1">
        <f t="shared" si="89"/>
        <v>0</v>
      </c>
      <c r="BM345" s="10" t="str">
        <f t="shared" si="90"/>
        <v/>
      </c>
      <c r="BN345" s="39">
        <f t="shared" si="91"/>
        <v>0</v>
      </c>
      <c r="BO345" s="39">
        <f t="shared" si="92"/>
        <v>0</v>
      </c>
      <c r="BP345" s="1">
        <f t="shared" si="93"/>
        <v>0</v>
      </c>
      <c r="BQ345" s="1">
        <f t="shared" si="94"/>
        <v>0</v>
      </c>
      <c r="BR345" s="1" t="str">
        <f t="shared" si="95"/>
        <v/>
      </c>
      <c r="BS345" s="1">
        <f t="shared" si="96"/>
        <v>0</v>
      </c>
      <c r="BT345" s="4">
        <f t="shared" si="97"/>
        <v>0</v>
      </c>
      <c r="BU345" s="39">
        <f t="shared" si="98"/>
        <v>0</v>
      </c>
      <c r="BV345" s="1">
        <f t="shared" si="99"/>
        <v>0</v>
      </c>
      <c r="BW345">
        <f t="shared" si="100"/>
        <v>0</v>
      </c>
      <c r="BX345">
        <f t="shared" si="101"/>
        <v>0</v>
      </c>
    </row>
    <row r="346" spans="58:76" x14ac:dyDescent="0.25">
      <c r="BF346" s="1" t="e">
        <f>VLOOKUP(N346,'Incoming Material Report'!H:M,6,FALSE)</f>
        <v>#N/A</v>
      </c>
      <c r="BG346" s="1" t="e">
        <f>IF(VLOOKUP(N346,'Incoming Material Report'!H:N,7,FALSE)=0,"",VLOOKUP(N346,'Incoming Material Report'!H:N,7,FALSE))</f>
        <v>#N/A</v>
      </c>
      <c r="BH346" s="39">
        <f t="shared" si="85"/>
        <v>0</v>
      </c>
      <c r="BI346" s="1">
        <f t="shared" si="86"/>
        <v>0</v>
      </c>
      <c r="BJ346" s="1">
        <f t="shared" si="87"/>
        <v>0</v>
      </c>
      <c r="BK346" s="1">
        <f t="shared" si="88"/>
        <v>0</v>
      </c>
      <c r="BL346" s="1">
        <f t="shared" si="89"/>
        <v>0</v>
      </c>
      <c r="BM346" s="10" t="str">
        <f t="shared" si="90"/>
        <v/>
      </c>
      <c r="BN346" s="39">
        <f t="shared" si="91"/>
        <v>0</v>
      </c>
      <c r="BO346" s="39">
        <f t="shared" si="92"/>
        <v>0</v>
      </c>
      <c r="BP346" s="1">
        <f t="shared" si="93"/>
        <v>0</v>
      </c>
      <c r="BQ346" s="1">
        <f t="shared" si="94"/>
        <v>0</v>
      </c>
      <c r="BR346" s="1" t="str">
        <f t="shared" si="95"/>
        <v/>
      </c>
      <c r="BS346" s="1">
        <f t="shared" si="96"/>
        <v>0</v>
      </c>
      <c r="BT346" s="4">
        <f t="shared" si="97"/>
        <v>0</v>
      </c>
      <c r="BU346" s="39">
        <f t="shared" si="98"/>
        <v>0</v>
      </c>
      <c r="BV346" s="1">
        <f t="shared" si="99"/>
        <v>0</v>
      </c>
      <c r="BW346">
        <f t="shared" si="100"/>
        <v>0</v>
      </c>
      <c r="BX346">
        <f t="shared" si="101"/>
        <v>0</v>
      </c>
    </row>
    <row r="347" spans="58:76" x14ac:dyDescent="0.25">
      <c r="BF347" s="1" t="e">
        <f>VLOOKUP(N347,'Incoming Material Report'!H:M,6,FALSE)</f>
        <v>#N/A</v>
      </c>
      <c r="BG347" s="1" t="e">
        <f>IF(VLOOKUP(N347,'Incoming Material Report'!H:N,7,FALSE)=0,"",VLOOKUP(N347,'Incoming Material Report'!H:N,7,FALSE))</f>
        <v>#N/A</v>
      </c>
      <c r="BH347" s="39">
        <f t="shared" si="85"/>
        <v>0</v>
      </c>
      <c r="BI347" s="1">
        <f t="shared" si="86"/>
        <v>0</v>
      </c>
      <c r="BJ347" s="1">
        <f t="shared" si="87"/>
        <v>0</v>
      </c>
      <c r="BK347" s="1">
        <f t="shared" si="88"/>
        <v>0</v>
      </c>
      <c r="BL347" s="1">
        <f t="shared" si="89"/>
        <v>0</v>
      </c>
      <c r="BM347" s="10" t="str">
        <f t="shared" si="90"/>
        <v/>
      </c>
      <c r="BN347" s="39">
        <f t="shared" si="91"/>
        <v>0</v>
      </c>
      <c r="BO347" s="39">
        <f t="shared" si="92"/>
        <v>0</v>
      </c>
      <c r="BP347" s="1">
        <f t="shared" si="93"/>
        <v>0</v>
      </c>
      <c r="BQ347" s="1">
        <f t="shared" si="94"/>
        <v>0</v>
      </c>
      <c r="BR347" s="1" t="str">
        <f t="shared" si="95"/>
        <v/>
      </c>
      <c r="BS347" s="1">
        <f t="shared" si="96"/>
        <v>0</v>
      </c>
      <c r="BT347" s="4">
        <f t="shared" si="97"/>
        <v>0</v>
      </c>
      <c r="BU347" s="39">
        <f t="shared" si="98"/>
        <v>0</v>
      </c>
      <c r="BV347" s="1">
        <f t="shared" si="99"/>
        <v>0</v>
      </c>
      <c r="BW347">
        <f t="shared" si="100"/>
        <v>0</v>
      </c>
      <c r="BX347">
        <f t="shared" si="101"/>
        <v>0</v>
      </c>
    </row>
    <row r="348" spans="58:76" x14ac:dyDescent="0.25">
      <c r="BF348" s="1" t="e">
        <f>VLOOKUP(N348,'Incoming Material Report'!H:M,6,FALSE)</f>
        <v>#N/A</v>
      </c>
      <c r="BG348" s="1" t="e">
        <f>IF(VLOOKUP(N348,'Incoming Material Report'!H:N,7,FALSE)=0,"",VLOOKUP(N348,'Incoming Material Report'!H:N,7,FALSE))</f>
        <v>#N/A</v>
      </c>
      <c r="BH348" s="39">
        <f t="shared" si="85"/>
        <v>0</v>
      </c>
      <c r="BI348" s="1">
        <f t="shared" si="86"/>
        <v>0</v>
      </c>
      <c r="BJ348" s="1">
        <f t="shared" si="87"/>
        <v>0</v>
      </c>
      <c r="BK348" s="1">
        <f t="shared" si="88"/>
        <v>0</v>
      </c>
      <c r="BL348" s="1">
        <f t="shared" si="89"/>
        <v>0</v>
      </c>
      <c r="BM348" s="10" t="str">
        <f t="shared" si="90"/>
        <v/>
      </c>
      <c r="BN348" s="39">
        <f t="shared" si="91"/>
        <v>0</v>
      </c>
      <c r="BO348" s="39">
        <f t="shared" si="92"/>
        <v>0</v>
      </c>
      <c r="BP348" s="1">
        <f t="shared" si="93"/>
        <v>0</v>
      </c>
      <c r="BQ348" s="1">
        <f t="shared" si="94"/>
        <v>0</v>
      </c>
      <c r="BR348" s="1" t="str">
        <f t="shared" si="95"/>
        <v/>
      </c>
      <c r="BS348" s="1">
        <f t="shared" si="96"/>
        <v>0</v>
      </c>
      <c r="BT348" s="4">
        <f t="shared" si="97"/>
        <v>0</v>
      </c>
      <c r="BU348" s="39">
        <f t="shared" si="98"/>
        <v>0</v>
      </c>
      <c r="BV348" s="1">
        <f t="shared" si="99"/>
        <v>0</v>
      </c>
      <c r="BW348">
        <f t="shared" si="100"/>
        <v>0</v>
      </c>
      <c r="BX348">
        <f t="shared" si="101"/>
        <v>0</v>
      </c>
    </row>
    <row r="349" spans="58:76" x14ac:dyDescent="0.25">
      <c r="BF349" s="1" t="e">
        <f>VLOOKUP(N349,'Incoming Material Report'!H:M,6,FALSE)</f>
        <v>#N/A</v>
      </c>
      <c r="BG349" s="1" t="e">
        <f>IF(VLOOKUP(N349,'Incoming Material Report'!H:N,7,FALSE)=0,"",VLOOKUP(N349,'Incoming Material Report'!H:N,7,FALSE))</f>
        <v>#N/A</v>
      </c>
      <c r="BH349" s="39">
        <f t="shared" si="85"/>
        <v>0</v>
      </c>
      <c r="BI349" s="1">
        <f t="shared" si="86"/>
        <v>0</v>
      </c>
      <c r="BJ349" s="1">
        <f t="shared" si="87"/>
        <v>0</v>
      </c>
      <c r="BK349" s="1">
        <f t="shared" si="88"/>
        <v>0</v>
      </c>
      <c r="BL349" s="1">
        <f t="shared" si="89"/>
        <v>0</v>
      </c>
      <c r="BM349" s="10" t="str">
        <f t="shared" si="90"/>
        <v/>
      </c>
      <c r="BN349" s="39">
        <f t="shared" si="91"/>
        <v>0</v>
      </c>
      <c r="BO349" s="39">
        <f t="shared" si="92"/>
        <v>0</v>
      </c>
      <c r="BP349" s="1">
        <f t="shared" si="93"/>
        <v>0</v>
      </c>
      <c r="BQ349" s="1">
        <f t="shared" si="94"/>
        <v>0</v>
      </c>
      <c r="BR349" s="1" t="str">
        <f t="shared" si="95"/>
        <v/>
      </c>
      <c r="BS349" s="1">
        <f t="shared" si="96"/>
        <v>0</v>
      </c>
      <c r="BT349" s="4">
        <f t="shared" si="97"/>
        <v>0</v>
      </c>
      <c r="BU349" s="39">
        <f t="shared" si="98"/>
        <v>0</v>
      </c>
      <c r="BV349" s="1">
        <f t="shared" si="99"/>
        <v>0</v>
      </c>
      <c r="BW349">
        <f t="shared" si="100"/>
        <v>0</v>
      </c>
      <c r="BX349">
        <f t="shared" si="101"/>
        <v>0</v>
      </c>
    </row>
    <row r="350" spans="58:76" x14ac:dyDescent="0.25">
      <c r="BF350" s="1" t="e">
        <f>VLOOKUP(N350,'Incoming Material Report'!H:M,6,FALSE)</f>
        <v>#N/A</v>
      </c>
      <c r="BG350" s="1" t="e">
        <f>IF(VLOOKUP(N350,'Incoming Material Report'!H:N,7,FALSE)=0,"",VLOOKUP(N350,'Incoming Material Report'!H:N,7,FALSE))</f>
        <v>#N/A</v>
      </c>
      <c r="BH350" s="39">
        <f t="shared" si="85"/>
        <v>0</v>
      </c>
      <c r="BI350" s="1">
        <f t="shared" si="86"/>
        <v>0</v>
      </c>
      <c r="BJ350" s="1">
        <f t="shared" si="87"/>
        <v>0</v>
      </c>
      <c r="BK350" s="1">
        <f t="shared" si="88"/>
        <v>0</v>
      </c>
      <c r="BL350" s="1">
        <f t="shared" si="89"/>
        <v>0</v>
      </c>
      <c r="BM350" s="10" t="str">
        <f t="shared" si="90"/>
        <v/>
      </c>
      <c r="BN350" s="39">
        <f t="shared" si="91"/>
        <v>0</v>
      </c>
      <c r="BO350" s="39">
        <f t="shared" si="92"/>
        <v>0</v>
      </c>
      <c r="BP350" s="1">
        <f t="shared" si="93"/>
        <v>0</v>
      </c>
      <c r="BQ350" s="1">
        <f t="shared" si="94"/>
        <v>0</v>
      </c>
      <c r="BR350" s="1" t="str">
        <f t="shared" si="95"/>
        <v/>
      </c>
      <c r="BS350" s="1">
        <f t="shared" si="96"/>
        <v>0</v>
      </c>
      <c r="BT350" s="4">
        <f t="shared" si="97"/>
        <v>0</v>
      </c>
      <c r="BU350" s="39">
        <f t="shared" si="98"/>
        <v>0</v>
      </c>
      <c r="BV350" s="1">
        <f t="shared" si="99"/>
        <v>0</v>
      </c>
      <c r="BW350">
        <f t="shared" si="100"/>
        <v>0</v>
      </c>
      <c r="BX350">
        <f t="shared" si="101"/>
        <v>0</v>
      </c>
    </row>
    <row r="351" spans="58:76" x14ac:dyDescent="0.25">
      <c r="BF351" s="1" t="e">
        <f>VLOOKUP(N351,'Incoming Material Report'!H:M,6,FALSE)</f>
        <v>#N/A</v>
      </c>
      <c r="BG351" s="1" t="e">
        <f>IF(VLOOKUP(N351,'Incoming Material Report'!H:N,7,FALSE)=0,"",VLOOKUP(N351,'Incoming Material Report'!H:N,7,FALSE))</f>
        <v>#N/A</v>
      </c>
      <c r="BH351" s="39">
        <f t="shared" si="85"/>
        <v>0</v>
      </c>
      <c r="BI351" s="1">
        <f t="shared" si="86"/>
        <v>0</v>
      </c>
      <c r="BJ351" s="1">
        <f t="shared" si="87"/>
        <v>0</v>
      </c>
      <c r="BK351" s="1">
        <f t="shared" si="88"/>
        <v>0</v>
      </c>
      <c r="BL351" s="1">
        <f t="shared" si="89"/>
        <v>0</v>
      </c>
      <c r="BM351" s="10" t="str">
        <f t="shared" si="90"/>
        <v/>
      </c>
      <c r="BN351" s="39">
        <f t="shared" si="91"/>
        <v>0</v>
      </c>
      <c r="BO351" s="39">
        <f t="shared" si="92"/>
        <v>0</v>
      </c>
      <c r="BP351" s="1">
        <f t="shared" si="93"/>
        <v>0</v>
      </c>
      <c r="BQ351" s="1">
        <f t="shared" si="94"/>
        <v>0</v>
      </c>
      <c r="BR351" s="1" t="str">
        <f t="shared" si="95"/>
        <v/>
      </c>
      <c r="BS351" s="1">
        <f t="shared" si="96"/>
        <v>0</v>
      </c>
      <c r="BT351" s="4">
        <f t="shared" si="97"/>
        <v>0</v>
      </c>
      <c r="BU351" s="39">
        <f t="shared" si="98"/>
        <v>0</v>
      </c>
      <c r="BV351" s="1">
        <f t="shared" si="99"/>
        <v>0</v>
      </c>
      <c r="BW351">
        <f t="shared" si="100"/>
        <v>0</v>
      </c>
      <c r="BX351">
        <f t="shared" si="101"/>
        <v>0</v>
      </c>
    </row>
    <row r="352" spans="58:76" x14ac:dyDescent="0.25">
      <c r="BF352" s="1" t="e">
        <f>VLOOKUP(N352,'Incoming Material Report'!H:M,6,FALSE)</f>
        <v>#N/A</v>
      </c>
      <c r="BG352" s="1" t="e">
        <f>IF(VLOOKUP(N352,'Incoming Material Report'!H:N,7,FALSE)=0,"",VLOOKUP(N352,'Incoming Material Report'!H:N,7,FALSE))</f>
        <v>#N/A</v>
      </c>
      <c r="BH352" s="39">
        <f t="shared" si="85"/>
        <v>0</v>
      </c>
      <c r="BI352" s="1">
        <f t="shared" si="86"/>
        <v>0</v>
      </c>
      <c r="BJ352" s="1">
        <f t="shared" si="87"/>
        <v>0</v>
      </c>
      <c r="BK352" s="1">
        <f t="shared" si="88"/>
        <v>0</v>
      </c>
      <c r="BL352" s="1">
        <f t="shared" si="89"/>
        <v>0</v>
      </c>
      <c r="BM352" s="10" t="str">
        <f t="shared" si="90"/>
        <v/>
      </c>
      <c r="BN352" s="39">
        <f t="shared" si="91"/>
        <v>0</v>
      </c>
      <c r="BO352" s="39">
        <f t="shared" si="92"/>
        <v>0</v>
      </c>
      <c r="BP352" s="1">
        <f t="shared" si="93"/>
        <v>0</v>
      </c>
      <c r="BQ352" s="1">
        <f t="shared" si="94"/>
        <v>0</v>
      </c>
      <c r="BR352" s="1" t="str">
        <f t="shared" si="95"/>
        <v/>
      </c>
      <c r="BS352" s="1">
        <f t="shared" si="96"/>
        <v>0</v>
      </c>
      <c r="BT352" s="4">
        <f t="shared" si="97"/>
        <v>0</v>
      </c>
      <c r="BU352" s="39">
        <f t="shared" si="98"/>
        <v>0</v>
      </c>
      <c r="BV352" s="1">
        <f t="shared" si="99"/>
        <v>0</v>
      </c>
      <c r="BW352">
        <f t="shared" si="100"/>
        <v>0</v>
      </c>
      <c r="BX352">
        <f t="shared" si="101"/>
        <v>0</v>
      </c>
    </row>
    <row r="353" spans="58:76" x14ac:dyDescent="0.25">
      <c r="BF353" s="1" t="e">
        <f>VLOOKUP(N353,'Incoming Material Report'!H:M,6,FALSE)</f>
        <v>#N/A</v>
      </c>
      <c r="BG353" s="1" t="e">
        <f>IF(VLOOKUP(N353,'Incoming Material Report'!H:N,7,FALSE)=0,"",VLOOKUP(N353,'Incoming Material Report'!H:N,7,FALSE))</f>
        <v>#N/A</v>
      </c>
      <c r="BH353" s="39">
        <f t="shared" si="85"/>
        <v>0</v>
      </c>
      <c r="BI353" s="1">
        <f t="shared" si="86"/>
        <v>0</v>
      </c>
      <c r="BJ353" s="1">
        <f t="shared" si="87"/>
        <v>0</v>
      </c>
      <c r="BK353" s="1">
        <f t="shared" si="88"/>
        <v>0</v>
      </c>
      <c r="BL353" s="1">
        <f t="shared" si="89"/>
        <v>0</v>
      </c>
      <c r="BM353" s="10" t="str">
        <f t="shared" si="90"/>
        <v/>
      </c>
      <c r="BN353" s="39">
        <f t="shared" si="91"/>
        <v>0</v>
      </c>
      <c r="BO353" s="39">
        <f t="shared" si="92"/>
        <v>0</v>
      </c>
      <c r="BP353" s="1">
        <f t="shared" si="93"/>
        <v>0</v>
      </c>
      <c r="BQ353" s="1">
        <f t="shared" si="94"/>
        <v>0</v>
      </c>
      <c r="BR353" s="1" t="str">
        <f t="shared" si="95"/>
        <v/>
      </c>
      <c r="BS353" s="1">
        <f t="shared" si="96"/>
        <v>0</v>
      </c>
      <c r="BT353" s="4">
        <f t="shared" si="97"/>
        <v>0</v>
      </c>
      <c r="BU353" s="39">
        <f t="shared" si="98"/>
        <v>0</v>
      </c>
      <c r="BV353" s="1">
        <f t="shared" si="99"/>
        <v>0</v>
      </c>
      <c r="BW353">
        <f t="shared" si="100"/>
        <v>0</v>
      </c>
      <c r="BX353">
        <f t="shared" si="101"/>
        <v>0</v>
      </c>
    </row>
    <row r="354" spans="58:76" x14ac:dyDescent="0.25">
      <c r="BF354" s="1" t="e">
        <f>VLOOKUP(N354,'Incoming Material Report'!H:M,6,FALSE)</f>
        <v>#N/A</v>
      </c>
      <c r="BG354" s="1" t="e">
        <f>IF(VLOOKUP(N354,'Incoming Material Report'!H:N,7,FALSE)=0,"",VLOOKUP(N354,'Incoming Material Report'!H:N,7,FALSE))</f>
        <v>#N/A</v>
      </c>
      <c r="BH354" s="39">
        <f t="shared" si="85"/>
        <v>0</v>
      </c>
      <c r="BI354" s="1">
        <f t="shared" si="86"/>
        <v>0</v>
      </c>
      <c r="BJ354" s="1">
        <f t="shared" si="87"/>
        <v>0</v>
      </c>
      <c r="BK354" s="1">
        <f t="shared" si="88"/>
        <v>0</v>
      </c>
      <c r="BL354" s="1">
        <f t="shared" si="89"/>
        <v>0</v>
      </c>
      <c r="BM354" s="10" t="str">
        <f t="shared" si="90"/>
        <v/>
      </c>
      <c r="BN354" s="39">
        <f t="shared" si="91"/>
        <v>0</v>
      </c>
      <c r="BO354" s="39">
        <f t="shared" si="92"/>
        <v>0</v>
      </c>
      <c r="BP354" s="1">
        <f t="shared" si="93"/>
        <v>0</v>
      </c>
      <c r="BQ354" s="1">
        <f t="shared" si="94"/>
        <v>0</v>
      </c>
      <c r="BR354" s="1" t="str">
        <f t="shared" si="95"/>
        <v/>
      </c>
      <c r="BS354" s="1">
        <f t="shared" si="96"/>
        <v>0</v>
      </c>
      <c r="BT354" s="4">
        <f t="shared" si="97"/>
        <v>0</v>
      </c>
      <c r="BU354" s="39">
        <f t="shared" si="98"/>
        <v>0</v>
      </c>
      <c r="BV354" s="1">
        <f t="shared" si="99"/>
        <v>0</v>
      </c>
      <c r="BW354">
        <f t="shared" si="100"/>
        <v>0</v>
      </c>
      <c r="BX354">
        <f t="shared" si="101"/>
        <v>0</v>
      </c>
    </row>
    <row r="355" spans="58:76" x14ac:dyDescent="0.25">
      <c r="BF355" s="1" t="e">
        <f>VLOOKUP(N355,'Incoming Material Report'!H:M,6,FALSE)</f>
        <v>#N/A</v>
      </c>
      <c r="BG355" s="1" t="e">
        <f>IF(VLOOKUP(N355,'Incoming Material Report'!H:N,7,FALSE)=0,"",VLOOKUP(N355,'Incoming Material Report'!H:N,7,FALSE))</f>
        <v>#N/A</v>
      </c>
      <c r="BH355" s="39">
        <f t="shared" si="85"/>
        <v>0</v>
      </c>
      <c r="BI355" s="1">
        <f t="shared" si="86"/>
        <v>0</v>
      </c>
      <c r="BJ355" s="1">
        <f t="shared" si="87"/>
        <v>0</v>
      </c>
      <c r="BK355" s="1">
        <f t="shared" si="88"/>
        <v>0</v>
      </c>
      <c r="BL355" s="1">
        <f t="shared" si="89"/>
        <v>0</v>
      </c>
      <c r="BM355" s="10" t="str">
        <f t="shared" si="90"/>
        <v/>
      </c>
      <c r="BN355" s="39">
        <f t="shared" si="91"/>
        <v>0</v>
      </c>
      <c r="BO355" s="39">
        <f t="shared" si="92"/>
        <v>0</v>
      </c>
      <c r="BP355" s="1">
        <f t="shared" si="93"/>
        <v>0</v>
      </c>
      <c r="BQ355" s="1">
        <f t="shared" si="94"/>
        <v>0</v>
      </c>
      <c r="BR355" s="1" t="str">
        <f t="shared" si="95"/>
        <v/>
      </c>
      <c r="BS355" s="1">
        <f t="shared" si="96"/>
        <v>0</v>
      </c>
      <c r="BT355" s="4">
        <f t="shared" si="97"/>
        <v>0</v>
      </c>
      <c r="BU355" s="39">
        <f t="shared" si="98"/>
        <v>0</v>
      </c>
      <c r="BV355" s="1">
        <f t="shared" si="99"/>
        <v>0</v>
      </c>
      <c r="BW355">
        <f t="shared" si="100"/>
        <v>0</v>
      </c>
      <c r="BX355">
        <f t="shared" si="101"/>
        <v>0</v>
      </c>
    </row>
    <row r="356" spans="58:76" x14ac:dyDescent="0.25">
      <c r="BF356" s="1" t="e">
        <f>VLOOKUP(N356,'Incoming Material Report'!H:M,6,FALSE)</f>
        <v>#N/A</v>
      </c>
      <c r="BG356" s="1" t="e">
        <f>IF(VLOOKUP(N356,'Incoming Material Report'!H:N,7,FALSE)=0,"",VLOOKUP(N356,'Incoming Material Report'!H:N,7,FALSE))</f>
        <v>#N/A</v>
      </c>
      <c r="BH356" s="39">
        <f t="shared" si="85"/>
        <v>0</v>
      </c>
      <c r="BI356" s="1">
        <f t="shared" si="86"/>
        <v>0</v>
      </c>
      <c r="BJ356" s="1">
        <f t="shared" si="87"/>
        <v>0</v>
      </c>
      <c r="BK356" s="1">
        <f t="shared" si="88"/>
        <v>0</v>
      </c>
      <c r="BL356" s="1">
        <f t="shared" si="89"/>
        <v>0</v>
      </c>
      <c r="BM356" s="10" t="str">
        <f t="shared" si="90"/>
        <v/>
      </c>
      <c r="BN356" s="39">
        <f t="shared" si="91"/>
        <v>0</v>
      </c>
      <c r="BO356" s="39">
        <f t="shared" si="92"/>
        <v>0</v>
      </c>
      <c r="BP356" s="1">
        <f t="shared" si="93"/>
        <v>0</v>
      </c>
      <c r="BQ356" s="1">
        <f t="shared" si="94"/>
        <v>0</v>
      </c>
      <c r="BR356" s="1" t="str">
        <f t="shared" si="95"/>
        <v/>
      </c>
      <c r="BS356" s="1">
        <f t="shared" si="96"/>
        <v>0</v>
      </c>
      <c r="BT356" s="4">
        <f t="shared" si="97"/>
        <v>0</v>
      </c>
      <c r="BU356" s="39">
        <f t="shared" si="98"/>
        <v>0</v>
      </c>
      <c r="BV356" s="1">
        <f t="shared" si="99"/>
        <v>0</v>
      </c>
      <c r="BW356">
        <f t="shared" si="100"/>
        <v>0</v>
      </c>
      <c r="BX356">
        <f t="shared" si="101"/>
        <v>0</v>
      </c>
    </row>
    <row r="357" spans="58:76" x14ac:dyDescent="0.25">
      <c r="BF357" s="1" t="e">
        <f>VLOOKUP(N357,'Incoming Material Report'!H:M,6,FALSE)</f>
        <v>#N/A</v>
      </c>
      <c r="BG357" s="1" t="e">
        <f>IF(VLOOKUP(N357,'Incoming Material Report'!H:N,7,FALSE)=0,"",VLOOKUP(N357,'Incoming Material Report'!H:N,7,FALSE))</f>
        <v>#N/A</v>
      </c>
      <c r="BH357" s="39">
        <f t="shared" si="85"/>
        <v>0</v>
      </c>
      <c r="BI357" s="1">
        <f t="shared" si="86"/>
        <v>0</v>
      </c>
      <c r="BJ357" s="1">
        <f t="shared" si="87"/>
        <v>0</v>
      </c>
      <c r="BK357" s="1">
        <f t="shared" si="88"/>
        <v>0</v>
      </c>
      <c r="BL357" s="1">
        <f t="shared" si="89"/>
        <v>0</v>
      </c>
      <c r="BM357" s="10" t="str">
        <f t="shared" si="90"/>
        <v/>
      </c>
      <c r="BN357" s="39">
        <f t="shared" si="91"/>
        <v>0</v>
      </c>
      <c r="BO357" s="39">
        <f t="shared" si="92"/>
        <v>0</v>
      </c>
      <c r="BP357" s="1">
        <f t="shared" si="93"/>
        <v>0</v>
      </c>
      <c r="BQ357" s="1">
        <f t="shared" si="94"/>
        <v>0</v>
      </c>
      <c r="BR357" s="1" t="str">
        <f t="shared" si="95"/>
        <v/>
      </c>
      <c r="BS357" s="1">
        <f t="shared" si="96"/>
        <v>0</v>
      </c>
      <c r="BT357" s="4">
        <f t="shared" si="97"/>
        <v>0</v>
      </c>
      <c r="BU357" s="39">
        <f t="shared" si="98"/>
        <v>0</v>
      </c>
      <c r="BV357" s="1">
        <f t="shared" si="99"/>
        <v>0</v>
      </c>
      <c r="BW357">
        <f t="shared" si="100"/>
        <v>0</v>
      </c>
      <c r="BX357">
        <f t="shared" si="101"/>
        <v>0</v>
      </c>
    </row>
    <row r="358" spans="58:76" x14ac:dyDescent="0.25">
      <c r="BF358" s="1" t="e">
        <f>VLOOKUP(N358,'Incoming Material Report'!H:M,6,FALSE)</f>
        <v>#N/A</v>
      </c>
      <c r="BG358" s="1" t="e">
        <f>IF(VLOOKUP(N358,'Incoming Material Report'!H:N,7,FALSE)=0,"",VLOOKUP(N358,'Incoming Material Report'!H:N,7,FALSE))</f>
        <v>#N/A</v>
      </c>
      <c r="BH358" s="39">
        <f t="shared" si="85"/>
        <v>0</v>
      </c>
      <c r="BI358" s="1">
        <f t="shared" si="86"/>
        <v>0</v>
      </c>
      <c r="BJ358" s="1">
        <f t="shared" si="87"/>
        <v>0</v>
      </c>
      <c r="BK358" s="1">
        <f t="shared" si="88"/>
        <v>0</v>
      </c>
      <c r="BL358" s="1">
        <f t="shared" si="89"/>
        <v>0</v>
      </c>
      <c r="BM358" s="10" t="str">
        <f t="shared" si="90"/>
        <v/>
      </c>
      <c r="BN358" s="39">
        <f t="shared" si="91"/>
        <v>0</v>
      </c>
      <c r="BO358" s="39">
        <f t="shared" si="92"/>
        <v>0</v>
      </c>
      <c r="BP358" s="1">
        <f t="shared" si="93"/>
        <v>0</v>
      </c>
      <c r="BQ358" s="1">
        <f t="shared" si="94"/>
        <v>0</v>
      </c>
      <c r="BR358" s="1" t="str">
        <f t="shared" si="95"/>
        <v/>
      </c>
      <c r="BS358" s="1">
        <f t="shared" si="96"/>
        <v>0</v>
      </c>
      <c r="BT358" s="4">
        <f t="shared" si="97"/>
        <v>0</v>
      </c>
      <c r="BU358" s="39">
        <f t="shared" si="98"/>
        <v>0</v>
      </c>
      <c r="BV358" s="1">
        <f t="shared" si="99"/>
        <v>0</v>
      </c>
      <c r="BW358">
        <f t="shared" si="100"/>
        <v>0</v>
      </c>
      <c r="BX358">
        <f t="shared" si="101"/>
        <v>0</v>
      </c>
    </row>
    <row r="359" spans="58:76" x14ac:dyDescent="0.25">
      <c r="BF359" s="1" t="e">
        <f>VLOOKUP(N359,'Incoming Material Report'!H:M,6,FALSE)</f>
        <v>#N/A</v>
      </c>
      <c r="BG359" s="1" t="e">
        <f>IF(VLOOKUP(N359,'Incoming Material Report'!H:N,7,FALSE)=0,"",VLOOKUP(N359,'Incoming Material Report'!H:N,7,FALSE))</f>
        <v>#N/A</v>
      </c>
      <c r="BH359" s="39">
        <f t="shared" si="85"/>
        <v>0</v>
      </c>
      <c r="BI359" s="1">
        <f t="shared" si="86"/>
        <v>0</v>
      </c>
      <c r="BJ359" s="1">
        <f t="shared" si="87"/>
        <v>0</v>
      </c>
      <c r="BK359" s="1">
        <f t="shared" si="88"/>
        <v>0</v>
      </c>
      <c r="BL359" s="1">
        <f t="shared" si="89"/>
        <v>0</v>
      </c>
      <c r="BM359" s="10" t="str">
        <f t="shared" si="90"/>
        <v/>
      </c>
      <c r="BN359" s="39">
        <f t="shared" si="91"/>
        <v>0</v>
      </c>
      <c r="BO359" s="39">
        <f t="shared" si="92"/>
        <v>0</v>
      </c>
      <c r="BP359" s="1">
        <f t="shared" si="93"/>
        <v>0</v>
      </c>
      <c r="BQ359" s="1">
        <f t="shared" si="94"/>
        <v>0</v>
      </c>
      <c r="BR359" s="1" t="str">
        <f t="shared" si="95"/>
        <v/>
      </c>
      <c r="BS359" s="1">
        <f t="shared" si="96"/>
        <v>0</v>
      </c>
      <c r="BT359" s="4">
        <f t="shared" si="97"/>
        <v>0</v>
      </c>
      <c r="BU359" s="39">
        <f t="shared" si="98"/>
        <v>0</v>
      </c>
      <c r="BV359" s="1">
        <f t="shared" si="99"/>
        <v>0</v>
      </c>
      <c r="BW359">
        <f t="shared" si="100"/>
        <v>0</v>
      </c>
      <c r="BX359">
        <f t="shared" si="101"/>
        <v>0</v>
      </c>
    </row>
    <row r="360" spans="58:76" x14ac:dyDescent="0.25">
      <c r="BF360" s="1" t="e">
        <f>VLOOKUP(N360,'Incoming Material Report'!H:M,6,FALSE)</f>
        <v>#N/A</v>
      </c>
      <c r="BG360" s="1" t="e">
        <f>IF(VLOOKUP(N360,'Incoming Material Report'!H:N,7,FALSE)=0,"",VLOOKUP(N360,'Incoming Material Report'!H:N,7,FALSE))</f>
        <v>#N/A</v>
      </c>
      <c r="BH360" s="39">
        <f t="shared" si="85"/>
        <v>0</v>
      </c>
      <c r="BI360" s="1">
        <f t="shared" si="86"/>
        <v>0</v>
      </c>
      <c r="BJ360" s="1">
        <f t="shared" si="87"/>
        <v>0</v>
      </c>
      <c r="BK360" s="1">
        <f t="shared" si="88"/>
        <v>0</v>
      </c>
      <c r="BL360" s="1">
        <f t="shared" si="89"/>
        <v>0</v>
      </c>
      <c r="BM360" s="10" t="str">
        <f t="shared" si="90"/>
        <v/>
      </c>
      <c r="BN360" s="39">
        <f t="shared" si="91"/>
        <v>0</v>
      </c>
      <c r="BO360" s="39">
        <f t="shared" si="92"/>
        <v>0</v>
      </c>
      <c r="BP360" s="1">
        <f t="shared" si="93"/>
        <v>0</v>
      </c>
      <c r="BQ360" s="1">
        <f t="shared" si="94"/>
        <v>0</v>
      </c>
      <c r="BR360" s="1" t="str">
        <f t="shared" si="95"/>
        <v/>
      </c>
      <c r="BS360" s="1">
        <f t="shared" si="96"/>
        <v>0</v>
      </c>
      <c r="BT360" s="4">
        <f t="shared" si="97"/>
        <v>0</v>
      </c>
      <c r="BU360" s="39">
        <f t="shared" si="98"/>
        <v>0</v>
      </c>
      <c r="BV360" s="1">
        <f t="shared" si="99"/>
        <v>0</v>
      </c>
      <c r="BW360">
        <f t="shared" si="100"/>
        <v>0</v>
      </c>
      <c r="BX360">
        <f t="shared" si="101"/>
        <v>0</v>
      </c>
    </row>
    <row r="361" spans="58:76" x14ac:dyDescent="0.25">
      <c r="BF361" s="1" t="e">
        <f>VLOOKUP(N361,'Incoming Material Report'!H:M,6,FALSE)</f>
        <v>#N/A</v>
      </c>
      <c r="BG361" s="1" t="e">
        <f>IF(VLOOKUP(N361,'Incoming Material Report'!H:N,7,FALSE)=0,"",VLOOKUP(N361,'Incoming Material Report'!H:N,7,FALSE))</f>
        <v>#N/A</v>
      </c>
      <c r="BH361" s="39">
        <f t="shared" si="85"/>
        <v>0</v>
      </c>
      <c r="BI361" s="1">
        <f t="shared" si="86"/>
        <v>0</v>
      </c>
      <c r="BJ361" s="1">
        <f t="shared" si="87"/>
        <v>0</v>
      </c>
      <c r="BK361" s="1">
        <f t="shared" si="88"/>
        <v>0</v>
      </c>
      <c r="BL361" s="1">
        <f t="shared" si="89"/>
        <v>0</v>
      </c>
      <c r="BM361" s="10" t="str">
        <f t="shared" si="90"/>
        <v/>
      </c>
      <c r="BN361" s="39">
        <f t="shared" si="91"/>
        <v>0</v>
      </c>
      <c r="BO361" s="39">
        <f t="shared" si="92"/>
        <v>0</v>
      </c>
      <c r="BP361" s="1">
        <f t="shared" si="93"/>
        <v>0</v>
      </c>
      <c r="BQ361" s="1">
        <f t="shared" si="94"/>
        <v>0</v>
      </c>
      <c r="BR361" s="1" t="str">
        <f t="shared" si="95"/>
        <v/>
      </c>
      <c r="BS361" s="1">
        <f t="shared" si="96"/>
        <v>0</v>
      </c>
      <c r="BT361" s="4">
        <f t="shared" si="97"/>
        <v>0</v>
      </c>
      <c r="BU361" s="39">
        <f t="shared" si="98"/>
        <v>0</v>
      </c>
      <c r="BV361" s="1">
        <f t="shared" si="99"/>
        <v>0</v>
      </c>
      <c r="BW361">
        <f t="shared" si="100"/>
        <v>0</v>
      </c>
      <c r="BX361">
        <f t="shared" si="101"/>
        <v>0</v>
      </c>
    </row>
    <row r="362" spans="58:76" x14ac:dyDescent="0.25">
      <c r="BF362" s="1" t="e">
        <f>VLOOKUP(N362,'Incoming Material Report'!H:M,6,FALSE)</f>
        <v>#N/A</v>
      </c>
      <c r="BG362" s="1" t="e">
        <f>IF(VLOOKUP(N362,'Incoming Material Report'!H:N,7,FALSE)=0,"",VLOOKUP(N362,'Incoming Material Report'!H:N,7,FALSE))</f>
        <v>#N/A</v>
      </c>
      <c r="BH362" s="39">
        <f t="shared" si="85"/>
        <v>0</v>
      </c>
      <c r="BI362" s="1">
        <f t="shared" si="86"/>
        <v>0</v>
      </c>
      <c r="BJ362" s="1">
        <f t="shared" si="87"/>
        <v>0</v>
      </c>
      <c r="BK362" s="1">
        <f t="shared" si="88"/>
        <v>0</v>
      </c>
      <c r="BL362" s="1">
        <f t="shared" si="89"/>
        <v>0</v>
      </c>
      <c r="BM362" s="10" t="str">
        <f t="shared" si="90"/>
        <v/>
      </c>
      <c r="BN362" s="39">
        <f t="shared" si="91"/>
        <v>0</v>
      </c>
      <c r="BO362" s="39">
        <f t="shared" si="92"/>
        <v>0</v>
      </c>
      <c r="BP362" s="1">
        <f t="shared" si="93"/>
        <v>0</v>
      </c>
      <c r="BQ362" s="1">
        <f t="shared" si="94"/>
        <v>0</v>
      </c>
      <c r="BR362" s="1" t="str">
        <f t="shared" si="95"/>
        <v/>
      </c>
      <c r="BS362" s="1">
        <f t="shared" si="96"/>
        <v>0</v>
      </c>
      <c r="BT362" s="4">
        <f t="shared" si="97"/>
        <v>0</v>
      </c>
      <c r="BU362" s="39">
        <f t="shared" si="98"/>
        <v>0</v>
      </c>
      <c r="BV362" s="1">
        <f t="shared" si="99"/>
        <v>0</v>
      </c>
      <c r="BW362">
        <f t="shared" si="100"/>
        <v>0</v>
      </c>
      <c r="BX362">
        <f t="shared" si="101"/>
        <v>0</v>
      </c>
    </row>
    <row r="363" spans="58:76" x14ac:dyDescent="0.25">
      <c r="BF363" s="1" t="e">
        <f>VLOOKUP(N363,'Incoming Material Report'!H:M,6,FALSE)</f>
        <v>#N/A</v>
      </c>
      <c r="BG363" s="1" t="e">
        <f>IF(VLOOKUP(N363,'Incoming Material Report'!H:N,7,FALSE)=0,"",VLOOKUP(N363,'Incoming Material Report'!H:N,7,FALSE))</f>
        <v>#N/A</v>
      </c>
      <c r="BH363" s="39">
        <f t="shared" si="85"/>
        <v>0</v>
      </c>
      <c r="BI363" s="1">
        <f t="shared" si="86"/>
        <v>0</v>
      </c>
      <c r="BJ363" s="1">
        <f t="shared" si="87"/>
        <v>0</v>
      </c>
      <c r="BK363" s="1">
        <f t="shared" si="88"/>
        <v>0</v>
      </c>
      <c r="BL363" s="1">
        <f t="shared" si="89"/>
        <v>0</v>
      </c>
      <c r="BM363" s="10" t="str">
        <f t="shared" si="90"/>
        <v/>
      </c>
      <c r="BN363" s="39">
        <f t="shared" si="91"/>
        <v>0</v>
      </c>
      <c r="BO363" s="39">
        <f t="shared" si="92"/>
        <v>0</v>
      </c>
      <c r="BP363" s="1">
        <f t="shared" si="93"/>
        <v>0</v>
      </c>
      <c r="BQ363" s="1">
        <f t="shared" si="94"/>
        <v>0</v>
      </c>
      <c r="BR363" s="1" t="str">
        <f t="shared" si="95"/>
        <v/>
      </c>
      <c r="BS363" s="1">
        <f t="shared" si="96"/>
        <v>0</v>
      </c>
      <c r="BT363" s="4">
        <f t="shared" si="97"/>
        <v>0</v>
      </c>
      <c r="BU363" s="39">
        <f t="shared" si="98"/>
        <v>0</v>
      </c>
      <c r="BV363" s="1">
        <f t="shared" si="99"/>
        <v>0</v>
      </c>
      <c r="BW363">
        <f t="shared" si="100"/>
        <v>0</v>
      </c>
      <c r="BX363">
        <f t="shared" si="101"/>
        <v>0</v>
      </c>
    </row>
    <row r="364" spans="58:76" x14ac:dyDescent="0.25">
      <c r="BF364" s="1" t="e">
        <f>VLOOKUP(N364,'Incoming Material Report'!H:M,6,FALSE)</f>
        <v>#N/A</v>
      </c>
      <c r="BG364" s="1" t="e">
        <f>IF(VLOOKUP(N364,'Incoming Material Report'!H:N,7,FALSE)=0,"",VLOOKUP(N364,'Incoming Material Report'!H:N,7,FALSE))</f>
        <v>#N/A</v>
      </c>
      <c r="BH364" s="39">
        <f t="shared" si="85"/>
        <v>0</v>
      </c>
      <c r="BI364" s="1">
        <f t="shared" si="86"/>
        <v>0</v>
      </c>
      <c r="BJ364" s="1">
        <f t="shared" si="87"/>
        <v>0</v>
      </c>
      <c r="BK364" s="1">
        <f t="shared" si="88"/>
        <v>0</v>
      </c>
      <c r="BL364" s="1">
        <f t="shared" si="89"/>
        <v>0</v>
      </c>
      <c r="BM364" s="10" t="str">
        <f t="shared" si="90"/>
        <v/>
      </c>
      <c r="BN364" s="39">
        <f t="shared" si="91"/>
        <v>0</v>
      </c>
      <c r="BO364" s="39">
        <f t="shared" si="92"/>
        <v>0</v>
      </c>
      <c r="BP364" s="1">
        <f t="shared" si="93"/>
        <v>0</v>
      </c>
      <c r="BQ364" s="1">
        <f t="shared" si="94"/>
        <v>0</v>
      </c>
      <c r="BR364" s="1" t="str">
        <f t="shared" si="95"/>
        <v/>
      </c>
      <c r="BS364" s="1">
        <f t="shared" si="96"/>
        <v>0</v>
      </c>
      <c r="BT364" s="4">
        <f t="shared" si="97"/>
        <v>0</v>
      </c>
      <c r="BU364" s="39">
        <f t="shared" si="98"/>
        <v>0</v>
      </c>
      <c r="BV364" s="1">
        <f t="shared" si="99"/>
        <v>0</v>
      </c>
      <c r="BW364">
        <f t="shared" si="100"/>
        <v>0</v>
      </c>
      <c r="BX364">
        <f t="shared" si="101"/>
        <v>0</v>
      </c>
    </row>
    <row r="365" spans="58:76" x14ac:dyDescent="0.25">
      <c r="BF365" s="1" t="e">
        <f>VLOOKUP(N365,'Incoming Material Report'!H:M,6,FALSE)</f>
        <v>#N/A</v>
      </c>
      <c r="BG365" s="1" t="e">
        <f>IF(VLOOKUP(N365,'Incoming Material Report'!H:N,7,FALSE)=0,"",VLOOKUP(N365,'Incoming Material Report'!H:N,7,FALSE))</f>
        <v>#N/A</v>
      </c>
      <c r="BH365" s="39">
        <f t="shared" si="85"/>
        <v>0</v>
      </c>
      <c r="BI365" s="1">
        <f t="shared" si="86"/>
        <v>0</v>
      </c>
      <c r="BJ365" s="1">
        <f t="shared" si="87"/>
        <v>0</v>
      </c>
      <c r="BK365" s="1">
        <f t="shared" si="88"/>
        <v>0</v>
      </c>
      <c r="BL365" s="1">
        <f t="shared" si="89"/>
        <v>0</v>
      </c>
      <c r="BM365" s="10" t="str">
        <f t="shared" si="90"/>
        <v/>
      </c>
      <c r="BN365" s="39">
        <f t="shared" si="91"/>
        <v>0</v>
      </c>
      <c r="BO365" s="39">
        <f t="shared" si="92"/>
        <v>0</v>
      </c>
      <c r="BP365" s="1">
        <f t="shared" si="93"/>
        <v>0</v>
      </c>
      <c r="BQ365" s="1">
        <f t="shared" si="94"/>
        <v>0</v>
      </c>
      <c r="BR365" s="1" t="str">
        <f t="shared" si="95"/>
        <v/>
      </c>
      <c r="BS365" s="1">
        <f t="shared" si="96"/>
        <v>0</v>
      </c>
      <c r="BT365" s="4">
        <f t="shared" si="97"/>
        <v>0</v>
      </c>
      <c r="BU365" s="39">
        <f t="shared" si="98"/>
        <v>0</v>
      </c>
      <c r="BV365" s="1">
        <f t="shared" si="99"/>
        <v>0</v>
      </c>
      <c r="BW365">
        <f t="shared" si="100"/>
        <v>0</v>
      </c>
      <c r="BX365">
        <f t="shared" si="101"/>
        <v>0</v>
      </c>
    </row>
    <row r="366" spans="58:76" x14ac:dyDescent="0.25">
      <c r="BF366" s="1" t="e">
        <f>VLOOKUP(N366,'Incoming Material Report'!H:M,6,FALSE)</f>
        <v>#N/A</v>
      </c>
      <c r="BG366" s="1" t="e">
        <f>IF(VLOOKUP(N366,'Incoming Material Report'!H:N,7,FALSE)=0,"",VLOOKUP(N366,'Incoming Material Report'!H:N,7,FALSE))</f>
        <v>#N/A</v>
      </c>
      <c r="BH366" s="39">
        <f t="shared" si="85"/>
        <v>0</v>
      </c>
      <c r="BI366" s="1">
        <f t="shared" si="86"/>
        <v>0</v>
      </c>
      <c r="BJ366" s="1">
        <f t="shared" si="87"/>
        <v>0</v>
      </c>
      <c r="BK366" s="1">
        <f t="shared" si="88"/>
        <v>0</v>
      </c>
      <c r="BL366" s="1">
        <f t="shared" si="89"/>
        <v>0</v>
      </c>
      <c r="BM366" s="10" t="str">
        <f t="shared" si="90"/>
        <v/>
      </c>
      <c r="BN366" s="39">
        <f t="shared" si="91"/>
        <v>0</v>
      </c>
      <c r="BO366" s="39">
        <f t="shared" si="92"/>
        <v>0</v>
      </c>
      <c r="BP366" s="1">
        <f t="shared" si="93"/>
        <v>0</v>
      </c>
      <c r="BQ366" s="1">
        <f t="shared" si="94"/>
        <v>0</v>
      </c>
      <c r="BR366" s="1" t="str">
        <f t="shared" si="95"/>
        <v/>
      </c>
      <c r="BS366" s="1">
        <f t="shared" si="96"/>
        <v>0</v>
      </c>
      <c r="BT366" s="4">
        <f t="shared" si="97"/>
        <v>0</v>
      </c>
      <c r="BU366" s="39">
        <f t="shared" si="98"/>
        <v>0</v>
      </c>
      <c r="BV366" s="1">
        <f t="shared" si="99"/>
        <v>0</v>
      </c>
      <c r="BW366">
        <f t="shared" si="100"/>
        <v>0</v>
      </c>
      <c r="BX366">
        <f t="shared" si="101"/>
        <v>0</v>
      </c>
    </row>
    <row r="367" spans="58:76" x14ac:dyDescent="0.25">
      <c r="BF367" s="1" t="e">
        <f>VLOOKUP(N367,'Incoming Material Report'!H:M,6,FALSE)</f>
        <v>#N/A</v>
      </c>
      <c r="BG367" s="1" t="e">
        <f>IF(VLOOKUP(N367,'Incoming Material Report'!H:N,7,FALSE)=0,"",VLOOKUP(N367,'Incoming Material Report'!H:N,7,FALSE))</f>
        <v>#N/A</v>
      </c>
      <c r="BH367" s="39">
        <f t="shared" si="85"/>
        <v>0</v>
      </c>
      <c r="BI367" s="1">
        <f t="shared" si="86"/>
        <v>0</v>
      </c>
      <c r="BJ367" s="1">
        <f t="shared" si="87"/>
        <v>0</v>
      </c>
      <c r="BK367" s="1">
        <f t="shared" si="88"/>
        <v>0</v>
      </c>
      <c r="BL367" s="1">
        <f t="shared" si="89"/>
        <v>0</v>
      </c>
      <c r="BM367" s="10" t="str">
        <f t="shared" si="90"/>
        <v/>
      </c>
      <c r="BN367" s="39">
        <f t="shared" si="91"/>
        <v>0</v>
      </c>
      <c r="BO367" s="39">
        <f t="shared" si="92"/>
        <v>0</v>
      </c>
      <c r="BP367" s="1">
        <f t="shared" si="93"/>
        <v>0</v>
      </c>
      <c r="BQ367" s="1">
        <f t="shared" si="94"/>
        <v>0</v>
      </c>
      <c r="BR367" s="1" t="str">
        <f t="shared" si="95"/>
        <v/>
      </c>
      <c r="BS367" s="1">
        <f t="shared" si="96"/>
        <v>0</v>
      </c>
      <c r="BT367" s="4">
        <f t="shared" si="97"/>
        <v>0</v>
      </c>
      <c r="BU367" s="39">
        <f t="shared" si="98"/>
        <v>0</v>
      </c>
      <c r="BV367" s="1">
        <f t="shared" si="99"/>
        <v>0</v>
      </c>
      <c r="BW367">
        <f t="shared" si="100"/>
        <v>0</v>
      </c>
      <c r="BX367">
        <f t="shared" si="101"/>
        <v>0</v>
      </c>
    </row>
    <row r="368" spans="58:76" x14ac:dyDescent="0.25">
      <c r="BF368" s="1" t="e">
        <f>VLOOKUP(N368,'Incoming Material Report'!H:M,6,FALSE)</f>
        <v>#N/A</v>
      </c>
      <c r="BG368" s="1" t="e">
        <f>IF(VLOOKUP(N368,'Incoming Material Report'!H:N,7,FALSE)=0,"",VLOOKUP(N368,'Incoming Material Report'!H:N,7,FALSE))</f>
        <v>#N/A</v>
      </c>
      <c r="BH368" s="39">
        <f t="shared" si="85"/>
        <v>0</v>
      </c>
      <c r="BI368" s="1">
        <f t="shared" si="86"/>
        <v>0</v>
      </c>
      <c r="BJ368" s="1">
        <f t="shared" si="87"/>
        <v>0</v>
      </c>
      <c r="BK368" s="1">
        <f t="shared" si="88"/>
        <v>0</v>
      </c>
      <c r="BL368" s="1">
        <f t="shared" si="89"/>
        <v>0</v>
      </c>
      <c r="BM368" s="10" t="str">
        <f t="shared" si="90"/>
        <v/>
      </c>
      <c r="BN368" s="39">
        <f t="shared" si="91"/>
        <v>0</v>
      </c>
      <c r="BO368" s="39">
        <f t="shared" si="92"/>
        <v>0</v>
      </c>
      <c r="BP368" s="1">
        <f t="shared" si="93"/>
        <v>0</v>
      </c>
      <c r="BQ368" s="1">
        <f t="shared" si="94"/>
        <v>0</v>
      </c>
      <c r="BR368" s="1" t="str">
        <f t="shared" si="95"/>
        <v/>
      </c>
      <c r="BS368" s="1">
        <f t="shared" si="96"/>
        <v>0</v>
      </c>
      <c r="BT368" s="4">
        <f t="shared" si="97"/>
        <v>0</v>
      </c>
      <c r="BU368" s="39">
        <f t="shared" si="98"/>
        <v>0</v>
      </c>
      <c r="BV368" s="1">
        <f t="shared" si="99"/>
        <v>0</v>
      </c>
      <c r="BW368">
        <f t="shared" si="100"/>
        <v>0</v>
      </c>
      <c r="BX368">
        <f t="shared" si="101"/>
        <v>0</v>
      </c>
    </row>
    <row r="369" spans="58:76" x14ac:dyDescent="0.25">
      <c r="BF369" s="1" t="e">
        <f>VLOOKUP(N369,'Incoming Material Report'!H:M,6,FALSE)</f>
        <v>#N/A</v>
      </c>
      <c r="BG369" s="1" t="e">
        <f>IF(VLOOKUP(N369,'Incoming Material Report'!H:N,7,FALSE)=0,"",VLOOKUP(N369,'Incoming Material Report'!H:N,7,FALSE))</f>
        <v>#N/A</v>
      </c>
      <c r="BH369" s="39">
        <f t="shared" si="85"/>
        <v>0</v>
      </c>
      <c r="BI369" s="1">
        <f t="shared" si="86"/>
        <v>0</v>
      </c>
      <c r="BJ369" s="1">
        <f t="shared" si="87"/>
        <v>0</v>
      </c>
      <c r="BK369" s="1">
        <f t="shared" si="88"/>
        <v>0</v>
      </c>
      <c r="BL369" s="1">
        <f t="shared" si="89"/>
        <v>0</v>
      </c>
      <c r="BM369" s="10" t="str">
        <f t="shared" si="90"/>
        <v/>
      </c>
      <c r="BN369" s="39">
        <f t="shared" si="91"/>
        <v>0</v>
      </c>
      <c r="BO369" s="39">
        <f t="shared" si="92"/>
        <v>0</v>
      </c>
      <c r="BP369" s="1">
        <f t="shared" si="93"/>
        <v>0</v>
      </c>
      <c r="BQ369" s="1">
        <f t="shared" si="94"/>
        <v>0</v>
      </c>
      <c r="BR369" s="1" t="str">
        <f t="shared" si="95"/>
        <v/>
      </c>
      <c r="BS369" s="1">
        <f t="shared" si="96"/>
        <v>0</v>
      </c>
      <c r="BT369" s="4">
        <f t="shared" si="97"/>
        <v>0</v>
      </c>
      <c r="BU369" s="39">
        <f t="shared" si="98"/>
        <v>0</v>
      </c>
      <c r="BV369" s="1">
        <f t="shared" si="99"/>
        <v>0</v>
      </c>
      <c r="BW369">
        <f t="shared" si="100"/>
        <v>0</v>
      </c>
      <c r="BX369">
        <f t="shared" si="101"/>
        <v>0</v>
      </c>
    </row>
    <row r="370" spans="58:76" x14ac:dyDescent="0.25">
      <c r="BF370" s="1" t="e">
        <f>VLOOKUP(N370,'Incoming Material Report'!H:M,6,FALSE)</f>
        <v>#N/A</v>
      </c>
      <c r="BG370" s="1" t="e">
        <f>IF(VLOOKUP(N370,'Incoming Material Report'!H:N,7,FALSE)=0,"",VLOOKUP(N370,'Incoming Material Report'!H:N,7,FALSE))</f>
        <v>#N/A</v>
      </c>
      <c r="BH370" s="39">
        <f t="shared" si="85"/>
        <v>0</v>
      </c>
      <c r="BI370" s="1">
        <f t="shared" si="86"/>
        <v>0</v>
      </c>
      <c r="BJ370" s="1">
        <f t="shared" si="87"/>
        <v>0</v>
      </c>
      <c r="BK370" s="1">
        <f t="shared" si="88"/>
        <v>0</v>
      </c>
      <c r="BL370" s="1">
        <f t="shared" si="89"/>
        <v>0</v>
      </c>
      <c r="BM370" s="10" t="str">
        <f t="shared" si="90"/>
        <v/>
      </c>
      <c r="BN370" s="39">
        <f t="shared" si="91"/>
        <v>0</v>
      </c>
      <c r="BO370" s="39">
        <f t="shared" si="92"/>
        <v>0</v>
      </c>
      <c r="BP370" s="1">
        <f t="shared" si="93"/>
        <v>0</v>
      </c>
      <c r="BQ370" s="1">
        <f t="shared" si="94"/>
        <v>0</v>
      </c>
      <c r="BR370" s="1" t="str">
        <f t="shared" si="95"/>
        <v/>
      </c>
      <c r="BS370" s="1">
        <f t="shared" si="96"/>
        <v>0</v>
      </c>
      <c r="BT370" s="4">
        <f t="shared" si="97"/>
        <v>0</v>
      </c>
      <c r="BU370" s="39">
        <f t="shared" si="98"/>
        <v>0</v>
      </c>
      <c r="BV370" s="1">
        <f t="shared" si="99"/>
        <v>0</v>
      </c>
      <c r="BW370">
        <f t="shared" si="100"/>
        <v>0</v>
      </c>
      <c r="BX370">
        <f t="shared" si="101"/>
        <v>0</v>
      </c>
    </row>
    <row r="371" spans="58:76" x14ac:dyDescent="0.25">
      <c r="BF371" s="1" t="e">
        <f>VLOOKUP(N371,'Incoming Material Report'!H:M,6,FALSE)</f>
        <v>#N/A</v>
      </c>
      <c r="BG371" s="1" t="e">
        <f>IF(VLOOKUP(N371,'Incoming Material Report'!H:N,7,FALSE)=0,"",VLOOKUP(N371,'Incoming Material Report'!H:N,7,FALSE))</f>
        <v>#N/A</v>
      </c>
      <c r="BH371" s="39">
        <f t="shared" si="85"/>
        <v>0</v>
      </c>
      <c r="BI371" s="1">
        <f t="shared" si="86"/>
        <v>0</v>
      </c>
      <c r="BJ371" s="1">
        <f t="shared" si="87"/>
        <v>0</v>
      </c>
      <c r="BK371" s="1">
        <f t="shared" si="88"/>
        <v>0</v>
      </c>
      <c r="BL371" s="1">
        <f t="shared" si="89"/>
        <v>0</v>
      </c>
      <c r="BM371" s="10" t="str">
        <f t="shared" si="90"/>
        <v/>
      </c>
      <c r="BN371" s="39">
        <f t="shared" si="91"/>
        <v>0</v>
      </c>
      <c r="BO371" s="39">
        <f t="shared" si="92"/>
        <v>0</v>
      </c>
      <c r="BP371" s="1">
        <f t="shared" si="93"/>
        <v>0</v>
      </c>
      <c r="BQ371" s="1">
        <f t="shared" si="94"/>
        <v>0</v>
      </c>
      <c r="BR371" s="1" t="str">
        <f t="shared" si="95"/>
        <v/>
      </c>
      <c r="BS371" s="1">
        <f t="shared" si="96"/>
        <v>0</v>
      </c>
      <c r="BT371" s="4">
        <f t="shared" si="97"/>
        <v>0</v>
      </c>
      <c r="BU371" s="39">
        <f t="shared" si="98"/>
        <v>0</v>
      </c>
      <c r="BV371" s="1">
        <f t="shared" si="99"/>
        <v>0</v>
      </c>
      <c r="BW371">
        <f t="shared" si="100"/>
        <v>0</v>
      </c>
      <c r="BX371">
        <f t="shared" si="101"/>
        <v>0</v>
      </c>
    </row>
    <row r="372" spans="58:76" x14ac:dyDescent="0.25">
      <c r="BF372" s="1" t="e">
        <f>VLOOKUP(N372,'Incoming Material Report'!H:M,6,FALSE)</f>
        <v>#N/A</v>
      </c>
      <c r="BG372" s="1" t="e">
        <f>IF(VLOOKUP(N372,'Incoming Material Report'!H:N,7,FALSE)=0,"",VLOOKUP(N372,'Incoming Material Report'!H:N,7,FALSE))</f>
        <v>#N/A</v>
      </c>
      <c r="BH372" s="39">
        <f t="shared" si="85"/>
        <v>0</v>
      </c>
      <c r="BI372" s="1">
        <f t="shared" si="86"/>
        <v>0</v>
      </c>
      <c r="BJ372" s="1">
        <f t="shared" si="87"/>
        <v>0</v>
      </c>
      <c r="BK372" s="1">
        <f t="shared" si="88"/>
        <v>0</v>
      </c>
      <c r="BL372" s="1">
        <f t="shared" si="89"/>
        <v>0</v>
      </c>
      <c r="BM372" s="10" t="str">
        <f t="shared" si="90"/>
        <v/>
      </c>
      <c r="BN372" s="39">
        <f t="shared" si="91"/>
        <v>0</v>
      </c>
      <c r="BO372" s="39">
        <f t="shared" si="92"/>
        <v>0</v>
      </c>
      <c r="BP372" s="1">
        <f t="shared" si="93"/>
        <v>0</v>
      </c>
      <c r="BQ372" s="1">
        <f t="shared" si="94"/>
        <v>0</v>
      </c>
      <c r="BR372" s="1" t="str">
        <f t="shared" si="95"/>
        <v/>
      </c>
      <c r="BS372" s="1">
        <f t="shared" si="96"/>
        <v>0</v>
      </c>
      <c r="BT372" s="4">
        <f t="shared" si="97"/>
        <v>0</v>
      </c>
      <c r="BU372" s="39">
        <f t="shared" si="98"/>
        <v>0</v>
      </c>
      <c r="BV372" s="1">
        <f t="shared" si="99"/>
        <v>0</v>
      </c>
      <c r="BW372">
        <f t="shared" si="100"/>
        <v>0</v>
      </c>
      <c r="BX372">
        <f t="shared" si="101"/>
        <v>0</v>
      </c>
    </row>
    <row r="373" spans="58:76" x14ac:dyDescent="0.25">
      <c r="BF373" s="1" t="e">
        <f>VLOOKUP(N373,'Incoming Material Report'!H:M,6,FALSE)</f>
        <v>#N/A</v>
      </c>
      <c r="BG373" s="1" t="e">
        <f>IF(VLOOKUP(N373,'Incoming Material Report'!H:N,7,FALSE)=0,"",VLOOKUP(N373,'Incoming Material Report'!H:N,7,FALSE))</f>
        <v>#N/A</v>
      </c>
      <c r="BH373" s="39">
        <f t="shared" si="85"/>
        <v>0</v>
      </c>
      <c r="BI373" s="1">
        <f t="shared" si="86"/>
        <v>0</v>
      </c>
      <c r="BJ373" s="1">
        <f t="shared" si="87"/>
        <v>0</v>
      </c>
      <c r="BK373" s="1">
        <f t="shared" si="88"/>
        <v>0</v>
      </c>
      <c r="BL373" s="1">
        <f t="shared" si="89"/>
        <v>0</v>
      </c>
      <c r="BM373" s="10" t="str">
        <f t="shared" si="90"/>
        <v/>
      </c>
      <c r="BN373" s="39">
        <f t="shared" si="91"/>
        <v>0</v>
      </c>
      <c r="BO373" s="39">
        <f t="shared" si="92"/>
        <v>0</v>
      </c>
      <c r="BP373" s="1">
        <f t="shared" si="93"/>
        <v>0</v>
      </c>
      <c r="BQ373" s="1">
        <f t="shared" si="94"/>
        <v>0</v>
      </c>
      <c r="BR373" s="1" t="str">
        <f t="shared" si="95"/>
        <v/>
      </c>
      <c r="BS373" s="1">
        <f t="shared" si="96"/>
        <v>0</v>
      </c>
      <c r="BT373" s="4">
        <f t="shared" si="97"/>
        <v>0</v>
      </c>
      <c r="BU373" s="39">
        <f t="shared" si="98"/>
        <v>0</v>
      </c>
      <c r="BV373" s="1">
        <f t="shared" si="99"/>
        <v>0</v>
      </c>
      <c r="BW373">
        <f t="shared" si="100"/>
        <v>0</v>
      </c>
      <c r="BX373">
        <f t="shared" si="101"/>
        <v>0</v>
      </c>
    </row>
    <row r="374" spans="58:76" x14ac:dyDescent="0.25">
      <c r="BF374" s="1" t="e">
        <f>VLOOKUP(N374,'Incoming Material Report'!H:M,6,FALSE)</f>
        <v>#N/A</v>
      </c>
      <c r="BG374" s="1" t="e">
        <f>IF(VLOOKUP(N374,'Incoming Material Report'!H:N,7,FALSE)=0,"",VLOOKUP(N374,'Incoming Material Report'!H:N,7,FALSE))</f>
        <v>#N/A</v>
      </c>
      <c r="BH374" s="39">
        <f t="shared" si="85"/>
        <v>0</v>
      </c>
      <c r="BI374" s="1">
        <f t="shared" si="86"/>
        <v>0</v>
      </c>
      <c r="BJ374" s="1">
        <f t="shared" si="87"/>
        <v>0</v>
      </c>
      <c r="BK374" s="1">
        <f t="shared" si="88"/>
        <v>0</v>
      </c>
      <c r="BL374" s="1">
        <f t="shared" si="89"/>
        <v>0</v>
      </c>
      <c r="BM374" s="10" t="str">
        <f t="shared" si="90"/>
        <v/>
      </c>
      <c r="BN374" s="39">
        <f t="shared" si="91"/>
        <v>0</v>
      </c>
      <c r="BO374" s="39">
        <f t="shared" si="92"/>
        <v>0</v>
      </c>
      <c r="BP374" s="1">
        <f t="shared" si="93"/>
        <v>0</v>
      </c>
      <c r="BQ374" s="1">
        <f t="shared" si="94"/>
        <v>0</v>
      </c>
      <c r="BR374" s="1" t="str">
        <f t="shared" si="95"/>
        <v/>
      </c>
      <c r="BS374" s="1">
        <f t="shared" si="96"/>
        <v>0</v>
      </c>
      <c r="BT374" s="4">
        <f t="shared" si="97"/>
        <v>0</v>
      </c>
      <c r="BU374" s="39">
        <f t="shared" si="98"/>
        <v>0</v>
      </c>
      <c r="BV374" s="1">
        <f t="shared" si="99"/>
        <v>0</v>
      </c>
      <c r="BW374">
        <f t="shared" si="100"/>
        <v>0</v>
      </c>
      <c r="BX374">
        <f t="shared" si="101"/>
        <v>0</v>
      </c>
    </row>
    <row r="375" spans="58:76" x14ac:dyDescent="0.25">
      <c r="BF375" s="1" t="e">
        <f>VLOOKUP(N375,'Incoming Material Report'!H:M,6,FALSE)</f>
        <v>#N/A</v>
      </c>
      <c r="BG375" s="1" t="e">
        <f>IF(VLOOKUP(N375,'Incoming Material Report'!H:N,7,FALSE)=0,"",VLOOKUP(N375,'Incoming Material Report'!H:N,7,FALSE))</f>
        <v>#N/A</v>
      </c>
      <c r="BH375" s="39">
        <f t="shared" si="85"/>
        <v>0</v>
      </c>
      <c r="BI375" s="1">
        <f t="shared" si="86"/>
        <v>0</v>
      </c>
      <c r="BJ375" s="1">
        <f t="shared" si="87"/>
        <v>0</v>
      </c>
      <c r="BK375" s="1">
        <f t="shared" si="88"/>
        <v>0</v>
      </c>
      <c r="BL375" s="1">
        <f t="shared" si="89"/>
        <v>0</v>
      </c>
      <c r="BM375" s="10" t="str">
        <f t="shared" si="90"/>
        <v/>
      </c>
      <c r="BN375" s="39">
        <f t="shared" si="91"/>
        <v>0</v>
      </c>
      <c r="BO375" s="39">
        <f t="shared" si="92"/>
        <v>0</v>
      </c>
      <c r="BP375" s="1">
        <f t="shared" si="93"/>
        <v>0</v>
      </c>
      <c r="BQ375" s="1">
        <f t="shared" si="94"/>
        <v>0</v>
      </c>
      <c r="BR375" s="1" t="str">
        <f t="shared" si="95"/>
        <v/>
      </c>
      <c r="BS375" s="1">
        <f t="shared" si="96"/>
        <v>0</v>
      </c>
      <c r="BT375" s="4">
        <f t="shared" si="97"/>
        <v>0</v>
      </c>
      <c r="BU375" s="39">
        <f t="shared" si="98"/>
        <v>0</v>
      </c>
      <c r="BV375" s="1">
        <f t="shared" si="99"/>
        <v>0</v>
      </c>
      <c r="BW375">
        <f t="shared" si="100"/>
        <v>0</v>
      </c>
      <c r="BX375">
        <f t="shared" si="101"/>
        <v>0</v>
      </c>
    </row>
    <row r="376" spans="58:76" x14ac:dyDescent="0.25">
      <c r="BF376" s="1" t="e">
        <f>VLOOKUP(N376,'Incoming Material Report'!H:M,6,FALSE)</f>
        <v>#N/A</v>
      </c>
      <c r="BG376" s="1" t="e">
        <f>IF(VLOOKUP(N376,'Incoming Material Report'!H:N,7,FALSE)=0,"",VLOOKUP(N376,'Incoming Material Report'!H:N,7,FALSE))</f>
        <v>#N/A</v>
      </c>
      <c r="BH376" s="39">
        <f t="shared" si="85"/>
        <v>0</v>
      </c>
      <c r="BI376" s="1">
        <f t="shared" si="86"/>
        <v>0</v>
      </c>
      <c r="BJ376" s="1">
        <f t="shared" si="87"/>
        <v>0</v>
      </c>
      <c r="BK376" s="1">
        <f t="shared" si="88"/>
        <v>0</v>
      </c>
      <c r="BL376" s="1">
        <f t="shared" si="89"/>
        <v>0</v>
      </c>
      <c r="BM376" s="10" t="str">
        <f t="shared" si="90"/>
        <v/>
      </c>
      <c r="BN376" s="39">
        <f t="shared" si="91"/>
        <v>0</v>
      </c>
      <c r="BO376" s="39">
        <f t="shared" si="92"/>
        <v>0</v>
      </c>
      <c r="BP376" s="1">
        <f t="shared" si="93"/>
        <v>0</v>
      </c>
      <c r="BQ376" s="1">
        <f t="shared" si="94"/>
        <v>0</v>
      </c>
      <c r="BR376" s="1" t="str">
        <f t="shared" si="95"/>
        <v/>
      </c>
      <c r="BS376" s="1">
        <f t="shared" si="96"/>
        <v>0</v>
      </c>
      <c r="BT376" s="4">
        <f t="shared" si="97"/>
        <v>0</v>
      </c>
      <c r="BU376" s="39">
        <f t="shared" si="98"/>
        <v>0</v>
      </c>
      <c r="BV376" s="1">
        <f t="shared" si="99"/>
        <v>0</v>
      </c>
      <c r="BW376">
        <f t="shared" si="100"/>
        <v>0</v>
      </c>
      <c r="BX376">
        <f t="shared" si="101"/>
        <v>0</v>
      </c>
    </row>
    <row r="377" spans="58:76" x14ac:dyDescent="0.25">
      <c r="BF377" s="1" t="e">
        <f>VLOOKUP(N377,'Incoming Material Report'!H:M,6,FALSE)</f>
        <v>#N/A</v>
      </c>
      <c r="BG377" s="1" t="e">
        <f>IF(VLOOKUP(N377,'Incoming Material Report'!H:N,7,FALSE)=0,"",VLOOKUP(N377,'Incoming Material Report'!H:N,7,FALSE))</f>
        <v>#N/A</v>
      </c>
      <c r="BH377" s="39">
        <f t="shared" si="85"/>
        <v>0</v>
      </c>
      <c r="BI377" s="1">
        <f t="shared" si="86"/>
        <v>0</v>
      </c>
      <c r="BJ377" s="1">
        <f t="shared" si="87"/>
        <v>0</v>
      </c>
      <c r="BK377" s="1">
        <f t="shared" si="88"/>
        <v>0</v>
      </c>
      <c r="BL377" s="1">
        <f t="shared" si="89"/>
        <v>0</v>
      </c>
      <c r="BM377" s="10" t="str">
        <f t="shared" si="90"/>
        <v/>
      </c>
      <c r="BN377" s="39">
        <f t="shared" si="91"/>
        <v>0</v>
      </c>
      <c r="BO377" s="39">
        <f t="shared" si="92"/>
        <v>0</v>
      </c>
      <c r="BP377" s="1">
        <f t="shared" si="93"/>
        <v>0</v>
      </c>
      <c r="BQ377" s="1">
        <f t="shared" si="94"/>
        <v>0</v>
      </c>
      <c r="BR377" s="1" t="str">
        <f t="shared" si="95"/>
        <v/>
      </c>
      <c r="BS377" s="1">
        <f t="shared" si="96"/>
        <v>0</v>
      </c>
      <c r="BT377" s="4">
        <f t="shared" si="97"/>
        <v>0</v>
      </c>
      <c r="BU377" s="39">
        <f t="shared" si="98"/>
        <v>0</v>
      </c>
      <c r="BV377" s="1">
        <f t="shared" si="99"/>
        <v>0</v>
      </c>
      <c r="BW377">
        <f t="shared" si="100"/>
        <v>0</v>
      </c>
      <c r="BX377">
        <f t="shared" si="101"/>
        <v>0</v>
      </c>
    </row>
    <row r="378" spans="58:76" x14ac:dyDescent="0.25">
      <c r="BF378" s="1" t="e">
        <f>VLOOKUP(N378,'Incoming Material Report'!H:M,6,FALSE)</f>
        <v>#N/A</v>
      </c>
      <c r="BG378" s="1" t="e">
        <f>IF(VLOOKUP(N378,'Incoming Material Report'!H:N,7,FALSE)=0,"",VLOOKUP(N378,'Incoming Material Report'!H:N,7,FALSE))</f>
        <v>#N/A</v>
      </c>
      <c r="BH378" s="39">
        <f t="shared" ref="BH378:BH441" si="102">VALUE(T378)</f>
        <v>0</v>
      </c>
      <c r="BI378" s="1">
        <f t="shared" ref="BI378:BI441" si="103">VALUE(U378)</f>
        <v>0</v>
      </c>
      <c r="BJ378" s="1">
        <f t="shared" ref="BJ378:BJ441" si="104">IFERROR(_xlfn.NUMBERVALUE(V378),V378)</f>
        <v>0</v>
      </c>
      <c r="BK378" s="1">
        <f t="shared" ref="BK378:BK441" si="105">IFERROR(INT(I378),I378)</f>
        <v>0</v>
      </c>
      <c r="BL378" s="1">
        <f t="shared" ref="BL378:BL441" si="106">L378</f>
        <v>0</v>
      </c>
      <c r="BM378" s="10" t="str">
        <f t="shared" ref="BM378:BM441" si="107">SUBSTITUTE(J378,"/",".")</f>
        <v/>
      </c>
      <c r="BN378" s="39">
        <f t="shared" ref="BN378:BN441" si="108">VALUE(Q378)*1000</f>
        <v>0</v>
      </c>
      <c r="BO378" s="39">
        <f t="shared" ref="BO378:BO441" si="109">VALUE(P378)/1000</f>
        <v>0</v>
      </c>
      <c r="BP378" s="1">
        <f t="shared" ref="BP378:BP441" si="110">VALUE(D378)</f>
        <v>0</v>
      </c>
      <c r="BQ378" s="1">
        <f t="shared" ref="BQ378:BQ441" si="111">VALUE(G378)</f>
        <v>0</v>
      </c>
      <c r="BR378" s="1" t="str">
        <f t="shared" ref="BR378:BR441" si="112">SUBSTITUTE(O378,".","")</f>
        <v/>
      </c>
      <c r="BS378" s="1">
        <f t="shared" ref="BS378:BS441" si="113">S378</f>
        <v>0</v>
      </c>
      <c r="BT378" s="4">
        <f t="shared" ref="BT378:BT441" si="114">VALUE(AJ378)</f>
        <v>0</v>
      </c>
      <c r="BU378" s="39">
        <f t="shared" ref="BU378:BU441" si="115">K378</f>
        <v>0</v>
      </c>
      <c r="BV378" s="1">
        <f t="shared" ref="BV378:BV441" si="116">AQ378</f>
        <v>0</v>
      </c>
      <c r="BW378">
        <f t="shared" ref="BW378:BW441" si="117">X378</f>
        <v>0</v>
      </c>
      <c r="BX378">
        <f t="shared" ref="BX378:BX441" si="118">AN378</f>
        <v>0</v>
      </c>
    </row>
    <row r="379" spans="58:76" x14ac:dyDescent="0.25">
      <c r="BF379" s="1" t="e">
        <f>VLOOKUP(N379,'Incoming Material Report'!H:M,6,FALSE)</f>
        <v>#N/A</v>
      </c>
      <c r="BG379" s="1" t="e">
        <f>IF(VLOOKUP(N379,'Incoming Material Report'!H:N,7,FALSE)=0,"",VLOOKUP(N379,'Incoming Material Report'!H:N,7,FALSE))</f>
        <v>#N/A</v>
      </c>
      <c r="BH379" s="39">
        <f t="shared" si="102"/>
        <v>0</v>
      </c>
      <c r="BI379" s="1">
        <f t="shared" si="103"/>
        <v>0</v>
      </c>
      <c r="BJ379" s="1">
        <f t="shared" si="104"/>
        <v>0</v>
      </c>
      <c r="BK379" s="1">
        <f t="shared" si="105"/>
        <v>0</v>
      </c>
      <c r="BL379" s="1">
        <f t="shared" si="106"/>
        <v>0</v>
      </c>
      <c r="BM379" s="10" t="str">
        <f t="shared" si="107"/>
        <v/>
      </c>
      <c r="BN379" s="39">
        <f t="shared" si="108"/>
        <v>0</v>
      </c>
      <c r="BO379" s="39">
        <f t="shared" si="109"/>
        <v>0</v>
      </c>
      <c r="BP379" s="1">
        <f t="shared" si="110"/>
        <v>0</v>
      </c>
      <c r="BQ379" s="1">
        <f t="shared" si="111"/>
        <v>0</v>
      </c>
      <c r="BR379" s="1" t="str">
        <f t="shared" si="112"/>
        <v/>
      </c>
      <c r="BS379" s="1">
        <f t="shared" si="113"/>
        <v>0</v>
      </c>
      <c r="BT379" s="4">
        <f t="shared" si="114"/>
        <v>0</v>
      </c>
      <c r="BU379" s="39">
        <f t="shared" si="115"/>
        <v>0</v>
      </c>
      <c r="BV379" s="1">
        <f t="shared" si="116"/>
        <v>0</v>
      </c>
      <c r="BW379">
        <f t="shared" si="117"/>
        <v>0</v>
      </c>
      <c r="BX379">
        <f t="shared" si="118"/>
        <v>0</v>
      </c>
    </row>
    <row r="380" spans="58:76" x14ac:dyDescent="0.25">
      <c r="BF380" s="1" t="e">
        <f>VLOOKUP(N380,'Incoming Material Report'!H:M,6,FALSE)</f>
        <v>#N/A</v>
      </c>
      <c r="BG380" s="1" t="e">
        <f>IF(VLOOKUP(N380,'Incoming Material Report'!H:N,7,FALSE)=0,"",VLOOKUP(N380,'Incoming Material Report'!H:N,7,FALSE))</f>
        <v>#N/A</v>
      </c>
      <c r="BH380" s="39">
        <f t="shared" si="102"/>
        <v>0</v>
      </c>
      <c r="BI380" s="1">
        <f t="shared" si="103"/>
        <v>0</v>
      </c>
      <c r="BJ380" s="1">
        <f t="shared" si="104"/>
        <v>0</v>
      </c>
      <c r="BK380" s="1">
        <f t="shared" si="105"/>
        <v>0</v>
      </c>
      <c r="BL380" s="1">
        <f t="shared" si="106"/>
        <v>0</v>
      </c>
      <c r="BM380" s="10" t="str">
        <f t="shared" si="107"/>
        <v/>
      </c>
      <c r="BN380" s="39">
        <f t="shared" si="108"/>
        <v>0</v>
      </c>
      <c r="BO380" s="39">
        <f t="shared" si="109"/>
        <v>0</v>
      </c>
      <c r="BP380" s="1">
        <f t="shared" si="110"/>
        <v>0</v>
      </c>
      <c r="BQ380" s="1">
        <f t="shared" si="111"/>
        <v>0</v>
      </c>
      <c r="BR380" s="1" t="str">
        <f t="shared" si="112"/>
        <v/>
      </c>
      <c r="BS380" s="1">
        <f t="shared" si="113"/>
        <v>0</v>
      </c>
      <c r="BT380" s="4">
        <f t="shared" si="114"/>
        <v>0</v>
      </c>
      <c r="BU380" s="39">
        <f t="shared" si="115"/>
        <v>0</v>
      </c>
      <c r="BV380" s="1">
        <f t="shared" si="116"/>
        <v>0</v>
      </c>
      <c r="BW380">
        <f t="shared" si="117"/>
        <v>0</v>
      </c>
      <c r="BX380">
        <f t="shared" si="118"/>
        <v>0</v>
      </c>
    </row>
    <row r="381" spans="58:76" x14ac:dyDescent="0.25">
      <c r="BF381" s="1" t="e">
        <f>VLOOKUP(N381,'Incoming Material Report'!H:M,6,FALSE)</f>
        <v>#N/A</v>
      </c>
      <c r="BG381" s="1" t="e">
        <f>IF(VLOOKUP(N381,'Incoming Material Report'!H:N,7,FALSE)=0,"",VLOOKUP(N381,'Incoming Material Report'!H:N,7,FALSE))</f>
        <v>#N/A</v>
      </c>
      <c r="BH381" s="39">
        <f t="shared" si="102"/>
        <v>0</v>
      </c>
      <c r="BI381" s="1">
        <f t="shared" si="103"/>
        <v>0</v>
      </c>
      <c r="BJ381" s="1">
        <f t="shared" si="104"/>
        <v>0</v>
      </c>
      <c r="BK381" s="1">
        <f t="shared" si="105"/>
        <v>0</v>
      </c>
      <c r="BL381" s="1">
        <f t="shared" si="106"/>
        <v>0</v>
      </c>
      <c r="BM381" s="10" t="str">
        <f t="shared" si="107"/>
        <v/>
      </c>
      <c r="BN381" s="39">
        <f t="shared" si="108"/>
        <v>0</v>
      </c>
      <c r="BO381" s="39">
        <f t="shared" si="109"/>
        <v>0</v>
      </c>
      <c r="BP381" s="1">
        <f t="shared" si="110"/>
        <v>0</v>
      </c>
      <c r="BQ381" s="1">
        <f t="shared" si="111"/>
        <v>0</v>
      </c>
      <c r="BR381" s="1" t="str">
        <f t="shared" si="112"/>
        <v/>
      </c>
      <c r="BS381" s="1">
        <f t="shared" si="113"/>
        <v>0</v>
      </c>
      <c r="BT381" s="4">
        <f t="shared" si="114"/>
        <v>0</v>
      </c>
      <c r="BU381" s="39">
        <f t="shared" si="115"/>
        <v>0</v>
      </c>
      <c r="BV381" s="1">
        <f t="shared" si="116"/>
        <v>0</v>
      </c>
      <c r="BW381">
        <f t="shared" si="117"/>
        <v>0</v>
      </c>
      <c r="BX381">
        <f t="shared" si="118"/>
        <v>0</v>
      </c>
    </row>
    <row r="382" spans="58:76" x14ac:dyDescent="0.25">
      <c r="BF382" s="1" t="e">
        <f>VLOOKUP(N382,'Incoming Material Report'!H:M,6,FALSE)</f>
        <v>#N/A</v>
      </c>
      <c r="BG382" s="1" t="e">
        <f>IF(VLOOKUP(N382,'Incoming Material Report'!H:N,7,FALSE)=0,"",VLOOKUP(N382,'Incoming Material Report'!H:N,7,FALSE))</f>
        <v>#N/A</v>
      </c>
      <c r="BH382" s="39">
        <f t="shared" si="102"/>
        <v>0</v>
      </c>
      <c r="BI382" s="1">
        <f t="shared" si="103"/>
        <v>0</v>
      </c>
      <c r="BJ382" s="1">
        <f t="shared" si="104"/>
        <v>0</v>
      </c>
      <c r="BK382" s="1">
        <f t="shared" si="105"/>
        <v>0</v>
      </c>
      <c r="BL382" s="1">
        <f t="shared" si="106"/>
        <v>0</v>
      </c>
      <c r="BM382" s="10" t="str">
        <f t="shared" si="107"/>
        <v/>
      </c>
      <c r="BN382" s="39">
        <f t="shared" si="108"/>
        <v>0</v>
      </c>
      <c r="BO382" s="39">
        <f t="shared" si="109"/>
        <v>0</v>
      </c>
      <c r="BP382" s="1">
        <f t="shared" si="110"/>
        <v>0</v>
      </c>
      <c r="BQ382" s="1">
        <f t="shared" si="111"/>
        <v>0</v>
      </c>
      <c r="BR382" s="1" t="str">
        <f t="shared" si="112"/>
        <v/>
      </c>
      <c r="BS382" s="1">
        <f t="shared" si="113"/>
        <v>0</v>
      </c>
      <c r="BT382" s="4">
        <f t="shared" si="114"/>
        <v>0</v>
      </c>
      <c r="BU382" s="39">
        <f t="shared" si="115"/>
        <v>0</v>
      </c>
      <c r="BV382" s="1">
        <f t="shared" si="116"/>
        <v>0</v>
      </c>
      <c r="BW382">
        <f t="shared" si="117"/>
        <v>0</v>
      </c>
      <c r="BX382">
        <f t="shared" si="118"/>
        <v>0</v>
      </c>
    </row>
    <row r="383" spans="58:76" x14ac:dyDescent="0.25">
      <c r="BF383" s="1" t="e">
        <f>VLOOKUP(N383,'Incoming Material Report'!H:M,6,FALSE)</f>
        <v>#N/A</v>
      </c>
      <c r="BG383" s="1" t="e">
        <f>IF(VLOOKUP(N383,'Incoming Material Report'!H:N,7,FALSE)=0,"",VLOOKUP(N383,'Incoming Material Report'!H:N,7,FALSE))</f>
        <v>#N/A</v>
      </c>
      <c r="BH383" s="39">
        <f t="shared" si="102"/>
        <v>0</v>
      </c>
      <c r="BI383" s="1">
        <f t="shared" si="103"/>
        <v>0</v>
      </c>
      <c r="BJ383" s="1">
        <f t="shared" si="104"/>
        <v>0</v>
      </c>
      <c r="BK383" s="1">
        <f t="shared" si="105"/>
        <v>0</v>
      </c>
      <c r="BL383" s="1">
        <f t="shared" si="106"/>
        <v>0</v>
      </c>
      <c r="BM383" s="10" t="str">
        <f t="shared" si="107"/>
        <v/>
      </c>
      <c r="BN383" s="39">
        <f t="shared" si="108"/>
        <v>0</v>
      </c>
      <c r="BO383" s="39">
        <f t="shared" si="109"/>
        <v>0</v>
      </c>
      <c r="BP383" s="1">
        <f t="shared" si="110"/>
        <v>0</v>
      </c>
      <c r="BQ383" s="1">
        <f t="shared" si="111"/>
        <v>0</v>
      </c>
      <c r="BR383" s="1" t="str">
        <f t="shared" si="112"/>
        <v/>
      </c>
      <c r="BS383" s="1">
        <f t="shared" si="113"/>
        <v>0</v>
      </c>
      <c r="BT383" s="4">
        <f t="shared" si="114"/>
        <v>0</v>
      </c>
      <c r="BU383" s="39">
        <f t="shared" si="115"/>
        <v>0</v>
      </c>
      <c r="BV383" s="1">
        <f t="shared" si="116"/>
        <v>0</v>
      </c>
      <c r="BW383">
        <f t="shared" si="117"/>
        <v>0</v>
      </c>
      <c r="BX383">
        <f t="shared" si="118"/>
        <v>0</v>
      </c>
    </row>
    <row r="384" spans="58:76" x14ac:dyDescent="0.25">
      <c r="BF384" s="1" t="e">
        <f>VLOOKUP(N384,'Incoming Material Report'!H:M,6,FALSE)</f>
        <v>#N/A</v>
      </c>
      <c r="BG384" s="1" t="e">
        <f>IF(VLOOKUP(N384,'Incoming Material Report'!H:N,7,FALSE)=0,"",VLOOKUP(N384,'Incoming Material Report'!H:N,7,FALSE))</f>
        <v>#N/A</v>
      </c>
      <c r="BH384" s="39">
        <f t="shared" si="102"/>
        <v>0</v>
      </c>
      <c r="BI384" s="1">
        <f t="shared" si="103"/>
        <v>0</v>
      </c>
      <c r="BJ384" s="1">
        <f t="shared" si="104"/>
        <v>0</v>
      </c>
      <c r="BK384" s="1">
        <f t="shared" si="105"/>
        <v>0</v>
      </c>
      <c r="BL384" s="1">
        <f t="shared" si="106"/>
        <v>0</v>
      </c>
      <c r="BM384" s="10" t="str">
        <f t="shared" si="107"/>
        <v/>
      </c>
      <c r="BN384" s="39">
        <f t="shared" si="108"/>
        <v>0</v>
      </c>
      <c r="BO384" s="39">
        <f t="shared" si="109"/>
        <v>0</v>
      </c>
      <c r="BP384" s="1">
        <f t="shared" si="110"/>
        <v>0</v>
      </c>
      <c r="BQ384" s="1">
        <f t="shared" si="111"/>
        <v>0</v>
      </c>
      <c r="BR384" s="1" t="str">
        <f t="shared" si="112"/>
        <v/>
      </c>
      <c r="BS384" s="1">
        <f t="shared" si="113"/>
        <v>0</v>
      </c>
      <c r="BT384" s="4">
        <f t="shared" si="114"/>
        <v>0</v>
      </c>
      <c r="BU384" s="39">
        <f t="shared" si="115"/>
        <v>0</v>
      </c>
      <c r="BV384" s="1">
        <f t="shared" si="116"/>
        <v>0</v>
      </c>
      <c r="BW384">
        <f t="shared" si="117"/>
        <v>0</v>
      </c>
      <c r="BX384">
        <f t="shared" si="118"/>
        <v>0</v>
      </c>
    </row>
    <row r="385" spans="58:76" x14ac:dyDescent="0.25">
      <c r="BF385" s="1" t="e">
        <f>VLOOKUP(N385,'Incoming Material Report'!H:M,6,FALSE)</f>
        <v>#N/A</v>
      </c>
      <c r="BG385" s="1" t="e">
        <f>IF(VLOOKUP(N385,'Incoming Material Report'!H:N,7,FALSE)=0,"",VLOOKUP(N385,'Incoming Material Report'!H:N,7,FALSE))</f>
        <v>#N/A</v>
      </c>
      <c r="BH385" s="39">
        <f t="shared" si="102"/>
        <v>0</v>
      </c>
      <c r="BI385" s="1">
        <f t="shared" si="103"/>
        <v>0</v>
      </c>
      <c r="BJ385" s="1">
        <f t="shared" si="104"/>
        <v>0</v>
      </c>
      <c r="BK385" s="1">
        <f t="shared" si="105"/>
        <v>0</v>
      </c>
      <c r="BL385" s="1">
        <f t="shared" si="106"/>
        <v>0</v>
      </c>
      <c r="BM385" s="10" t="str">
        <f t="shared" si="107"/>
        <v/>
      </c>
      <c r="BN385" s="39">
        <f t="shared" si="108"/>
        <v>0</v>
      </c>
      <c r="BO385" s="39">
        <f t="shared" si="109"/>
        <v>0</v>
      </c>
      <c r="BP385" s="1">
        <f t="shared" si="110"/>
        <v>0</v>
      </c>
      <c r="BQ385" s="1">
        <f t="shared" si="111"/>
        <v>0</v>
      </c>
      <c r="BR385" s="1" t="str">
        <f t="shared" si="112"/>
        <v/>
      </c>
      <c r="BS385" s="1">
        <f t="shared" si="113"/>
        <v>0</v>
      </c>
      <c r="BT385" s="4">
        <f t="shared" si="114"/>
        <v>0</v>
      </c>
      <c r="BU385" s="39">
        <f t="shared" si="115"/>
        <v>0</v>
      </c>
      <c r="BV385" s="1">
        <f t="shared" si="116"/>
        <v>0</v>
      </c>
      <c r="BW385">
        <f t="shared" si="117"/>
        <v>0</v>
      </c>
      <c r="BX385">
        <f t="shared" si="118"/>
        <v>0</v>
      </c>
    </row>
    <row r="386" spans="58:76" x14ac:dyDescent="0.25">
      <c r="BF386" s="1" t="e">
        <f>VLOOKUP(N386,'Incoming Material Report'!H:M,6,FALSE)</f>
        <v>#N/A</v>
      </c>
      <c r="BG386" s="1" t="e">
        <f>IF(VLOOKUP(N386,'Incoming Material Report'!H:N,7,FALSE)=0,"",VLOOKUP(N386,'Incoming Material Report'!H:N,7,FALSE))</f>
        <v>#N/A</v>
      </c>
      <c r="BH386" s="39">
        <f t="shared" si="102"/>
        <v>0</v>
      </c>
      <c r="BI386" s="1">
        <f t="shared" si="103"/>
        <v>0</v>
      </c>
      <c r="BJ386" s="1">
        <f t="shared" si="104"/>
        <v>0</v>
      </c>
      <c r="BK386" s="1">
        <f t="shared" si="105"/>
        <v>0</v>
      </c>
      <c r="BL386" s="1">
        <f t="shared" si="106"/>
        <v>0</v>
      </c>
      <c r="BM386" s="10" t="str">
        <f t="shared" si="107"/>
        <v/>
      </c>
      <c r="BN386" s="39">
        <f t="shared" si="108"/>
        <v>0</v>
      </c>
      <c r="BO386" s="39">
        <f t="shared" si="109"/>
        <v>0</v>
      </c>
      <c r="BP386" s="1">
        <f t="shared" si="110"/>
        <v>0</v>
      </c>
      <c r="BQ386" s="1">
        <f t="shared" si="111"/>
        <v>0</v>
      </c>
      <c r="BR386" s="1" t="str">
        <f t="shared" si="112"/>
        <v/>
      </c>
      <c r="BS386" s="1">
        <f t="shared" si="113"/>
        <v>0</v>
      </c>
      <c r="BT386" s="4">
        <f t="shared" si="114"/>
        <v>0</v>
      </c>
      <c r="BU386" s="39">
        <f t="shared" si="115"/>
        <v>0</v>
      </c>
      <c r="BV386" s="1">
        <f t="shared" si="116"/>
        <v>0</v>
      </c>
      <c r="BW386">
        <f t="shared" si="117"/>
        <v>0</v>
      </c>
      <c r="BX386">
        <f t="shared" si="118"/>
        <v>0</v>
      </c>
    </row>
    <row r="387" spans="58:76" x14ac:dyDescent="0.25">
      <c r="BF387" s="1" t="e">
        <f>VLOOKUP(N387,'Incoming Material Report'!H:M,6,FALSE)</f>
        <v>#N/A</v>
      </c>
      <c r="BG387" s="1" t="e">
        <f>IF(VLOOKUP(N387,'Incoming Material Report'!H:N,7,FALSE)=0,"",VLOOKUP(N387,'Incoming Material Report'!H:N,7,FALSE))</f>
        <v>#N/A</v>
      </c>
      <c r="BH387" s="39">
        <f t="shared" si="102"/>
        <v>0</v>
      </c>
      <c r="BI387" s="1">
        <f t="shared" si="103"/>
        <v>0</v>
      </c>
      <c r="BJ387" s="1">
        <f t="shared" si="104"/>
        <v>0</v>
      </c>
      <c r="BK387" s="1">
        <f t="shared" si="105"/>
        <v>0</v>
      </c>
      <c r="BL387" s="1">
        <f t="shared" si="106"/>
        <v>0</v>
      </c>
      <c r="BM387" s="10" t="str">
        <f t="shared" si="107"/>
        <v/>
      </c>
      <c r="BN387" s="39">
        <f t="shared" si="108"/>
        <v>0</v>
      </c>
      <c r="BO387" s="39">
        <f t="shared" si="109"/>
        <v>0</v>
      </c>
      <c r="BP387" s="1">
        <f t="shared" si="110"/>
        <v>0</v>
      </c>
      <c r="BQ387" s="1">
        <f t="shared" si="111"/>
        <v>0</v>
      </c>
      <c r="BR387" s="1" t="str">
        <f t="shared" si="112"/>
        <v/>
      </c>
      <c r="BS387" s="1">
        <f t="shared" si="113"/>
        <v>0</v>
      </c>
      <c r="BT387" s="4">
        <f t="shared" si="114"/>
        <v>0</v>
      </c>
      <c r="BU387" s="39">
        <f t="shared" si="115"/>
        <v>0</v>
      </c>
      <c r="BV387" s="1">
        <f t="shared" si="116"/>
        <v>0</v>
      </c>
      <c r="BW387">
        <f t="shared" si="117"/>
        <v>0</v>
      </c>
      <c r="BX387">
        <f t="shared" si="118"/>
        <v>0</v>
      </c>
    </row>
    <row r="388" spans="58:76" x14ac:dyDescent="0.25">
      <c r="BF388" s="1" t="e">
        <f>VLOOKUP(N388,'Incoming Material Report'!H:M,6,FALSE)</f>
        <v>#N/A</v>
      </c>
      <c r="BG388" s="1" t="e">
        <f>IF(VLOOKUP(N388,'Incoming Material Report'!H:N,7,FALSE)=0,"",VLOOKUP(N388,'Incoming Material Report'!H:N,7,FALSE))</f>
        <v>#N/A</v>
      </c>
      <c r="BH388" s="39">
        <f t="shared" si="102"/>
        <v>0</v>
      </c>
      <c r="BI388" s="1">
        <f t="shared" si="103"/>
        <v>0</v>
      </c>
      <c r="BJ388" s="1">
        <f t="shared" si="104"/>
        <v>0</v>
      </c>
      <c r="BK388" s="1">
        <f t="shared" si="105"/>
        <v>0</v>
      </c>
      <c r="BL388" s="1">
        <f t="shared" si="106"/>
        <v>0</v>
      </c>
      <c r="BM388" s="10" t="str">
        <f t="shared" si="107"/>
        <v/>
      </c>
      <c r="BN388" s="39">
        <f t="shared" si="108"/>
        <v>0</v>
      </c>
      <c r="BO388" s="39">
        <f t="shared" si="109"/>
        <v>0</v>
      </c>
      <c r="BP388" s="1">
        <f t="shared" si="110"/>
        <v>0</v>
      </c>
      <c r="BQ388" s="1">
        <f t="shared" si="111"/>
        <v>0</v>
      </c>
      <c r="BR388" s="1" t="str">
        <f t="shared" si="112"/>
        <v/>
      </c>
      <c r="BS388" s="1">
        <f t="shared" si="113"/>
        <v>0</v>
      </c>
      <c r="BT388" s="4">
        <f t="shared" si="114"/>
        <v>0</v>
      </c>
      <c r="BU388" s="39">
        <f t="shared" si="115"/>
        <v>0</v>
      </c>
      <c r="BV388" s="1">
        <f t="shared" si="116"/>
        <v>0</v>
      </c>
      <c r="BW388">
        <f t="shared" si="117"/>
        <v>0</v>
      </c>
      <c r="BX388">
        <f t="shared" si="118"/>
        <v>0</v>
      </c>
    </row>
    <row r="389" spans="58:76" x14ac:dyDescent="0.25">
      <c r="BF389" s="1" t="e">
        <f>VLOOKUP(N389,'Incoming Material Report'!H:M,6,FALSE)</f>
        <v>#N/A</v>
      </c>
      <c r="BG389" s="1" t="e">
        <f>IF(VLOOKUP(N389,'Incoming Material Report'!H:N,7,FALSE)=0,"",VLOOKUP(N389,'Incoming Material Report'!H:N,7,FALSE))</f>
        <v>#N/A</v>
      </c>
      <c r="BH389" s="39">
        <f t="shared" si="102"/>
        <v>0</v>
      </c>
      <c r="BI389" s="1">
        <f t="shared" si="103"/>
        <v>0</v>
      </c>
      <c r="BJ389" s="1">
        <f t="shared" si="104"/>
        <v>0</v>
      </c>
      <c r="BK389" s="1">
        <f t="shared" si="105"/>
        <v>0</v>
      </c>
      <c r="BL389" s="1">
        <f t="shared" si="106"/>
        <v>0</v>
      </c>
      <c r="BM389" s="10" t="str">
        <f t="shared" si="107"/>
        <v/>
      </c>
      <c r="BN389" s="39">
        <f t="shared" si="108"/>
        <v>0</v>
      </c>
      <c r="BO389" s="39">
        <f t="shared" si="109"/>
        <v>0</v>
      </c>
      <c r="BP389" s="1">
        <f t="shared" si="110"/>
        <v>0</v>
      </c>
      <c r="BQ389" s="1">
        <f t="shared" si="111"/>
        <v>0</v>
      </c>
      <c r="BR389" s="1" t="str">
        <f t="shared" si="112"/>
        <v/>
      </c>
      <c r="BS389" s="1">
        <f t="shared" si="113"/>
        <v>0</v>
      </c>
      <c r="BT389" s="4">
        <f t="shared" si="114"/>
        <v>0</v>
      </c>
      <c r="BU389" s="39">
        <f t="shared" si="115"/>
        <v>0</v>
      </c>
      <c r="BV389" s="1">
        <f t="shared" si="116"/>
        <v>0</v>
      </c>
      <c r="BW389">
        <f t="shared" si="117"/>
        <v>0</v>
      </c>
      <c r="BX389">
        <f t="shared" si="118"/>
        <v>0</v>
      </c>
    </row>
    <row r="390" spans="58:76" x14ac:dyDescent="0.25">
      <c r="BF390" s="1" t="e">
        <f>VLOOKUP(N390,'Incoming Material Report'!H:M,6,FALSE)</f>
        <v>#N/A</v>
      </c>
      <c r="BG390" s="1" t="e">
        <f>IF(VLOOKUP(N390,'Incoming Material Report'!H:N,7,FALSE)=0,"",VLOOKUP(N390,'Incoming Material Report'!H:N,7,FALSE))</f>
        <v>#N/A</v>
      </c>
      <c r="BH390" s="39">
        <f t="shared" si="102"/>
        <v>0</v>
      </c>
      <c r="BI390" s="1">
        <f t="shared" si="103"/>
        <v>0</v>
      </c>
      <c r="BJ390" s="1">
        <f t="shared" si="104"/>
        <v>0</v>
      </c>
      <c r="BK390" s="1">
        <f t="shared" si="105"/>
        <v>0</v>
      </c>
      <c r="BL390" s="1">
        <f t="shared" si="106"/>
        <v>0</v>
      </c>
      <c r="BM390" s="10" t="str">
        <f t="shared" si="107"/>
        <v/>
      </c>
      <c r="BN390" s="39">
        <f t="shared" si="108"/>
        <v>0</v>
      </c>
      <c r="BO390" s="39">
        <f t="shared" si="109"/>
        <v>0</v>
      </c>
      <c r="BP390" s="1">
        <f t="shared" si="110"/>
        <v>0</v>
      </c>
      <c r="BQ390" s="1">
        <f t="shared" si="111"/>
        <v>0</v>
      </c>
      <c r="BR390" s="1" t="str">
        <f t="shared" si="112"/>
        <v/>
      </c>
      <c r="BS390" s="1">
        <f t="shared" si="113"/>
        <v>0</v>
      </c>
      <c r="BT390" s="4">
        <f t="shared" si="114"/>
        <v>0</v>
      </c>
      <c r="BU390" s="39">
        <f t="shared" si="115"/>
        <v>0</v>
      </c>
      <c r="BV390" s="1">
        <f t="shared" si="116"/>
        <v>0</v>
      </c>
      <c r="BW390">
        <f t="shared" si="117"/>
        <v>0</v>
      </c>
      <c r="BX390">
        <f t="shared" si="118"/>
        <v>0</v>
      </c>
    </row>
    <row r="391" spans="58:76" x14ac:dyDescent="0.25">
      <c r="BF391" s="1" t="e">
        <f>VLOOKUP(N391,'Incoming Material Report'!H:M,6,FALSE)</f>
        <v>#N/A</v>
      </c>
      <c r="BG391" s="1" t="e">
        <f>IF(VLOOKUP(N391,'Incoming Material Report'!H:N,7,FALSE)=0,"",VLOOKUP(N391,'Incoming Material Report'!H:N,7,FALSE))</f>
        <v>#N/A</v>
      </c>
      <c r="BH391" s="39">
        <f t="shared" si="102"/>
        <v>0</v>
      </c>
      <c r="BI391" s="1">
        <f t="shared" si="103"/>
        <v>0</v>
      </c>
      <c r="BJ391" s="1">
        <f t="shared" si="104"/>
        <v>0</v>
      </c>
      <c r="BK391" s="1">
        <f t="shared" si="105"/>
        <v>0</v>
      </c>
      <c r="BL391" s="1">
        <f t="shared" si="106"/>
        <v>0</v>
      </c>
      <c r="BM391" s="10" t="str">
        <f t="shared" si="107"/>
        <v/>
      </c>
      <c r="BN391" s="39">
        <f t="shared" si="108"/>
        <v>0</v>
      </c>
      <c r="BO391" s="39">
        <f t="shared" si="109"/>
        <v>0</v>
      </c>
      <c r="BP391" s="1">
        <f t="shared" si="110"/>
        <v>0</v>
      </c>
      <c r="BQ391" s="1">
        <f t="shared" si="111"/>
        <v>0</v>
      </c>
      <c r="BR391" s="1" t="str">
        <f t="shared" si="112"/>
        <v/>
      </c>
      <c r="BS391" s="1">
        <f t="shared" si="113"/>
        <v>0</v>
      </c>
      <c r="BT391" s="4">
        <f t="shared" si="114"/>
        <v>0</v>
      </c>
      <c r="BU391" s="39">
        <f t="shared" si="115"/>
        <v>0</v>
      </c>
      <c r="BV391" s="1">
        <f t="shared" si="116"/>
        <v>0</v>
      </c>
      <c r="BW391">
        <f t="shared" si="117"/>
        <v>0</v>
      </c>
      <c r="BX391">
        <f t="shared" si="118"/>
        <v>0</v>
      </c>
    </row>
    <row r="392" spans="58:76" x14ac:dyDescent="0.25">
      <c r="BF392" s="1" t="e">
        <f>VLOOKUP(N392,'Incoming Material Report'!H:M,6,FALSE)</f>
        <v>#N/A</v>
      </c>
      <c r="BG392" s="1" t="e">
        <f>IF(VLOOKUP(N392,'Incoming Material Report'!H:N,7,FALSE)=0,"",VLOOKUP(N392,'Incoming Material Report'!H:N,7,FALSE))</f>
        <v>#N/A</v>
      </c>
      <c r="BH392" s="39">
        <f t="shared" si="102"/>
        <v>0</v>
      </c>
      <c r="BI392" s="1">
        <f t="shared" si="103"/>
        <v>0</v>
      </c>
      <c r="BJ392" s="1">
        <f t="shared" si="104"/>
        <v>0</v>
      </c>
      <c r="BK392" s="1">
        <f t="shared" si="105"/>
        <v>0</v>
      </c>
      <c r="BL392" s="1">
        <f t="shared" si="106"/>
        <v>0</v>
      </c>
      <c r="BM392" s="10" t="str">
        <f t="shared" si="107"/>
        <v/>
      </c>
      <c r="BN392" s="39">
        <f t="shared" si="108"/>
        <v>0</v>
      </c>
      <c r="BO392" s="39">
        <f t="shared" si="109"/>
        <v>0</v>
      </c>
      <c r="BP392" s="1">
        <f t="shared" si="110"/>
        <v>0</v>
      </c>
      <c r="BQ392" s="1">
        <f t="shared" si="111"/>
        <v>0</v>
      </c>
      <c r="BR392" s="1" t="str">
        <f t="shared" si="112"/>
        <v/>
      </c>
      <c r="BS392" s="1">
        <f t="shared" si="113"/>
        <v>0</v>
      </c>
      <c r="BT392" s="4">
        <f t="shared" si="114"/>
        <v>0</v>
      </c>
      <c r="BU392" s="39">
        <f t="shared" si="115"/>
        <v>0</v>
      </c>
      <c r="BV392" s="1">
        <f t="shared" si="116"/>
        <v>0</v>
      </c>
      <c r="BW392">
        <f t="shared" si="117"/>
        <v>0</v>
      </c>
      <c r="BX392">
        <f t="shared" si="118"/>
        <v>0</v>
      </c>
    </row>
    <row r="393" spans="58:76" x14ac:dyDescent="0.25">
      <c r="BF393" s="1" t="e">
        <f>VLOOKUP(N393,'Incoming Material Report'!H:M,6,FALSE)</f>
        <v>#N/A</v>
      </c>
      <c r="BG393" s="1" t="e">
        <f>IF(VLOOKUP(N393,'Incoming Material Report'!H:N,7,FALSE)=0,"",VLOOKUP(N393,'Incoming Material Report'!H:N,7,FALSE))</f>
        <v>#N/A</v>
      </c>
      <c r="BH393" s="39">
        <f t="shared" si="102"/>
        <v>0</v>
      </c>
      <c r="BI393" s="1">
        <f t="shared" si="103"/>
        <v>0</v>
      </c>
      <c r="BJ393" s="1">
        <f t="shared" si="104"/>
        <v>0</v>
      </c>
      <c r="BK393" s="1">
        <f t="shared" si="105"/>
        <v>0</v>
      </c>
      <c r="BL393" s="1">
        <f t="shared" si="106"/>
        <v>0</v>
      </c>
      <c r="BM393" s="10" t="str">
        <f t="shared" si="107"/>
        <v/>
      </c>
      <c r="BN393" s="39">
        <f t="shared" si="108"/>
        <v>0</v>
      </c>
      <c r="BO393" s="39">
        <f t="shared" si="109"/>
        <v>0</v>
      </c>
      <c r="BP393" s="1">
        <f t="shared" si="110"/>
        <v>0</v>
      </c>
      <c r="BQ393" s="1">
        <f t="shared" si="111"/>
        <v>0</v>
      </c>
      <c r="BR393" s="1" t="str">
        <f t="shared" si="112"/>
        <v/>
      </c>
      <c r="BS393" s="1">
        <f t="shared" si="113"/>
        <v>0</v>
      </c>
      <c r="BT393" s="4">
        <f t="shared" si="114"/>
        <v>0</v>
      </c>
      <c r="BU393" s="39">
        <f t="shared" si="115"/>
        <v>0</v>
      </c>
      <c r="BV393" s="1">
        <f t="shared" si="116"/>
        <v>0</v>
      </c>
      <c r="BW393">
        <f t="shared" si="117"/>
        <v>0</v>
      </c>
      <c r="BX393">
        <f t="shared" si="118"/>
        <v>0</v>
      </c>
    </row>
    <row r="394" spans="58:76" x14ac:dyDescent="0.25">
      <c r="BF394" s="1" t="e">
        <f>VLOOKUP(N394,'Incoming Material Report'!H:M,6,FALSE)</f>
        <v>#N/A</v>
      </c>
      <c r="BG394" s="1" t="e">
        <f>IF(VLOOKUP(N394,'Incoming Material Report'!H:N,7,FALSE)=0,"",VLOOKUP(N394,'Incoming Material Report'!H:N,7,FALSE))</f>
        <v>#N/A</v>
      </c>
      <c r="BH394" s="39">
        <f t="shared" si="102"/>
        <v>0</v>
      </c>
      <c r="BI394" s="1">
        <f t="shared" si="103"/>
        <v>0</v>
      </c>
      <c r="BJ394" s="1">
        <f t="shared" si="104"/>
        <v>0</v>
      </c>
      <c r="BK394" s="1">
        <f t="shared" si="105"/>
        <v>0</v>
      </c>
      <c r="BL394" s="1">
        <f t="shared" si="106"/>
        <v>0</v>
      </c>
      <c r="BM394" s="10" t="str">
        <f t="shared" si="107"/>
        <v/>
      </c>
      <c r="BN394" s="39">
        <f t="shared" si="108"/>
        <v>0</v>
      </c>
      <c r="BO394" s="39">
        <f t="shared" si="109"/>
        <v>0</v>
      </c>
      <c r="BP394" s="1">
        <f t="shared" si="110"/>
        <v>0</v>
      </c>
      <c r="BQ394" s="1">
        <f t="shared" si="111"/>
        <v>0</v>
      </c>
      <c r="BR394" s="1" t="str">
        <f t="shared" si="112"/>
        <v/>
      </c>
      <c r="BS394" s="1">
        <f t="shared" si="113"/>
        <v>0</v>
      </c>
      <c r="BT394" s="4">
        <f t="shared" si="114"/>
        <v>0</v>
      </c>
      <c r="BU394" s="39">
        <f t="shared" si="115"/>
        <v>0</v>
      </c>
      <c r="BV394" s="1">
        <f t="shared" si="116"/>
        <v>0</v>
      </c>
      <c r="BW394">
        <f t="shared" si="117"/>
        <v>0</v>
      </c>
      <c r="BX394">
        <f t="shared" si="118"/>
        <v>0</v>
      </c>
    </row>
    <row r="395" spans="58:76" x14ac:dyDescent="0.25">
      <c r="BF395" s="1" t="e">
        <f>VLOOKUP(N395,'Incoming Material Report'!H:M,6,FALSE)</f>
        <v>#N/A</v>
      </c>
      <c r="BG395" s="1" t="e">
        <f>IF(VLOOKUP(N395,'Incoming Material Report'!H:N,7,FALSE)=0,"",VLOOKUP(N395,'Incoming Material Report'!H:N,7,FALSE))</f>
        <v>#N/A</v>
      </c>
      <c r="BH395" s="39">
        <f t="shared" si="102"/>
        <v>0</v>
      </c>
      <c r="BI395" s="1">
        <f t="shared" si="103"/>
        <v>0</v>
      </c>
      <c r="BJ395" s="1">
        <f t="shared" si="104"/>
        <v>0</v>
      </c>
      <c r="BK395" s="1">
        <f t="shared" si="105"/>
        <v>0</v>
      </c>
      <c r="BL395" s="1">
        <f t="shared" si="106"/>
        <v>0</v>
      </c>
      <c r="BM395" s="10" t="str">
        <f t="shared" si="107"/>
        <v/>
      </c>
      <c r="BN395" s="39">
        <f t="shared" si="108"/>
        <v>0</v>
      </c>
      <c r="BO395" s="39">
        <f t="shared" si="109"/>
        <v>0</v>
      </c>
      <c r="BP395" s="1">
        <f t="shared" si="110"/>
        <v>0</v>
      </c>
      <c r="BQ395" s="1">
        <f t="shared" si="111"/>
        <v>0</v>
      </c>
      <c r="BR395" s="1" t="str">
        <f t="shared" si="112"/>
        <v/>
      </c>
      <c r="BS395" s="1">
        <f t="shared" si="113"/>
        <v>0</v>
      </c>
      <c r="BT395" s="4">
        <f t="shared" si="114"/>
        <v>0</v>
      </c>
      <c r="BU395" s="39">
        <f t="shared" si="115"/>
        <v>0</v>
      </c>
      <c r="BV395" s="1">
        <f t="shared" si="116"/>
        <v>0</v>
      </c>
      <c r="BW395">
        <f t="shared" si="117"/>
        <v>0</v>
      </c>
      <c r="BX395">
        <f t="shared" si="118"/>
        <v>0</v>
      </c>
    </row>
    <row r="396" spans="58:76" x14ac:dyDescent="0.25">
      <c r="BF396" s="1" t="e">
        <f>VLOOKUP(N396,'Incoming Material Report'!H:M,6,FALSE)</f>
        <v>#N/A</v>
      </c>
      <c r="BG396" s="1" t="e">
        <f>IF(VLOOKUP(N396,'Incoming Material Report'!H:N,7,FALSE)=0,"",VLOOKUP(N396,'Incoming Material Report'!H:N,7,FALSE))</f>
        <v>#N/A</v>
      </c>
      <c r="BH396" s="39">
        <f t="shared" si="102"/>
        <v>0</v>
      </c>
      <c r="BI396" s="1">
        <f t="shared" si="103"/>
        <v>0</v>
      </c>
      <c r="BJ396" s="1">
        <f t="shared" si="104"/>
        <v>0</v>
      </c>
      <c r="BK396" s="1">
        <f t="shared" si="105"/>
        <v>0</v>
      </c>
      <c r="BL396" s="1">
        <f t="shared" si="106"/>
        <v>0</v>
      </c>
      <c r="BM396" s="10" t="str">
        <f t="shared" si="107"/>
        <v/>
      </c>
      <c r="BN396" s="39">
        <f t="shared" si="108"/>
        <v>0</v>
      </c>
      <c r="BO396" s="39">
        <f t="shared" si="109"/>
        <v>0</v>
      </c>
      <c r="BP396" s="1">
        <f t="shared" si="110"/>
        <v>0</v>
      </c>
      <c r="BQ396" s="1">
        <f t="shared" si="111"/>
        <v>0</v>
      </c>
      <c r="BR396" s="1" t="str">
        <f t="shared" si="112"/>
        <v/>
      </c>
      <c r="BS396" s="1">
        <f t="shared" si="113"/>
        <v>0</v>
      </c>
      <c r="BT396" s="4">
        <f t="shared" si="114"/>
        <v>0</v>
      </c>
      <c r="BU396" s="39">
        <f t="shared" si="115"/>
        <v>0</v>
      </c>
      <c r="BV396" s="1">
        <f t="shared" si="116"/>
        <v>0</v>
      </c>
      <c r="BW396">
        <f t="shared" si="117"/>
        <v>0</v>
      </c>
      <c r="BX396">
        <f t="shared" si="118"/>
        <v>0</v>
      </c>
    </row>
    <row r="397" spans="58:76" x14ac:dyDescent="0.25">
      <c r="BF397" s="1" t="e">
        <f>VLOOKUP(N397,'Incoming Material Report'!H:M,6,FALSE)</f>
        <v>#N/A</v>
      </c>
      <c r="BG397" s="1" t="e">
        <f>IF(VLOOKUP(N397,'Incoming Material Report'!H:N,7,FALSE)=0,"",VLOOKUP(N397,'Incoming Material Report'!H:N,7,FALSE))</f>
        <v>#N/A</v>
      </c>
      <c r="BH397" s="39">
        <f t="shared" si="102"/>
        <v>0</v>
      </c>
      <c r="BI397" s="1">
        <f t="shared" si="103"/>
        <v>0</v>
      </c>
      <c r="BJ397" s="1">
        <f t="shared" si="104"/>
        <v>0</v>
      </c>
      <c r="BK397" s="1">
        <f t="shared" si="105"/>
        <v>0</v>
      </c>
      <c r="BL397" s="1">
        <f t="shared" si="106"/>
        <v>0</v>
      </c>
      <c r="BM397" s="10" t="str">
        <f t="shared" si="107"/>
        <v/>
      </c>
      <c r="BN397" s="39">
        <f t="shared" si="108"/>
        <v>0</v>
      </c>
      <c r="BO397" s="39">
        <f t="shared" si="109"/>
        <v>0</v>
      </c>
      <c r="BP397" s="1">
        <f t="shared" si="110"/>
        <v>0</v>
      </c>
      <c r="BQ397" s="1">
        <f t="shared" si="111"/>
        <v>0</v>
      </c>
      <c r="BR397" s="1" t="str">
        <f t="shared" si="112"/>
        <v/>
      </c>
      <c r="BS397" s="1">
        <f t="shared" si="113"/>
        <v>0</v>
      </c>
      <c r="BT397" s="4">
        <f t="shared" si="114"/>
        <v>0</v>
      </c>
      <c r="BU397" s="39">
        <f t="shared" si="115"/>
        <v>0</v>
      </c>
      <c r="BV397" s="1">
        <f t="shared" si="116"/>
        <v>0</v>
      </c>
      <c r="BW397">
        <f t="shared" si="117"/>
        <v>0</v>
      </c>
      <c r="BX397">
        <f t="shared" si="118"/>
        <v>0</v>
      </c>
    </row>
    <row r="398" spans="58:76" x14ac:dyDescent="0.25">
      <c r="BF398" s="1" t="e">
        <f>VLOOKUP(N398,'Incoming Material Report'!H:M,6,FALSE)</f>
        <v>#N/A</v>
      </c>
      <c r="BG398" s="1" t="e">
        <f>IF(VLOOKUP(N398,'Incoming Material Report'!H:N,7,FALSE)=0,"",VLOOKUP(N398,'Incoming Material Report'!H:N,7,FALSE))</f>
        <v>#N/A</v>
      </c>
      <c r="BH398" s="39">
        <f t="shared" si="102"/>
        <v>0</v>
      </c>
      <c r="BI398" s="1">
        <f t="shared" si="103"/>
        <v>0</v>
      </c>
      <c r="BJ398" s="1">
        <f t="shared" si="104"/>
        <v>0</v>
      </c>
      <c r="BK398" s="1">
        <f t="shared" si="105"/>
        <v>0</v>
      </c>
      <c r="BL398" s="1">
        <f t="shared" si="106"/>
        <v>0</v>
      </c>
      <c r="BM398" s="10" t="str">
        <f t="shared" si="107"/>
        <v/>
      </c>
      <c r="BN398" s="39">
        <f t="shared" si="108"/>
        <v>0</v>
      </c>
      <c r="BO398" s="39">
        <f t="shared" si="109"/>
        <v>0</v>
      </c>
      <c r="BP398" s="1">
        <f t="shared" si="110"/>
        <v>0</v>
      </c>
      <c r="BQ398" s="1">
        <f t="shared" si="111"/>
        <v>0</v>
      </c>
      <c r="BR398" s="1" t="str">
        <f t="shared" si="112"/>
        <v/>
      </c>
      <c r="BS398" s="1">
        <f t="shared" si="113"/>
        <v>0</v>
      </c>
      <c r="BT398" s="4">
        <f t="shared" si="114"/>
        <v>0</v>
      </c>
      <c r="BU398" s="39">
        <f t="shared" si="115"/>
        <v>0</v>
      </c>
      <c r="BV398" s="1">
        <f t="shared" si="116"/>
        <v>0</v>
      </c>
      <c r="BW398">
        <f t="shared" si="117"/>
        <v>0</v>
      </c>
      <c r="BX398">
        <f t="shared" si="118"/>
        <v>0</v>
      </c>
    </row>
    <row r="399" spans="58:76" x14ac:dyDescent="0.25">
      <c r="BF399" s="1" t="e">
        <f>VLOOKUP(N399,'Incoming Material Report'!H:M,6,FALSE)</f>
        <v>#N/A</v>
      </c>
      <c r="BG399" s="1" t="e">
        <f>IF(VLOOKUP(N399,'Incoming Material Report'!H:N,7,FALSE)=0,"",VLOOKUP(N399,'Incoming Material Report'!H:N,7,FALSE))</f>
        <v>#N/A</v>
      </c>
      <c r="BH399" s="39">
        <f t="shared" si="102"/>
        <v>0</v>
      </c>
      <c r="BI399" s="1">
        <f t="shared" si="103"/>
        <v>0</v>
      </c>
      <c r="BJ399" s="1">
        <f t="shared" si="104"/>
        <v>0</v>
      </c>
      <c r="BK399" s="1">
        <f t="shared" si="105"/>
        <v>0</v>
      </c>
      <c r="BL399" s="1">
        <f t="shared" si="106"/>
        <v>0</v>
      </c>
      <c r="BM399" s="10" t="str">
        <f t="shared" si="107"/>
        <v/>
      </c>
      <c r="BN399" s="39">
        <f t="shared" si="108"/>
        <v>0</v>
      </c>
      <c r="BO399" s="39">
        <f t="shared" si="109"/>
        <v>0</v>
      </c>
      <c r="BP399" s="1">
        <f t="shared" si="110"/>
        <v>0</v>
      </c>
      <c r="BQ399" s="1">
        <f t="shared" si="111"/>
        <v>0</v>
      </c>
      <c r="BR399" s="1" t="str">
        <f t="shared" si="112"/>
        <v/>
      </c>
      <c r="BS399" s="1">
        <f t="shared" si="113"/>
        <v>0</v>
      </c>
      <c r="BT399" s="4">
        <f t="shared" si="114"/>
        <v>0</v>
      </c>
      <c r="BU399" s="39">
        <f t="shared" si="115"/>
        <v>0</v>
      </c>
      <c r="BV399" s="1">
        <f t="shared" si="116"/>
        <v>0</v>
      </c>
      <c r="BW399">
        <f t="shared" si="117"/>
        <v>0</v>
      </c>
      <c r="BX399">
        <f t="shared" si="118"/>
        <v>0</v>
      </c>
    </row>
    <row r="400" spans="58:76" x14ac:dyDescent="0.25">
      <c r="BF400" s="1" t="e">
        <f>VLOOKUP(N400,'Incoming Material Report'!H:M,6,FALSE)</f>
        <v>#N/A</v>
      </c>
      <c r="BG400" s="1" t="e">
        <f>IF(VLOOKUP(N400,'Incoming Material Report'!H:N,7,FALSE)=0,"",VLOOKUP(N400,'Incoming Material Report'!H:N,7,FALSE))</f>
        <v>#N/A</v>
      </c>
      <c r="BH400" s="39">
        <f t="shared" si="102"/>
        <v>0</v>
      </c>
      <c r="BI400" s="1">
        <f t="shared" si="103"/>
        <v>0</v>
      </c>
      <c r="BJ400" s="1">
        <f t="shared" si="104"/>
        <v>0</v>
      </c>
      <c r="BK400" s="1">
        <f t="shared" si="105"/>
        <v>0</v>
      </c>
      <c r="BL400" s="1">
        <f t="shared" si="106"/>
        <v>0</v>
      </c>
      <c r="BM400" s="10" t="str">
        <f t="shared" si="107"/>
        <v/>
      </c>
      <c r="BN400" s="39">
        <f t="shared" si="108"/>
        <v>0</v>
      </c>
      <c r="BO400" s="39">
        <f t="shared" si="109"/>
        <v>0</v>
      </c>
      <c r="BP400" s="1">
        <f t="shared" si="110"/>
        <v>0</v>
      </c>
      <c r="BQ400" s="1">
        <f t="shared" si="111"/>
        <v>0</v>
      </c>
      <c r="BR400" s="1" t="str">
        <f t="shared" si="112"/>
        <v/>
      </c>
      <c r="BS400" s="1">
        <f t="shared" si="113"/>
        <v>0</v>
      </c>
      <c r="BT400" s="4">
        <f t="shared" si="114"/>
        <v>0</v>
      </c>
      <c r="BU400" s="39">
        <f t="shared" si="115"/>
        <v>0</v>
      </c>
      <c r="BV400" s="1">
        <f t="shared" si="116"/>
        <v>0</v>
      </c>
      <c r="BW400">
        <f t="shared" si="117"/>
        <v>0</v>
      </c>
      <c r="BX400">
        <f t="shared" si="118"/>
        <v>0</v>
      </c>
    </row>
    <row r="401" spans="58:76" x14ac:dyDescent="0.25">
      <c r="BF401" s="1" t="e">
        <f>VLOOKUP(N401,'Incoming Material Report'!H:M,6,FALSE)</f>
        <v>#N/A</v>
      </c>
      <c r="BG401" s="1" t="e">
        <f>IF(VLOOKUP(N401,'Incoming Material Report'!H:N,7,FALSE)=0,"",VLOOKUP(N401,'Incoming Material Report'!H:N,7,FALSE))</f>
        <v>#N/A</v>
      </c>
      <c r="BH401" s="39">
        <f t="shared" si="102"/>
        <v>0</v>
      </c>
      <c r="BI401" s="1">
        <f t="shared" si="103"/>
        <v>0</v>
      </c>
      <c r="BJ401" s="1">
        <f t="shared" si="104"/>
        <v>0</v>
      </c>
      <c r="BK401" s="1">
        <f t="shared" si="105"/>
        <v>0</v>
      </c>
      <c r="BL401" s="1">
        <f t="shared" si="106"/>
        <v>0</v>
      </c>
      <c r="BM401" s="10" t="str">
        <f t="shared" si="107"/>
        <v/>
      </c>
      <c r="BN401" s="39">
        <f t="shared" si="108"/>
        <v>0</v>
      </c>
      <c r="BO401" s="39">
        <f t="shared" si="109"/>
        <v>0</v>
      </c>
      <c r="BP401" s="1">
        <f t="shared" si="110"/>
        <v>0</v>
      </c>
      <c r="BQ401" s="1">
        <f t="shared" si="111"/>
        <v>0</v>
      </c>
      <c r="BR401" s="1" t="str">
        <f t="shared" si="112"/>
        <v/>
      </c>
      <c r="BS401" s="1">
        <f t="shared" si="113"/>
        <v>0</v>
      </c>
      <c r="BT401" s="4">
        <f t="shared" si="114"/>
        <v>0</v>
      </c>
      <c r="BU401" s="39">
        <f t="shared" si="115"/>
        <v>0</v>
      </c>
      <c r="BV401" s="1">
        <f t="shared" si="116"/>
        <v>0</v>
      </c>
      <c r="BW401">
        <f t="shared" si="117"/>
        <v>0</v>
      </c>
      <c r="BX401">
        <f t="shared" si="118"/>
        <v>0</v>
      </c>
    </row>
    <row r="402" spans="58:76" x14ac:dyDescent="0.25">
      <c r="BF402" s="1" t="e">
        <f>VLOOKUP(N402,'Incoming Material Report'!H:M,6,FALSE)</f>
        <v>#N/A</v>
      </c>
      <c r="BG402" s="1" t="e">
        <f>IF(VLOOKUP(N402,'Incoming Material Report'!H:N,7,FALSE)=0,"",VLOOKUP(N402,'Incoming Material Report'!H:N,7,FALSE))</f>
        <v>#N/A</v>
      </c>
      <c r="BH402" s="39">
        <f t="shared" si="102"/>
        <v>0</v>
      </c>
      <c r="BI402" s="1">
        <f t="shared" si="103"/>
        <v>0</v>
      </c>
      <c r="BJ402" s="1">
        <f t="shared" si="104"/>
        <v>0</v>
      </c>
      <c r="BK402" s="1">
        <f t="shared" si="105"/>
        <v>0</v>
      </c>
      <c r="BL402" s="1">
        <f t="shared" si="106"/>
        <v>0</v>
      </c>
      <c r="BM402" s="10" t="str">
        <f t="shared" si="107"/>
        <v/>
      </c>
      <c r="BN402" s="39">
        <f t="shared" si="108"/>
        <v>0</v>
      </c>
      <c r="BO402" s="39">
        <f t="shared" si="109"/>
        <v>0</v>
      </c>
      <c r="BP402" s="1">
        <f t="shared" si="110"/>
        <v>0</v>
      </c>
      <c r="BQ402" s="1">
        <f t="shared" si="111"/>
        <v>0</v>
      </c>
      <c r="BR402" s="1" t="str">
        <f t="shared" si="112"/>
        <v/>
      </c>
      <c r="BS402" s="1">
        <f t="shared" si="113"/>
        <v>0</v>
      </c>
      <c r="BT402" s="4">
        <f t="shared" si="114"/>
        <v>0</v>
      </c>
      <c r="BU402" s="39">
        <f t="shared" si="115"/>
        <v>0</v>
      </c>
      <c r="BV402" s="1">
        <f t="shared" si="116"/>
        <v>0</v>
      </c>
      <c r="BW402">
        <f t="shared" si="117"/>
        <v>0</v>
      </c>
      <c r="BX402">
        <f t="shared" si="118"/>
        <v>0</v>
      </c>
    </row>
    <row r="403" spans="58:76" x14ac:dyDescent="0.25">
      <c r="BF403" s="1" t="e">
        <f>VLOOKUP(N403,'Incoming Material Report'!H:M,6,FALSE)</f>
        <v>#N/A</v>
      </c>
      <c r="BG403" s="1" t="e">
        <f>IF(VLOOKUP(N403,'Incoming Material Report'!H:N,7,FALSE)=0,"",VLOOKUP(N403,'Incoming Material Report'!H:N,7,FALSE))</f>
        <v>#N/A</v>
      </c>
      <c r="BH403" s="39">
        <f t="shared" si="102"/>
        <v>0</v>
      </c>
      <c r="BI403" s="1">
        <f t="shared" si="103"/>
        <v>0</v>
      </c>
      <c r="BJ403" s="1">
        <f t="shared" si="104"/>
        <v>0</v>
      </c>
      <c r="BK403" s="1">
        <f t="shared" si="105"/>
        <v>0</v>
      </c>
      <c r="BL403" s="1">
        <f t="shared" si="106"/>
        <v>0</v>
      </c>
      <c r="BM403" s="10" t="str">
        <f t="shared" si="107"/>
        <v/>
      </c>
      <c r="BN403" s="39">
        <f t="shared" si="108"/>
        <v>0</v>
      </c>
      <c r="BO403" s="39">
        <f t="shared" si="109"/>
        <v>0</v>
      </c>
      <c r="BP403" s="1">
        <f t="shared" si="110"/>
        <v>0</v>
      </c>
      <c r="BQ403" s="1">
        <f t="shared" si="111"/>
        <v>0</v>
      </c>
      <c r="BR403" s="1" t="str">
        <f t="shared" si="112"/>
        <v/>
      </c>
      <c r="BS403" s="1">
        <f t="shared" si="113"/>
        <v>0</v>
      </c>
      <c r="BT403" s="4">
        <f t="shared" si="114"/>
        <v>0</v>
      </c>
      <c r="BU403" s="39">
        <f t="shared" si="115"/>
        <v>0</v>
      </c>
      <c r="BV403" s="1">
        <f t="shared" si="116"/>
        <v>0</v>
      </c>
      <c r="BW403">
        <f t="shared" si="117"/>
        <v>0</v>
      </c>
      <c r="BX403">
        <f t="shared" si="118"/>
        <v>0</v>
      </c>
    </row>
    <row r="404" spans="58:76" x14ac:dyDescent="0.25">
      <c r="BF404" s="1" t="e">
        <f>VLOOKUP(N404,'Incoming Material Report'!H:M,6,FALSE)</f>
        <v>#N/A</v>
      </c>
      <c r="BG404" s="1" t="e">
        <f>IF(VLOOKUP(N404,'Incoming Material Report'!H:N,7,FALSE)=0,"",VLOOKUP(N404,'Incoming Material Report'!H:N,7,FALSE))</f>
        <v>#N/A</v>
      </c>
      <c r="BH404" s="39">
        <f t="shared" si="102"/>
        <v>0</v>
      </c>
      <c r="BI404" s="1">
        <f t="shared" si="103"/>
        <v>0</v>
      </c>
      <c r="BJ404" s="1">
        <f t="shared" si="104"/>
        <v>0</v>
      </c>
      <c r="BK404" s="1">
        <f t="shared" si="105"/>
        <v>0</v>
      </c>
      <c r="BL404" s="1">
        <f t="shared" si="106"/>
        <v>0</v>
      </c>
      <c r="BM404" s="10" t="str">
        <f t="shared" si="107"/>
        <v/>
      </c>
      <c r="BN404" s="39">
        <f t="shared" si="108"/>
        <v>0</v>
      </c>
      <c r="BO404" s="39">
        <f t="shared" si="109"/>
        <v>0</v>
      </c>
      <c r="BP404" s="1">
        <f t="shared" si="110"/>
        <v>0</v>
      </c>
      <c r="BQ404" s="1">
        <f t="shared" si="111"/>
        <v>0</v>
      </c>
      <c r="BR404" s="1" t="str">
        <f t="shared" si="112"/>
        <v/>
      </c>
      <c r="BS404" s="1">
        <f t="shared" si="113"/>
        <v>0</v>
      </c>
      <c r="BT404" s="4">
        <f t="shared" si="114"/>
        <v>0</v>
      </c>
      <c r="BU404" s="39">
        <f t="shared" si="115"/>
        <v>0</v>
      </c>
      <c r="BV404" s="1">
        <f t="shared" si="116"/>
        <v>0</v>
      </c>
      <c r="BW404">
        <f t="shared" si="117"/>
        <v>0</v>
      </c>
      <c r="BX404">
        <f t="shared" si="118"/>
        <v>0</v>
      </c>
    </row>
    <row r="405" spans="58:76" x14ac:dyDescent="0.25">
      <c r="BF405" s="1" t="e">
        <f>VLOOKUP(N405,'Incoming Material Report'!H:M,6,FALSE)</f>
        <v>#N/A</v>
      </c>
      <c r="BG405" s="1" t="e">
        <f>IF(VLOOKUP(N405,'Incoming Material Report'!H:N,7,FALSE)=0,"",VLOOKUP(N405,'Incoming Material Report'!H:N,7,FALSE))</f>
        <v>#N/A</v>
      </c>
      <c r="BH405" s="39">
        <f t="shared" si="102"/>
        <v>0</v>
      </c>
      <c r="BI405" s="1">
        <f t="shared" si="103"/>
        <v>0</v>
      </c>
      <c r="BJ405" s="1">
        <f t="shared" si="104"/>
        <v>0</v>
      </c>
      <c r="BK405" s="1">
        <f t="shared" si="105"/>
        <v>0</v>
      </c>
      <c r="BL405" s="1">
        <f t="shared" si="106"/>
        <v>0</v>
      </c>
      <c r="BM405" s="10" t="str">
        <f t="shared" si="107"/>
        <v/>
      </c>
      <c r="BN405" s="39">
        <f t="shared" si="108"/>
        <v>0</v>
      </c>
      <c r="BO405" s="39">
        <f t="shared" si="109"/>
        <v>0</v>
      </c>
      <c r="BP405" s="1">
        <f t="shared" si="110"/>
        <v>0</v>
      </c>
      <c r="BQ405" s="1">
        <f t="shared" si="111"/>
        <v>0</v>
      </c>
      <c r="BR405" s="1" t="str">
        <f t="shared" si="112"/>
        <v/>
      </c>
      <c r="BS405" s="1">
        <f t="shared" si="113"/>
        <v>0</v>
      </c>
      <c r="BT405" s="4">
        <f t="shared" si="114"/>
        <v>0</v>
      </c>
      <c r="BU405" s="39">
        <f t="shared" si="115"/>
        <v>0</v>
      </c>
      <c r="BV405" s="1">
        <f t="shared" si="116"/>
        <v>0</v>
      </c>
      <c r="BW405">
        <f t="shared" si="117"/>
        <v>0</v>
      </c>
      <c r="BX405">
        <f t="shared" si="118"/>
        <v>0</v>
      </c>
    </row>
    <row r="406" spans="58:76" x14ac:dyDescent="0.25">
      <c r="BF406" s="1" t="e">
        <f>VLOOKUP(N406,'Incoming Material Report'!H:M,6,FALSE)</f>
        <v>#N/A</v>
      </c>
      <c r="BG406" s="1" t="e">
        <f>IF(VLOOKUP(N406,'Incoming Material Report'!H:N,7,FALSE)=0,"",VLOOKUP(N406,'Incoming Material Report'!H:N,7,FALSE))</f>
        <v>#N/A</v>
      </c>
      <c r="BH406" s="39">
        <f t="shared" si="102"/>
        <v>0</v>
      </c>
      <c r="BI406" s="1">
        <f t="shared" si="103"/>
        <v>0</v>
      </c>
      <c r="BJ406" s="1">
        <f t="shared" si="104"/>
        <v>0</v>
      </c>
      <c r="BK406" s="1">
        <f t="shared" si="105"/>
        <v>0</v>
      </c>
      <c r="BL406" s="1">
        <f t="shared" si="106"/>
        <v>0</v>
      </c>
      <c r="BM406" s="10" t="str">
        <f t="shared" si="107"/>
        <v/>
      </c>
      <c r="BN406" s="39">
        <f t="shared" si="108"/>
        <v>0</v>
      </c>
      <c r="BO406" s="39">
        <f t="shared" si="109"/>
        <v>0</v>
      </c>
      <c r="BP406" s="1">
        <f t="shared" si="110"/>
        <v>0</v>
      </c>
      <c r="BQ406" s="1">
        <f t="shared" si="111"/>
        <v>0</v>
      </c>
      <c r="BR406" s="1" t="str">
        <f t="shared" si="112"/>
        <v/>
      </c>
      <c r="BS406" s="1">
        <f t="shared" si="113"/>
        <v>0</v>
      </c>
      <c r="BT406" s="4">
        <f t="shared" si="114"/>
        <v>0</v>
      </c>
      <c r="BU406" s="39">
        <f t="shared" si="115"/>
        <v>0</v>
      </c>
      <c r="BV406" s="1">
        <f t="shared" si="116"/>
        <v>0</v>
      </c>
      <c r="BW406">
        <f t="shared" si="117"/>
        <v>0</v>
      </c>
      <c r="BX406">
        <f t="shared" si="118"/>
        <v>0</v>
      </c>
    </row>
    <row r="407" spans="58:76" x14ac:dyDescent="0.25">
      <c r="BF407" s="1" t="e">
        <f>VLOOKUP(N407,'Incoming Material Report'!H:M,6,FALSE)</f>
        <v>#N/A</v>
      </c>
      <c r="BG407" s="1" t="e">
        <f>IF(VLOOKUP(N407,'Incoming Material Report'!H:N,7,FALSE)=0,"",VLOOKUP(N407,'Incoming Material Report'!H:N,7,FALSE))</f>
        <v>#N/A</v>
      </c>
      <c r="BH407" s="39">
        <f t="shared" si="102"/>
        <v>0</v>
      </c>
      <c r="BI407" s="1">
        <f t="shared" si="103"/>
        <v>0</v>
      </c>
      <c r="BJ407" s="1">
        <f t="shared" si="104"/>
        <v>0</v>
      </c>
      <c r="BK407" s="1">
        <f t="shared" si="105"/>
        <v>0</v>
      </c>
      <c r="BL407" s="1">
        <f t="shared" si="106"/>
        <v>0</v>
      </c>
      <c r="BM407" s="10" t="str">
        <f t="shared" si="107"/>
        <v/>
      </c>
      <c r="BN407" s="39">
        <f t="shared" si="108"/>
        <v>0</v>
      </c>
      <c r="BO407" s="39">
        <f t="shared" si="109"/>
        <v>0</v>
      </c>
      <c r="BP407" s="1">
        <f t="shared" si="110"/>
        <v>0</v>
      </c>
      <c r="BQ407" s="1">
        <f t="shared" si="111"/>
        <v>0</v>
      </c>
      <c r="BR407" s="1" t="str">
        <f t="shared" si="112"/>
        <v/>
      </c>
      <c r="BS407" s="1">
        <f t="shared" si="113"/>
        <v>0</v>
      </c>
      <c r="BT407" s="4">
        <f t="shared" si="114"/>
        <v>0</v>
      </c>
      <c r="BU407" s="39">
        <f t="shared" si="115"/>
        <v>0</v>
      </c>
      <c r="BV407" s="1">
        <f t="shared" si="116"/>
        <v>0</v>
      </c>
      <c r="BW407">
        <f t="shared" si="117"/>
        <v>0</v>
      </c>
      <c r="BX407">
        <f t="shared" si="118"/>
        <v>0</v>
      </c>
    </row>
    <row r="408" spans="58:76" x14ac:dyDescent="0.25">
      <c r="BF408" s="1" t="e">
        <f>VLOOKUP(N408,'Incoming Material Report'!H:M,6,FALSE)</f>
        <v>#N/A</v>
      </c>
      <c r="BG408" s="1" t="e">
        <f>IF(VLOOKUP(N408,'Incoming Material Report'!H:N,7,FALSE)=0,"",VLOOKUP(N408,'Incoming Material Report'!H:N,7,FALSE))</f>
        <v>#N/A</v>
      </c>
      <c r="BH408" s="39">
        <f t="shared" si="102"/>
        <v>0</v>
      </c>
      <c r="BI408" s="1">
        <f t="shared" si="103"/>
        <v>0</v>
      </c>
      <c r="BJ408" s="1">
        <f t="shared" si="104"/>
        <v>0</v>
      </c>
      <c r="BK408" s="1">
        <f t="shared" si="105"/>
        <v>0</v>
      </c>
      <c r="BL408" s="1">
        <f t="shared" si="106"/>
        <v>0</v>
      </c>
      <c r="BM408" s="10" t="str">
        <f t="shared" si="107"/>
        <v/>
      </c>
      <c r="BN408" s="39">
        <f t="shared" si="108"/>
        <v>0</v>
      </c>
      <c r="BO408" s="39">
        <f t="shared" si="109"/>
        <v>0</v>
      </c>
      <c r="BP408" s="1">
        <f t="shared" si="110"/>
        <v>0</v>
      </c>
      <c r="BQ408" s="1">
        <f t="shared" si="111"/>
        <v>0</v>
      </c>
      <c r="BR408" s="1" t="str">
        <f t="shared" si="112"/>
        <v/>
      </c>
      <c r="BS408" s="1">
        <f t="shared" si="113"/>
        <v>0</v>
      </c>
      <c r="BT408" s="4">
        <f t="shared" si="114"/>
        <v>0</v>
      </c>
      <c r="BU408" s="39">
        <f t="shared" si="115"/>
        <v>0</v>
      </c>
      <c r="BV408" s="1">
        <f t="shared" si="116"/>
        <v>0</v>
      </c>
      <c r="BW408">
        <f t="shared" si="117"/>
        <v>0</v>
      </c>
      <c r="BX408">
        <f t="shared" si="118"/>
        <v>0</v>
      </c>
    </row>
    <row r="409" spans="58:76" x14ac:dyDescent="0.25">
      <c r="BF409" s="1" t="e">
        <f>VLOOKUP(N409,'Incoming Material Report'!H:M,6,FALSE)</f>
        <v>#N/A</v>
      </c>
      <c r="BG409" s="1" t="e">
        <f>IF(VLOOKUP(N409,'Incoming Material Report'!H:N,7,FALSE)=0,"",VLOOKUP(N409,'Incoming Material Report'!H:N,7,FALSE))</f>
        <v>#N/A</v>
      </c>
      <c r="BH409" s="39">
        <f t="shared" si="102"/>
        <v>0</v>
      </c>
      <c r="BI409" s="1">
        <f t="shared" si="103"/>
        <v>0</v>
      </c>
      <c r="BJ409" s="1">
        <f t="shared" si="104"/>
        <v>0</v>
      </c>
      <c r="BK409" s="1">
        <f t="shared" si="105"/>
        <v>0</v>
      </c>
      <c r="BL409" s="1">
        <f t="shared" si="106"/>
        <v>0</v>
      </c>
      <c r="BM409" s="10" t="str">
        <f t="shared" si="107"/>
        <v/>
      </c>
      <c r="BN409" s="39">
        <f t="shared" si="108"/>
        <v>0</v>
      </c>
      <c r="BO409" s="39">
        <f t="shared" si="109"/>
        <v>0</v>
      </c>
      <c r="BP409" s="1">
        <f t="shared" si="110"/>
        <v>0</v>
      </c>
      <c r="BQ409" s="1">
        <f t="shared" si="111"/>
        <v>0</v>
      </c>
      <c r="BR409" s="1" t="str">
        <f t="shared" si="112"/>
        <v/>
      </c>
      <c r="BS409" s="1">
        <f t="shared" si="113"/>
        <v>0</v>
      </c>
      <c r="BT409" s="4">
        <f t="shared" si="114"/>
        <v>0</v>
      </c>
      <c r="BU409" s="39">
        <f t="shared" si="115"/>
        <v>0</v>
      </c>
      <c r="BV409" s="1">
        <f t="shared" si="116"/>
        <v>0</v>
      </c>
      <c r="BW409">
        <f t="shared" si="117"/>
        <v>0</v>
      </c>
      <c r="BX409">
        <f t="shared" si="118"/>
        <v>0</v>
      </c>
    </row>
    <row r="410" spans="58:76" x14ac:dyDescent="0.25">
      <c r="BF410" s="1" t="e">
        <f>VLOOKUP(N410,'Incoming Material Report'!H:M,6,FALSE)</f>
        <v>#N/A</v>
      </c>
      <c r="BG410" s="1" t="e">
        <f>IF(VLOOKUP(N410,'Incoming Material Report'!H:N,7,FALSE)=0,"",VLOOKUP(N410,'Incoming Material Report'!H:N,7,FALSE))</f>
        <v>#N/A</v>
      </c>
      <c r="BH410" s="39">
        <f t="shared" si="102"/>
        <v>0</v>
      </c>
      <c r="BI410" s="1">
        <f t="shared" si="103"/>
        <v>0</v>
      </c>
      <c r="BJ410" s="1">
        <f t="shared" si="104"/>
        <v>0</v>
      </c>
      <c r="BK410" s="1">
        <f t="shared" si="105"/>
        <v>0</v>
      </c>
      <c r="BL410" s="1">
        <f t="shared" si="106"/>
        <v>0</v>
      </c>
      <c r="BM410" s="10" t="str">
        <f t="shared" si="107"/>
        <v/>
      </c>
      <c r="BN410" s="39">
        <f t="shared" si="108"/>
        <v>0</v>
      </c>
      <c r="BO410" s="39">
        <f t="shared" si="109"/>
        <v>0</v>
      </c>
      <c r="BP410" s="1">
        <f t="shared" si="110"/>
        <v>0</v>
      </c>
      <c r="BQ410" s="1">
        <f t="shared" si="111"/>
        <v>0</v>
      </c>
      <c r="BR410" s="1" t="str">
        <f t="shared" si="112"/>
        <v/>
      </c>
      <c r="BS410" s="1">
        <f t="shared" si="113"/>
        <v>0</v>
      </c>
      <c r="BT410" s="4">
        <f t="shared" si="114"/>
        <v>0</v>
      </c>
      <c r="BU410" s="39">
        <f t="shared" si="115"/>
        <v>0</v>
      </c>
      <c r="BV410" s="1">
        <f t="shared" si="116"/>
        <v>0</v>
      </c>
      <c r="BW410">
        <f t="shared" si="117"/>
        <v>0</v>
      </c>
      <c r="BX410">
        <f t="shared" si="118"/>
        <v>0</v>
      </c>
    </row>
    <row r="411" spans="58:76" x14ac:dyDescent="0.25">
      <c r="BF411" s="1" t="e">
        <f>VLOOKUP(N411,'Incoming Material Report'!H:M,6,FALSE)</f>
        <v>#N/A</v>
      </c>
      <c r="BG411" s="1" t="e">
        <f>IF(VLOOKUP(N411,'Incoming Material Report'!H:N,7,FALSE)=0,"",VLOOKUP(N411,'Incoming Material Report'!H:N,7,FALSE))</f>
        <v>#N/A</v>
      </c>
      <c r="BH411" s="39">
        <f t="shared" si="102"/>
        <v>0</v>
      </c>
      <c r="BI411" s="1">
        <f t="shared" si="103"/>
        <v>0</v>
      </c>
      <c r="BJ411" s="1">
        <f t="shared" si="104"/>
        <v>0</v>
      </c>
      <c r="BK411" s="1">
        <f t="shared" si="105"/>
        <v>0</v>
      </c>
      <c r="BL411" s="1">
        <f t="shared" si="106"/>
        <v>0</v>
      </c>
      <c r="BM411" s="10" t="str">
        <f t="shared" si="107"/>
        <v/>
      </c>
      <c r="BN411" s="39">
        <f t="shared" si="108"/>
        <v>0</v>
      </c>
      <c r="BO411" s="39">
        <f t="shared" si="109"/>
        <v>0</v>
      </c>
      <c r="BP411" s="1">
        <f t="shared" si="110"/>
        <v>0</v>
      </c>
      <c r="BQ411" s="1">
        <f t="shared" si="111"/>
        <v>0</v>
      </c>
      <c r="BR411" s="1" t="str">
        <f t="shared" si="112"/>
        <v/>
      </c>
      <c r="BS411" s="1">
        <f t="shared" si="113"/>
        <v>0</v>
      </c>
      <c r="BT411" s="4">
        <f t="shared" si="114"/>
        <v>0</v>
      </c>
      <c r="BU411" s="39">
        <f t="shared" si="115"/>
        <v>0</v>
      </c>
      <c r="BV411" s="1">
        <f t="shared" si="116"/>
        <v>0</v>
      </c>
      <c r="BW411">
        <f t="shared" si="117"/>
        <v>0</v>
      </c>
      <c r="BX411">
        <f t="shared" si="118"/>
        <v>0</v>
      </c>
    </row>
    <row r="412" spans="58:76" x14ac:dyDescent="0.25">
      <c r="BF412" s="1" t="e">
        <f>VLOOKUP(N412,'Incoming Material Report'!H:M,6,FALSE)</f>
        <v>#N/A</v>
      </c>
      <c r="BG412" s="1" t="e">
        <f>IF(VLOOKUP(N412,'Incoming Material Report'!H:N,7,FALSE)=0,"",VLOOKUP(N412,'Incoming Material Report'!H:N,7,FALSE))</f>
        <v>#N/A</v>
      </c>
      <c r="BH412" s="39">
        <f t="shared" si="102"/>
        <v>0</v>
      </c>
      <c r="BI412" s="1">
        <f t="shared" si="103"/>
        <v>0</v>
      </c>
      <c r="BJ412" s="1">
        <f t="shared" si="104"/>
        <v>0</v>
      </c>
      <c r="BK412" s="1">
        <f t="shared" si="105"/>
        <v>0</v>
      </c>
      <c r="BL412" s="1">
        <f t="shared" si="106"/>
        <v>0</v>
      </c>
      <c r="BM412" s="10" t="str">
        <f t="shared" si="107"/>
        <v/>
      </c>
      <c r="BN412" s="39">
        <f t="shared" si="108"/>
        <v>0</v>
      </c>
      <c r="BO412" s="39">
        <f t="shared" si="109"/>
        <v>0</v>
      </c>
      <c r="BP412" s="1">
        <f t="shared" si="110"/>
        <v>0</v>
      </c>
      <c r="BQ412" s="1">
        <f t="shared" si="111"/>
        <v>0</v>
      </c>
      <c r="BR412" s="1" t="str">
        <f t="shared" si="112"/>
        <v/>
      </c>
      <c r="BS412" s="1">
        <f t="shared" si="113"/>
        <v>0</v>
      </c>
      <c r="BT412" s="4">
        <f t="shared" si="114"/>
        <v>0</v>
      </c>
      <c r="BU412" s="39">
        <f t="shared" si="115"/>
        <v>0</v>
      </c>
      <c r="BV412" s="1">
        <f t="shared" si="116"/>
        <v>0</v>
      </c>
      <c r="BW412">
        <f t="shared" si="117"/>
        <v>0</v>
      </c>
      <c r="BX412">
        <f t="shared" si="118"/>
        <v>0</v>
      </c>
    </row>
    <row r="413" spans="58:76" x14ac:dyDescent="0.25">
      <c r="BF413" s="1" t="e">
        <f>VLOOKUP(N413,'Incoming Material Report'!H:M,6,FALSE)</f>
        <v>#N/A</v>
      </c>
      <c r="BG413" s="1" t="e">
        <f>IF(VLOOKUP(N413,'Incoming Material Report'!H:N,7,FALSE)=0,"",VLOOKUP(N413,'Incoming Material Report'!H:N,7,FALSE))</f>
        <v>#N/A</v>
      </c>
      <c r="BH413" s="39">
        <f t="shared" si="102"/>
        <v>0</v>
      </c>
      <c r="BI413" s="1">
        <f t="shared" si="103"/>
        <v>0</v>
      </c>
      <c r="BJ413" s="1">
        <f t="shared" si="104"/>
        <v>0</v>
      </c>
      <c r="BK413" s="1">
        <f t="shared" si="105"/>
        <v>0</v>
      </c>
      <c r="BL413" s="1">
        <f t="shared" si="106"/>
        <v>0</v>
      </c>
      <c r="BM413" s="10" t="str">
        <f t="shared" si="107"/>
        <v/>
      </c>
      <c r="BN413" s="39">
        <f t="shared" si="108"/>
        <v>0</v>
      </c>
      <c r="BO413" s="39">
        <f t="shared" si="109"/>
        <v>0</v>
      </c>
      <c r="BP413" s="1">
        <f t="shared" si="110"/>
        <v>0</v>
      </c>
      <c r="BQ413" s="1">
        <f t="shared" si="111"/>
        <v>0</v>
      </c>
      <c r="BR413" s="1" t="str">
        <f t="shared" si="112"/>
        <v/>
      </c>
      <c r="BS413" s="1">
        <f t="shared" si="113"/>
        <v>0</v>
      </c>
      <c r="BT413" s="4">
        <f t="shared" si="114"/>
        <v>0</v>
      </c>
      <c r="BU413" s="39">
        <f t="shared" si="115"/>
        <v>0</v>
      </c>
      <c r="BV413" s="1">
        <f t="shared" si="116"/>
        <v>0</v>
      </c>
      <c r="BW413">
        <f t="shared" si="117"/>
        <v>0</v>
      </c>
      <c r="BX413">
        <f t="shared" si="118"/>
        <v>0</v>
      </c>
    </row>
    <row r="414" spans="58:76" x14ac:dyDescent="0.25">
      <c r="BF414" s="1" t="e">
        <f>VLOOKUP(N414,'Incoming Material Report'!H:M,6,FALSE)</f>
        <v>#N/A</v>
      </c>
      <c r="BG414" s="1" t="e">
        <f>IF(VLOOKUP(N414,'Incoming Material Report'!H:N,7,FALSE)=0,"",VLOOKUP(N414,'Incoming Material Report'!H:N,7,FALSE))</f>
        <v>#N/A</v>
      </c>
      <c r="BH414" s="39">
        <f t="shared" si="102"/>
        <v>0</v>
      </c>
      <c r="BI414" s="1">
        <f t="shared" si="103"/>
        <v>0</v>
      </c>
      <c r="BJ414" s="1">
        <f t="shared" si="104"/>
        <v>0</v>
      </c>
      <c r="BK414" s="1">
        <f t="shared" si="105"/>
        <v>0</v>
      </c>
      <c r="BL414" s="1">
        <f t="shared" si="106"/>
        <v>0</v>
      </c>
      <c r="BM414" s="10" t="str">
        <f t="shared" si="107"/>
        <v/>
      </c>
      <c r="BN414" s="39">
        <f t="shared" si="108"/>
        <v>0</v>
      </c>
      <c r="BO414" s="39">
        <f t="shared" si="109"/>
        <v>0</v>
      </c>
      <c r="BP414" s="1">
        <f t="shared" si="110"/>
        <v>0</v>
      </c>
      <c r="BQ414" s="1">
        <f t="shared" si="111"/>
        <v>0</v>
      </c>
      <c r="BR414" s="1" t="str">
        <f t="shared" si="112"/>
        <v/>
      </c>
      <c r="BS414" s="1">
        <f t="shared" si="113"/>
        <v>0</v>
      </c>
      <c r="BT414" s="4">
        <f t="shared" si="114"/>
        <v>0</v>
      </c>
      <c r="BU414" s="39">
        <f t="shared" si="115"/>
        <v>0</v>
      </c>
      <c r="BV414" s="1">
        <f t="shared" si="116"/>
        <v>0</v>
      </c>
      <c r="BW414">
        <f t="shared" si="117"/>
        <v>0</v>
      </c>
      <c r="BX414">
        <f t="shared" si="118"/>
        <v>0</v>
      </c>
    </row>
    <row r="415" spans="58:76" x14ac:dyDescent="0.25">
      <c r="BF415" s="1" t="e">
        <f>VLOOKUP(N415,'Incoming Material Report'!H:M,6,FALSE)</f>
        <v>#N/A</v>
      </c>
      <c r="BG415" s="1" t="e">
        <f>IF(VLOOKUP(N415,'Incoming Material Report'!H:N,7,FALSE)=0,"",VLOOKUP(N415,'Incoming Material Report'!H:N,7,FALSE))</f>
        <v>#N/A</v>
      </c>
      <c r="BH415" s="39">
        <f t="shared" si="102"/>
        <v>0</v>
      </c>
      <c r="BI415" s="1">
        <f t="shared" si="103"/>
        <v>0</v>
      </c>
      <c r="BJ415" s="1">
        <f t="shared" si="104"/>
        <v>0</v>
      </c>
      <c r="BK415" s="1">
        <f t="shared" si="105"/>
        <v>0</v>
      </c>
      <c r="BL415" s="1">
        <f t="shared" si="106"/>
        <v>0</v>
      </c>
      <c r="BM415" s="10" t="str">
        <f t="shared" si="107"/>
        <v/>
      </c>
      <c r="BN415" s="39">
        <f t="shared" si="108"/>
        <v>0</v>
      </c>
      <c r="BO415" s="39">
        <f t="shared" si="109"/>
        <v>0</v>
      </c>
      <c r="BP415" s="1">
        <f t="shared" si="110"/>
        <v>0</v>
      </c>
      <c r="BQ415" s="1">
        <f t="shared" si="111"/>
        <v>0</v>
      </c>
      <c r="BR415" s="1" t="str">
        <f t="shared" si="112"/>
        <v/>
      </c>
      <c r="BS415" s="1">
        <f t="shared" si="113"/>
        <v>0</v>
      </c>
      <c r="BT415" s="4">
        <f t="shared" si="114"/>
        <v>0</v>
      </c>
      <c r="BU415" s="39">
        <f t="shared" si="115"/>
        <v>0</v>
      </c>
      <c r="BV415" s="1">
        <f t="shared" si="116"/>
        <v>0</v>
      </c>
      <c r="BW415">
        <f t="shared" si="117"/>
        <v>0</v>
      </c>
      <c r="BX415">
        <f t="shared" si="118"/>
        <v>0</v>
      </c>
    </row>
    <row r="416" spans="58:76" x14ac:dyDescent="0.25">
      <c r="BF416" s="1" t="e">
        <f>VLOOKUP(N416,'Incoming Material Report'!H:M,6,FALSE)</f>
        <v>#N/A</v>
      </c>
      <c r="BG416" s="1" t="e">
        <f>IF(VLOOKUP(N416,'Incoming Material Report'!H:N,7,FALSE)=0,"",VLOOKUP(N416,'Incoming Material Report'!H:N,7,FALSE))</f>
        <v>#N/A</v>
      </c>
      <c r="BH416" s="39">
        <f t="shared" si="102"/>
        <v>0</v>
      </c>
      <c r="BI416" s="1">
        <f t="shared" si="103"/>
        <v>0</v>
      </c>
      <c r="BJ416" s="1">
        <f t="shared" si="104"/>
        <v>0</v>
      </c>
      <c r="BK416" s="1">
        <f t="shared" si="105"/>
        <v>0</v>
      </c>
      <c r="BL416" s="1">
        <f t="shared" si="106"/>
        <v>0</v>
      </c>
      <c r="BM416" s="10" t="str">
        <f t="shared" si="107"/>
        <v/>
      </c>
      <c r="BN416" s="39">
        <f t="shared" si="108"/>
        <v>0</v>
      </c>
      <c r="BO416" s="39">
        <f t="shared" si="109"/>
        <v>0</v>
      </c>
      <c r="BP416" s="1">
        <f t="shared" si="110"/>
        <v>0</v>
      </c>
      <c r="BQ416" s="1">
        <f t="shared" si="111"/>
        <v>0</v>
      </c>
      <c r="BR416" s="1" t="str">
        <f t="shared" si="112"/>
        <v/>
      </c>
      <c r="BS416" s="1">
        <f t="shared" si="113"/>
        <v>0</v>
      </c>
      <c r="BT416" s="4">
        <f t="shared" si="114"/>
        <v>0</v>
      </c>
      <c r="BU416" s="39">
        <f t="shared" si="115"/>
        <v>0</v>
      </c>
      <c r="BV416" s="1">
        <f t="shared" si="116"/>
        <v>0</v>
      </c>
      <c r="BW416">
        <f t="shared" si="117"/>
        <v>0</v>
      </c>
      <c r="BX416">
        <f t="shared" si="118"/>
        <v>0</v>
      </c>
    </row>
    <row r="417" spans="58:76" x14ac:dyDescent="0.25">
      <c r="BF417" s="1" t="e">
        <f>VLOOKUP(N417,'Incoming Material Report'!H:M,6,FALSE)</f>
        <v>#N/A</v>
      </c>
      <c r="BG417" s="1" t="e">
        <f>IF(VLOOKUP(N417,'Incoming Material Report'!H:N,7,FALSE)=0,"",VLOOKUP(N417,'Incoming Material Report'!H:N,7,FALSE))</f>
        <v>#N/A</v>
      </c>
      <c r="BH417" s="39">
        <f t="shared" si="102"/>
        <v>0</v>
      </c>
      <c r="BI417" s="1">
        <f t="shared" si="103"/>
        <v>0</v>
      </c>
      <c r="BJ417" s="1">
        <f t="shared" si="104"/>
        <v>0</v>
      </c>
      <c r="BK417" s="1">
        <f t="shared" si="105"/>
        <v>0</v>
      </c>
      <c r="BL417" s="1">
        <f t="shared" si="106"/>
        <v>0</v>
      </c>
      <c r="BM417" s="10" t="str">
        <f t="shared" si="107"/>
        <v/>
      </c>
      <c r="BN417" s="39">
        <f t="shared" si="108"/>
        <v>0</v>
      </c>
      <c r="BO417" s="39">
        <f t="shared" si="109"/>
        <v>0</v>
      </c>
      <c r="BP417" s="1">
        <f t="shared" si="110"/>
        <v>0</v>
      </c>
      <c r="BQ417" s="1">
        <f t="shared" si="111"/>
        <v>0</v>
      </c>
      <c r="BR417" s="1" t="str">
        <f t="shared" si="112"/>
        <v/>
      </c>
      <c r="BS417" s="1">
        <f t="shared" si="113"/>
        <v>0</v>
      </c>
      <c r="BT417" s="4">
        <f t="shared" si="114"/>
        <v>0</v>
      </c>
      <c r="BU417" s="39">
        <f t="shared" si="115"/>
        <v>0</v>
      </c>
      <c r="BV417" s="1">
        <f t="shared" si="116"/>
        <v>0</v>
      </c>
      <c r="BW417">
        <f t="shared" si="117"/>
        <v>0</v>
      </c>
      <c r="BX417">
        <f t="shared" si="118"/>
        <v>0</v>
      </c>
    </row>
    <row r="418" spans="58:76" x14ac:dyDescent="0.25">
      <c r="BF418" s="1" t="e">
        <f>VLOOKUP(N418,'Incoming Material Report'!H:M,6,FALSE)</f>
        <v>#N/A</v>
      </c>
      <c r="BG418" s="1" t="e">
        <f>IF(VLOOKUP(N418,'Incoming Material Report'!H:N,7,FALSE)=0,"",VLOOKUP(N418,'Incoming Material Report'!H:N,7,FALSE))</f>
        <v>#N/A</v>
      </c>
      <c r="BH418" s="39">
        <f t="shared" si="102"/>
        <v>0</v>
      </c>
      <c r="BI418" s="1">
        <f t="shared" si="103"/>
        <v>0</v>
      </c>
      <c r="BJ418" s="1">
        <f t="shared" si="104"/>
        <v>0</v>
      </c>
      <c r="BK418" s="1">
        <f t="shared" si="105"/>
        <v>0</v>
      </c>
      <c r="BL418" s="1">
        <f t="shared" si="106"/>
        <v>0</v>
      </c>
      <c r="BM418" s="10" t="str">
        <f t="shared" si="107"/>
        <v/>
      </c>
      <c r="BN418" s="39">
        <f t="shared" si="108"/>
        <v>0</v>
      </c>
      <c r="BO418" s="39">
        <f t="shared" si="109"/>
        <v>0</v>
      </c>
      <c r="BP418" s="1">
        <f t="shared" si="110"/>
        <v>0</v>
      </c>
      <c r="BQ418" s="1">
        <f t="shared" si="111"/>
        <v>0</v>
      </c>
      <c r="BR418" s="1" t="str">
        <f t="shared" si="112"/>
        <v/>
      </c>
      <c r="BS418" s="1">
        <f t="shared" si="113"/>
        <v>0</v>
      </c>
      <c r="BT418" s="4">
        <f t="shared" si="114"/>
        <v>0</v>
      </c>
      <c r="BU418" s="39">
        <f t="shared" si="115"/>
        <v>0</v>
      </c>
      <c r="BV418" s="1">
        <f t="shared" si="116"/>
        <v>0</v>
      </c>
      <c r="BW418">
        <f t="shared" si="117"/>
        <v>0</v>
      </c>
      <c r="BX418">
        <f t="shared" si="118"/>
        <v>0</v>
      </c>
    </row>
    <row r="419" spans="58:76" x14ac:dyDescent="0.25">
      <c r="BF419" s="1" t="e">
        <f>VLOOKUP(N419,'Incoming Material Report'!H:M,6,FALSE)</f>
        <v>#N/A</v>
      </c>
      <c r="BG419" s="1" t="e">
        <f>IF(VLOOKUP(N419,'Incoming Material Report'!H:N,7,FALSE)=0,"",VLOOKUP(N419,'Incoming Material Report'!H:N,7,FALSE))</f>
        <v>#N/A</v>
      </c>
      <c r="BH419" s="39">
        <f t="shared" si="102"/>
        <v>0</v>
      </c>
      <c r="BI419" s="1">
        <f t="shared" si="103"/>
        <v>0</v>
      </c>
      <c r="BJ419" s="1">
        <f t="shared" si="104"/>
        <v>0</v>
      </c>
      <c r="BK419" s="1">
        <f t="shared" si="105"/>
        <v>0</v>
      </c>
      <c r="BL419" s="1">
        <f t="shared" si="106"/>
        <v>0</v>
      </c>
      <c r="BM419" s="10" t="str">
        <f t="shared" si="107"/>
        <v/>
      </c>
      <c r="BN419" s="39">
        <f t="shared" si="108"/>
        <v>0</v>
      </c>
      <c r="BO419" s="39">
        <f t="shared" si="109"/>
        <v>0</v>
      </c>
      <c r="BP419" s="1">
        <f t="shared" si="110"/>
        <v>0</v>
      </c>
      <c r="BQ419" s="1">
        <f t="shared" si="111"/>
        <v>0</v>
      </c>
      <c r="BR419" s="1" t="str">
        <f t="shared" si="112"/>
        <v/>
      </c>
      <c r="BS419" s="1">
        <f t="shared" si="113"/>
        <v>0</v>
      </c>
      <c r="BT419" s="4">
        <f t="shared" si="114"/>
        <v>0</v>
      </c>
      <c r="BU419" s="39">
        <f t="shared" si="115"/>
        <v>0</v>
      </c>
      <c r="BV419" s="1">
        <f t="shared" si="116"/>
        <v>0</v>
      </c>
      <c r="BW419">
        <f t="shared" si="117"/>
        <v>0</v>
      </c>
      <c r="BX419">
        <f t="shared" si="118"/>
        <v>0</v>
      </c>
    </row>
    <row r="420" spans="58:76" x14ac:dyDescent="0.25">
      <c r="BF420" s="1" t="e">
        <f>VLOOKUP(N420,'Incoming Material Report'!H:M,6,FALSE)</f>
        <v>#N/A</v>
      </c>
      <c r="BG420" s="1" t="e">
        <f>IF(VLOOKUP(N420,'Incoming Material Report'!H:N,7,FALSE)=0,"",VLOOKUP(N420,'Incoming Material Report'!H:N,7,FALSE))</f>
        <v>#N/A</v>
      </c>
      <c r="BH420" s="39">
        <f t="shared" si="102"/>
        <v>0</v>
      </c>
      <c r="BI420" s="1">
        <f t="shared" si="103"/>
        <v>0</v>
      </c>
      <c r="BJ420" s="1">
        <f t="shared" si="104"/>
        <v>0</v>
      </c>
      <c r="BK420" s="1">
        <f t="shared" si="105"/>
        <v>0</v>
      </c>
      <c r="BL420" s="1">
        <f t="shared" si="106"/>
        <v>0</v>
      </c>
      <c r="BM420" s="10" t="str">
        <f t="shared" si="107"/>
        <v/>
      </c>
      <c r="BN420" s="39">
        <f t="shared" si="108"/>
        <v>0</v>
      </c>
      <c r="BO420" s="39">
        <f t="shared" si="109"/>
        <v>0</v>
      </c>
      <c r="BP420" s="1">
        <f t="shared" si="110"/>
        <v>0</v>
      </c>
      <c r="BQ420" s="1">
        <f t="shared" si="111"/>
        <v>0</v>
      </c>
      <c r="BR420" s="1" t="str">
        <f t="shared" si="112"/>
        <v/>
      </c>
      <c r="BS420" s="1">
        <f t="shared" si="113"/>
        <v>0</v>
      </c>
      <c r="BT420" s="4">
        <f t="shared" si="114"/>
        <v>0</v>
      </c>
      <c r="BU420" s="39">
        <f t="shared" si="115"/>
        <v>0</v>
      </c>
      <c r="BV420" s="1">
        <f t="shared" si="116"/>
        <v>0</v>
      </c>
      <c r="BW420">
        <f t="shared" si="117"/>
        <v>0</v>
      </c>
      <c r="BX420">
        <f t="shared" si="118"/>
        <v>0</v>
      </c>
    </row>
    <row r="421" spans="58:76" x14ac:dyDescent="0.25">
      <c r="BF421" s="1" t="e">
        <f>VLOOKUP(N421,'Incoming Material Report'!H:M,6,FALSE)</f>
        <v>#N/A</v>
      </c>
      <c r="BG421" s="1" t="e">
        <f>IF(VLOOKUP(N421,'Incoming Material Report'!H:N,7,FALSE)=0,"",VLOOKUP(N421,'Incoming Material Report'!H:N,7,FALSE))</f>
        <v>#N/A</v>
      </c>
      <c r="BH421" s="39">
        <f t="shared" si="102"/>
        <v>0</v>
      </c>
      <c r="BI421" s="1">
        <f t="shared" si="103"/>
        <v>0</v>
      </c>
      <c r="BJ421" s="1">
        <f t="shared" si="104"/>
        <v>0</v>
      </c>
      <c r="BK421" s="1">
        <f t="shared" si="105"/>
        <v>0</v>
      </c>
      <c r="BL421" s="1">
        <f t="shared" si="106"/>
        <v>0</v>
      </c>
      <c r="BM421" s="10" t="str">
        <f t="shared" si="107"/>
        <v/>
      </c>
      <c r="BN421" s="39">
        <f t="shared" si="108"/>
        <v>0</v>
      </c>
      <c r="BO421" s="39">
        <f t="shared" si="109"/>
        <v>0</v>
      </c>
      <c r="BP421" s="1">
        <f t="shared" si="110"/>
        <v>0</v>
      </c>
      <c r="BQ421" s="1">
        <f t="shared" si="111"/>
        <v>0</v>
      </c>
      <c r="BR421" s="1" t="str">
        <f t="shared" si="112"/>
        <v/>
      </c>
      <c r="BS421" s="1">
        <f t="shared" si="113"/>
        <v>0</v>
      </c>
      <c r="BT421" s="4">
        <f t="shared" si="114"/>
        <v>0</v>
      </c>
      <c r="BU421" s="39">
        <f t="shared" si="115"/>
        <v>0</v>
      </c>
      <c r="BV421" s="1">
        <f t="shared" si="116"/>
        <v>0</v>
      </c>
      <c r="BW421">
        <f t="shared" si="117"/>
        <v>0</v>
      </c>
      <c r="BX421">
        <f t="shared" si="118"/>
        <v>0</v>
      </c>
    </row>
    <row r="422" spans="58:76" x14ac:dyDescent="0.25">
      <c r="BF422" s="1" t="e">
        <f>VLOOKUP(N422,'Incoming Material Report'!H:M,6,FALSE)</f>
        <v>#N/A</v>
      </c>
      <c r="BG422" s="1" t="e">
        <f>IF(VLOOKUP(N422,'Incoming Material Report'!H:N,7,FALSE)=0,"",VLOOKUP(N422,'Incoming Material Report'!H:N,7,FALSE))</f>
        <v>#N/A</v>
      </c>
      <c r="BH422" s="39">
        <f t="shared" si="102"/>
        <v>0</v>
      </c>
      <c r="BI422" s="1">
        <f t="shared" si="103"/>
        <v>0</v>
      </c>
      <c r="BJ422" s="1">
        <f t="shared" si="104"/>
        <v>0</v>
      </c>
      <c r="BK422" s="1">
        <f t="shared" si="105"/>
        <v>0</v>
      </c>
      <c r="BL422" s="1">
        <f t="shared" si="106"/>
        <v>0</v>
      </c>
      <c r="BM422" s="10" t="str">
        <f t="shared" si="107"/>
        <v/>
      </c>
      <c r="BN422" s="39">
        <f t="shared" si="108"/>
        <v>0</v>
      </c>
      <c r="BO422" s="39">
        <f t="shared" si="109"/>
        <v>0</v>
      </c>
      <c r="BP422" s="1">
        <f t="shared" si="110"/>
        <v>0</v>
      </c>
      <c r="BQ422" s="1">
        <f t="shared" si="111"/>
        <v>0</v>
      </c>
      <c r="BR422" s="1" t="str">
        <f t="shared" si="112"/>
        <v/>
      </c>
      <c r="BS422" s="1">
        <f t="shared" si="113"/>
        <v>0</v>
      </c>
      <c r="BT422" s="4">
        <f t="shared" si="114"/>
        <v>0</v>
      </c>
      <c r="BU422" s="39">
        <f t="shared" si="115"/>
        <v>0</v>
      </c>
      <c r="BV422" s="1">
        <f t="shared" si="116"/>
        <v>0</v>
      </c>
      <c r="BW422">
        <f t="shared" si="117"/>
        <v>0</v>
      </c>
      <c r="BX422">
        <f t="shared" si="118"/>
        <v>0</v>
      </c>
    </row>
    <row r="423" spans="58:76" x14ac:dyDescent="0.25">
      <c r="BF423" s="1" t="e">
        <f>VLOOKUP(N423,'Incoming Material Report'!H:M,6,FALSE)</f>
        <v>#N/A</v>
      </c>
      <c r="BG423" s="1" t="e">
        <f>IF(VLOOKUP(N423,'Incoming Material Report'!H:N,7,FALSE)=0,"",VLOOKUP(N423,'Incoming Material Report'!H:N,7,FALSE))</f>
        <v>#N/A</v>
      </c>
      <c r="BH423" s="39">
        <f t="shared" si="102"/>
        <v>0</v>
      </c>
      <c r="BI423" s="1">
        <f t="shared" si="103"/>
        <v>0</v>
      </c>
      <c r="BJ423" s="1">
        <f t="shared" si="104"/>
        <v>0</v>
      </c>
      <c r="BK423" s="1">
        <f t="shared" si="105"/>
        <v>0</v>
      </c>
      <c r="BL423" s="1">
        <f t="shared" si="106"/>
        <v>0</v>
      </c>
      <c r="BM423" s="10" t="str">
        <f t="shared" si="107"/>
        <v/>
      </c>
      <c r="BN423" s="39">
        <f t="shared" si="108"/>
        <v>0</v>
      </c>
      <c r="BO423" s="39">
        <f t="shared" si="109"/>
        <v>0</v>
      </c>
      <c r="BP423" s="1">
        <f t="shared" si="110"/>
        <v>0</v>
      </c>
      <c r="BQ423" s="1">
        <f t="shared" si="111"/>
        <v>0</v>
      </c>
      <c r="BR423" s="1" t="str">
        <f t="shared" si="112"/>
        <v/>
      </c>
      <c r="BS423" s="1">
        <f t="shared" si="113"/>
        <v>0</v>
      </c>
      <c r="BT423" s="4">
        <f t="shared" si="114"/>
        <v>0</v>
      </c>
      <c r="BU423" s="39">
        <f t="shared" si="115"/>
        <v>0</v>
      </c>
      <c r="BV423" s="1">
        <f t="shared" si="116"/>
        <v>0</v>
      </c>
      <c r="BW423">
        <f t="shared" si="117"/>
        <v>0</v>
      </c>
      <c r="BX423">
        <f t="shared" si="118"/>
        <v>0</v>
      </c>
    </row>
    <row r="424" spans="58:76" x14ac:dyDescent="0.25">
      <c r="BF424" s="1" t="e">
        <f>VLOOKUP(N424,'Incoming Material Report'!H:M,6,FALSE)</f>
        <v>#N/A</v>
      </c>
      <c r="BG424" s="1" t="e">
        <f>IF(VLOOKUP(N424,'Incoming Material Report'!H:N,7,FALSE)=0,"",VLOOKUP(N424,'Incoming Material Report'!H:N,7,FALSE))</f>
        <v>#N/A</v>
      </c>
      <c r="BH424" s="39">
        <f t="shared" si="102"/>
        <v>0</v>
      </c>
      <c r="BI424" s="1">
        <f t="shared" si="103"/>
        <v>0</v>
      </c>
      <c r="BJ424" s="1">
        <f t="shared" si="104"/>
        <v>0</v>
      </c>
      <c r="BK424" s="1">
        <f t="shared" si="105"/>
        <v>0</v>
      </c>
      <c r="BL424" s="1">
        <f t="shared" si="106"/>
        <v>0</v>
      </c>
      <c r="BM424" s="10" t="str">
        <f t="shared" si="107"/>
        <v/>
      </c>
      <c r="BN424" s="39">
        <f t="shared" si="108"/>
        <v>0</v>
      </c>
      <c r="BO424" s="39">
        <f t="shared" si="109"/>
        <v>0</v>
      </c>
      <c r="BP424" s="1">
        <f t="shared" si="110"/>
        <v>0</v>
      </c>
      <c r="BQ424" s="1">
        <f t="shared" si="111"/>
        <v>0</v>
      </c>
      <c r="BR424" s="1" t="str">
        <f t="shared" si="112"/>
        <v/>
      </c>
      <c r="BS424" s="1">
        <f t="shared" si="113"/>
        <v>0</v>
      </c>
      <c r="BT424" s="4">
        <f t="shared" si="114"/>
        <v>0</v>
      </c>
      <c r="BU424" s="39">
        <f t="shared" si="115"/>
        <v>0</v>
      </c>
      <c r="BV424" s="1">
        <f t="shared" si="116"/>
        <v>0</v>
      </c>
      <c r="BW424">
        <f t="shared" si="117"/>
        <v>0</v>
      </c>
      <c r="BX424">
        <f t="shared" si="118"/>
        <v>0</v>
      </c>
    </row>
    <row r="425" spans="58:76" x14ac:dyDescent="0.25">
      <c r="BF425" s="1" t="e">
        <f>VLOOKUP(N425,'Incoming Material Report'!H:M,6,FALSE)</f>
        <v>#N/A</v>
      </c>
      <c r="BG425" s="1" t="e">
        <f>IF(VLOOKUP(N425,'Incoming Material Report'!H:N,7,FALSE)=0,"",VLOOKUP(N425,'Incoming Material Report'!H:N,7,FALSE))</f>
        <v>#N/A</v>
      </c>
      <c r="BH425" s="39">
        <f t="shared" si="102"/>
        <v>0</v>
      </c>
      <c r="BI425" s="1">
        <f t="shared" si="103"/>
        <v>0</v>
      </c>
      <c r="BJ425" s="1">
        <f t="shared" si="104"/>
        <v>0</v>
      </c>
      <c r="BK425" s="1">
        <f t="shared" si="105"/>
        <v>0</v>
      </c>
      <c r="BL425" s="1">
        <f t="shared" si="106"/>
        <v>0</v>
      </c>
      <c r="BM425" s="10" t="str">
        <f t="shared" si="107"/>
        <v/>
      </c>
      <c r="BN425" s="39">
        <f t="shared" si="108"/>
        <v>0</v>
      </c>
      <c r="BO425" s="39">
        <f t="shared" si="109"/>
        <v>0</v>
      </c>
      <c r="BP425" s="1">
        <f t="shared" si="110"/>
        <v>0</v>
      </c>
      <c r="BQ425" s="1">
        <f t="shared" si="111"/>
        <v>0</v>
      </c>
      <c r="BR425" s="1" t="str">
        <f t="shared" si="112"/>
        <v/>
      </c>
      <c r="BS425" s="1">
        <f t="shared" si="113"/>
        <v>0</v>
      </c>
      <c r="BT425" s="4">
        <f t="shared" si="114"/>
        <v>0</v>
      </c>
      <c r="BU425" s="39">
        <f t="shared" si="115"/>
        <v>0</v>
      </c>
      <c r="BV425" s="1">
        <f t="shared" si="116"/>
        <v>0</v>
      </c>
      <c r="BW425">
        <f t="shared" si="117"/>
        <v>0</v>
      </c>
      <c r="BX425">
        <f t="shared" si="118"/>
        <v>0</v>
      </c>
    </row>
    <row r="426" spans="58:76" x14ac:dyDescent="0.25">
      <c r="BF426" s="1" t="e">
        <f>VLOOKUP(N426,'Incoming Material Report'!H:M,6,FALSE)</f>
        <v>#N/A</v>
      </c>
      <c r="BG426" s="1" t="e">
        <f>IF(VLOOKUP(N426,'Incoming Material Report'!H:N,7,FALSE)=0,"",VLOOKUP(N426,'Incoming Material Report'!H:N,7,FALSE))</f>
        <v>#N/A</v>
      </c>
      <c r="BH426" s="39">
        <f t="shared" si="102"/>
        <v>0</v>
      </c>
      <c r="BI426" s="1">
        <f t="shared" si="103"/>
        <v>0</v>
      </c>
      <c r="BJ426" s="1">
        <f t="shared" si="104"/>
        <v>0</v>
      </c>
      <c r="BK426" s="1">
        <f t="shared" si="105"/>
        <v>0</v>
      </c>
      <c r="BL426" s="1">
        <f t="shared" si="106"/>
        <v>0</v>
      </c>
      <c r="BM426" s="10" t="str">
        <f t="shared" si="107"/>
        <v/>
      </c>
      <c r="BN426" s="39">
        <f t="shared" si="108"/>
        <v>0</v>
      </c>
      <c r="BO426" s="39">
        <f t="shared" si="109"/>
        <v>0</v>
      </c>
      <c r="BP426" s="1">
        <f t="shared" si="110"/>
        <v>0</v>
      </c>
      <c r="BQ426" s="1">
        <f t="shared" si="111"/>
        <v>0</v>
      </c>
      <c r="BR426" s="1" t="str">
        <f t="shared" si="112"/>
        <v/>
      </c>
      <c r="BS426" s="1">
        <f t="shared" si="113"/>
        <v>0</v>
      </c>
      <c r="BT426" s="4">
        <f t="shared" si="114"/>
        <v>0</v>
      </c>
      <c r="BU426" s="39">
        <f t="shared" si="115"/>
        <v>0</v>
      </c>
      <c r="BV426" s="1">
        <f t="shared" si="116"/>
        <v>0</v>
      </c>
      <c r="BW426">
        <f t="shared" si="117"/>
        <v>0</v>
      </c>
      <c r="BX426">
        <f t="shared" si="118"/>
        <v>0</v>
      </c>
    </row>
    <row r="427" spans="58:76" x14ac:dyDescent="0.25">
      <c r="BF427" s="1" t="e">
        <f>VLOOKUP(N427,'Incoming Material Report'!H:M,6,FALSE)</f>
        <v>#N/A</v>
      </c>
      <c r="BG427" s="1" t="e">
        <f>IF(VLOOKUP(N427,'Incoming Material Report'!H:N,7,FALSE)=0,"",VLOOKUP(N427,'Incoming Material Report'!H:N,7,FALSE))</f>
        <v>#N/A</v>
      </c>
      <c r="BH427" s="39">
        <f t="shared" si="102"/>
        <v>0</v>
      </c>
      <c r="BI427" s="1">
        <f t="shared" si="103"/>
        <v>0</v>
      </c>
      <c r="BJ427" s="1">
        <f t="shared" si="104"/>
        <v>0</v>
      </c>
      <c r="BK427" s="1">
        <f t="shared" si="105"/>
        <v>0</v>
      </c>
      <c r="BL427" s="1">
        <f t="shared" si="106"/>
        <v>0</v>
      </c>
      <c r="BM427" s="10" t="str">
        <f t="shared" si="107"/>
        <v/>
      </c>
      <c r="BN427" s="39">
        <f t="shared" si="108"/>
        <v>0</v>
      </c>
      <c r="BO427" s="39">
        <f t="shared" si="109"/>
        <v>0</v>
      </c>
      <c r="BP427" s="1">
        <f t="shared" si="110"/>
        <v>0</v>
      </c>
      <c r="BQ427" s="1">
        <f t="shared" si="111"/>
        <v>0</v>
      </c>
      <c r="BR427" s="1" t="str">
        <f t="shared" si="112"/>
        <v/>
      </c>
      <c r="BS427" s="1">
        <f t="shared" si="113"/>
        <v>0</v>
      </c>
      <c r="BT427" s="4">
        <f t="shared" si="114"/>
        <v>0</v>
      </c>
      <c r="BU427" s="39">
        <f t="shared" si="115"/>
        <v>0</v>
      </c>
      <c r="BV427" s="1">
        <f t="shared" si="116"/>
        <v>0</v>
      </c>
      <c r="BW427">
        <f t="shared" si="117"/>
        <v>0</v>
      </c>
      <c r="BX427">
        <f t="shared" si="118"/>
        <v>0</v>
      </c>
    </row>
    <row r="428" spans="58:76" x14ac:dyDescent="0.25">
      <c r="BF428" s="1" t="e">
        <f>VLOOKUP(N428,'Incoming Material Report'!H:M,6,FALSE)</f>
        <v>#N/A</v>
      </c>
      <c r="BG428" s="1" t="e">
        <f>IF(VLOOKUP(N428,'Incoming Material Report'!H:N,7,FALSE)=0,"",VLOOKUP(N428,'Incoming Material Report'!H:N,7,FALSE))</f>
        <v>#N/A</v>
      </c>
      <c r="BH428" s="39">
        <f t="shared" si="102"/>
        <v>0</v>
      </c>
      <c r="BI428" s="1">
        <f t="shared" si="103"/>
        <v>0</v>
      </c>
      <c r="BJ428" s="1">
        <f t="shared" si="104"/>
        <v>0</v>
      </c>
      <c r="BK428" s="1">
        <f t="shared" si="105"/>
        <v>0</v>
      </c>
      <c r="BL428" s="1">
        <f t="shared" si="106"/>
        <v>0</v>
      </c>
      <c r="BM428" s="10" t="str">
        <f t="shared" si="107"/>
        <v/>
      </c>
      <c r="BN428" s="39">
        <f t="shared" si="108"/>
        <v>0</v>
      </c>
      <c r="BO428" s="39">
        <f t="shared" si="109"/>
        <v>0</v>
      </c>
      <c r="BP428" s="1">
        <f t="shared" si="110"/>
        <v>0</v>
      </c>
      <c r="BQ428" s="1">
        <f t="shared" si="111"/>
        <v>0</v>
      </c>
      <c r="BR428" s="1" t="str">
        <f t="shared" si="112"/>
        <v/>
      </c>
      <c r="BS428" s="1">
        <f t="shared" si="113"/>
        <v>0</v>
      </c>
      <c r="BT428" s="4">
        <f t="shared" si="114"/>
        <v>0</v>
      </c>
      <c r="BU428" s="39">
        <f t="shared" si="115"/>
        <v>0</v>
      </c>
      <c r="BV428" s="1">
        <f t="shared" si="116"/>
        <v>0</v>
      </c>
      <c r="BW428">
        <f t="shared" si="117"/>
        <v>0</v>
      </c>
      <c r="BX428">
        <f t="shared" si="118"/>
        <v>0</v>
      </c>
    </row>
    <row r="429" spans="58:76" x14ac:dyDescent="0.25">
      <c r="BF429" s="1" t="e">
        <f>VLOOKUP(N429,'Incoming Material Report'!H:M,6,FALSE)</f>
        <v>#N/A</v>
      </c>
      <c r="BG429" s="1" t="e">
        <f>IF(VLOOKUP(N429,'Incoming Material Report'!H:N,7,FALSE)=0,"",VLOOKUP(N429,'Incoming Material Report'!H:N,7,FALSE))</f>
        <v>#N/A</v>
      </c>
      <c r="BH429" s="39">
        <f t="shared" si="102"/>
        <v>0</v>
      </c>
      <c r="BI429" s="1">
        <f t="shared" si="103"/>
        <v>0</v>
      </c>
      <c r="BJ429" s="1">
        <f t="shared" si="104"/>
        <v>0</v>
      </c>
      <c r="BK429" s="1">
        <f t="shared" si="105"/>
        <v>0</v>
      </c>
      <c r="BL429" s="1">
        <f t="shared" si="106"/>
        <v>0</v>
      </c>
      <c r="BM429" s="10" t="str">
        <f t="shared" si="107"/>
        <v/>
      </c>
      <c r="BN429" s="39">
        <f t="shared" si="108"/>
        <v>0</v>
      </c>
      <c r="BO429" s="39">
        <f t="shared" si="109"/>
        <v>0</v>
      </c>
      <c r="BP429" s="1">
        <f t="shared" si="110"/>
        <v>0</v>
      </c>
      <c r="BQ429" s="1">
        <f t="shared" si="111"/>
        <v>0</v>
      </c>
      <c r="BR429" s="1" t="str">
        <f t="shared" si="112"/>
        <v/>
      </c>
      <c r="BS429" s="1">
        <f t="shared" si="113"/>
        <v>0</v>
      </c>
      <c r="BT429" s="4">
        <f t="shared" si="114"/>
        <v>0</v>
      </c>
      <c r="BU429" s="39">
        <f t="shared" si="115"/>
        <v>0</v>
      </c>
      <c r="BV429" s="1">
        <f t="shared" si="116"/>
        <v>0</v>
      </c>
      <c r="BW429">
        <f t="shared" si="117"/>
        <v>0</v>
      </c>
      <c r="BX429">
        <f t="shared" si="118"/>
        <v>0</v>
      </c>
    </row>
    <row r="430" spans="58:76" x14ac:dyDescent="0.25">
      <c r="BF430" s="1" t="e">
        <f>VLOOKUP(N430,'Incoming Material Report'!H:M,6,FALSE)</f>
        <v>#N/A</v>
      </c>
      <c r="BG430" s="1" t="e">
        <f>IF(VLOOKUP(N430,'Incoming Material Report'!H:N,7,FALSE)=0,"",VLOOKUP(N430,'Incoming Material Report'!H:N,7,FALSE))</f>
        <v>#N/A</v>
      </c>
      <c r="BH430" s="39">
        <f t="shared" si="102"/>
        <v>0</v>
      </c>
      <c r="BI430" s="1">
        <f t="shared" si="103"/>
        <v>0</v>
      </c>
      <c r="BJ430" s="1">
        <f t="shared" si="104"/>
        <v>0</v>
      </c>
      <c r="BK430" s="1">
        <f t="shared" si="105"/>
        <v>0</v>
      </c>
      <c r="BL430" s="1">
        <f t="shared" si="106"/>
        <v>0</v>
      </c>
      <c r="BM430" s="10" t="str">
        <f t="shared" si="107"/>
        <v/>
      </c>
      <c r="BN430" s="39">
        <f t="shared" si="108"/>
        <v>0</v>
      </c>
      <c r="BO430" s="39">
        <f t="shared" si="109"/>
        <v>0</v>
      </c>
      <c r="BP430" s="1">
        <f t="shared" si="110"/>
        <v>0</v>
      </c>
      <c r="BQ430" s="1">
        <f t="shared" si="111"/>
        <v>0</v>
      </c>
      <c r="BR430" s="1" t="str">
        <f t="shared" si="112"/>
        <v/>
      </c>
      <c r="BS430" s="1">
        <f t="shared" si="113"/>
        <v>0</v>
      </c>
      <c r="BT430" s="4">
        <f t="shared" si="114"/>
        <v>0</v>
      </c>
      <c r="BU430" s="39">
        <f t="shared" si="115"/>
        <v>0</v>
      </c>
      <c r="BV430" s="1">
        <f t="shared" si="116"/>
        <v>0</v>
      </c>
      <c r="BW430">
        <f t="shared" si="117"/>
        <v>0</v>
      </c>
      <c r="BX430">
        <f t="shared" si="118"/>
        <v>0</v>
      </c>
    </row>
    <row r="431" spans="58:76" x14ac:dyDescent="0.25">
      <c r="BF431" s="1" t="e">
        <f>VLOOKUP(N431,'Incoming Material Report'!H:M,6,FALSE)</f>
        <v>#N/A</v>
      </c>
      <c r="BG431" s="1" t="e">
        <f>IF(VLOOKUP(N431,'Incoming Material Report'!H:N,7,FALSE)=0,"",VLOOKUP(N431,'Incoming Material Report'!H:N,7,FALSE))</f>
        <v>#N/A</v>
      </c>
      <c r="BH431" s="39">
        <f t="shared" si="102"/>
        <v>0</v>
      </c>
      <c r="BI431" s="1">
        <f t="shared" si="103"/>
        <v>0</v>
      </c>
      <c r="BJ431" s="1">
        <f t="shared" si="104"/>
        <v>0</v>
      </c>
      <c r="BK431" s="1">
        <f t="shared" si="105"/>
        <v>0</v>
      </c>
      <c r="BL431" s="1">
        <f t="shared" si="106"/>
        <v>0</v>
      </c>
      <c r="BM431" s="10" t="str">
        <f t="shared" si="107"/>
        <v/>
      </c>
      <c r="BN431" s="39">
        <f t="shared" si="108"/>
        <v>0</v>
      </c>
      <c r="BO431" s="39">
        <f t="shared" si="109"/>
        <v>0</v>
      </c>
      <c r="BP431" s="1">
        <f t="shared" si="110"/>
        <v>0</v>
      </c>
      <c r="BQ431" s="1">
        <f t="shared" si="111"/>
        <v>0</v>
      </c>
      <c r="BR431" s="1" t="str">
        <f t="shared" si="112"/>
        <v/>
      </c>
      <c r="BS431" s="1">
        <f t="shared" si="113"/>
        <v>0</v>
      </c>
      <c r="BT431" s="4">
        <f t="shared" si="114"/>
        <v>0</v>
      </c>
      <c r="BU431" s="39">
        <f t="shared" si="115"/>
        <v>0</v>
      </c>
      <c r="BV431" s="1">
        <f t="shared" si="116"/>
        <v>0</v>
      </c>
      <c r="BW431">
        <f t="shared" si="117"/>
        <v>0</v>
      </c>
      <c r="BX431">
        <f t="shared" si="118"/>
        <v>0</v>
      </c>
    </row>
    <row r="432" spans="58:76" x14ac:dyDescent="0.25">
      <c r="BF432" s="1" t="e">
        <f>VLOOKUP(N432,'Incoming Material Report'!H:M,6,FALSE)</f>
        <v>#N/A</v>
      </c>
      <c r="BG432" s="1" t="e">
        <f>IF(VLOOKUP(N432,'Incoming Material Report'!H:N,7,FALSE)=0,"",VLOOKUP(N432,'Incoming Material Report'!H:N,7,FALSE))</f>
        <v>#N/A</v>
      </c>
      <c r="BH432" s="39">
        <f t="shared" si="102"/>
        <v>0</v>
      </c>
      <c r="BI432" s="1">
        <f t="shared" si="103"/>
        <v>0</v>
      </c>
      <c r="BJ432" s="1">
        <f t="shared" si="104"/>
        <v>0</v>
      </c>
      <c r="BK432" s="1">
        <f t="shared" si="105"/>
        <v>0</v>
      </c>
      <c r="BL432" s="1">
        <f t="shared" si="106"/>
        <v>0</v>
      </c>
      <c r="BM432" s="10" t="str">
        <f t="shared" si="107"/>
        <v/>
      </c>
      <c r="BN432" s="39">
        <f t="shared" si="108"/>
        <v>0</v>
      </c>
      <c r="BO432" s="39">
        <f t="shared" si="109"/>
        <v>0</v>
      </c>
      <c r="BP432" s="1">
        <f t="shared" si="110"/>
        <v>0</v>
      </c>
      <c r="BQ432" s="1">
        <f t="shared" si="111"/>
        <v>0</v>
      </c>
      <c r="BR432" s="1" t="str">
        <f t="shared" si="112"/>
        <v/>
      </c>
      <c r="BS432" s="1">
        <f t="shared" si="113"/>
        <v>0</v>
      </c>
      <c r="BT432" s="4">
        <f t="shared" si="114"/>
        <v>0</v>
      </c>
      <c r="BU432" s="39">
        <f t="shared" si="115"/>
        <v>0</v>
      </c>
      <c r="BV432" s="1">
        <f t="shared" si="116"/>
        <v>0</v>
      </c>
      <c r="BW432">
        <f t="shared" si="117"/>
        <v>0</v>
      </c>
      <c r="BX432">
        <f t="shared" si="118"/>
        <v>0</v>
      </c>
    </row>
    <row r="433" spans="58:76" x14ac:dyDescent="0.25">
      <c r="BF433" s="1" t="e">
        <f>VLOOKUP(N433,'Incoming Material Report'!H:M,6,FALSE)</f>
        <v>#N/A</v>
      </c>
      <c r="BG433" s="1" t="e">
        <f>IF(VLOOKUP(N433,'Incoming Material Report'!H:N,7,FALSE)=0,"",VLOOKUP(N433,'Incoming Material Report'!H:N,7,FALSE))</f>
        <v>#N/A</v>
      </c>
      <c r="BH433" s="39">
        <f t="shared" si="102"/>
        <v>0</v>
      </c>
      <c r="BI433" s="1">
        <f t="shared" si="103"/>
        <v>0</v>
      </c>
      <c r="BJ433" s="1">
        <f t="shared" si="104"/>
        <v>0</v>
      </c>
      <c r="BK433" s="1">
        <f t="shared" si="105"/>
        <v>0</v>
      </c>
      <c r="BL433" s="1">
        <f t="shared" si="106"/>
        <v>0</v>
      </c>
      <c r="BM433" s="10" t="str">
        <f t="shared" si="107"/>
        <v/>
      </c>
      <c r="BN433" s="39">
        <f t="shared" si="108"/>
        <v>0</v>
      </c>
      <c r="BO433" s="39">
        <f t="shared" si="109"/>
        <v>0</v>
      </c>
      <c r="BP433" s="1">
        <f t="shared" si="110"/>
        <v>0</v>
      </c>
      <c r="BQ433" s="1">
        <f t="shared" si="111"/>
        <v>0</v>
      </c>
      <c r="BR433" s="1" t="str">
        <f t="shared" si="112"/>
        <v/>
      </c>
      <c r="BS433" s="1">
        <f t="shared" si="113"/>
        <v>0</v>
      </c>
      <c r="BT433" s="4">
        <f t="shared" si="114"/>
        <v>0</v>
      </c>
      <c r="BU433" s="39">
        <f t="shared" si="115"/>
        <v>0</v>
      </c>
      <c r="BV433" s="1">
        <f t="shared" si="116"/>
        <v>0</v>
      </c>
      <c r="BW433">
        <f t="shared" si="117"/>
        <v>0</v>
      </c>
      <c r="BX433">
        <f t="shared" si="118"/>
        <v>0</v>
      </c>
    </row>
    <row r="434" spans="58:76" x14ac:dyDescent="0.25">
      <c r="BF434" s="1" t="e">
        <f>VLOOKUP(N434,'Incoming Material Report'!H:M,6,FALSE)</f>
        <v>#N/A</v>
      </c>
      <c r="BG434" s="1" t="e">
        <f>IF(VLOOKUP(N434,'Incoming Material Report'!H:N,7,FALSE)=0,"",VLOOKUP(N434,'Incoming Material Report'!H:N,7,FALSE))</f>
        <v>#N/A</v>
      </c>
      <c r="BH434" s="39">
        <f t="shared" si="102"/>
        <v>0</v>
      </c>
      <c r="BI434" s="1">
        <f t="shared" si="103"/>
        <v>0</v>
      </c>
      <c r="BJ434" s="1">
        <f t="shared" si="104"/>
        <v>0</v>
      </c>
      <c r="BK434" s="1">
        <f t="shared" si="105"/>
        <v>0</v>
      </c>
      <c r="BL434" s="1">
        <f t="shared" si="106"/>
        <v>0</v>
      </c>
      <c r="BM434" s="10" t="str">
        <f t="shared" si="107"/>
        <v/>
      </c>
      <c r="BN434" s="39">
        <f t="shared" si="108"/>
        <v>0</v>
      </c>
      <c r="BO434" s="39">
        <f t="shared" si="109"/>
        <v>0</v>
      </c>
      <c r="BP434" s="1">
        <f t="shared" si="110"/>
        <v>0</v>
      </c>
      <c r="BQ434" s="1">
        <f t="shared" si="111"/>
        <v>0</v>
      </c>
      <c r="BR434" s="1" t="str">
        <f t="shared" si="112"/>
        <v/>
      </c>
      <c r="BS434" s="1">
        <f t="shared" si="113"/>
        <v>0</v>
      </c>
      <c r="BT434" s="4">
        <f t="shared" si="114"/>
        <v>0</v>
      </c>
      <c r="BU434" s="39">
        <f t="shared" si="115"/>
        <v>0</v>
      </c>
      <c r="BV434" s="1">
        <f t="shared" si="116"/>
        <v>0</v>
      </c>
      <c r="BW434">
        <f t="shared" si="117"/>
        <v>0</v>
      </c>
      <c r="BX434">
        <f t="shared" si="118"/>
        <v>0</v>
      </c>
    </row>
    <row r="435" spans="58:76" x14ac:dyDescent="0.25">
      <c r="BF435" s="1" t="e">
        <f>VLOOKUP(N435,'Incoming Material Report'!H:M,6,FALSE)</f>
        <v>#N/A</v>
      </c>
      <c r="BG435" s="1" t="e">
        <f>IF(VLOOKUP(N435,'Incoming Material Report'!H:N,7,FALSE)=0,"",VLOOKUP(N435,'Incoming Material Report'!H:N,7,FALSE))</f>
        <v>#N/A</v>
      </c>
      <c r="BH435" s="39">
        <f t="shared" si="102"/>
        <v>0</v>
      </c>
      <c r="BI435" s="1">
        <f t="shared" si="103"/>
        <v>0</v>
      </c>
      <c r="BJ435" s="1">
        <f t="shared" si="104"/>
        <v>0</v>
      </c>
      <c r="BK435" s="1">
        <f t="shared" si="105"/>
        <v>0</v>
      </c>
      <c r="BL435" s="1">
        <f t="shared" si="106"/>
        <v>0</v>
      </c>
      <c r="BM435" s="10" t="str">
        <f t="shared" si="107"/>
        <v/>
      </c>
      <c r="BN435" s="39">
        <f t="shared" si="108"/>
        <v>0</v>
      </c>
      <c r="BO435" s="39">
        <f t="shared" si="109"/>
        <v>0</v>
      </c>
      <c r="BP435" s="1">
        <f t="shared" si="110"/>
        <v>0</v>
      </c>
      <c r="BQ435" s="1">
        <f t="shared" si="111"/>
        <v>0</v>
      </c>
      <c r="BR435" s="1" t="str">
        <f t="shared" si="112"/>
        <v/>
      </c>
      <c r="BS435" s="1">
        <f t="shared" si="113"/>
        <v>0</v>
      </c>
      <c r="BT435" s="4">
        <f t="shared" si="114"/>
        <v>0</v>
      </c>
      <c r="BU435" s="39">
        <f t="shared" si="115"/>
        <v>0</v>
      </c>
      <c r="BV435" s="1">
        <f t="shared" si="116"/>
        <v>0</v>
      </c>
      <c r="BW435">
        <f t="shared" si="117"/>
        <v>0</v>
      </c>
      <c r="BX435">
        <f t="shared" si="118"/>
        <v>0</v>
      </c>
    </row>
    <row r="436" spans="58:76" x14ac:dyDescent="0.25">
      <c r="BF436" s="1" t="e">
        <f>VLOOKUP(N436,'Incoming Material Report'!H:M,6,FALSE)</f>
        <v>#N/A</v>
      </c>
      <c r="BG436" s="1" t="e">
        <f>IF(VLOOKUP(N436,'Incoming Material Report'!H:N,7,FALSE)=0,"",VLOOKUP(N436,'Incoming Material Report'!H:N,7,FALSE))</f>
        <v>#N/A</v>
      </c>
      <c r="BH436" s="39">
        <f t="shared" si="102"/>
        <v>0</v>
      </c>
      <c r="BI436" s="1">
        <f t="shared" si="103"/>
        <v>0</v>
      </c>
      <c r="BJ436" s="1">
        <f t="shared" si="104"/>
        <v>0</v>
      </c>
      <c r="BK436" s="1">
        <f t="shared" si="105"/>
        <v>0</v>
      </c>
      <c r="BL436" s="1">
        <f t="shared" si="106"/>
        <v>0</v>
      </c>
      <c r="BM436" s="10" t="str">
        <f t="shared" si="107"/>
        <v/>
      </c>
      <c r="BN436" s="39">
        <f t="shared" si="108"/>
        <v>0</v>
      </c>
      <c r="BO436" s="39">
        <f t="shared" si="109"/>
        <v>0</v>
      </c>
      <c r="BP436" s="1">
        <f t="shared" si="110"/>
        <v>0</v>
      </c>
      <c r="BQ436" s="1">
        <f t="shared" si="111"/>
        <v>0</v>
      </c>
      <c r="BR436" s="1" t="str">
        <f t="shared" si="112"/>
        <v/>
      </c>
      <c r="BS436" s="1">
        <f t="shared" si="113"/>
        <v>0</v>
      </c>
      <c r="BT436" s="4">
        <f t="shared" si="114"/>
        <v>0</v>
      </c>
      <c r="BU436" s="39">
        <f t="shared" si="115"/>
        <v>0</v>
      </c>
      <c r="BV436" s="1">
        <f t="shared" si="116"/>
        <v>0</v>
      </c>
      <c r="BW436">
        <f t="shared" si="117"/>
        <v>0</v>
      </c>
      <c r="BX436">
        <f t="shared" si="118"/>
        <v>0</v>
      </c>
    </row>
    <row r="437" spans="58:76" x14ac:dyDescent="0.25">
      <c r="BF437" s="1" t="e">
        <f>VLOOKUP(N437,'Incoming Material Report'!H:M,6,FALSE)</f>
        <v>#N/A</v>
      </c>
      <c r="BG437" s="1" t="e">
        <f>IF(VLOOKUP(N437,'Incoming Material Report'!H:N,7,FALSE)=0,"",VLOOKUP(N437,'Incoming Material Report'!H:N,7,FALSE))</f>
        <v>#N/A</v>
      </c>
      <c r="BH437" s="39">
        <f t="shared" si="102"/>
        <v>0</v>
      </c>
      <c r="BI437" s="1">
        <f t="shared" si="103"/>
        <v>0</v>
      </c>
      <c r="BJ437" s="1">
        <f t="shared" si="104"/>
        <v>0</v>
      </c>
      <c r="BK437" s="1">
        <f t="shared" si="105"/>
        <v>0</v>
      </c>
      <c r="BL437" s="1">
        <f t="shared" si="106"/>
        <v>0</v>
      </c>
      <c r="BM437" s="10" t="str">
        <f t="shared" si="107"/>
        <v/>
      </c>
      <c r="BN437" s="39">
        <f t="shared" si="108"/>
        <v>0</v>
      </c>
      <c r="BO437" s="39">
        <f t="shared" si="109"/>
        <v>0</v>
      </c>
      <c r="BP437" s="1">
        <f t="shared" si="110"/>
        <v>0</v>
      </c>
      <c r="BQ437" s="1">
        <f t="shared" si="111"/>
        <v>0</v>
      </c>
      <c r="BR437" s="1" t="str">
        <f t="shared" si="112"/>
        <v/>
      </c>
      <c r="BS437" s="1">
        <f t="shared" si="113"/>
        <v>0</v>
      </c>
      <c r="BT437" s="4">
        <f t="shared" si="114"/>
        <v>0</v>
      </c>
      <c r="BU437" s="39">
        <f t="shared" si="115"/>
        <v>0</v>
      </c>
      <c r="BV437" s="1">
        <f t="shared" si="116"/>
        <v>0</v>
      </c>
      <c r="BW437">
        <f t="shared" si="117"/>
        <v>0</v>
      </c>
      <c r="BX437">
        <f t="shared" si="118"/>
        <v>0</v>
      </c>
    </row>
    <row r="438" spans="58:76" x14ac:dyDescent="0.25">
      <c r="BF438" s="1" t="e">
        <f>VLOOKUP(N438,'Incoming Material Report'!H:M,6,FALSE)</f>
        <v>#N/A</v>
      </c>
      <c r="BG438" s="1" t="e">
        <f>IF(VLOOKUP(N438,'Incoming Material Report'!H:N,7,FALSE)=0,"",VLOOKUP(N438,'Incoming Material Report'!H:N,7,FALSE))</f>
        <v>#N/A</v>
      </c>
      <c r="BH438" s="39">
        <f t="shared" si="102"/>
        <v>0</v>
      </c>
      <c r="BI438" s="1">
        <f t="shared" si="103"/>
        <v>0</v>
      </c>
      <c r="BJ438" s="1">
        <f t="shared" si="104"/>
        <v>0</v>
      </c>
      <c r="BK438" s="1">
        <f t="shared" si="105"/>
        <v>0</v>
      </c>
      <c r="BL438" s="1">
        <f t="shared" si="106"/>
        <v>0</v>
      </c>
      <c r="BM438" s="10" t="str">
        <f t="shared" si="107"/>
        <v/>
      </c>
      <c r="BN438" s="39">
        <f t="shared" si="108"/>
        <v>0</v>
      </c>
      <c r="BO438" s="39">
        <f t="shared" si="109"/>
        <v>0</v>
      </c>
      <c r="BP438" s="1">
        <f t="shared" si="110"/>
        <v>0</v>
      </c>
      <c r="BQ438" s="1">
        <f t="shared" si="111"/>
        <v>0</v>
      </c>
      <c r="BR438" s="1" t="str">
        <f t="shared" si="112"/>
        <v/>
      </c>
      <c r="BS438" s="1">
        <f t="shared" si="113"/>
        <v>0</v>
      </c>
      <c r="BT438" s="4">
        <f t="shared" si="114"/>
        <v>0</v>
      </c>
      <c r="BU438" s="39">
        <f t="shared" si="115"/>
        <v>0</v>
      </c>
      <c r="BV438" s="1">
        <f t="shared" si="116"/>
        <v>0</v>
      </c>
      <c r="BW438">
        <f t="shared" si="117"/>
        <v>0</v>
      </c>
      <c r="BX438">
        <f t="shared" si="118"/>
        <v>0</v>
      </c>
    </row>
    <row r="439" spans="58:76" x14ac:dyDescent="0.25">
      <c r="BF439" s="1" t="e">
        <f>VLOOKUP(N439,'Incoming Material Report'!H:M,6,FALSE)</f>
        <v>#N/A</v>
      </c>
      <c r="BG439" s="1" t="e">
        <f>IF(VLOOKUP(N439,'Incoming Material Report'!H:N,7,FALSE)=0,"",VLOOKUP(N439,'Incoming Material Report'!H:N,7,FALSE))</f>
        <v>#N/A</v>
      </c>
      <c r="BH439" s="39">
        <f t="shared" si="102"/>
        <v>0</v>
      </c>
      <c r="BI439" s="1">
        <f t="shared" si="103"/>
        <v>0</v>
      </c>
      <c r="BJ439" s="1">
        <f t="shared" si="104"/>
        <v>0</v>
      </c>
      <c r="BK439" s="1">
        <f t="shared" si="105"/>
        <v>0</v>
      </c>
      <c r="BL439" s="1">
        <f t="shared" si="106"/>
        <v>0</v>
      </c>
      <c r="BM439" s="10" t="str">
        <f t="shared" si="107"/>
        <v/>
      </c>
      <c r="BN439" s="39">
        <f t="shared" si="108"/>
        <v>0</v>
      </c>
      <c r="BO439" s="39">
        <f t="shared" si="109"/>
        <v>0</v>
      </c>
      <c r="BP439" s="1">
        <f t="shared" si="110"/>
        <v>0</v>
      </c>
      <c r="BQ439" s="1">
        <f t="shared" si="111"/>
        <v>0</v>
      </c>
      <c r="BR439" s="1" t="str">
        <f t="shared" si="112"/>
        <v/>
      </c>
      <c r="BS439" s="1">
        <f t="shared" si="113"/>
        <v>0</v>
      </c>
      <c r="BT439" s="4">
        <f t="shared" si="114"/>
        <v>0</v>
      </c>
      <c r="BU439" s="39">
        <f t="shared" si="115"/>
        <v>0</v>
      </c>
      <c r="BV439" s="1">
        <f t="shared" si="116"/>
        <v>0</v>
      </c>
      <c r="BW439">
        <f t="shared" si="117"/>
        <v>0</v>
      </c>
      <c r="BX439">
        <f t="shared" si="118"/>
        <v>0</v>
      </c>
    </row>
    <row r="440" spans="58:76" x14ac:dyDescent="0.25">
      <c r="BF440" s="1" t="e">
        <f>VLOOKUP(N440,'Incoming Material Report'!H:M,6,FALSE)</f>
        <v>#N/A</v>
      </c>
      <c r="BG440" s="1" t="e">
        <f>IF(VLOOKUP(N440,'Incoming Material Report'!H:N,7,FALSE)=0,"",VLOOKUP(N440,'Incoming Material Report'!H:N,7,FALSE))</f>
        <v>#N/A</v>
      </c>
      <c r="BH440" s="39">
        <f t="shared" si="102"/>
        <v>0</v>
      </c>
      <c r="BI440" s="1">
        <f t="shared" si="103"/>
        <v>0</v>
      </c>
      <c r="BJ440" s="1">
        <f t="shared" si="104"/>
        <v>0</v>
      </c>
      <c r="BK440" s="1">
        <f t="shared" si="105"/>
        <v>0</v>
      </c>
      <c r="BL440" s="1">
        <f t="shared" si="106"/>
        <v>0</v>
      </c>
      <c r="BM440" s="10" t="str">
        <f t="shared" si="107"/>
        <v/>
      </c>
      <c r="BN440" s="39">
        <f t="shared" si="108"/>
        <v>0</v>
      </c>
      <c r="BO440" s="39">
        <f t="shared" si="109"/>
        <v>0</v>
      </c>
      <c r="BP440" s="1">
        <f t="shared" si="110"/>
        <v>0</v>
      </c>
      <c r="BQ440" s="1">
        <f t="shared" si="111"/>
        <v>0</v>
      </c>
      <c r="BR440" s="1" t="str">
        <f t="shared" si="112"/>
        <v/>
      </c>
      <c r="BS440" s="1">
        <f t="shared" si="113"/>
        <v>0</v>
      </c>
      <c r="BT440" s="4">
        <f t="shared" si="114"/>
        <v>0</v>
      </c>
      <c r="BU440" s="39">
        <f t="shared" si="115"/>
        <v>0</v>
      </c>
      <c r="BV440" s="1">
        <f t="shared" si="116"/>
        <v>0</v>
      </c>
      <c r="BW440">
        <f t="shared" si="117"/>
        <v>0</v>
      </c>
      <c r="BX440">
        <f t="shared" si="118"/>
        <v>0</v>
      </c>
    </row>
    <row r="441" spans="58:76" x14ac:dyDescent="0.25">
      <c r="BF441" s="1" t="e">
        <f>VLOOKUP(N441,'Incoming Material Report'!H:M,6,FALSE)</f>
        <v>#N/A</v>
      </c>
      <c r="BG441" s="1" t="e">
        <f>IF(VLOOKUP(N441,'Incoming Material Report'!H:N,7,FALSE)=0,"",VLOOKUP(N441,'Incoming Material Report'!H:N,7,FALSE))</f>
        <v>#N/A</v>
      </c>
      <c r="BH441" s="39">
        <f t="shared" si="102"/>
        <v>0</v>
      </c>
      <c r="BI441" s="1">
        <f t="shared" si="103"/>
        <v>0</v>
      </c>
      <c r="BJ441" s="1">
        <f t="shared" si="104"/>
        <v>0</v>
      </c>
      <c r="BK441" s="1">
        <f t="shared" si="105"/>
        <v>0</v>
      </c>
      <c r="BL441" s="1">
        <f t="shared" si="106"/>
        <v>0</v>
      </c>
      <c r="BM441" s="10" t="str">
        <f t="shared" si="107"/>
        <v/>
      </c>
      <c r="BN441" s="39">
        <f t="shared" si="108"/>
        <v>0</v>
      </c>
      <c r="BO441" s="39">
        <f t="shared" si="109"/>
        <v>0</v>
      </c>
      <c r="BP441" s="1">
        <f t="shared" si="110"/>
        <v>0</v>
      </c>
      <c r="BQ441" s="1">
        <f t="shared" si="111"/>
        <v>0</v>
      </c>
      <c r="BR441" s="1" t="str">
        <f t="shared" si="112"/>
        <v/>
      </c>
      <c r="BS441" s="1">
        <f t="shared" si="113"/>
        <v>0</v>
      </c>
      <c r="BT441" s="4">
        <f t="shared" si="114"/>
        <v>0</v>
      </c>
      <c r="BU441" s="39">
        <f t="shared" si="115"/>
        <v>0</v>
      </c>
      <c r="BV441" s="1">
        <f t="shared" si="116"/>
        <v>0</v>
      </c>
      <c r="BW441">
        <f t="shared" si="117"/>
        <v>0</v>
      </c>
      <c r="BX441">
        <f t="shared" si="118"/>
        <v>0</v>
      </c>
    </row>
    <row r="442" spans="58:76" x14ac:dyDescent="0.25">
      <c r="BF442" s="1" t="e">
        <f>VLOOKUP(N442,'Incoming Material Report'!H:M,6,FALSE)</f>
        <v>#N/A</v>
      </c>
      <c r="BG442" s="1" t="e">
        <f>IF(VLOOKUP(N442,'Incoming Material Report'!H:N,7,FALSE)=0,"",VLOOKUP(N442,'Incoming Material Report'!H:N,7,FALSE))</f>
        <v>#N/A</v>
      </c>
      <c r="BH442" s="39">
        <f t="shared" ref="BH442:BH505" si="119">VALUE(T442)</f>
        <v>0</v>
      </c>
      <c r="BI442" s="1">
        <f t="shared" ref="BI442:BI505" si="120">VALUE(U442)</f>
        <v>0</v>
      </c>
      <c r="BJ442" s="1">
        <f t="shared" ref="BJ442:BJ505" si="121">IFERROR(_xlfn.NUMBERVALUE(V442),V442)</f>
        <v>0</v>
      </c>
      <c r="BK442" s="1">
        <f t="shared" ref="BK442:BK505" si="122">IFERROR(INT(I442),I442)</f>
        <v>0</v>
      </c>
      <c r="BL442" s="1">
        <f t="shared" ref="BL442:BL505" si="123">L442</f>
        <v>0</v>
      </c>
      <c r="BM442" s="10" t="str">
        <f t="shared" ref="BM442:BM505" si="124">SUBSTITUTE(J442,"/",".")</f>
        <v/>
      </c>
      <c r="BN442" s="39">
        <f t="shared" ref="BN442:BN505" si="125">VALUE(Q442)*1000</f>
        <v>0</v>
      </c>
      <c r="BO442" s="39">
        <f t="shared" ref="BO442:BO505" si="126">VALUE(P442)/1000</f>
        <v>0</v>
      </c>
      <c r="BP442" s="1">
        <f t="shared" ref="BP442:BP505" si="127">VALUE(D442)</f>
        <v>0</v>
      </c>
      <c r="BQ442" s="1">
        <f t="shared" ref="BQ442:BQ505" si="128">VALUE(G442)</f>
        <v>0</v>
      </c>
      <c r="BR442" s="1" t="str">
        <f t="shared" ref="BR442:BR505" si="129">SUBSTITUTE(O442,".","")</f>
        <v/>
      </c>
      <c r="BS442" s="1">
        <f t="shared" ref="BS442:BS505" si="130">S442</f>
        <v>0</v>
      </c>
      <c r="BT442" s="4">
        <f t="shared" ref="BT442:BT505" si="131">VALUE(AJ442)</f>
        <v>0</v>
      </c>
      <c r="BU442" s="39">
        <f t="shared" ref="BU442:BU505" si="132">K442</f>
        <v>0</v>
      </c>
      <c r="BV442" s="1">
        <f t="shared" ref="BV442:BV505" si="133">AQ442</f>
        <v>0</v>
      </c>
      <c r="BW442">
        <f t="shared" ref="BW442:BW505" si="134">X442</f>
        <v>0</v>
      </c>
      <c r="BX442">
        <f t="shared" ref="BX442:BX505" si="135">AN442</f>
        <v>0</v>
      </c>
    </row>
    <row r="443" spans="58:76" x14ac:dyDescent="0.25">
      <c r="BF443" s="1" t="e">
        <f>VLOOKUP(N443,'Incoming Material Report'!H:M,6,FALSE)</f>
        <v>#N/A</v>
      </c>
      <c r="BG443" s="1" t="e">
        <f>IF(VLOOKUP(N443,'Incoming Material Report'!H:N,7,FALSE)=0,"",VLOOKUP(N443,'Incoming Material Report'!H:N,7,FALSE))</f>
        <v>#N/A</v>
      </c>
      <c r="BH443" s="39">
        <f t="shared" si="119"/>
        <v>0</v>
      </c>
      <c r="BI443" s="1">
        <f t="shared" si="120"/>
        <v>0</v>
      </c>
      <c r="BJ443" s="1">
        <f t="shared" si="121"/>
        <v>0</v>
      </c>
      <c r="BK443" s="1">
        <f t="shared" si="122"/>
        <v>0</v>
      </c>
      <c r="BL443" s="1">
        <f t="shared" si="123"/>
        <v>0</v>
      </c>
      <c r="BM443" s="10" t="str">
        <f t="shared" si="124"/>
        <v/>
      </c>
      <c r="BN443" s="39">
        <f t="shared" si="125"/>
        <v>0</v>
      </c>
      <c r="BO443" s="39">
        <f t="shared" si="126"/>
        <v>0</v>
      </c>
      <c r="BP443" s="1">
        <f t="shared" si="127"/>
        <v>0</v>
      </c>
      <c r="BQ443" s="1">
        <f t="shared" si="128"/>
        <v>0</v>
      </c>
      <c r="BR443" s="1" t="str">
        <f t="shared" si="129"/>
        <v/>
      </c>
      <c r="BS443" s="1">
        <f t="shared" si="130"/>
        <v>0</v>
      </c>
      <c r="BT443" s="4">
        <f t="shared" si="131"/>
        <v>0</v>
      </c>
      <c r="BU443" s="39">
        <f t="shared" si="132"/>
        <v>0</v>
      </c>
      <c r="BV443" s="1">
        <f t="shared" si="133"/>
        <v>0</v>
      </c>
      <c r="BW443">
        <f t="shared" si="134"/>
        <v>0</v>
      </c>
      <c r="BX443">
        <f t="shared" si="135"/>
        <v>0</v>
      </c>
    </row>
    <row r="444" spans="58:76" x14ac:dyDescent="0.25">
      <c r="BF444" s="1" t="e">
        <f>VLOOKUP(N444,'Incoming Material Report'!H:M,6,FALSE)</f>
        <v>#N/A</v>
      </c>
      <c r="BG444" s="1" t="e">
        <f>IF(VLOOKUP(N444,'Incoming Material Report'!H:N,7,FALSE)=0,"",VLOOKUP(N444,'Incoming Material Report'!H:N,7,FALSE))</f>
        <v>#N/A</v>
      </c>
      <c r="BH444" s="39">
        <f t="shared" si="119"/>
        <v>0</v>
      </c>
      <c r="BI444" s="1">
        <f t="shared" si="120"/>
        <v>0</v>
      </c>
      <c r="BJ444" s="1">
        <f t="shared" si="121"/>
        <v>0</v>
      </c>
      <c r="BK444" s="1">
        <f t="shared" si="122"/>
        <v>0</v>
      </c>
      <c r="BL444" s="1">
        <f t="shared" si="123"/>
        <v>0</v>
      </c>
      <c r="BM444" s="10" t="str">
        <f t="shared" si="124"/>
        <v/>
      </c>
      <c r="BN444" s="39">
        <f t="shared" si="125"/>
        <v>0</v>
      </c>
      <c r="BO444" s="39">
        <f t="shared" si="126"/>
        <v>0</v>
      </c>
      <c r="BP444" s="1">
        <f t="shared" si="127"/>
        <v>0</v>
      </c>
      <c r="BQ444" s="1">
        <f t="shared" si="128"/>
        <v>0</v>
      </c>
      <c r="BR444" s="1" t="str">
        <f t="shared" si="129"/>
        <v/>
      </c>
      <c r="BS444" s="1">
        <f t="shared" si="130"/>
        <v>0</v>
      </c>
      <c r="BT444" s="4">
        <f t="shared" si="131"/>
        <v>0</v>
      </c>
      <c r="BU444" s="39">
        <f t="shared" si="132"/>
        <v>0</v>
      </c>
      <c r="BV444" s="1">
        <f t="shared" si="133"/>
        <v>0</v>
      </c>
      <c r="BW444">
        <f t="shared" si="134"/>
        <v>0</v>
      </c>
      <c r="BX444">
        <f t="shared" si="135"/>
        <v>0</v>
      </c>
    </row>
    <row r="445" spans="58:76" x14ac:dyDescent="0.25">
      <c r="BF445" s="1" t="e">
        <f>VLOOKUP(N445,'Incoming Material Report'!H:M,6,FALSE)</f>
        <v>#N/A</v>
      </c>
      <c r="BG445" s="1" t="e">
        <f>IF(VLOOKUP(N445,'Incoming Material Report'!H:N,7,FALSE)=0,"",VLOOKUP(N445,'Incoming Material Report'!H:N,7,FALSE))</f>
        <v>#N/A</v>
      </c>
      <c r="BH445" s="39">
        <f t="shared" si="119"/>
        <v>0</v>
      </c>
      <c r="BI445" s="1">
        <f t="shared" si="120"/>
        <v>0</v>
      </c>
      <c r="BJ445" s="1">
        <f t="shared" si="121"/>
        <v>0</v>
      </c>
      <c r="BK445" s="1">
        <f t="shared" si="122"/>
        <v>0</v>
      </c>
      <c r="BL445" s="1">
        <f t="shared" si="123"/>
        <v>0</v>
      </c>
      <c r="BM445" s="10" t="str">
        <f t="shared" si="124"/>
        <v/>
      </c>
      <c r="BN445" s="39">
        <f t="shared" si="125"/>
        <v>0</v>
      </c>
      <c r="BO445" s="39">
        <f t="shared" si="126"/>
        <v>0</v>
      </c>
      <c r="BP445" s="1">
        <f t="shared" si="127"/>
        <v>0</v>
      </c>
      <c r="BQ445" s="1">
        <f t="shared" si="128"/>
        <v>0</v>
      </c>
      <c r="BR445" s="1" t="str">
        <f t="shared" si="129"/>
        <v/>
      </c>
      <c r="BS445" s="1">
        <f t="shared" si="130"/>
        <v>0</v>
      </c>
      <c r="BT445" s="4">
        <f t="shared" si="131"/>
        <v>0</v>
      </c>
      <c r="BU445" s="39">
        <f t="shared" si="132"/>
        <v>0</v>
      </c>
      <c r="BV445" s="1">
        <f t="shared" si="133"/>
        <v>0</v>
      </c>
      <c r="BW445">
        <f t="shared" si="134"/>
        <v>0</v>
      </c>
      <c r="BX445">
        <f t="shared" si="135"/>
        <v>0</v>
      </c>
    </row>
    <row r="446" spans="58:76" x14ac:dyDescent="0.25">
      <c r="BF446" s="1" t="e">
        <f>VLOOKUP(N446,'Incoming Material Report'!H:M,6,FALSE)</f>
        <v>#N/A</v>
      </c>
      <c r="BG446" s="1" t="e">
        <f>IF(VLOOKUP(N446,'Incoming Material Report'!H:N,7,FALSE)=0,"",VLOOKUP(N446,'Incoming Material Report'!H:N,7,FALSE))</f>
        <v>#N/A</v>
      </c>
      <c r="BH446" s="39">
        <f t="shared" si="119"/>
        <v>0</v>
      </c>
      <c r="BI446" s="1">
        <f t="shared" si="120"/>
        <v>0</v>
      </c>
      <c r="BJ446" s="1">
        <f t="shared" si="121"/>
        <v>0</v>
      </c>
      <c r="BK446" s="1">
        <f t="shared" si="122"/>
        <v>0</v>
      </c>
      <c r="BL446" s="1">
        <f t="shared" si="123"/>
        <v>0</v>
      </c>
      <c r="BM446" s="10" t="str">
        <f t="shared" si="124"/>
        <v/>
      </c>
      <c r="BN446" s="39">
        <f t="shared" si="125"/>
        <v>0</v>
      </c>
      <c r="BO446" s="39">
        <f t="shared" si="126"/>
        <v>0</v>
      </c>
      <c r="BP446" s="1">
        <f t="shared" si="127"/>
        <v>0</v>
      </c>
      <c r="BQ446" s="1">
        <f t="shared" si="128"/>
        <v>0</v>
      </c>
      <c r="BR446" s="1" t="str">
        <f t="shared" si="129"/>
        <v/>
      </c>
      <c r="BS446" s="1">
        <f t="shared" si="130"/>
        <v>0</v>
      </c>
      <c r="BT446" s="4">
        <f t="shared" si="131"/>
        <v>0</v>
      </c>
      <c r="BU446" s="39">
        <f t="shared" si="132"/>
        <v>0</v>
      </c>
      <c r="BV446" s="1">
        <f t="shared" si="133"/>
        <v>0</v>
      </c>
      <c r="BW446">
        <f t="shared" si="134"/>
        <v>0</v>
      </c>
      <c r="BX446">
        <f t="shared" si="135"/>
        <v>0</v>
      </c>
    </row>
    <row r="447" spans="58:76" x14ac:dyDescent="0.25">
      <c r="BF447" s="1" t="e">
        <f>VLOOKUP(N447,'Incoming Material Report'!H:M,6,FALSE)</f>
        <v>#N/A</v>
      </c>
      <c r="BG447" s="1" t="e">
        <f>IF(VLOOKUP(N447,'Incoming Material Report'!H:N,7,FALSE)=0,"",VLOOKUP(N447,'Incoming Material Report'!H:N,7,FALSE))</f>
        <v>#N/A</v>
      </c>
      <c r="BH447" s="39">
        <f t="shared" si="119"/>
        <v>0</v>
      </c>
      <c r="BI447" s="1">
        <f t="shared" si="120"/>
        <v>0</v>
      </c>
      <c r="BJ447" s="1">
        <f t="shared" si="121"/>
        <v>0</v>
      </c>
      <c r="BK447" s="1">
        <f t="shared" si="122"/>
        <v>0</v>
      </c>
      <c r="BL447" s="1">
        <f t="shared" si="123"/>
        <v>0</v>
      </c>
      <c r="BM447" s="10" t="str">
        <f t="shared" si="124"/>
        <v/>
      </c>
      <c r="BN447" s="39">
        <f t="shared" si="125"/>
        <v>0</v>
      </c>
      <c r="BO447" s="39">
        <f t="shared" si="126"/>
        <v>0</v>
      </c>
      <c r="BP447" s="1">
        <f t="shared" si="127"/>
        <v>0</v>
      </c>
      <c r="BQ447" s="1">
        <f t="shared" si="128"/>
        <v>0</v>
      </c>
      <c r="BR447" s="1" t="str">
        <f t="shared" si="129"/>
        <v/>
      </c>
      <c r="BS447" s="1">
        <f t="shared" si="130"/>
        <v>0</v>
      </c>
      <c r="BT447" s="4">
        <f t="shared" si="131"/>
        <v>0</v>
      </c>
      <c r="BU447" s="39">
        <f t="shared" si="132"/>
        <v>0</v>
      </c>
      <c r="BV447" s="1">
        <f t="shared" si="133"/>
        <v>0</v>
      </c>
      <c r="BW447">
        <f t="shared" si="134"/>
        <v>0</v>
      </c>
      <c r="BX447">
        <f t="shared" si="135"/>
        <v>0</v>
      </c>
    </row>
    <row r="448" spans="58:76" x14ac:dyDescent="0.25">
      <c r="BF448" s="1" t="e">
        <f>VLOOKUP(N448,'Incoming Material Report'!H:M,6,FALSE)</f>
        <v>#N/A</v>
      </c>
      <c r="BG448" s="1" t="e">
        <f>IF(VLOOKUP(N448,'Incoming Material Report'!H:N,7,FALSE)=0,"",VLOOKUP(N448,'Incoming Material Report'!H:N,7,FALSE))</f>
        <v>#N/A</v>
      </c>
      <c r="BH448" s="39">
        <f t="shared" si="119"/>
        <v>0</v>
      </c>
      <c r="BI448" s="1">
        <f t="shared" si="120"/>
        <v>0</v>
      </c>
      <c r="BJ448" s="1">
        <f t="shared" si="121"/>
        <v>0</v>
      </c>
      <c r="BK448" s="1">
        <f t="shared" si="122"/>
        <v>0</v>
      </c>
      <c r="BL448" s="1">
        <f t="shared" si="123"/>
        <v>0</v>
      </c>
      <c r="BM448" s="10" t="str">
        <f t="shared" si="124"/>
        <v/>
      </c>
      <c r="BN448" s="39">
        <f t="shared" si="125"/>
        <v>0</v>
      </c>
      <c r="BO448" s="39">
        <f t="shared" si="126"/>
        <v>0</v>
      </c>
      <c r="BP448" s="1">
        <f t="shared" si="127"/>
        <v>0</v>
      </c>
      <c r="BQ448" s="1">
        <f t="shared" si="128"/>
        <v>0</v>
      </c>
      <c r="BR448" s="1" t="str">
        <f t="shared" si="129"/>
        <v/>
      </c>
      <c r="BS448" s="1">
        <f t="shared" si="130"/>
        <v>0</v>
      </c>
      <c r="BT448" s="4">
        <f t="shared" si="131"/>
        <v>0</v>
      </c>
      <c r="BU448" s="39">
        <f t="shared" si="132"/>
        <v>0</v>
      </c>
      <c r="BV448" s="1">
        <f t="shared" si="133"/>
        <v>0</v>
      </c>
      <c r="BW448">
        <f t="shared" si="134"/>
        <v>0</v>
      </c>
      <c r="BX448">
        <f t="shared" si="135"/>
        <v>0</v>
      </c>
    </row>
    <row r="449" spans="58:76" x14ac:dyDescent="0.25">
      <c r="BF449" s="1" t="e">
        <f>VLOOKUP(N449,'Incoming Material Report'!H:M,6,FALSE)</f>
        <v>#N/A</v>
      </c>
      <c r="BG449" s="1" t="e">
        <f>IF(VLOOKUP(N449,'Incoming Material Report'!H:N,7,FALSE)=0,"",VLOOKUP(N449,'Incoming Material Report'!H:N,7,FALSE))</f>
        <v>#N/A</v>
      </c>
      <c r="BH449" s="39">
        <f t="shared" si="119"/>
        <v>0</v>
      </c>
      <c r="BI449" s="1">
        <f t="shared" si="120"/>
        <v>0</v>
      </c>
      <c r="BJ449" s="1">
        <f t="shared" si="121"/>
        <v>0</v>
      </c>
      <c r="BK449" s="1">
        <f t="shared" si="122"/>
        <v>0</v>
      </c>
      <c r="BL449" s="1">
        <f t="shared" si="123"/>
        <v>0</v>
      </c>
      <c r="BM449" s="10" t="str">
        <f t="shared" si="124"/>
        <v/>
      </c>
      <c r="BN449" s="39">
        <f t="shared" si="125"/>
        <v>0</v>
      </c>
      <c r="BO449" s="39">
        <f t="shared" si="126"/>
        <v>0</v>
      </c>
      <c r="BP449" s="1">
        <f t="shared" si="127"/>
        <v>0</v>
      </c>
      <c r="BQ449" s="1">
        <f t="shared" si="128"/>
        <v>0</v>
      </c>
      <c r="BR449" s="1" t="str">
        <f t="shared" si="129"/>
        <v/>
      </c>
      <c r="BS449" s="1">
        <f t="shared" si="130"/>
        <v>0</v>
      </c>
      <c r="BT449" s="4">
        <f t="shared" si="131"/>
        <v>0</v>
      </c>
      <c r="BU449" s="39">
        <f t="shared" si="132"/>
        <v>0</v>
      </c>
      <c r="BV449" s="1">
        <f t="shared" si="133"/>
        <v>0</v>
      </c>
      <c r="BW449">
        <f t="shared" si="134"/>
        <v>0</v>
      </c>
      <c r="BX449">
        <f t="shared" si="135"/>
        <v>0</v>
      </c>
    </row>
    <row r="450" spans="58:76" x14ac:dyDescent="0.25">
      <c r="BF450" s="1" t="e">
        <f>VLOOKUP(N450,'Incoming Material Report'!H:M,6,FALSE)</f>
        <v>#N/A</v>
      </c>
      <c r="BG450" s="1" t="e">
        <f>IF(VLOOKUP(N450,'Incoming Material Report'!H:N,7,FALSE)=0,"",VLOOKUP(N450,'Incoming Material Report'!H:N,7,FALSE))</f>
        <v>#N/A</v>
      </c>
      <c r="BH450" s="39">
        <f t="shared" si="119"/>
        <v>0</v>
      </c>
      <c r="BI450" s="1">
        <f t="shared" si="120"/>
        <v>0</v>
      </c>
      <c r="BJ450" s="1">
        <f t="shared" si="121"/>
        <v>0</v>
      </c>
      <c r="BK450" s="1">
        <f t="shared" si="122"/>
        <v>0</v>
      </c>
      <c r="BL450" s="1">
        <f t="shared" si="123"/>
        <v>0</v>
      </c>
      <c r="BM450" s="10" t="str">
        <f t="shared" si="124"/>
        <v/>
      </c>
      <c r="BN450" s="39">
        <f t="shared" si="125"/>
        <v>0</v>
      </c>
      <c r="BO450" s="39">
        <f t="shared" si="126"/>
        <v>0</v>
      </c>
      <c r="BP450" s="1">
        <f t="shared" si="127"/>
        <v>0</v>
      </c>
      <c r="BQ450" s="1">
        <f t="shared" si="128"/>
        <v>0</v>
      </c>
      <c r="BR450" s="1" t="str">
        <f t="shared" si="129"/>
        <v/>
      </c>
      <c r="BS450" s="1">
        <f t="shared" si="130"/>
        <v>0</v>
      </c>
      <c r="BT450" s="4">
        <f t="shared" si="131"/>
        <v>0</v>
      </c>
      <c r="BU450" s="39">
        <f t="shared" si="132"/>
        <v>0</v>
      </c>
      <c r="BV450" s="1">
        <f t="shared" si="133"/>
        <v>0</v>
      </c>
      <c r="BW450">
        <f t="shared" si="134"/>
        <v>0</v>
      </c>
      <c r="BX450">
        <f t="shared" si="135"/>
        <v>0</v>
      </c>
    </row>
    <row r="451" spans="58:76" x14ac:dyDescent="0.25">
      <c r="BF451" s="1" t="e">
        <f>VLOOKUP(N451,'Incoming Material Report'!H:M,6,FALSE)</f>
        <v>#N/A</v>
      </c>
      <c r="BG451" s="1" t="e">
        <f>IF(VLOOKUP(N451,'Incoming Material Report'!H:N,7,FALSE)=0,"",VLOOKUP(N451,'Incoming Material Report'!H:N,7,FALSE))</f>
        <v>#N/A</v>
      </c>
      <c r="BH451" s="39">
        <f t="shared" si="119"/>
        <v>0</v>
      </c>
      <c r="BI451" s="1">
        <f t="shared" si="120"/>
        <v>0</v>
      </c>
      <c r="BJ451" s="1">
        <f t="shared" si="121"/>
        <v>0</v>
      </c>
      <c r="BK451" s="1">
        <f t="shared" si="122"/>
        <v>0</v>
      </c>
      <c r="BL451" s="1">
        <f t="shared" si="123"/>
        <v>0</v>
      </c>
      <c r="BM451" s="10" t="str">
        <f t="shared" si="124"/>
        <v/>
      </c>
      <c r="BN451" s="39">
        <f t="shared" si="125"/>
        <v>0</v>
      </c>
      <c r="BO451" s="39">
        <f t="shared" si="126"/>
        <v>0</v>
      </c>
      <c r="BP451" s="1">
        <f t="shared" si="127"/>
        <v>0</v>
      </c>
      <c r="BQ451" s="1">
        <f t="shared" si="128"/>
        <v>0</v>
      </c>
      <c r="BR451" s="1" t="str">
        <f t="shared" si="129"/>
        <v/>
      </c>
      <c r="BS451" s="1">
        <f t="shared" si="130"/>
        <v>0</v>
      </c>
      <c r="BT451" s="4">
        <f t="shared" si="131"/>
        <v>0</v>
      </c>
      <c r="BU451" s="39">
        <f t="shared" si="132"/>
        <v>0</v>
      </c>
      <c r="BV451" s="1">
        <f t="shared" si="133"/>
        <v>0</v>
      </c>
      <c r="BW451">
        <f t="shared" si="134"/>
        <v>0</v>
      </c>
      <c r="BX451">
        <f t="shared" si="135"/>
        <v>0</v>
      </c>
    </row>
    <row r="452" spans="58:76" x14ac:dyDescent="0.25">
      <c r="BF452" s="1" t="e">
        <f>VLOOKUP(N452,'Incoming Material Report'!H:M,6,FALSE)</f>
        <v>#N/A</v>
      </c>
      <c r="BG452" s="1" t="e">
        <f>IF(VLOOKUP(N452,'Incoming Material Report'!H:N,7,FALSE)=0,"",VLOOKUP(N452,'Incoming Material Report'!H:N,7,FALSE))</f>
        <v>#N/A</v>
      </c>
      <c r="BH452" s="39">
        <f t="shared" si="119"/>
        <v>0</v>
      </c>
      <c r="BI452" s="1">
        <f t="shared" si="120"/>
        <v>0</v>
      </c>
      <c r="BJ452" s="1">
        <f t="shared" si="121"/>
        <v>0</v>
      </c>
      <c r="BK452" s="1">
        <f t="shared" si="122"/>
        <v>0</v>
      </c>
      <c r="BL452" s="1">
        <f t="shared" si="123"/>
        <v>0</v>
      </c>
      <c r="BM452" s="10" t="str">
        <f t="shared" si="124"/>
        <v/>
      </c>
      <c r="BN452" s="39">
        <f t="shared" si="125"/>
        <v>0</v>
      </c>
      <c r="BO452" s="39">
        <f t="shared" si="126"/>
        <v>0</v>
      </c>
      <c r="BP452" s="1">
        <f t="shared" si="127"/>
        <v>0</v>
      </c>
      <c r="BQ452" s="1">
        <f t="shared" si="128"/>
        <v>0</v>
      </c>
      <c r="BR452" s="1" t="str">
        <f t="shared" si="129"/>
        <v/>
      </c>
      <c r="BS452" s="1">
        <f t="shared" si="130"/>
        <v>0</v>
      </c>
      <c r="BT452" s="4">
        <f t="shared" si="131"/>
        <v>0</v>
      </c>
      <c r="BU452" s="39">
        <f t="shared" si="132"/>
        <v>0</v>
      </c>
      <c r="BV452" s="1">
        <f t="shared" si="133"/>
        <v>0</v>
      </c>
      <c r="BW452">
        <f t="shared" si="134"/>
        <v>0</v>
      </c>
      <c r="BX452">
        <f t="shared" si="135"/>
        <v>0</v>
      </c>
    </row>
    <row r="453" spans="58:76" x14ac:dyDescent="0.25">
      <c r="BF453" s="1" t="e">
        <f>VLOOKUP(N453,'Incoming Material Report'!H:M,6,FALSE)</f>
        <v>#N/A</v>
      </c>
      <c r="BG453" s="1" t="e">
        <f>IF(VLOOKUP(N453,'Incoming Material Report'!H:N,7,FALSE)=0,"",VLOOKUP(N453,'Incoming Material Report'!H:N,7,FALSE))</f>
        <v>#N/A</v>
      </c>
      <c r="BH453" s="39">
        <f t="shared" si="119"/>
        <v>0</v>
      </c>
      <c r="BI453" s="1">
        <f t="shared" si="120"/>
        <v>0</v>
      </c>
      <c r="BJ453" s="1">
        <f t="shared" si="121"/>
        <v>0</v>
      </c>
      <c r="BK453" s="1">
        <f t="shared" si="122"/>
        <v>0</v>
      </c>
      <c r="BL453" s="1">
        <f t="shared" si="123"/>
        <v>0</v>
      </c>
      <c r="BM453" s="10" t="str">
        <f t="shared" si="124"/>
        <v/>
      </c>
      <c r="BN453" s="39">
        <f t="shared" si="125"/>
        <v>0</v>
      </c>
      <c r="BO453" s="39">
        <f t="shared" si="126"/>
        <v>0</v>
      </c>
      <c r="BP453" s="1">
        <f t="shared" si="127"/>
        <v>0</v>
      </c>
      <c r="BQ453" s="1">
        <f t="shared" si="128"/>
        <v>0</v>
      </c>
      <c r="BR453" s="1" t="str">
        <f t="shared" si="129"/>
        <v/>
      </c>
      <c r="BS453" s="1">
        <f t="shared" si="130"/>
        <v>0</v>
      </c>
      <c r="BT453" s="4">
        <f t="shared" si="131"/>
        <v>0</v>
      </c>
      <c r="BU453" s="39">
        <f t="shared" si="132"/>
        <v>0</v>
      </c>
      <c r="BV453" s="1">
        <f t="shared" si="133"/>
        <v>0</v>
      </c>
      <c r="BW453">
        <f t="shared" si="134"/>
        <v>0</v>
      </c>
      <c r="BX453">
        <f t="shared" si="135"/>
        <v>0</v>
      </c>
    </row>
    <row r="454" spans="58:76" x14ac:dyDescent="0.25">
      <c r="BF454" s="1" t="e">
        <f>VLOOKUP(N454,'Incoming Material Report'!H:M,6,FALSE)</f>
        <v>#N/A</v>
      </c>
      <c r="BG454" s="1" t="e">
        <f>IF(VLOOKUP(N454,'Incoming Material Report'!H:N,7,FALSE)=0,"",VLOOKUP(N454,'Incoming Material Report'!H:N,7,FALSE))</f>
        <v>#N/A</v>
      </c>
      <c r="BH454" s="39">
        <f t="shared" si="119"/>
        <v>0</v>
      </c>
      <c r="BI454" s="1">
        <f t="shared" si="120"/>
        <v>0</v>
      </c>
      <c r="BJ454" s="1">
        <f t="shared" si="121"/>
        <v>0</v>
      </c>
      <c r="BK454" s="1">
        <f t="shared" si="122"/>
        <v>0</v>
      </c>
      <c r="BL454" s="1">
        <f t="shared" si="123"/>
        <v>0</v>
      </c>
      <c r="BM454" s="10" t="str">
        <f t="shared" si="124"/>
        <v/>
      </c>
      <c r="BN454" s="39">
        <f t="shared" si="125"/>
        <v>0</v>
      </c>
      <c r="BO454" s="39">
        <f t="shared" si="126"/>
        <v>0</v>
      </c>
      <c r="BP454" s="1">
        <f t="shared" si="127"/>
        <v>0</v>
      </c>
      <c r="BQ454" s="1">
        <f t="shared" si="128"/>
        <v>0</v>
      </c>
      <c r="BR454" s="1" t="str">
        <f t="shared" si="129"/>
        <v/>
      </c>
      <c r="BS454" s="1">
        <f t="shared" si="130"/>
        <v>0</v>
      </c>
      <c r="BT454" s="4">
        <f t="shared" si="131"/>
        <v>0</v>
      </c>
      <c r="BU454" s="39">
        <f t="shared" si="132"/>
        <v>0</v>
      </c>
      <c r="BV454" s="1">
        <f t="shared" si="133"/>
        <v>0</v>
      </c>
      <c r="BW454">
        <f t="shared" si="134"/>
        <v>0</v>
      </c>
      <c r="BX454">
        <f t="shared" si="135"/>
        <v>0</v>
      </c>
    </row>
    <row r="455" spans="58:76" x14ac:dyDescent="0.25">
      <c r="BF455" s="1" t="e">
        <f>VLOOKUP(N455,'Incoming Material Report'!H:M,6,FALSE)</f>
        <v>#N/A</v>
      </c>
      <c r="BG455" s="1" t="e">
        <f>IF(VLOOKUP(N455,'Incoming Material Report'!H:N,7,FALSE)=0,"",VLOOKUP(N455,'Incoming Material Report'!H:N,7,FALSE))</f>
        <v>#N/A</v>
      </c>
      <c r="BH455" s="39">
        <f t="shared" si="119"/>
        <v>0</v>
      </c>
      <c r="BI455" s="1">
        <f t="shared" si="120"/>
        <v>0</v>
      </c>
      <c r="BJ455" s="1">
        <f t="shared" si="121"/>
        <v>0</v>
      </c>
      <c r="BK455" s="1">
        <f t="shared" si="122"/>
        <v>0</v>
      </c>
      <c r="BL455" s="1">
        <f t="shared" si="123"/>
        <v>0</v>
      </c>
      <c r="BM455" s="10" t="str">
        <f t="shared" si="124"/>
        <v/>
      </c>
      <c r="BN455" s="39">
        <f t="shared" si="125"/>
        <v>0</v>
      </c>
      <c r="BO455" s="39">
        <f t="shared" si="126"/>
        <v>0</v>
      </c>
      <c r="BP455" s="1">
        <f t="shared" si="127"/>
        <v>0</v>
      </c>
      <c r="BQ455" s="1">
        <f t="shared" si="128"/>
        <v>0</v>
      </c>
      <c r="BR455" s="1" t="str">
        <f t="shared" si="129"/>
        <v/>
      </c>
      <c r="BS455" s="1">
        <f t="shared" si="130"/>
        <v>0</v>
      </c>
      <c r="BT455" s="4">
        <f t="shared" si="131"/>
        <v>0</v>
      </c>
      <c r="BU455" s="39">
        <f t="shared" si="132"/>
        <v>0</v>
      </c>
      <c r="BV455" s="1">
        <f t="shared" si="133"/>
        <v>0</v>
      </c>
      <c r="BW455">
        <f t="shared" si="134"/>
        <v>0</v>
      </c>
      <c r="BX455">
        <f t="shared" si="135"/>
        <v>0</v>
      </c>
    </row>
    <row r="456" spans="58:76" x14ac:dyDescent="0.25">
      <c r="BF456" s="1" t="e">
        <f>VLOOKUP(N456,'Incoming Material Report'!H:M,6,FALSE)</f>
        <v>#N/A</v>
      </c>
      <c r="BG456" s="1" t="e">
        <f>IF(VLOOKUP(N456,'Incoming Material Report'!H:N,7,FALSE)=0,"",VLOOKUP(N456,'Incoming Material Report'!H:N,7,FALSE))</f>
        <v>#N/A</v>
      </c>
      <c r="BH456" s="39">
        <f t="shared" si="119"/>
        <v>0</v>
      </c>
      <c r="BI456" s="1">
        <f t="shared" si="120"/>
        <v>0</v>
      </c>
      <c r="BJ456" s="1">
        <f t="shared" si="121"/>
        <v>0</v>
      </c>
      <c r="BK456" s="1">
        <f t="shared" si="122"/>
        <v>0</v>
      </c>
      <c r="BL456" s="1">
        <f t="shared" si="123"/>
        <v>0</v>
      </c>
      <c r="BM456" s="10" t="str">
        <f t="shared" si="124"/>
        <v/>
      </c>
      <c r="BN456" s="39">
        <f t="shared" si="125"/>
        <v>0</v>
      </c>
      <c r="BO456" s="39">
        <f t="shared" si="126"/>
        <v>0</v>
      </c>
      <c r="BP456" s="1">
        <f t="shared" si="127"/>
        <v>0</v>
      </c>
      <c r="BQ456" s="1">
        <f t="shared" si="128"/>
        <v>0</v>
      </c>
      <c r="BR456" s="1" t="str">
        <f t="shared" si="129"/>
        <v/>
      </c>
      <c r="BS456" s="1">
        <f t="shared" si="130"/>
        <v>0</v>
      </c>
      <c r="BT456" s="4">
        <f t="shared" si="131"/>
        <v>0</v>
      </c>
      <c r="BU456" s="39">
        <f t="shared" si="132"/>
        <v>0</v>
      </c>
      <c r="BV456" s="1">
        <f t="shared" si="133"/>
        <v>0</v>
      </c>
      <c r="BW456">
        <f t="shared" si="134"/>
        <v>0</v>
      </c>
      <c r="BX456">
        <f t="shared" si="135"/>
        <v>0</v>
      </c>
    </row>
    <row r="457" spans="58:76" x14ac:dyDescent="0.25">
      <c r="BF457" s="1" t="e">
        <f>VLOOKUP(N457,'Incoming Material Report'!H:M,6,FALSE)</f>
        <v>#N/A</v>
      </c>
      <c r="BG457" s="1" t="e">
        <f>IF(VLOOKUP(N457,'Incoming Material Report'!H:N,7,FALSE)=0,"",VLOOKUP(N457,'Incoming Material Report'!H:N,7,FALSE))</f>
        <v>#N/A</v>
      </c>
      <c r="BH457" s="39">
        <f t="shared" si="119"/>
        <v>0</v>
      </c>
      <c r="BI457" s="1">
        <f t="shared" si="120"/>
        <v>0</v>
      </c>
      <c r="BJ457" s="1">
        <f t="shared" si="121"/>
        <v>0</v>
      </c>
      <c r="BK457" s="1">
        <f t="shared" si="122"/>
        <v>0</v>
      </c>
      <c r="BL457" s="1">
        <f t="shared" si="123"/>
        <v>0</v>
      </c>
      <c r="BM457" s="10" t="str">
        <f t="shared" si="124"/>
        <v/>
      </c>
      <c r="BN457" s="39">
        <f t="shared" si="125"/>
        <v>0</v>
      </c>
      <c r="BO457" s="39">
        <f t="shared" si="126"/>
        <v>0</v>
      </c>
      <c r="BP457" s="1">
        <f t="shared" si="127"/>
        <v>0</v>
      </c>
      <c r="BQ457" s="1">
        <f t="shared" si="128"/>
        <v>0</v>
      </c>
      <c r="BR457" s="1" t="str">
        <f t="shared" si="129"/>
        <v/>
      </c>
      <c r="BS457" s="1">
        <f t="shared" si="130"/>
        <v>0</v>
      </c>
      <c r="BT457" s="4">
        <f t="shared" si="131"/>
        <v>0</v>
      </c>
      <c r="BU457" s="39">
        <f t="shared" si="132"/>
        <v>0</v>
      </c>
      <c r="BV457" s="1">
        <f t="shared" si="133"/>
        <v>0</v>
      </c>
      <c r="BW457">
        <f t="shared" si="134"/>
        <v>0</v>
      </c>
      <c r="BX457">
        <f t="shared" si="135"/>
        <v>0</v>
      </c>
    </row>
    <row r="458" spans="58:76" x14ac:dyDescent="0.25">
      <c r="BF458" s="1" t="e">
        <f>VLOOKUP(N458,'Incoming Material Report'!H:M,6,FALSE)</f>
        <v>#N/A</v>
      </c>
      <c r="BG458" s="1" t="e">
        <f>IF(VLOOKUP(N458,'Incoming Material Report'!H:N,7,FALSE)=0,"",VLOOKUP(N458,'Incoming Material Report'!H:N,7,FALSE))</f>
        <v>#N/A</v>
      </c>
      <c r="BH458" s="39">
        <f t="shared" si="119"/>
        <v>0</v>
      </c>
      <c r="BI458" s="1">
        <f t="shared" si="120"/>
        <v>0</v>
      </c>
      <c r="BJ458" s="1">
        <f t="shared" si="121"/>
        <v>0</v>
      </c>
      <c r="BK458" s="1">
        <f t="shared" si="122"/>
        <v>0</v>
      </c>
      <c r="BL458" s="1">
        <f t="shared" si="123"/>
        <v>0</v>
      </c>
      <c r="BM458" s="10" t="str">
        <f t="shared" si="124"/>
        <v/>
      </c>
      <c r="BN458" s="39">
        <f t="shared" si="125"/>
        <v>0</v>
      </c>
      <c r="BO458" s="39">
        <f t="shared" si="126"/>
        <v>0</v>
      </c>
      <c r="BP458" s="1">
        <f t="shared" si="127"/>
        <v>0</v>
      </c>
      <c r="BQ458" s="1">
        <f t="shared" si="128"/>
        <v>0</v>
      </c>
      <c r="BR458" s="1" t="str">
        <f t="shared" si="129"/>
        <v/>
      </c>
      <c r="BS458" s="1">
        <f t="shared" si="130"/>
        <v>0</v>
      </c>
      <c r="BT458" s="4">
        <f t="shared" si="131"/>
        <v>0</v>
      </c>
      <c r="BU458" s="39">
        <f t="shared" si="132"/>
        <v>0</v>
      </c>
      <c r="BV458" s="1">
        <f t="shared" si="133"/>
        <v>0</v>
      </c>
      <c r="BW458">
        <f t="shared" si="134"/>
        <v>0</v>
      </c>
      <c r="BX458">
        <f t="shared" si="135"/>
        <v>0</v>
      </c>
    </row>
    <row r="459" spans="58:76" x14ac:dyDescent="0.25">
      <c r="BF459" s="1" t="e">
        <f>VLOOKUP(N459,'Incoming Material Report'!H:M,6,FALSE)</f>
        <v>#N/A</v>
      </c>
      <c r="BG459" s="1" t="e">
        <f>IF(VLOOKUP(N459,'Incoming Material Report'!H:N,7,FALSE)=0,"",VLOOKUP(N459,'Incoming Material Report'!H:N,7,FALSE))</f>
        <v>#N/A</v>
      </c>
      <c r="BH459" s="39">
        <f t="shared" si="119"/>
        <v>0</v>
      </c>
      <c r="BI459" s="1">
        <f t="shared" si="120"/>
        <v>0</v>
      </c>
      <c r="BJ459" s="1">
        <f t="shared" si="121"/>
        <v>0</v>
      </c>
      <c r="BK459" s="1">
        <f t="shared" si="122"/>
        <v>0</v>
      </c>
      <c r="BL459" s="1">
        <f t="shared" si="123"/>
        <v>0</v>
      </c>
      <c r="BM459" s="10" t="str">
        <f t="shared" si="124"/>
        <v/>
      </c>
      <c r="BN459" s="39">
        <f t="shared" si="125"/>
        <v>0</v>
      </c>
      <c r="BO459" s="39">
        <f t="shared" si="126"/>
        <v>0</v>
      </c>
      <c r="BP459" s="1">
        <f t="shared" si="127"/>
        <v>0</v>
      </c>
      <c r="BQ459" s="1">
        <f t="shared" si="128"/>
        <v>0</v>
      </c>
      <c r="BR459" s="1" t="str">
        <f t="shared" si="129"/>
        <v/>
      </c>
      <c r="BS459" s="1">
        <f t="shared" si="130"/>
        <v>0</v>
      </c>
      <c r="BT459" s="4">
        <f t="shared" si="131"/>
        <v>0</v>
      </c>
      <c r="BU459" s="39">
        <f t="shared" si="132"/>
        <v>0</v>
      </c>
      <c r="BV459" s="1">
        <f t="shared" si="133"/>
        <v>0</v>
      </c>
      <c r="BW459">
        <f t="shared" si="134"/>
        <v>0</v>
      </c>
      <c r="BX459">
        <f t="shared" si="135"/>
        <v>0</v>
      </c>
    </row>
    <row r="460" spans="58:76" x14ac:dyDescent="0.25">
      <c r="BF460" s="1" t="e">
        <f>VLOOKUP(N460,'Incoming Material Report'!H:M,6,FALSE)</f>
        <v>#N/A</v>
      </c>
      <c r="BG460" s="1" t="e">
        <f>IF(VLOOKUP(N460,'Incoming Material Report'!H:N,7,FALSE)=0,"",VLOOKUP(N460,'Incoming Material Report'!H:N,7,FALSE))</f>
        <v>#N/A</v>
      </c>
      <c r="BH460" s="39">
        <f t="shared" si="119"/>
        <v>0</v>
      </c>
      <c r="BI460" s="1">
        <f t="shared" si="120"/>
        <v>0</v>
      </c>
      <c r="BJ460" s="1">
        <f t="shared" si="121"/>
        <v>0</v>
      </c>
      <c r="BK460" s="1">
        <f t="shared" si="122"/>
        <v>0</v>
      </c>
      <c r="BL460" s="1">
        <f t="shared" si="123"/>
        <v>0</v>
      </c>
      <c r="BM460" s="10" t="str">
        <f t="shared" si="124"/>
        <v/>
      </c>
      <c r="BN460" s="39">
        <f t="shared" si="125"/>
        <v>0</v>
      </c>
      <c r="BO460" s="39">
        <f t="shared" si="126"/>
        <v>0</v>
      </c>
      <c r="BP460" s="1">
        <f t="shared" si="127"/>
        <v>0</v>
      </c>
      <c r="BQ460" s="1">
        <f t="shared" si="128"/>
        <v>0</v>
      </c>
      <c r="BR460" s="1" t="str">
        <f t="shared" si="129"/>
        <v/>
      </c>
      <c r="BS460" s="1">
        <f t="shared" si="130"/>
        <v>0</v>
      </c>
      <c r="BT460" s="4">
        <f t="shared" si="131"/>
        <v>0</v>
      </c>
      <c r="BU460" s="39">
        <f t="shared" si="132"/>
        <v>0</v>
      </c>
      <c r="BV460" s="1">
        <f t="shared" si="133"/>
        <v>0</v>
      </c>
      <c r="BW460">
        <f t="shared" si="134"/>
        <v>0</v>
      </c>
      <c r="BX460">
        <f t="shared" si="135"/>
        <v>0</v>
      </c>
    </row>
    <row r="461" spans="58:76" x14ac:dyDescent="0.25">
      <c r="BF461" s="1" t="e">
        <f>VLOOKUP(N461,'Incoming Material Report'!H:M,6,FALSE)</f>
        <v>#N/A</v>
      </c>
      <c r="BG461" s="1" t="e">
        <f>IF(VLOOKUP(N461,'Incoming Material Report'!H:N,7,FALSE)=0,"",VLOOKUP(N461,'Incoming Material Report'!H:N,7,FALSE))</f>
        <v>#N/A</v>
      </c>
      <c r="BH461" s="39">
        <f t="shared" si="119"/>
        <v>0</v>
      </c>
      <c r="BI461" s="1">
        <f t="shared" si="120"/>
        <v>0</v>
      </c>
      <c r="BJ461" s="1">
        <f t="shared" si="121"/>
        <v>0</v>
      </c>
      <c r="BK461" s="1">
        <f t="shared" si="122"/>
        <v>0</v>
      </c>
      <c r="BL461" s="1">
        <f t="shared" si="123"/>
        <v>0</v>
      </c>
      <c r="BM461" s="10" t="str">
        <f t="shared" si="124"/>
        <v/>
      </c>
      <c r="BN461" s="39">
        <f t="shared" si="125"/>
        <v>0</v>
      </c>
      <c r="BO461" s="39">
        <f t="shared" si="126"/>
        <v>0</v>
      </c>
      <c r="BP461" s="1">
        <f t="shared" si="127"/>
        <v>0</v>
      </c>
      <c r="BQ461" s="1">
        <f t="shared" si="128"/>
        <v>0</v>
      </c>
      <c r="BR461" s="1" t="str">
        <f t="shared" si="129"/>
        <v/>
      </c>
      <c r="BS461" s="1">
        <f t="shared" si="130"/>
        <v>0</v>
      </c>
      <c r="BT461" s="4">
        <f t="shared" si="131"/>
        <v>0</v>
      </c>
      <c r="BU461" s="39">
        <f t="shared" si="132"/>
        <v>0</v>
      </c>
      <c r="BV461" s="1">
        <f t="shared" si="133"/>
        <v>0</v>
      </c>
      <c r="BW461">
        <f t="shared" si="134"/>
        <v>0</v>
      </c>
      <c r="BX461">
        <f t="shared" si="135"/>
        <v>0</v>
      </c>
    </row>
    <row r="462" spans="58:76" x14ac:dyDescent="0.25">
      <c r="BF462" s="1" t="e">
        <f>VLOOKUP(N462,'Incoming Material Report'!H:M,6,FALSE)</f>
        <v>#N/A</v>
      </c>
      <c r="BG462" s="1" t="e">
        <f>IF(VLOOKUP(N462,'Incoming Material Report'!H:N,7,FALSE)=0,"",VLOOKUP(N462,'Incoming Material Report'!H:N,7,FALSE))</f>
        <v>#N/A</v>
      </c>
      <c r="BH462" s="39">
        <f t="shared" si="119"/>
        <v>0</v>
      </c>
      <c r="BI462" s="1">
        <f t="shared" si="120"/>
        <v>0</v>
      </c>
      <c r="BJ462" s="1">
        <f t="shared" si="121"/>
        <v>0</v>
      </c>
      <c r="BK462" s="1">
        <f t="shared" si="122"/>
        <v>0</v>
      </c>
      <c r="BL462" s="1">
        <f t="shared" si="123"/>
        <v>0</v>
      </c>
      <c r="BM462" s="10" t="str">
        <f t="shared" si="124"/>
        <v/>
      </c>
      <c r="BN462" s="39">
        <f t="shared" si="125"/>
        <v>0</v>
      </c>
      <c r="BO462" s="39">
        <f t="shared" si="126"/>
        <v>0</v>
      </c>
      <c r="BP462" s="1">
        <f t="shared" si="127"/>
        <v>0</v>
      </c>
      <c r="BQ462" s="1">
        <f t="shared" si="128"/>
        <v>0</v>
      </c>
      <c r="BR462" s="1" t="str">
        <f t="shared" si="129"/>
        <v/>
      </c>
      <c r="BS462" s="1">
        <f t="shared" si="130"/>
        <v>0</v>
      </c>
      <c r="BT462" s="4">
        <f t="shared" si="131"/>
        <v>0</v>
      </c>
      <c r="BU462" s="39">
        <f t="shared" si="132"/>
        <v>0</v>
      </c>
      <c r="BV462" s="1">
        <f t="shared" si="133"/>
        <v>0</v>
      </c>
      <c r="BW462">
        <f t="shared" si="134"/>
        <v>0</v>
      </c>
      <c r="BX462">
        <f t="shared" si="135"/>
        <v>0</v>
      </c>
    </row>
    <row r="463" spans="58:76" x14ac:dyDescent="0.25">
      <c r="BF463" s="1" t="e">
        <f>VLOOKUP(N463,'Incoming Material Report'!H:M,6,FALSE)</f>
        <v>#N/A</v>
      </c>
      <c r="BG463" s="1" t="e">
        <f>IF(VLOOKUP(N463,'Incoming Material Report'!H:N,7,FALSE)=0,"",VLOOKUP(N463,'Incoming Material Report'!H:N,7,FALSE))</f>
        <v>#N/A</v>
      </c>
      <c r="BH463" s="39">
        <f t="shared" si="119"/>
        <v>0</v>
      </c>
      <c r="BI463" s="1">
        <f t="shared" si="120"/>
        <v>0</v>
      </c>
      <c r="BJ463" s="1">
        <f t="shared" si="121"/>
        <v>0</v>
      </c>
      <c r="BK463" s="1">
        <f t="shared" si="122"/>
        <v>0</v>
      </c>
      <c r="BL463" s="1">
        <f t="shared" si="123"/>
        <v>0</v>
      </c>
      <c r="BM463" s="10" t="str">
        <f t="shared" si="124"/>
        <v/>
      </c>
      <c r="BN463" s="39">
        <f t="shared" si="125"/>
        <v>0</v>
      </c>
      <c r="BO463" s="39">
        <f t="shared" si="126"/>
        <v>0</v>
      </c>
      <c r="BP463" s="1">
        <f t="shared" si="127"/>
        <v>0</v>
      </c>
      <c r="BQ463" s="1">
        <f t="shared" si="128"/>
        <v>0</v>
      </c>
      <c r="BR463" s="1" t="str">
        <f t="shared" si="129"/>
        <v/>
      </c>
      <c r="BS463" s="1">
        <f t="shared" si="130"/>
        <v>0</v>
      </c>
      <c r="BT463" s="4">
        <f t="shared" si="131"/>
        <v>0</v>
      </c>
      <c r="BU463" s="39">
        <f t="shared" si="132"/>
        <v>0</v>
      </c>
      <c r="BV463" s="1">
        <f t="shared" si="133"/>
        <v>0</v>
      </c>
      <c r="BW463">
        <f t="shared" si="134"/>
        <v>0</v>
      </c>
      <c r="BX463">
        <f t="shared" si="135"/>
        <v>0</v>
      </c>
    </row>
    <row r="464" spans="58:76" x14ac:dyDescent="0.25">
      <c r="BF464" s="1" t="e">
        <f>VLOOKUP(N464,'Incoming Material Report'!H:M,6,FALSE)</f>
        <v>#N/A</v>
      </c>
      <c r="BG464" s="1" t="e">
        <f>IF(VLOOKUP(N464,'Incoming Material Report'!H:N,7,FALSE)=0,"",VLOOKUP(N464,'Incoming Material Report'!H:N,7,FALSE))</f>
        <v>#N/A</v>
      </c>
      <c r="BH464" s="39">
        <f t="shared" si="119"/>
        <v>0</v>
      </c>
      <c r="BI464" s="1">
        <f t="shared" si="120"/>
        <v>0</v>
      </c>
      <c r="BJ464" s="1">
        <f t="shared" si="121"/>
        <v>0</v>
      </c>
      <c r="BK464" s="1">
        <f t="shared" si="122"/>
        <v>0</v>
      </c>
      <c r="BL464" s="1">
        <f t="shared" si="123"/>
        <v>0</v>
      </c>
      <c r="BM464" s="10" t="str">
        <f t="shared" si="124"/>
        <v/>
      </c>
      <c r="BN464" s="39">
        <f t="shared" si="125"/>
        <v>0</v>
      </c>
      <c r="BO464" s="39">
        <f t="shared" si="126"/>
        <v>0</v>
      </c>
      <c r="BP464" s="1">
        <f t="shared" si="127"/>
        <v>0</v>
      </c>
      <c r="BQ464" s="1">
        <f t="shared" si="128"/>
        <v>0</v>
      </c>
      <c r="BR464" s="1" t="str">
        <f t="shared" si="129"/>
        <v/>
      </c>
      <c r="BS464" s="1">
        <f t="shared" si="130"/>
        <v>0</v>
      </c>
      <c r="BT464" s="4">
        <f t="shared" si="131"/>
        <v>0</v>
      </c>
      <c r="BU464" s="39">
        <f t="shared" si="132"/>
        <v>0</v>
      </c>
      <c r="BV464" s="1">
        <f t="shared" si="133"/>
        <v>0</v>
      </c>
      <c r="BW464">
        <f t="shared" si="134"/>
        <v>0</v>
      </c>
      <c r="BX464">
        <f t="shared" si="135"/>
        <v>0</v>
      </c>
    </row>
    <row r="465" spans="58:76" x14ac:dyDescent="0.25">
      <c r="BF465" s="1" t="e">
        <f>VLOOKUP(N465,'Incoming Material Report'!H:M,6,FALSE)</f>
        <v>#N/A</v>
      </c>
      <c r="BG465" s="1" t="e">
        <f>IF(VLOOKUP(N465,'Incoming Material Report'!H:N,7,FALSE)=0,"",VLOOKUP(N465,'Incoming Material Report'!H:N,7,FALSE))</f>
        <v>#N/A</v>
      </c>
      <c r="BH465" s="39">
        <f t="shared" si="119"/>
        <v>0</v>
      </c>
      <c r="BI465" s="1">
        <f t="shared" si="120"/>
        <v>0</v>
      </c>
      <c r="BJ465" s="1">
        <f t="shared" si="121"/>
        <v>0</v>
      </c>
      <c r="BK465" s="1">
        <f t="shared" si="122"/>
        <v>0</v>
      </c>
      <c r="BL465" s="1">
        <f t="shared" si="123"/>
        <v>0</v>
      </c>
      <c r="BM465" s="10" t="str">
        <f t="shared" si="124"/>
        <v/>
      </c>
      <c r="BN465" s="39">
        <f t="shared" si="125"/>
        <v>0</v>
      </c>
      <c r="BO465" s="39">
        <f t="shared" si="126"/>
        <v>0</v>
      </c>
      <c r="BP465" s="1">
        <f t="shared" si="127"/>
        <v>0</v>
      </c>
      <c r="BQ465" s="1">
        <f t="shared" si="128"/>
        <v>0</v>
      </c>
      <c r="BR465" s="1" t="str">
        <f t="shared" si="129"/>
        <v/>
      </c>
      <c r="BS465" s="1">
        <f t="shared" si="130"/>
        <v>0</v>
      </c>
      <c r="BT465" s="4">
        <f t="shared" si="131"/>
        <v>0</v>
      </c>
      <c r="BU465" s="39">
        <f t="shared" si="132"/>
        <v>0</v>
      </c>
      <c r="BV465" s="1">
        <f t="shared" si="133"/>
        <v>0</v>
      </c>
      <c r="BW465">
        <f t="shared" si="134"/>
        <v>0</v>
      </c>
      <c r="BX465">
        <f t="shared" si="135"/>
        <v>0</v>
      </c>
    </row>
    <row r="466" spans="58:76" x14ac:dyDescent="0.25">
      <c r="BF466" s="1" t="e">
        <f>VLOOKUP(N466,'Incoming Material Report'!H:M,6,FALSE)</f>
        <v>#N/A</v>
      </c>
      <c r="BG466" s="1" t="e">
        <f>IF(VLOOKUP(N466,'Incoming Material Report'!H:N,7,FALSE)=0,"",VLOOKUP(N466,'Incoming Material Report'!H:N,7,FALSE))</f>
        <v>#N/A</v>
      </c>
      <c r="BH466" s="39">
        <f t="shared" si="119"/>
        <v>0</v>
      </c>
      <c r="BI466" s="1">
        <f t="shared" si="120"/>
        <v>0</v>
      </c>
      <c r="BJ466" s="1">
        <f t="shared" si="121"/>
        <v>0</v>
      </c>
      <c r="BK466" s="1">
        <f t="shared" si="122"/>
        <v>0</v>
      </c>
      <c r="BL466" s="1">
        <f t="shared" si="123"/>
        <v>0</v>
      </c>
      <c r="BM466" s="10" t="str">
        <f t="shared" si="124"/>
        <v/>
      </c>
      <c r="BN466" s="39">
        <f t="shared" si="125"/>
        <v>0</v>
      </c>
      <c r="BO466" s="39">
        <f t="shared" si="126"/>
        <v>0</v>
      </c>
      <c r="BP466" s="1">
        <f t="shared" si="127"/>
        <v>0</v>
      </c>
      <c r="BQ466" s="1">
        <f t="shared" si="128"/>
        <v>0</v>
      </c>
      <c r="BR466" s="1" t="str">
        <f t="shared" si="129"/>
        <v/>
      </c>
      <c r="BS466" s="1">
        <f t="shared" si="130"/>
        <v>0</v>
      </c>
      <c r="BT466" s="4">
        <f t="shared" si="131"/>
        <v>0</v>
      </c>
      <c r="BU466" s="39">
        <f t="shared" si="132"/>
        <v>0</v>
      </c>
      <c r="BV466" s="1">
        <f t="shared" si="133"/>
        <v>0</v>
      </c>
      <c r="BW466">
        <f t="shared" si="134"/>
        <v>0</v>
      </c>
      <c r="BX466">
        <f t="shared" si="135"/>
        <v>0</v>
      </c>
    </row>
    <row r="467" spans="58:76" x14ac:dyDescent="0.25">
      <c r="BF467" s="1" t="e">
        <f>VLOOKUP(N467,'Incoming Material Report'!H:M,6,FALSE)</f>
        <v>#N/A</v>
      </c>
      <c r="BG467" s="1" t="e">
        <f>IF(VLOOKUP(N467,'Incoming Material Report'!H:N,7,FALSE)=0,"",VLOOKUP(N467,'Incoming Material Report'!H:N,7,FALSE))</f>
        <v>#N/A</v>
      </c>
      <c r="BH467" s="39">
        <f t="shared" si="119"/>
        <v>0</v>
      </c>
      <c r="BI467" s="1">
        <f t="shared" si="120"/>
        <v>0</v>
      </c>
      <c r="BJ467" s="1">
        <f t="shared" si="121"/>
        <v>0</v>
      </c>
      <c r="BK467" s="1">
        <f t="shared" si="122"/>
        <v>0</v>
      </c>
      <c r="BL467" s="1">
        <f t="shared" si="123"/>
        <v>0</v>
      </c>
      <c r="BM467" s="10" t="str">
        <f t="shared" si="124"/>
        <v/>
      </c>
      <c r="BN467" s="39">
        <f t="shared" si="125"/>
        <v>0</v>
      </c>
      <c r="BO467" s="39">
        <f t="shared" si="126"/>
        <v>0</v>
      </c>
      <c r="BP467" s="1">
        <f t="shared" si="127"/>
        <v>0</v>
      </c>
      <c r="BQ467" s="1">
        <f t="shared" si="128"/>
        <v>0</v>
      </c>
      <c r="BR467" s="1" t="str">
        <f t="shared" si="129"/>
        <v/>
      </c>
      <c r="BS467" s="1">
        <f t="shared" si="130"/>
        <v>0</v>
      </c>
      <c r="BT467" s="4">
        <f t="shared" si="131"/>
        <v>0</v>
      </c>
      <c r="BU467" s="39">
        <f t="shared" si="132"/>
        <v>0</v>
      </c>
      <c r="BV467" s="1">
        <f t="shared" si="133"/>
        <v>0</v>
      </c>
      <c r="BW467">
        <f t="shared" si="134"/>
        <v>0</v>
      </c>
      <c r="BX467">
        <f t="shared" si="135"/>
        <v>0</v>
      </c>
    </row>
    <row r="468" spans="58:76" x14ac:dyDescent="0.25">
      <c r="BF468" s="1" t="e">
        <f>VLOOKUP(N468,'Incoming Material Report'!H:M,6,FALSE)</f>
        <v>#N/A</v>
      </c>
      <c r="BG468" s="1" t="e">
        <f>IF(VLOOKUP(N468,'Incoming Material Report'!H:N,7,FALSE)=0,"",VLOOKUP(N468,'Incoming Material Report'!H:N,7,FALSE))</f>
        <v>#N/A</v>
      </c>
      <c r="BH468" s="39">
        <f t="shared" si="119"/>
        <v>0</v>
      </c>
      <c r="BI468" s="1">
        <f t="shared" si="120"/>
        <v>0</v>
      </c>
      <c r="BJ468" s="1">
        <f t="shared" si="121"/>
        <v>0</v>
      </c>
      <c r="BK468" s="1">
        <f t="shared" si="122"/>
        <v>0</v>
      </c>
      <c r="BL468" s="1">
        <f t="shared" si="123"/>
        <v>0</v>
      </c>
      <c r="BM468" s="10" t="str">
        <f t="shared" si="124"/>
        <v/>
      </c>
      <c r="BN468" s="39">
        <f t="shared" si="125"/>
        <v>0</v>
      </c>
      <c r="BO468" s="39">
        <f t="shared" si="126"/>
        <v>0</v>
      </c>
      <c r="BP468" s="1">
        <f t="shared" si="127"/>
        <v>0</v>
      </c>
      <c r="BQ468" s="1">
        <f t="shared" si="128"/>
        <v>0</v>
      </c>
      <c r="BR468" s="1" t="str">
        <f t="shared" si="129"/>
        <v/>
      </c>
      <c r="BS468" s="1">
        <f t="shared" si="130"/>
        <v>0</v>
      </c>
      <c r="BT468" s="4">
        <f t="shared" si="131"/>
        <v>0</v>
      </c>
      <c r="BU468" s="39">
        <f t="shared" si="132"/>
        <v>0</v>
      </c>
      <c r="BV468" s="1">
        <f t="shared" si="133"/>
        <v>0</v>
      </c>
      <c r="BW468">
        <f t="shared" si="134"/>
        <v>0</v>
      </c>
      <c r="BX468">
        <f t="shared" si="135"/>
        <v>0</v>
      </c>
    </row>
    <row r="469" spans="58:76" x14ac:dyDescent="0.25">
      <c r="BF469" s="1" t="e">
        <f>VLOOKUP(N469,'Incoming Material Report'!H:M,6,FALSE)</f>
        <v>#N/A</v>
      </c>
      <c r="BG469" s="1" t="e">
        <f>IF(VLOOKUP(N469,'Incoming Material Report'!H:N,7,FALSE)=0,"",VLOOKUP(N469,'Incoming Material Report'!H:N,7,FALSE))</f>
        <v>#N/A</v>
      </c>
      <c r="BH469" s="39">
        <f t="shared" si="119"/>
        <v>0</v>
      </c>
      <c r="BI469" s="1">
        <f t="shared" si="120"/>
        <v>0</v>
      </c>
      <c r="BJ469" s="1">
        <f t="shared" si="121"/>
        <v>0</v>
      </c>
      <c r="BK469" s="1">
        <f t="shared" si="122"/>
        <v>0</v>
      </c>
      <c r="BL469" s="1">
        <f t="shared" si="123"/>
        <v>0</v>
      </c>
      <c r="BM469" s="10" t="str">
        <f t="shared" si="124"/>
        <v/>
      </c>
      <c r="BN469" s="39">
        <f t="shared" si="125"/>
        <v>0</v>
      </c>
      <c r="BO469" s="39">
        <f t="shared" si="126"/>
        <v>0</v>
      </c>
      <c r="BP469" s="1">
        <f t="shared" si="127"/>
        <v>0</v>
      </c>
      <c r="BQ469" s="1">
        <f t="shared" si="128"/>
        <v>0</v>
      </c>
      <c r="BR469" s="1" t="str">
        <f t="shared" si="129"/>
        <v/>
      </c>
      <c r="BS469" s="1">
        <f t="shared" si="130"/>
        <v>0</v>
      </c>
      <c r="BT469" s="4">
        <f t="shared" si="131"/>
        <v>0</v>
      </c>
      <c r="BU469" s="39">
        <f t="shared" si="132"/>
        <v>0</v>
      </c>
      <c r="BV469" s="1">
        <f t="shared" si="133"/>
        <v>0</v>
      </c>
      <c r="BW469">
        <f t="shared" si="134"/>
        <v>0</v>
      </c>
      <c r="BX469">
        <f t="shared" si="135"/>
        <v>0</v>
      </c>
    </row>
    <row r="470" spans="58:76" x14ac:dyDescent="0.25">
      <c r="BF470" s="1" t="e">
        <f>VLOOKUP(N470,'Incoming Material Report'!H:M,6,FALSE)</f>
        <v>#N/A</v>
      </c>
      <c r="BG470" s="1" t="e">
        <f>IF(VLOOKUP(N470,'Incoming Material Report'!H:N,7,FALSE)=0,"",VLOOKUP(N470,'Incoming Material Report'!H:N,7,FALSE))</f>
        <v>#N/A</v>
      </c>
      <c r="BH470" s="39">
        <f t="shared" si="119"/>
        <v>0</v>
      </c>
      <c r="BI470" s="1">
        <f t="shared" si="120"/>
        <v>0</v>
      </c>
      <c r="BJ470" s="1">
        <f t="shared" si="121"/>
        <v>0</v>
      </c>
      <c r="BK470" s="1">
        <f t="shared" si="122"/>
        <v>0</v>
      </c>
      <c r="BL470" s="1">
        <f t="shared" si="123"/>
        <v>0</v>
      </c>
      <c r="BM470" s="10" t="str">
        <f t="shared" si="124"/>
        <v/>
      </c>
      <c r="BN470" s="39">
        <f t="shared" si="125"/>
        <v>0</v>
      </c>
      <c r="BO470" s="39">
        <f t="shared" si="126"/>
        <v>0</v>
      </c>
      <c r="BP470" s="1">
        <f t="shared" si="127"/>
        <v>0</v>
      </c>
      <c r="BQ470" s="1">
        <f t="shared" si="128"/>
        <v>0</v>
      </c>
      <c r="BR470" s="1" t="str">
        <f t="shared" si="129"/>
        <v/>
      </c>
      <c r="BS470" s="1">
        <f t="shared" si="130"/>
        <v>0</v>
      </c>
      <c r="BT470" s="4">
        <f t="shared" si="131"/>
        <v>0</v>
      </c>
      <c r="BU470" s="39">
        <f t="shared" si="132"/>
        <v>0</v>
      </c>
      <c r="BV470" s="1">
        <f t="shared" si="133"/>
        <v>0</v>
      </c>
      <c r="BW470">
        <f t="shared" si="134"/>
        <v>0</v>
      </c>
      <c r="BX470">
        <f t="shared" si="135"/>
        <v>0</v>
      </c>
    </row>
    <row r="471" spans="58:76" x14ac:dyDescent="0.25">
      <c r="BF471" s="1" t="e">
        <f>VLOOKUP(N471,'Incoming Material Report'!H:M,6,FALSE)</f>
        <v>#N/A</v>
      </c>
      <c r="BG471" s="1" t="e">
        <f>IF(VLOOKUP(N471,'Incoming Material Report'!H:N,7,FALSE)=0,"",VLOOKUP(N471,'Incoming Material Report'!H:N,7,FALSE))</f>
        <v>#N/A</v>
      </c>
      <c r="BH471" s="39">
        <f t="shared" si="119"/>
        <v>0</v>
      </c>
      <c r="BI471" s="1">
        <f t="shared" si="120"/>
        <v>0</v>
      </c>
      <c r="BJ471" s="1">
        <f t="shared" si="121"/>
        <v>0</v>
      </c>
      <c r="BK471" s="1">
        <f t="shared" si="122"/>
        <v>0</v>
      </c>
      <c r="BL471" s="1">
        <f t="shared" si="123"/>
        <v>0</v>
      </c>
      <c r="BM471" s="10" t="str">
        <f t="shared" si="124"/>
        <v/>
      </c>
      <c r="BN471" s="39">
        <f t="shared" si="125"/>
        <v>0</v>
      </c>
      <c r="BO471" s="39">
        <f t="shared" si="126"/>
        <v>0</v>
      </c>
      <c r="BP471" s="1">
        <f t="shared" si="127"/>
        <v>0</v>
      </c>
      <c r="BQ471" s="1">
        <f t="shared" si="128"/>
        <v>0</v>
      </c>
      <c r="BR471" s="1" t="str">
        <f t="shared" si="129"/>
        <v/>
      </c>
      <c r="BS471" s="1">
        <f t="shared" si="130"/>
        <v>0</v>
      </c>
      <c r="BT471" s="4">
        <f t="shared" si="131"/>
        <v>0</v>
      </c>
      <c r="BU471" s="39">
        <f t="shared" si="132"/>
        <v>0</v>
      </c>
      <c r="BV471" s="1">
        <f t="shared" si="133"/>
        <v>0</v>
      </c>
      <c r="BW471">
        <f t="shared" si="134"/>
        <v>0</v>
      </c>
      <c r="BX471">
        <f t="shared" si="135"/>
        <v>0</v>
      </c>
    </row>
    <row r="472" spans="58:76" x14ac:dyDescent="0.25">
      <c r="BF472" s="1" t="e">
        <f>VLOOKUP(N472,'Incoming Material Report'!H:M,6,FALSE)</f>
        <v>#N/A</v>
      </c>
      <c r="BG472" s="1" t="e">
        <f>IF(VLOOKUP(N472,'Incoming Material Report'!H:N,7,FALSE)=0,"",VLOOKUP(N472,'Incoming Material Report'!H:N,7,FALSE))</f>
        <v>#N/A</v>
      </c>
      <c r="BH472" s="39">
        <f t="shared" si="119"/>
        <v>0</v>
      </c>
      <c r="BI472" s="1">
        <f t="shared" si="120"/>
        <v>0</v>
      </c>
      <c r="BJ472" s="1">
        <f t="shared" si="121"/>
        <v>0</v>
      </c>
      <c r="BK472" s="1">
        <f t="shared" si="122"/>
        <v>0</v>
      </c>
      <c r="BL472" s="1">
        <f t="shared" si="123"/>
        <v>0</v>
      </c>
      <c r="BM472" s="10" t="str">
        <f t="shared" si="124"/>
        <v/>
      </c>
      <c r="BN472" s="39">
        <f t="shared" si="125"/>
        <v>0</v>
      </c>
      <c r="BO472" s="39">
        <f t="shared" si="126"/>
        <v>0</v>
      </c>
      <c r="BP472" s="1">
        <f t="shared" si="127"/>
        <v>0</v>
      </c>
      <c r="BQ472" s="1">
        <f t="shared" si="128"/>
        <v>0</v>
      </c>
      <c r="BR472" s="1" t="str">
        <f t="shared" si="129"/>
        <v/>
      </c>
      <c r="BS472" s="1">
        <f t="shared" si="130"/>
        <v>0</v>
      </c>
      <c r="BT472" s="4">
        <f t="shared" si="131"/>
        <v>0</v>
      </c>
      <c r="BU472" s="39">
        <f t="shared" si="132"/>
        <v>0</v>
      </c>
      <c r="BV472" s="1">
        <f t="shared" si="133"/>
        <v>0</v>
      </c>
      <c r="BW472">
        <f t="shared" si="134"/>
        <v>0</v>
      </c>
      <c r="BX472">
        <f t="shared" si="135"/>
        <v>0</v>
      </c>
    </row>
    <row r="473" spans="58:76" x14ac:dyDescent="0.25">
      <c r="BF473" s="1" t="e">
        <f>VLOOKUP(N473,'Incoming Material Report'!H:M,6,FALSE)</f>
        <v>#N/A</v>
      </c>
      <c r="BG473" s="1" t="e">
        <f>IF(VLOOKUP(N473,'Incoming Material Report'!H:N,7,FALSE)=0,"",VLOOKUP(N473,'Incoming Material Report'!H:N,7,FALSE))</f>
        <v>#N/A</v>
      </c>
      <c r="BH473" s="39">
        <f t="shared" si="119"/>
        <v>0</v>
      </c>
      <c r="BI473" s="1">
        <f t="shared" si="120"/>
        <v>0</v>
      </c>
      <c r="BJ473" s="1">
        <f t="shared" si="121"/>
        <v>0</v>
      </c>
      <c r="BK473" s="1">
        <f t="shared" si="122"/>
        <v>0</v>
      </c>
      <c r="BL473" s="1">
        <f t="shared" si="123"/>
        <v>0</v>
      </c>
      <c r="BM473" s="10" t="str">
        <f t="shared" si="124"/>
        <v/>
      </c>
      <c r="BN473" s="39">
        <f t="shared" si="125"/>
        <v>0</v>
      </c>
      <c r="BO473" s="39">
        <f t="shared" si="126"/>
        <v>0</v>
      </c>
      <c r="BP473" s="1">
        <f t="shared" si="127"/>
        <v>0</v>
      </c>
      <c r="BQ473" s="1">
        <f t="shared" si="128"/>
        <v>0</v>
      </c>
      <c r="BR473" s="1" t="str">
        <f t="shared" si="129"/>
        <v/>
      </c>
      <c r="BS473" s="1">
        <f t="shared" si="130"/>
        <v>0</v>
      </c>
      <c r="BT473" s="4">
        <f t="shared" si="131"/>
        <v>0</v>
      </c>
      <c r="BU473" s="39">
        <f t="shared" si="132"/>
        <v>0</v>
      </c>
      <c r="BV473" s="1">
        <f t="shared" si="133"/>
        <v>0</v>
      </c>
      <c r="BW473">
        <f t="shared" si="134"/>
        <v>0</v>
      </c>
      <c r="BX473">
        <f t="shared" si="135"/>
        <v>0</v>
      </c>
    </row>
    <row r="474" spans="58:76" x14ac:dyDescent="0.25">
      <c r="BF474" s="1" t="e">
        <f>VLOOKUP(N474,'Incoming Material Report'!H:M,6,FALSE)</f>
        <v>#N/A</v>
      </c>
      <c r="BG474" s="1" t="e">
        <f>IF(VLOOKUP(N474,'Incoming Material Report'!H:N,7,FALSE)=0,"",VLOOKUP(N474,'Incoming Material Report'!H:N,7,FALSE))</f>
        <v>#N/A</v>
      </c>
      <c r="BH474" s="39">
        <f t="shared" si="119"/>
        <v>0</v>
      </c>
      <c r="BI474" s="1">
        <f t="shared" si="120"/>
        <v>0</v>
      </c>
      <c r="BJ474" s="1">
        <f t="shared" si="121"/>
        <v>0</v>
      </c>
      <c r="BK474" s="1">
        <f t="shared" si="122"/>
        <v>0</v>
      </c>
      <c r="BL474" s="1">
        <f t="shared" si="123"/>
        <v>0</v>
      </c>
      <c r="BM474" s="10" t="str">
        <f t="shared" si="124"/>
        <v/>
      </c>
      <c r="BN474" s="39">
        <f t="shared" si="125"/>
        <v>0</v>
      </c>
      <c r="BO474" s="39">
        <f t="shared" si="126"/>
        <v>0</v>
      </c>
      <c r="BP474" s="1">
        <f t="shared" si="127"/>
        <v>0</v>
      </c>
      <c r="BQ474" s="1">
        <f t="shared" si="128"/>
        <v>0</v>
      </c>
      <c r="BR474" s="1" t="str">
        <f t="shared" si="129"/>
        <v/>
      </c>
      <c r="BS474" s="1">
        <f t="shared" si="130"/>
        <v>0</v>
      </c>
      <c r="BT474" s="4">
        <f t="shared" si="131"/>
        <v>0</v>
      </c>
      <c r="BU474" s="39">
        <f t="shared" si="132"/>
        <v>0</v>
      </c>
      <c r="BV474" s="1">
        <f t="shared" si="133"/>
        <v>0</v>
      </c>
      <c r="BW474">
        <f t="shared" si="134"/>
        <v>0</v>
      </c>
      <c r="BX474">
        <f t="shared" si="135"/>
        <v>0</v>
      </c>
    </row>
    <row r="475" spans="58:76" x14ac:dyDescent="0.25">
      <c r="BF475" s="1" t="e">
        <f>VLOOKUP(N475,'Incoming Material Report'!H:M,6,FALSE)</f>
        <v>#N/A</v>
      </c>
      <c r="BG475" s="1" t="e">
        <f>IF(VLOOKUP(N475,'Incoming Material Report'!H:N,7,FALSE)=0,"",VLOOKUP(N475,'Incoming Material Report'!H:N,7,FALSE))</f>
        <v>#N/A</v>
      </c>
      <c r="BH475" s="39">
        <f t="shared" si="119"/>
        <v>0</v>
      </c>
      <c r="BI475" s="1">
        <f t="shared" si="120"/>
        <v>0</v>
      </c>
      <c r="BJ475" s="1">
        <f t="shared" si="121"/>
        <v>0</v>
      </c>
      <c r="BK475" s="1">
        <f t="shared" si="122"/>
        <v>0</v>
      </c>
      <c r="BL475" s="1">
        <f t="shared" si="123"/>
        <v>0</v>
      </c>
      <c r="BM475" s="10" t="str">
        <f t="shared" si="124"/>
        <v/>
      </c>
      <c r="BN475" s="39">
        <f t="shared" si="125"/>
        <v>0</v>
      </c>
      <c r="BO475" s="39">
        <f t="shared" si="126"/>
        <v>0</v>
      </c>
      <c r="BP475" s="1">
        <f t="shared" si="127"/>
        <v>0</v>
      </c>
      <c r="BQ475" s="1">
        <f t="shared" si="128"/>
        <v>0</v>
      </c>
      <c r="BR475" s="1" t="str">
        <f t="shared" si="129"/>
        <v/>
      </c>
      <c r="BS475" s="1">
        <f t="shared" si="130"/>
        <v>0</v>
      </c>
      <c r="BT475" s="4">
        <f t="shared" si="131"/>
        <v>0</v>
      </c>
      <c r="BU475" s="39">
        <f t="shared" si="132"/>
        <v>0</v>
      </c>
      <c r="BV475" s="1">
        <f t="shared" si="133"/>
        <v>0</v>
      </c>
      <c r="BW475">
        <f t="shared" si="134"/>
        <v>0</v>
      </c>
      <c r="BX475">
        <f t="shared" si="135"/>
        <v>0</v>
      </c>
    </row>
    <row r="476" spans="58:76" x14ac:dyDescent="0.25">
      <c r="BF476" s="1" t="e">
        <f>VLOOKUP(N476,'Incoming Material Report'!H:M,6,FALSE)</f>
        <v>#N/A</v>
      </c>
      <c r="BG476" s="1" t="e">
        <f>IF(VLOOKUP(N476,'Incoming Material Report'!H:N,7,FALSE)=0,"",VLOOKUP(N476,'Incoming Material Report'!H:N,7,FALSE))</f>
        <v>#N/A</v>
      </c>
      <c r="BH476" s="39">
        <f t="shared" si="119"/>
        <v>0</v>
      </c>
      <c r="BI476" s="1">
        <f t="shared" si="120"/>
        <v>0</v>
      </c>
      <c r="BJ476" s="1">
        <f t="shared" si="121"/>
        <v>0</v>
      </c>
      <c r="BK476" s="1">
        <f t="shared" si="122"/>
        <v>0</v>
      </c>
      <c r="BL476" s="1">
        <f t="shared" si="123"/>
        <v>0</v>
      </c>
      <c r="BM476" s="10" t="str">
        <f t="shared" si="124"/>
        <v/>
      </c>
      <c r="BN476" s="39">
        <f t="shared" si="125"/>
        <v>0</v>
      </c>
      <c r="BO476" s="39">
        <f t="shared" si="126"/>
        <v>0</v>
      </c>
      <c r="BP476" s="1">
        <f t="shared" si="127"/>
        <v>0</v>
      </c>
      <c r="BQ476" s="1">
        <f t="shared" si="128"/>
        <v>0</v>
      </c>
      <c r="BR476" s="1" t="str">
        <f t="shared" si="129"/>
        <v/>
      </c>
      <c r="BS476" s="1">
        <f t="shared" si="130"/>
        <v>0</v>
      </c>
      <c r="BT476" s="4">
        <f t="shared" si="131"/>
        <v>0</v>
      </c>
      <c r="BU476" s="39">
        <f t="shared" si="132"/>
        <v>0</v>
      </c>
      <c r="BV476" s="1">
        <f t="shared" si="133"/>
        <v>0</v>
      </c>
      <c r="BW476">
        <f t="shared" si="134"/>
        <v>0</v>
      </c>
      <c r="BX476">
        <f t="shared" si="135"/>
        <v>0</v>
      </c>
    </row>
    <row r="477" spans="58:76" x14ac:dyDescent="0.25">
      <c r="BF477" s="1" t="e">
        <f>VLOOKUP(N477,'Incoming Material Report'!H:M,6,FALSE)</f>
        <v>#N/A</v>
      </c>
      <c r="BG477" s="1" t="e">
        <f>IF(VLOOKUP(N477,'Incoming Material Report'!H:N,7,FALSE)=0,"",VLOOKUP(N477,'Incoming Material Report'!H:N,7,FALSE))</f>
        <v>#N/A</v>
      </c>
      <c r="BH477" s="39">
        <f t="shared" si="119"/>
        <v>0</v>
      </c>
      <c r="BI477" s="1">
        <f t="shared" si="120"/>
        <v>0</v>
      </c>
      <c r="BJ477" s="1">
        <f t="shared" si="121"/>
        <v>0</v>
      </c>
      <c r="BK477" s="1">
        <f t="shared" si="122"/>
        <v>0</v>
      </c>
      <c r="BL477" s="1">
        <f t="shared" si="123"/>
        <v>0</v>
      </c>
      <c r="BM477" s="10" t="str">
        <f t="shared" si="124"/>
        <v/>
      </c>
      <c r="BN477" s="39">
        <f t="shared" si="125"/>
        <v>0</v>
      </c>
      <c r="BO477" s="39">
        <f t="shared" si="126"/>
        <v>0</v>
      </c>
      <c r="BP477" s="1">
        <f t="shared" si="127"/>
        <v>0</v>
      </c>
      <c r="BQ477" s="1">
        <f t="shared" si="128"/>
        <v>0</v>
      </c>
      <c r="BR477" s="1" t="str">
        <f t="shared" si="129"/>
        <v/>
      </c>
      <c r="BS477" s="1">
        <f t="shared" si="130"/>
        <v>0</v>
      </c>
      <c r="BT477" s="4">
        <f t="shared" si="131"/>
        <v>0</v>
      </c>
      <c r="BU477" s="39">
        <f t="shared" si="132"/>
        <v>0</v>
      </c>
      <c r="BV477" s="1">
        <f t="shared" si="133"/>
        <v>0</v>
      </c>
      <c r="BW477">
        <f t="shared" si="134"/>
        <v>0</v>
      </c>
      <c r="BX477">
        <f t="shared" si="135"/>
        <v>0</v>
      </c>
    </row>
    <row r="478" spans="58:76" x14ac:dyDescent="0.25">
      <c r="BF478" s="1" t="e">
        <f>VLOOKUP(N478,'Incoming Material Report'!H:M,6,FALSE)</f>
        <v>#N/A</v>
      </c>
      <c r="BG478" s="1" t="e">
        <f>IF(VLOOKUP(N478,'Incoming Material Report'!H:N,7,FALSE)=0,"",VLOOKUP(N478,'Incoming Material Report'!H:N,7,FALSE))</f>
        <v>#N/A</v>
      </c>
      <c r="BH478" s="39">
        <f t="shared" si="119"/>
        <v>0</v>
      </c>
      <c r="BI478" s="1">
        <f t="shared" si="120"/>
        <v>0</v>
      </c>
      <c r="BJ478" s="1">
        <f t="shared" si="121"/>
        <v>0</v>
      </c>
      <c r="BK478" s="1">
        <f t="shared" si="122"/>
        <v>0</v>
      </c>
      <c r="BL478" s="1">
        <f t="shared" si="123"/>
        <v>0</v>
      </c>
      <c r="BM478" s="10" t="str">
        <f t="shared" si="124"/>
        <v/>
      </c>
      <c r="BN478" s="39">
        <f t="shared" si="125"/>
        <v>0</v>
      </c>
      <c r="BO478" s="39">
        <f t="shared" si="126"/>
        <v>0</v>
      </c>
      <c r="BP478" s="1">
        <f t="shared" si="127"/>
        <v>0</v>
      </c>
      <c r="BQ478" s="1">
        <f t="shared" si="128"/>
        <v>0</v>
      </c>
      <c r="BR478" s="1" t="str">
        <f t="shared" si="129"/>
        <v/>
      </c>
      <c r="BS478" s="1">
        <f t="shared" si="130"/>
        <v>0</v>
      </c>
      <c r="BT478" s="4">
        <f t="shared" si="131"/>
        <v>0</v>
      </c>
      <c r="BU478" s="39">
        <f t="shared" si="132"/>
        <v>0</v>
      </c>
      <c r="BV478" s="1">
        <f t="shared" si="133"/>
        <v>0</v>
      </c>
      <c r="BW478">
        <f t="shared" si="134"/>
        <v>0</v>
      </c>
      <c r="BX478">
        <f t="shared" si="135"/>
        <v>0</v>
      </c>
    </row>
    <row r="479" spans="58:76" x14ac:dyDescent="0.25">
      <c r="BF479" s="1" t="e">
        <f>VLOOKUP(N479,'Incoming Material Report'!H:M,6,FALSE)</f>
        <v>#N/A</v>
      </c>
      <c r="BG479" s="1" t="e">
        <f>IF(VLOOKUP(N479,'Incoming Material Report'!H:N,7,FALSE)=0,"",VLOOKUP(N479,'Incoming Material Report'!H:N,7,FALSE))</f>
        <v>#N/A</v>
      </c>
      <c r="BH479" s="39">
        <f t="shared" si="119"/>
        <v>0</v>
      </c>
      <c r="BI479" s="1">
        <f t="shared" si="120"/>
        <v>0</v>
      </c>
      <c r="BJ479" s="1">
        <f t="shared" si="121"/>
        <v>0</v>
      </c>
      <c r="BK479" s="1">
        <f t="shared" si="122"/>
        <v>0</v>
      </c>
      <c r="BL479" s="1">
        <f t="shared" si="123"/>
        <v>0</v>
      </c>
      <c r="BM479" s="10" t="str">
        <f t="shared" si="124"/>
        <v/>
      </c>
      <c r="BN479" s="39">
        <f t="shared" si="125"/>
        <v>0</v>
      </c>
      <c r="BO479" s="39">
        <f t="shared" si="126"/>
        <v>0</v>
      </c>
      <c r="BP479" s="1">
        <f t="shared" si="127"/>
        <v>0</v>
      </c>
      <c r="BQ479" s="1">
        <f t="shared" si="128"/>
        <v>0</v>
      </c>
      <c r="BR479" s="1" t="str">
        <f t="shared" si="129"/>
        <v/>
      </c>
      <c r="BS479" s="1">
        <f t="shared" si="130"/>
        <v>0</v>
      </c>
      <c r="BT479" s="4">
        <f t="shared" si="131"/>
        <v>0</v>
      </c>
      <c r="BU479" s="39">
        <f t="shared" si="132"/>
        <v>0</v>
      </c>
      <c r="BV479" s="1">
        <f t="shared" si="133"/>
        <v>0</v>
      </c>
      <c r="BW479">
        <f t="shared" si="134"/>
        <v>0</v>
      </c>
      <c r="BX479">
        <f t="shared" si="135"/>
        <v>0</v>
      </c>
    </row>
    <row r="480" spans="58:76" x14ac:dyDescent="0.25">
      <c r="BF480" s="1" t="e">
        <f>VLOOKUP(N480,'Incoming Material Report'!H:M,6,FALSE)</f>
        <v>#N/A</v>
      </c>
      <c r="BG480" s="1" t="e">
        <f>IF(VLOOKUP(N480,'Incoming Material Report'!H:N,7,FALSE)=0,"",VLOOKUP(N480,'Incoming Material Report'!H:N,7,FALSE))</f>
        <v>#N/A</v>
      </c>
      <c r="BH480" s="39">
        <f t="shared" si="119"/>
        <v>0</v>
      </c>
      <c r="BI480" s="1">
        <f t="shared" si="120"/>
        <v>0</v>
      </c>
      <c r="BJ480" s="1">
        <f t="shared" si="121"/>
        <v>0</v>
      </c>
      <c r="BK480" s="1">
        <f t="shared" si="122"/>
        <v>0</v>
      </c>
      <c r="BL480" s="1">
        <f t="shared" si="123"/>
        <v>0</v>
      </c>
      <c r="BM480" s="10" t="str">
        <f t="shared" si="124"/>
        <v/>
      </c>
      <c r="BN480" s="39">
        <f t="shared" si="125"/>
        <v>0</v>
      </c>
      <c r="BO480" s="39">
        <f t="shared" si="126"/>
        <v>0</v>
      </c>
      <c r="BP480" s="1">
        <f t="shared" si="127"/>
        <v>0</v>
      </c>
      <c r="BQ480" s="1">
        <f t="shared" si="128"/>
        <v>0</v>
      </c>
      <c r="BR480" s="1" t="str">
        <f t="shared" si="129"/>
        <v/>
      </c>
      <c r="BS480" s="1">
        <f t="shared" si="130"/>
        <v>0</v>
      </c>
      <c r="BT480" s="4">
        <f t="shared" si="131"/>
        <v>0</v>
      </c>
      <c r="BU480" s="39">
        <f t="shared" si="132"/>
        <v>0</v>
      </c>
      <c r="BV480" s="1">
        <f t="shared" si="133"/>
        <v>0</v>
      </c>
      <c r="BW480">
        <f t="shared" si="134"/>
        <v>0</v>
      </c>
      <c r="BX480">
        <f t="shared" si="135"/>
        <v>0</v>
      </c>
    </row>
    <row r="481" spans="58:76" x14ac:dyDescent="0.25">
      <c r="BF481" s="1" t="e">
        <f>VLOOKUP(N481,'Incoming Material Report'!H:M,6,FALSE)</f>
        <v>#N/A</v>
      </c>
      <c r="BG481" s="1" t="e">
        <f>IF(VLOOKUP(N481,'Incoming Material Report'!H:N,7,FALSE)=0,"",VLOOKUP(N481,'Incoming Material Report'!H:N,7,FALSE))</f>
        <v>#N/A</v>
      </c>
      <c r="BH481" s="39">
        <f t="shared" si="119"/>
        <v>0</v>
      </c>
      <c r="BI481" s="1">
        <f t="shared" si="120"/>
        <v>0</v>
      </c>
      <c r="BJ481" s="1">
        <f t="shared" si="121"/>
        <v>0</v>
      </c>
      <c r="BK481" s="1">
        <f t="shared" si="122"/>
        <v>0</v>
      </c>
      <c r="BL481" s="1">
        <f t="shared" si="123"/>
        <v>0</v>
      </c>
      <c r="BM481" s="10" t="str">
        <f t="shared" si="124"/>
        <v/>
      </c>
      <c r="BN481" s="39">
        <f t="shared" si="125"/>
        <v>0</v>
      </c>
      <c r="BO481" s="39">
        <f t="shared" si="126"/>
        <v>0</v>
      </c>
      <c r="BP481" s="1">
        <f t="shared" si="127"/>
        <v>0</v>
      </c>
      <c r="BQ481" s="1">
        <f t="shared" si="128"/>
        <v>0</v>
      </c>
      <c r="BR481" s="1" t="str">
        <f t="shared" si="129"/>
        <v/>
      </c>
      <c r="BS481" s="1">
        <f t="shared" si="130"/>
        <v>0</v>
      </c>
      <c r="BT481" s="4">
        <f t="shared" si="131"/>
        <v>0</v>
      </c>
      <c r="BU481" s="39">
        <f t="shared" si="132"/>
        <v>0</v>
      </c>
      <c r="BV481" s="1">
        <f t="shared" si="133"/>
        <v>0</v>
      </c>
      <c r="BW481">
        <f t="shared" si="134"/>
        <v>0</v>
      </c>
      <c r="BX481">
        <f t="shared" si="135"/>
        <v>0</v>
      </c>
    </row>
    <row r="482" spans="58:76" x14ac:dyDescent="0.25">
      <c r="BF482" s="1" t="e">
        <f>VLOOKUP(N482,'Incoming Material Report'!H:M,6,FALSE)</f>
        <v>#N/A</v>
      </c>
      <c r="BG482" s="1" t="e">
        <f>IF(VLOOKUP(N482,'Incoming Material Report'!H:N,7,FALSE)=0,"",VLOOKUP(N482,'Incoming Material Report'!H:N,7,FALSE))</f>
        <v>#N/A</v>
      </c>
      <c r="BH482" s="39">
        <f t="shared" si="119"/>
        <v>0</v>
      </c>
      <c r="BI482" s="1">
        <f t="shared" si="120"/>
        <v>0</v>
      </c>
      <c r="BJ482" s="1">
        <f t="shared" si="121"/>
        <v>0</v>
      </c>
      <c r="BK482" s="1">
        <f t="shared" si="122"/>
        <v>0</v>
      </c>
      <c r="BL482" s="1">
        <f t="shared" si="123"/>
        <v>0</v>
      </c>
      <c r="BM482" s="10" t="str">
        <f t="shared" si="124"/>
        <v/>
      </c>
      <c r="BN482" s="39">
        <f t="shared" si="125"/>
        <v>0</v>
      </c>
      <c r="BO482" s="39">
        <f t="shared" si="126"/>
        <v>0</v>
      </c>
      <c r="BP482" s="1">
        <f t="shared" si="127"/>
        <v>0</v>
      </c>
      <c r="BQ482" s="1">
        <f t="shared" si="128"/>
        <v>0</v>
      </c>
      <c r="BR482" s="1" t="str">
        <f t="shared" si="129"/>
        <v/>
      </c>
      <c r="BS482" s="1">
        <f t="shared" si="130"/>
        <v>0</v>
      </c>
      <c r="BT482" s="4">
        <f t="shared" si="131"/>
        <v>0</v>
      </c>
      <c r="BU482" s="39">
        <f t="shared" si="132"/>
        <v>0</v>
      </c>
      <c r="BV482" s="1">
        <f t="shared" si="133"/>
        <v>0</v>
      </c>
      <c r="BW482">
        <f t="shared" si="134"/>
        <v>0</v>
      </c>
      <c r="BX482">
        <f t="shared" si="135"/>
        <v>0</v>
      </c>
    </row>
    <row r="483" spans="58:76" x14ac:dyDescent="0.25">
      <c r="BF483" s="1" t="e">
        <f>VLOOKUP(N483,'Incoming Material Report'!H:M,6,FALSE)</f>
        <v>#N/A</v>
      </c>
      <c r="BG483" s="1" t="e">
        <f>IF(VLOOKUP(N483,'Incoming Material Report'!H:N,7,FALSE)=0,"",VLOOKUP(N483,'Incoming Material Report'!H:N,7,FALSE))</f>
        <v>#N/A</v>
      </c>
      <c r="BH483" s="39">
        <f t="shared" si="119"/>
        <v>0</v>
      </c>
      <c r="BI483" s="1">
        <f t="shared" si="120"/>
        <v>0</v>
      </c>
      <c r="BJ483" s="1">
        <f t="shared" si="121"/>
        <v>0</v>
      </c>
      <c r="BK483" s="1">
        <f t="shared" si="122"/>
        <v>0</v>
      </c>
      <c r="BL483" s="1">
        <f t="shared" si="123"/>
        <v>0</v>
      </c>
      <c r="BM483" s="10" t="str">
        <f t="shared" si="124"/>
        <v/>
      </c>
      <c r="BN483" s="39">
        <f t="shared" si="125"/>
        <v>0</v>
      </c>
      <c r="BO483" s="39">
        <f t="shared" si="126"/>
        <v>0</v>
      </c>
      <c r="BP483" s="1">
        <f t="shared" si="127"/>
        <v>0</v>
      </c>
      <c r="BQ483" s="1">
        <f t="shared" si="128"/>
        <v>0</v>
      </c>
      <c r="BR483" s="1" t="str">
        <f t="shared" si="129"/>
        <v/>
      </c>
      <c r="BS483" s="1">
        <f t="shared" si="130"/>
        <v>0</v>
      </c>
      <c r="BT483" s="4">
        <f t="shared" si="131"/>
        <v>0</v>
      </c>
      <c r="BU483" s="39">
        <f t="shared" si="132"/>
        <v>0</v>
      </c>
      <c r="BV483" s="1">
        <f t="shared" si="133"/>
        <v>0</v>
      </c>
      <c r="BW483">
        <f t="shared" si="134"/>
        <v>0</v>
      </c>
      <c r="BX483">
        <f t="shared" si="135"/>
        <v>0</v>
      </c>
    </row>
    <row r="484" spans="58:76" x14ac:dyDescent="0.25">
      <c r="BF484" s="1" t="e">
        <f>VLOOKUP(N484,'Incoming Material Report'!H:M,6,FALSE)</f>
        <v>#N/A</v>
      </c>
      <c r="BG484" s="1" t="e">
        <f>IF(VLOOKUP(N484,'Incoming Material Report'!H:N,7,FALSE)=0,"",VLOOKUP(N484,'Incoming Material Report'!H:N,7,FALSE))</f>
        <v>#N/A</v>
      </c>
      <c r="BH484" s="39">
        <f t="shared" si="119"/>
        <v>0</v>
      </c>
      <c r="BI484" s="1">
        <f t="shared" si="120"/>
        <v>0</v>
      </c>
      <c r="BJ484" s="1">
        <f t="shared" si="121"/>
        <v>0</v>
      </c>
      <c r="BK484" s="1">
        <f t="shared" si="122"/>
        <v>0</v>
      </c>
      <c r="BL484" s="1">
        <f t="shared" si="123"/>
        <v>0</v>
      </c>
      <c r="BM484" s="10" t="str">
        <f t="shared" si="124"/>
        <v/>
      </c>
      <c r="BN484" s="39">
        <f t="shared" si="125"/>
        <v>0</v>
      </c>
      <c r="BO484" s="39">
        <f t="shared" si="126"/>
        <v>0</v>
      </c>
      <c r="BP484" s="1">
        <f t="shared" si="127"/>
        <v>0</v>
      </c>
      <c r="BQ484" s="1">
        <f t="shared" si="128"/>
        <v>0</v>
      </c>
      <c r="BR484" s="1" t="str">
        <f t="shared" si="129"/>
        <v/>
      </c>
      <c r="BS484" s="1">
        <f t="shared" si="130"/>
        <v>0</v>
      </c>
      <c r="BT484" s="4">
        <f t="shared" si="131"/>
        <v>0</v>
      </c>
      <c r="BU484" s="39">
        <f t="shared" si="132"/>
        <v>0</v>
      </c>
      <c r="BV484" s="1">
        <f t="shared" si="133"/>
        <v>0</v>
      </c>
      <c r="BW484">
        <f t="shared" si="134"/>
        <v>0</v>
      </c>
      <c r="BX484">
        <f t="shared" si="135"/>
        <v>0</v>
      </c>
    </row>
    <row r="485" spans="58:76" x14ac:dyDescent="0.25">
      <c r="BF485" s="1" t="e">
        <f>VLOOKUP(N485,'Incoming Material Report'!H:M,6,FALSE)</f>
        <v>#N/A</v>
      </c>
      <c r="BG485" s="1" t="e">
        <f>IF(VLOOKUP(N485,'Incoming Material Report'!H:N,7,FALSE)=0,"",VLOOKUP(N485,'Incoming Material Report'!H:N,7,FALSE))</f>
        <v>#N/A</v>
      </c>
      <c r="BH485" s="39">
        <f t="shared" si="119"/>
        <v>0</v>
      </c>
      <c r="BI485" s="1">
        <f t="shared" si="120"/>
        <v>0</v>
      </c>
      <c r="BJ485" s="1">
        <f t="shared" si="121"/>
        <v>0</v>
      </c>
      <c r="BK485" s="1">
        <f t="shared" si="122"/>
        <v>0</v>
      </c>
      <c r="BL485" s="1">
        <f t="shared" si="123"/>
        <v>0</v>
      </c>
      <c r="BM485" s="10" t="str">
        <f t="shared" si="124"/>
        <v/>
      </c>
      <c r="BN485" s="39">
        <f t="shared" si="125"/>
        <v>0</v>
      </c>
      <c r="BO485" s="39">
        <f t="shared" si="126"/>
        <v>0</v>
      </c>
      <c r="BP485" s="1">
        <f t="shared" si="127"/>
        <v>0</v>
      </c>
      <c r="BQ485" s="1">
        <f t="shared" si="128"/>
        <v>0</v>
      </c>
      <c r="BR485" s="1" t="str">
        <f t="shared" si="129"/>
        <v/>
      </c>
      <c r="BS485" s="1">
        <f t="shared" si="130"/>
        <v>0</v>
      </c>
      <c r="BT485" s="4">
        <f t="shared" si="131"/>
        <v>0</v>
      </c>
      <c r="BU485" s="39">
        <f t="shared" si="132"/>
        <v>0</v>
      </c>
      <c r="BV485" s="1">
        <f t="shared" si="133"/>
        <v>0</v>
      </c>
      <c r="BW485">
        <f t="shared" si="134"/>
        <v>0</v>
      </c>
      <c r="BX485">
        <f t="shared" si="135"/>
        <v>0</v>
      </c>
    </row>
    <row r="486" spans="58:76" x14ac:dyDescent="0.25">
      <c r="BF486" s="1" t="e">
        <f>VLOOKUP(N486,'Incoming Material Report'!H:M,6,FALSE)</f>
        <v>#N/A</v>
      </c>
      <c r="BG486" s="1" t="e">
        <f>IF(VLOOKUP(N486,'Incoming Material Report'!H:N,7,FALSE)=0,"",VLOOKUP(N486,'Incoming Material Report'!H:N,7,FALSE))</f>
        <v>#N/A</v>
      </c>
      <c r="BH486" s="39">
        <f t="shared" si="119"/>
        <v>0</v>
      </c>
      <c r="BI486" s="1">
        <f t="shared" si="120"/>
        <v>0</v>
      </c>
      <c r="BJ486" s="1">
        <f t="shared" si="121"/>
        <v>0</v>
      </c>
      <c r="BK486" s="1">
        <f t="shared" si="122"/>
        <v>0</v>
      </c>
      <c r="BL486" s="1">
        <f t="shared" si="123"/>
        <v>0</v>
      </c>
      <c r="BM486" s="10" t="str">
        <f t="shared" si="124"/>
        <v/>
      </c>
      <c r="BN486" s="39">
        <f t="shared" si="125"/>
        <v>0</v>
      </c>
      <c r="BO486" s="39">
        <f t="shared" si="126"/>
        <v>0</v>
      </c>
      <c r="BP486" s="1">
        <f t="shared" si="127"/>
        <v>0</v>
      </c>
      <c r="BQ486" s="1">
        <f t="shared" si="128"/>
        <v>0</v>
      </c>
      <c r="BR486" s="1" t="str">
        <f t="shared" si="129"/>
        <v/>
      </c>
      <c r="BS486" s="1">
        <f t="shared" si="130"/>
        <v>0</v>
      </c>
      <c r="BT486" s="4">
        <f t="shared" si="131"/>
        <v>0</v>
      </c>
      <c r="BU486" s="39">
        <f t="shared" si="132"/>
        <v>0</v>
      </c>
      <c r="BV486" s="1">
        <f t="shared" si="133"/>
        <v>0</v>
      </c>
      <c r="BW486">
        <f t="shared" si="134"/>
        <v>0</v>
      </c>
      <c r="BX486">
        <f t="shared" si="135"/>
        <v>0</v>
      </c>
    </row>
    <row r="487" spans="58:76" x14ac:dyDescent="0.25">
      <c r="BF487" s="1" t="e">
        <f>VLOOKUP(N487,'Incoming Material Report'!H:M,6,FALSE)</f>
        <v>#N/A</v>
      </c>
      <c r="BG487" s="1" t="e">
        <f>IF(VLOOKUP(N487,'Incoming Material Report'!H:N,7,FALSE)=0,"",VLOOKUP(N487,'Incoming Material Report'!H:N,7,FALSE))</f>
        <v>#N/A</v>
      </c>
      <c r="BH487" s="39">
        <f t="shared" si="119"/>
        <v>0</v>
      </c>
      <c r="BI487" s="1">
        <f t="shared" si="120"/>
        <v>0</v>
      </c>
      <c r="BJ487" s="1">
        <f t="shared" si="121"/>
        <v>0</v>
      </c>
      <c r="BK487" s="1">
        <f t="shared" si="122"/>
        <v>0</v>
      </c>
      <c r="BL487" s="1">
        <f t="shared" si="123"/>
        <v>0</v>
      </c>
      <c r="BM487" s="10" t="str">
        <f t="shared" si="124"/>
        <v/>
      </c>
      <c r="BN487" s="39">
        <f t="shared" si="125"/>
        <v>0</v>
      </c>
      <c r="BO487" s="39">
        <f t="shared" si="126"/>
        <v>0</v>
      </c>
      <c r="BP487" s="1">
        <f t="shared" si="127"/>
        <v>0</v>
      </c>
      <c r="BQ487" s="1">
        <f t="shared" si="128"/>
        <v>0</v>
      </c>
      <c r="BR487" s="1" t="str">
        <f t="shared" si="129"/>
        <v/>
      </c>
      <c r="BS487" s="1">
        <f t="shared" si="130"/>
        <v>0</v>
      </c>
      <c r="BT487" s="4">
        <f t="shared" si="131"/>
        <v>0</v>
      </c>
      <c r="BU487" s="39">
        <f t="shared" si="132"/>
        <v>0</v>
      </c>
      <c r="BV487" s="1">
        <f t="shared" si="133"/>
        <v>0</v>
      </c>
      <c r="BW487">
        <f t="shared" si="134"/>
        <v>0</v>
      </c>
      <c r="BX487">
        <f t="shared" si="135"/>
        <v>0</v>
      </c>
    </row>
    <row r="488" spans="58:76" x14ac:dyDescent="0.25">
      <c r="BF488" s="1" t="e">
        <f>VLOOKUP(N488,'Incoming Material Report'!H:M,6,FALSE)</f>
        <v>#N/A</v>
      </c>
      <c r="BG488" s="1" t="e">
        <f>IF(VLOOKUP(N488,'Incoming Material Report'!H:N,7,FALSE)=0,"",VLOOKUP(N488,'Incoming Material Report'!H:N,7,FALSE))</f>
        <v>#N/A</v>
      </c>
      <c r="BH488" s="39">
        <f t="shared" si="119"/>
        <v>0</v>
      </c>
      <c r="BI488" s="1">
        <f t="shared" si="120"/>
        <v>0</v>
      </c>
      <c r="BJ488" s="1">
        <f t="shared" si="121"/>
        <v>0</v>
      </c>
      <c r="BK488" s="1">
        <f t="shared" si="122"/>
        <v>0</v>
      </c>
      <c r="BL488" s="1">
        <f t="shared" si="123"/>
        <v>0</v>
      </c>
      <c r="BM488" s="10" t="str">
        <f t="shared" si="124"/>
        <v/>
      </c>
      <c r="BN488" s="39">
        <f t="shared" si="125"/>
        <v>0</v>
      </c>
      <c r="BO488" s="39">
        <f t="shared" si="126"/>
        <v>0</v>
      </c>
      <c r="BP488" s="1">
        <f t="shared" si="127"/>
        <v>0</v>
      </c>
      <c r="BQ488" s="1">
        <f t="shared" si="128"/>
        <v>0</v>
      </c>
      <c r="BR488" s="1" t="str">
        <f t="shared" si="129"/>
        <v/>
      </c>
      <c r="BS488" s="1">
        <f t="shared" si="130"/>
        <v>0</v>
      </c>
      <c r="BT488" s="4">
        <f t="shared" si="131"/>
        <v>0</v>
      </c>
      <c r="BU488" s="39">
        <f t="shared" si="132"/>
        <v>0</v>
      </c>
      <c r="BV488" s="1">
        <f t="shared" si="133"/>
        <v>0</v>
      </c>
      <c r="BW488">
        <f t="shared" si="134"/>
        <v>0</v>
      </c>
      <c r="BX488">
        <f t="shared" si="135"/>
        <v>0</v>
      </c>
    </row>
    <row r="489" spans="58:76" x14ac:dyDescent="0.25">
      <c r="BF489" s="1" t="e">
        <f>VLOOKUP(N489,'Incoming Material Report'!H:M,6,FALSE)</f>
        <v>#N/A</v>
      </c>
      <c r="BG489" s="1" t="e">
        <f>IF(VLOOKUP(N489,'Incoming Material Report'!H:N,7,FALSE)=0,"",VLOOKUP(N489,'Incoming Material Report'!H:N,7,FALSE))</f>
        <v>#N/A</v>
      </c>
      <c r="BH489" s="39">
        <f t="shared" si="119"/>
        <v>0</v>
      </c>
      <c r="BI489" s="1">
        <f t="shared" si="120"/>
        <v>0</v>
      </c>
      <c r="BJ489" s="1">
        <f t="shared" si="121"/>
        <v>0</v>
      </c>
      <c r="BK489" s="1">
        <f t="shared" si="122"/>
        <v>0</v>
      </c>
      <c r="BL489" s="1">
        <f t="shared" si="123"/>
        <v>0</v>
      </c>
      <c r="BM489" s="10" t="str">
        <f t="shared" si="124"/>
        <v/>
      </c>
      <c r="BN489" s="39">
        <f t="shared" si="125"/>
        <v>0</v>
      </c>
      <c r="BO489" s="39">
        <f t="shared" si="126"/>
        <v>0</v>
      </c>
      <c r="BP489" s="1">
        <f t="shared" si="127"/>
        <v>0</v>
      </c>
      <c r="BQ489" s="1">
        <f t="shared" si="128"/>
        <v>0</v>
      </c>
      <c r="BR489" s="1" t="str">
        <f t="shared" si="129"/>
        <v/>
      </c>
      <c r="BS489" s="1">
        <f t="shared" si="130"/>
        <v>0</v>
      </c>
      <c r="BT489" s="4">
        <f t="shared" si="131"/>
        <v>0</v>
      </c>
      <c r="BU489" s="39">
        <f t="shared" si="132"/>
        <v>0</v>
      </c>
      <c r="BV489" s="1">
        <f t="shared" si="133"/>
        <v>0</v>
      </c>
      <c r="BW489">
        <f t="shared" si="134"/>
        <v>0</v>
      </c>
      <c r="BX489">
        <f t="shared" si="135"/>
        <v>0</v>
      </c>
    </row>
    <row r="490" spans="58:76" x14ac:dyDescent="0.25">
      <c r="BF490" s="1" t="e">
        <f>VLOOKUP(N490,'Incoming Material Report'!H:M,6,FALSE)</f>
        <v>#N/A</v>
      </c>
      <c r="BG490" s="1" t="e">
        <f>IF(VLOOKUP(N490,'Incoming Material Report'!H:N,7,FALSE)=0,"",VLOOKUP(N490,'Incoming Material Report'!H:N,7,FALSE))</f>
        <v>#N/A</v>
      </c>
      <c r="BH490" s="39">
        <f t="shared" si="119"/>
        <v>0</v>
      </c>
      <c r="BI490" s="1">
        <f t="shared" si="120"/>
        <v>0</v>
      </c>
      <c r="BJ490" s="1">
        <f t="shared" si="121"/>
        <v>0</v>
      </c>
      <c r="BK490" s="1">
        <f t="shared" si="122"/>
        <v>0</v>
      </c>
      <c r="BL490" s="1">
        <f t="shared" si="123"/>
        <v>0</v>
      </c>
      <c r="BM490" s="10" t="str">
        <f t="shared" si="124"/>
        <v/>
      </c>
      <c r="BN490" s="39">
        <f t="shared" si="125"/>
        <v>0</v>
      </c>
      <c r="BO490" s="39">
        <f t="shared" si="126"/>
        <v>0</v>
      </c>
      <c r="BP490" s="1">
        <f t="shared" si="127"/>
        <v>0</v>
      </c>
      <c r="BQ490" s="1">
        <f t="shared" si="128"/>
        <v>0</v>
      </c>
      <c r="BR490" s="1" t="str">
        <f t="shared" si="129"/>
        <v/>
      </c>
      <c r="BS490" s="1">
        <f t="shared" si="130"/>
        <v>0</v>
      </c>
      <c r="BT490" s="4">
        <f t="shared" si="131"/>
        <v>0</v>
      </c>
      <c r="BU490" s="39">
        <f t="shared" si="132"/>
        <v>0</v>
      </c>
      <c r="BV490" s="1">
        <f t="shared" si="133"/>
        <v>0</v>
      </c>
      <c r="BW490">
        <f t="shared" si="134"/>
        <v>0</v>
      </c>
      <c r="BX490">
        <f t="shared" si="135"/>
        <v>0</v>
      </c>
    </row>
    <row r="491" spans="58:76" x14ac:dyDescent="0.25">
      <c r="BF491" s="1" t="e">
        <f>VLOOKUP(N491,'Incoming Material Report'!H:M,6,FALSE)</f>
        <v>#N/A</v>
      </c>
      <c r="BG491" s="1" t="e">
        <f>IF(VLOOKUP(N491,'Incoming Material Report'!H:N,7,FALSE)=0,"",VLOOKUP(N491,'Incoming Material Report'!H:N,7,FALSE))</f>
        <v>#N/A</v>
      </c>
      <c r="BH491" s="39">
        <f t="shared" si="119"/>
        <v>0</v>
      </c>
      <c r="BI491" s="1">
        <f t="shared" si="120"/>
        <v>0</v>
      </c>
      <c r="BJ491" s="1">
        <f t="shared" si="121"/>
        <v>0</v>
      </c>
      <c r="BK491" s="1">
        <f t="shared" si="122"/>
        <v>0</v>
      </c>
      <c r="BL491" s="1">
        <f t="shared" si="123"/>
        <v>0</v>
      </c>
      <c r="BM491" s="10" t="str">
        <f t="shared" si="124"/>
        <v/>
      </c>
      <c r="BN491" s="39">
        <f t="shared" si="125"/>
        <v>0</v>
      </c>
      <c r="BO491" s="39">
        <f t="shared" si="126"/>
        <v>0</v>
      </c>
      <c r="BP491" s="1">
        <f t="shared" si="127"/>
        <v>0</v>
      </c>
      <c r="BQ491" s="1">
        <f t="shared" si="128"/>
        <v>0</v>
      </c>
      <c r="BR491" s="1" t="str">
        <f t="shared" si="129"/>
        <v/>
      </c>
      <c r="BS491" s="1">
        <f t="shared" si="130"/>
        <v>0</v>
      </c>
      <c r="BT491" s="4">
        <f t="shared" si="131"/>
        <v>0</v>
      </c>
      <c r="BU491" s="39">
        <f t="shared" si="132"/>
        <v>0</v>
      </c>
      <c r="BV491" s="1">
        <f t="shared" si="133"/>
        <v>0</v>
      </c>
      <c r="BW491">
        <f t="shared" si="134"/>
        <v>0</v>
      </c>
      <c r="BX491">
        <f t="shared" si="135"/>
        <v>0</v>
      </c>
    </row>
    <row r="492" spans="58:76" x14ac:dyDescent="0.25">
      <c r="BF492" s="1" t="e">
        <f>VLOOKUP(N492,'Incoming Material Report'!H:M,6,FALSE)</f>
        <v>#N/A</v>
      </c>
      <c r="BG492" s="1" t="e">
        <f>IF(VLOOKUP(N492,'Incoming Material Report'!H:N,7,FALSE)=0,"",VLOOKUP(N492,'Incoming Material Report'!H:N,7,FALSE))</f>
        <v>#N/A</v>
      </c>
      <c r="BH492" s="39">
        <f t="shared" si="119"/>
        <v>0</v>
      </c>
      <c r="BI492" s="1">
        <f t="shared" si="120"/>
        <v>0</v>
      </c>
      <c r="BJ492" s="1">
        <f t="shared" si="121"/>
        <v>0</v>
      </c>
      <c r="BK492" s="1">
        <f t="shared" si="122"/>
        <v>0</v>
      </c>
      <c r="BL492" s="1">
        <f t="shared" si="123"/>
        <v>0</v>
      </c>
      <c r="BM492" s="10" t="str">
        <f t="shared" si="124"/>
        <v/>
      </c>
      <c r="BN492" s="39">
        <f t="shared" si="125"/>
        <v>0</v>
      </c>
      <c r="BO492" s="39">
        <f t="shared" si="126"/>
        <v>0</v>
      </c>
      <c r="BP492" s="1">
        <f t="shared" si="127"/>
        <v>0</v>
      </c>
      <c r="BQ492" s="1">
        <f t="shared" si="128"/>
        <v>0</v>
      </c>
      <c r="BR492" s="1" t="str">
        <f t="shared" si="129"/>
        <v/>
      </c>
      <c r="BS492" s="1">
        <f t="shared" si="130"/>
        <v>0</v>
      </c>
      <c r="BT492" s="4">
        <f t="shared" si="131"/>
        <v>0</v>
      </c>
      <c r="BU492" s="39">
        <f t="shared" si="132"/>
        <v>0</v>
      </c>
      <c r="BV492" s="1">
        <f t="shared" si="133"/>
        <v>0</v>
      </c>
      <c r="BW492">
        <f t="shared" si="134"/>
        <v>0</v>
      </c>
      <c r="BX492">
        <f t="shared" si="135"/>
        <v>0</v>
      </c>
    </row>
    <row r="493" spans="58:76" x14ac:dyDescent="0.25">
      <c r="BF493" s="1" t="e">
        <f>VLOOKUP(N493,'Incoming Material Report'!H:M,6,FALSE)</f>
        <v>#N/A</v>
      </c>
      <c r="BG493" s="1" t="e">
        <f>IF(VLOOKUP(N493,'Incoming Material Report'!H:N,7,FALSE)=0,"",VLOOKUP(N493,'Incoming Material Report'!H:N,7,FALSE))</f>
        <v>#N/A</v>
      </c>
      <c r="BH493" s="39">
        <f t="shared" si="119"/>
        <v>0</v>
      </c>
      <c r="BI493" s="1">
        <f t="shared" si="120"/>
        <v>0</v>
      </c>
      <c r="BJ493" s="1">
        <f t="shared" si="121"/>
        <v>0</v>
      </c>
      <c r="BK493" s="1">
        <f t="shared" si="122"/>
        <v>0</v>
      </c>
      <c r="BL493" s="1">
        <f t="shared" si="123"/>
        <v>0</v>
      </c>
      <c r="BM493" s="10" t="str">
        <f t="shared" si="124"/>
        <v/>
      </c>
      <c r="BN493" s="39">
        <f t="shared" si="125"/>
        <v>0</v>
      </c>
      <c r="BO493" s="39">
        <f t="shared" si="126"/>
        <v>0</v>
      </c>
      <c r="BP493" s="1">
        <f t="shared" si="127"/>
        <v>0</v>
      </c>
      <c r="BQ493" s="1">
        <f t="shared" si="128"/>
        <v>0</v>
      </c>
      <c r="BR493" s="1" t="str">
        <f t="shared" si="129"/>
        <v/>
      </c>
      <c r="BS493" s="1">
        <f t="shared" si="130"/>
        <v>0</v>
      </c>
      <c r="BT493" s="4">
        <f t="shared" si="131"/>
        <v>0</v>
      </c>
      <c r="BU493" s="39">
        <f t="shared" si="132"/>
        <v>0</v>
      </c>
      <c r="BV493" s="1">
        <f t="shared" si="133"/>
        <v>0</v>
      </c>
      <c r="BW493">
        <f t="shared" si="134"/>
        <v>0</v>
      </c>
      <c r="BX493">
        <f t="shared" si="135"/>
        <v>0</v>
      </c>
    </row>
    <row r="494" spans="58:76" x14ac:dyDescent="0.25">
      <c r="BF494" s="1" t="e">
        <f>VLOOKUP(N494,'Incoming Material Report'!H:M,6,FALSE)</f>
        <v>#N/A</v>
      </c>
      <c r="BG494" s="1" t="e">
        <f>IF(VLOOKUP(N494,'Incoming Material Report'!H:N,7,FALSE)=0,"",VLOOKUP(N494,'Incoming Material Report'!H:N,7,FALSE))</f>
        <v>#N/A</v>
      </c>
      <c r="BH494" s="39">
        <f t="shared" si="119"/>
        <v>0</v>
      </c>
      <c r="BI494" s="1">
        <f t="shared" si="120"/>
        <v>0</v>
      </c>
      <c r="BJ494" s="1">
        <f t="shared" si="121"/>
        <v>0</v>
      </c>
      <c r="BK494" s="1">
        <f t="shared" si="122"/>
        <v>0</v>
      </c>
      <c r="BL494" s="1">
        <f t="shared" si="123"/>
        <v>0</v>
      </c>
      <c r="BM494" s="10" t="str">
        <f t="shared" si="124"/>
        <v/>
      </c>
      <c r="BN494" s="39">
        <f t="shared" si="125"/>
        <v>0</v>
      </c>
      <c r="BO494" s="39">
        <f t="shared" si="126"/>
        <v>0</v>
      </c>
      <c r="BP494" s="1">
        <f t="shared" si="127"/>
        <v>0</v>
      </c>
      <c r="BQ494" s="1">
        <f t="shared" si="128"/>
        <v>0</v>
      </c>
      <c r="BR494" s="1" t="str">
        <f t="shared" si="129"/>
        <v/>
      </c>
      <c r="BS494" s="1">
        <f t="shared" si="130"/>
        <v>0</v>
      </c>
      <c r="BT494" s="4">
        <f t="shared" si="131"/>
        <v>0</v>
      </c>
      <c r="BU494" s="39">
        <f t="shared" si="132"/>
        <v>0</v>
      </c>
      <c r="BV494" s="1">
        <f t="shared" si="133"/>
        <v>0</v>
      </c>
      <c r="BW494">
        <f t="shared" si="134"/>
        <v>0</v>
      </c>
      <c r="BX494">
        <f t="shared" si="135"/>
        <v>0</v>
      </c>
    </row>
    <row r="495" spans="58:76" x14ac:dyDescent="0.25">
      <c r="BF495" s="1" t="e">
        <f>VLOOKUP(N495,'Incoming Material Report'!H:M,6,FALSE)</f>
        <v>#N/A</v>
      </c>
      <c r="BG495" s="1" t="e">
        <f>IF(VLOOKUP(N495,'Incoming Material Report'!H:N,7,FALSE)=0,"",VLOOKUP(N495,'Incoming Material Report'!H:N,7,FALSE))</f>
        <v>#N/A</v>
      </c>
      <c r="BH495" s="39">
        <f t="shared" si="119"/>
        <v>0</v>
      </c>
      <c r="BI495" s="1">
        <f t="shared" si="120"/>
        <v>0</v>
      </c>
      <c r="BJ495" s="1">
        <f t="shared" si="121"/>
        <v>0</v>
      </c>
      <c r="BK495" s="1">
        <f t="shared" si="122"/>
        <v>0</v>
      </c>
      <c r="BL495" s="1">
        <f t="shared" si="123"/>
        <v>0</v>
      </c>
      <c r="BM495" s="10" t="str">
        <f t="shared" si="124"/>
        <v/>
      </c>
      <c r="BN495" s="39">
        <f t="shared" si="125"/>
        <v>0</v>
      </c>
      <c r="BO495" s="39">
        <f t="shared" si="126"/>
        <v>0</v>
      </c>
      <c r="BP495" s="1">
        <f t="shared" si="127"/>
        <v>0</v>
      </c>
      <c r="BQ495" s="1">
        <f t="shared" si="128"/>
        <v>0</v>
      </c>
      <c r="BR495" s="1" t="str">
        <f t="shared" si="129"/>
        <v/>
      </c>
      <c r="BS495" s="1">
        <f t="shared" si="130"/>
        <v>0</v>
      </c>
      <c r="BT495" s="4">
        <f t="shared" si="131"/>
        <v>0</v>
      </c>
      <c r="BU495" s="39">
        <f t="shared" si="132"/>
        <v>0</v>
      </c>
      <c r="BV495" s="1">
        <f t="shared" si="133"/>
        <v>0</v>
      </c>
      <c r="BW495">
        <f t="shared" si="134"/>
        <v>0</v>
      </c>
      <c r="BX495">
        <f t="shared" si="135"/>
        <v>0</v>
      </c>
    </row>
    <row r="496" spans="58:76" x14ac:dyDescent="0.25">
      <c r="BF496" s="1" t="e">
        <f>VLOOKUP(N496,'Incoming Material Report'!H:M,6,FALSE)</f>
        <v>#N/A</v>
      </c>
      <c r="BG496" s="1" t="e">
        <f>IF(VLOOKUP(N496,'Incoming Material Report'!H:N,7,FALSE)=0,"",VLOOKUP(N496,'Incoming Material Report'!H:N,7,FALSE))</f>
        <v>#N/A</v>
      </c>
      <c r="BH496" s="39">
        <f t="shared" si="119"/>
        <v>0</v>
      </c>
      <c r="BI496" s="1">
        <f t="shared" si="120"/>
        <v>0</v>
      </c>
      <c r="BJ496" s="1">
        <f t="shared" si="121"/>
        <v>0</v>
      </c>
      <c r="BK496" s="1">
        <f t="shared" si="122"/>
        <v>0</v>
      </c>
      <c r="BL496" s="1">
        <f t="shared" si="123"/>
        <v>0</v>
      </c>
      <c r="BM496" s="10" t="str">
        <f t="shared" si="124"/>
        <v/>
      </c>
      <c r="BN496" s="39">
        <f t="shared" si="125"/>
        <v>0</v>
      </c>
      <c r="BO496" s="39">
        <f t="shared" si="126"/>
        <v>0</v>
      </c>
      <c r="BP496" s="1">
        <f t="shared" si="127"/>
        <v>0</v>
      </c>
      <c r="BQ496" s="1">
        <f t="shared" si="128"/>
        <v>0</v>
      </c>
      <c r="BR496" s="1" t="str">
        <f t="shared" si="129"/>
        <v/>
      </c>
      <c r="BS496" s="1">
        <f t="shared" si="130"/>
        <v>0</v>
      </c>
      <c r="BT496" s="4">
        <f t="shared" si="131"/>
        <v>0</v>
      </c>
      <c r="BU496" s="39">
        <f t="shared" si="132"/>
        <v>0</v>
      </c>
      <c r="BV496" s="1">
        <f t="shared" si="133"/>
        <v>0</v>
      </c>
      <c r="BW496">
        <f t="shared" si="134"/>
        <v>0</v>
      </c>
      <c r="BX496">
        <f t="shared" si="135"/>
        <v>0</v>
      </c>
    </row>
    <row r="497" spans="58:76" x14ac:dyDescent="0.25">
      <c r="BF497" s="1" t="e">
        <f>VLOOKUP(N497,'Incoming Material Report'!H:M,6,FALSE)</f>
        <v>#N/A</v>
      </c>
      <c r="BG497" s="1" t="e">
        <f>IF(VLOOKUP(N497,'Incoming Material Report'!H:N,7,FALSE)=0,"",VLOOKUP(N497,'Incoming Material Report'!H:N,7,FALSE))</f>
        <v>#N/A</v>
      </c>
      <c r="BH497" s="39">
        <f t="shared" si="119"/>
        <v>0</v>
      </c>
      <c r="BI497" s="1">
        <f t="shared" si="120"/>
        <v>0</v>
      </c>
      <c r="BJ497" s="1">
        <f t="shared" si="121"/>
        <v>0</v>
      </c>
      <c r="BK497" s="1">
        <f t="shared" si="122"/>
        <v>0</v>
      </c>
      <c r="BL497" s="1">
        <f t="shared" si="123"/>
        <v>0</v>
      </c>
      <c r="BM497" s="10" t="str">
        <f t="shared" si="124"/>
        <v/>
      </c>
      <c r="BN497" s="39">
        <f t="shared" si="125"/>
        <v>0</v>
      </c>
      <c r="BO497" s="39">
        <f t="shared" si="126"/>
        <v>0</v>
      </c>
      <c r="BP497" s="1">
        <f t="shared" si="127"/>
        <v>0</v>
      </c>
      <c r="BQ497" s="1">
        <f t="shared" si="128"/>
        <v>0</v>
      </c>
      <c r="BR497" s="1" t="str">
        <f t="shared" si="129"/>
        <v/>
      </c>
      <c r="BS497" s="1">
        <f t="shared" si="130"/>
        <v>0</v>
      </c>
      <c r="BT497" s="4">
        <f t="shared" si="131"/>
        <v>0</v>
      </c>
      <c r="BU497" s="39">
        <f t="shared" si="132"/>
        <v>0</v>
      </c>
      <c r="BV497" s="1">
        <f t="shared" si="133"/>
        <v>0</v>
      </c>
      <c r="BW497">
        <f t="shared" si="134"/>
        <v>0</v>
      </c>
      <c r="BX497">
        <f t="shared" si="135"/>
        <v>0</v>
      </c>
    </row>
    <row r="498" spans="58:76" x14ac:dyDescent="0.25">
      <c r="BF498" s="1" t="e">
        <f>VLOOKUP(N498,'Incoming Material Report'!H:M,6,FALSE)</f>
        <v>#N/A</v>
      </c>
      <c r="BG498" s="1" t="e">
        <f>IF(VLOOKUP(N498,'Incoming Material Report'!H:N,7,FALSE)=0,"",VLOOKUP(N498,'Incoming Material Report'!H:N,7,FALSE))</f>
        <v>#N/A</v>
      </c>
      <c r="BH498" s="39">
        <f t="shared" si="119"/>
        <v>0</v>
      </c>
      <c r="BI498" s="1">
        <f t="shared" si="120"/>
        <v>0</v>
      </c>
      <c r="BJ498" s="1">
        <f t="shared" si="121"/>
        <v>0</v>
      </c>
      <c r="BK498" s="1">
        <f t="shared" si="122"/>
        <v>0</v>
      </c>
      <c r="BL498" s="1">
        <f t="shared" si="123"/>
        <v>0</v>
      </c>
      <c r="BM498" s="10" t="str">
        <f t="shared" si="124"/>
        <v/>
      </c>
      <c r="BN498" s="39">
        <f t="shared" si="125"/>
        <v>0</v>
      </c>
      <c r="BO498" s="39">
        <f t="shared" si="126"/>
        <v>0</v>
      </c>
      <c r="BP498" s="1">
        <f t="shared" si="127"/>
        <v>0</v>
      </c>
      <c r="BQ498" s="1">
        <f t="shared" si="128"/>
        <v>0</v>
      </c>
      <c r="BR498" s="1" t="str">
        <f t="shared" si="129"/>
        <v/>
      </c>
      <c r="BS498" s="1">
        <f t="shared" si="130"/>
        <v>0</v>
      </c>
      <c r="BT498" s="4">
        <f t="shared" si="131"/>
        <v>0</v>
      </c>
      <c r="BU498" s="39">
        <f t="shared" si="132"/>
        <v>0</v>
      </c>
      <c r="BV498" s="1">
        <f t="shared" si="133"/>
        <v>0</v>
      </c>
      <c r="BW498">
        <f t="shared" si="134"/>
        <v>0</v>
      </c>
      <c r="BX498">
        <f t="shared" si="135"/>
        <v>0</v>
      </c>
    </row>
    <row r="499" spans="58:76" x14ac:dyDescent="0.25">
      <c r="BF499" s="1" t="e">
        <f>VLOOKUP(N499,'Incoming Material Report'!H:M,6,FALSE)</f>
        <v>#N/A</v>
      </c>
      <c r="BG499" s="1" t="e">
        <f>IF(VLOOKUP(N499,'Incoming Material Report'!H:N,7,FALSE)=0,"",VLOOKUP(N499,'Incoming Material Report'!H:N,7,FALSE))</f>
        <v>#N/A</v>
      </c>
      <c r="BH499" s="39">
        <f t="shared" si="119"/>
        <v>0</v>
      </c>
      <c r="BI499" s="1">
        <f t="shared" si="120"/>
        <v>0</v>
      </c>
      <c r="BJ499" s="1">
        <f t="shared" si="121"/>
        <v>0</v>
      </c>
      <c r="BK499" s="1">
        <f t="shared" si="122"/>
        <v>0</v>
      </c>
      <c r="BL499" s="1">
        <f t="shared" si="123"/>
        <v>0</v>
      </c>
      <c r="BM499" s="10" t="str">
        <f t="shared" si="124"/>
        <v/>
      </c>
      <c r="BN499" s="39">
        <f t="shared" si="125"/>
        <v>0</v>
      </c>
      <c r="BO499" s="39">
        <f t="shared" si="126"/>
        <v>0</v>
      </c>
      <c r="BP499" s="1">
        <f t="shared" si="127"/>
        <v>0</v>
      </c>
      <c r="BQ499" s="1">
        <f t="shared" si="128"/>
        <v>0</v>
      </c>
      <c r="BR499" s="1" t="str">
        <f t="shared" si="129"/>
        <v/>
      </c>
      <c r="BS499" s="1">
        <f t="shared" si="130"/>
        <v>0</v>
      </c>
      <c r="BT499" s="4">
        <f t="shared" si="131"/>
        <v>0</v>
      </c>
      <c r="BU499" s="39">
        <f t="shared" si="132"/>
        <v>0</v>
      </c>
      <c r="BV499" s="1">
        <f t="shared" si="133"/>
        <v>0</v>
      </c>
      <c r="BW499">
        <f t="shared" si="134"/>
        <v>0</v>
      </c>
      <c r="BX499">
        <f t="shared" si="135"/>
        <v>0</v>
      </c>
    </row>
    <row r="500" spans="58:76" x14ac:dyDescent="0.25">
      <c r="BF500" s="1" t="e">
        <f>VLOOKUP(N500,'Incoming Material Report'!H:M,6,FALSE)</f>
        <v>#N/A</v>
      </c>
      <c r="BG500" s="1" t="e">
        <f>IF(VLOOKUP(N500,'Incoming Material Report'!H:N,7,FALSE)=0,"",VLOOKUP(N500,'Incoming Material Report'!H:N,7,FALSE))</f>
        <v>#N/A</v>
      </c>
      <c r="BH500" s="39">
        <f t="shared" si="119"/>
        <v>0</v>
      </c>
      <c r="BI500" s="1">
        <f t="shared" si="120"/>
        <v>0</v>
      </c>
      <c r="BJ500" s="1">
        <f t="shared" si="121"/>
        <v>0</v>
      </c>
      <c r="BK500" s="1">
        <f t="shared" si="122"/>
        <v>0</v>
      </c>
      <c r="BL500" s="1">
        <f t="shared" si="123"/>
        <v>0</v>
      </c>
      <c r="BM500" s="10" t="str">
        <f t="shared" si="124"/>
        <v/>
      </c>
      <c r="BN500" s="39">
        <f t="shared" si="125"/>
        <v>0</v>
      </c>
      <c r="BO500" s="39">
        <f t="shared" si="126"/>
        <v>0</v>
      </c>
      <c r="BP500" s="1">
        <f t="shared" si="127"/>
        <v>0</v>
      </c>
      <c r="BQ500" s="1">
        <f t="shared" si="128"/>
        <v>0</v>
      </c>
      <c r="BR500" s="1" t="str">
        <f t="shared" si="129"/>
        <v/>
      </c>
      <c r="BS500" s="1">
        <f t="shared" si="130"/>
        <v>0</v>
      </c>
      <c r="BT500" s="4">
        <f t="shared" si="131"/>
        <v>0</v>
      </c>
      <c r="BU500" s="39">
        <f t="shared" si="132"/>
        <v>0</v>
      </c>
      <c r="BV500" s="1">
        <f t="shared" si="133"/>
        <v>0</v>
      </c>
      <c r="BW500">
        <f t="shared" si="134"/>
        <v>0</v>
      </c>
      <c r="BX500">
        <f t="shared" si="135"/>
        <v>0</v>
      </c>
    </row>
    <row r="501" spans="58:76" x14ac:dyDescent="0.25">
      <c r="BF501" s="1" t="e">
        <f>VLOOKUP(N501,'Incoming Material Report'!H:M,6,FALSE)</f>
        <v>#N/A</v>
      </c>
      <c r="BG501" s="1" t="e">
        <f>IF(VLOOKUP(N501,'Incoming Material Report'!H:N,7,FALSE)=0,"",VLOOKUP(N501,'Incoming Material Report'!H:N,7,FALSE))</f>
        <v>#N/A</v>
      </c>
      <c r="BH501" s="39">
        <f t="shared" si="119"/>
        <v>0</v>
      </c>
      <c r="BI501" s="1">
        <f t="shared" si="120"/>
        <v>0</v>
      </c>
      <c r="BJ501" s="1">
        <f t="shared" si="121"/>
        <v>0</v>
      </c>
      <c r="BK501" s="1">
        <f t="shared" si="122"/>
        <v>0</v>
      </c>
      <c r="BL501" s="1">
        <f t="shared" si="123"/>
        <v>0</v>
      </c>
      <c r="BM501" s="10" t="str">
        <f t="shared" si="124"/>
        <v/>
      </c>
      <c r="BN501" s="39">
        <f t="shared" si="125"/>
        <v>0</v>
      </c>
      <c r="BO501" s="39">
        <f t="shared" si="126"/>
        <v>0</v>
      </c>
      <c r="BP501" s="1">
        <f t="shared" si="127"/>
        <v>0</v>
      </c>
      <c r="BQ501" s="1">
        <f t="shared" si="128"/>
        <v>0</v>
      </c>
      <c r="BR501" s="1" t="str">
        <f t="shared" si="129"/>
        <v/>
      </c>
      <c r="BS501" s="1">
        <f t="shared" si="130"/>
        <v>0</v>
      </c>
      <c r="BT501" s="4">
        <f t="shared" si="131"/>
        <v>0</v>
      </c>
      <c r="BU501" s="39">
        <f t="shared" si="132"/>
        <v>0</v>
      </c>
      <c r="BV501" s="1">
        <f t="shared" si="133"/>
        <v>0</v>
      </c>
      <c r="BW501">
        <f t="shared" si="134"/>
        <v>0</v>
      </c>
      <c r="BX501">
        <f t="shared" si="135"/>
        <v>0</v>
      </c>
    </row>
    <row r="502" spans="58:76" x14ac:dyDescent="0.25">
      <c r="BF502" s="1" t="e">
        <f>VLOOKUP(N502,'Incoming Material Report'!H:M,6,FALSE)</f>
        <v>#N/A</v>
      </c>
      <c r="BG502" s="1" t="e">
        <f>IF(VLOOKUP(N502,'Incoming Material Report'!H:N,7,FALSE)=0,"",VLOOKUP(N502,'Incoming Material Report'!H:N,7,FALSE))</f>
        <v>#N/A</v>
      </c>
      <c r="BH502" s="39">
        <f t="shared" si="119"/>
        <v>0</v>
      </c>
      <c r="BI502" s="1">
        <f t="shared" si="120"/>
        <v>0</v>
      </c>
      <c r="BJ502" s="1">
        <f t="shared" si="121"/>
        <v>0</v>
      </c>
      <c r="BK502" s="1">
        <f t="shared" si="122"/>
        <v>0</v>
      </c>
      <c r="BL502" s="1">
        <f t="shared" si="123"/>
        <v>0</v>
      </c>
      <c r="BM502" s="10" t="str">
        <f t="shared" si="124"/>
        <v/>
      </c>
      <c r="BN502" s="39">
        <f t="shared" si="125"/>
        <v>0</v>
      </c>
      <c r="BO502" s="39">
        <f t="shared" si="126"/>
        <v>0</v>
      </c>
      <c r="BP502" s="1">
        <f t="shared" si="127"/>
        <v>0</v>
      </c>
      <c r="BQ502" s="1">
        <f t="shared" si="128"/>
        <v>0</v>
      </c>
      <c r="BR502" s="1" t="str">
        <f t="shared" si="129"/>
        <v/>
      </c>
      <c r="BS502" s="1">
        <f t="shared" si="130"/>
        <v>0</v>
      </c>
      <c r="BT502" s="4">
        <f t="shared" si="131"/>
        <v>0</v>
      </c>
      <c r="BU502" s="39">
        <f t="shared" si="132"/>
        <v>0</v>
      </c>
      <c r="BV502" s="1">
        <f t="shared" si="133"/>
        <v>0</v>
      </c>
      <c r="BW502">
        <f t="shared" si="134"/>
        <v>0</v>
      </c>
      <c r="BX502">
        <f t="shared" si="135"/>
        <v>0</v>
      </c>
    </row>
    <row r="503" spans="58:76" x14ac:dyDescent="0.25">
      <c r="BF503" s="1" t="e">
        <f>VLOOKUP(N503,'Incoming Material Report'!H:M,6,FALSE)</f>
        <v>#N/A</v>
      </c>
      <c r="BG503" s="1" t="e">
        <f>IF(VLOOKUP(N503,'Incoming Material Report'!H:N,7,FALSE)=0,"",VLOOKUP(N503,'Incoming Material Report'!H:N,7,FALSE))</f>
        <v>#N/A</v>
      </c>
      <c r="BH503" s="39">
        <f t="shared" si="119"/>
        <v>0</v>
      </c>
      <c r="BI503" s="1">
        <f t="shared" si="120"/>
        <v>0</v>
      </c>
      <c r="BJ503" s="1">
        <f t="shared" si="121"/>
        <v>0</v>
      </c>
      <c r="BK503" s="1">
        <f t="shared" si="122"/>
        <v>0</v>
      </c>
      <c r="BL503" s="1">
        <f t="shared" si="123"/>
        <v>0</v>
      </c>
      <c r="BM503" s="10" t="str">
        <f t="shared" si="124"/>
        <v/>
      </c>
      <c r="BN503" s="39">
        <f t="shared" si="125"/>
        <v>0</v>
      </c>
      <c r="BO503" s="39">
        <f t="shared" si="126"/>
        <v>0</v>
      </c>
      <c r="BP503" s="1">
        <f t="shared" si="127"/>
        <v>0</v>
      </c>
      <c r="BQ503" s="1">
        <f t="shared" si="128"/>
        <v>0</v>
      </c>
      <c r="BR503" s="1" t="str">
        <f t="shared" si="129"/>
        <v/>
      </c>
      <c r="BS503" s="1">
        <f t="shared" si="130"/>
        <v>0</v>
      </c>
      <c r="BT503" s="4">
        <f t="shared" si="131"/>
        <v>0</v>
      </c>
      <c r="BU503" s="39">
        <f t="shared" si="132"/>
        <v>0</v>
      </c>
      <c r="BV503" s="1">
        <f t="shared" si="133"/>
        <v>0</v>
      </c>
      <c r="BW503">
        <f t="shared" si="134"/>
        <v>0</v>
      </c>
      <c r="BX503">
        <f t="shared" si="135"/>
        <v>0</v>
      </c>
    </row>
    <row r="504" spans="58:76" x14ac:dyDescent="0.25">
      <c r="BF504" s="1" t="e">
        <f>VLOOKUP(N504,'Incoming Material Report'!H:M,6,FALSE)</f>
        <v>#N/A</v>
      </c>
      <c r="BG504" s="1" t="e">
        <f>IF(VLOOKUP(N504,'Incoming Material Report'!H:N,7,FALSE)=0,"",VLOOKUP(N504,'Incoming Material Report'!H:N,7,FALSE))</f>
        <v>#N/A</v>
      </c>
      <c r="BH504" s="39">
        <f t="shared" si="119"/>
        <v>0</v>
      </c>
      <c r="BI504" s="1">
        <f t="shared" si="120"/>
        <v>0</v>
      </c>
      <c r="BJ504" s="1">
        <f t="shared" si="121"/>
        <v>0</v>
      </c>
      <c r="BK504" s="1">
        <f t="shared" si="122"/>
        <v>0</v>
      </c>
      <c r="BL504" s="1">
        <f t="shared" si="123"/>
        <v>0</v>
      </c>
      <c r="BM504" s="10" t="str">
        <f t="shared" si="124"/>
        <v/>
      </c>
      <c r="BN504" s="39">
        <f t="shared" si="125"/>
        <v>0</v>
      </c>
      <c r="BO504" s="39">
        <f t="shared" si="126"/>
        <v>0</v>
      </c>
      <c r="BP504" s="1">
        <f t="shared" si="127"/>
        <v>0</v>
      </c>
      <c r="BQ504" s="1">
        <f t="shared" si="128"/>
        <v>0</v>
      </c>
      <c r="BR504" s="1" t="str">
        <f t="shared" si="129"/>
        <v/>
      </c>
      <c r="BS504" s="1">
        <f t="shared" si="130"/>
        <v>0</v>
      </c>
      <c r="BT504" s="4">
        <f t="shared" si="131"/>
        <v>0</v>
      </c>
      <c r="BU504" s="39">
        <f t="shared" si="132"/>
        <v>0</v>
      </c>
      <c r="BV504" s="1">
        <f t="shared" si="133"/>
        <v>0</v>
      </c>
      <c r="BW504">
        <f t="shared" si="134"/>
        <v>0</v>
      </c>
      <c r="BX504">
        <f t="shared" si="135"/>
        <v>0</v>
      </c>
    </row>
    <row r="505" spans="58:76" x14ac:dyDescent="0.25">
      <c r="BF505" s="1" t="e">
        <f>VLOOKUP(N505,'Incoming Material Report'!H:M,6,FALSE)</f>
        <v>#N/A</v>
      </c>
      <c r="BG505" s="1" t="e">
        <f>IF(VLOOKUP(N505,'Incoming Material Report'!H:N,7,FALSE)=0,"",VLOOKUP(N505,'Incoming Material Report'!H:N,7,FALSE))</f>
        <v>#N/A</v>
      </c>
      <c r="BH505" s="39">
        <f t="shared" si="119"/>
        <v>0</v>
      </c>
      <c r="BI505" s="1">
        <f t="shared" si="120"/>
        <v>0</v>
      </c>
      <c r="BJ505" s="1">
        <f t="shared" si="121"/>
        <v>0</v>
      </c>
      <c r="BK505" s="1">
        <f t="shared" si="122"/>
        <v>0</v>
      </c>
      <c r="BL505" s="1">
        <f t="shared" si="123"/>
        <v>0</v>
      </c>
      <c r="BM505" s="10" t="str">
        <f t="shared" si="124"/>
        <v/>
      </c>
      <c r="BN505" s="39">
        <f t="shared" si="125"/>
        <v>0</v>
      </c>
      <c r="BO505" s="39">
        <f t="shared" si="126"/>
        <v>0</v>
      </c>
      <c r="BP505" s="1">
        <f t="shared" si="127"/>
        <v>0</v>
      </c>
      <c r="BQ505" s="1">
        <f t="shared" si="128"/>
        <v>0</v>
      </c>
      <c r="BR505" s="1" t="str">
        <f t="shared" si="129"/>
        <v/>
      </c>
      <c r="BS505" s="1">
        <f t="shared" si="130"/>
        <v>0</v>
      </c>
      <c r="BT505" s="4">
        <f t="shared" si="131"/>
        <v>0</v>
      </c>
      <c r="BU505" s="39">
        <f t="shared" si="132"/>
        <v>0</v>
      </c>
      <c r="BV505" s="1">
        <f t="shared" si="133"/>
        <v>0</v>
      </c>
      <c r="BW505">
        <f t="shared" si="134"/>
        <v>0</v>
      </c>
      <c r="BX505">
        <f t="shared" si="135"/>
        <v>0</v>
      </c>
    </row>
    <row r="506" spans="58:76" x14ac:dyDescent="0.25">
      <c r="BF506" s="1" t="e">
        <f>VLOOKUP(N506,'Incoming Material Report'!H:M,6,FALSE)</f>
        <v>#N/A</v>
      </c>
      <c r="BG506" s="1" t="e">
        <f>IF(VLOOKUP(N506,'Incoming Material Report'!H:N,7,FALSE)=0,"",VLOOKUP(N506,'Incoming Material Report'!H:N,7,FALSE))</f>
        <v>#N/A</v>
      </c>
      <c r="BH506" s="39">
        <f t="shared" ref="BH506:BH569" si="136">VALUE(T506)</f>
        <v>0</v>
      </c>
      <c r="BI506" s="1">
        <f t="shared" ref="BI506:BI569" si="137">VALUE(U506)</f>
        <v>0</v>
      </c>
      <c r="BJ506" s="1">
        <f t="shared" ref="BJ506:BJ569" si="138">IFERROR(_xlfn.NUMBERVALUE(V506),V506)</f>
        <v>0</v>
      </c>
      <c r="BK506" s="1">
        <f t="shared" ref="BK506:BK569" si="139">IFERROR(INT(I506),I506)</f>
        <v>0</v>
      </c>
      <c r="BL506" s="1">
        <f t="shared" ref="BL506:BL569" si="140">L506</f>
        <v>0</v>
      </c>
      <c r="BM506" s="10" t="str">
        <f t="shared" ref="BM506:BM569" si="141">SUBSTITUTE(J506,"/",".")</f>
        <v/>
      </c>
      <c r="BN506" s="39">
        <f t="shared" ref="BN506:BN569" si="142">VALUE(Q506)*1000</f>
        <v>0</v>
      </c>
      <c r="BO506" s="39">
        <f t="shared" ref="BO506:BO569" si="143">VALUE(P506)/1000</f>
        <v>0</v>
      </c>
      <c r="BP506" s="1">
        <f t="shared" ref="BP506:BP569" si="144">VALUE(D506)</f>
        <v>0</v>
      </c>
      <c r="BQ506" s="1">
        <f t="shared" ref="BQ506:BQ569" si="145">VALUE(G506)</f>
        <v>0</v>
      </c>
      <c r="BR506" s="1" t="str">
        <f t="shared" ref="BR506:BR569" si="146">SUBSTITUTE(O506,".","")</f>
        <v/>
      </c>
      <c r="BS506" s="1">
        <f t="shared" ref="BS506:BS569" si="147">S506</f>
        <v>0</v>
      </c>
      <c r="BT506" s="4">
        <f t="shared" ref="BT506:BT569" si="148">VALUE(AJ506)</f>
        <v>0</v>
      </c>
      <c r="BU506" s="39">
        <f t="shared" ref="BU506:BU569" si="149">K506</f>
        <v>0</v>
      </c>
      <c r="BV506" s="1">
        <f t="shared" ref="BV506:BV569" si="150">AQ506</f>
        <v>0</v>
      </c>
      <c r="BW506">
        <f t="shared" ref="BW506:BW569" si="151">X506</f>
        <v>0</v>
      </c>
      <c r="BX506">
        <f t="shared" ref="BX506:BX569" si="152">AN506</f>
        <v>0</v>
      </c>
    </row>
    <row r="507" spans="58:76" x14ac:dyDescent="0.25">
      <c r="BF507" s="1" t="e">
        <f>VLOOKUP(N507,'Incoming Material Report'!H:M,6,FALSE)</f>
        <v>#N/A</v>
      </c>
      <c r="BG507" s="1" t="e">
        <f>IF(VLOOKUP(N507,'Incoming Material Report'!H:N,7,FALSE)=0,"",VLOOKUP(N507,'Incoming Material Report'!H:N,7,FALSE))</f>
        <v>#N/A</v>
      </c>
      <c r="BH507" s="39">
        <f t="shared" si="136"/>
        <v>0</v>
      </c>
      <c r="BI507" s="1">
        <f t="shared" si="137"/>
        <v>0</v>
      </c>
      <c r="BJ507" s="1">
        <f t="shared" si="138"/>
        <v>0</v>
      </c>
      <c r="BK507" s="1">
        <f t="shared" si="139"/>
        <v>0</v>
      </c>
      <c r="BL507" s="1">
        <f t="shared" si="140"/>
        <v>0</v>
      </c>
      <c r="BM507" s="10" t="str">
        <f t="shared" si="141"/>
        <v/>
      </c>
      <c r="BN507" s="39">
        <f t="shared" si="142"/>
        <v>0</v>
      </c>
      <c r="BO507" s="39">
        <f t="shared" si="143"/>
        <v>0</v>
      </c>
      <c r="BP507" s="1">
        <f t="shared" si="144"/>
        <v>0</v>
      </c>
      <c r="BQ507" s="1">
        <f t="shared" si="145"/>
        <v>0</v>
      </c>
      <c r="BR507" s="1" t="str">
        <f t="shared" si="146"/>
        <v/>
      </c>
      <c r="BS507" s="1">
        <f t="shared" si="147"/>
        <v>0</v>
      </c>
      <c r="BT507" s="4">
        <f t="shared" si="148"/>
        <v>0</v>
      </c>
      <c r="BU507" s="39">
        <f t="shared" si="149"/>
        <v>0</v>
      </c>
      <c r="BV507" s="1">
        <f t="shared" si="150"/>
        <v>0</v>
      </c>
      <c r="BW507">
        <f t="shared" si="151"/>
        <v>0</v>
      </c>
      <c r="BX507">
        <f t="shared" si="152"/>
        <v>0</v>
      </c>
    </row>
    <row r="508" spans="58:76" x14ac:dyDescent="0.25">
      <c r="BF508" s="1" t="e">
        <f>VLOOKUP(N508,'Incoming Material Report'!H:M,6,FALSE)</f>
        <v>#N/A</v>
      </c>
      <c r="BG508" s="1" t="e">
        <f>IF(VLOOKUP(N508,'Incoming Material Report'!H:N,7,FALSE)=0,"",VLOOKUP(N508,'Incoming Material Report'!H:N,7,FALSE))</f>
        <v>#N/A</v>
      </c>
      <c r="BH508" s="39">
        <f t="shared" si="136"/>
        <v>0</v>
      </c>
      <c r="BI508" s="1">
        <f t="shared" si="137"/>
        <v>0</v>
      </c>
      <c r="BJ508" s="1">
        <f t="shared" si="138"/>
        <v>0</v>
      </c>
      <c r="BK508" s="1">
        <f t="shared" si="139"/>
        <v>0</v>
      </c>
      <c r="BL508" s="1">
        <f t="shared" si="140"/>
        <v>0</v>
      </c>
      <c r="BM508" s="10" t="str">
        <f t="shared" si="141"/>
        <v/>
      </c>
      <c r="BN508" s="39">
        <f t="shared" si="142"/>
        <v>0</v>
      </c>
      <c r="BO508" s="39">
        <f t="shared" si="143"/>
        <v>0</v>
      </c>
      <c r="BP508" s="1">
        <f t="shared" si="144"/>
        <v>0</v>
      </c>
      <c r="BQ508" s="1">
        <f t="shared" si="145"/>
        <v>0</v>
      </c>
      <c r="BR508" s="1" t="str">
        <f t="shared" si="146"/>
        <v/>
      </c>
      <c r="BS508" s="1">
        <f t="shared" si="147"/>
        <v>0</v>
      </c>
      <c r="BT508" s="4">
        <f t="shared" si="148"/>
        <v>0</v>
      </c>
      <c r="BU508" s="39">
        <f t="shared" si="149"/>
        <v>0</v>
      </c>
      <c r="BV508" s="1">
        <f t="shared" si="150"/>
        <v>0</v>
      </c>
      <c r="BW508">
        <f t="shared" si="151"/>
        <v>0</v>
      </c>
      <c r="BX508">
        <f t="shared" si="152"/>
        <v>0</v>
      </c>
    </row>
    <row r="509" spans="58:76" x14ac:dyDescent="0.25">
      <c r="BF509" s="1" t="e">
        <f>VLOOKUP(N509,'Incoming Material Report'!H:M,6,FALSE)</f>
        <v>#N/A</v>
      </c>
      <c r="BG509" s="1" t="e">
        <f>IF(VLOOKUP(N509,'Incoming Material Report'!H:N,7,FALSE)=0,"",VLOOKUP(N509,'Incoming Material Report'!H:N,7,FALSE))</f>
        <v>#N/A</v>
      </c>
      <c r="BH509" s="39">
        <f t="shared" si="136"/>
        <v>0</v>
      </c>
      <c r="BI509" s="1">
        <f t="shared" si="137"/>
        <v>0</v>
      </c>
      <c r="BJ509" s="1">
        <f t="shared" si="138"/>
        <v>0</v>
      </c>
      <c r="BK509" s="1">
        <f t="shared" si="139"/>
        <v>0</v>
      </c>
      <c r="BL509" s="1">
        <f t="shared" si="140"/>
        <v>0</v>
      </c>
      <c r="BM509" s="10" t="str">
        <f t="shared" si="141"/>
        <v/>
      </c>
      <c r="BN509" s="39">
        <f t="shared" si="142"/>
        <v>0</v>
      </c>
      <c r="BO509" s="39">
        <f t="shared" si="143"/>
        <v>0</v>
      </c>
      <c r="BP509" s="1">
        <f t="shared" si="144"/>
        <v>0</v>
      </c>
      <c r="BQ509" s="1">
        <f t="shared" si="145"/>
        <v>0</v>
      </c>
      <c r="BR509" s="1" t="str">
        <f t="shared" si="146"/>
        <v/>
      </c>
      <c r="BS509" s="1">
        <f t="shared" si="147"/>
        <v>0</v>
      </c>
      <c r="BT509" s="4">
        <f t="shared" si="148"/>
        <v>0</v>
      </c>
      <c r="BU509" s="39">
        <f t="shared" si="149"/>
        <v>0</v>
      </c>
      <c r="BV509" s="1">
        <f t="shared" si="150"/>
        <v>0</v>
      </c>
      <c r="BW509">
        <f t="shared" si="151"/>
        <v>0</v>
      </c>
      <c r="BX509">
        <f t="shared" si="152"/>
        <v>0</v>
      </c>
    </row>
    <row r="510" spans="58:76" x14ac:dyDescent="0.25">
      <c r="BF510" s="1" t="e">
        <f>VLOOKUP(N510,'Incoming Material Report'!H:M,6,FALSE)</f>
        <v>#N/A</v>
      </c>
      <c r="BG510" s="1" t="e">
        <f>IF(VLOOKUP(N510,'Incoming Material Report'!H:N,7,FALSE)=0,"",VLOOKUP(N510,'Incoming Material Report'!H:N,7,FALSE))</f>
        <v>#N/A</v>
      </c>
      <c r="BH510" s="39">
        <f t="shared" si="136"/>
        <v>0</v>
      </c>
      <c r="BI510" s="1">
        <f t="shared" si="137"/>
        <v>0</v>
      </c>
      <c r="BJ510" s="1">
        <f t="shared" si="138"/>
        <v>0</v>
      </c>
      <c r="BK510" s="1">
        <f t="shared" si="139"/>
        <v>0</v>
      </c>
      <c r="BL510" s="1">
        <f t="shared" si="140"/>
        <v>0</v>
      </c>
      <c r="BM510" s="10" t="str">
        <f t="shared" si="141"/>
        <v/>
      </c>
      <c r="BN510" s="39">
        <f t="shared" si="142"/>
        <v>0</v>
      </c>
      <c r="BO510" s="39">
        <f t="shared" si="143"/>
        <v>0</v>
      </c>
      <c r="BP510" s="1">
        <f t="shared" si="144"/>
        <v>0</v>
      </c>
      <c r="BQ510" s="1">
        <f t="shared" si="145"/>
        <v>0</v>
      </c>
      <c r="BR510" s="1" t="str">
        <f t="shared" si="146"/>
        <v/>
      </c>
      <c r="BS510" s="1">
        <f t="shared" si="147"/>
        <v>0</v>
      </c>
      <c r="BT510" s="4">
        <f t="shared" si="148"/>
        <v>0</v>
      </c>
      <c r="BU510" s="39">
        <f t="shared" si="149"/>
        <v>0</v>
      </c>
      <c r="BV510" s="1">
        <f t="shared" si="150"/>
        <v>0</v>
      </c>
      <c r="BW510">
        <f t="shared" si="151"/>
        <v>0</v>
      </c>
      <c r="BX510">
        <f t="shared" si="152"/>
        <v>0</v>
      </c>
    </row>
    <row r="511" spans="58:76" x14ac:dyDescent="0.25">
      <c r="BF511" s="1" t="e">
        <f>VLOOKUP(N511,'Incoming Material Report'!H:M,6,FALSE)</f>
        <v>#N/A</v>
      </c>
      <c r="BG511" s="1" t="e">
        <f>IF(VLOOKUP(N511,'Incoming Material Report'!H:N,7,FALSE)=0,"",VLOOKUP(N511,'Incoming Material Report'!H:N,7,FALSE))</f>
        <v>#N/A</v>
      </c>
      <c r="BH511" s="39">
        <f t="shared" si="136"/>
        <v>0</v>
      </c>
      <c r="BI511" s="1">
        <f t="shared" si="137"/>
        <v>0</v>
      </c>
      <c r="BJ511" s="1">
        <f t="shared" si="138"/>
        <v>0</v>
      </c>
      <c r="BK511" s="1">
        <f t="shared" si="139"/>
        <v>0</v>
      </c>
      <c r="BL511" s="1">
        <f t="shared" si="140"/>
        <v>0</v>
      </c>
      <c r="BM511" s="10" t="str">
        <f t="shared" si="141"/>
        <v/>
      </c>
      <c r="BN511" s="39">
        <f t="shared" si="142"/>
        <v>0</v>
      </c>
      <c r="BO511" s="39">
        <f t="shared" si="143"/>
        <v>0</v>
      </c>
      <c r="BP511" s="1">
        <f t="shared" si="144"/>
        <v>0</v>
      </c>
      <c r="BQ511" s="1">
        <f t="shared" si="145"/>
        <v>0</v>
      </c>
      <c r="BR511" s="1" t="str">
        <f t="shared" si="146"/>
        <v/>
      </c>
      <c r="BS511" s="1">
        <f t="shared" si="147"/>
        <v>0</v>
      </c>
      <c r="BT511" s="4">
        <f t="shared" si="148"/>
        <v>0</v>
      </c>
      <c r="BU511" s="39">
        <f t="shared" si="149"/>
        <v>0</v>
      </c>
      <c r="BV511" s="1">
        <f t="shared" si="150"/>
        <v>0</v>
      </c>
      <c r="BW511">
        <f t="shared" si="151"/>
        <v>0</v>
      </c>
      <c r="BX511">
        <f t="shared" si="152"/>
        <v>0</v>
      </c>
    </row>
    <row r="512" spans="58:76" x14ac:dyDescent="0.25">
      <c r="BF512" s="1" t="e">
        <f>VLOOKUP(N512,'Incoming Material Report'!H:M,6,FALSE)</f>
        <v>#N/A</v>
      </c>
      <c r="BG512" s="1" t="e">
        <f>IF(VLOOKUP(N512,'Incoming Material Report'!H:N,7,FALSE)=0,"",VLOOKUP(N512,'Incoming Material Report'!H:N,7,FALSE))</f>
        <v>#N/A</v>
      </c>
      <c r="BH512" s="39">
        <f t="shared" si="136"/>
        <v>0</v>
      </c>
      <c r="BI512" s="1">
        <f t="shared" si="137"/>
        <v>0</v>
      </c>
      <c r="BJ512" s="1">
        <f t="shared" si="138"/>
        <v>0</v>
      </c>
      <c r="BK512" s="1">
        <f t="shared" si="139"/>
        <v>0</v>
      </c>
      <c r="BL512" s="1">
        <f t="shared" si="140"/>
        <v>0</v>
      </c>
      <c r="BM512" s="10" t="str">
        <f t="shared" si="141"/>
        <v/>
      </c>
      <c r="BN512" s="39">
        <f t="shared" si="142"/>
        <v>0</v>
      </c>
      <c r="BO512" s="39">
        <f t="shared" si="143"/>
        <v>0</v>
      </c>
      <c r="BP512" s="1">
        <f t="shared" si="144"/>
        <v>0</v>
      </c>
      <c r="BQ512" s="1">
        <f t="shared" si="145"/>
        <v>0</v>
      </c>
      <c r="BR512" s="1" t="str">
        <f t="shared" si="146"/>
        <v/>
      </c>
      <c r="BS512" s="1">
        <f t="shared" si="147"/>
        <v>0</v>
      </c>
      <c r="BT512" s="4">
        <f t="shared" si="148"/>
        <v>0</v>
      </c>
      <c r="BU512" s="39">
        <f t="shared" si="149"/>
        <v>0</v>
      </c>
      <c r="BV512" s="1">
        <f t="shared" si="150"/>
        <v>0</v>
      </c>
      <c r="BW512">
        <f t="shared" si="151"/>
        <v>0</v>
      </c>
      <c r="BX512">
        <f t="shared" si="152"/>
        <v>0</v>
      </c>
    </row>
    <row r="513" spans="58:76" x14ac:dyDescent="0.25">
      <c r="BF513" s="1" t="e">
        <f>VLOOKUP(N513,'Incoming Material Report'!H:M,6,FALSE)</f>
        <v>#N/A</v>
      </c>
      <c r="BG513" s="1" t="e">
        <f>IF(VLOOKUP(N513,'Incoming Material Report'!H:N,7,FALSE)=0,"",VLOOKUP(N513,'Incoming Material Report'!H:N,7,FALSE))</f>
        <v>#N/A</v>
      </c>
      <c r="BH513" s="39">
        <f t="shared" si="136"/>
        <v>0</v>
      </c>
      <c r="BI513" s="1">
        <f t="shared" si="137"/>
        <v>0</v>
      </c>
      <c r="BJ513" s="1">
        <f t="shared" si="138"/>
        <v>0</v>
      </c>
      <c r="BK513" s="1">
        <f t="shared" si="139"/>
        <v>0</v>
      </c>
      <c r="BL513" s="1">
        <f t="shared" si="140"/>
        <v>0</v>
      </c>
      <c r="BM513" s="10" t="str">
        <f t="shared" si="141"/>
        <v/>
      </c>
      <c r="BN513" s="39">
        <f t="shared" si="142"/>
        <v>0</v>
      </c>
      <c r="BO513" s="39">
        <f t="shared" si="143"/>
        <v>0</v>
      </c>
      <c r="BP513" s="1">
        <f t="shared" si="144"/>
        <v>0</v>
      </c>
      <c r="BQ513" s="1">
        <f t="shared" si="145"/>
        <v>0</v>
      </c>
      <c r="BR513" s="1" t="str">
        <f t="shared" si="146"/>
        <v/>
      </c>
      <c r="BS513" s="1">
        <f t="shared" si="147"/>
        <v>0</v>
      </c>
      <c r="BT513" s="4">
        <f t="shared" si="148"/>
        <v>0</v>
      </c>
      <c r="BU513" s="39">
        <f t="shared" si="149"/>
        <v>0</v>
      </c>
      <c r="BV513" s="1">
        <f t="shared" si="150"/>
        <v>0</v>
      </c>
      <c r="BW513">
        <f t="shared" si="151"/>
        <v>0</v>
      </c>
      <c r="BX513">
        <f t="shared" si="152"/>
        <v>0</v>
      </c>
    </row>
    <row r="514" spans="58:76" x14ac:dyDescent="0.25">
      <c r="BF514" s="1" t="e">
        <f>VLOOKUP(N514,'Incoming Material Report'!H:M,6,FALSE)</f>
        <v>#N/A</v>
      </c>
      <c r="BG514" s="1" t="e">
        <f>IF(VLOOKUP(N514,'Incoming Material Report'!H:N,7,FALSE)=0,"",VLOOKUP(N514,'Incoming Material Report'!H:N,7,FALSE))</f>
        <v>#N/A</v>
      </c>
      <c r="BH514" s="39">
        <f t="shared" si="136"/>
        <v>0</v>
      </c>
      <c r="BI514" s="1">
        <f t="shared" si="137"/>
        <v>0</v>
      </c>
      <c r="BJ514" s="1">
        <f t="shared" si="138"/>
        <v>0</v>
      </c>
      <c r="BK514" s="1">
        <f t="shared" si="139"/>
        <v>0</v>
      </c>
      <c r="BL514" s="1">
        <f t="shared" si="140"/>
        <v>0</v>
      </c>
      <c r="BM514" s="10" t="str">
        <f t="shared" si="141"/>
        <v/>
      </c>
      <c r="BN514" s="39">
        <f t="shared" si="142"/>
        <v>0</v>
      </c>
      <c r="BO514" s="39">
        <f t="shared" si="143"/>
        <v>0</v>
      </c>
      <c r="BP514" s="1">
        <f t="shared" si="144"/>
        <v>0</v>
      </c>
      <c r="BQ514" s="1">
        <f t="shared" si="145"/>
        <v>0</v>
      </c>
      <c r="BR514" s="1" t="str">
        <f t="shared" si="146"/>
        <v/>
      </c>
      <c r="BS514" s="1">
        <f t="shared" si="147"/>
        <v>0</v>
      </c>
      <c r="BT514" s="4">
        <f t="shared" si="148"/>
        <v>0</v>
      </c>
      <c r="BU514" s="39">
        <f t="shared" si="149"/>
        <v>0</v>
      </c>
      <c r="BV514" s="1">
        <f t="shared" si="150"/>
        <v>0</v>
      </c>
      <c r="BW514">
        <f t="shared" si="151"/>
        <v>0</v>
      </c>
      <c r="BX514">
        <f t="shared" si="152"/>
        <v>0</v>
      </c>
    </row>
    <row r="515" spans="58:76" x14ac:dyDescent="0.25">
      <c r="BF515" s="1" t="e">
        <f>VLOOKUP(N515,'Incoming Material Report'!H:M,6,FALSE)</f>
        <v>#N/A</v>
      </c>
      <c r="BG515" s="1" t="e">
        <f>IF(VLOOKUP(N515,'Incoming Material Report'!H:N,7,FALSE)=0,"",VLOOKUP(N515,'Incoming Material Report'!H:N,7,FALSE))</f>
        <v>#N/A</v>
      </c>
      <c r="BH515" s="39">
        <f t="shared" si="136"/>
        <v>0</v>
      </c>
      <c r="BI515" s="1">
        <f t="shared" si="137"/>
        <v>0</v>
      </c>
      <c r="BJ515" s="1">
        <f t="shared" si="138"/>
        <v>0</v>
      </c>
      <c r="BK515" s="1">
        <f t="shared" si="139"/>
        <v>0</v>
      </c>
      <c r="BL515" s="1">
        <f t="shared" si="140"/>
        <v>0</v>
      </c>
      <c r="BM515" s="10" t="str">
        <f t="shared" si="141"/>
        <v/>
      </c>
      <c r="BN515" s="39">
        <f t="shared" si="142"/>
        <v>0</v>
      </c>
      <c r="BO515" s="39">
        <f t="shared" si="143"/>
        <v>0</v>
      </c>
      <c r="BP515" s="1">
        <f t="shared" si="144"/>
        <v>0</v>
      </c>
      <c r="BQ515" s="1">
        <f t="shared" si="145"/>
        <v>0</v>
      </c>
      <c r="BR515" s="1" t="str">
        <f t="shared" si="146"/>
        <v/>
      </c>
      <c r="BS515" s="1">
        <f t="shared" si="147"/>
        <v>0</v>
      </c>
      <c r="BT515" s="4">
        <f t="shared" si="148"/>
        <v>0</v>
      </c>
      <c r="BU515" s="39">
        <f t="shared" si="149"/>
        <v>0</v>
      </c>
      <c r="BV515" s="1">
        <f t="shared" si="150"/>
        <v>0</v>
      </c>
      <c r="BW515">
        <f t="shared" si="151"/>
        <v>0</v>
      </c>
      <c r="BX515">
        <f t="shared" si="152"/>
        <v>0</v>
      </c>
    </row>
    <row r="516" spans="58:76" x14ac:dyDescent="0.25">
      <c r="BF516" s="1" t="e">
        <f>VLOOKUP(N516,'Incoming Material Report'!H:M,6,FALSE)</f>
        <v>#N/A</v>
      </c>
      <c r="BG516" s="1" t="e">
        <f>IF(VLOOKUP(N516,'Incoming Material Report'!H:N,7,FALSE)=0,"",VLOOKUP(N516,'Incoming Material Report'!H:N,7,FALSE))</f>
        <v>#N/A</v>
      </c>
      <c r="BH516" s="39">
        <f t="shared" si="136"/>
        <v>0</v>
      </c>
      <c r="BI516" s="1">
        <f t="shared" si="137"/>
        <v>0</v>
      </c>
      <c r="BJ516" s="1">
        <f t="shared" si="138"/>
        <v>0</v>
      </c>
      <c r="BK516" s="1">
        <f t="shared" si="139"/>
        <v>0</v>
      </c>
      <c r="BL516" s="1">
        <f t="shared" si="140"/>
        <v>0</v>
      </c>
      <c r="BM516" s="10" t="str">
        <f t="shared" si="141"/>
        <v/>
      </c>
      <c r="BN516" s="39">
        <f t="shared" si="142"/>
        <v>0</v>
      </c>
      <c r="BO516" s="39">
        <f t="shared" si="143"/>
        <v>0</v>
      </c>
      <c r="BP516" s="1">
        <f t="shared" si="144"/>
        <v>0</v>
      </c>
      <c r="BQ516" s="1">
        <f t="shared" si="145"/>
        <v>0</v>
      </c>
      <c r="BR516" s="1" t="str">
        <f t="shared" si="146"/>
        <v/>
      </c>
      <c r="BS516" s="1">
        <f t="shared" si="147"/>
        <v>0</v>
      </c>
      <c r="BT516" s="4">
        <f t="shared" si="148"/>
        <v>0</v>
      </c>
      <c r="BU516" s="39">
        <f t="shared" si="149"/>
        <v>0</v>
      </c>
      <c r="BV516" s="1">
        <f t="shared" si="150"/>
        <v>0</v>
      </c>
      <c r="BW516">
        <f t="shared" si="151"/>
        <v>0</v>
      </c>
      <c r="BX516">
        <f t="shared" si="152"/>
        <v>0</v>
      </c>
    </row>
    <row r="517" spans="58:76" x14ac:dyDescent="0.25">
      <c r="BF517" s="1" t="e">
        <f>VLOOKUP(N517,'Incoming Material Report'!H:M,6,FALSE)</f>
        <v>#N/A</v>
      </c>
      <c r="BG517" s="1" t="e">
        <f>IF(VLOOKUP(N517,'Incoming Material Report'!H:N,7,FALSE)=0,"",VLOOKUP(N517,'Incoming Material Report'!H:N,7,FALSE))</f>
        <v>#N/A</v>
      </c>
      <c r="BH517" s="39">
        <f t="shared" si="136"/>
        <v>0</v>
      </c>
      <c r="BI517" s="1">
        <f t="shared" si="137"/>
        <v>0</v>
      </c>
      <c r="BJ517" s="1">
        <f t="shared" si="138"/>
        <v>0</v>
      </c>
      <c r="BK517" s="1">
        <f t="shared" si="139"/>
        <v>0</v>
      </c>
      <c r="BL517" s="1">
        <f t="shared" si="140"/>
        <v>0</v>
      </c>
      <c r="BM517" s="10" t="str">
        <f t="shared" si="141"/>
        <v/>
      </c>
      <c r="BN517" s="39">
        <f t="shared" si="142"/>
        <v>0</v>
      </c>
      <c r="BO517" s="39">
        <f t="shared" si="143"/>
        <v>0</v>
      </c>
      <c r="BP517" s="1">
        <f t="shared" si="144"/>
        <v>0</v>
      </c>
      <c r="BQ517" s="1">
        <f t="shared" si="145"/>
        <v>0</v>
      </c>
      <c r="BR517" s="1" t="str">
        <f t="shared" si="146"/>
        <v/>
      </c>
      <c r="BS517" s="1">
        <f t="shared" si="147"/>
        <v>0</v>
      </c>
      <c r="BT517" s="4">
        <f t="shared" si="148"/>
        <v>0</v>
      </c>
      <c r="BU517" s="39">
        <f t="shared" si="149"/>
        <v>0</v>
      </c>
      <c r="BV517" s="1">
        <f t="shared" si="150"/>
        <v>0</v>
      </c>
      <c r="BW517">
        <f t="shared" si="151"/>
        <v>0</v>
      </c>
      <c r="BX517">
        <f t="shared" si="152"/>
        <v>0</v>
      </c>
    </row>
    <row r="518" spans="58:76" x14ac:dyDescent="0.25">
      <c r="BF518" s="1" t="e">
        <f>VLOOKUP(N518,'Incoming Material Report'!H:M,6,FALSE)</f>
        <v>#N/A</v>
      </c>
      <c r="BG518" s="1" t="e">
        <f>IF(VLOOKUP(N518,'Incoming Material Report'!H:N,7,FALSE)=0,"",VLOOKUP(N518,'Incoming Material Report'!H:N,7,FALSE))</f>
        <v>#N/A</v>
      </c>
      <c r="BH518" s="39">
        <f t="shared" si="136"/>
        <v>0</v>
      </c>
      <c r="BI518" s="1">
        <f t="shared" si="137"/>
        <v>0</v>
      </c>
      <c r="BJ518" s="1">
        <f t="shared" si="138"/>
        <v>0</v>
      </c>
      <c r="BK518" s="1">
        <f t="shared" si="139"/>
        <v>0</v>
      </c>
      <c r="BL518" s="1">
        <f t="shared" si="140"/>
        <v>0</v>
      </c>
      <c r="BM518" s="10" t="str">
        <f t="shared" si="141"/>
        <v/>
      </c>
      <c r="BN518" s="39">
        <f t="shared" si="142"/>
        <v>0</v>
      </c>
      <c r="BO518" s="39">
        <f t="shared" si="143"/>
        <v>0</v>
      </c>
      <c r="BP518" s="1">
        <f t="shared" si="144"/>
        <v>0</v>
      </c>
      <c r="BQ518" s="1">
        <f t="shared" si="145"/>
        <v>0</v>
      </c>
      <c r="BR518" s="1" t="str">
        <f t="shared" si="146"/>
        <v/>
      </c>
      <c r="BS518" s="1">
        <f t="shared" si="147"/>
        <v>0</v>
      </c>
      <c r="BT518" s="4">
        <f t="shared" si="148"/>
        <v>0</v>
      </c>
      <c r="BU518" s="39">
        <f t="shared" si="149"/>
        <v>0</v>
      </c>
      <c r="BV518" s="1">
        <f t="shared" si="150"/>
        <v>0</v>
      </c>
      <c r="BW518">
        <f t="shared" si="151"/>
        <v>0</v>
      </c>
      <c r="BX518">
        <f t="shared" si="152"/>
        <v>0</v>
      </c>
    </row>
    <row r="519" spans="58:76" x14ac:dyDescent="0.25">
      <c r="BF519" s="1" t="e">
        <f>VLOOKUP(N519,'Incoming Material Report'!H:M,6,FALSE)</f>
        <v>#N/A</v>
      </c>
      <c r="BG519" s="1" t="e">
        <f>IF(VLOOKUP(N519,'Incoming Material Report'!H:N,7,FALSE)=0,"",VLOOKUP(N519,'Incoming Material Report'!H:N,7,FALSE))</f>
        <v>#N/A</v>
      </c>
      <c r="BH519" s="39">
        <f t="shared" si="136"/>
        <v>0</v>
      </c>
      <c r="BI519" s="1">
        <f t="shared" si="137"/>
        <v>0</v>
      </c>
      <c r="BJ519" s="1">
        <f t="shared" si="138"/>
        <v>0</v>
      </c>
      <c r="BK519" s="1">
        <f t="shared" si="139"/>
        <v>0</v>
      </c>
      <c r="BL519" s="1">
        <f t="shared" si="140"/>
        <v>0</v>
      </c>
      <c r="BM519" s="10" t="str">
        <f t="shared" si="141"/>
        <v/>
      </c>
      <c r="BN519" s="39">
        <f t="shared" si="142"/>
        <v>0</v>
      </c>
      <c r="BO519" s="39">
        <f t="shared" si="143"/>
        <v>0</v>
      </c>
      <c r="BP519" s="1">
        <f t="shared" si="144"/>
        <v>0</v>
      </c>
      <c r="BQ519" s="1">
        <f t="shared" si="145"/>
        <v>0</v>
      </c>
      <c r="BR519" s="1" t="str">
        <f t="shared" si="146"/>
        <v/>
      </c>
      <c r="BS519" s="1">
        <f t="shared" si="147"/>
        <v>0</v>
      </c>
      <c r="BT519" s="4">
        <f t="shared" si="148"/>
        <v>0</v>
      </c>
      <c r="BU519" s="39">
        <f t="shared" si="149"/>
        <v>0</v>
      </c>
      <c r="BV519" s="1">
        <f t="shared" si="150"/>
        <v>0</v>
      </c>
      <c r="BW519">
        <f t="shared" si="151"/>
        <v>0</v>
      </c>
      <c r="BX519">
        <f t="shared" si="152"/>
        <v>0</v>
      </c>
    </row>
    <row r="520" spans="58:76" x14ac:dyDescent="0.25">
      <c r="BF520" s="1" t="e">
        <f>VLOOKUP(N520,'Incoming Material Report'!H:M,6,FALSE)</f>
        <v>#N/A</v>
      </c>
      <c r="BG520" s="1" t="e">
        <f>IF(VLOOKUP(N520,'Incoming Material Report'!H:N,7,FALSE)=0,"",VLOOKUP(N520,'Incoming Material Report'!H:N,7,FALSE))</f>
        <v>#N/A</v>
      </c>
      <c r="BH520" s="39">
        <f t="shared" si="136"/>
        <v>0</v>
      </c>
      <c r="BI520" s="1">
        <f t="shared" si="137"/>
        <v>0</v>
      </c>
      <c r="BJ520" s="1">
        <f t="shared" si="138"/>
        <v>0</v>
      </c>
      <c r="BK520" s="1">
        <f t="shared" si="139"/>
        <v>0</v>
      </c>
      <c r="BL520" s="1">
        <f t="shared" si="140"/>
        <v>0</v>
      </c>
      <c r="BM520" s="10" t="str">
        <f t="shared" si="141"/>
        <v/>
      </c>
      <c r="BN520" s="39">
        <f t="shared" si="142"/>
        <v>0</v>
      </c>
      <c r="BO520" s="39">
        <f t="shared" si="143"/>
        <v>0</v>
      </c>
      <c r="BP520" s="1">
        <f t="shared" si="144"/>
        <v>0</v>
      </c>
      <c r="BQ520" s="1">
        <f t="shared" si="145"/>
        <v>0</v>
      </c>
      <c r="BR520" s="1" t="str">
        <f t="shared" si="146"/>
        <v/>
      </c>
      <c r="BS520" s="1">
        <f t="shared" si="147"/>
        <v>0</v>
      </c>
      <c r="BT520" s="4">
        <f t="shared" si="148"/>
        <v>0</v>
      </c>
      <c r="BU520" s="39">
        <f t="shared" si="149"/>
        <v>0</v>
      </c>
      <c r="BV520" s="1">
        <f t="shared" si="150"/>
        <v>0</v>
      </c>
      <c r="BW520">
        <f t="shared" si="151"/>
        <v>0</v>
      </c>
      <c r="BX520">
        <f t="shared" si="152"/>
        <v>0</v>
      </c>
    </row>
    <row r="521" spans="58:76" x14ac:dyDescent="0.25">
      <c r="BF521" s="1" t="e">
        <f>VLOOKUP(N521,'Incoming Material Report'!H:M,6,FALSE)</f>
        <v>#N/A</v>
      </c>
      <c r="BG521" s="1" t="e">
        <f>IF(VLOOKUP(N521,'Incoming Material Report'!H:N,7,FALSE)=0,"",VLOOKUP(N521,'Incoming Material Report'!H:N,7,FALSE))</f>
        <v>#N/A</v>
      </c>
      <c r="BH521" s="39">
        <f t="shared" si="136"/>
        <v>0</v>
      </c>
      <c r="BI521" s="1">
        <f t="shared" si="137"/>
        <v>0</v>
      </c>
      <c r="BJ521" s="1">
        <f t="shared" si="138"/>
        <v>0</v>
      </c>
      <c r="BK521" s="1">
        <f t="shared" si="139"/>
        <v>0</v>
      </c>
      <c r="BL521" s="1">
        <f t="shared" si="140"/>
        <v>0</v>
      </c>
      <c r="BM521" s="10" t="str">
        <f t="shared" si="141"/>
        <v/>
      </c>
      <c r="BN521" s="39">
        <f t="shared" si="142"/>
        <v>0</v>
      </c>
      <c r="BO521" s="39">
        <f t="shared" si="143"/>
        <v>0</v>
      </c>
      <c r="BP521" s="1">
        <f t="shared" si="144"/>
        <v>0</v>
      </c>
      <c r="BQ521" s="1">
        <f t="shared" si="145"/>
        <v>0</v>
      </c>
      <c r="BR521" s="1" t="str">
        <f t="shared" si="146"/>
        <v/>
      </c>
      <c r="BS521" s="1">
        <f t="shared" si="147"/>
        <v>0</v>
      </c>
      <c r="BT521" s="4">
        <f t="shared" si="148"/>
        <v>0</v>
      </c>
      <c r="BU521" s="39">
        <f t="shared" si="149"/>
        <v>0</v>
      </c>
      <c r="BV521" s="1">
        <f t="shared" si="150"/>
        <v>0</v>
      </c>
      <c r="BW521">
        <f t="shared" si="151"/>
        <v>0</v>
      </c>
      <c r="BX521">
        <f t="shared" si="152"/>
        <v>0</v>
      </c>
    </row>
    <row r="522" spans="58:76" x14ac:dyDescent="0.25">
      <c r="BF522" s="1" t="e">
        <f>VLOOKUP(N522,'Incoming Material Report'!H:M,6,FALSE)</f>
        <v>#N/A</v>
      </c>
      <c r="BG522" s="1" t="e">
        <f>IF(VLOOKUP(N522,'Incoming Material Report'!H:N,7,FALSE)=0,"",VLOOKUP(N522,'Incoming Material Report'!H:N,7,FALSE))</f>
        <v>#N/A</v>
      </c>
      <c r="BH522" s="39">
        <f t="shared" si="136"/>
        <v>0</v>
      </c>
      <c r="BI522" s="1">
        <f t="shared" si="137"/>
        <v>0</v>
      </c>
      <c r="BJ522" s="1">
        <f t="shared" si="138"/>
        <v>0</v>
      </c>
      <c r="BK522" s="1">
        <f t="shared" si="139"/>
        <v>0</v>
      </c>
      <c r="BL522" s="1">
        <f t="shared" si="140"/>
        <v>0</v>
      </c>
      <c r="BM522" s="10" t="str">
        <f t="shared" si="141"/>
        <v/>
      </c>
      <c r="BN522" s="39">
        <f t="shared" si="142"/>
        <v>0</v>
      </c>
      <c r="BO522" s="39">
        <f t="shared" si="143"/>
        <v>0</v>
      </c>
      <c r="BP522" s="1">
        <f t="shared" si="144"/>
        <v>0</v>
      </c>
      <c r="BQ522" s="1">
        <f t="shared" si="145"/>
        <v>0</v>
      </c>
      <c r="BR522" s="1" t="str">
        <f t="shared" si="146"/>
        <v/>
      </c>
      <c r="BS522" s="1">
        <f t="shared" si="147"/>
        <v>0</v>
      </c>
      <c r="BT522" s="4">
        <f t="shared" si="148"/>
        <v>0</v>
      </c>
      <c r="BU522" s="39">
        <f t="shared" si="149"/>
        <v>0</v>
      </c>
      <c r="BV522" s="1">
        <f t="shared" si="150"/>
        <v>0</v>
      </c>
      <c r="BW522">
        <f t="shared" si="151"/>
        <v>0</v>
      </c>
      <c r="BX522">
        <f t="shared" si="152"/>
        <v>0</v>
      </c>
    </row>
    <row r="523" spans="58:76" x14ac:dyDescent="0.25">
      <c r="BF523" s="1" t="e">
        <f>VLOOKUP(N523,'Incoming Material Report'!H:M,6,FALSE)</f>
        <v>#N/A</v>
      </c>
      <c r="BG523" s="1" t="e">
        <f>IF(VLOOKUP(N523,'Incoming Material Report'!H:N,7,FALSE)=0,"",VLOOKUP(N523,'Incoming Material Report'!H:N,7,FALSE))</f>
        <v>#N/A</v>
      </c>
      <c r="BH523" s="39">
        <f t="shared" si="136"/>
        <v>0</v>
      </c>
      <c r="BI523" s="1">
        <f t="shared" si="137"/>
        <v>0</v>
      </c>
      <c r="BJ523" s="1">
        <f t="shared" si="138"/>
        <v>0</v>
      </c>
      <c r="BK523" s="1">
        <f t="shared" si="139"/>
        <v>0</v>
      </c>
      <c r="BL523" s="1">
        <f t="shared" si="140"/>
        <v>0</v>
      </c>
      <c r="BM523" s="10" t="str">
        <f t="shared" si="141"/>
        <v/>
      </c>
      <c r="BN523" s="39">
        <f t="shared" si="142"/>
        <v>0</v>
      </c>
      <c r="BO523" s="39">
        <f t="shared" si="143"/>
        <v>0</v>
      </c>
      <c r="BP523" s="1">
        <f t="shared" si="144"/>
        <v>0</v>
      </c>
      <c r="BQ523" s="1">
        <f t="shared" si="145"/>
        <v>0</v>
      </c>
      <c r="BR523" s="1" t="str">
        <f t="shared" si="146"/>
        <v/>
      </c>
      <c r="BS523" s="1">
        <f t="shared" si="147"/>
        <v>0</v>
      </c>
      <c r="BT523" s="4">
        <f t="shared" si="148"/>
        <v>0</v>
      </c>
      <c r="BU523" s="39">
        <f t="shared" si="149"/>
        <v>0</v>
      </c>
      <c r="BV523" s="1">
        <f t="shared" si="150"/>
        <v>0</v>
      </c>
      <c r="BW523">
        <f t="shared" si="151"/>
        <v>0</v>
      </c>
      <c r="BX523">
        <f t="shared" si="152"/>
        <v>0</v>
      </c>
    </row>
    <row r="524" spans="58:76" x14ac:dyDescent="0.25">
      <c r="BF524" s="1" t="e">
        <f>VLOOKUP(N524,'Incoming Material Report'!H:M,6,FALSE)</f>
        <v>#N/A</v>
      </c>
      <c r="BG524" s="1" t="e">
        <f>IF(VLOOKUP(N524,'Incoming Material Report'!H:N,7,FALSE)=0,"",VLOOKUP(N524,'Incoming Material Report'!H:N,7,FALSE))</f>
        <v>#N/A</v>
      </c>
      <c r="BH524" s="39">
        <f t="shared" si="136"/>
        <v>0</v>
      </c>
      <c r="BI524" s="1">
        <f t="shared" si="137"/>
        <v>0</v>
      </c>
      <c r="BJ524" s="1">
        <f t="shared" si="138"/>
        <v>0</v>
      </c>
      <c r="BK524" s="1">
        <f t="shared" si="139"/>
        <v>0</v>
      </c>
      <c r="BL524" s="1">
        <f t="shared" si="140"/>
        <v>0</v>
      </c>
      <c r="BM524" s="10" t="str">
        <f t="shared" si="141"/>
        <v/>
      </c>
      <c r="BN524" s="39">
        <f t="shared" si="142"/>
        <v>0</v>
      </c>
      <c r="BO524" s="39">
        <f t="shared" si="143"/>
        <v>0</v>
      </c>
      <c r="BP524" s="1">
        <f t="shared" si="144"/>
        <v>0</v>
      </c>
      <c r="BQ524" s="1">
        <f t="shared" si="145"/>
        <v>0</v>
      </c>
      <c r="BR524" s="1" t="str">
        <f t="shared" si="146"/>
        <v/>
      </c>
      <c r="BS524" s="1">
        <f t="shared" si="147"/>
        <v>0</v>
      </c>
      <c r="BT524" s="4">
        <f t="shared" si="148"/>
        <v>0</v>
      </c>
      <c r="BU524" s="39">
        <f t="shared" si="149"/>
        <v>0</v>
      </c>
      <c r="BV524" s="1">
        <f t="shared" si="150"/>
        <v>0</v>
      </c>
      <c r="BW524">
        <f t="shared" si="151"/>
        <v>0</v>
      </c>
      <c r="BX524">
        <f t="shared" si="152"/>
        <v>0</v>
      </c>
    </row>
    <row r="525" spans="58:76" x14ac:dyDescent="0.25">
      <c r="BF525" s="1" t="e">
        <f>VLOOKUP(N525,'Incoming Material Report'!H:M,6,FALSE)</f>
        <v>#N/A</v>
      </c>
      <c r="BG525" s="1" t="e">
        <f>IF(VLOOKUP(N525,'Incoming Material Report'!H:N,7,FALSE)=0,"",VLOOKUP(N525,'Incoming Material Report'!H:N,7,FALSE))</f>
        <v>#N/A</v>
      </c>
      <c r="BH525" s="39">
        <f t="shared" si="136"/>
        <v>0</v>
      </c>
      <c r="BI525" s="1">
        <f t="shared" si="137"/>
        <v>0</v>
      </c>
      <c r="BJ525" s="1">
        <f t="shared" si="138"/>
        <v>0</v>
      </c>
      <c r="BK525" s="1">
        <f t="shared" si="139"/>
        <v>0</v>
      </c>
      <c r="BL525" s="1">
        <f t="shared" si="140"/>
        <v>0</v>
      </c>
      <c r="BM525" s="10" t="str">
        <f t="shared" si="141"/>
        <v/>
      </c>
      <c r="BN525" s="39">
        <f t="shared" si="142"/>
        <v>0</v>
      </c>
      <c r="BO525" s="39">
        <f t="shared" si="143"/>
        <v>0</v>
      </c>
      <c r="BP525" s="1">
        <f t="shared" si="144"/>
        <v>0</v>
      </c>
      <c r="BQ525" s="1">
        <f t="shared" si="145"/>
        <v>0</v>
      </c>
      <c r="BR525" s="1" t="str">
        <f t="shared" si="146"/>
        <v/>
      </c>
      <c r="BS525" s="1">
        <f t="shared" si="147"/>
        <v>0</v>
      </c>
      <c r="BT525" s="4">
        <f t="shared" si="148"/>
        <v>0</v>
      </c>
      <c r="BU525" s="39">
        <f t="shared" si="149"/>
        <v>0</v>
      </c>
      <c r="BV525" s="1">
        <f t="shared" si="150"/>
        <v>0</v>
      </c>
      <c r="BW525">
        <f t="shared" si="151"/>
        <v>0</v>
      </c>
      <c r="BX525">
        <f t="shared" si="152"/>
        <v>0</v>
      </c>
    </row>
    <row r="526" spans="58:76" x14ac:dyDescent="0.25">
      <c r="BF526" s="1" t="e">
        <f>VLOOKUP(N526,'Incoming Material Report'!H:M,6,FALSE)</f>
        <v>#N/A</v>
      </c>
      <c r="BG526" s="1" t="e">
        <f>IF(VLOOKUP(N526,'Incoming Material Report'!H:N,7,FALSE)=0,"",VLOOKUP(N526,'Incoming Material Report'!H:N,7,FALSE))</f>
        <v>#N/A</v>
      </c>
      <c r="BH526" s="39">
        <f t="shared" si="136"/>
        <v>0</v>
      </c>
      <c r="BI526" s="1">
        <f t="shared" si="137"/>
        <v>0</v>
      </c>
      <c r="BJ526" s="1">
        <f t="shared" si="138"/>
        <v>0</v>
      </c>
      <c r="BK526" s="1">
        <f t="shared" si="139"/>
        <v>0</v>
      </c>
      <c r="BL526" s="1">
        <f t="shared" si="140"/>
        <v>0</v>
      </c>
      <c r="BM526" s="10" t="str">
        <f t="shared" si="141"/>
        <v/>
      </c>
      <c r="BN526" s="39">
        <f t="shared" si="142"/>
        <v>0</v>
      </c>
      <c r="BO526" s="39">
        <f t="shared" si="143"/>
        <v>0</v>
      </c>
      <c r="BP526" s="1">
        <f t="shared" si="144"/>
        <v>0</v>
      </c>
      <c r="BQ526" s="1">
        <f t="shared" si="145"/>
        <v>0</v>
      </c>
      <c r="BR526" s="1" t="str">
        <f t="shared" si="146"/>
        <v/>
      </c>
      <c r="BS526" s="1">
        <f t="shared" si="147"/>
        <v>0</v>
      </c>
      <c r="BT526" s="4">
        <f t="shared" si="148"/>
        <v>0</v>
      </c>
      <c r="BU526" s="39">
        <f t="shared" si="149"/>
        <v>0</v>
      </c>
      <c r="BV526" s="1">
        <f t="shared" si="150"/>
        <v>0</v>
      </c>
      <c r="BW526">
        <f t="shared" si="151"/>
        <v>0</v>
      </c>
      <c r="BX526">
        <f t="shared" si="152"/>
        <v>0</v>
      </c>
    </row>
    <row r="527" spans="58:76" x14ac:dyDescent="0.25">
      <c r="BF527" s="1" t="e">
        <f>VLOOKUP(N527,'Incoming Material Report'!H:M,6,FALSE)</f>
        <v>#N/A</v>
      </c>
      <c r="BG527" s="1" t="e">
        <f>IF(VLOOKUP(N527,'Incoming Material Report'!H:N,7,FALSE)=0,"",VLOOKUP(N527,'Incoming Material Report'!H:N,7,FALSE))</f>
        <v>#N/A</v>
      </c>
      <c r="BH527" s="39">
        <f t="shared" si="136"/>
        <v>0</v>
      </c>
      <c r="BI527" s="1">
        <f t="shared" si="137"/>
        <v>0</v>
      </c>
      <c r="BJ527" s="1">
        <f t="shared" si="138"/>
        <v>0</v>
      </c>
      <c r="BK527" s="1">
        <f t="shared" si="139"/>
        <v>0</v>
      </c>
      <c r="BL527" s="1">
        <f t="shared" si="140"/>
        <v>0</v>
      </c>
      <c r="BM527" s="10" t="str">
        <f t="shared" si="141"/>
        <v/>
      </c>
      <c r="BN527" s="39">
        <f t="shared" si="142"/>
        <v>0</v>
      </c>
      <c r="BO527" s="39">
        <f t="shared" si="143"/>
        <v>0</v>
      </c>
      <c r="BP527" s="1">
        <f t="shared" si="144"/>
        <v>0</v>
      </c>
      <c r="BQ527" s="1">
        <f t="shared" si="145"/>
        <v>0</v>
      </c>
      <c r="BR527" s="1" t="str">
        <f t="shared" si="146"/>
        <v/>
      </c>
      <c r="BS527" s="1">
        <f t="shared" si="147"/>
        <v>0</v>
      </c>
      <c r="BT527" s="4">
        <f t="shared" si="148"/>
        <v>0</v>
      </c>
      <c r="BU527" s="39">
        <f t="shared" si="149"/>
        <v>0</v>
      </c>
      <c r="BV527" s="1">
        <f t="shared" si="150"/>
        <v>0</v>
      </c>
      <c r="BW527">
        <f t="shared" si="151"/>
        <v>0</v>
      </c>
      <c r="BX527">
        <f t="shared" si="152"/>
        <v>0</v>
      </c>
    </row>
    <row r="528" spans="58:76" x14ac:dyDescent="0.25">
      <c r="BF528" s="1" t="e">
        <f>VLOOKUP(N528,'Incoming Material Report'!H:M,6,FALSE)</f>
        <v>#N/A</v>
      </c>
      <c r="BG528" s="1" t="e">
        <f>IF(VLOOKUP(N528,'Incoming Material Report'!H:N,7,FALSE)=0,"",VLOOKUP(N528,'Incoming Material Report'!H:N,7,FALSE))</f>
        <v>#N/A</v>
      </c>
      <c r="BH528" s="39">
        <f t="shared" si="136"/>
        <v>0</v>
      </c>
      <c r="BI528" s="1">
        <f t="shared" si="137"/>
        <v>0</v>
      </c>
      <c r="BJ528" s="1">
        <f t="shared" si="138"/>
        <v>0</v>
      </c>
      <c r="BK528" s="1">
        <f t="shared" si="139"/>
        <v>0</v>
      </c>
      <c r="BL528" s="1">
        <f t="shared" si="140"/>
        <v>0</v>
      </c>
      <c r="BM528" s="10" t="str">
        <f t="shared" si="141"/>
        <v/>
      </c>
      <c r="BN528" s="39">
        <f t="shared" si="142"/>
        <v>0</v>
      </c>
      <c r="BO528" s="39">
        <f t="shared" si="143"/>
        <v>0</v>
      </c>
      <c r="BP528" s="1">
        <f t="shared" si="144"/>
        <v>0</v>
      </c>
      <c r="BQ528" s="1">
        <f t="shared" si="145"/>
        <v>0</v>
      </c>
      <c r="BR528" s="1" t="str">
        <f t="shared" si="146"/>
        <v/>
      </c>
      <c r="BS528" s="1">
        <f t="shared" si="147"/>
        <v>0</v>
      </c>
      <c r="BT528" s="4">
        <f t="shared" si="148"/>
        <v>0</v>
      </c>
      <c r="BU528" s="39">
        <f t="shared" si="149"/>
        <v>0</v>
      </c>
      <c r="BV528" s="1">
        <f t="shared" si="150"/>
        <v>0</v>
      </c>
      <c r="BW528">
        <f t="shared" si="151"/>
        <v>0</v>
      </c>
      <c r="BX528">
        <f t="shared" si="152"/>
        <v>0</v>
      </c>
    </row>
    <row r="529" spans="58:76" x14ac:dyDescent="0.25">
      <c r="BF529" s="1" t="e">
        <f>VLOOKUP(N529,'Incoming Material Report'!H:M,6,FALSE)</f>
        <v>#N/A</v>
      </c>
      <c r="BG529" s="1" t="e">
        <f>IF(VLOOKUP(N529,'Incoming Material Report'!H:N,7,FALSE)=0,"",VLOOKUP(N529,'Incoming Material Report'!H:N,7,FALSE))</f>
        <v>#N/A</v>
      </c>
      <c r="BH529" s="39">
        <f t="shared" si="136"/>
        <v>0</v>
      </c>
      <c r="BI529" s="1">
        <f t="shared" si="137"/>
        <v>0</v>
      </c>
      <c r="BJ529" s="1">
        <f t="shared" si="138"/>
        <v>0</v>
      </c>
      <c r="BK529" s="1">
        <f t="shared" si="139"/>
        <v>0</v>
      </c>
      <c r="BL529" s="1">
        <f t="shared" si="140"/>
        <v>0</v>
      </c>
      <c r="BM529" s="10" t="str">
        <f t="shared" si="141"/>
        <v/>
      </c>
      <c r="BN529" s="39">
        <f t="shared" si="142"/>
        <v>0</v>
      </c>
      <c r="BO529" s="39">
        <f t="shared" si="143"/>
        <v>0</v>
      </c>
      <c r="BP529" s="1">
        <f t="shared" si="144"/>
        <v>0</v>
      </c>
      <c r="BQ529" s="1">
        <f t="shared" si="145"/>
        <v>0</v>
      </c>
      <c r="BR529" s="1" t="str">
        <f t="shared" si="146"/>
        <v/>
      </c>
      <c r="BS529" s="1">
        <f t="shared" si="147"/>
        <v>0</v>
      </c>
      <c r="BT529" s="4">
        <f t="shared" si="148"/>
        <v>0</v>
      </c>
      <c r="BU529" s="39">
        <f t="shared" si="149"/>
        <v>0</v>
      </c>
      <c r="BV529" s="1">
        <f t="shared" si="150"/>
        <v>0</v>
      </c>
      <c r="BW529">
        <f t="shared" si="151"/>
        <v>0</v>
      </c>
      <c r="BX529">
        <f t="shared" si="152"/>
        <v>0</v>
      </c>
    </row>
    <row r="530" spans="58:76" x14ac:dyDescent="0.25">
      <c r="BF530" s="1" t="e">
        <f>VLOOKUP(N530,'Incoming Material Report'!H:M,6,FALSE)</f>
        <v>#N/A</v>
      </c>
      <c r="BG530" s="1" t="e">
        <f>IF(VLOOKUP(N530,'Incoming Material Report'!H:N,7,FALSE)=0,"",VLOOKUP(N530,'Incoming Material Report'!H:N,7,FALSE))</f>
        <v>#N/A</v>
      </c>
      <c r="BH530" s="39">
        <f t="shared" si="136"/>
        <v>0</v>
      </c>
      <c r="BI530" s="1">
        <f t="shared" si="137"/>
        <v>0</v>
      </c>
      <c r="BJ530" s="1">
        <f t="shared" si="138"/>
        <v>0</v>
      </c>
      <c r="BK530" s="1">
        <f t="shared" si="139"/>
        <v>0</v>
      </c>
      <c r="BL530" s="1">
        <f t="shared" si="140"/>
        <v>0</v>
      </c>
      <c r="BM530" s="10" t="str">
        <f t="shared" si="141"/>
        <v/>
      </c>
      <c r="BN530" s="39">
        <f t="shared" si="142"/>
        <v>0</v>
      </c>
      <c r="BO530" s="39">
        <f t="shared" si="143"/>
        <v>0</v>
      </c>
      <c r="BP530" s="1">
        <f t="shared" si="144"/>
        <v>0</v>
      </c>
      <c r="BQ530" s="1">
        <f t="shared" si="145"/>
        <v>0</v>
      </c>
      <c r="BR530" s="1" t="str">
        <f t="shared" si="146"/>
        <v/>
      </c>
      <c r="BS530" s="1">
        <f t="shared" si="147"/>
        <v>0</v>
      </c>
      <c r="BT530" s="4">
        <f t="shared" si="148"/>
        <v>0</v>
      </c>
      <c r="BU530" s="39">
        <f t="shared" si="149"/>
        <v>0</v>
      </c>
      <c r="BV530" s="1">
        <f t="shared" si="150"/>
        <v>0</v>
      </c>
      <c r="BW530">
        <f t="shared" si="151"/>
        <v>0</v>
      </c>
      <c r="BX530">
        <f t="shared" si="152"/>
        <v>0</v>
      </c>
    </row>
    <row r="531" spans="58:76" x14ac:dyDescent="0.25">
      <c r="BF531" s="1" t="e">
        <f>VLOOKUP(N531,'Incoming Material Report'!H:M,6,FALSE)</f>
        <v>#N/A</v>
      </c>
      <c r="BG531" s="1" t="e">
        <f>IF(VLOOKUP(N531,'Incoming Material Report'!H:N,7,FALSE)=0,"",VLOOKUP(N531,'Incoming Material Report'!H:N,7,FALSE))</f>
        <v>#N/A</v>
      </c>
      <c r="BH531" s="39">
        <f t="shared" si="136"/>
        <v>0</v>
      </c>
      <c r="BI531" s="1">
        <f t="shared" si="137"/>
        <v>0</v>
      </c>
      <c r="BJ531" s="1">
        <f t="shared" si="138"/>
        <v>0</v>
      </c>
      <c r="BK531" s="1">
        <f t="shared" si="139"/>
        <v>0</v>
      </c>
      <c r="BL531" s="1">
        <f t="shared" si="140"/>
        <v>0</v>
      </c>
      <c r="BM531" s="10" t="str">
        <f t="shared" si="141"/>
        <v/>
      </c>
      <c r="BN531" s="39">
        <f t="shared" si="142"/>
        <v>0</v>
      </c>
      <c r="BO531" s="39">
        <f t="shared" si="143"/>
        <v>0</v>
      </c>
      <c r="BP531" s="1">
        <f t="shared" si="144"/>
        <v>0</v>
      </c>
      <c r="BQ531" s="1">
        <f t="shared" si="145"/>
        <v>0</v>
      </c>
      <c r="BR531" s="1" t="str">
        <f t="shared" si="146"/>
        <v/>
      </c>
      <c r="BS531" s="1">
        <f t="shared" si="147"/>
        <v>0</v>
      </c>
      <c r="BT531" s="4">
        <f t="shared" si="148"/>
        <v>0</v>
      </c>
      <c r="BU531" s="39">
        <f t="shared" si="149"/>
        <v>0</v>
      </c>
      <c r="BV531" s="1">
        <f t="shared" si="150"/>
        <v>0</v>
      </c>
      <c r="BW531">
        <f t="shared" si="151"/>
        <v>0</v>
      </c>
      <c r="BX531">
        <f t="shared" si="152"/>
        <v>0</v>
      </c>
    </row>
    <row r="532" spans="58:76" x14ac:dyDescent="0.25">
      <c r="BF532" s="1" t="e">
        <f>VLOOKUP(N532,'Incoming Material Report'!H:M,6,FALSE)</f>
        <v>#N/A</v>
      </c>
      <c r="BG532" s="1" t="e">
        <f>IF(VLOOKUP(N532,'Incoming Material Report'!H:N,7,FALSE)=0,"",VLOOKUP(N532,'Incoming Material Report'!H:N,7,FALSE))</f>
        <v>#N/A</v>
      </c>
      <c r="BH532" s="39">
        <f t="shared" si="136"/>
        <v>0</v>
      </c>
      <c r="BI532" s="1">
        <f t="shared" si="137"/>
        <v>0</v>
      </c>
      <c r="BJ532" s="1">
        <f t="shared" si="138"/>
        <v>0</v>
      </c>
      <c r="BK532" s="1">
        <f t="shared" si="139"/>
        <v>0</v>
      </c>
      <c r="BL532" s="1">
        <f t="shared" si="140"/>
        <v>0</v>
      </c>
      <c r="BM532" s="10" t="str">
        <f t="shared" si="141"/>
        <v/>
      </c>
      <c r="BN532" s="39">
        <f t="shared" si="142"/>
        <v>0</v>
      </c>
      <c r="BO532" s="39">
        <f t="shared" si="143"/>
        <v>0</v>
      </c>
      <c r="BP532" s="1">
        <f t="shared" si="144"/>
        <v>0</v>
      </c>
      <c r="BQ532" s="1">
        <f t="shared" si="145"/>
        <v>0</v>
      </c>
      <c r="BR532" s="1" t="str">
        <f t="shared" si="146"/>
        <v/>
      </c>
      <c r="BS532" s="1">
        <f t="shared" si="147"/>
        <v>0</v>
      </c>
      <c r="BT532" s="4">
        <f t="shared" si="148"/>
        <v>0</v>
      </c>
      <c r="BU532" s="39">
        <f t="shared" si="149"/>
        <v>0</v>
      </c>
      <c r="BV532" s="1">
        <f t="shared" si="150"/>
        <v>0</v>
      </c>
      <c r="BW532">
        <f t="shared" si="151"/>
        <v>0</v>
      </c>
      <c r="BX532">
        <f t="shared" si="152"/>
        <v>0</v>
      </c>
    </row>
    <row r="533" spans="58:76" x14ac:dyDescent="0.25">
      <c r="BF533" s="1" t="e">
        <f>VLOOKUP(N533,'Incoming Material Report'!H:M,6,FALSE)</f>
        <v>#N/A</v>
      </c>
      <c r="BG533" s="1" t="e">
        <f>IF(VLOOKUP(N533,'Incoming Material Report'!H:N,7,FALSE)=0,"",VLOOKUP(N533,'Incoming Material Report'!H:N,7,FALSE))</f>
        <v>#N/A</v>
      </c>
      <c r="BH533" s="39">
        <f t="shared" si="136"/>
        <v>0</v>
      </c>
      <c r="BI533" s="1">
        <f t="shared" si="137"/>
        <v>0</v>
      </c>
      <c r="BJ533" s="1">
        <f t="shared" si="138"/>
        <v>0</v>
      </c>
      <c r="BK533" s="1">
        <f t="shared" si="139"/>
        <v>0</v>
      </c>
      <c r="BL533" s="1">
        <f t="shared" si="140"/>
        <v>0</v>
      </c>
      <c r="BM533" s="10" t="str">
        <f t="shared" si="141"/>
        <v/>
      </c>
      <c r="BN533" s="39">
        <f t="shared" si="142"/>
        <v>0</v>
      </c>
      <c r="BO533" s="39">
        <f t="shared" si="143"/>
        <v>0</v>
      </c>
      <c r="BP533" s="1">
        <f t="shared" si="144"/>
        <v>0</v>
      </c>
      <c r="BQ533" s="1">
        <f t="shared" si="145"/>
        <v>0</v>
      </c>
      <c r="BR533" s="1" t="str">
        <f t="shared" si="146"/>
        <v/>
      </c>
      <c r="BS533" s="1">
        <f t="shared" si="147"/>
        <v>0</v>
      </c>
      <c r="BT533" s="4">
        <f t="shared" si="148"/>
        <v>0</v>
      </c>
      <c r="BU533" s="39">
        <f t="shared" si="149"/>
        <v>0</v>
      </c>
      <c r="BV533" s="1">
        <f t="shared" si="150"/>
        <v>0</v>
      </c>
      <c r="BW533">
        <f t="shared" si="151"/>
        <v>0</v>
      </c>
      <c r="BX533">
        <f t="shared" si="152"/>
        <v>0</v>
      </c>
    </row>
    <row r="534" spans="58:76" x14ac:dyDescent="0.25">
      <c r="BF534" s="1" t="e">
        <f>VLOOKUP(N534,'Incoming Material Report'!H:M,6,FALSE)</f>
        <v>#N/A</v>
      </c>
      <c r="BG534" s="1" t="e">
        <f>IF(VLOOKUP(N534,'Incoming Material Report'!H:N,7,FALSE)=0,"",VLOOKUP(N534,'Incoming Material Report'!H:N,7,FALSE))</f>
        <v>#N/A</v>
      </c>
      <c r="BH534" s="39">
        <f t="shared" si="136"/>
        <v>0</v>
      </c>
      <c r="BI534" s="1">
        <f t="shared" si="137"/>
        <v>0</v>
      </c>
      <c r="BJ534" s="1">
        <f t="shared" si="138"/>
        <v>0</v>
      </c>
      <c r="BK534" s="1">
        <f t="shared" si="139"/>
        <v>0</v>
      </c>
      <c r="BL534" s="1">
        <f t="shared" si="140"/>
        <v>0</v>
      </c>
      <c r="BM534" s="10" t="str">
        <f t="shared" si="141"/>
        <v/>
      </c>
      <c r="BN534" s="39">
        <f t="shared" si="142"/>
        <v>0</v>
      </c>
      <c r="BO534" s="39">
        <f t="shared" si="143"/>
        <v>0</v>
      </c>
      <c r="BP534" s="1">
        <f t="shared" si="144"/>
        <v>0</v>
      </c>
      <c r="BQ534" s="1">
        <f t="shared" si="145"/>
        <v>0</v>
      </c>
      <c r="BR534" s="1" t="str">
        <f t="shared" si="146"/>
        <v/>
      </c>
      <c r="BS534" s="1">
        <f t="shared" si="147"/>
        <v>0</v>
      </c>
      <c r="BT534" s="4">
        <f t="shared" si="148"/>
        <v>0</v>
      </c>
      <c r="BU534" s="39">
        <f t="shared" si="149"/>
        <v>0</v>
      </c>
      <c r="BV534" s="1">
        <f t="shared" si="150"/>
        <v>0</v>
      </c>
      <c r="BW534">
        <f t="shared" si="151"/>
        <v>0</v>
      </c>
      <c r="BX534">
        <f t="shared" si="152"/>
        <v>0</v>
      </c>
    </row>
    <row r="535" spans="58:76" x14ac:dyDescent="0.25">
      <c r="BF535" s="1" t="e">
        <f>VLOOKUP(N535,'Incoming Material Report'!H:M,6,FALSE)</f>
        <v>#N/A</v>
      </c>
      <c r="BG535" s="1" t="e">
        <f>IF(VLOOKUP(N535,'Incoming Material Report'!H:N,7,FALSE)=0,"",VLOOKUP(N535,'Incoming Material Report'!H:N,7,FALSE))</f>
        <v>#N/A</v>
      </c>
      <c r="BH535" s="39">
        <f t="shared" si="136"/>
        <v>0</v>
      </c>
      <c r="BI535" s="1">
        <f t="shared" si="137"/>
        <v>0</v>
      </c>
      <c r="BJ535" s="1">
        <f t="shared" si="138"/>
        <v>0</v>
      </c>
      <c r="BK535" s="1">
        <f t="shared" si="139"/>
        <v>0</v>
      </c>
      <c r="BL535" s="1">
        <f t="shared" si="140"/>
        <v>0</v>
      </c>
      <c r="BM535" s="10" t="str">
        <f t="shared" si="141"/>
        <v/>
      </c>
      <c r="BN535" s="39">
        <f t="shared" si="142"/>
        <v>0</v>
      </c>
      <c r="BO535" s="39">
        <f t="shared" si="143"/>
        <v>0</v>
      </c>
      <c r="BP535" s="1">
        <f t="shared" si="144"/>
        <v>0</v>
      </c>
      <c r="BQ535" s="1">
        <f t="shared" si="145"/>
        <v>0</v>
      </c>
      <c r="BR535" s="1" t="str">
        <f t="shared" si="146"/>
        <v/>
      </c>
      <c r="BS535" s="1">
        <f t="shared" si="147"/>
        <v>0</v>
      </c>
      <c r="BT535" s="4">
        <f t="shared" si="148"/>
        <v>0</v>
      </c>
      <c r="BU535" s="39">
        <f t="shared" si="149"/>
        <v>0</v>
      </c>
      <c r="BV535" s="1">
        <f t="shared" si="150"/>
        <v>0</v>
      </c>
      <c r="BW535">
        <f t="shared" si="151"/>
        <v>0</v>
      </c>
      <c r="BX535">
        <f t="shared" si="152"/>
        <v>0</v>
      </c>
    </row>
    <row r="536" spans="58:76" x14ac:dyDescent="0.25">
      <c r="BF536" s="1" t="e">
        <f>VLOOKUP(N536,'Incoming Material Report'!H:M,6,FALSE)</f>
        <v>#N/A</v>
      </c>
      <c r="BG536" s="1" t="e">
        <f>IF(VLOOKUP(N536,'Incoming Material Report'!H:N,7,FALSE)=0,"",VLOOKUP(N536,'Incoming Material Report'!H:N,7,FALSE))</f>
        <v>#N/A</v>
      </c>
      <c r="BH536" s="39">
        <f t="shared" si="136"/>
        <v>0</v>
      </c>
      <c r="BI536" s="1">
        <f t="shared" si="137"/>
        <v>0</v>
      </c>
      <c r="BJ536" s="1">
        <f t="shared" si="138"/>
        <v>0</v>
      </c>
      <c r="BK536" s="1">
        <f t="shared" si="139"/>
        <v>0</v>
      </c>
      <c r="BL536" s="1">
        <f t="shared" si="140"/>
        <v>0</v>
      </c>
      <c r="BM536" s="10" t="str">
        <f t="shared" si="141"/>
        <v/>
      </c>
      <c r="BN536" s="39">
        <f t="shared" si="142"/>
        <v>0</v>
      </c>
      <c r="BO536" s="39">
        <f t="shared" si="143"/>
        <v>0</v>
      </c>
      <c r="BP536" s="1">
        <f t="shared" si="144"/>
        <v>0</v>
      </c>
      <c r="BQ536" s="1">
        <f t="shared" si="145"/>
        <v>0</v>
      </c>
      <c r="BR536" s="1" t="str">
        <f t="shared" si="146"/>
        <v/>
      </c>
      <c r="BS536" s="1">
        <f t="shared" si="147"/>
        <v>0</v>
      </c>
      <c r="BT536" s="4">
        <f t="shared" si="148"/>
        <v>0</v>
      </c>
      <c r="BU536" s="39">
        <f t="shared" si="149"/>
        <v>0</v>
      </c>
      <c r="BV536" s="1">
        <f t="shared" si="150"/>
        <v>0</v>
      </c>
      <c r="BW536">
        <f t="shared" si="151"/>
        <v>0</v>
      </c>
      <c r="BX536">
        <f t="shared" si="152"/>
        <v>0</v>
      </c>
    </row>
    <row r="537" spans="58:76" x14ac:dyDescent="0.25">
      <c r="BF537" s="1" t="e">
        <f>VLOOKUP(N537,'Incoming Material Report'!H:M,6,FALSE)</f>
        <v>#N/A</v>
      </c>
      <c r="BG537" s="1" t="e">
        <f>IF(VLOOKUP(N537,'Incoming Material Report'!H:N,7,FALSE)=0,"",VLOOKUP(N537,'Incoming Material Report'!H:N,7,FALSE))</f>
        <v>#N/A</v>
      </c>
      <c r="BH537" s="39">
        <f t="shared" si="136"/>
        <v>0</v>
      </c>
      <c r="BI537" s="1">
        <f t="shared" si="137"/>
        <v>0</v>
      </c>
      <c r="BJ537" s="1">
        <f t="shared" si="138"/>
        <v>0</v>
      </c>
      <c r="BK537" s="1">
        <f t="shared" si="139"/>
        <v>0</v>
      </c>
      <c r="BL537" s="1">
        <f t="shared" si="140"/>
        <v>0</v>
      </c>
      <c r="BM537" s="10" t="str">
        <f t="shared" si="141"/>
        <v/>
      </c>
      <c r="BN537" s="39">
        <f t="shared" si="142"/>
        <v>0</v>
      </c>
      <c r="BO537" s="39">
        <f t="shared" si="143"/>
        <v>0</v>
      </c>
      <c r="BP537" s="1">
        <f t="shared" si="144"/>
        <v>0</v>
      </c>
      <c r="BQ537" s="1">
        <f t="shared" si="145"/>
        <v>0</v>
      </c>
      <c r="BR537" s="1" t="str">
        <f t="shared" si="146"/>
        <v/>
      </c>
      <c r="BS537" s="1">
        <f t="shared" si="147"/>
        <v>0</v>
      </c>
      <c r="BT537" s="4">
        <f t="shared" si="148"/>
        <v>0</v>
      </c>
      <c r="BU537" s="39">
        <f t="shared" si="149"/>
        <v>0</v>
      </c>
      <c r="BV537" s="1">
        <f t="shared" si="150"/>
        <v>0</v>
      </c>
      <c r="BW537">
        <f t="shared" si="151"/>
        <v>0</v>
      </c>
      <c r="BX537">
        <f t="shared" si="152"/>
        <v>0</v>
      </c>
    </row>
    <row r="538" spans="58:76" x14ac:dyDescent="0.25">
      <c r="BF538" s="1" t="e">
        <f>VLOOKUP(N538,'Incoming Material Report'!H:M,6,FALSE)</f>
        <v>#N/A</v>
      </c>
      <c r="BG538" s="1" t="e">
        <f>IF(VLOOKUP(N538,'Incoming Material Report'!H:N,7,FALSE)=0,"",VLOOKUP(N538,'Incoming Material Report'!H:N,7,FALSE))</f>
        <v>#N/A</v>
      </c>
      <c r="BH538" s="39">
        <f t="shared" si="136"/>
        <v>0</v>
      </c>
      <c r="BI538" s="1">
        <f t="shared" si="137"/>
        <v>0</v>
      </c>
      <c r="BJ538" s="1">
        <f t="shared" si="138"/>
        <v>0</v>
      </c>
      <c r="BK538" s="1">
        <f t="shared" si="139"/>
        <v>0</v>
      </c>
      <c r="BL538" s="1">
        <f t="shared" si="140"/>
        <v>0</v>
      </c>
      <c r="BM538" s="10" t="str">
        <f t="shared" si="141"/>
        <v/>
      </c>
      <c r="BN538" s="39">
        <f t="shared" si="142"/>
        <v>0</v>
      </c>
      <c r="BO538" s="39">
        <f t="shared" si="143"/>
        <v>0</v>
      </c>
      <c r="BP538" s="1">
        <f t="shared" si="144"/>
        <v>0</v>
      </c>
      <c r="BQ538" s="1">
        <f t="shared" si="145"/>
        <v>0</v>
      </c>
      <c r="BR538" s="1" t="str">
        <f t="shared" si="146"/>
        <v/>
      </c>
      <c r="BS538" s="1">
        <f t="shared" si="147"/>
        <v>0</v>
      </c>
      <c r="BT538" s="4">
        <f t="shared" si="148"/>
        <v>0</v>
      </c>
      <c r="BU538" s="39">
        <f t="shared" si="149"/>
        <v>0</v>
      </c>
      <c r="BV538" s="1">
        <f t="shared" si="150"/>
        <v>0</v>
      </c>
      <c r="BW538">
        <f t="shared" si="151"/>
        <v>0</v>
      </c>
      <c r="BX538">
        <f t="shared" si="152"/>
        <v>0</v>
      </c>
    </row>
    <row r="539" spans="58:76" x14ac:dyDescent="0.25">
      <c r="BF539" s="1" t="e">
        <f>VLOOKUP(N539,'Incoming Material Report'!H:M,6,FALSE)</f>
        <v>#N/A</v>
      </c>
      <c r="BG539" s="1" t="e">
        <f>IF(VLOOKUP(N539,'Incoming Material Report'!H:N,7,FALSE)=0,"",VLOOKUP(N539,'Incoming Material Report'!H:N,7,FALSE))</f>
        <v>#N/A</v>
      </c>
      <c r="BH539" s="39">
        <f t="shared" si="136"/>
        <v>0</v>
      </c>
      <c r="BI539" s="1">
        <f t="shared" si="137"/>
        <v>0</v>
      </c>
      <c r="BJ539" s="1">
        <f t="shared" si="138"/>
        <v>0</v>
      </c>
      <c r="BK539" s="1">
        <f t="shared" si="139"/>
        <v>0</v>
      </c>
      <c r="BL539" s="1">
        <f t="shared" si="140"/>
        <v>0</v>
      </c>
      <c r="BM539" s="10" t="str">
        <f t="shared" si="141"/>
        <v/>
      </c>
      <c r="BN539" s="39">
        <f t="shared" si="142"/>
        <v>0</v>
      </c>
      <c r="BO539" s="39">
        <f t="shared" si="143"/>
        <v>0</v>
      </c>
      <c r="BP539" s="1">
        <f t="shared" si="144"/>
        <v>0</v>
      </c>
      <c r="BQ539" s="1">
        <f t="shared" si="145"/>
        <v>0</v>
      </c>
      <c r="BR539" s="1" t="str">
        <f t="shared" si="146"/>
        <v/>
      </c>
      <c r="BS539" s="1">
        <f t="shared" si="147"/>
        <v>0</v>
      </c>
      <c r="BT539" s="4">
        <f t="shared" si="148"/>
        <v>0</v>
      </c>
      <c r="BU539" s="39">
        <f t="shared" si="149"/>
        <v>0</v>
      </c>
      <c r="BV539" s="1">
        <f t="shared" si="150"/>
        <v>0</v>
      </c>
      <c r="BW539">
        <f t="shared" si="151"/>
        <v>0</v>
      </c>
      <c r="BX539">
        <f t="shared" si="152"/>
        <v>0</v>
      </c>
    </row>
    <row r="540" spans="58:76" x14ac:dyDescent="0.25">
      <c r="BF540" s="1" t="e">
        <f>VLOOKUP(N540,'Incoming Material Report'!H:M,6,FALSE)</f>
        <v>#N/A</v>
      </c>
      <c r="BG540" s="1" t="e">
        <f>IF(VLOOKUP(N540,'Incoming Material Report'!H:N,7,FALSE)=0,"",VLOOKUP(N540,'Incoming Material Report'!H:N,7,FALSE))</f>
        <v>#N/A</v>
      </c>
      <c r="BH540" s="39">
        <f t="shared" si="136"/>
        <v>0</v>
      </c>
      <c r="BI540" s="1">
        <f t="shared" si="137"/>
        <v>0</v>
      </c>
      <c r="BJ540" s="1">
        <f t="shared" si="138"/>
        <v>0</v>
      </c>
      <c r="BK540" s="1">
        <f t="shared" si="139"/>
        <v>0</v>
      </c>
      <c r="BL540" s="1">
        <f t="shared" si="140"/>
        <v>0</v>
      </c>
      <c r="BM540" s="10" t="str">
        <f t="shared" si="141"/>
        <v/>
      </c>
      <c r="BN540" s="39">
        <f t="shared" si="142"/>
        <v>0</v>
      </c>
      <c r="BO540" s="39">
        <f t="shared" si="143"/>
        <v>0</v>
      </c>
      <c r="BP540" s="1">
        <f t="shared" si="144"/>
        <v>0</v>
      </c>
      <c r="BQ540" s="1">
        <f t="shared" si="145"/>
        <v>0</v>
      </c>
      <c r="BR540" s="1" t="str">
        <f t="shared" si="146"/>
        <v/>
      </c>
      <c r="BS540" s="1">
        <f t="shared" si="147"/>
        <v>0</v>
      </c>
      <c r="BT540" s="4">
        <f t="shared" si="148"/>
        <v>0</v>
      </c>
      <c r="BU540" s="39">
        <f t="shared" si="149"/>
        <v>0</v>
      </c>
      <c r="BV540" s="1">
        <f t="shared" si="150"/>
        <v>0</v>
      </c>
      <c r="BW540">
        <f t="shared" si="151"/>
        <v>0</v>
      </c>
      <c r="BX540">
        <f t="shared" si="152"/>
        <v>0</v>
      </c>
    </row>
    <row r="541" spans="58:76" x14ac:dyDescent="0.25">
      <c r="BF541" s="1" t="e">
        <f>VLOOKUP(N541,'Incoming Material Report'!H:M,6,FALSE)</f>
        <v>#N/A</v>
      </c>
      <c r="BG541" s="1" t="e">
        <f>IF(VLOOKUP(N541,'Incoming Material Report'!H:N,7,FALSE)=0,"",VLOOKUP(N541,'Incoming Material Report'!H:N,7,FALSE))</f>
        <v>#N/A</v>
      </c>
      <c r="BH541" s="39">
        <f t="shared" si="136"/>
        <v>0</v>
      </c>
      <c r="BI541" s="1">
        <f t="shared" si="137"/>
        <v>0</v>
      </c>
      <c r="BJ541" s="1">
        <f t="shared" si="138"/>
        <v>0</v>
      </c>
      <c r="BK541" s="1">
        <f t="shared" si="139"/>
        <v>0</v>
      </c>
      <c r="BL541" s="1">
        <f t="shared" si="140"/>
        <v>0</v>
      </c>
      <c r="BM541" s="10" t="str">
        <f t="shared" si="141"/>
        <v/>
      </c>
      <c r="BN541" s="39">
        <f t="shared" si="142"/>
        <v>0</v>
      </c>
      <c r="BO541" s="39">
        <f t="shared" si="143"/>
        <v>0</v>
      </c>
      <c r="BP541" s="1">
        <f t="shared" si="144"/>
        <v>0</v>
      </c>
      <c r="BQ541" s="1">
        <f t="shared" si="145"/>
        <v>0</v>
      </c>
      <c r="BR541" s="1" t="str">
        <f t="shared" si="146"/>
        <v/>
      </c>
      <c r="BS541" s="1">
        <f t="shared" si="147"/>
        <v>0</v>
      </c>
      <c r="BT541" s="4">
        <f t="shared" si="148"/>
        <v>0</v>
      </c>
      <c r="BU541" s="39">
        <f t="shared" si="149"/>
        <v>0</v>
      </c>
      <c r="BV541" s="1">
        <f t="shared" si="150"/>
        <v>0</v>
      </c>
      <c r="BW541">
        <f t="shared" si="151"/>
        <v>0</v>
      </c>
      <c r="BX541">
        <f t="shared" si="152"/>
        <v>0</v>
      </c>
    </row>
    <row r="542" spans="58:76" x14ac:dyDescent="0.25">
      <c r="BF542" s="1" t="e">
        <f>VLOOKUP(N542,'Incoming Material Report'!H:M,6,FALSE)</f>
        <v>#N/A</v>
      </c>
      <c r="BG542" s="1" t="e">
        <f>IF(VLOOKUP(N542,'Incoming Material Report'!H:N,7,FALSE)=0,"",VLOOKUP(N542,'Incoming Material Report'!H:N,7,FALSE))</f>
        <v>#N/A</v>
      </c>
      <c r="BH542" s="39">
        <f t="shared" si="136"/>
        <v>0</v>
      </c>
      <c r="BI542" s="1">
        <f t="shared" si="137"/>
        <v>0</v>
      </c>
      <c r="BJ542" s="1">
        <f t="shared" si="138"/>
        <v>0</v>
      </c>
      <c r="BK542" s="1">
        <f t="shared" si="139"/>
        <v>0</v>
      </c>
      <c r="BL542" s="1">
        <f t="shared" si="140"/>
        <v>0</v>
      </c>
      <c r="BM542" s="10" t="str">
        <f t="shared" si="141"/>
        <v/>
      </c>
      <c r="BN542" s="39">
        <f t="shared" si="142"/>
        <v>0</v>
      </c>
      <c r="BO542" s="39">
        <f t="shared" si="143"/>
        <v>0</v>
      </c>
      <c r="BP542" s="1">
        <f t="shared" si="144"/>
        <v>0</v>
      </c>
      <c r="BQ542" s="1">
        <f t="shared" si="145"/>
        <v>0</v>
      </c>
      <c r="BR542" s="1" t="str">
        <f t="shared" si="146"/>
        <v/>
      </c>
      <c r="BS542" s="1">
        <f t="shared" si="147"/>
        <v>0</v>
      </c>
      <c r="BT542" s="4">
        <f t="shared" si="148"/>
        <v>0</v>
      </c>
      <c r="BU542" s="39">
        <f t="shared" si="149"/>
        <v>0</v>
      </c>
      <c r="BV542" s="1">
        <f t="shared" si="150"/>
        <v>0</v>
      </c>
      <c r="BW542">
        <f t="shared" si="151"/>
        <v>0</v>
      </c>
      <c r="BX542">
        <f t="shared" si="152"/>
        <v>0</v>
      </c>
    </row>
    <row r="543" spans="58:76" x14ac:dyDescent="0.25">
      <c r="BF543" s="1" t="e">
        <f>VLOOKUP(N543,'Incoming Material Report'!H:M,6,FALSE)</f>
        <v>#N/A</v>
      </c>
      <c r="BG543" s="1" t="e">
        <f>IF(VLOOKUP(N543,'Incoming Material Report'!H:N,7,FALSE)=0,"",VLOOKUP(N543,'Incoming Material Report'!H:N,7,FALSE))</f>
        <v>#N/A</v>
      </c>
      <c r="BH543" s="39">
        <f t="shared" si="136"/>
        <v>0</v>
      </c>
      <c r="BI543" s="1">
        <f t="shared" si="137"/>
        <v>0</v>
      </c>
      <c r="BJ543" s="1">
        <f t="shared" si="138"/>
        <v>0</v>
      </c>
      <c r="BK543" s="1">
        <f t="shared" si="139"/>
        <v>0</v>
      </c>
      <c r="BL543" s="1">
        <f t="shared" si="140"/>
        <v>0</v>
      </c>
      <c r="BM543" s="10" t="str">
        <f t="shared" si="141"/>
        <v/>
      </c>
      <c r="BN543" s="39">
        <f t="shared" si="142"/>
        <v>0</v>
      </c>
      <c r="BO543" s="39">
        <f t="shared" si="143"/>
        <v>0</v>
      </c>
      <c r="BP543" s="1">
        <f t="shared" si="144"/>
        <v>0</v>
      </c>
      <c r="BQ543" s="1">
        <f t="shared" si="145"/>
        <v>0</v>
      </c>
      <c r="BR543" s="1" t="str">
        <f t="shared" si="146"/>
        <v/>
      </c>
      <c r="BS543" s="1">
        <f t="shared" si="147"/>
        <v>0</v>
      </c>
      <c r="BT543" s="4">
        <f t="shared" si="148"/>
        <v>0</v>
      </c>
      <c r="BU543" s="39">
        <f t="shared" si="149"/>
        <v>0</v>
      </c>
      <c r="BV543" s="1">
        <f t="shared" si="150"/>
        <v>0</v>
      </c>
      <c r="BW543">
        <f t="shared" si="151"/>
        <v>0</v>
      </c>
      <c r="BX543">
        <f t="shared" si="152"/>
        <v>0</v>
      </c>
    </row>
    <row r="544" spans="58:76" x14ac:dyDescent="0.25">
      <c r="BF544" s="1" t="e">
        <f>VLOOKUP(N544,'Incoming Material Report'!H:M,6,FALSE)</f>
        <v>#N/A</v>
      </c>
      <c r="BG544" s="1" t="e">
        <f>IF(VLOOKUP(N544,'Incoming Material Report'!H:N,7,FALSE)=0,"",VLOOKUP(N544,'Incoming Material Report'!H:N,7,FALSE))</f>
        <v>#N/A</v>
      </c>
      <c r="BH544" s="39">
        <f t="shared" si="136"/>
        <v>0</v>
      </c>
      <c r="BI544" s="1">
        <f t="shared" si="137"/>
        <v>0</v>
      </c>
      <c r="BJ544" s="1">
        <f t="shared" si="138"/>
        <v>0</v>
      </c>
      <c r="BK544" s="1">
        <f t="shared" si="139"/>
        <v>0</v>
      </c>
      <c r="BL544" s="1">
        <f t="shared" si="140"/>
        <v>0</v>
      </c>
      <c r="BM544" s="10" t="str">
        <f t="shared" si="141"/>
        <v/>
      </c>
      <c r="BN544" s="39">
        <f t="shared" si="142"/>
        <v>0</v>
      </c>
      <c r="BO544" s="39">
        <f t="shared" si="143"/>
        <v>0</v>
      </c>
      <c r="BP544" s="1">
        <f t="shared" si="144"/>
        <v>0</v>
      </c>
      <c r="BQ544" s="1">
        <f t="shared" si="145"/>
        <v>0</v>
      </c>
      <c r="BR544" s="1" t="str">
        <f t="shared" si="146"/>
        <v/>
      </c>
      <c r="BS544" s="1">
        <f t="shared" si="147"/>
        <v>0</v>
      </c>
      <c r="BT544" s="4">
        <f t="shared" si="148"/>
        <v>0</v>
      </c>
      <c r="BU544" s="39">
        <f t="shared" si="149"/>
        <v>0</v>
      </c>
      <c r="BV544" s="1">
        <f t="shared" si="150"/>
        <v>0</v>
      </c>
      <c r="BW544">
        <f t="shared" si="151"/>
        <v>0</v>
      </c>
      <c r="BX544">
        <f t="shared" si="152"/>
        <v>0</v>
      </c>
    </row>
    <row r="545" spans="58:76" x14ac:dyDescent="0.25">
      <c r="BF545" s="1" t="e">
        <f>VLOOKUP(N545,'Incoming Material Report'!H:M,6,FALSE)</f>
        <v>#N/A</v>
      </c>
      <c r="BG545" s="1" t="e">
        <f>IF(VLOOKUP(N545,'Incoming Material Report'!H:N,7,FALSE)=0,"",VLOOKUP(N545,'Incoming Material Report'!H:N,7,FALSE))</f>
        <v>#N/A</v>
      </c>
      <c r="BH545" s="39">
        <f t="shared" si="136"/>
        <v>0</v>
      </c>
      <c r="BI545" s="1">
        <f t="shared" si="137"/>
        <v>0</v>
      </c>
      <c r="BJ545" s="1">
        <f t="shared" si="138"/>
        <v>0</v>
      </c>
      <c r="BK545" s="1">
        <f t="shared" si="139"/>
        <v>0</v>
      </c>
      <c r="BL545" s="1">
        <f t="shared" si="140"/>
        <v>0</v>
      </c>
      <c r="BM545" s="10" t="str">
        <f t="shared" si="141"/>
        <v/>
      </c>
      <c r="BN545" s="39">
        <f t="shared" si="142"/>
        <v>0</v>
      </c>
      <c r="BO545" s="39">
        <f t="shared" si="143"/>
        <v>0</v>
      </c>
      <c r="BP545" s="1">
        <f t="shared" si="144"/>
        <v>0</v>
      </c>
      <c r="BQ545" s="1">
        <f t="shared" si="145"/>
        <v>0</v>
      </c>
      <c r="BR545" s="1" t="str">
        <f t="shared" si="146"/>
        <v/>
      </c>
      <c r="BS545" s="1">
        <f t="shared" si="147"/>
        <v>0</v>
      </c>
      <c r="BT545" s="4">
        <f t="shared" si="148"/>
        <v>0</v>
      </c>
      <c r="BU545" s="39">
        <f t="shared" si="149"/>
        <v>0</v>
      </c>
      <c r="BV545" s="1">
        <f t="shared" si="150"/>
        <v>0</v>
      </c>
      <c r="BW545">
        <f t="shared" si="151"/>
        <v>0</v>
      </c>
      <c r="BX545">
        <f t="shared" si="152"/>
        <v>0</v>
      </c>
    </row>
    <row r="546" spans="58:76" x14ac:dyDescent="0.25">
      <c r="BF546" s="1" t="e">
        <f>VLOOKUP(N546,'Incoming Material Report'!H:M,6,FALSE)</f>
        <v>#N/A</v>
      </c>
      <c r="BG546" s="1" t="e">
        <f>IF(VLOOKUP(N546,'Incoming Material Report'!H:N,7,FALSE)=0,"",VLOOKUP(N546,'Incoming Material Report'!H:N,7,FALSE))</f>
        <v>#N/A</v>
      </c>
      <c r="BH546" s="39">
        <f t="shared" si="136"/>
        <v>0</v>
      </c>
      <c r="BI546" s="1">
        <f t="shared" si="137"/>
        <v>0</v>
      </c>
      <c r="BJ546" s="1">
        <f t="shared" si="138"/>
        <v>0</v>
      </c>
      <c r="BK546" s="1">
        <f t="shared" si="139"/>
        <v>0</v>
      </c>
      <c r="BL546" s="1">
        <f t="shared" si="140"/>
        <v>0</v>
      </c>
      <c r="BM546" s="10" t="str">
        <f t="shared" si="141"/>
        <v/>
      </c>
      <c r="BN546" s="39">
        <f t="shared" si="142"/>
        <v>0</v>
      </c>
      <c r="BO546" s="39">
        <f t="shared" si="143"/>
        <v>0</v>
      </c>
      <c r="BP546" s="1">
        <f t="shared" si="144"/>
        <v>0</v>
      </c>
      <c r="BQ546" s="1">
        <f t="shared" si="145"/>
        <v>0</v>
      </c>
      <c r="BR546" s="1" t="str">
        <f t="shared" si="146"/>
        <v/>
      </c>
      <c r="BS546" s="1">
        <f t="shared" si="147"/>
        <v>0</v>
      </c>
      <c r="BT546" s="4">
        <f t="shared" si="148"/>
        <v>0</v>
      </c>
      <c r="BU546" s="39">
        <f t="shared" si="149"/>
        <v>0</v>
      </c>
      <c r="BV546" s="1">
        <f t="shared" si="150"/>
        <v>0</v>
      </c>
      <c r="BW546">
        <f t="shared" si="151"/>
        <v>0</v>
      </c>
      <c r="BX546">
        <f t="shared" si="152"/>
        <v>0</v>
      </c>
    </row>
    <row r="547" spans="58:76" x14ac:dyDescent="0.25">
      <c r="BF547" s="1" t="e">
        <f>VLOOKUP(N547,'Incoming Material Report'!H:M,6,FALSE)</f>
        <v>#N/A</v>
      </c>
      <c r="BG547" s="1" t="e">
        <f>IF(VLOOKUP(N547,'Incoming Material Report'!H:N,7,FALSE)=0,"",VLOOKUP(N547,'Incoming Material Report'!H:N,7,FALSE))</f>
        <v>#N/A</v>
      </c>
      <c r="BH547" s="39">
        <f t="shared" si="136"/>
        <v>0</v>
      </c>
      <c r="BI547" s="1">
        <f t="shared" si="137"/>
        <v>0</v>
      </c>
      <c r="BJ547" s="1">
        <f t="shared" si="138"/>
        <v>0</v>
      </c>
      <c r="BK547" s="1">
        <f t="shared" si="139"/>
        <v>0</v>
      </c>
      <c r="BL547" s="1">
        <f t="shared" si="140"/>
        <v>0</v>
      </c>
      <c r="BM547" s="10" t="str">
        <f t="shared" si="141"/>
        <v/>
      </c>
      <c r="BN547" s="39">
        <f t="shared" si="142"/>
        <v>0</v>
      </c>
      <c r="BO547" s="39">
        <f t="shared" si="143"/>
        <v>0</v>
      </c>
      <c r="BP547" s="1">
        <f t="shared" si="144"/>
        <v>0</v>
      </c>
      <c r="BQ547" s="1">
        <f t="shared" si="145"/>
        <v>0</v>
      </c>
      <c r="BR547" s="1" t="str">
        <f t="shared" si="146"/>
        <v/>
      </c>
      <c r="BS547" s="1">
        <f t="shared" si="147"/>
        <v>0</v>
      </c>
      <c r="BT547" s="4">
        <f t="shared" si="148"/>
        <v>0</v>
      </c>
      <c r="BU547" s="39">
        <f t="shared" si="149"/>
        <v>0</v>
      </c>
      <c r="BV547" s="1">
        <f t="shared" si="150"/>
        <v>0</v>
      </c>
      <c r="BW547">
        <f t="shared" si="151"/>
        <v>0</v>
      </c>
      <c r="BX547">
        <f t="shared" si="152"/>
        <v>0</v>
      </c>
    </row>
    <row r="548" spans="58:76" x14ac:dyDescent="0.25">
      <c r="BF548" s="1" t="e">
        <f>VLOOKUP(N548,'Incoming Material Report'!H:M,6,FALSE)</f>
        <v>#N/A</v>
      </c>
      <c r="BG548" s="1" t="e">
        <f>IF(VLOOKUP(N548,'Incoming Material Report'!H:N,7,FALSE)=0,"",VLOOKUP(N548,'Incoming Material Report'!H:N,7,FALSE))</f>
        <v>#N/A</v>
      </c>
      <c r="BH548" s="39">
        <f t="shared" si="136"/>
        <v>0</v>
      </c>
      <c r="BI548" s="1">
        <f t="shared" si="137"/>
        <v>0</v>
      </c>
      <c r="BJ548" s="1">
        <f t="shared" si="138"/>
        <v>0</v>
      </c>
      <c r="BK548" s="1">
        <f t="shared" si="139"/>
        <v>0</v>
      </c>
      <c r="BL548" s="1">
        <f t="shared" si="140"/>
        <v>0</v>
      </c>
      <c r="BM548" s="10" t="str">
        <f t="shared" si="141"/>
        <v/>
      </c>
      <c r="BN548" s="39">
        <f t="shared" si="142"/>
        <v>0</v>
      </c>
      <c r="BO548" s="39">
        <f t="shared" si="143"/>
        <v>0</v>
      </c>
      <c r="BP548" s="1">
        <f t="shared" si="144"/>
        <v>0</v>
      </c>
      <c r="BQ548" s="1">
        <f t="shared" si="145"/>
        <v>0</v>
      </c>
      <c r="BR548" s="1" t="str">
        <f t="shared" si="146"/>
        <v/>
      </c>
      <c r="BS548" s="1">
        <f t="shared" si="147"/>
        <v>0</v>
      </c>
      <c r="BT548" s="4">
        <f t="shared" si="148"/>
        <v>0</v>
      </c>
      <c r="BU548" s="39">
        <f t="shared" si="149"/>
        <v>0</v>
      </c>
      <c r="BV548" s="1">
        <f t="shared" si="150"/>
        <v>0</v>
      </c>
      <c r="BW548">
        <f t="shared" si="151"/>
        <v>0</v>
      </c>
      <c r="BX548">
        <f t="shared" si="152"/>
        <v>0</v>
      </c>
    </row>
    <row r="549" spans="58:76" x14ac:dyDescent="0.25">
      <c r="BF549" s="1" t="e">
        <f>VLOOKUP(N549,'Incoming Material Report'!H:M,6,FALSE)</f>
        <v>#N/A</v>
      </c>
      <c r="BG549" s="1" t="e">
        <f>IF(VLOOKUP(N549,'Incoming Material Report'!H:N,7,FALSE)=0,"",VLOOKUP(N549,'Incoming Material Report'!H:N,7,FALSE))</f>
        <v>#N/A</v>
      </c>
      <c r="BH549" s="39">
        <f t="shared" si="136"/>
        <v>0</v>
      </c>
      <c r="BI549" s="1">
        <f t="shared" si="137"/>
        <v>0</v>
      </c>
      <c r="BJ549" s="1">
        <f t="shared" si="138"/>
        <v>0</v>
      </c>
      <c r="BK549" s="1">
        <f t="shared" si="139"/>
        <v>0</v>
      </c>
      <c r="BL549" s="1">
        <f t="shared" si="140"/>
        <v>0</v>
      </c>
      <c r="BM549" s="10" t="str">
        <f t="shared" si="141"/>
        <v/>
      </c>
      <c r="BN549" s="39">
        <f t="shared" si="142"/>
        <v>0</v>
      </c>
      <c r="BO549" s="39">
        <f t="shared" si="143"/>
        <v>0</v>
      </c>
      <c r="BP549" s="1">
        <f t="shared" si="144"/>
        <v>0</v>
      </c>
      <c r="BQ549" s="1">
        <f t="shared" si="145"/>
        <v>0</v>
      </c>
      <c r="BR549" s="1" t="str">
        <f t="shared" si="146"/>
        <v/>
      </c>
      <c r="BS549" s="1">
        <f t="shared" si="147"/>
        <v>0</v>
      </c>
      <c r="BT549" s="4">
        <f t="shared" si="148"/>
        <v>0</v>
      </c>
      <c r="BU549" s="39">
        <f t="shared" si="149"/>
        <v>0</v>
      </c>
      <c r="BV549" s="1">
        <f t="shared" si="150"/>
        <v>0</v>
      </c>
      <c r="BW549">
        <f t="shared" si="151"/>
        <v>0</v>
      </c>
      <c r="BX549">
        <f t="shared" si="152"/>
        <v>0</v>
      </c>
    </row>
    <row r="550" spans="58:76" x14ac:dyDescent="0.25">
      <c r="BF550" s="1" t="e">
        <f>VLOOKUP(N550,'Incoming Material Report'!H:M,6,FALSE)</f>
        <v>#N/A</v>
      </c>
      <c r="BG550" s="1" t="e">
        <f>IF(VLOOKUP(N550,'Incoming Material Report'!H:N,7,FALSE)=0,"",VLOOKUP(N550,'Incoming Material Report'!H:N,7,FALSE))</f>
        <v>#N/A</v>
      </c>
      <c r="BH550" s="39">
        <f t="shared" si="136"/>
        <v>0</v>
      </c>
      <c r="BI550" s="1">
        <f t="shared" si="137"/>
        <v>0</v>
      </c>
      <c r="BJ550" s="1">
        <f t="shared" si="138"/>
        <v>0</v>
      </c>
      <c r="BK550" s="1">
        <f t="shared" si="139"/>
        <v>0</v>
      </c>
      <c r="BL550" s="1">
        <f t="shared" si="140"/>
        <v>0</v>
      </c>
      <c r="BM550" s="10" t="str">
        <f t="shared" si="141"/>
        <v/>
      </c>
      <c r="BN550" s="39">
        <f t="shared" si="142"/>
        <v>0</v>
      </c>
      <c r="BO550" s="39">
        <f t="shared" si="143"/>
        <v>0</v>
      </c>
      <c r="BP550" s="1">
        <f t="shared" si="144"/>
        <v>0</v>
      </c>
      <c r="BQ550" s="1">
        <f t="shared" si="145"/>
        <v>0</v>
      </c>
      <c r="BR550" s="1" t="str">
        <f t="shared" si="146"/>
        <v/>
      </c>
      <c r="BS550" s="1">
        <f t="shared" si="147"/>
        <v>0</v>
      </c>
      <c r="BT550" s="4">
        <f t="shared" si="148"/>
        <v>0</v>
      </c>
      <c r="BU550" s="39">
        <f t="shared" si="149"/>
        <v>0</v>
      </c>
      <c r="BV550" s="1">
        <f t="shared" si="150"/>
        <v>0</v>
      </c>
      <c r="BW550">
        <f t="shared" si="151"/>
        <v>0</v>
      </c>
      <c r="BX550">
        <f t="shared" si="152"/>
        <v>0</v>
      </c>
    </row>
    <row r="551" spans="58:76" x14ac:dyDescent="0.25">
      <c r="BF551" s="1" t="e">
        <f>VLOOKUP(N551,'Incoming Material Report'!H:M,6,FALSE)</f>
        <v>#N/A</v>
      </c>
      <c r="BG551" s="1" t="e">
        <f>IF(VLOOKUP(N551,'Incoming Material Report'!H:N,7,FALSE)=0,"",VLOOKUP(N551,'Incoming Material Report'!H:N,7,FALSE))</f>
        <v>#N/A</v>
      </c>
      <c r="BH551" s="39">
        <f t="shared" si="136"/>
        <v>0</v>
      </c>
      <c r="BI551" s="1">
        <f t="shared" si="137"/>
        <v>0</v>
      </c>
      <c r="BJ551" s="1">
        <f t="shared" si="138"/>
        <v>0</v>
      </c>
      <c r="BK551" s="1">
        <f t="shared" si="139"/>
        <v>0</v>
      </c>
      <c r="BL551" s="1">
        <f t="shared" si="140"/>
        <v>0</v>
      </c>
      <c r="BM551" s="10" t="str">
        <f t="shared" si="141"/>
        <v/>
      </c>
      <c r="BN551" s="39">
        <f t="shared" si="142"/>
        <v>0</v>
      </c>
      <c r="BO551" s="39">
        <f t="shared" si="143"/>
        <v>0</v>
      </c>
      <c r="BP551" s="1">
        <f t="shared" si="144"/>
        <v>0</v>
      </c>
      <c r="BQ551" s="1">
        <f t="shared" si="145"/>
        <v>0</v>
      </c>
      <c r="BR551" s="1" t="str">
        <f t="shared" si="146"/>
        <v/>
      </c>
      <c r="BS551" s="1">
        <f t="shared" si="147"/>
        <v>0</v>
      </c>
      <c r="BT551" s="4">
        <f t="shared" si="148"/>
        <v>0</v>
      </c>
      <c r="BU551" s="39">
        <f t="shared" si="149"/>
        <v>0</v>
      </c>
      <c r="BV551" s="1">
        <f t="shared" si="150"/>
        <v>0</v>
      </c>
      <c r="BW551">
        <f t="shared" si="151"/>
        <v>0</v>
      </c>
      <c r="BX551">
        <f t="shared" si="152"/>
        <v>0</v>
      </c>
    </row>
    <row r="552" spans="58:76" x14ac:dyDescent="0.25">
      <c r="BF552" s="1" t="e">
        <f>VLOOKUP(N552,'Incoming Material Report'!H:M,6,FALSE)</f>
        <v>#N/A</v>
      </c>
      <c r="BG552" s="1" t="e">
        <f>IF(VLOOKUP(N552,'Incoming Material Report'!H:N,7,FALSE)=0,"",VLOOKUP(N552,'Incoming Material Report'!H:N,7,FALSE))</f>
        <v>#N/A</v>
      </c>
      <c r="BH552" s="39">
        <f t="shared" si="136"/>
        <v>0</v>
      </c>
      <c r="BI552" s="1">
        <f t="shared" si="137"/>
        <v>0</v>
      </c>
      <c r="BJ552" s="1">
        <f t="shared" si="138"/>
        <v>0</v>
      </c>
      <c r="BK552" s="1">
        <f t="shared" si="139"/>
        <v>0</v>
      </c>
      <c r="BL552" s="1">
        <f t="shared" si="140"/>
        <v>0</v>
      </c>
      <c r="BM552" s="10" t="str">
        <f t="shared" si="141"/>
        <v/>
      </c>
      <c r="BN552" s="39">
        <f t="shared" si="142"/>
        <v>0</v>
      </c>
      <c r="BO552" s="39">
        <f t="shared" si="143"/>
        <v>0</v>
      </c>
      <c r="BP552" s="1">
        <f t="shared" si="144"/>
        <v>0</v>
      </c>
      <c r="BQ552" s="1">
        <f t="shared" si="145"/>
        <v>0</v>
      </c>
      <c r="BR552" s="1" t="str">
        <f t="shared" si="146"/>
        <v/>
      </c>
      <c r="BS552" s="1">
        <f t="shared" si="147"/>
        <v>0</v>
      </c>
      <c r="BT552" s="4">
        <f t="shared" si="148"/>
        <v>0</v>
      </c>
      <c r="BU552" s="39">
        <f t="shared" si="149"/>
        <v>0</v>
      </c>
      <c r="BV552" s="1">
        <f t="shared" si="150"/>
        <v>0</v>
      </c>
      <c r="BW552">
        <f t="shared" si="151"/>
        <v>0</v>
      </c>
      <c r="BX552">
        <f t="shared" si="152"/>
        <v>0</v>
      </c>
    </row>
    <row r="553" spans="58:76" x14ac:dyDescent="0.25">
      <c r="BF553" s="1" t="e">
        <f>VLOOKUP(N553,'Incoming Material Report'!H:M,6,FALSE)</f>
        <v>#N/A</v>
      </c>
      <c r="BG553" s="1" t="e">
        <f>IF(VLOOKUP(N553,'Incoming Material Report'!H:N,7,FALSE)=0,"",VLOOKUP(N553,'Incoming Material Report'!H:N,7,FALSE))</f>
        <v>#N/A</v>
      </c>
      <c r="BH553" s="39">
        <f t="shared" si="136"/>
        <v>0</v>
      </c>
      <c r="BI553" s="1">
        <f t="shared" si="137"/>
        <v>0</v>
      </c>
      <c r="BJ553" s="1">
        <f t="shared" si="138"/>
        <v>0</v>
      </c>
      <c r="BK553" s="1">
        <f t="shared" si="139"/>
        <v>0</v>
      </c>
      <c r="BL553" s="1">
        <f t="shared" si="140"/>
        <v>0</v>
      </c>
      <c r="BM553" s="10" t="str">
        <f t="shared" si="141"/>
        <v/>
      </c>
      <c r="BN553" s="39">
        <f t="shared" si="142"/>
        <v>0</v>
      </c>
      <c r="BO553" s="39">
        <f t="shared" si="143"/>
        <v>0</v>
      </c>
      <c r="BP553" s="1">
        <f t="shared" si="144"/>
        <v>0</v>
      </c>
      <c r="BQ553" s="1">
        <f t="shared" si="145"/>
        <v>0</v>
      </c>
      <c r="BR553" s="1" t="str">
        <f t="shared" si="146"/>
        <v/>
      </c>
      <c r="BS553" s="1">
        <f t="shared" si="147"/>
        <v>0</v>
      </c>
      <c r="BT553" s="4">
        <f t="shared" si="148"/>
        <v>0</v>
      </c>
      <c r="BU553" s="39">
        <f t="shared" si="149"/>
        <v>0</v>
      </c>
      <c r="BV553" s="1">
        <f t="shared" si="150"/>
        <v>0</v>
      </c>
      <c r="BW553">
        <f t="shared" si="151"/>
        <v>0</v>
      </c>
      <c r="BX553">
        <f t="shared" si="152"/>
        <v>0</v>
      </c>
    </row>
    <row r="554" spans="58:76" x14ac:dyDescent="0.25">
      <c r="BF554" s="1" t="e">
        <f>VLOOKUP(N554,'Incoming Material Report'!H:M,6,FALSE)</f>
        <v>#N/A</v>
      </c>
      <c r="BG554" s="1" t="e">
        <f>IF(VLOOKUP(N554,'Incoming Material Report'!H:N,7,FALSE)=0,"",VLOOKUP(N554,'Incoming Material Report'!H:N,7,FALSE))</f>
        <v>#N/A</v>
      </c>
      <c r="BH554" s="39">
        <f t="shared" si="136"/>
        <v>0</v>
      </c>
      <c r="BI554" s="1">
        <f t="shared" si="137"/>
        <v>0</v>
      </c>
      <c r="BJ554" s="1">
        <f t="shared" si="138"/>
        <v>0</v>
      </c>
      <c r="BK554" s="1">
        <f t="shared" si="139"/>
        <v>0</v>
      </c>
      <c r="BL554" s="1">
        <f t="shared" si="140"/>
        <v>0</v>
      </c>
      <c r="BM554" s="10" t="str">
        <f t="shared" si="141"/>
        <v/>
      </c>
      <c r="BN554" s="39">
        <f t="shared" si="142"/>
        <v>0</v>
      </c>
      <c r="BO554" s="39">
        <f t="shared" si="143"/>
        <v>0</v>
      </c>
      <c r="BP554" s="1">
        <f t="shared" si="144"/>
        <v>0</v>
      </c>
      <c r="BQ554" s="1">
        <f t="shared" si="145"/>
        <v>0</v>
      </c>
      <c r="BR554" s="1" t="str">
        <f t="shared" si="146"/>
        <v/>
      </c>
      <c r="BS554" s="1">
        <f t="shared" si="147"/>
        <v>0</v>
      </c>
      <c r="BT554" s="4">
        <f t="shared" si="148"/>
        <v>0</v>
      </c>
      <c r="BU554" s="39">
        <f t="shared" si="149"/>
        <v>0</v>
      </c>
      <c r="BV554" s="1">
        <f t="shared" si="150"/>
        <v>0</v>
      </c>
      <c r="BW554">
        <f t="shared" si="151"/>
        <v>0</v>
      </c>
      <c r="BX554">
        <f t="shared" si="152"/>
        <v>0</v>
      </c>
    </row>
    <row r="555" spans="58:76" x14ac:dyDescent="0.25">
      <c r="BF555" s="1" t="e">
        <f>VLOOKUP(N555,'Incoming Material Report'!H:M,6,FALSE)</f>
        <v>#N/A</v>
      </c>
      <c r="BG555" s="1" t="e">
        <f>IF(VLOOKUP(N555,'Incoming Material Report'!H:N,7,FALSE)=0,"",VLOOKUP(N555,'Incoming Material Report'!H:N,7,FALSE))</f>
        <v>#N/A</v>
      </c>
      <c r="BH555" s="39">
        <f t="shared" si="136"/>
        <v>0</v>
      </c>
      <c r="BI555" s="1">
        <f t="shared" si="137"/>
        <v>0</v>
      </c>
      <c r="BJ555" s="1">
        <f t="shared" si="138"/>
        <v>0</v>
      </c>
      <c r="BK555" s="1">
        <f t="shared" si="139"/>
        <v>0</v>
      </c>
      <c r="BL555" s="1">
        <f t="shared" si="140"/>
        <v>0</v>
      </c>
      <c r="BM555" s="10" t="str">
        <f t="shared" si="141"/>
        <v/>
      </c>
      <c r="BN555" s="39">
        <f t="shared" si="142"/>
        <v>0</v>
      </c>
      <c r="BO555" s="39">
        <f t="shared" si="143"/>
        <v>0</v>
      </c>
      <c r="BP555" s="1">
        <f t="shared" si="144"/>
        <v>0</v>
      </c>
      <c r="BQ555" s="1">
        <f t="shared" si="145"/>
        <v>0</v>
      </c>
      <c r="BR555" s="1" t="str">
        <f t="shared" si="146"/>
        <v/>
      </c>
      <c r="BS555" s="1">
        <f t="shared" si="147"/>
        <v>0</v>
      </c>
      <c r="BT555" s="4">
        <f t="shared" si="148"/>
        <v>0</v>
      </c>
      <c r="BU555" s="39">
        <f t="shared" si="149"/>
        <v>0</v>
      </c>
      <c r="BV555" s="1">
        <f t="shared" si="150"/>
        <v>0</v>
      </c>
      <c r="BW555">
        <f t="shared" si="151"/>
        <v>0</v>
      </c>
      <c r="BX555">
        <f t="shared" si="152"/>
        <v>0</v>
      </c>
    </row>
    <row r="556" spans="58:76" x14ac:dyDescent="0.25">
      <c r="BF556" s="1" t="e">
        <f>VLOOKUP(N556,'Incoming Material Report'!H:M,6,FALSE)</f>
        <v>#N/A</v>
      </c>
      <c r="BG556" s="1" t="e">
        <f>IF(VLOOKUP(N556,'Incoming Material Report'!H:N,7,FALSE)=0,"",VLOOKUP(N556,'Incoming Material Report'!H:N,7,FALSE))</f>
        <v>#N/A</v>
      </c>
      <c r="BH556" s="39">
        <f t="shared" si="136"/>
        <v>0</v>
      </c>
      <c r="BI556" s="1">
        <f t="shared" si="137"/>
        <v>0</v>
      </c>
      <c r="BJ556" s="1">
        <f t="shared" si="138"/>
        <v>0</v>
      </c>
      <c r="BK556" s="1">
        <f t="shared" si="139"/>
        <v>0</v>
      </c>
      <c r="BL556" s="1">
        <f t="shared" si="140"/>
        <v>0</v>
      </c>
      <c r="BM556" s="10" t="str">
        <f t="shared" si="141"/>
        <v/>
      </c>
      <c r="BN556" s="39">
        <f t="shared" si="142"/>
        <v>0</v>
      </c>
      <c r="BO556" s="39">
        <f t="shared" si="143"/>
        <v>0</v>
      </c>
      <c r="BP556" s="1">
        <f t="shared" si="144"/>
        <v>0</v>
      </c>
      <c r="BQ556" s="1">
        <f t="shared" si="145"/>
        <v>0</v>
      </c>
      <c r="BR556" s="1" t="str">
        <f t="shared" si="146"/>
        <v/>
      </c>
      <c r="BS556" s="1">
        <f t="shared" si="147"/>
        <v>0</v>
      </c>
      <c r="BT556" s="4">
        <f t="shared" si="148"/>
        <v>0</v>
      </c>
      <c r="BU556" s="39">
        <f t="shared" si="149"/>
        <v>0</v>
      </c>
      <c r="BV556" s="1">
        <f t="shared" si="150"/>
        <v>0</v>
      </c>
      <c r="BW556">
        <f t="shared" si="151"/>
        <v>0</v>
      </c>
      <c r="BX556">
        <f t="shared" si="152"/>
        <v>0</v>
      </c>
    </row>
    <row r="557" spans="58:76" x14ac:dyDescent="0.25">
      <c r="BF557" s="1" t="e">
        <f>VLOOKUP(N557,'Incoming Material Report'!H:M,6,FALSE)</f>
        <v>#N/A</v>
      </c>
      <c r="BG557" s="1" t="e">
        <f>IF(VLOOKUP(N557,'Incoming Material Report'!H:N,7,FALSE)=0,"",VLOOKUP(N557,'Incoming Material Report'!H:N,7,FALSE))</f>
        <v>#N/A</v>
      </c>
      <c r="BH557" s="39">
        <f t="shared" si="136"/>
        <v>0</v>
      </c>
      <c r="BI557" s="1">
        <f t="shared" si="137"/>
        <v>0</v>
      </c>
      <c r="BJ557" s="1">
        <f t="shared" si="138"/>
        <v>0</v>
      </c>
      <c r="BK557" s="1">
        <f t="shared" si="139"/>
        <v>0</v>
      </c>
      <c r="BL557" s="1">
        <f t="shared" si="140"/>
        <v>0</v>
      </c>
      <c r="BM557" s="10" t="str">
        <f t="shared" si="141"/>
        <v/>
      </c>
      <c r="BN557" s="39">
        <f t="shared" si="142"/>
        <v>0</v>
      </c>
      <c r="BO557" s="39">
        <f t="shared" si="143"/>
        <v>0</v>
      </c>
      <c r="BP557" s="1">
        <f t="shared" si="144"/>
        <v>0</v>
      </c>
      <c r="BQ557" s="1">
        <f t="shared" si="145"/>
        <v>0</v>
      </c>
      <c r="BR557" s="1" t="str">
        <f t="shared" si="146"/>
        <v/>
      </c>
      <c r="BS557" s="1">
        <f t="shared" si="147"/>
        <v>0</v>
      </c>
      <c r="BT557" s="4">
        <f t="shared" si="148"/>
        <v>0</v>
      </c>
      <c r="BU557" s="39">
        <f t="shared" si="149"/>
        <v>0</v>
      </c>
      <c r="BV557" s="1">
        <f t="shared" si="150"/>
        <v>0</v>
      </c>
      <c r="BW557">
        <f t="shared" si="151"/>
        <v>0</v>
      </c>
      <c r="BX557">
        <f t="shared" si="152"/>
        <v>0</v>
      </c>
    </row>
    <row r="558" spans="58:76" x14ac:dyDescent="0.25">
      <c r="BF558" s="1" t="e">
        <f>VLOOKUP(N558,'Incoming Material Report'!H:M,6,FALSE)</f>
        <v>#N/A</v>
      </c>
      <c r="BG558" s="1" t="e">
        <f>IF(VLOOKUP(N558,'Incoming Material Report'!H:N,7,FALSE)=0,"",VLOOKUP(N558,'Incoming Material Report'!H:N,7,FALSE))</f>
        <v>#N/A</v>
      </c>
      <c r="BH558" s="39">
        <f t="shared" si="136"/>
        <v>0</v>
      </c>
      <c r="BI558" s="1">
        <f t="shared" si="137"/>
        <v>0</v>
      </c>
      <c r="BJ558" s="1">
        <f t="shared" si="138"/>
        <v>0</v>
      </c>
      <c r="BK558" s="1">
        <f t="shared" si="139"/>
        <v>0</v>
      </c>
      <c r="BL558" s="1">
        <f t="shared" si="140"/>
        <v>0</v>
      </c>
      <c r="BM558" s="10" t="str">
        <f t="shared" si="141"/>
        <v/>
      </c>
      <c r="BN558" s="39">
        <f t="shared" si="142"/>
        <v>0</v>
      </c>
      <c r="BO558" s="39">
        <f t="shared" si="143"/>
        <v>0</v>
      </c>
      <c r="BP558" s="1">
        <f t="shared" si="144"/>
        <v>0</v>
      </c>
      <c r="BQ558" s="1">
        <f t="shared" si="145"/>
        <v>0</v>
      </c>
      <c r="BR558" s="1" t="str">
        <f t="shared" si="146"/>
        <v/>
      </c>
      <c r="BS558" s="1">
        <f t="shared" si="147"/>
        <v>0</v>
      </c>
      <c r="BT558" s="4">
        <f t="shared" si="148"/>
        <v>0</v>
      </c>
      <c r="BU558" s="39">
        <f t="shared" si="149"/>
        <v>0</v>
      </c>
      <c r="BV558" s="1">
        <f t="shared" si="150"/>
        <v>0</v>
      </c>
      <c r="BW558">
        <f t="shared" si="151"/>
        <v>0</v>
      </c>
      <c r="BX558">
        <f t="shared" si="152"/>
        <v>0</v>
      </c>
    </row>
    <row r="559" spans="58:76" x14ac:dyDescent="0.25">
      <c r="BF559" s="1" t="e">
        <f>VLOOKUP(N559,'Incoming Material Report'!H:M,6,FALSE)</f>
        <v>#N/A</v>
      </c>
      <c r="BG559" s="1" t="e">
        <f>IF(VLOOKUP(N559,'Incoming Material Report'!H:N,7,FALSE)=0,"",VLOOKUP(N559,'Incoming Material Report'!H:N,7,FALSE))</f>
        <v>#N/A</v>
      </c>
      <c r="BH559" s="39">
        <f t="shared" si="136"/>
        <v>0</v>
      </c>
      <c r="BI559" s="1">
        <f t="shared" si="137"/>
        <v>0</v>
      </c>
      <c r="BJ559" s="1">
        <f t="shared" si="138"/>
        <v>0</v>
      </c>
      <c r="BK559" s="1">
        <f t="shared" si="139"/>
        <v>0</v>
      </c>
      <c r="BL559" s="1">
        <f t="shared" si="140"/>
        <v>0</v>
      </c>
      <c r="BM559" s="10" t="str">
        <f t="shared" si="141"/>
        <v/>
      </c>
      <c r="BN559" s="39">
        <f t="shared" si="142"/>
        <v>0</v>
      </c>
      <c r="BO559" s="39">
        <f t="shared" si="143"/>
        <v>0</v>
      </c>
      <c r="BP559" s="1">
        <f t="shared" si="144"/>
        <v>0</v>
      </c>
      <c r="BQ559" s="1">
        <f t="shared" si="145"/>
        <v>0</v>
      </c>
      <c r="BR559" s="1" t="str">
        <f t="shared" si="146"/>
        <v/>
      </c>
      <c r="BS559" s="1">
        <f t="shared" si="147"/>
        <v>0</v>
      </c>
      <c r="BT559" s="4">
        <f t="shared" si="148"/>
        <v>0</v>
      </c>
      <c r="BU559" s="39">
        <f t="shared" si="149"/>
        <v>0</v>
      </c>
      <c r="BV559" s="1">
        <f t="shared" si="150"/>
        <v>0</v>
      </c>
      <c r="BW559">
        <f t="shared" si="151"/>
        <v>0</v>
      </c>
      <c r="BX559">
        <f t="shared" si="152"/>
        <v>0</v>
      </c>
    </row>
    <row r="560" spans="58:76" x14ac:dyDescent="0.25">
      <c r="BF560" s="1" t="e">
        <f>VLOOKUP(N560,'Incoming Material Report'!H:M,6,FALSE)</f>
        <v>#N/A</v>
      </c>
      <c r="BG560" s="1" t="e">
        <f>IF(VLOOKUP(N560,'Incoming Material Report'!H:N,7,FALSE)=0,"",VLOOKUP(N560,'Incoming Material Report'!H:N,7,FALSE))</f>
        <v>#N/A</v>
      </c>
      <c r="BH560" s="39">
        <f t="shared" si="136"/>
        <v>0</v>
      </c>
      <c r="BI560" s="1">
        <f t="shared" si="137"/>
        <v>0</v>
      </c>
      <c r="BJ560" s="1">
        <f t="shared" si="138"/>
        <v>0</v>
      </c>
      <c r="BK560" s="1">
        <f t="shared" si="139"/>
        <v>0</v>
      </c>
      <c r="BL560" s="1">
        <f t="shared" si="140"/>
        <v>0</v>
      </c>
      <c r="BM560" s="10" t="str">
        <f t="shared" si="141"/>
        <v/>
      </c>
      <c r="BN560" s="39">
        <f t="shared" si="142"/>
        <v>0</v>
      </c>
      <c r="BO560" s="39">
        <f t="shared" si="143"/>
        <v>0</v>
      </c>
      <c r="BP560" s="1">
        <f t="shared" si="144"/>
        <v>0</v>
      </c>
      <c r="BQ560" s="1">
        <f t="shared" si="145"/>
        <v>0</v>
      </c>
      <c r="BR560" s="1" t="str">
        <f t="shared" si="146"/>
        <v/>
      </c>
      <c r="BS560" s="1">
        <f t="shared" si="147"/>
        <v>0</v>
      </c>
      <c r="BT560" s="4">
        <f t="shared" si="148"/>
        <v>0</v>
      </c>
      <c r="BU560" s="39">
        <f t="shared" si="149"/>
        <v>0</v>
      </c>
      <c r="BV560" s="1">
        <f t="shared" si="150"/>
        <v>0</v>
      </c>
      <c r="BW560">
        <f t="shared" si="151"/>
        <v>0</v>
      </c>
      <c r="BX560">
        <f t="shared" si="152"/>
        <v>0</v>
      </c>
    </row>
    <row r="561" spans="58:76" x14ac:dyDescent="0.25">
      <c r="BF561" s="1" t="e">
        <f>VLOOKUP(N561,'Incoming Material Report'!H:M,6,FALSE)</f>
        <v>#N/A</v>
      </c>
      <c r="BG561" s="1" t="e">
        <f>IF(VLOOKUP(N561,'Incoming Material Report'!H:N,7,FALSE)=0,"",VLOOKUP(N561,'Incoming Material Report'!H:N,7,FALSE))</f>
        <v>#N/A</v>
      </c>
      <c r="BH561" s="39">
        <f t="shared" si="136"/>
        <v>0</v>
      </c>
      <c r="BI561" s="1">
        <f t="shared" si="137"/>
        <v>0</v>
      </c>
      <c r="BJ561" s="1">
        <f t="shared" si="138"/>
        <v>0</v>
      </c>
      <c r="BK561" s="1">
        <f t="shared" si="139"/>
        <v>0</v>
      </c>
      <c r="BL561" s="1">
        <f t="shared" si="140"/>
        <v>0</v>
      </c>
      <c r="BM561" s="10" t="str">
        <f t="shared" si="141"/>
        <v/>
      </c>
      <c r="BN561" s="39">
        <f t="shared" si="142"/>
        <v>0</v>
      </c>
      <c r="BO561" s="39">
        <f t="shared" si="143"/>
        <v>0</v>
      </c>
      <c r="BP561" s="1">
        <f t="shared" si="144"/>
        <v>0</v>
      </c>
      <c r="BQ561" s="1">
        <f t="shared" si="145"/>
        <v>0</v>
      </c>
      <c r="BR561" s="1" t="str">
        <f t="shared" si="146"/>
        <v/>
      </c>
      <c r="BS561" s="1">
        <f t="shared" si="147"/>
        <v>0</v>
      </c>
      <c r="BT561" s="4">
        <f t="shared" si="148"/>
        <v>0</v>
      </c>
      <c r="BU561" s="39">
        <f t="shared" si="149"/>
        <v>0</v>
      </c>
      <c r="BV561" s="1">
        <f t="shared" si="150"/>
        <v>0</v>
      </c>
      <c r="BW561">
        <f t="shared" si="151"/>
        <v>0</v>
      </c>
      <c r="BX561">
        <f t="shared" si="152"/>
        <v>0</v>
      </c>
    </row>
    <row r="562" spans="58:76" x14ac:dyDescent="0.25">
      <c r="BF562" s="1" t="e">
        <f>VLOOKUP(N562,'Incoming Material Report'!H:M,6,FALSE)</f>
        <v>#N/A</v>
      </c>
      <c r="BG562" s="1" t="e">
        <f>IF(VLOOKUP(N562,'Incoming Material Report'!H:N,7,FALSE)=0,"",VLOOKUP(N562,'Incoming Material Report'!H:N,7,FALSE))</f>
        <v>#N/A</v>
      </c>
      <c r="BH562" s="39">
        <f t="shared" si="136"/>
        <v>0</v>
      </c>
      <c r="BI562" s="1">
        <f t="shared" si="137"/>
        <v>0</v>
      </c>
      <c r="BJ562" s="1">
        <f t="shared" si="138"/>
        <v>0</v>
      </c>
      <c r="BK562" s="1">
        <f t="shared" si="139"/>
        <v>0</v>
      </c>
      <c r="BL562" s="1">
        <f t="shared" si="140"/>
        <v>0</v>
      </c>
      <c r="BM562" s="10" t="str">
        <f t="shared" si="141"/>
        <v/>
      </c>
      <c r="BN562" s="39">
        <f t="shared" si="142"/>
        <v>0</v>
      </c>
      <c r="BO562" s="39">
        <f t="shared" si="143"/>
        <v>0</v>
      </c>
      <c r="BP562" s="1">
        <f t="shared" si="144"/>
        <v>0</v>
      </c>
      <c r="BQ562" s="1">
        <f t="shared" si="145"/>
        <v>0</v>
      </c>
      <c r="BR562" s="1" t="str">
        <f t="shared" si="146"/>
        <v/>
      </c>
      <c r="BS562" s="1">
        <f t="shared" si="147"/>
        <v>0</v>
      </c>
      <c r="BT562" s="4">
        <f t="shared" si="148"/>
        <v>0</v>
      </c>
      <c r="BU562" s="39">
        <f t="shared" si="149"/>
        <v>0</v>
      </c>
      <c r="BV562" s="1">
        <f t="shared" si="150"/>
        <v>0</v>
      </c>
      <c r="BW562">
        <f t="shared" si="151"/>
        <v>0</v>
      </c>
      <c r="BX562">
        <f t="shared" si="152"/>
        <v>0</v>
      </c>
    </row>
    <row r="563" spans="58:76" x14ac:dyDescent="0.25">
      <c r="BF563" s="1" t="e">
        <f>VLOOKUP(N563,'Incoming Material Report'!H:M,6,FALSE)</f>
        <v>#N/A</v>
      </c>
      <c r="BG563" s="1" t="e">
        <f>IF(VLOOKUP(N563,'Incoming Material Report'!H:N,7,FALSE)=0,"",VLOOKUP(N563,'Incoming Material Report'!H:N,7,FALSE))</f>
        <v>#N/A</v>
      </c>
      <c r="BH563" s="39">
        <f t="shared" si="136"/>
        <v>0</v>
      </c>
      <c r="BI563" s="1">
        <f t="shared" si="137"/>
        <v>0</v>
      </c>
      <c r="BJ563" s="1">
        <f t="shared" si="138"/>
        <v>0</v>
      </c>
      <c r="BK563" s="1">
        <f t="shared" si="139"/>
        <v>0</v>
      </c>
      <c r="BL563" s="1">
        <f t="shared" si="140"/>
        <v>0</v>
      </c>
      <c r="BM563" s="10" t="str">
        <f t="shared" si="141"/>
        <v/>
      </c>
      <c r="BN563" s="39">
        <f t="shared" si="142"/>
        <v>0</v>
      </c>
      <c r="BO563" s="39">
        <f t="shared" si="143"/>
        <v>0</v>
      </c>
      <c r="BP563" s="1">
        <f t="shared" si="144"/>
        <v>0</v>
      </c>
      <c r="BQ563" s="1">
        <f t="shared" si="145"/>
        <v>0</v>
      </c>
      <c r="BR563" s="1" t="str">
        <f t="shared" si="146"/>
        <v/>
      </c>
      <c r="BS563" s="1">
        <f t="shared" si="147"/>
        <v>0</v>
      </c>
      <c r="BT563" s="4">
        <f t="shared" si="148"/>
        <v>0</v>
      </c>
      <c r="BU563" s="39">
        <f t="shared" si="149"/>
        <v>0</v>
      </c>
      <c r="BV563" s="1">
        <f t="shared" si="150"/>
        <v>0</v>
      </c>
      <c r="BW563">
        <f t="shared" si="151"/>
        <v>0</v>
      </c>
      <c r="BX563">
        <f t="shared" si="152"/>
        <v>0</v>
      </c>
    </row>
    <row r="564" spans="58:76" x14ac:dyDescent="0.25">
      <c r="BF564" s="1" t="e">
        <f>VLOOKUP(N564,'Incoming Material Report'!H:M,6,FALSE)</f>
        <v>#N/A</v>
      </c>
      <c r="BG564" s="1" t="e">
        <f>IF(VLOOKUP(N564,'Incoming Material Report'!H:N,7,FALSE)=0,"",VLOOKUP(N564,'Incoming Material Report'!H:N,7,FALSE))</f>
        <v>#N/A</v>
      </c>
      <c r="BH564" s="39">
        <f t="shared" si="136"/>
        <v>0</v>
      </c>
      <c r="BI564" s="1">
        <f t="shared" si="137"/>
        <v>0</v>
      </c>
      <c r="BJ564" s="1">
        <f t="shared" si="138"/>
        <v>0</v>
      </c>
      <c r="BK564" s="1">
        <f t="shared" si="139"/>
        <v>0</v>
      </c>
      <c r="BL564" s="1">
        <f t="shared" si="140"/>
        <v>0</v>
      </c>
      <c r="BM564" s="10" t="str">
        <f t="shared" si="141"/>
        <v/>
      </c>
      <c r="BN564" s="39">
        <f t="shared" si="142"/>
        <v>0</v>
      </c>
      <c r="BO564" s="39">
        <f t="shared" si="143"/>
        <v>0</v>
      </c>
      <c r="BP564" s="1">
        <f t="shared" si="144"/>
        <v>0</v>
      </c>
      <c r="BQ564" s="1">
        <f t="shared" si="145"/>
        <v>0</v>
      </c>
      <c r="BR564" s="1" t="str">
        <f t="shared" si="146"/>
        <v/>
      </c>
      <c r="BS564" s="1">
        <f t="shared" si="147"/>
        <v>0</v>
      </c>
      <c r="BT564" s="4">
        <f t="shared" si="148"/>
        <v>0</v>
      </c>
      <c r="BU564" s="39">
        <f t="shared" si="149"/>
        <v>0</v>
      </c>
      <c r="BV564" s="1">
        <f t="shared" si="150"/>
        <v>0</v>
      </c>
      <c r="BW564">
        <f t="shared" si="151"/>
        <v>0</v>
      </c>
      <c r="BX564">
        <f t="shared" si="152"/>
        <v>0</v>
      </c>
    </row>
    <row r="565" spans="58:76" x14ac:dyDescent="0.25">
      <c r="BF565" s="1" t="e">
        <f>VLOOKUP(N565,'Incoming Material Report'!H:M,6,FALSE)</f>
        <v>#N/A</v>
      </c>
      <c r="BG565" s="1" t="e">
        <f>IF(VLOOKUP(N565,'Incoming Material Report'!H:N,7,FALSE)=0,"",VLOOKUP(N565,'Incoming Material Report'!H:N,7,FALSE))</f>
        <v>#N/A</v>
      </c>
      <c r="BH565" s="39">
        <f t="shared" si="136"/>
        <v>0</v>
      </c>
      <c r="BI565" s="1">
        <f t="shared" si="137"/>
        <v>0</v>
      </c>
      <c r="BJ565" s="1">
        <f t="shared" si="138"/>
        <v>0</v>
      </c>
      <c r="BK565" s="1">
        <f t="shared" si="139"/>
        <v>0</v>
      </c>
      <c r="BL565" s="1">
        <f t="shared" si="140"/>
        <v>0</v>
      </c>
      <c r="BM565" s="10" t="str">
        <f t="shared" si="141"/>
        <v/>
      </c>
      <c r="BN565" s="39">
        <f t="shared" si="142"/>
        <v>0</v>
      </c>
      <c r="BO565" s="39">
        <f t="shared" si="143"/>
        <v>0</v>
      </c>
      <c r="BP565" s="1">
        <f t="shared" si="144"/>
        <v>0</v>
      </c>
      <c r="BQ565" s="1">
        <f t="shared" si="145"/>
        <v>0</v>
      </c>
      <c r="BR565" s="1" t="str">
        <f t="shared" si="146"/>
        <v/>
      </c>
      <c r="BS565" s="1">
        <f t="shared" si="147"/>
        <v>0</v>
      </c>
      <c r="BT565" s="4">
        <f t="shared" si="148"/>
        <v>0</v>
      </c>
      <c r="BU565" s="39">
        <f t="shared" si="149"/>
        <v>0</v>
      </c>
      <c r="BV565" s="1">
        <f t="shared" si="150"/>
        <v>0</v>
      </c>
      <c r="BW565">
        <f t="shared" si="151"/>
        <v>0</v>
      </c>
      <c r="BX565">
        <f t="shared" si="152"/>
        <v>0</v>
      </c>
    </row>
    <row r="566" spans="58:76" x14ac:dyDescent="0.25">
      <c r="BF566" s="1" t="e">
        <f>VLOOKUP(N566,'Incoming Material Report'!H:M,6,FALSE)</f>
        <v>#N/A</v>
      </c>
      <c r="BG566" s="1" t="e">
        <f>IF(VLOOKUP(N566,'Incoming Material Report'!H:N,7,FALSE)=0,"",VLOOKUP(N566,'Incoming Material Report'!H:N,7,FALSE))</f>
        <v>#N/A</v>
      </c>
      <c r="BH566" s="39">
        <f t="shared" si="136"/>
        <v>0</v>
      </c>
      <c r="BI566" s="1">
        <f t="shared" si="137"/>
        <v>0</v>
      </c>
      <c r="BJ566" s="1">
        <f t="shared" si="138"/>
        <v>0</v>
      </c>
      <c r="BK566" s="1">
        <f t="shared" si="139"/>
        <v>0</v>
      </c>
      <c r="BL566" s="1">
        <f t="shared" si="140"/>
        <v>0</v>
      </c>
      <c r="BM566" s="10" t="str">
        <f t="shared" si="141"/>
        <v/>
      </c>
      <c r="BN566" s="39">
        <f t="shared" si="142"/>
        <v>0</v>
      </c>
      <c r="BO566" s="39">
        <f t="shared" si="143"/>
        <v>0</v>
      </c>
      <c r="BP566" s="1">
        <f t="shared" si="144"/>
        <v>0</v>
      </c>
      <c r="BQ566" s="1">
        <f t="shared" si="145"/>
        <v>0</v>
      </c>
      <c r="BR566" s="1" t="str">
        <f t="shared" si="146"/>
        <v/>
      </c>
      <c r="BS566" s="1">
        <f t="shared" si="147"/>
        <v>0</v>
      </c>
      <c r="BT566" s="4">
        <f t="shared" si="148"/>
        <v>0</v>
      </c>
      <c r="BU566" s="39">
        <f t="shared" si="149"/>
        <v>0</v>
      </c>
      <c r="BV566" s="1">
        <f t="shared" si="150"/>
        <v>0</v>
      </c>
      <c r="BW566">
        <f t="shared" si="151"/>
        <v>0</v>
      </c>
      <c r="BX566">
        <f t="shared" si="152"/>
        <v>0</v>
      </c>
    </row>
    <row r="567" spans="58:76" x14ac:dyDescent="0.25">
      <c r="BF567" s="1" t="e">
        <f>VLOOKUP(N567,'Incoming Material Report'!H:M,6,FALSE)</f>
        <v>#N/A</v>
      </c>
      <c r="BG567" s="1" t="e">
        <f>IF(VLOOKUP(N567,'Incoming Material Report'!H:N,7,FALSE)=0,"",VLOOKUP(N567,'Incoming Material Report'!H:N,7,FALSE))</f>
        <v>#N/A</v>
      </c>
      <c r="BH567" s="39">
        <f t="shared" si="136"/>
        <v>0</v>
      </c>
      <c r="BI567" s="1">
        <f t="shared" si="137"/>
        <v>0</v>
      </c>
      <c r="BJ567" s="1">
        <f t="shared" si="138"/>
        <v>0</v>
      </c>
      <c r="BK567" s="1">
        <f t="shared" si="139"/>
        <v>0</v>
      </c>
      <c r="BL567" s="1">
        <f t="shared" si="140"/>
        <v>0</v>
      </c>
      <c r="BM567" s="10" t="str">
        <f t="shared" si="141"/>
        <v/>
      </c>
      <c r="BN567" s="39">
        <f t="shared" si="142"/>
        <v>0</v>
      </c>
      <c r="BO567" s="39">
        <f t="shared" si="143"/>
        <v>0</v>
      </c>
      <c r="BP567" s="1">
        <f t="shared" si="144"/>
        <v>0</v>
      </c>
      <c r="BQ567" s="1">
        <f t="shared" si="145"/>
        <v>0</v>
      </c>
      <c r="BR567" s="1" t="str">
        <f t="shared" si="146"/>
        <v/>
      </c>
      <c r="BS567" s="1">
        <f t="shared" si="147"/>
        <v>0</v>
      </c>
      <c r="BT567" s="4">
        <f t="shared" si="148"/>
        <v>0</v>
      </c>
      <c r="BU567" s="39">
        <f t="shared" si="149"/>
        <v>0</v>
      </c>
      <c r="BV567" s="1">
        <f t="shared" si="150"/>
        <v>0</v>
      </c>
      <c r="BW567">
        <f t="shared" si="151"/>
        <v>0</v>
      </c>
      <c r="BX567">
        <f t="shared" si="152"/>
        <v>0</v>
      </c>
    </row>
    <row r="568" spans="58:76" x14ac:dyDescent="0.25">
      <c r="BF568" s="1" t="e">
        <f>VLOOKUP(N568,'Incoming Material Report'!H:M,6,FALSE)</f>
        <v>#N/A</v>
      </c>
      <c r="BG568" s="1" t="e">
        <f>IF(VLOOKUP(N568,'Incoming Material Report'!H:N,7,FALSE)=0,"",VLOOKUP(N568,'Incoming Material Report'!H:N,7,FALSE))</f>
        <v>#N/A</v>
      </c>
      <c r="BH568" s="39">
        <f t="shared" si="136"/>
        <v>0</v>
      </c>
      <c r="BI568" s="1">
        <f t="shared" si="137"/>
        <v>0</v>
      </c>
      <c r="BJ568" s="1">
        <f t="shared" si="138"/>
        <v>0</v>
      </c>
      <c r="BK568" s="1">
        <f t="shared" si="139"/>
        <v>0</v>
      </c>
      <c r="BL568" s="1">
        <f t="shared" si="140"/>
        <v>0</v>
      </c>
      <c r="BM568" s="10" t="str">
        <f t="shared" si="141"/>
        <v/>
      </c>
      <c r="BN568" s="39">
        <f t="shared" si="142"/>
        <v>0</v>
      </c>
      <c r="BO568" s="39">
        <f t="shared" si="143"/>
        <v>0</v>
      </c>
      <c r="BP568" s="1">
        <f t="shared" si="144"/>
        <v>0</v>
      </c>
      <c r="BQ568" s="1">
        <f t="shared" si="145"/>
        <v>0</v>
      </c>
      <c r="BR568" s="1" t="str">
        <f t="shared" si="146"/>
        <v/>
      </c>
      <c r="BS568" s="1">
        <f t="shared" si="147"/>
        <v>0</v>
      </c>
      <c r="BT568" s="4">
        <f t="shared" si="148"/>
        <v>0</v>
      </c>
      <c r="BU568" s="39">
        <f t="shared" si="149"/>
        <v>0</v>
      </c>
      <c r="BV568" s="1">
        <f t="shared" si="150"/>
        <v>0</v>
      </c>
      <c r="BW568">
        <f t="shared" si="151"/>
        <v>0</v>
      </c>
      <c r="BX568">
        <f t="shared" si="152"/>
        <v>0</v>
      </c>
    </row>
    <row r="569" spans="58:76" x14ac:dyDescent="0.25">
      <c r="BF569" s="1" t="e">
        <f>VLOOKUP(N569,'Incoming Material Report'!H:M,6,FALSE)</f>
        <v>#N/A</v>
      </c>
      <c r="BG569" s="1" t="e">
        <f>IF(VLOOKUP(N569,'Incoming Material Report'!H:N,7,FALSE)=0,"",VLOOKUP(N569,'Incoming Material Report'!H:N,7,FALSE))</f>
        <v>#N/A</v>
      </c>
      <c r="BH569" s="39">
        <f t="shared" si="136"/>
        <v>0</v>
      </c>
      <c r="BI569" s="1">
        <f t="shared" si="137"/>
        <v>0</v>
      </c>
      <c r="BJ569" s="1">
        <f t="shared" si="138"/>
        <v>0</v>
      </c>
      <c r="BK569" s="1">
        <f t="shared" si="139"/>
        <v>0</v>
      </c>
      <c r="BL569" s="1">
        <f t="shared" si="140"/>
        <v>0</v>
      </c>
      <c r="BM569" s="10" t="str">
        <f t="shared" si="141"/>
        <v/>
      </c>
      <c r="BN569" s="39">
        <f t="shared" si="142"/>
        <v>0</v>
      </c>
      <c r="BO569" s="39">
        <f t="shared" si="143"/>
        <v>0</v>
      </c>
      <c r="BP569" s="1">
        <f t="shared" si="144"/>
        <v>0</v>
      </c>
      <c r="BQ569" s="1">
        <f t="shared" si="145"/>
        <v>0</v>
      </c>
      <c r="BR569" s="1" t="str">
        <f t="shared" si="146"/>
        <v/>
      </c>
      <c r="BS569" s="1">
        <f t="shared" si="147"/>
        <v>0</v>
      </c>
      <c r="BT569" s="4">
        <f t="shared" si="148"/>
        <v>0</v>
      </c>
      <c r="BU569" s="39">
        <f t="shared" si="149"/>
        <v>0</v>
      </c>
      <c r="BV569" s="1">
        <f t="shared" si="150"/>
        <v>0</v>
      </c>
      <c r="BW569">
        <f t="shared" si="151"/>
        <v>0</v>
      </c>
      <c r="BX569">
        <f t="shared" si="152"/>
        <v>0</v>
      </c>
    </row>
    <row r="570" spans="58:76" x14ac:dyDescent="0.25">
      <c r="BF570" s="1" t="e">
        <f>VLOOKUP(N570,'Incoming Material Report'!H:M,6,FALSE)</f>
        <v>#N/A</v>
      </c>
      <c r="BG570" s="1" t="e">
        <f>IF(VLOOKUP(N570,'Incoming Material Report'!H:N,7,FALSE)=0,"",VLOOKUP(N570,'Incoming Material Report'!H:N,7,FALSE))</f>
        <v>#N/A</v>
      </c>
      <c r="BH570" s="39">
        <f t="shared" ref="BH570:BH633" si="153">VALUE(T570)</f>
        <v>0</v>
      </c>
      <c r="BI570" s="1">
        <f t="shared" ref="BI570:BI633" si="154">VALUE(U570)</f>
        <v>0</v>
      </c>
      <c r="BJ570" s="1">
        <f t="shared" ref="BJ570:BJ633" si="155">IFERROR(_xlfn.NUMBERVALUE(V570),V570)</f>
        <v>0</v>
      </c>
      <c r="BK570" s="1">
        <f t="shared" ref="BK570:BK633" si="156">IFERROR(INT(I570),I570)</f>
        <v>0</v>
      </c>
      <c r="BL570" s="1">
        <f t="shared" ref="BL570:BL633" si="157">L570</f>
        <v>0</v>
      </c>
      <c r="BM570" s="10" t="str">
        <f t="shared" ref="BM570:BM633" si="158">SUBSTITUTE(J570,"/",".")</f>
        <v/>
      </c>
      <c r="BN570" s="39">
        <f t="shared" ref="BN570:BN633" si="159">VALUE(Q570)*1000</f>
        <v>0</v>
      </c>
      <c r="BO570" s="39">
        <f t="shared" ref="BO570:BO633" si="160">VALUE(P570)/1000</f>
        <v>0</v>
      </c>
      <c r="BP570" s="1">
        <f t="shared" ref="BP570:BP633" si="161">VALUE(D570)</f>
        <v>0</v>
      </c>
      <c r="BQ570" s="1">
        <f t="shared" ref="BQ570:BQ633" si="162">VALUE(G570)</f>
        <v>0</v>
      </c>
      <c r="BR570" s="1" t="str">
        <f t="shared" ref="BR570:BR633" si="163">SUBSTITUTE(O570,".","")</f>
        <v/>
      </c>
      <c r="BS570" s="1">
        <f t="shared" ref="BS570:BS633" si="164">S570</f>
        <v>0</v>
      </c>
      <c r="BT570" s="4">
        <f t="shared" ref="BT570:BT633" si="165">VALUE(AJ570)</f>
        <v>0</v>
      </c>
      <c r="BU570" s="39">
        <f t="shared" ref="BU570:BU633" si="166">K570</f>
        <v>0</v>
      </c>
      <c r="BV570" s="1">
        <f t="shared" ref="BV570:BV633" si="167">AQ570</f>
        <v>0</v>
      </c>
      <c r="BW570">
        <f t="shared" ref="BW570:BW633" si="168">X570</f>
        <v>0</v>
      </c>
      <c r="BX570">
        <f t="shared" ref="BX570:BX633" si="169">AN570</f>
        <v>0</v>
      </c>
    </row>
    <row r="571" spans="58:76" x14ac:dyDescent="0.25">
      <c r="BF571" s="1" t="e">
        <f>VLOOKUP(N571,'Incoming Material Report'!H:M,6,FALSE)</f>
        <v>#N/A</v>
      </c>
      <c r="BG571" s="1" t="e">
        <f>IF(VLOOKUP(N571,'Incoming Material Report'!H:N,7,FALSE)=0,"",VLOOKUP(N571,'Incoming Material Report'!H:N,7,FALSE))</f>
        <v>#N/A</v>
      </c>
      <c r="BH571" s="39">
        <f t="shared" si="153"/>
        <v>0</v>
      </c>
      <c r="BI571" s="1">
        <f t="shared" si="154"/>
        <v>0</v>
      </c>
      <c r="BJ571" s="1">
        <f t="shared" si="155"/>
        <v>0</v>
      </c>
      <c r="BK571" s="1">
        <f t="shared" si="156"/>
        <v>0</v>
      </c>
      <c r="BL571" s="1">
        <f t="shared" si="157"/>
        <v>0</v>
      </c>
      <c r="BM571" s="10" t="str">
        <f t="shared" si="158"/>
        <v/>
      </c>
      <c r="BN571" s="39">
        <f t="shared" si="159"/>
        <v>0</v>
      </c>
      <c r="BO571" s="39">
        <f t="shared" si="160"/>
        <v>0</v>
      </c>
      <c r="BP571" s="1">
        <f t="shared" si="161"/>
        <v>0</v>
      </c>
      <c r="BQ571" s="1">
        <f t="shared" si="162"/>
        <v>0</v>
      </c>
      <c r="BR571" s="1" t="str">
        <f t="shared" si="163"/>
        <v/>
      </c>
      <c r="BS571" s="1">
        <f t="shared" si="164"/>
        <v>0</v>
      </c>
      <c r="BT571" s="4">
        <f t="shared" si="165"/>
        <v>0</v>
      </c>
      <c r="BU571" s="39">
        <f t="shared" si="166"/>
        <v>0</v>
      </c>
      <c r="BV571" s="1">
        <f t="shared" si="167"/>
        <v>0</v>
      </c>
      <c r="BW571">
        <f t="shared" si="168"/>
        <v>0</v>
      </c>
      <c r="BX571">
        <f t="shared" si="169"/>
        <v>0</v>
      </c>
    </row>
    <row r="572" spans="58:76" x14ac:dyDescent="0.25">
      <c r="BF572" s="1" t="e">
        <f>VLOOKUP(N572,'Incoming Material Report'!H:M,6,FALSE)</f>
        <v>#N/A</v>
      </c>
      <c r="BG572" s="1" t="e">
        <f>IF(VLOOKUP(N572,'Incoming Material Report'!H:N,7,FALSE)=0,"",VLOOKUP(N572,'Incoming Material Report'!H:N,7,FALSE))</f>
        <v>#N/A</v>
      </c>
      <c r="BH572" s="39">
        <f t="shared" si="153"/>
        <v>0</v>
      </c>
      <c r="BI572" s="1">
        <f t="shared" si="154"/>
        <v>0</v>
      </c>
      <c r="BJ572" s="1">
        <f t="shared" si="155"/>
        <v>0</v>
      </c>
      <c r="BK572" s="1">
        <f t="shared" si="156"/>
        <v>0</v>
      </c>
      <c r="BL572" s="1">
        <f t="shared" si="157"/>
        <v>0</v>
      </c>
      <c r="BM572" s="10" t="str">
        <f t="shared" si="158"/>
        <v/>
      </c>
      <c r="BN572" s="39">
        <f t="shared" si="159"/>
        <v>0</v>
      </c>
      <c r="BO572" s="39">
        <f t="shared" si="160"/>
        <v>0</v>
      </c>
      <c r="BP572" s="1">
        <f t="shared" si="161"/>
        <v>0</v>
      </c>
      <c r="BQ572" s="1">
        <f t="shared" si="162"/>
        <v>0</v>
      </c>
      <c r="BR572" s="1" t="str">
        <f t="shared" si="163"/>
        <v/>
      </c>
      <c r="BS572" s="1">
        <f t="shared" si="164"/>
        <v>0</v>
      </c>
      <c r="BT572" s="4">
        <f t="shared" si="165"/>
        <v>0</v>
      </c>
      <c r="BU572" s="39">
        <f t="shared" si="166"/>
        <v>0</v>
      </c>
      <c r="BV572" s="1">
        <f t="shared" si="167"/>
        <v>0</v>
      </c>
      <c r="BW572">
        <f t="shared" si="168"/>
        <v>0</v>
      </c>
      <c r="BX572">
        <f t="shared" si="169"/>
        <v>0</v>
      </c>
    </row>
    <row r="573" spans="58:76" x14ac:dyDescent="0.25">
      <c r="BF573" s="1" t="e">
        <f>VLOOKUP(N573,'Incoming Material Report'!H:M,6,FALSE)</f>
        <v>#N/A</v>
      </c>
      <c r="BG573" s="1" t="e">
        <f>IF(VLOOKUP(N573,'Incoming Material Report'!H:N,7,FALSE)=0,"",VLOOKUP(N573,'Incoming Material Report'!H:N,7,FALSE))</f>
        <v>#N/A</v>
      </c>
      <c r="BH573" s="39">
        <f t="shared" si="153"/>
        <v>0</v>
      </c>
      <c r="BI573" s="1">
        <f t="shared" si="154"/>
        <v>0</v>
      </c>
      <c r="BJ573" s="1">
        <f t="shared" si="155"/>
        <v>0</v>
      </c>
      <c r="BK573" s="1">
        <f t="shared" si="156"/>
        <v>0</v>
      </c>
      <c r="BL573" s="1">
        <f t="shared" si="157"/>
        <v>0</v>
      </c>
      <c r="BM573" s="10" t="str">
        <f t="shared" si="158"/>
        <v/>
      </c>
      <c r="BN573" s="39">
        <f t="shared" si="159"/>
        <v>0</v>
      </c>
      <c r="BO573" s="39">
        <f t="shared" si="160"/>
        <v>0</v>
      </c>
      <c r="BP573" s="1">
        <f t="shared" si="161"/>
        <v>0</v>
      </c>
      <c r="BQ573" s="1">
        <f t="shared" si="162"/>
        <v>0</v>
      </c>
      <c r="BR573" s="1" t="str">
        <f t="shared" si="163"/>
        <v/>
      </c>
      <c r="BS573" s="1">
        <f t="shared" si="164"/>
        <v>0</v>
      </c>
      <c r="BT573" s="4">
        <f t="shared" si="165"/>
        <v>0</v>
      </c>
      <c r="BU573" s="39">
        <f t="shared" si="166"/>
        <v>0</v>
      </c>
      <c r="BV573" s="1">
        <f t="shared" si="167"/>
        <v>0</v>
      </c>
      <c r="BW573">
        <f t="shared" si="168"/>
        <v>0</v>
      </c>
      <c r="BX573">
        <f t="shared" si="169"/>
        <v>0</v>
      </c>
    </row>
    <row r="574" spans="58:76" x14ac:dyDescent="0.25">
      <c r="BF574" s="1" t="e">
        <f>VLOOKUP(N574,'Incoming Material Report'!H:M,6,FALSE)</f>
        <v>#N/A</v>
      </c>
      <c r="BG574" s="1" t="e">
        <f>IF(VLOOKUP(N574,'Incoming Material Report'!H:N,7,FALSE)=0,"",VLOOKUP(N574,'Incoming Material Report'!H:N,7,FALSE))</f>
        <v>#N/A</v>
      </c>
      <c r="BH574" s="39">
        <f t="shared" si="153"/>
        <v>0</v>
      </c>
      <c r="BI574" s="1">
        <f t="shared" si="154"/>
        <v>0</v>
      </c>
      <c r="BJ574" s="1">
        <f t="shared" si="155"/>
        <v>0</v>
      </c>
      <c r="BK574" s="1">
        <f t="shared" si="156"/>
        <v>0</v>
      </c>
      <c r="BL574" s="1">
        <f t="shared" si="157"/>
        <v>0</v>
      </c>
      <c r="BM574" s="10" t="str">
        <f t="shared" si="158"/>
        <v/>
      </c>
      <c r="BN574" s="39">
        <f t="shared" si="159"/>
        <v>0</v>
      </c>
      <c r="BO574" s="39">
        <f t="shared" si="160"/>
        <v>0</v>
      </c>
      <c r="BP574" s="1">
        <f t="shared" si="161"/>
        <v>0</v>
      </c>
      <c r="BQ574" s="1">
        <f t="shared" si="162"/>
        <v>0</v>
      </c>
      <c r="BR574" s="1" t="str">
        <f t="shared" si="163"/>
        <v/>
      </c>
      <c r="BS574" s="1">
        <f t="shared" si="164"/>
        <v>0</v>
      </c>
      <c r="BT574" s="4">
        <f t="shared" si="165"/>
        <v>0</v>
      </c>
      <c r="BU574" s="39">
        <f t="shared" si="166"/>
        <v>0</v>
      </c>
      <c r="BV574" s="1">
        <f t="shared" si="167"/>
        <v>0</v>
      </c>
      <c r="BW574">
        <f t="shared" si="168"/>
        <v>0</v>
      </c>
      <c r="BX574">
        <f t="shared" si="169"/>
        <v>0</v>
      </c>
    </row>
    <row r="575" spans="58:76" x14ac:dyDescent="0.25">
      <c r="BF575" s="1" t="e">
        <f>VLOOKUP(N575,'Incoming Material Report'!H:M,6,FALSE)</f>
        <v>#N/A</v>
      </c>
      <c r="BG575" s="1" t="e">
        <f>IF(VLOOKUP(N575,'Incoming Material Report'!H:N,7,FALSE)=0,"",VLOOKUP(N575,'Incoming Material Report'!H:N,7,FALSE))</f>
        <v>#N/A</v>
      </c>
      <c r="BH575" s="39">
        <f t="shared" si="153"/>
        <v>0</v>
      </c>
      <c r="BI575" s="1">
        <f t="shared" si="154"/>
        <v>0</v>
      </c>
      <c r="BJ575" s="1">
        <f t="shared" si="155"/>
        <v>0</v>
      </c>
      <c r="BK575" s="1">
        <f t="shared" si="156"/>
        <v>0</v>
      </c>
      <c r="BL575" s="1">
        <f t="shared" si="157"/>
        <v>0</v>
      </c>
      <c r="BM575" s="10" t="str">
        <f t="shared" si="158"/>
        <v/>
      </c>
      <c r="BN575" s="39">
        <f t="shared" si="159"/>
        <v>0</v>
      </c>
      <c r="BO575" s="39">
        <f t="shared" si="160"/>
        <v>0</v>
      </c>
      <c r="BP575" s="1">
        <f t="shared" si="161"/>
        <v>0</v>
      </c>
      <c r="BQ575" s="1">
        <f t="shared" si="162"/>
        <v>0</v>
      </c>
      <c r="BR575" s="1" t="str">
        <f t="shared" si="163"/>
        <v/>
      </c>
      <c r="BS575" s="1">
        <f t="shared" si="164"/>
        <v>0</v>
      </c>
      <c r="BT575" s="4">
        <f t="shared" si="165"/>
        <v>0</v>
      </c>
      <c r="BU575" s="39">
        <f t="shared" si="166"/>
        <v>0</v>
      </c>
      <c r="BV575" s="1">
        <f t="shared" si="167"/>
        <v>0</v>
      </c>
      <c r="BW575">
        <f t="shared" si="168"/>
        <v>0</v>
      </c>
      <c r="BX575">
        <f t="shared" si="169"/>
        <v>0</v>
      </c>
    </row>
    <row r="576" spans="58:76" x14ac:dyDescent="0.25">
      <c r="BF576" s="1" t="e">
        <f>VLOOKUP(N576,'Incoming Material Report'!H:M,6,FALSE)</f>
        <v>#N/A</v>
      </c>
      <c r="BG576" s="1" t="e">
        <f>IF(VLOOKUP(N576,'Incoming Material Report'!H:N,7,FALSE)=0,"",VLOOKUP(N576,'Incoming Material Report'!H:N,7,FALSE))</f>
        <v>#N/A</v>
      </c>
      <c r="BH576" s="39">
        <f t="shared" si="153"/>
        <v>0</v>
      </c>
      <c r="BI576" s="1">
        <f t="shared" si="154"/>
        <v>0</v>
      </c>
      <c r="BJ576" s="1">
        <f t="shared" si="155"/>
        <v>0</v>
      </c>
      <c r="BK576" s="1">
        <f t="shared" si="156"/>
        <v>0</v>
      </c>
      <c r="BL576" s="1">
        <f t="shared" si="157"/>
        <v>0</v>
      </c>
      <c r="BM576" s="10" t="str">
        <f t="shared" si="158"/>
        <v/>
      </c>
      <c r="BN576" s="39">
        <f t="shared" si="159"/>
        <v>0</v>
      </c>
      <c r="BO576" s="39">
        <f t="shared" si="160"/>
        <v>0</v>
      </c>
      <c r="BP576" s="1">
        <f t="shared" si="161"/>
        <v>0</v>
      </c>
      <c r="BQ576" s="1">
        <f t="shared" si="162"/>
        <v>0</v>
      </c>
      <c r="BR576" s="1" t="str">
        <f t="shared" si="163"/>
        <v/>
      </c>
      <c r="BS576" s="1">
        <f t="shared" si="164"/>
        <v>0</v>
      </c>
      <c r="BT576" s="4">
        <f t="shared" si="165"/>
        <v>0</v>
      </c>
      <c r="BU576" s="39">
        <f t="shared" si="166"/>
        <v>0</v>
      </c>
      <c r="BV576" s="1">
        <f t="shared" si="167"/>
        <v>0</v>
      </c>
      <c r="BW576">
        <f t="shared" si="168"/>
        <v>0</v>
      </c>
      <c r="BX576">
        <f t="shared" si="169"/>
        <v>0</v>
      </c>
    </row>
    <row r="577" spans="58:76" x14ac:dyDescent="0.25">
      <c r="BF577" s="1" t="e">
        <f>VLOOKUP(N577,'Incoming Material Report'!H:M,6,FALSE)</f>
        <v>#N/A</v>
      </c>
      <c r="BG577" s="1" t="e">
        <f>IF(VLOOKUP(N577,'Incoming Material Report'!H:N,7,FALSE)=0,"",VLOOKUP(N577,'Incoming Material Report'!H:N,7,FALSE))</f>
        <v>#N/A</v>
      </c>
      <c r="BH577" s="39">
        <f t="shared" si="153"/>
        <v>0</v>
      </c>
      <c r="BI577" s="1">
        <f t="shared" si="154"/>
        <v>0</v>
      </c>
      <c r="BJ577" s="1">
        <f t="shared" si="155"/>
        <v>0</v>
      </c>
      <c r="BK577" s="1">
        <f t="shared" si="156"/>
        <v>0</v>
      </c>
      <c r="BL577" s="1">
        <f t="shared" si="157"/>
        <v>0</v>
      </c>
      <c r="BM577" s="10" t="str">
        <f t="shared" si="158"/>
        <v/>
      </c>
      <c r="BN577" s="39">
        <f t="shared" si="159"/>
        <v>0</v>
      </c>
      <c r="BO577" s="39">
        <f t="shared" si="160"/>
        <v>0</v>
      </c>
      <c r="BP577" s="1">
        <f t="shared" si="161"/>
        <v>0</v>
      </c>
      <c r="BQ577" s="1">
        <f t="shared" si="162"/>
        <v>0</v>
      </c>
      <c r="BR577" s="1" t="str">
        <f t="shared" si="163"/>
        <v/>
      </c>
      <c r="BS577" s="1">
        <f t="shared" si="164"/>
        <v>0</v>
      </c>
      <c r="BT577" s="4">
        <f t="shared" si="165"/>
        <v>0</v>
      </c>
      <c r="BU577" s="39">
        <f t="shared" si="166"/>
        <v>0</v>
      </c>
      <c r="BV577" s="1">
        <f t="shared" si="167"/>
        <v>0</v>
      </c>
      <c r="BW577">
        <f t="shared" si="168"/>
        <v>0</v>
      </c>
      <c r="BX577">
        <f t="shared" si="169"/>
        <v>0</v>
      </c>
    </row>
    <row r="578" spans="58:76" x14ac:dyDescent="0.25">
      <c r="BF578" s="1" t="e">
        <f>VLOOKUP(N578,'Incoming Material Report'!H:M,6,FALSE)</f>
        <v>#N/A</v>
      </c>
      <c r="BG578" s="1" t="e">
        <f>IF(VLOOKUP(N578,'Incoming Material Report'!H:N,7,FALSE)=0,"",VLOOKUP(N578,'Incoming Material Report'!H:N,7,FALSE))</f>
        <v>#N/A</v>
      </c>
      <c r="BH578" s="39">
        <f t="shared" si="153"/>
        <v>0</v>
      </c>
      <c r="BI578" s="1">
        <f t="shared" si="154"/>
        <v>0</v>
      </c>
      <c r="BJ578" s="1">
        <f t="shared" si="155"/>
        <v>0</v>
      </c>
      <c r="BK578" s="1">
        <f t="shared" si="156"/>
        <v>0</v>
      </c>
      <c r="BL578" s="1">
        <f t="shared" si="157"/>
        <v>0</v>
      </c>
      <c r="BM578" s="10" t="str">
        <f t="shared" si="158"/>
        <v/>
      </c>
      <c r="BN578" s="39">
        <f t="shared" si="159"/>
        <v>0</v>
      </c>
      <c r="BO578" s="39">
        <f t="shared" si="160"/>
        <v>0</v>
      </c>
      <c r="BP578" s="1">
        <f t="shared" si="161"/>
        <v>0</v>
      </c>
      <c r="BQ578" s="1">
        <f t="shared" si="162"/>
        <v>0</v>
      </c>
      <c r="BR578" s="1" t="str">
        <f t="shared" si="163"/>
        <v/>
      </c>
      <c r="BS578" s="1">
        <f t="shared" si="164"/>
        <v>0</v>
      </c>
      <c r="BT578" s="4">
        <f t="shared" si="165"/>
        <v>0</v>
      </c>
      <c r="BU578" s="39">
        <f t="shared" si="166"/>
        <v>0</v>
      </c>
      <c r="BV578" s="1">
        <f t="shared" si="167"/>
        <v>0</v>
      </c>
      <c r="BW578">
        <f t="shared" si="168"/>
        <v>0</v>
      </c>
      <c r="BX578">
        <f t="shared" si="169"/>
        <v>0</v>
      </c>
    </row>
    <row r="579" spans="58:76" x14ac:dyDescent="0.25">
      <c r="BF579" s="1" t="e">
        <f>VLOOKUP(N579,'Incoming Material Report'!H:M,6,FALSE)</f>
        <v>#N/A</v>
      </c>
      <c r="BG579" s="1" t="e">
        <f>IF(VLOOKUP(N579,'Incoming Material Report'!H:N,7,FALSE)=0,"",VLOOKUP(N579,'Incoming Material Report'!H:N,7,FALSE))</f>
        <v>#N/A</v>
      </c>
      <c r="BH579" s="39">
        <f t="shared" si="153"/>
        <v>0</v>
      </c>
      <c r="BI579" s="1">
        <f t="shared" si="154"/>
        <v>0</v>
      </c>
      <c r="BJ579" s="1">
        <f t="shared" si="155"/>
        <v>0</v>
      </c>
      <c r="BK579" s="1">
        <f t="shared" si="156"/>
        <v>0</v>
      </c>
      <c r="BL579" s="1">
        <f t="shared" si="157"/>
        <v>0</v>
      </c>
      <c r="BM579" s="10" t="str">
        <f t="shared" si="158"/>
        <v/>
      </c>
      <c r="BN579" s="39">
        <f t="shared" si="159"/>
        <v>0</v>
      </c>
      <c r="BO579" s="39">
        <f t="shared" si="160"/>
        <v>0</v>
      </c>
      <c r="BP579" s="1">
        <f t="shared" si="161"/>
        <v>0</v>
      </c>
      <c r="BQ579" s="1">
        <f t="shared" si="162"/>
        <v>0</v>
      </c>
      <c r="BR579" s="1" t="str">
        <f t="shared" si="163"/>
        <v/>
      </c>
      <c r="BS579" s="1">
        <f t="shared" si="164"/>
        <v>0</v>
      </c>
      <c r="BT579" s="4">
        <f t="shared" si="165"/>
        <v>0</v>
      </c>
      <c r="BU579" s="39">
        <f t="shared" si="166"/>
        <v>0</v>
      </c>
      <c r="BV579" s="1">
        <f t="shared" si="167"/>
        <v>0</v>
      </c>
      <c r="BW579">
        <f t="shared" si="168"/>
        <v>0</v>
      </c>
      <c r="BX579">
        <f t="shared" si="169"/>
        <v>0</v>
      </c>
    </row>
    <row r="580" spans="58:76" x14ac:dyDescent="0.25">
      <c r="BF580" s="1" t="e">
        <f>VLOOKUP(N580,'Incoming Material Report'!H:M,6,FALSE)</f>
        <v>#N/A</v>
      </c>
      <c r="BG580" s="1" t="e">
        <f>IF(VLOOKUP(N580,'Incoming Material Report'!H:N,7,FALSE)=0,"",VLOOKUP(N580,'Incoming Material Report'!H:N,7,FALSE))</f>
        <v>#N/A</v>
      </c>
      <c r="BH580" s="39">
        <f t="shared" si="153"/>
        <v>0</v>
      </c>
      <c r="BI580" s="1">
        <f t="shared" si="154"/>
        <v>0</v>
      </c>
      <c r="BJ580" s="1">
        <f t="shared" si="155"/>
        <v>0</v>
      </c>
      <c r="BK580" s="1">
        <f t="shared" si="156"/>
        <v>0</v>
      </c>
      <c r="BL580" s="1">
        <f t="shared" si="157"/>
        <v>0</v>
      </c>
      <c r="BM580" s="10" t="str">
        <f t="shared" si="158"/>
        <v/>
      </c>
      <c r="BN580" s="39">
        <f t="shared" si="159"/>
        <v>0</v>
      </c>
      <c r="BO580" s="39">
        <f t="shared" si="160"/>
        <v>0</v>
      </c>
      <c r="BP580" s="1">
        <f t="shared" si="161"/>
        <v>0</v>
      </c>
      <c r="BQ580" s="1">
        <f t="shared" si="162"/>
        <v>0</v>
      </c>
      <c r="BR580" s="1" t="str">
        <f t="shared" si="163"/>
        <v/>
      </c>
      <c r="BS580" s="1">
        <f t="shared" si="164"/>
        <v>0</v>
      </c>
      <c r="BT580" s="4">
        <f t="shared" si="165"/>
        <v>0</v>
      </c>
      <c r="BU580" s="39">
        <f t="shared" si="166"/>
        <v>0</v>
      </c>
      <c r="BV580" s="1">
        <f t="shared" si="167"/>
        <v>0</v>
      </c>
      <c r="BW580">
        <f t="shared" si="168"/>
        <v>0</v>
      </c>
      <c r="BX580">
        <f t="shared" si="169"/>
        <v>0</v>
      </c>
    </row>
    <row r="581" spans="58:76" x14ac:dyDescent="0.25">
      <c r="BF581" s="1" t="e">
        <f>VLOOKUP(N581,'Incoming Material Report'!H:M,6,FALSE)</f>
        <v>#N/A</v>
      </c>
      <c r="BG581" s="1" t="e">
        <f>IF(VLOOKUP(N581,'Incoming Material Report'!H:N,7,FALSE)=0,"",VLOOKUP(N581,'Incoming Material Report'!H:N,7,FALSE))</f>
        <v>#N/A</v>
      </c>
      <c r="BH581" s="39">
        <f t="shared" si="153"/>
        <v>0</v>
      </c>
      <c r="BI581" s="1">
        <f t="shared" si="154"/>
        <v>0</v>
      </c>
      <c r="BJ581" s="1">
        <f t="shared" si="155"/>
        <v>0</v>
      </c>
      <c r="BK581" s="1">
        <f t="shared" si="156"/>
        <v>0</v>
      </c>
      <c r="BL581" s="1">
        <f t="shared" si="157"/>
        <v>0</v>
      </c>
      <c r="BM581" s="10" t="str">
        <f t="shared" si="158"/>
        <v/>
      </c>
      <c r="BN581" s="39">
        <f t="shared" si="159"/>
        <v>0</v>
      </c>
      <c r="BO581" s="39">
        <f t="shared" si="160"/>
        <v>0</v>
      </c>
      <c r="BP581" s="1">
        <f t="shared" si="161"/>
        <v>0</v>
      </c>
      <c r="BQ581" s="1">
        <f t="shared" si="162"/>
        <v>0</v>
      </c>
      <c r="BR581" s="1" t="str">
        <f t="shared" si="163"/>
        <v/>
      </c>
      <c r="BS581" s="1">
        <f t="shared" si="164"/>
        <v>0</v>
      </c>
      <c r="BT581" s="4">
        <f t="shared" si="165"/>
        <v>0</v>
      </c>
      <c r="BU581" s="39">
        <f t="shared" si="166"/>
        <v>0</v>
      </c>
      <c r="BV581" s="1">
        <f t="shared" si="167"/>
        <v>0</v>
      </c>
      <c r="BW581">
        <f t="shared" si="168"/>
        <v>0</v>
      </c>
      <c r="BX581">
        <f t="shared" si="169"/>
        <v>0</v>
      </c>
    </row>
    <row r="582" spans="58:76" x14ac:dyDescent="0.25">
      <c r="BF582" s="1" t="e">
        <f>VLOOKUP(N582,'Incoming Material Report'!H:M,6,FALSE)</f>
        <v>#N/A</v>
      </c>
      <c r="BG582" s="1" t="e">
        <f>IF(VLOOKUP(N582,'Incoming Material Report'!H:N,7,FALSE)=0,"",VLOOKUP(N582,'Incoming Material Report'!H:N,7,FALSE))</f>
        <v>#N/A</v>
      </c>
      <c r="BH582" s="39">
        <f t="shared" si="153"/>
        <v>0</v>
      </c>
      <c r="BI582" s="1">
        <f t="shared" si="154"/>
        <v>0</v>
      </c>
      <c r="BJ582" s="1">
        <f t="shared" si="155"/>
        <v>0</v>
      </c>
      <c r="BK582" s="1">
        <f t="shared" si="156"/>
        <v>0</v>
      </c>
      <c r="BL582" s="1">
        <f t="shared" si="157"/>
        <v>0</v>
      </c>
      <c r="BM582" s="10" t="str">
        <f t="shared" si="158"/>
        <v/>
      </c>
      <c r="BN582" s="39">
        <f t="shared" si="159"/>
        <v>0</v>
      </c>
      <c r="BO582" s="39">
        <f t="shared" si="160"/>
        <v>0</v>
      </c>
      <c r="BP582" s="1">
        <f t="shared" si="161"/>
        <v>0</v>
      </c>
      <c r="BQ582" s="1">
        <f t="shared" si="162"/>
        <v>0</v>
      </c>
      <c r="BR582" s="1" t="str">
        <f t="shared" si="163"/>
        <v/>
      </c>
      <c r="BS582" s="1">
        <f t="shared" si="164"/>
        <v>0</v>
      </c>
      <c r="BT582" s="4">
        <f t="shared" si="165"/>
        <v>0</v>
      </c>
      <c r="BU582" s="39">
        <f t="shared" si="166"/>
        <v>0</v>
      </c>
      <c r="BV582" s="1">
        <f t="shared" si="167"/>
        <v>0</v>
      </c>
      <c r="BW582">
        <f t="shared" si="168"/>
        <v>0</v>
      </c>
      <c r="BX582">
        <f t="shared" si="169"/>
        <v>0</v>
      </c>
    </row>
    <row r="583" spans="58:76" x14ac:dyDescent="0.25">
      <c r="BF583" s="1" t="e">
        <f>VLOOKUP(N583,'Incoming Material Report'!H:M,6,FALSE)</f>
        <v>#N/A</v>
      </c>
      <c r="BG583" s="1" t="e">
        <f>IF(VLOOKUP(N583,'Incoming Material Report'!H:N,7,FALSE)=0,"",VLOOKUP(N583,'Incoming Material Report'!H:N,7,FALSE))</f>
        <v>#N/A</v>
      </c>
      <c r="BH583" s="39">
        <f t="shared" si="153"/>
        <v>0</v>
      </c>
      <c r="BI583" s="1">
        <f t="shared" si="154"/>
        <v>0</v>
      </c>
      <c r="BJ583" s="1">
        <f t="shared" si="155"/>
        <v>0</v>
      </c>
      <c r="BK583" s="1">
        <f t="shared" si="156"/>
        <v>0</v>
      </c>
      <c r="BL583" s="1">
        <f t="shared" si="157"/>
        <v>0</v>
      </c>
      <c r="BM583" s="10" t="str">
        <f t="shared" si="158"/>
        <v/>
      </c>
      <c r="BN583" s="39">
        <f t="shared" si="159"/>
        <v>0</v>
      </c>
      <c r="BO583" s="39">
        <f t="shared" si="160"/>
        <v>0</v>
      </c>
      <c r="BP583" s="1">
        <f t="shared" si="161"/>
        <v>0</v>
      </c>
      <c r="BQ583" s="1">
        <f t="shared" si="162"/>
        <v>0</v>
      </c>
      <c r="BR583" s="1" t="str">
        <f t="shared" si="163"/>
        <v/>
      </c>
      <c r="BS583" s="1">
        <f t="shared" si="164"/>
        <v>0</v>
      </c>
      <c r="BT583" s="4">
        <f t="shared" si="165"/>
        <v>0</v>
      </c>
      <c r="BU583" s="39">
        <f t="shared" si="166"/>
        <v>0</v>
      </c>
      <c r="BV583" s="1">
        <f t="shared" si="167"/>
        <v>0</v>
      </c>
      <c r="BW583">
        <f t="shared" si="168"/>
        <v>0</v>
      </c>
      <c r="BX583">
        <f t="shared" si="169"/>
        <v>0</v>
      </c>
    </row>
    <row r="584" spans="58:76" x14ac:dyDescent="0.25">
      <c r="BF584" s="1" t="e">
        <f>VLOOKUP(N584,'Incoming Material Report'!H:M,6,FALSE)</f>
        <v>#N/A</v>
      </c>
      <c r="BG584" s="1" t="e">
        <f>IF(VLOOKUP(N584,'Incoming Material Report'!H:N,7,FALSE)=0,"",VLOOKUP(N584,'Incoming Material Report'!H:N,7,FALSE))</f>
        <v>#N/A</v>
      </c>
      <c r="BH584" s="39">
        <f t="shared" si="153"/>
        <v>0</v>
      </c>
      <c r="BI584" s="1">
        <f t="shared" si="154"/>
        <v>0</v>
      </c>
      <c r="BJ584" s="1">
        <f t="shared" si="155"/>
        <v>0</v>
      </c>
      <c r="BK584" s="1">
        <f t="shared" si="156"/>
        <v>0</v>
      </c>
      <c r="BL584" s="1">
        <f t="shared" si="157"/>
        <v>0</v>
      </c>
      <c r="BM584" s="10" t="str">
        <f t="shared" si="158"/>
        <v/>
      </c>
      <c r="BN584" s="39">
        <f t="shared" si="159"/>
        <v>0</v>
      </c>
      <c r="BO584" s="39">
        <f t="shared" si="160"/>
        <v>0</v>
      </c>
      <c r="BP584" s="1">
        <f t="shared" si="161"/>
        <v>0</v>
      </c>
      <c r="BQ584" s="1">
        <f t="shared" si="162"/>
        <v>0</v>
      </c>
      <c r="BR584" s="1" t="str">
        <f t="shared" si="163"/>
        <v/>
      </c>
      <c r="BS584" s="1">
        <f t="shared" si="164"/>
        <v>0</v>
      </c>
      <c r="BT584" s="4">
        <f t="shared" si="165"/>
        <v>0</v>
      </c>
      <c r="BU584" s="39">
        <f t="shared" si="166"/>
        <v>0</v>
      </c>
      <c r="BV584" s="1">
        <f t="shared" si="167"/>
        <v>0</v>
      </c>
      <c r="BW584">
        <f t="shared" si="168"/>
        <v>0</v>
      </c>
      <c r="BX584">
        <f t="shared" si="169"/>
        <v>0</v>
      </c>
    </row>
    <row r="585" spans="58:76" x14ac:dyDescent="0.25">
      <c r="BF585" s="1" t="e">
        <f>VLOOKUP(N585,'Incoming Material Report'!H:M,6,FALSE)</f>
        <v>#N/A</v>
      </c>
      <c r="BG585" s="1" t="e">
        <f>IF(VLOOKUP(N585,'Incoming Material Report'!H:N,7,FALSE)=0,"",VLOOKUP(N585,'Incoming Material Report'!H:N,7,FALSE))</f>
        <v>#N/A</v>
      </c>
      <c r="BH585" s="39">
        <f t="shared" si="153"/>
        <v>0</v>
      </c>
      <c r="BI585" s="1">
        <f t="shared" si="154"/>
        <v>0</v>
      </c>
      <c r="BJ585" s="1">
        <f t="shared" si="155"/>
        <v>0</v>
      </c>
      <c r="BK585" s="1">
        <f t="shared" si="156"/>
        <v>0</v>
      </c>
      <c r="BL585" s="1">
        <f t="shared" si="157"/>
        <v>0</v>
      </c>
      <c r="BM585" s="10" t="str">
        <f t="shared" si="158"/>
        <v/>
      </c>
      <c r="BN585" s="39">
        <f t="shared" si="159"/>
        <v>0</v>
      </c>
      <c r="BO585" s="39">
        <f t="shared" si="160"/>
        <v>0</v>
      </c>
      <c r="BP585" s="1">
        <f t="shared" si="161"/>
        <v>0</v>
      </c>
      <c r="BQ585" s="1">
        <f t="shared" si="162"/>
        <v>0</v>
      </c>
      <c r="BR585" s="1" t="str">
        <f t="shared" si="163"/>
        <v/>
      </c>
      <c r="BS585" s="1">
        <f t="shared" si="164"/>
        <v>0</v>
      </c>
      <c r="BT585" s="4">
        <f t="shared" si="165"/>
        <v>0</v>
      </c>
      <c r="BU585" s="39">
        <f t="shared" si="166"/>
        <v>0</v>
      </c>
      <c r="BV585" s="1">
        <f t="shared" si="167"/>
        <v>0</v>
      </c>
      <c r="BW585">
        <f t="shared" si="168"/>
        <v>0</v>
      </c>
      <c r="BX585">
        <f t="shared" si="169"/>
        <v>0</v>
      </c>
    </row>
    <row r="586" spans="58:76" x14ac:dyDescent="0.25">
      <c r="BF586" s="1" t="e">
        <f>VLOOKUP(N586,'Incoming Material Report'!H:M,6,FALSE)</f>
        <v>#N/A</v>
      </c>
      <c r="BG586" s="1" t="e">
        <f>IF(VLOOKUP(N586,'Incoming Material Report'!H:N,7,FALSE)=0,"",VLOOKUP(N586,'Incoming Material Report'!H:N,7,FALSE))</f>
        <v>#N/A</v>
      </c>
      <c r="BH586" s="39">
        <f t="shared" si="153"/>
        <v>0</v>
      </c>
      <c r="BI586" s="1">
        <f t="shared" si="154"/>
        <v>0</v>
      </c>
      <c r="BJ586" s="1">
        <f t="shared" si="155"/>
        <v>0</v>
      </c>
      <c r="BK586" s="1">
        <f t="shared" si="156"/>
        <v>0</v>
      </c>
      <c r="BL586" s="1">
        <f t="shared" si="157"/>
        <v>0</v>
      </c>
      <c r="BM586" s="10" t="str">
        <f t="shared" si="158"/>
        <v/>
      </c>
      <c r="BN586" s="39">
        <f t="shared" si="159"/>
        <v>0</v>
      </c>
      <c r="BO586" s="39">
        <f t="shared" si="160"/>
        <v>0</v>
      </c>
      <c r="BP586" s="1">
        <f t="shared" si="161"/>
        <v>0</v>
      </c>
      <c r="BQ586" s="1">
        <f t="shared" si="162"/>
        <v>0</v>
      </c>
      <c r="BR586" s="1" t="str">
        <f t="shared" si="163"/>
        <v/>
      </c>
      <c r="BS586" s="1">
        <f t="shared" si="164"/>
        <v>0</v>
      </c>
      <c r="BT586" s="4">
        <f t="shared" si="165"/>
        <v>0</v>
      </c>
      <c r="BU586" s="39">
        <f t="shared" si="166"/>
        <v>0</v>
      </c>
      <c r="BV586" s="1">
        <f t="shared" si="167"/>
        <v>0</v>
      </c>
      <c r="BW586">
        <f t="shared" si="168"/>
        <v>0</v>
      </c>
      <c r="BX586">
        <f t="shared" si="169"/>
        <v>0</v>
      </c>
    </row>
    <row r="587" spans="58:76" x14ac:dyDescent="0.25">
      <c r="BF587" s="1" t="e">
        <f>VLOOKUP(N587,'Incoming Material Report'!H:M,6,FALSE)</f>
        <v>#N/A</v>
      </c>
      <c r="BG587" s="1" t="e">
        <f>IF(VLOOKUP(N587,'Incoming Material Report'!H:N,7,FALSE)=0,"",VLOOKUP(N587,'Incoming Material Report'!H:N,7,FALSE))</f>
        <v>#N/A</v>
      </c>
      <c r="BH587" s="39">
        <f t="shared" si="153"/>
        <v>0</v>
      </c>
      <c r="BI587" s="1">
        <f t="shared" si="154"/>
        <v>0</v>
      </c>
      <c r="BJ587" s="1">
        <f t="shared" si="155"/>
        <v>0</v>
      </c>
      <c r="BK587" s="1">
        <f t="shared" si="156"/>
        <v>0</v>
      </c>
      <c r="BL587" s="1">
        <f t="shared" si="157"/>
        <v>0</v>
      </c>
      <c r="BM587" s="10" t="str">
        <f t="shared" si="158"/>
        <v/>
      </c>
      <c r="BN587" s="39">
        <f t="shared" si="159"/>
        <v>0</v>
      </c>
      <c r="BO587" s="39">
        <f t="shared" si="160"/>
        <v>0</v>
      </c>
      <c r="BP587" s="1">
        <f t="shared" si="161"/>
        <v>0</v>
      </c>
      <c r="BQ587" s="1">
        <f t="shared" si="162"/>
        <v>0</v>
      </c>
      <c r="BR587" s="1" t="str">
        <f t="shared" si="163"/>
        <v/>
      </c>
      <c r="BS587" s="1">
        <f t="shared" si="164"/>
        <v>0</v>
      </c>
      <c r="BT587" s="4">
        <f t="shared" si="165"/>
        <v>0</v>
      </c>
      <c r="BU587" s="39">
        <f t="shared" si="166"/>
        <v>0</v>
      </c>
      <c r="BV587" s="1">
        <f t="shared" si="167"/>
        <v>0</v>
      </c>
      <c r="BW587">
        <f t="shared" si="168"/>
        <v>0</v>
      </c>
      <c r="BX587">
        <f t="shared" si="169"/>
        <v>0</v>
      </c>
    </row>
    <row r="588" spans="58:76" x14ac:dyDescent="0.25">
      <c r="BF588" s="1" t="e">
        <f>VLOOKUP(N588,'Incoming Material Report'!H:M,6,FALSE)</f>
        <v>#N/A</v>
      </c>
      <c r="BG588" s="1" t="e">
        <f>IF(VLOOKUP(N588,'Incoming Material Report'!H:N,7,FALSE)=0,"",VLOOKUP(N588,'Incoming Material Report'!H:N,7,FALSE))</f>
        <v>#N/A</v>
      </c>
      <c r="BH588" s="39">
        <f t="shared" si="153"/>
        <v>0</v>
      </c>
      <c r="BI588" s="1">
        <f t="shared" si="154"/>
        <v>0</v>
      </c>
      <c r="BJ588" s="1">
        <f t="shared" si="155"/>
        <v>0</v>
      </c>
      <c r="BK588" s="1">
        <f t="shared" si="156"/>
        <v>0</v>
      </c>
      <c r="BL588" s="1">
        <f t="shared" si="157"/>
        <v>0</v>
      </c>
      <c r="BM588" s="10" t="str">
        <f t="shared" si="158"/>
        <v/>
      </c>
      <c r="BN588" s="39">
        <f t="shared" si="159"/>
        <v>0</v>
      </c>
      <c r="BO588" s="39">
        <f t="shared" si="160"/>
        <v>0</v>
      </c>
      <c r="BP588" s="1">
        <f t="shared" si="161"/>
        <v>0</v>
      </c>
      <c r="BQ588" s="1">
        <f t="shared" si="162"/>
        <v>0</v>
      </c>
      <c r="BR588" s="1" t="str">
        <f t="shared" si="163"/>
        <v/>
      </c>
      <c r="BS588" s="1">
        <f t="shared" si="164"/>
        <v>0</v>
      </c>
      <c r="BT588" s="4">
        <f t="shared" si="165"/>
        <v>0</v>
      </c>
      <c r="BU588" s="39">
        <f t="shared" si="166"/>
        <v>0</v>
      </c>
      <c r="BV588" s="1">
        <f t="shared" si="167"/>
        <v>0</v>
      </c>
      <c r="BW588">
        <f t="shared" si="168"/>
        <v>0</v>
      </c>
      <c r="BX588">
        <f t="shared" si="169"/>
        <v>0</v>
      </c>
    </row>
    <row r="589" spans="58:76" x14ac:dyDescent="0.25">
      <c r="BF589" s="1" t="e">
        <f>VLOOKUP(N589,'Incoming Material Report'!H:M,6,FALSE)</f>
        <v>#N/A</v>
      </c>
      <c r="BG589" s="1" t="e">
        <f>IF(VLOOKUP(N589,'Incoming Material Report'!H:N,7,FALSE)=0,"",VLOOKUP(N589,'Incoming Material Report'!H:N,7,FALSE))</f>
        <v>#N/A</v>
      </c>
      <c r="BH589" s="39">
        <f t="shared" si="153"/>
        <v>0</v>
      </c>
      <c r="BI589" s="1">
        <f t="shared" si="154"/>
        <v>0</v>
      </c>
      <c r="BJ589" s="1">
        <f t="shared" si="155"/>
        <v>0</v>
      </c>
      <c r="BK589" s="1">
        <f t="shared" si="156"/>
        <v>0</v>
      </c>
      <c r="BL589" s="1">
        <f t="shared" si="157"/>
        <v>0</v>
      </c>
      <c r="BM589" s="10" t="str">
        <f t="shared" si="158"/>
        <v/>
      </c>
      <c r="BN589" s="39">
        <f t="shared" si="159"/>
        <v>0</v>
      </c>
      <c r="BO589" s="39">
        <f t="shared" si="160"/>
        <v>0</v>
      </c>
      <c r="BP589" s="1">
        <f t="shared" si="161"/>
        <v>0</v>
      </c>
      <c r="BQ589" s="1">
        <f t="shared" si="162"/>
        <v>0</v>
      </c>
      <c r="BR589" s="1" t="str">
        <f t="shared" si="163"/>
        <v/>
      </c>
      <c r="BS589" s="1">
        <f t="shared" si="164"/>
        <v>0</v>
      </c>
      <c r="BT589" s="4">
        <f t="shared" si="165"/>
        <v>0</v>
      </c>
      <c r="BU589" s="39">
        <f t="shared" si="166"/>
        <v>0</v>
      </c>
      <c r="BV589" s="1">
        <f t="shared" si="167"/>
        <v>0</v>
      </c>
      <c r="BW589">
        <f t="shared" si="168"/>
        <v>0</v>
      </c>
      <c r="BX589">
        <f t="shared" si="169"/>
        <v>0</v>
      </c>
    </row>
    <row r="590" spans="58:76" x14ac:dyDescent="0.25">
      <c r="BF590" s="1" t="e">
        <f>VLOOKUP(N590,'Incoming Material Report'!H:M,6,FALSE)</f>
        <v>#N/A</v>
      </c>
      <c r="BG590" s="1" t="e">
        <f>IF(VLOOKUP(N590,'Incoming Material Report'!H:N,7,FALSE)=0,"",VLOOKUP(N590,'Incoming Material Report'!H:N,7,FALSE))</f>
        <v>#N/A</v>
      </c>
      <c r="BH590" s="39">
        <f t="shared" si="153"/>
        <v>0</v>
      </c>
      <c r="BI590" s="1">
        <f t="shared" si="154"/>
        <v>0</v>
      </c>
      <c r="BJ590" s="1">
        <f t="shared" si="155"/>
        <v>0</v>
      </c>
      <c r="BK590" s="1">
        <f t="shared" si="156"/>
        <v>0</v>
      </c>
      <c r="BL590" s="1">
        <f t="shared" si="157"/>
        <v>0</v>
      </c>
      <c r="BM590" s="10" t="str">
        <f t="shared" si="158"/>
        <v/>
      </c>
      <c r="BN590" s="39">
        <f t="shared" si="159"/>
        <v>0</v>
      </c>
      <c r="BO590" s="39">
        <f t="shared" si="160"/>
        <v>0</v>
      </c>
      <c r="BP590" s="1">
        <f t="shared" si="161"/>
        <v>0</v>
      </c>
      <c r="BQ590" s="1">
        <f t="shared" si="162"/>
        <v>0</v>
      </c>
      <c r="BR590" s="1" t="str">
        <f t="shared" si="163"/>
        <v/>
      </c>
      <c r="BS590" s="1">
        <f t="shared" si="164"/>
        <v>0</v>
      </c>
      <c r="BT590" s="4">
        <f t="shared" si="165"/>
        <v>0</v>
      </c>
      <c r="BU590" s="39">
        <f t="shared" si="166"/>
        <v>0</v>
      </c>
      <c r="BV590" s="1">
        <f t="shared" si="167"/>
        <v>0</v>
      </c>
      <c r="BW590">
        <f t="shared" si="168"/>
        <v>0</v>
      </c>
      <c r="BX590">
        <f t="shared" si="169"/>
        <v>0</v>
      </c>
    </row>
    <row r="591" spans="58:76" x14ac:dyDescent="0.25">
      <c r="BF591" s="1" t="e">
        <f>VLOOKUP(N591,'Incoming Material Report'!H:M,6,FALSE)</f>
        <v>#N/A</v>
      </c>
      <c r="BG591" s="1" t="e">
        <f>IF(VLOOKUP(N591,'Incoming Material Report'!H:N,7,FALSE)=0,"",VLOOKUP(N591,'Incoming Material Report'!H:N,7,FALSE))</f>
        <v>#N/A</v>
      </c>
      <c r="BH591" s="39">
        <f t="shared" si="153"/>
        <v>0</v>
      </c>
      <c r="BI591" s="1">
        <f t="shared" si="154"/>
        <v>0</v>
      </c>
      <c r="BJ591" s="1">
        <f t="shared" si="155"/>
        <v>0</v>
      </c>
      <c r="BK591" s="1">
        <f t="shared" si="156"/>
        <v>0</v>
      </c>
      <c r="BL591" s="1">
        <f t="shared" si="157"/>
        <v>0</v>
      </c>
      <c r="BM591" s="10" t="str">
        <f t="shared" si="158"/>
        <v/>
      </c>
      <c r="BN591" s="39">
        <f t="shared" si="159"/>
        <v>0</v>
      </c>
      <c r="BO591" s="39">
        <f t="shared" si="160"/>
        <v>0</v>
      </c>
      <c r="BP591" s="1">
        <f t="shared" si="161"/>
        <v>0</v>
      </c>
      <c r="BQ591" s="1">
        <f t="shared" si="162"/>
        <v>0</v>
      </c>
      <c r="BR591" s="1" t="str">
        <f t="shared" si="163"/>
        <v/>
      </c>
      <c r="BS591" s="1">
        <f t="shared" si="164"/>
        <v>0</v>
      </c>
      <c r="BT591" s="4">
        <f t="shared" si="165"/>
        <v>0</v>
      </c>
      <c r="BU591" s="39">
        <f t="shared" si="166"/>
        <v>0</v>
      </c>
      <c r="BV591" s="1">
        <f t="shared" si="167"/>
        <v>0</v>
      </c>
      <c r="BW591">
        <f t="shared" si="168"/>
        <v>0</v>
      </c>
      <c r="BX591">
        <f t="shared" si="169"/>
        <v>0</v>
      </c>
    </row>
    <row r="592" spans="58:76" x14ac:dyDescent="0.25">
      <c r="BF592" s="1" t="e">
        <f>VLOOKUP(N592,'Incoming Material Report'!H:M,6,FALSE)</f>
        <v>#N/A</v>
      </c>
      <c r="BG592" s="1" t="e">
        <f>IF(VLOOKUP(N592,'Incoming Material Report'!H:N,7,FALSE)=0,"",VLOOKUP(N592,'Incoming Material Report'!H:N,7,FALSE))</f>
        <v>#N/A</v>
      </c>
      <c r="BH592" s="39">
        <f t="shared" si="153"/>
        <v>0</v>
      </c>
      <c r="BI592" s="1">
        <f t="shared" si="154"/>
        <v>0</v>
      </c>
      <c r="BJ592" s="1">
        <f t="shared" si="155"/>
        <v>0</v>
      </c>
      <c r="BK592" s="1">
        <f t="shared" si="156"/>
        <v>0</v>
      </c>
      <c r="BL592" s="1">
        <f t="shared" si="157"/>
        <v>0</v>
      </c>
      <c r="BM592" s="10" t="str">
        <f t="shared" si="158"/>
        <v/>
      </c>
      <c r="BN592" s="39">
        <f t="shared" si="159"/>
        <v>0</v>
      </c>
      <c r="BO592" s="39">
        <f t="shared" si="160"/>
        <v>0</v>
      </c>
      <c r="BP592" s="1">
        <f t="shared" si="161"/>
        <v>0</v>
      </c>
      <c r="BQ592" s="1">
        <f t="shared" si="162"/>
        <v>0</v>
      </c>
      <c r="BR592" s="1" t="str">
        <f t="shared" si="163"/>
        <v/>
      </c>
      <c r="BS592" s="1">
        <f t="shared" si="164"/>
        <v>0</v>
      </c>
      <c r="BT592" s="4">
        <f t="shared" si="165"/>
        <v>0</v>
      </c>
      <c r="BU592" s="39">
        <f t="shared" si="166"/>
        <v>0</v>
      </c>
      <c r="BV592" s="1">
        <f t="shared" si="167"/>
        <v>0</v>
      </c>
      <c r="BW592">
        <f t="shared" si="168"/>
        <v>0</v>
      </c>
      <c r="BX592">
        <f t="shared" si="169"/>
        <v>0</v>
      </c>
    </row>
    <row r="593" spans="58:76" x14ac:dyDescent="0.25">
      <c r="BF593" s="1" t="e">
        <f>VLOOKUP(N593,'Incoming Material Report'!H:M,6,FALSE)</f>
        <v>#N/A</v>
      </c>
      <c r="BG593" s="1" t="e">
        <f>IF(VLOOKUP(N593,'Incoming Material Report'!H:N,7,FALSE)=0,"",VLOOKUP(N593,'Incoming Material Report'!H:N,7,FALSE))</f>
        <v>#N/A</v>
      </c>
      <c r="BH593" s="39">
        <f t="shared" si="153"/>
        <v>0</v>
      </c>
      <c r="BI593" s="1">
        <f t="shared" si="154"/>
        <v>0</v>
      </c>
      <c r="BJ593" s="1">
        <f t="shared" si="155"/>
        <v>0</v>
      </c>
      <c r="BK593" s="1">
        <f t="shared" si="156"/>
        <v>0</v>
      </c>
      <c r="BL593" s="1">
        <f t="shared" si="157"/>
        <v>0</v>
      </c>
      <c r="BM593" s="10" t="str">
        <f t="shared" si="158"/>
        <v/>
      </c>
      <c r="BN593" s="39">
        <f t="shared" si="159"/>
        <v>0</v>
      </c>
      <c r="BO593" s="39">
        <f t="shared" si="160"/>
        <v>0</v>
      </c>
      <c r="BP593" s="1">
        <f t="shared" si="161"/>
        <v>0</v>
      </c>
      <c r="BQ593" s="1">
        <f t="shared" si="162"/>
        <v>0</v>
      </c>
      <c r="BR593" s="1" t="str">
        <f t="shared" si="163"/>
        <v/>
      </c>
      <c r="BS593" s="1">
        <f t="shared" si="164"/>
        <v>0</v>
      </c>
      <c r="BT593" s="4">
        <f t="shared" si="165"/>
        <v>0</v>
      </c>
      <c r="BU593" s="39">
        <f t="shared" si="166"/>
        <v>0</v>
      </c>
      <c r="BV593" s="1">
        <f t="shared" si="167"/>
        <v>0</v>
      </c>
      <c r="BW593">
        <f t="shared" si="168"/>
        <v>0</v>
      </c>
      <c r="BX593">
        <f t="shared" si="169"/>
        <v>0</v>
      </c>
    </row>
    <row r="594" spans="58:76" x14ac:dyDescent="0.25">
      <c r="BF594" s="1" t="e">
        <f>VLOOKUP(N594,'Incoming Material Report'!H:M,6,FALSE)</f>
        <v>#N/A</v>
      </c>
      <c r="BG594" s="1" t="e">
        <f>IF(VLOOKUP(N594,'Incoming Material Report'!H:N,7,FALSE)=0,"",VLOOKUP(N594,'Incoming Material Report'!H:N,7,FALSE))</f>
        <v>#N/A</v>
      </c>
      <c r="BH594" s="39">
        <f t="shared" si="153"/>
        <v>0</v>
      </c>
      <c r="BI594" s="1">
        <f t="shared" si="154"/>
        <v>0</v>
      </c>
      <c r="BJ594" s="1">
        <f t="shared" si="155"/>
        <v>0</v>
      </c>
      <c r="BK594" s="1">
        <f t="shared" si="156"/>
        <v>0</v>
      </c>
      <c r="BL594" s="1">
        <f t="shared" si="157"/>
        <v>0</v>
      </c>
      <c r="BM594" s="10" t="str">
        <f t="shared" si="158"/>
        <v/>
      </c>
      <c r="BN594" s="39">
        <f t="shared" si="159"/>
        <v>0</v>
      </c>
      <c r="BO594" s="39">
        <f t="shared" si="160"/>
        <v>0</v>
      </c>
      <c r="BP594" s="1">
        <f t="shared" si="161"/>
        <v>0</v>
      </c>
      <c r="BQ594" s="1">
        <f t="shared" si="162"/>
        <v>0</v>
      </c>
      <c r="BR594" s="1" t="str">
        <f t="shared" si="163"/>
        <v/>
      </c>
      <c r="BS594" s="1">
        <f t="shared" si="164"/>
        <v>0</v>
      </c>
      <c r="BT594" s="4">
        <f t="shared" si="165"/>
        <v>0</v>
      </c>
      <c r="BU594" s="39">
        <f t="shared" si="166"/>
        <v>0</v>
      </c>
      <c r="BV594" s="1">
        <f t="shared" si="167"/>
        <v>0</v>
      </c>
      <c r="BW594">
        <f t="shared" si="168"/>
        <v>0</v>
      </c>
      <c r="BX594">
        <f t="shared" si="169"/>
        <v>0</v>
      </c>
    </row>
    <row r="595" spans="58:76" x14ac:dyDescent="0.25">
      <c r="BF595" s="1" t="e">
        <f>VLOOKUP(N595,'Incoming Material Report'!H:M,6,FALSE)</f>
        <v>#N/A</v>
      </c>
      <c r="BG595" s="1" t="e">
        <f>IF(VLOOKUP(N595,'Incoming Material Report'!H:N,7,FALSE)=0,"",VLOOKUP(N595,'Incoming Material Report'!H:N,7,FALSE))</f>
        <v>#N/A</v>
      </c>
      <c r="BH595" s="39">
        <f t="shared" si="153"/>
        <v>0</v>
      </c>
      <c r="BI595" s="1">
        <f t="shared" si="154"/>
        <v>0</v>
      </c>
      <c r="BJ595" s="1">
        <f t="shared" si="155"/>
        <v>0</v>
      </c>
      <c r="BK595" s="1">
        <f t="shared" si="156"/>
        <v>0</v>
      </c>
      <c r="BL595" s="1">
        <f t="shared" si="157"/>
        <v>0</v>
      </c>
      <c r="BM595" s="10" t="str">
        <f t="shared" si="158"/>
        <v/>
      </c>
      <c r="BN595" s="39">
        <f t="shared" si="159"/>
        <v>0</v>
      </c>
      <c r="BO595" s="39">
        <f t="shared" si="160"/>
        <v>0</v>
      </c>
      <c r="BP595" s="1">
        <f t="shared" si="161"/>
        <v>0</v>
      </c>
      <c r="BQ595" s="1">
        <f t="shared" si="162"/>
        <v>0</v>
      </c>
      <c r="BR595" s="1" t="str">
        <f t="shared" si="163"/>
        <v/>
      </c>
      <c r="BS595" s="1">
        <f t="shared" si="164"/>
        <v>0</v>
      </c>
      <c r="BT595" s="4">
        <f t="shared" si="165"/>
        <v>0</v>
      </c>
      <c r="BU595" s="39">
        <f t="shared" si="166"/>
        <v>0</v>
      </c>
      <c r="BV595" s="1">
        <f t="shared" si="167"/>
        <v>0</v>
      </c>
      <c r="BW595">
        <f t="shared" si="168"/>
        <v>0</v>
      </c>
      <c r="BX595">
        <f t="shared" si="169"/>
        <v>0</v>
      </c>
    </row>
    <row r="596" spans="58:76" x14ac:dyDescent="0.25">
      <c r="BF596" s="1" t="e">
        <f>VLOOKUP(N596,'Incoming Material Report'!H:M,6,FALSE)</f>
        <v>#N/A</v>
      </c>
      <c r="BG596" s="1" t="e">
        <f>IF(VLOOKUP(N596,'Incoming Material Report'!H:N,7,FALSE)=0,"",VLOOKUP(N596,'Incoming Material Report'!H:N,7,FALSE))</f>
        <v>#N/A</v>
      </c>
      <c r="BH596" s="39">
        <f t="shared" si="153"/>
        <v>0</v>
      </c>
      <c r="BI596" s="1">
        <f t="shared" si="154"/>
        <v>0</v>
      </c>
      <c r="BJ596" s="1">
        <f t="shared" si="155"/>
        <v>0</v>
      </c>
      <c r="BK596" s="1">
        <f t="shared" si="156"/>
        <v>0</v>
      </c>
      <c r="BL596" s="1">
        <f t="shared" si="157"/>
        <v>0</v>
      </c>
      <c r="BM596" s="10" t="str">
        <f t="shared" si="158"/>
        <v/>
      </c>
      <c r="BN596" s="39">
        <f t="shared" si="159"/>
        <v>0</v>
      </c>
      <c r="BO596" s="39">
        <f t="shared" si="160"/>
        <v>0</v>
      </c>
      <c r="BP596" s="1">
        <f t="shared" si="161"/>
        <v>0</v>
      </c>
      <c r="BQ596" s="1">
        <f t="shared" si="162"/>
        <v>0</v>
      </c>
      <c r="BR596" s="1" t="str">
        <f t="shared" si="163"/>
        <v/>
      </c>
      <c r="BS596" s="1">
        <f t="shared" si="164"/>
        <v>0</v>
      </c>
      <c r="BT596" s="4">
        <f t="shared" si="165"/>
        <v>0</v>
      </c>
      <c r="BU596" s="39">
        <f t="shared" si="166"/>
        <v>0</v>
      </c>
      <c r="BV596" s="1">
        <f t="shared" si="167"/>
        <v>0</v>
      </c>
      <c r="BW596">
        <f t="shared" si="168"/>
        <v>0</v>
      </c>
      <c r="BX596">
        <f t="shared" si="169"/>
        <v>0</v>
      </c>
    </row>
    <row r="597" spans="58:76" x14ac:dyDescent="0.25">
      <c r="BF597" s="1" t="e">
        <f>VLOOKUP(N597,'Incoming Material Report'!H:M,6,FALSE)</f>
        <v>#N/A</v>
      </c>
      <c r="BG597" s="1" t="e">
        <f>IF(VLOOKUP(N597,'Incoming Material Report'!H:N,7,FALSE)=0,"",VLOOKUP(N597,'Incoming Material Report'!H:N,7,FALSE))</f>
        <v>#N/A</v>
      </c>
      <c r="BH597" s="39">
        <f t="shared" si="153"/>
        <v>0</v>
      </c>
      <c r="BI597" s="1">
        <f t="shared" si="154"/>
        <v>0</v>
      </c>
      <c r="BJ597" s="1">
        <f t="shared" si="155"/>
        <v>0</v>
      </c>
      <c r="BK597" s="1">
        <f t="shared" si="156"/>
        <v>0</v>
      </c>
      <c r="BL597" s="1">
        <f t="shared" si="157"/>
        <v>0</v>
      </c>
      <c r="BM597" s="10" t="str">
        <f t="shared" si="158"/>
        <v/>
      </c>
      <c r="BN597" s="39">
        <f t="shared" si="159"/>
        <v>0</v>
      </c>
      <c r="BO597" s="39">
        <f t="shared" si="160"/>
        <v>0</v>
      </c>
      <c r="BP597" s="1">
        <f t="shared" si="161"/>
        <v>0</v>
      </c>
      <c r="BQ597" s="1">
        <f t="shared" si="162"/>
        <v>0</v>
      </c>
      <c r="BR597" s="1" t="str">
        <f t="shared" si="163"/>
        <v/>
      </c>
      <c r="BS597" s="1">
        <f t="shared" si="164"/>
        <v>0</v>
      </c>
      <c r="BT597" s="4">
        <f t="shared" si="165"/>
        <v>0</v>
      </c>
      <c r="BU597" s="39">
        <f t="shared" si="166"/>
        <v>0</v>
      </c>
      <c r="BV597" s="1">
        <f t="shared" si="167"/>
        <v>0</v>
      </c>
      <c r="BW597">
        <f t="shared" si="168"/>
        <v>0</v>
      </c>
      <c r="BX597">
        <f t="shared" si="169"/>
        <v>0</v>
      </c>
    </row>
    <row r="598" spans="58:76" x14ac:dyDescent="0.25">
      <c r="BF598" s="1" t="e">
        <f>VLOOKUP(N598,'Incoming Material Report'!H:M,6,FALSE)</f>
        <v>#N/A</v>
      </c>
      <c r="BG598" s="1" t="e">
        <f>IF(VLOOKUP(N598,'Incoming Material Report'!H:N,7,FALSE)=0,"",VLOOKUP(N598,'Incoming Material Report'!H:N,7,FALSE))</f>
        <v>#N/A</v>
      </c>
      <c r="BH598" s="39">
        <f t="shared" si="153"/>
        <v>0</v>
      </c>
      <c r="BI598" s="1">
        <f t="shared" si="154"/>
        <v>0</v>
      </c>
      <c r="BJ598" s="1">
        <f t="shared" si="155"/>
        <v>0</v>
      </c>
      <c r="BK598" s="1">
        <f t="shared" si="156"/>
        <v>0</v>
      </c>
      <c r="BL598" s="1">
        <f t="shared" si="157"/>
        <v>0</v>
      </c>
      <c r="BM598" s="10" t="str">
        <f t="shared" si="158"/>
        <v/>
      </c>
      <c r="BN598" s="39">
        <f t="shared" si="159"/>
        <v>0</v>
      </c>
      <c r="BO598" s="39">
        <f t="shared" si="160"/>
        <v>0</v>
      </c>
      <c r="BP598" s="1">
        <f t="shared" si="161"/>
        <v>0</v>
      </c>
      <c r="BQ598" s="1">
        <f t="shared" si="162"/>
        <v>0</v>
      </c>
      <c r="BR598" s="1" t="str">
        <f t="shared" si="163"/>
        <v/>
      </c>
      <c r="BS598" s="1">
        <f t="shared" si="164"/>
        <v>0</v>
      </c>
      <c r="BT598" s="4">
        <f t="shared" si="165"/>
        <v>0</v>
      </c>
      <c r="BU598" s="39">
        <f t="shared" si="166"/>
        <v>0</v>
      </c>
      <c r="BV598" s="1">
        <f t="shared" si="167"/>
        <v>0</v>
      </c>
      <c r="BW598">
        <f t="shared" si="168"/>
        <v>0</v>
      </c>
      <c r="BX598">
        <f t="shared" si="169"/>
        <v>0</v>
      </c>
    </row>
    <row r="599" spans="58:76" x14ac:dyDescent="0.25">
      <c r="BF599" s="1" t="e">
        <f>VLOOKUP(N599,'Incoming Material Report'!H:M,6,FALSE)</f>
        <v>#N/A</v>
      </c>
      <c r="BG599" s="1" t="e">
        <f>IF(VLOOKUP(N599,'Incoming Material Report'!H:N,7,FALSE)=0,"",VLOOKUP(N599,'Incoming Material Report'!H:N,7,FALSE))</f>
        <v>#N/A</v>
      </c>
      <c r="BH599" s="39">
        <f t="shared" si="153"/>
        <v>0</v>
      </c>
      <c r="BI599" s="1">
        <f t="shared" si="154"/>
        <v>0</v>
      </c>
      <c r="BJ599" s="1">
        <f t="shared" si="155"/>
        <v>0</v>
      </c>
      <c r="BK599" s="1">
        <f t="shared" si="156"/>
        <v>0</v>
      </c>
      <c r="BL599" s="1">
        <f t="shared" si="157"/>
        <v>0</v>
      </c>
      <c r="BM599" s="10" t="str">
        <f t="shared" si="158"/>
        <v/>
      </c>
      <c r="BN599" s="39">
        <f t="shared" si="159"/>
        <v>0</v>
      </c>
      <c r="BO599" s="39">
        <f t="shared" si="160"/>
        <v>0</v>
      </c>
      <c r="BP599" s="1">
        <f t="shared" si="161"/>
        <v>0</v>
      </c>
      <c r="BQ599" s="1">
        <f t="shared" si="162"/>
        <v>0</v>
      </c>
      <c r="BR599" s="1" t="str">
        <f t="shared" si="163"/>
        <v/>
      </c>
      <c r="BS599" s="1">
        <f t="shared" si="164"/>
        <v>0</v>
      </c>
      <c r="BT599" s="4">
        <f t="shared" si="165"/>
        <v>0</v>
      </c>
      <c r="BU599" s="39">
        <f t="shared" si="166"/>
        <v>0</v>
      </c>
      <c r="BV599" s="1">
        <f t="shared" si="167"/>
        <v>0</v>
      </c>
      <c r="BW599">
        <f t="shared" si="168"/>
        <v>0</v>
      </c>
      <c r="BX599">
        <f t="shared" si="169"/>
        <v>0</v>
      </c>
    </row>
    <row r="600" spans="58:76" x14ac:dyDescent="0.25">
      <c r="BF600" s="1" t="e">
        <f>VLOOKUP(N600,'Incoming Material Report'!H:M,6,FALSE)</f>
        <v>#N/A</v>
      </c>
      <c r="BG600" s="1" t="e">
        <f>IF(VLOOKUP(N600,'Incoming Material Report'!H:N,7,FALSE)=0,"",VLOOKUP(N600,'Incoming Material Report'!H:N,7,FALSE))</f>
        <v>#N/A</v>
      </c>
      <c r="BH600" s="39">
        <f t="shared" si="153"/>
        <v>0</v>
      </c>
      <c r="BI600" s="1">
        <f t="shared" si="154"/>
        <v>0</v>
      </c>
      <c r="BJ600" s="1">
        <f t="shared" si="155"/>
        <v>0</v>
      </c>
      <c r="BK600" s="1">
        <f t="shared" si="156"/>
        <v>0</v>
      </c>
      <c r="BL600" s="1">
        <f t="shared" si="157"/>
        <v>0</v>
      </c>
      <c r="BM600" s="10" t="str">
        <f t="shared" si="158"/>
        <v/>
      </c>
      <c r="BN600" s="39">
        <f t="shared" si="159"/>
        <v>0</v>
      </c>
      <c r="BO600" s="39">
        <f t="shared" si="160"/>
        <v>0</v>
      </c>
      <c r="BP600" s="1">
        <f t="shared" si="161"/>
        <v>0</v>
      </c>
      <c r="BQ600" s="1">
        <f t="shared" si="162"/>
        <v>0</v>
      </c>
      <c r="BR600" s="1" t="str">
        <f t="shared" si="163"/>
        <v/>
      </c>
      <c r="BS600" s="1">
        <f t="shared" si="164"/>
        <v>0</v>
      </c>
      <c r="BT600" s="4">
        <f t="shared" si="165"/>
        <v>0</v>
      </c>
      <c r="BU600" s="39">
        <f t="shared" si="166"/>
        <v>0</v>
      </c>
      <c r="BV600" s="1">
        <f t="shared" si="167"/>
        <v>0</v>
      </c>
      <c r="BW600">
        <f t="shared" si="168"/>
        <v>0</v>
      </c>
      <c r="BX600">
        <f t="shared" si="169"/>
        <v>0</v>
      </c>
    </row>
    <row r="601" spans="58:76" x14ac:dyDescent="0.25">
      <c r="BF601" s="1" t="e">
        <f>VLOOKUP(N601,'Incoming Material Report'!H:M,6,FALSE)</f>
        <v>#N/A</v>
      </c>
      <c r="BG601" s="1" t="e">
        <f>IF(VLOOKUP(N601,'Incoming Material Report'!H:N,7,FALSE)=0,"",VLOOKUP(N601,'Incoming Material Report'!H:N,7,FALSE))</f>
        <v>#N/A</v>
      </c>
      <c r="BH601" s="39">
        <f t="shared" si="153"/>
        <v>0</v>
      </c>
      <c r="BI601" s="1">
        <f t="shared" si="154"/>
        <v>0</v>
      </c>
      <c r="BJ601" s="1">
        <f t="shared" si="155"/>
        <v>0</v>
      </c>
      <c r="BK601" s="1">
        <f t="shared" si="156"/>
        <v>0</v>
      </c>
      <c r="BL601" s="1">
        <f t="shared" si="157"/>
        <v>0</v>
      </c>
      <c r="BM601" s="10" t="str">
        <f t="shared" si="158"/>
        <v/>
      </c>
      <c r="BN601" s="39">
        <f t="shared" si="159"/>
        <v>0</v>
      </c>
      <c r="BO601" s="39">
        <f t="shared" si="160"/>
        <v>0</v>
      </c>
      <c r="BP601" s="1">
        <f t="shared" si="161"/>
        <v>0</v>
      </c>
      <c r="BQ601" s="1">
        <f t="shared" si="162"/>
        <v>0</v>
      </c>
      <c r="BR601" s="1" t="str">
        <f t="shared" si="163"/>
        <v/>
      </c>
      <c r="BS601" s="1">
        <f t="shared" si="164"/>
        <v>0</v>
      </c>
      <c r="BT601" s="4">
        <f t="shared" si="165"/>
        <v>0</v>
      </c>
      <c r="BU601" s="39">
        <f t="shared" si="166"/>
        <v>0</v>
      </c>
      <c r="BV601" s="1">
        <f t="shared" si="167"/>
        <v>0</v>
      </c>
      <c r="BW601">
        <f t="shared" si="168"/>
        <v>0</v>
      </c>
      <c r="BX601">
        <f t="shared" si="169"/>
        <v>0</v>
      </c>
    </row>
    <row r="602" spans="58:76" x14ac:dyDescent="0.25">
      <c r="BF602" s="1" t="e">
        <f>VLOOKUP(N602,'Incoming Material Report'!H:M,6,FALSE)</f>
        <v>#N/A</v>
      </c>
      <c r="BG602" s="1" t="e">
        <f>IF(VLOOKUP(N602,'Incoming Material Report'!H:N,7,FALSE)=0,"",VLOOKUP(N602,'Incoming Material Report'!H:N,7,FALSE))</f>
        <v>#N/A</v>
      </c>
      <c r="BH602" s="39">
        <f t="shared" si="153"/>
        <v>0</v>
      </c>
      <c r="BI602" s="1">
        <f t="shared" si="154"/>
        <v>0</v>
      </c>
      <c r="BJ602" s="1">
        <f t="shared" si="155"/>
        <v>0</v>
      </c>
      <c r="BK602" s="1">
        <f t="shared" si="156"/>
        <v>0</v>
      </c>
      <c r="BL602" s="1">
        <f t="shared" si="157"/>
        <v>0</v>
      </c>
      <c r="BM602" s="10" t="str">
        <f t="shared" si="158"/>
        <v/>
      </c>
      <c r="BN602" s="39">
        <f t="shared" si="159"/>
        <v>0</v>
      </c>
      <c r="BO602" s="39">
        <f t="shared" si="160"/>
        <v>0</v>
      </c>
      <c r="BP602" s="1">
        <f t="shared" si="161"/>
        <v>0</v>
      </c>
      <c r="BQ602" s="1">
        <f t="shared" si="162"/>
        <v>0</v>
      </c>
      <c r="BR602" s="1" t="str">
        <f t="shared" si="163"/>
        <v/>
      </c>
      <c r="BS602" s="1">
        <f t="shared" si="164"/>
        <v>0</v>
      </c>
      <c r="BT602" s="4">
        <f t="shared" si="165"/>
        <v>0</v>
      </c>
      <c r="BU602" s="39">
        <f t="shared" si="166"/>
        <v>0</v>
      </c>
      <c r="BV602" s="1">
        <f t="shared" si="167"/>
        <v>0</v>
      </c>
      <c r="BW602">
        <f t="shared" si="168"/>
        <v>0</v>
      </c>
      <c r="BX602">
        <f t="shared" si="169"/>
        <v>0</v>
      </c>
    </row>
    <row r="603" spans="58:76" x14ac:dyDescent="0.25">
      <c r="BF603" s="1" t="e">
        <f>VLOOKUP(N603,'Incoming Material Report'!H:M,6,FALSE)</f>
        <v>#N/A</v>
      </c>
      <c r="BG603" s="1" t="e">
        <f>IF(VLOOKUP(N603,'Incoming Material Report'!H:N,7,FALSE)=0,"",VLOOKUP(N603,'Incoming Material Report'!H:N,7,FALSE))</f>
        <v>#N/A</v>
      </c>
      <c r="BH603" s="39">
        <f t="shared" si="153"/>
        <v>0</v>
      </c>
      <c r="BI603" s="1">
        <f t="shared" si="154"/>
        <v>0</v>
      </c>
      <c r="BJ603" s="1">
        <f t="shared" si="155"/>
        <v>0</v>
      </c>
      <c r="BK603" s="1">
        <f t="shared" si="156"/>
        <v>0</v>
      </c>
      <c r="BL603" s="1">
        <f t="shared" si="157"/>
        <v>0</v>
      </c>
      <c r="BM603" s="10" t="str">
        <f t="shared" si="158"/>
        <v/>
      </c>
      <c r="BN603" s="39">
        <f t="shared" si="159"/>
        <v>0</v>
      </c>
      <c r="BO603" s="39">
        <f t="shared" si="160"/>
        <v>0</v>
      </c>
      <c r="BP603" s="1">
        <f t="shared" si="161"/>
        <v>0</v>
      </c>
      <c r="BQ603" s="1">
        <f t="shared" si="162"/>
        <v>0</v>
      </c>
      <c r="BR603" s="1" t="str">
        <f t="shared" si="163"/>
        <v/>
      </c>
      <c r="BS603" s="1">
        <f t="shared" si="164"/>
        <v>0</v>
      </c>
      <c r="BT603" s="4">
        <f t="shared" si="165"/>
        <v>0</v>
      </c>
      <c r="BU603" s="39">
        <f t="shared" si="166"/>
        <v>0</v>
      </c>
      <c r="BV603" s="1">
        <f t="shared" si="167"/>
        <v>0</v>
      </c>
      <c r="BW603">
        <f t="shared" si="168"/>
        <v>0</v>
      </c>
      <c r="BX603">
        <f t="shared" si="169"/>
        <v>0</v>
      </c>
    </row>
    <row r="604" spans="58:76" x14ac:dyDescent="0.25">
      <c r="BF604" s="1" t="e">
        <f>VLOOKUP(N604,'Incoming Material Report'!H:M,6,FALSE)</f>
        <v>#N/A</v>
      </c>
      <c r="BG604" s="1" t="e">
        <f>IF(VLOOKUP(N604,'Incoming Material Report'!H:N,7,FALSE)=0,"",VLOOKUP(N604,'Incoming Material Report'!H:N,7,FALSE))</f>
        <v>#N/A</v>
      </c>
      <c r="BH604" s="39">
        <f t="shared" si="153"/>
        <v>0</v>
      </c>
      <c r="BI604" s="1">
        <f t="shared" si="154"/>
        <v>0</v>
      </c>
      <c r="BJ604" s="1">
        <f t="shared" si="155"/>
        <v>0</v>
      </c>
      <c r="BK604" s="1">
        <f t="shared" si="156"/>
        <v>0</v>
      </c>
      <c r="BL604" s="1">
        <f t="shared" si="157"/>
        <v>0</v>
      </c>
      <c r="BM604" s="10" t="str">
        <f t="shared" si="158"/>
        <v/>
      </c>
      <c r="BN604" s="39">
        <f t="shared" si="159"/>
        <v>0</v>
      </c>
      <c r="BO604" s="39">
        <f t="shared" si="160"/>
        <v>0</v>
      </c>
      <c r="BP604" s="1">
        <f t="shared" si="161"/>
        <v>0</v>
      </c>
      <c r="BQ604" s="1">
        <f t="shared" si="162"/>
        <v>0</v>
      </c>
      <c r="BR604" s="1" t="str">
        <f t="shared" si="163"/>
        <v/>
      </c>
      <c r="BS604" s="1">
        <f t="shared" si="164"/>
        <v>0</v>
      </c>
      <c r="BT604" s="4">
        <f t="shared" si="165"/>
        <v>0</v>
      </c>
      <c r="BU604" s="39">
        <f t="shared" si="166"/>
        <v>0</v>
      </c>
      <c r="BV604" s="1">
        <f t="shared" si="167"/>
        <v>0</v>
      </c>
      <c r="BW604">
        <f t="shared" si="168"/>
        <v>0</v>
      </c>
      <c r="BX604">
        <f t="shared" si="169"/>
        <v>0</v>
      </c>
    </row>
    <row r="605" spans="58:76" x14ac:dyDescent="0.25">
      <c r="BF605" s="1" t="e">
        <f>VLOOKUP(N605,'Incoming Material Report'!H:M,6,FALSE)</f>
        <v>#N/A</v>
      </c>
      <c r="BG605" s="1" t="e">
        <f>IF(VLOOKUP(N605,'Incoming Material Report'!H:N,7,FALSE)=0,"",VLOOKUP(N605,'Incoming Material Report'!H:N,7,FALSE))</f>
        <v>#N/A</v>
      </c>
      <c r="BH605" s="39">
        <f t="shared" si="153"/>
        <v>0</v>
      </c>
      <c r="BI605" s="1">
        <f t="shared" si="154"/>
        <v>0</v>
      </c>
      <c r="BJ605" s="1">
        <f t="shared" si="155"/>
        <v>0</v>
      </c>
      <c r="BK605" s="1">
        <f t="shared" si="156"/>
        <v>0</v>
      </c>
      <c r="BL605" s="1">
        <f t="shared" si="157"/>
        <v>0</v>
      </c>
      <c r="BM605" s="10" t="str">
        <f t="shared" si="158"/>
        <v/>
      </c>
      <c r="BN605" s="39">
        <f t="shared" si="159"/>
        <v>0</v>
      </c>
      <c r="BO605" s="39">
        <f t="shared" si="160"/>
        <v>0</v>
      </c>
      <c r="BP605" s="1">
        <f t="shared" si="161"/>
        <v>0</v>
      </c>
      <c r="BQ605" s="1">
        <f t="shared" si="162"/>
        <v>0</v>
      </c>
      <c r="BR605" s="1" t="str">
        <f t="shared" si="163"/>
        <v/>
      </c>
      <c r="BS605" s="1">
        <f t="shared" si="164"/>
        <v>0</v>
      </c>
      <c r="BT605" s="4">
        <f t="shared" si="165"/>
        <v>0</v>
      </c>
      <c r="BU605" s="39">
        <f t="shared" si="166"/>
        <v>0</v>
      </c>
      <c r="BV605" s="1">
        <f t="shared" si="167"/>
        <v>0</v>
      </c>
      <c r="BW605">
        <f t="shared" si="168"/>
        <v>0</v>
      </c>
      <c r="BX605">
        <f t="shared" si="169"/>
        <v>0</v>
      </c>
    </row>
    <row r="606" spans="58:76" x14ac:dyDescent="0.25">
      <c r="BF606" s="1" t="e">
        <f>VLOOKUP(N606,'Incoming Material Report'!H:M,6,FALSE)</f>
        <v>#N/A</v>
      </c>
      <c r="BG606" s="1" t="e">
        <f>IF(VLOOKUP(N606,'Incoming Material Report'!H:N,7,FALSE)=0,"",VLOOKUP(N606,'Incoming Material Report'!H:N,7,FALSE))</f>
        <v>#N/A</v>
      </c>
      <c r="BH606" s="39">
        <f t="shared" si="153"/>
        <v>0</v>
      </c>
      <c r="BI606" s="1">
        <f t="shared" si="154"/>
        <v>0</v>
      </c>
      <c r="BJ606" s="1">
        <f t="shared" si="155"/>
        <v>0</v>
      </c>
      <c r="BK606" s="1">
        <f t="shared" si="156"/>
        <v>0</v>
      </c>
      <c r="BL606" s="1">
        <f t="shared" si="157"/>
        <v>0</v>
      </c>
      <c r="BM606" s="10" t="str">
        <f t="shared" si="158"/>
        <v/>
      </c>
      <c r="BN606" s="39">
        <f t="shared" si="159"/>
        <v>0</v>
      </c>
      <c r="BO606" s="39">
        <f t="shared" si="160"/>
        <v>0</v>
      </c>
      <c r="BP606" s="1">
        <f t="shared" si="161"/>
        <v>0</v>
      </c>
      <c r="BQ606" s="1">
        <f t="shared" si="162"/>
        <v>0</v>
      </c>
      <c r="BR606" s="1" t="str">
        <f t="shared" si="163"/>
        <v/>
      </c>
      <c r="BS606" s="1">
        <f t="shared" si="164"/>
        <v>0</v>
      </c>
      <c r="BT606" s="4">
        <f t="shared" si="165"/>
        <v>0</v>
      </c>
      <c r="BU606" s="39">
        <f t="shared" si="166"/>
        <v>0</v>
      </c>
      <c r="BV606" s="1">
        <f t="shared" si="167"/>
        <v>0</v>
      </c>
      <c r="BW606">
        <f t="shared" si="168"/>
        <v>0</v>
      </c>
      <c r="BX606">
        <f t="shared" si="169"/>
        <v>0</v>
      </c>
    </row>
    <row r="607" spans="58:76" x14ac:dyDescent="0.25">
      <c r="BF607" s="1" t="e">
        <f>VLOOKUP(N607,'Incoming Material Report'!H:M,6,FALSE)</f>
        <v>#N/A</v>
      </c>
      <c r="BG607" s="1" t="e">
        <f>IF(VLOOKUP(N607,'Incoming Material Report'!H:N,7,FALSE)=0,"",VLOOKUP(N607,'Incoming Material Report'!H:N,7,FALSE))</f>
        <v>#N/A</v>
      </c>
      <c r="BH607" s="39">
        <f t="shared" si="153"/>
        <v>0</v>
      </c>
      <c r="BI607" s="1">
        <f t="shared" si="154"/>
        <v>0</v>
      </c>
      <c r="BJ607" s="1">
        <f t="shared" si="155"/>
        <v>0</v>
      </c>
      <c r="BK607" s="1">
        <f t="shared" si="156"/>
        <v>0</v>
      </c>
      <c r="BL607" s="1">
        <f t="shared" si="157"/>
        <v>0</v>
      </c>
      <c r="BM607" s="10" t="str">
        <f t="shared" si="158"/>
        <v/>
      </c>
      <c r="BN607" s="39">
        <f t="shared" si="159"/>
        <v>0</v>
      </c>
      <c r="BO607" s="39">
        <f t="shared" si="160"/>
        <v>0</v>
      </c>
      <c r="BP607" s="1">
        <f t="shared" si="161"/>
        <v>0</v>
      </c>
      <c r="BQ607" s="1">
        <f t="shared" si="162"/>
        <v>0</v>
      </c>
      <c r="BR607" s="1" t="str">
        <f t="shared" si="163"/>
        <v/>
      </c>
      <c r="BS607" s="1">
        <f t="shared" si="164"/>
        <v>0</v>
      </c>
      <c r="BT607" s="4">
        <f t="shared" si="165"/>
        <v>0</v>
      </c>
      <c r="BU607" s="39">
        <f t="shared" si="166"/>
        <v>0</v>
      </c>
      <c r="BV607" s="1">
        <f t="shared" si="167"/>
        <v>0</v>
      </c>
      <c r="BW607">
        <f t="shared" si="168"/>
        <v>0</v>
      </c>
      <c r="BX607">
        <f t="shared" si="169"/>
        <v>0</v>
      </c>
    </row>
    <row r="608" spans="58:76" x14ac:dyDescent="0.25">
      <c r="BF608" s="1" t="e">
        <f>VLOOKUP(N608,'Incoming Material Report'!H:M,6,FALSE)</f>
        <v>#N/A</v>
      </c>
      <c r="BG608" s="1" t="e">
        <f>IF(VLOOKUP(N608,'Incoming Material Report'!H:N,7,FALSE)=0,"",VLOOKUP(N608,'Incoming Material Report'!H:N,7,FALSE))</f>
        <v>#N/A</v>
      </c>
      <c r="BH608" s="39">
        <f t="shared" si="153"/>
        <v>0</v>
      </c>
      <c r="BI608" s="1">
        <f t="shared" si="154"/>
        <v>0</v>
      </c>
      <c r="BJ608" s="1">
        <f t="shared" si="155"/>
        <v>0</v>
      </c>
      <c r="BK608" s="1">
        <f t="shared" si="156"/>
        <v>0</v>
      </c>
      <c r="BL608" s="1">
        <f t="shared" si="157"/>
        <v>0</v>
      </c>
      <c r="BM608" s="10" t="str">
        <f t="shared" si="158"/>
        <v/>
      </c>
      <c r="BN608" s="39">
        <f t="shared" si="159"/>
        <v>0</v>
      </c>
      <c r="BO608" s="39">
        <f t="shared" si="160"/>
        <v>0</v>
      </c>
      <c r="BP608" s="1">
        <f t="shared" si="161"/>
        <v>0</v>
      </c>
      <c r="BQ608" s="1">
        <f t="shared" si="162"/>
        <v>0</v>
      </c>
      <c r="BR608" s="1" t="str">
        <f t="shared" si="163"/>
        <v/>
      </c>
      <c r="BS608" s="1">
        <f t="shared" si="164"/>
        <v>0</v>
      </c>
      <c r="BT608" s="4">
        <f t="shared" si="165"/>
        <v>0</v>
      </c>
      <c r="BU608" s="39">
        <f t="shared" si="166"/>
        <v>0</v>
      </c>
      <c r="BV608" s="1">
        <f t="shared" si="167"/>
        <v>0</v>
      </c>
      <c r="BW608">
        <f t="shared" si="168"/>
        <v>0</v>
      </c>
      <c r="BX608">
        <f t="shared" si="169"/>
        <v>0</v>
      </c>
    </row>
    <row r="609" spans="58:76" x14ac:dyDescent="0.25">
      <c r="BF609" s="1" t="e">
        <f>VLOOKUP(N609,'Incoming Material Report'!H:M,6,FALSE)</f>
        <v>#N/A</v>
      </c>
      <c r="BG609" s="1" t="e">
        <f>IF(VLOOKUP(N609,'Incoming Material Report'!H:N,7,FALSE)=0,"",VLOOKUP(N609,'Incoming Material Report'!H:N,7,FALSE))</f>
        <v>#N/A</v>
      </c>
      <c r="BH609" s="39">
        <f t="shared" si="153"/>
        <v>0</v>
      </c>
      <c r="BI609" s="1">
        <f t="shared" si="154"/>
        <v>0</v>
      </c>
      <c r="BJ609" s="1">
        <f t="shared" si="155"/>
        <v>0</v>
      </c>
      <c r="BK609" s="1">
        <f t="shared" si="156"/>
        <v>0</v>
      </c>
      <c r="BL609" s="1">
        <f t="shared" si="157"/>
        <v>0</v>
      </c>
      <c r="BM609" s="10" t="str">
        <f t="shared" si="158"/>
        <v/>
      </c>
      <c r="BN609" s="39">
        <f t="shared" si="159"/>
        <v>0</v>
      </c>
      <c r="BO609" s="39">
        <f t="shared" si="160"/>
        <v>0</v>
      </c>
      <c r="BP609" s="1">
        <f t="shared" si="161"/>
        <v>0</v>
      </c>
      <c r="BQ609" s="1">
        <f t="shared" si="162"/>
        <v>0</v>
      </c>
      <c r="BR609" s="1" t="str">
        <f t="shared" si="163"/>
        <v/>
      </c>
      <c r="BS609" s="1">
        <f t="shared" si="164"/>
        <v>0</v>
      </c>
      <c r="BT609" s="4">
        <f t="shared" si="165"/>
        <v>0</v>
      </c>
      <c r="BU609" s="39">
        <f t="shared" si="166"/>
        <v>0</v>
      </c>
      <c r="BV609" s="1">
        <f t="shared" si="167"/>
        <v>0</v>
      </c>
      <c r="BW609">
        <f t="shared" si="168"/>
        <v>0</v>
      </c>
      <c r="BX609">
        <f t="shared" si="169"/>
        <v>0</v>
      </c>
    </row>
    <row r="610" spans="58:76" x14ac:dyDescent="0.25">
      <c r="BF610" s="1" t="e">
        <f>VLOOKUP(N610,'Incoming Material Report'!H:M,6,FALSE)</f>
        <v>#N/A</v>
      </c>
      <c r="BG610" s="1" t="e">
        <f>IF(VLOOKUP(N610,'Incoming Material Report'!H:N,7,FALSE)=0,"",VLOOKUP(N610,'Incoming Material Report'!H:N,7,FALSE))</f>
        <v>#N/A</v>
      </c>
      <c r="BH610" s="39">
        <f t="shared" si="153"/>
        <v>0</v>
      </c>
      <c r="BI610" s="1">
        <f t="shared" si="154"/>
        <v>0</v>
      </c>
      <c r="BJ610" s="1">
        <f t="shared" si="155"/>
        <v>0</v>
      </c>
      <c r="BK610" s="1">
        <f t="shared" si="156"/>
        <v>0</v>
      </c>
      <c r="BL610" s="1">
        <f t="shared" si="157"/>
        <v>0</v>
      </c>
      <c r="BM610" s="10" t="str">
        <f t="shared" si="158"/>
        <v/>
      </c>
      <c r="BN610" s="39">
        <f t="shared" si="159"/>
        <v>0</v>
      </c>
      <c r="BO610" s="39">
        <f t="shared" si="160"/>
        <v>0</v>
      </c>
      <c r="BP610" s="1">
        <f t="shared" si="161"/>
        <v>0</v>
      </c>
      <c r="BQ610" s="1">
        <f t="shared" si="162"/>
        <v>0</v>
      </c>
      <c r="BR610" s="1" t="str">
        <f t="shared" si="163"/>
        <v/>
      </c>
      <c r="BS610" s="1">
        <f t="shared" si="164"/>
        <v>0</v>
      </c>
      <c r="BT610" s="4">
        <f t="shared" si="165"/>
        <v>0</v>
      </c>
      <c r="BU610" s="39">
        <f t="shared" si="166"/>
        <v>0</v>
      </c>
      <c r="BV610" s="1">
        <f t="shared" si="167"/>
        <v>0</v>
      </c>
      <c r="BW610">
        <f t="shared" si="168"/>
        <v>0</v>
      </c>
      <c r="BX610">
        <f t="shared" si="169"/>
        <v>0</v>
      </c>
    </row>
    <row r="611" spans="58:76" x14ac:dyDescent="0.25">
      <c r="BF611" s="1" t="e">
        <f>VLOOKUP(N611,'Incoming Material Report'!H:M,6,FALSE)</f>
        <v>#N/A</v>
      </c>
      <c r="BG611" s="1" t="e">
        <f>IF(VLOOKUP(N611,'Incoming Material Report'!H:N,7,FALSE)=0,"",VLOOKUP(N611,'Incoming Material Report'!H:N,7,FALSE))</f>
        <v>#N/A</v>
      </c>
      <c r="BH611" s="39">
        <f t="shared" si="153"/>
        <v>0</v>
      </c>
      <c r="BI611" s="1">
        <f t="shared" si="154"/>
        <v>0</v>
      </c>
      <c r="BJ611" s="1">
        <f t="shared" si="155"/>
        <v>0</v>
      </c>
      <c r="BK611" s="1">
        <f t="shared" si="156"/>
        <v>0</v>
      </c>
      <c r="BL611" s="1">
        <f t="shared" si="157"/>
        <v>0</v>
      </c>
      <c r="BM611" s="10" t="str">
        <f t="shared" si="158"/>
        <v/>
      </c>
      <c r="BN611" s="39">
        <f t="shared" si="159"/>
        <v>0</v>
      </c>
      <c r="BO611" s="39">
        <f t="shared" si="160"/>
        <v>0</v>
      </c>
      <c r="BP611" s="1">
        <f t="shared" si="161"/>
        <v>0</v>
      </c>
      <c r="BQ611" s="1">
        <f t="shared" si="162"/>
        <v>0</v>
      </c>
      <c r="BR611" s="1" t="str">
        <f t="shared" si="163"/>
        <v/>
      </c>
      <c r="BS611" s="1">
        <f t="shared" si="164"/>
        <v>0</v>
      </c>
      <c r="BT611" s="4">
        <f t="shared" si="165"/>
        <v>0</v>
      </c>
      <c r="BU611" s="39">
        <f t="shared" si="166"/>
        <v>0</v>
      </c>
      <c r="BV611" s="1">
        <f t="shared" si="167"/>
        <v>0</v>
      </c>
      <c r="BW611">
        <f t="shared" si="168"/>
        <v>0</v>
      </c>
      <c r="BX611">
        <f t="shared" si="169"/>
        <v>0</v>
      </c>
    </row>
    <row r="612" spans="58:76" x14ac:dyDescent="0.25">
      <c r="BF612" s="1" t="e">
        <f>VLOOKUP(N612,'Incoming Material Report'!H:M,6,FALSE)</f>
        <v>#N/A</v>
      </c>
      <c r="BG612" s="1" t="e">
        <f>IF(VLOOKUP(N612,'Incoming Material Report'!H:N,7,FALSE)=0,"",VLOOKUP(N612,'Incoming Material Report'!H:N,7,FALSE))</f>
        <v>#N/A</v>
      </c>
      <c r="BH612" s="39">
        <f t="shared" si="153"/>
        <v>0</v>
      </c>
      <c r="BI612" s="1">
        <f t="shared" si="154"/>
        <v>0</v>
      </c>
      <c r="BJ612" s="1">
        <f t="shared" si="155"/>
        <v>0</v>
      </c>
      <c r="BK612" s="1">
        <f t="shared" si="156"/>
        <v>0</v>
      </c>
      <c r="BL612" s="1">
        <f t="shared" si="157"/>
        <v>0</v>
      </c>
      <c r="BM612" s="10" t="str">
        <f t="shared" si="158"/>
        <v/>
      </c>
      <c r="BN612" s="39">
        <f t="shared" si="159"/>
        <v>0</v>
      </c>
      <c r="BO612" s="39">
        <f t="shared" si="160"/>
        <v>0</v>
      </c>
      <c r="BP612" s="1">
        <f t="shared" si="161"/>
        <v>0</v>
      </c>
      <c r="BQ612" s="1">
        <f t="shared" si="162"/>
        <v>0</v>
      </c>
      <c r="BR612" s="1" t="str">
        <f t="shared" si="163"/>
        <v/>
      </c>
      <c r="BS612" s="1">
        <f t="shared" si="164"/>
        <v>0</v>
      </c>
      <c r="BT612" s="4">
        <f t="shared" si="165"/>
        <v>0</v>
      </c>
      <c r="BU612" s="39">
        <f t="shared" si="166"/>
        <v>0</v>
      </c>
      <c r="BV612" s="1">
        <f t="shared" si="167"/>
        <v>0</v>
      </c>
      <c r="BW612">
        <f t="shared" si="168"/>
        <v>0</v>
      </c>
      <c r="BX612">
        <f t="shared" si="169"/>
        <v>0</v>
      </c>
    </row>
    <row r="613" spans="58:76" x14ac:dyDescent="0.25">
      <c r="BF613" s="1" t="e">
        <f>VLOOKUP(N613,'Incoming Material Report'!H:M,6,FALSE)</f>
        <v>#N/A</v>
      </c>
      <c r="BG613" s="1" t="e">
        <f>IF(VLOOKUP(N613,'Incoming Material Report'!H:N,7,FALSE)=0,"",VLOOKUP(N613,'Incoming Material Report'!H:N,7,FALSE))</f>
        <v>#N/A</v>
      </c>
      <c r="BH613" s="39">
        <f t="shared" si="153"/>
        <v>0</v>
      </c>
      <c r="BI613" s="1">
        <f t="shared" si="154"/>
        <v>0</v>
      </c>
      <c r="BJ613" s="1">
        <f t="shared" si="155"/>
        <v>0</v>
      </c>
      <c r="BK613" s="1">
        <f t="shared" si="156"/>
        <v>0</v>
      </c>
      <c r="BL613" s="1">
        <f t="shared" si="157"/>
        <v>0</v>
      </c>
      <c r="BM613" s="10" t="str">
        <f t="shared" si="158"/>
        <v/>
      </c>
      <c r="BN613" s="39">
        <f t="shared" si="159"/>
        <v>0</v>
      </c>
      <c r="BO613" s="39">
        <f t="shared" si="160"/>
        <v>0</v>
      </c>
      <c r="BP613" s="1">
        <f t="shared" si="161"/>
        <v>0</v>
      </c>
      <c r="BQ613" s="1">
        <f t="shared" si="162"/>
        <v>0</v>
      </c>
      <c r="BR613" s="1" t="str">
        <f t="shared" si="163"/>
        <v/>
      </c>
      <c r="BS613" s="1">
        <f t="shared" si="164"/>
        <v>0</v>
      </c>
      <c r="BT613" s="4">
        <f t="shared" si="165"/>
        <v>0</v>
      </c>
      <c r="BU613" s="39">
        <f t="shared" si="166"/>
        <v>0</v>
      </c>
      <c r="BV613" s="1">
        <f t="shared" si="167"/>
        <v>0</v>
      </c>
      <c r="BW613">
        <f t="shared" si="168"/>
        <v>0</v>
      </c>
      <c r="BX613">
        <f t="shared" si="169"/>
        <v>0</v>
      </c>
    </row>
    <row r="614" spans="58:76" x14ac:dyDescent="0.25">
      <c r="BF614" s="1" t="e">
        <f>VLOOKUP(N614,'Incoming Material Report'!H:M,6,FALSE)</f>
        <v>#N/A</v>
      </c>
      <c r="BG614" s="1" t="e">
        <f>IF(VLOOKUP(N614,'Incoming Material Report'!H:N,7,FALSE)=0,"",VLOOKUP(N614,'Incoming Material Report'!H:N,7,FALSE))</f>
        <v>#N/A</v>
      </c>
      <c r="BH614" s="39">
        <f t="shared" si="153"/>
        <v>0</v>
      </c>
      <c r="BI614" s="1">
        <f t="shared" si="154"/>
        <v>0</v>
      </c>
      <c r="BJ614" s="1">
        <f t="shared" si="155"/>
        <v>0</v>
      </c>
      <c r="BK614" s="1">
        <f t="shared" si="156"/>
        <v>0</v>
      </c>
      <c r="BL614" s="1">
        <f t="shared" si="157"/>
        <v>0</v>
      </c>
      <c r="BM614" s="10" t="str">
        <f t="shared" si="158"/>
        <v/>
      </c>
      <c r="BN614" s="39">
        <f t="shared" si="159"/>
        <v>0</v>
      </c>
      <c r="BO614" s="39">
        <f t="shared" si="160"/>
        <v>0</v>
      </c>
      <c r="BP614" s="1">
        <f t="shared" si="161"/>
        <v>0</v>
      </c>
      <c r="BQ614" s="1">
        <f t="shared" si="162"/>
        <v>0</v>
      </c>
      <c r="BR614" s="1" t="str">
        <f t="shared" si="163"/>
        <v/>
      </c>
      <c r="BS614" s="1">
        <f t="shared" si="164"/>
        <v>0</v>
      </c>
      <c r="BT614" s="4">
        <f t="shared" si="165"/>
        <v>0</v>
      </c>
      <c r="BU614" s="39">
        <f t="shared" si="166"/>
        <v>0</v>
      </c>
      <c r="BV614" s="1">
        <f t="shared" si="167"/>
        <v>0</v>
      </c>
      <c r="BW614">
        <f t="shared" si="168"/>
        <v>0</v>
      </c>
      <c r="BX614">
        <f t="shared" si="169"/>
        <v>0</v>
      </c>
    </row>
    <row r="615" spans="58:76" x14ac:dyDescent="0.25">
      <c r="BF615" s="1" t="e">
        <f>VLOOKUP(N615,'Incoming Material Report'!H:M,6,FALSE)</f>
        <v>#N/A</v>
      </c>
      <c r="BG615" s="1" t="e">
        <f>IF(VLOOKUP(N615,'Incoming Material Report'!H:N,7,FALSE)=0,"",VLOOKUP(N615,'Incoming Material Report'!H:N,7,FALSE))</f>
        <v>#N/A</v>
      </c>
      <c r="BH615" s="39">
        <f t="shared" si="153"/>
        <v>0</v>
      </c>
      <c r="BI615" s="1">
        <f t="shared" si="154"/>
        <v>0</v>
      </c>
      <c r="BJ615" s="1">
        <f t="shared" si="155"/>
        <v>0</v>
      </c>
      <c r="BK615" s="1">
        <f t="shared" si="156"/>
        <v>0</v>
      </c>
      <c r="BL615" s="1">
        <f t="shared" si="157"/>
        <v>0</v>
      </c>
      <c r="BM615" s="10" t="str">
        <f t="shared" si="158"/>
        <v/>
      </c>
      <c r="BN615" s="39">
        <f t="shared" si="159"/>
        <v>0</v>
      </c>
      <c r="BO615" s="39">
        <f t="shared" si="160"/>
        <v>0</v>
      </c>
      <c r="BP615" s="1">
        <f t="shared" si="161"/>
        <v>0</v>
      </c>
      <c r="BQ615" s="1">
        <f t="shared" si="162"/>
        <v>0</v>
      </c>
      <c r="BR615" s="1" t="str">
        <f t="shared" si="163"/>
        <v/>
      </c>
      <c r="BS615" s="1">
        <f t="shared" si="164"/>
        <v>0</v>
      </c>
      <c r="BT615" s="4">
        <f t="shared" si="165"/>
        <v>0</v>
      </c>
      <c r="BU615" s="39">
        <f t="shared" si="166"/>
        <v>0</v>
      </c>
      <c r="BV615" s="1">
        <f t="shared" si="167"/>
        <v>0</v>
      </c>
      <c r="BW615">
        <f t="shared" si="168"/>
        <v>0</v>
      </c>
      <c r="BX615">
        <f t="shared" si="169"/>
        <v>0</v>
      </c>
    </row>
    <row r="616" spans="58:76" x14ac:dyDescent="0.25">
      <c r="BF616" s="1" t="e">
        <f>VLOOKUP(N616,'Incoming Material Report'!H:M,6,FALSE)</f>
        <v>#N/A</v>
      </c>
      <c r="BG616" s="1" t="e">
        <f>IF(VLOOKUP(N616,'Incoming Material Report'!H:N,7,FALSE)=0,"",VLOOKUP(N616,'Incoming Material Report'!H:N,7,FALSE))</f>
        <v>#N/A</v>
      </c>
      <c r="BH616" s="39">
        <f t="shared" si="153"/>
        <v>0</v>
      </c>
      <c r="BI616" s="1">
        <f t="shared" si="154"/>
        <v>0</v>
      </c>
      <c r="BJ616" s="1">
        <f t="shared" si="155"/>
        <v>0</v>
      </c>
      <c r="BK616" s="1">
        <f t="shared" si="156"/>
        <v>0</v>
      </c>
      <c r="BL616" s="1">
        <f t="shared" si="157"/>
        <v>0</v>
      </c>
      <c r="BM616" s="10" t="str">
        <f t="shared" si="158"/>
        <v/>
      </c>
      <c r="BN616" s="39">
        <f t="shared" si="159"/>
        <v>0</v>
      </c>
      <c r="BO616" s="39">
        <f t="shared" si="160"/>
        <v>0</v>
      </c>
      <c r="BP616" s="1">
        <f t="shared" si="161"/>
        <v>0</v>
      </c>
      <c r="BQ616" s="1">
        <f t="shared" si="162"/>
        <v>0</v>
      </c>
      <c r="BR616" s="1" t="str">
        <f t="shared" si="163"/>
        <v/>
      </c>
      <c r="BS616" s="1">
        <f t="shared" si="164"/>
        <v>0</v>
      </c>
      <c r="BT616" s="4">
        <f t="shared" si="165"/>
        <v>0</v>
      </c>
      <c r="BU616" s="39">
        <f t="shared" si="166"/>
        <v>0</v>
      </c>
      <c r="BV616" s="1">
        <f t="shared" si="167"/>
        <v>0</v>
      </c>
      <c r="BW616">
        <f t="shared" si="168"/>
        <v>0</v>
      </c>
      <c r="BX616">
        <f t="shared" si="169"/>
        <v>0</v>
      </c>
    </row>
    <row r="617" spans="58:76" x14ac:dyDescent="0.25">
      <c r="BF617" s="1" t="e">
        <f>VLOOKUP(N617,'Incoming Material Report'!H:M,6,FALSE)</f>
        <v>#N/A</v>
      </c>
      <c r="BG617" s="1" t="e">
        <f>IF(VLOOKUP(N617,'Incoming Material Report'!H:N,7,FALSE)=0,"",VLOOKUP(N617,'Incoming Material Report'!H:N,7,FALSE))</f>
        <v>#N/A</v>
      </c>
      <c r="BH617" s="39">
        <f t="shared" si="153"/>
        <v>0</v>
      </c>
      <c r="BI617" s="1">
        <f t="shared" si="154"/>
        <v>0</v>
      </c>
      <c r="BJ617" s="1">
        <f t="shared" si="155"/>
        <v>0</v>
      </c>
      <c r="BK617" s="1">
        <f t="shared" si="156"/>
        <v>0</v>
      </c>
      <c r="BL617" s="1">
        <f t="shared" si="157"/>
        <v>0</v>
      </c>
      <c r="BM617" s="10" t="str">
        <f t="shared" si="158"/>
        <v/>
      </c>
      <c r="BN617" s="39">
        <f t="shared" si="159"/>
        <v>0</v>
      </c>
      <c r="BO617" s="39">
        <f t="shared" si="160"/>
        <v>0</v>
      </c>
      <c r="BP617" s="1">
        <f t="shared" si="161"/>
        <v>0</v>
      </c>
      <c r="BQ617" s="1">
        <f t="shared" si="162"/>
        <v>0</v>
      </c>
      <c r="BR617" s="1" t="str">
        <f t="shared" si="163"/>
        <v/>
      </c>
      <c r="BS617" s="1">
        <f t="shared" si="164"/>
        <v>0</v>
      </c>
      <c r="BT617" s="4">
        <f t="shared" si="165"/>
        <v>0</v>
      </c>
      <c r="BU617" s="39">
        <f t="shared" si="166"/>
        <v>0</v>
      </c>
      <c r="BV617" s="1">
        <f t="shared" si="167"/>
        <v>0</v>
      </c>
      <c r="BW617">
        <f t="shared" si="168"/>
        <v>0</v>
      </c>
      <c r="BX617">
        <f t="shared" si="169"/>
        <v>0</v>
      </c>
    </row>
    <row r="618" spans="58:76" x14ac:dyDescent="0.25">
      <c r="BF618" s="1" t="e">
        <f>VLOOKUP(N618,'Incoming Material Report'!H:M,6,FALSE)</f>
        <v>#N/A</v>
      </c>
      <c r="BG618" s="1" t="e">
        <f>IF(VLOOKUP(N618,'Incoming Material Report'!H:N,7,FALSE)=0,"",VLOOKUP(N618,'Incoming Material Report'!H:N,7,FALSE))</f>
        <v>#N/A</v>
      </c>
      <c r="BH618" s="39">
        <f t="shared" si="153"/>
        <v>0</v>
      </c>
      <c r="BI618" s="1">
        <f t="shared" si="154"/>
        <v>0</v>
      </c>
      <c r="BJ618" s="1">
        <f t="shared" si="155"/>
        <v>0</v>
      </c>
      <c r="BK618" s="1">
        <f t="shared" si="156"/>
        <v>0</v>
      </c>
      <c r="BL618" s="1">
        <f t="shared" si="157"/>
        <v>0</v>
      </c>
      <c r="BM618" s="10" t="str">
        <f t="shared" si="158"/>
        <v/>
      </c>
      <c r="BN618" s="39">
        <f t="shared" si="159"/>
        <v>0</v>
      </c>
      <c r="BO618" s="39">
        <f t="shared" si="160"/>
        <v>0</v>
      </c>
      <c r="BP618" s="1">
        <f t="shared" si="161"/>
        <v>0</v>
      </c>
      <c r="BQ618" s="1">
        <f t="shared" si="162"/>
        <v>0</v>
      </c>
      <c r="BR618" s="1" t="str">
        <f t="shared" si="163"/>
        <v/>
      </c>
      <c r="BS618" s="1">
        <f t="shared" si="164"/>
        <v>0</v>
      </c>
      <c r="BT618" s="4">
        <f t="shared" si="165"/>
        <v>0</v>
      </c>
      <c r="BU618" s="39">
        <f t="shared" si="166"/>
        <v>0</v>
      </c>
      <c r="BV618" s="1">
        <f t="shared" si="167"/>
        <v>0</v>
      </c>
      <c r="BW618">
        <f t="shared" si="168"/>
        <v>0</v>
      </c>
      <c r="BX618">
        <f t="shared" si="169"/>
        <v>0</v>
      </c>
    </row>
    <row r="619" spans="58:76" x14ac:dyDescent="0.25">
      <c r="BF619" s="1" t="e">
        <f>VLOOKUP(N619,'Incoming Material Report'!H:M,6,FALSE)</f>
        <v>#N/A</v>
      </c>
      <c r="BG619" s="1" t="e">
        <f>IF(VLOOKUP(N619,'Incoming Material Report'!H:N,7,FALSE)=0,"",VLOOKUP(N619,'Incoming Material Report'!H:N,7,FALSE))</f>
        <v>#N/A</v>
      </c>
      <c r="BH619" s="39">
        <f t="shared" si="153"/>
        <v>0</v>
      </c>
      <c r="BI619" s="1">
        <f t="shared" si="154"/>
        <v>0</v>
      </c>
      <c r="BJ619" s="1">
        <f t="shared" si="155"/>
        <v>0</v>
      </c>
      <c r="BK619" s="1">
        <f t="shared" si="156"/>
        <v>0</v>
      </c>
      <c r="BL619" s="1">
        <f t="shared" si="157"/>
        <v>0</v>
      </c>
      <c r="BM619" s="10" t="str">
        <f t="shared" si="158"/>
        <v/>
      </c>
      <c r="BN619" s="39">
        <f t="shared" si="159"/>
        <v>0</v>
      </c>
      <c r="BO619" s="39">
        <f t="shared" si="160"/>
        <v>0</v>
      </c>
      <c r="BP619" s="1">
        <f t="shared" si="161"/>
        <v>0</v>
      </c>
      <c r="BQ619" s="1">
        <f t="shared" si="162"/>
        <v>0</v>
      </c>
      <c r="BR619" s="1" t="str">
        <f t="shared" si="163"/>
        <v/>
      </c>
      <c r="BS619" s="1">
        <f t="shared" si="164"/>
        <v>0</v>
      </c>
      <c r="BT619" s="4">
        <f t="shared" si="165"/>
        <v>0</v>
      </c>
      <c r="BU619" s="39">
        <f t="shared" si="166"/>
        <v>0</v>
      </c>
      <c r="BV619" s="1">
        <f t="shared" si="167"/>
        <v>0</v>
      </c>
      <c r="BW619">
        <f t="shared" si="168"/>
        <v>0</v>
      </c>
      <c r="BX619">
        <f t="shared" si="169"/>
        <v>0</v>
      </c>
    </row>
    <row r="620" spans="58:76" x14ac:dyDescent="0.25">
      <c r="BF620" s="1" t="e">
        <f>VLOOKUP(N620,'Incoming Material Report'!H:M,6,FALSE)</f>
        <v>#N/A</v>
      </c>
      <c r="BG620" s="1" t="e">
        <f>IF(VLOOKUP(N620,'Incoming Material Report'!H:N,7,FALSE)=0,"",VLOOKUP(N620,'Incoming Material Report'!H:N,7,FALSE))</f>
        <v>#N/A</v>
      </c>
      <c r="BH620" s="39">
        <f t="shared" si="153"/>
        <v>0</v>
      </c>
      <c r="BI620" s="1">
        <f t="shared" si="154"/>
        <v>0</v>
      </c>
      <c r="BJ620" s="1">
        <f t="shared" si="155"/>
        <v>0</v>
      </c>
      <c r="BK620" s="1">
        <f t="shared" si="156"/>
        <v>0</v>
      </c>
      <c r="BL620" s="1">
        <f t="shared" si="157"/>
        <v>0</v>
      </c>
      <c r="BM620" s="10" t="str">
        <f t="shared" si="158"/>
        <v/>
      </c>
      <c r="BN620" s="39">
        <f t="shared" si="159"/>
        <v>0</v>
      </c>
      <c r="BO620" s="39">
        <f t="shared" si="160"/>
        <v>0</v>
      </c>
      <c r="BP620" s="1">
        <f t="shared" si="161"/>
        <v>0</v>
      </c>
      <c r="BQ620" s="1">
        <f t="shared" si="162"/>
        <v>0</v>
      </c>
      <c r="BR620" s="1" t="str">
        <f t="shared" si="163"/>
        <v/>
      </c>
      <c r="BS620" s="1">
        <f t="shared" si="164"/>
        <v>0</v>
      </c>
      <c r="BT620" s="4">
        <f t="shared" si="165"/>
        <v>0</v>
      </c>
      <c r="BU620" s="39">
        <f t="shared" si="166"/>
        <v>0</v>
      </c>
      <c r="BV620" s="1">
        <f t="shared" si="167"/>
        <v>0</v>
      </c>
      <c r="BW620">
        <f t="shared" si="168"/>
        <v>0</v>
      </c>
      <c r="BX620">
        <f t="shared" si="169"/>
        <v>0</v>
      </c>
    </row>
    <row r="621" spans="58:76" x14ac:dyDescent="0.25">
      <c r="BF621" s="1" t="e">
        <f>VLOOKUP(N621,'Incoming Material Report'!H:M,6,FALSE)</f>
        <v>#N/A</v>
      </c>
      <c r="BG621" s="1" t="e">
        <f>IF(VLOOKUP(N621,'Incoming Material Report'!H:N,7,FALSE)=0,"",VLOOKUP(N621,'Incoming Material Report'!H:N,7,FALSE))</f>
        <v>#N/A</v>
      </c>
      <c r="BH621" s="39">
        <f t="shared" si="153"/>
        <v>0</v>
      </c>
      <c r="BI621" s="1">
        <f t="shared" si="154"/>
        <v>0</v>
      </c>
      <c r="BJ621" s="1">
        <f t="shared" si="155"/>
        <v>0</v>
      </c>
      <c r="BK621" s="1">
        <f t="shared" si="156"/>
        <v>0</v>
      </c>
      <c r="BL621" s="1">
        <f t="shared" si="157"/>
        <v>0</v>
      </c>
      <c r="BM621" s="10" t="str">
        <f t="shared" si="158"/>
        <v/>
      </c>
      <c r="BN621" s="39">
        <f t="shared" si="159"/>
        <v>0</v>
      </c>
      <c r="BO621" s="39">
        <f t="shared" si="160"/>
        <v>0</v>
      </c>
      <c r="BP621" s="1">
        <f t="shared" si="161"/>
        <v>0</v>
      </c>
      <c r="BQ621" s="1">
        <f t="shared" si="162"/>
        <v>0</v>
      </c>
      <c r="BR621" s="1" t="str">
        <f t="shared" si="163"/>
        <v/>
      </c>
      <c r="BS621" s="1">
        <f t="shared" si="164"/>
        <v>0</v>
      </c>
      <c r="BT621" s="4">
        <f t="shared" si="165"/>
        <v>0</v>
      </c>
      <c r="BU621" s="39">
        <f t="shared" si="166"/>
        <v>0</v>
      </c>
      <c r="BV621" s="1">
        <f t="shared" si="167"/>
        <v>0</v>
      </c>
      <c r="BW621">
        <f t="shared" si="168"/>
        <v>0</v>
      </c>
      <c r="BX621">
        <f t="shared" si="169"/>
        <v>0</v>
      </c>
    </row>
    <row r="622" spans="58:76" x14ac:dyDescent="0.25">
      <c r="BF622" s="1" t="e">
        <f>VLOOKUP(N622,'Incoming Material Report'!H:M,6,FALSE)</f>
        <v>#N/A</v>
      </c>
      <c r="BG622" s="1" t="e">
        <f>IF(VLOOKUP(N622,'Incoming Material Report'!H:N,7,FALSE)=0,"",VLOOKUP(N622,'Incoming Material Report'!H:N,7,FALSE))</f>
        <v>#N/A</v>
      </c>
      <c r="BH622" s="39">
        <f t="shared" si="153"/>
        <v>0</v>
      </c>
      <c r="BI622" s="1">
        <f t="shared" si="154"/>
        <v>0</v>
      </c>
      <c r="BJ622" s="1">
        <f t="shared" si="155"/>
        <v>0</v>
      </c>
      <c r="BK622" s="1">
        <f t="shared" si="156"/>
        <v>0</v>
      </c>
      <c r="BL622" s="1">
        <f t="shared" si="157"/>
        <v>0</v>
      </c>
      <c r="BM622" s="10" t="str">
        <f t="shared" si="158"/>
        <v/>
      </c>
      <c r="BN622" s="39">
        <f t="shared" si="159"/>
        <v>0</v>
      </c>
      <c r="BO622" s="39">
        <f t="shared" si="160"/>
        <v>0</v>
      </c>
      <c r="BP622" s="1">
        <f t="shared" si="161"/>
        <v>0</v>
      </c>
      <c r="BQ622" s="1">
        <f t="shared" si="162"/>
        <v>0</v>
      </c>
      <c r="BR622" s="1" t="str">
        <f t="shared" si="163"/>
        <v/>
      </c>
      <c r="BS622" s="1">
        <f t="shared" si="164"/>
        <v>0</v>
      </c>
      <c r="BT622" s="4">
        <f t="shared" si="165"/>
        <v>0</v>
      </c>
      <c r="BU622" s="39">
        <f t="shared" si="166"/>
        <v>0</v>
      </c>
      <c r="BV622" s="1">
        <f t="shared" si="167"/>
        <v>0</v>
      </c>
      <c r="BW622">
        <f t="shared" si="168"/>
        <v>0</v>
      </c>
      <c r="BX622">
        <f t="shared" si="169"/>
        <v>0</v>
      </c>
    </row>
    <row r="623" spans="58:76" x14ac:dyDescent="0.25">
      <c r="BF623" s="1" t="e">
        <f>VLOOKUP(N623,'Incoming Material Report'!H:M,6,FALSE)</f>
        <v>#N/A</v>
      </c>
      <c r="BG623" s="1" t="e">
        <f>IF(VLOOKUP(N623,'Incoming Material Report'!H:N,7,FALSE)=0,"",VLOOKUP(N623,'Incoming Material Report'!H:N,7,FALSE))</f>
        <v>#N/A</v>
      </c>
      <c r="BH623" s="39">
        <f t="shared" si="153"/>
        <v>0</v>
      </c>
      <c r="BI623" s="1">
        <f t="shared" si="154"/>
        <v>0</v>
      </c>
      <c r="BJ623" s="1">
        <f t="shared" si="155"/>
        <v>0</v>
      </c>
      <c r="BK623" s="1">
        <f t="shared" si="156"/>
        <v>0</v>
      </c>
      <c r="BL623" s="1">
        <f t="shared" si="157"/>
        <v>0</v>
      </c>
      <c r="BM623" s="10" t="str">
        <f t="shared" si="158"/>
        <v/>
      </c>
      <c r="BN623" s="39">
        <f t="shared" si="159"/>
        <v>0</v>
      </c>
      <c r="BO623" s="39">
        <f t="shared" si="160"/>
        <v>0</v>
      </c>
      <c r="BP623" s="1">
        <f t="shared" si="161"/>
        <v>0</v>
      </c>
      <c r="BQ623" s="1">
        <f t="shared" si="162"/>
        <v>0</v>
      </c>
      <c r="BR623" s="1" t="str">
        <f t="shared" si="163"/>
        <v/>
      </c>
      <c r="BS623" s="1">
        <f t="shared" si="164"/>
        <v>0</v>
      </c>
      <c r="BT623" s="4">
        <f t="shared" si="165"/>
        <v>0</v>
      </c>
      <c r="BU623" s="39">
        <f t="shared" si="166"/>
        <v>0</v>
      </c>
      <c r="BV623" s="1">
        <f t="shared" si="167"/>
        <v>0</v>
      </c>
      <c r="BW623">
        <f t="shared" si="168"/>
        <v>0</v>
      </c>
      <c r="BX623">
        <f t="shared" si="169"/>
        <v>0</v>
      </c>
    </row>
    <row r="624" spans="58:76" x14ac:dyDescent="0.25">
      <c r="BF624" s="1" t="e">
        <f>VLOOKUP(N624,'Incoming Material Report'!H:M,6,FALSE)</f>
        <v>#N/A</v>
      </c>
      <c r="BG624" s="1" t="e">
        <f>IF(VLOOKUP(N624,'Incoming Material Report'!H:N,7,FALSE)=0,"",VLOOKUP(N624,'Incoming Material Report'!H:N,7,FALSE))</f>
        <v>#N/A</v>
      </c>
      <c r="BH624" s="39">
        <f t="shared" si="153"/>
        <v>0</v>
      </c>
      <c r="BI624" s="1">
        <f t="shared" si="154"/>
        <v>0</v>
      </c>
      <c r="BJ624" s="1">
        <f t="shared" si="155"/>
        <v>0</v>
      </c>
      <c r="BK624" s="1">
        <f t="shared" si="156"/>
        <v>0</v>
      </c>
      <c r="BL624" s="1">
        <f t="shared" si="157"/>
        <v>0</v>
      </c>
      <c r="BM624" s="10" t="str">
        <f t="shared" si="158"/>
        <v/>
      </c>
      <c r="BN624" s="39">
        <f t="shared" si="159"/>
        <v>0</v>
      </c>
      <c r="BO624" s="39">
        <f t="shared" si="160"/>
        <v>0</v>
      </c>
      <c r="BP624" s="1">
        <f t="shared" si="161"/>
        <v>0</v>
      </c>
      <c r="BQ624" s="1">
        <f t="shared" si="162"/>
        <v>0</v>
      </c>
      <c r="BR624" s="1" t="str">
        <f t="shared" si="163"/>
        <v/>
      </c>
      <c r="BS624" s="1">
        <f t="shared" si="164"/>
        <v>0</v>
      </c>
      <c r="BT624" s="4">
        <f t="shared" si="165"/>
        <v>0</v>
      </c>
      <c r="BU624" s="39">
        <f t="shared" si="166"/>
        <v>0</v>
      </c>
      <c r="BV624" s="1">
        <f t="shared" si="167"/>
        <v>0</v>
      </c>
      <c r="BW624">
        <f t="shared" si="168"/>
        <v>0</v>
      </c>
      <c r="BX624">
        <f t="shared" si="169"/>
        <v>0</v>
      </c>
    </row>
    <row r="625" spans="58:76" x14ac:dyDescent="0.25">
      <c r="BF625" s="1" t="e">
        <f>VLOOKUP(N625,'Incoming Material Report'!H:M,6,FALSE)</f>
        <v>#N/A</v>
      </c>
      <c r="BG625" s="1" t="e">
        <f>IF(VLOOKUP(N625,'Incoming Material Report'!H:N,7,FALSE)=0,"",VLOOKUP(N625,'Incoming Material Report'!H:N,7,FALSE))</f>
        <v>#N/A</v>
      </c>
      <c r="BH625" s="39">
        <f t="shared" si="153"/>
        <v>0</v>
      </c>
      <c r="BI625" s="1">
        <f t="shared" si="154"/>
        <v>0</v>
      </c>
      <c r="BJ625" s="1">
        <f t="shared" si="155"/>
        <v>0</v>
      </c>
      <c r="BK625" s="1">
        <f t="shared" si="156"/>
        <v>0</v>
      </c>
      <c r="BL625" s="1">
        <f t="shared" si="157"/>
        <v>0</v>
      </c>
      <c r="BM625" s="10" t="str">
        <f t="shared" si="158"/>
        <v/>
      </c>
      <c r="BN625" s="39">
        <f t="shared" si="159"/>
        <v>0</v>
      </c>
      <c r="BO625" s="39">
        <f t="shared" si="160"/>
        <v>0</v>
      </c>
      <c r="BP625" s="1">
        <f t="shared" si="161"/>
        <v>0</v>
      </c>
      <c r="BQ625" s="1">
        <f t="shared" si="162"/>
        <v>0</v>
      </c>
      <c r="BR625" s="1" t="str">
        <f t="shared" si="163"/>
        <v/>
      </c>
      <c r="BS625" s="1">
        <f t="shared" si="164"/>
        <v>0</v>
      </c>
      <c r="BT625" s="4">
        <f t="shared" si="165"/>
        <v>0</v>
      </c>
      <c r="BU625" s="39">
        <f t="shared" si="166"/>
        <v>0</v>
      </c>
      <c r="BV625" s="1">
        <f t="shared" si="167"/>
        <v>0</v>
      </c>
      <c r="BW625">
        <f t="shared" si="168"/>
        <v>0</v>
      </c>
      <c r="BX625">
        <f t="shared" si="169"/>
        <v>0</v>
      </c>
    </row>
    <row r="626" spans="58:76" x14ac:dyDescent="0.25">
      <c r="BF626" s="1" t="e">
        <f>VLOOKUP(N626,'Incoming Material Report'!H:M,6,FALSE)</f>
        <v>#N/A</v>
      </c>
      <c r="BG626" s="1" t="e">
        <f>IF(VLOOKUP(N626,'Incoming Material Report'!H:N,7,FALSE)=0,"",VLOOKUP(N626,'Incoming Material Report'!H:N,7,FALSE))</f>
        <v>#N/A</v>
      </c>
      <c r="BH626" s="39">
        <f t="shared" si="153"/>
        <v>0</v>
      </c>
      <c r="BI626" s="1">
        <f t="shared" si="154"/>
        <v>0</v>
      </c>
      <c r="BJ626" s="1">
        <f t="shared" si="155"/>
        <v>0</v>
      </c>
      <c r="BK626" s="1">
        <f t="shared" si="156"/>
        <v>0</v>
      </c>
      <c r="BL626" s="1">
        <f t="shared" si="157"/>
        <v>0</v>
      </c>
      <c r="BM626" s="10" t="str">
        <f t="shared" si="158"/>
        <v/>
      </c>
      <c r="BN626" s="39">
        <f t="shared" si="159"/>
        <v>0</v>
      </c>
      <c r="BO626" s="39">
        <f t="shared" si="160"/>
        <v>0</v>
      </c>
      <c r="BP626" s="1">
        <f t="shared" si="161"/>
        <v>0</v>
      </c>
      <c r="BQ626" s="1">
        <f t="shared" si="162"/>
        <v>0</v>
      </c>
      <c r="BR626" s="1" t="str">
        <f t="shared" si="163"/>
        <v/>
      </c>
      <c r="BS626" s="1">
        <f t="shared" si="164"/>
        <v>0</v>
      </c>
      <c r="BT626" s="4">
        <f t="shared" si="165"/>
        <v>0</v>
      </c>
      <c r="BU626" s="39">
        <f t="shared" si="166"/>
        <v>0</v>
      </c>
      <c r="BV626" s="1">
        <f t="shared" si="167"/>
        <v>0</v>
      </c>
      <c r="BW626">
        <f t="shared" si="168"/>
        <v>0</v>
      </c>
      <c r="BX626">
        <f t="shared" si="169"/>
        <v>0</v>
      </c>
    </row>
    <row r="627" spans="58:76" x14ac:dyDescent="0.25">
      <c r="BF627" s="1" t="e">
        <f>VLOOKUP(N627,'Incoming Material Report'!H:M,6,FALSE)</f>
        <v>#N/A</v>
      </c>
      <c r="BG627" s="1" t="e">
        <f>IF(VLOOKUP(N627,'Incoming Material Report'!H:N,7,FALSE)=0,"",VLOOKUP(N627,'Incoming Material Report'!H:N,7,FALSE))</f>
        <v>#N/A</v>
      </c>
      <c r="BH627" s="39">
        <f t="shared" si="153"/>
        <v>0</v>
      </c>
      <c r="BI627" s="1">
        <f t="shared" si="154"/>
        <v>0</v>
      </c>
      <c r="BJ627" s="1">
        <f t="shared" si="155"/>
        <v>0</v>
      </c>
      <c r="BK627" s="1">
        <f t="shared" si="156"/>
        <v>0</v>
      </c>
      <c r="BL627" s="1">
        <f t="shared" si="157"/>
        <v>0</v>
      </c>
      <c r="BM627" s="10" t="str">
        <f t="shared" si="158"/>
        <v/>
      </c>
      <c r="BN627" s="39">
        <f t="shared" si="159"/>
        <v>0</v>
      </c>
      <c r="BO627" s="39">
        <f t="shared" si="160"/>
        <v>0</v>
      </c>
      <c r="BP627" s="1">
        <f t="shared" si="161"/>
        <v>0</v>
      </c>
      <c r="BQ627" s="1">
        <f t="shared" si="162"/>
        <v>0</v>
      </c>
      <c r="BR627" s="1" t="str">
        <f t="shared" si="163"/>
        <v/>
      </c>
      <c r="BS627" s="1">
        <f t="shared" si="164"/>
        <v>0</v>
      </c>
      <c r="BT627" s="4">
        <f t="shared" si="165"/>
        <v>0</v>
      </c>
      <c r="BU627" s="39">
        <f t="shared" si="166"/>
        <v>0</v>
      </c>
      <c r="BV627" s="1">
        <f t="shared" si="167"/>
        <v>0</v>
      </c>
      <c r="BW627">
        <f t="shared" si="168"/>
        <v>0</v>
      </c>
      <c r="BX627">
        <f t="shared" si="169"/>
        <v>0</v>
      </c>
    </row>
    <row r="628" spans="58:76" x14ac:dyDescent="0.25">
      <c r="BF628" s="1" t="e">
        <f>VLOOKUP(N628,'Incoming Material Report'!H:M,6,FALSE)</f>
        <v>#N/A</v>
      </c>
      <c r="BG628" s="1" t="e">
        <f>IF(VLOOKUP(N628,'Incoming Material Report'!H:N,7,FALSE)=0,"",VLOOKUP(N628,'Incoming Material Report'!H:N,7,FALSE))</f>
        <v>#N/A</v>
      </c>
      <c r="BH628" s="39">
        <f t="shared" si="153"/>
        <v>0</v>
      </c>
      <c r="BI628" s="1">
        <f t="shared" si="154"/>
        <v>0</v>
      </c>
      <c r="BJ628" s="1">
        <f t="shared" si="155"/>
        <v>0</v>
      </c>
      <c r="BK628" s="1">
        <f t="shared" si="156"/>
        <v>0</v>
      </c>
      <c r="BL628" s="1">
        <f t="shared" si="157"/>
        <v>0</v>
      </c>
      <c r="BM628" s="10" t="str">
        <f t="shared" si="158"/>
        <v/>
      </c>
      <c r="BN628" s="39">
        <f t="shared" si="159"/>
        <v>0</v>
      </c>
      <c r="BO628" s="39">
        <f t="shared" si="160"/>
        <v>0</v>
      </c>
      <c r="BP628" s="1">
        <f t="shared" si="161"/>
        <v>0</v>
      </c>
      <c r="BQ628" s="1">
        <f t="shared" si="162"/>
        <v>0</v>
      </c>
      <c r="BR628" s="1" t="str">
        <f t="shared" si="163"/>
        <v/>
      </c>
      <c r="BS628" s="1">
        <f t="shared" si="164"/>
        <v>0</v>
      </c>
      <c r="BT628" s="4">
        <f t="shared" si="165"/>
        <v>0</v>
      </c>
      <c r="BU628" s="39">
        <f t="shared" si="166"/>
        <v>0</v>
      </c>
      <c r="BV628" s="1">
        <f t="shared" si="167"/>
        <v>0</v>
      </c>
      <c r="BW628">
        <f t="shared" si="168"/>
        <v>0</v>
      </c>
      <c r="BX628">
        <f t="shared" si="169"/>
        <v>0</v>
      </c>
    </row>
    <row r="629" spans="58:76" x14ac:dyDescent="0.25">
      <c r="BF629" s="1" t="e">
        <f>VLOOKUP(N629,'Incoming Material Report'!H:M,6,FALSE)</f>
        <v>#N/A</v>
      </c>
      <c r="BG629" s="1" t="e">
        <f>IF(VLOOKUP(N629,'Incoming Material Report'!H:N,7,FALSE)=0,"",VLOOKUP(N629,'Incoming Material Report'!H:N,7,FALSE))</f>
        <v>#N/A</v>
      </c>
      <c r="BH629" s="39">
        <f t="shared" si="153"/>
        <v>0</v>
      </c>
      <c r="BI629" s="1">
        <f t="shared" si="154"/>
        <v>0</v>
      </c>
      <c r="BJ629" s="1">
        <f t="shared" si="155"/>
        <v>0</v>
      </c>
      <c r="BK629" s="1">
        <f t="shared" si="156"/>
        <v>0</v>
      </c>
      <c r="BL629" s="1">
        <f t="shared" si="157"/>
        <v>0</v>
      </c>
      <c r="BM629" s="10" t="str">
        <f t="shared" si="158"/>
        <v/>
      </c>
      <c r="BN629" s="39">
        <f t="shared" si="159"/>
        <v>0</v>
      </c>
      <c r="BO629" s="39">
        <f t="shared" si="160"/>
        <v>0</v>
      </c>
      <c r="BP629" s="1">
        <f t="shared" si="161"/>
        <v>0</v>
      </c>
      <c r="BQ629" s="1">
        <f t="shared" si="162"/>
        <v>0</v>
      </c>
      <c r="BR629" s="1" t="str">
        <f t="shared" si="163"/>
        <v/>
      </c>
      <c r="BS629" s="1">
        <f t="shared" si="164"/>
        <v>0</v>
      </c>
      <c r="BT629" s="4">
        <f t="shared" si="165"/>
        <v>0</v>
      </c>
      <c r="BU629" s="39">
        <f t="shared" si="166"/>
        <v>0</v>
      </c>
      <c r="BV629" s="1">
        <f t="shared" si="167"/>
        <v>0</v>
      </c>
      <c r="BW629">
        <f t="shared" si="168"/>
        <v>0</v>
      </c>
      <c r="BX629">
        <f t="shared" si="169"/>
        <v>0</v>
      </c>
    </row>
    <row r="630" spans="58:76" x14ac:dyDescent="0.25">
      <c r="BF630" s="1" t="e">
        <f>VLOOKUP(N630,'Incoming Material Report'!H:M,6,FALSE)</f>
        <v>#N/A</v>
      </c>
      <c r="BG630" s="1" t="e">
        <f>IF(VLOOKUP(N630,'Incoming Material Report'!H:N,7,FALSE)=0,"",VLOOKUP(N630,'Incoming Material Report'!H:N,7,FALSE))</f>
        <v>#N/A</v>
      </c>
      <c r="BH630" s="39">
        <f t="shared" si="153"/>
        <v>0</v>
      </c>
      <c r="BI630" s="1">
        <f t="shared" si="154"/>
        <v>0</v>
      </c>
      <c r="BJ630" s="1">
        <f t="shared" si="155"/>
        <v>0</v>
      </c>
      <c r="BK630" s="1">
        <f t="shared" si="156"/>
        <v>0</v>
      </c>
      <c r="BL630" s="1">
        <f t="shared" si="157"/>
        <v>0</v>
      </c>
      <c r="BM630" s="10" t="str">
        <f t="shared" si="158"/>
        <v/>
      </c>
      <c r="BN630" s="39">
        <f t="shared" si="159"/>
        <v>0</v>
      </c>
      <c r="BO630" s="39">
        <f t="shared" si="160"/>
        <v>0</v>
      </c>
      <c r="BP630" s="1">
        <f t="shared" si="161"/>
        <v>0</v>
      </c>
      <c r="BQ630" s="1">
        <f t="shared" si="162"/>
        <v>0</v>
      </c>
      <c r="BR630" s="1" t="str">
        <f t="shared" si="163"/>
        <v/>
      </c>
      <c r="BS630" s="1">
        <f t="shared" si="164"/>
        <v>0</v>
      </c>
      <c r="BT630" s="4">
        <f t="shared" si="165"/>
        <v>0</v>
      </c>
      <c r="BU630" s="39">
        <f t="shared" si="166"/>
        <v>0</v>
      </c>
      <c r="BV630" s="1">
        <f t="shared" si="167"/>
        <v>0</v>
      </c>
      <c r="BW630">
        <f t="shared" si="168"/>
        <v>0</v>
      </c>
      <c r="BX630">
        <f t="shared" si="169"/>
        <v>0</v>
      </c>
    </row>
    <row r="631" spans="58:76" x14ac:dyDescent="0.25">
      <c r="BF631" s="1" t="e">
        <f>VLOOKUP(N631,'Incoming Material Report'!H:M,6,FALSE)</f>
        <v>#N/A</v>
      </c>
      <c r="BG631" s="1" t="e">
        <f>IF(VLOOKUP(N631,'Incoming Material Report'!H:N,7,FALSE)=0,"",VLOOKUP(N631,'Incoming Material Report'!H:N,7,FALSE))</f>
        <v>#N/A</v>
      </c>
      <c r="BH631" s="39">
        <f t="shared" si="153"/>
        <v>0</v>
      </c>
      <c r="BI631" s="1">
        <f t="shared" si="154"/>
        <v>0</v>
      </c>
      <c r="BJ631" s="1">
        <f t="shared" si="155"/>
        <v>0</v>
      </c>
      <c r="BK631" s="1">
        <f t="shared" si="156"/>
        <v>0</v>
      </c>
      <c r="BL631" s="1">
        <f t="shared" si="157"/>
        <v>0</v>
      </c>
      <c r="BM631" s="10" t="str">
        <f t="shared" si="158"/>
        <v/>
      </c>
      <c r="BN631" s="39">
        <f t="shared" si="159"/>
        <v>0</v>
      </c>
      <c r="BO631" s="39">
        <f t="shared" si="160"/>
        <v>0</v>
      </c>
      <c r="BP631" s="1">
        <f t="shared" si="161"/>
        <v>0</v>
      </c>
      <c r="BQ631" s="1">
        <f t="shared" si="162"/>
        <v>0</v>
      </c>
      <c r="BR631" s="1" t="str">
        <f t="shared" si="163"/>
        <v/>
      </c>
      <c r="BS631" s="1">
        <f t="shared" si="164"/>
        <v>0</v>
      </c>
      <c r="BT631" s="4">
        <f t="shared" si="165"/>
        <v>0</v>
      </c>
      <c r="BU631" s="39">
        <f t="shared" si="166"/>
        <v>0</v>
      </c>
      <c r="BV631" s="1">
        <f t="shared" si="167"/>
        <v>0</v>
      </c>
      <c r="BW631">
        <f t="shared" si="168"/>
        <v>0</v>
      </c>
      <c r="BX631">
        <f t="shared" si="169"/>
        <v>0</v>
      </c>
    </row>
    <row r="632" spans="58:76" x14ac:dyDescent="0.25">
      <c r="BF632" s="1" t="e">
        <f>VLOOKUP(N632,'Incoming Material Report'!H:M,6,FALSE)</f>
        <v>#N/A</v>
      </c>
      <c r="BG632" s="1" t="e">
        <f>IF(VLOOKUP(N632,'Incoming Material Report'!H:N,7,FALSE)=0,"",VLOOKUP(N632,'Incoming Material Report'!H:N,7,FALSE))</f>
        <v>#N/A</v>
      </c>
      <c r="BH632" s="39">
        <f t="shared" si="153"/>
        <v>0</v>
      </c>
      <c r="BI632" s="1">
        <f t="shared" si="154"/>
        <v>0</v>
      </c>
      <c r="BJ632" s="1">
        <f t="shared" si="155"/>
        <v>0</v>
      </c>
      <c r="BK632" s="1">
        <f t="shared" si="156"/>
        <v>0</v>
      </c>
      <c r="BL632" s="1">
        <f t="shared" si="157"/>
        <v>0</v>
      </c>
      <c r="BM632" s="10" t="str">
        <f t="shared" si="158"/>
        <v/>
      </c>
      <c r="BN632" s="39">
        <f t="shared" si="159"/>
        <v>0</v>
      </c>
      <c r="BO632" s="39">
        <f t="shared" si="160"/>
        <v>0</v>
      </c>
      <c r="BP632" s="1">
        <f t="shared" si="161"/>
        <v>0</v>
      </c>
      <c r="BQ632" s="1">
        <f t="shared" si="162"/>
        <v>0</v>
      </c>
      <c r="BR632" s="1" t="str">
        <f t="shared" si="163"/>
        <v/>
      </c>
      <c r="BS632" s="1">
        <f t="shared" si="164"/>
        <v>0</v>
      </c>
      <c r="BT632" s="4">
        <f t="shared" si="165"/>
        <v>0</v>
      </c>
      <c r="BU632" s="39">
        <f t="shared" si="166"/>
        <v>0</v>
      </c>
      <c r="BV632" s="1">
        <f t="shared" si="167"/>
        <v>0</v>
      </c>
      <c r="BW632">
        <f t="shared" si="168"/>
        <v>0</v>
      </c>
      <c r="BX632">
        <f t="shared" si="169"/>
        <v>0</v>
      </c>
    </row>
    <row r="633" spans="58:76" x14ac:dyDescent="0.25">
      <c r="BF633" s="1" t="e">
        <f>VLOOKUP(N633,'Incoming Material Report'!H:M,6,FALSE)</f>
        <v>#N/A</v>
      </c>
      <c r="BG633" s="1" t="e">
        <f>IF(VLOOKUP(N633,'Incoming Material Report'!H:N,7,FALSE)=0,"",VLOOKUP(N633,'Incoming Material Report'!H:N,7,FALSE))</f>
        <v>#N/A</v>
      </c>
      <c r="BH633" s="39">
        <f t="shared" si="153"/>
        <v>0</v>
      </c>
      <c r="BI633" s="1">
        <f t="shared" si="154"/>
        <v>0</v>
      </c>
      <c r="BJ633" s="1">
        <f t="shared" si="155"/>
        <v>0</v>
      </c>
      <c r="BK633" s="1">
        <f t="shared" si="156"/>
        <v>0</v>
      </c>
      <c r="BL633" s="1">
        <f t="shared" si="157"/>
        <v>0</v>
      </c>
      <c r="BM633" s="10" t="str">
        <f t="shared" si="158"/>
        <v/>
      </c>
      <c r="BN633" s="39">
        <f t="shared" si="159"/>
        <v>0</v>
      </c>
      <c r="BO633" s="39">
        <f t="shared" si="160"/>
        <v>0</v>
      </c>
      <c r="BP633" s="1">
        <f t="shared" si="161"/>
        <v>0</v>
      </c>
      <c r="BQ633" s="1">
        <f t="shared" si="162"/>
        <v>0</v>
      </c>
      <c r="BR633" s="1" t="str">
        <f t="shared" si="163"/>
        <v/>
      </c>
      <c r="BS633" s="1">
        <f t="shared" si="164"/>
        <v>0</v>
      </c>
      <c r="BT633" s="4">
        <f t="shared" si="165"/>
        <v>0</v>
      </c>
      <c r="BU633" s="39">
        <f t="shared" si="166"/>
        <v>0</v>
      </c>
      <c r="BV633" s="1">
        <f t="shared" si="167"/>
        <v>0</v>
      </c>
      <c r="BW633">
        <f t="shared" si="168"/>
        <v>0</v>
      </c>
      <c r="BX633">
        <f t="shared" si="169"/>
        <v>0</v>
      </c>
    </row>
    <row r="634" spans="58:76" x14ac:dyDescent="0.25">
      <c r="BF634" s="1" t="e">
        <f>VLOOKUP(N634,'Incoming Material Report'!H:M,6,FALSE)</f>
        <v>#N/A</v>
      </c>
      <c r="BG634" s="1" t="e">
        <f>IF(VLOOKUP(N634,'Incoming Material Report'!H:N,7,FALSE)=0,"",VLOOKUP(N634,'Incoming Material Report'!H:N,7,FALSE))</f>
        <v>#N/A</v>
      </c>
      <c r="BH634" s="39">
        <f t="shared" ref="BH634:BH697" si="170">VALUE(T634)</f>
        <v>0</v>
      </c>
      <c r="BI634" s="1">
        <f t="shared" ref="BI634:BI697" si="171">VALUE(U634)</f>
        <v>0</v>
      </c>
      <c r="BJ634" s="1">
        <f t="shared" ref="BJ634:BJ697" si="172">IFERROR(_xlfn.NUMBERVALUE(V634),V634)</f>
        <v>0</v>
      </c>
      <c r="BK634" s="1">
        <f t="shared" ref="BK634:BK697" si="173">IFERROR(INT(I634),I634)</f>
        <v>0</v>
      </c>
      <c r="BL634" s="1">
        <f t="shared" ref="BL634:BL697" si="174">L634</f>
        <v>0</v>
      </c>
      <c r="BM634" s="10" t="str">
        <f t="shared" ref="BM634:BM697" si="175">SUBSTITUTE(J634,"/",".")</f>
        <v/>
      </c>
      <c r="BN634" s="39">
        <f t="shared" ref="BN634:BN697" si="176">VALUE(Q634)*1000</f>
        <v>0</v>
      </c>
      <c r="BO634" s="39">
        <f t="shared" ref="BO634:BO697" si="177">VALUE(P634)/1000</f>
        <v>0</v>
      </c>
      <c r="BP634" s="1">
        <f t="shared" ref="BP634:BP697" si="178">VALUE(D634)</f>
        <v>0</v>
      </c>
      <c r="BQ634" s="1">
        <f t="shared" ref="BQ634:BQ697" si="179">VALUE(G634)</f>
        <v>0</v>
      </c>
      <c r="BR634" s="1" t="str">
        <f t="shared" ref="BR634:BR697" si="180">SUBSTITUTE(O634,".","")</f>
        <v/>
      </c>
      <c r="BS634" s="1">
        <f t="shared" ref="BS634:BS697" si="181">S634</f>
        <v>0</v>
      </c>
      <c r="BT634" s="4">
        <f t="shared" ref="BT634:BT697" si="182">VALUE(AJ634)</f>
        <v>0</v>
      </c>
      <c r="BU634" s="39">
        <f t="shared" ref="BU634:BU697" si="183">K634</f>
        <v>0</v>
      </c>
      <c r="BV634" s="1">
        <f t="shared" ref="BV634:BV697" si="184">AQ634</f>
        <v>0</v>
      </c>
      <c r="BW634">
        <f t="shared" ref="BW634:BW697" si="185">X634</f>
        <v>0</v>
      </c>
      <c r="BX634">
        <f t="shared" ref="BX634:BX697" si="186">AN634</f>
        <v>0</v>
      </c>
    </row>
    <row r="635" spans="58:76" x14ac:dyDescent="0.25">
      <c r="BF635" s="1" t="e">
        <f>VLOOKUP(N635,'Incoming Material Report'!H:M,6,FALSE)</f>
        <v>#N/A</v>
      </c>
      <c r="BG635" s="1" t="e">
        <f>IF(VLOOKUP(N635,'Incoming Material Report'!H:N,7,FALSE)=0,"",VLOOKUP(N635,'Incoming Material Report'!H:N,7,FALSE))</f>
        <v>#N/A</v>
      </c>
      <c r="BH635" s="39">
        <f t="shared" si="170"/>
        <v>0</v>
      </c>
      <c r="BI635" s="1">
        <f t="shared" si="171"/>
        <v>0</v>
      </c>
      <c r="BJ635" s="1">
        <f t="shared" si="172"/>
        <v>0</v>
      </c>
      <c r="BK635" s="1">
        <f t="shared" si="173"/>
        <v>0</v>
      </c>
      <c r="BL635" s="1">
        <f t="shared" si="174"/>
        <v>0</v>
      </c>
      <c r="BM635" s="10" t="str">
        <f t="shared" si="175"/>
        <v/>
      </c>
      <c r="BN635" s="39">
        <f t="shared" si="176"/>
        <v>0</v>
      </c>
      <c r="BO635" s="39">
        <f t="shared" si="177"/>
        <v>0</v>
      </c>
      <c r="BP635" s="1">
        <f t="shared" si="178"/>
        <v>0</v>
      </c>
      <c r="BQ635" s="1">
        <f t="shared" si="179"/>
        <v>0</v>
      </c>
      <c r="BR635" s="1" t="str">
        <f t="shared" si="180"/>
        <v/>
      </c>
      <c r="BS635" s="1">
        <f t="shared" si="181"/>
        <v>0</v>
      </c>
      <c r="BT635" s="4">
        <f t="shared" si="182"/>
        <v>0</v>
      </c>
      <c r="BU635" s="39">
        <f t="shared" si="183"/>
        <v>0</v>
      </c>
      <c r="BV635" s="1">
        <f t="shared" si="184"/>
        <v>0</v>
      </c>
      <c r="BW635">
        <f t="shared" si="185"/>
        <v>0</v>
      </c>
      <c r="BX635">
        <f t="shared" si="186"/>
        <v>0</v>
      </c>
    </row>
    <row r="636" spans="58:76" x14ac:dyDescent="0.25">
      <c r="BF636" s="1" t="e">
        <f>VLOOKUP(N636,'Incoming Material Report'!H:M,6,FALSE)</f>
        <v>#N/A</v>
      </c>
      <c r="BG636" s="1" t="e">
        <f>IF(VLOOKUP(N636,'Incoming Material Report'!H:N,7,FALSE)=0,"",VLOOKUP(N636,'Incoming Material Report'!H:N,7,FALSE))</f>
        <v>#N/A</v>
      </c>
      <c r="BH636" s="39">
        <f t="shared" si="170"/>
        <v>0</v>
      </c>
      <c r="BI636" s="1">
        <f t="shared" si="171"/>
        <v>0</v>
      </c>
      <c r="BJ636" s="1">
        <f t="shared" si="172"/>
        <v>0</v>
      </c>
      <c r="BK636" s="1">
        <f t="shared" si="173"/>
        <v>0</v>
      </c>
      <c r="BL636" s="1">
        <f t="shared" si="174"/>
        <v>0</v>
      </c>
      <c r="BM636" s="10" t="str">
        <f t="shared" si="175"/>
        <v/>
      </c>
      <c r="BN636" s="39">
        <f t="shared" si="176"/>
        <v>0</v>
      </c>
      <c r="BO636" s="39">
        <f t="shared" si="177"/>
        <v>0</v>
      </c>
      <c r="BP636" s="1">
        <f t="shared" si="178"/>
        <v>0</v>
      </c>
      <c r="BQ636" s="1">
        <f t="shared" si="179"/>
        <v>0</v>
      </c>
      <c r="BR636" s="1" t="str">
        <f t="shared" si="180"/>
        <v/>
      </c>
      <c r="BS636" s="1">
        <f t="shared" si="181"/>
        <v>0</v>
      </c>
      <c r="BT636" s="4">
        <f t="shared" si="182"/>
        <v>0</v>
      </c>
      <c r="BU636" s="39">
        <f t="shared" si="183"/>
        <v>0</v>
      </c>
      <c r="BV636" s="1">
        <f t="shared" si="184"/>
        <v>0</v>
      </c>
      <c r="BW636">
        <f t="shared" si="185"/>
        <v>0</v>
      </c>
      <c r="BX636">
        <f t="shared" si="186"/>
        <v>0</v>
      </c>
    </row>
    <row r="637" spans="58:76" x14ac:dyDescent="0.25">
      <c r="BF637" s="1" t="e">
        <f>VLOOKUP(N637,'Incoming Material Report'!H:M,6,FALSE)</f>
        <v>#N/A</v>
      </c>
      <c r="BG637" s="1" t="e">
        <f>IF(VLOOKUP(N637,'Incoming Material Report'!H:N,7,FALSE)=0,"",VLOOKUP(N637,'Incoming Material Report'!H:N,7,FALSE))</f>
        <v>#N/A</v>
      </c>
      <c r="BH637" s="39">
        <f t="shared" si="170"/>
        <v>0</v>
      </c>
      <c r="BI637" s="1">
        <f t="shared" si="171"/>
        <v>0</v>
      </c>
      <c r="BJ637" s="1">
        <f t="shared" si="172"/>
        <v>0</v>
      </c>
      <c r="BK637" s="1">
        <f t="shared" si="173"/>
        <v>0</v>
      </c>
      <c r="BL637" s="1">
        <f t="shared" si="174"/>
        <v>0</v>
      </c>
      <c r="BM637" s="10" t="str">
        <f t="shared" si="175"/>
        <v/>
      </c>
      <c r="BN637" s="39">
        <f t="shared" si="176"/>
        <v>0</v>
      </c>
      <c r="BO637" s="39">
        <f t="shared" si="177"/>
        <v>0</v>
      </c>
      <c r="BP637" s="1">
        <f t="shared" si="178"/>
        <v>0</v>
      </c>
      <c r="BQ637" s="1">
        <f t="shared" si="179"/>
        <v>0</v>
      </c>
      <c r="BR637" s="1" t="str">
        <f t="shared" si="180"/>
        <v/>
      </c>
      <c r="BS637" s="1">
        <f t="shared" si="181"/>
        <v>0</v>
      </c>
      <c r="BT637" s="4">
        <f t="shared" si="182"/>
        <v>0</v>
      </c>
      <c r="BU637" s="39">
        <f t="shared" si="183"/>
        <v>0</v>
      </c>
      <c r="BV637" s="1">
        <f t="shared" si="184"/>
        <v>0</v>
      </c>
      <c r="BW637">
        <f t="shared" si="185"/>
        <v>0</v>
      </c>
      <c r="BX637">
        <f t="shared" si="186"/>
        <v>0</v>
      </c>
    </row>
    <row r="638" spans="58:76" x14ac:dyDescent="0.25">
      <c r="BF638" s="1" t="e">
        <f>VLOOKUP(N638,'Incoming Material Report'!H:M,6,FALSE)</f>
        <v>#N/A</v>
      </c>
      <c r="BG638" s="1" t="e">
        <f>IF(VLOOKUP(N638,'Incoming Material Report'!H:N,7,FALSE)=0,"",VLOOKUP(N638,'Incoming Material Report'!H:N,7,FALSE))</f>
        <v>#N/A</v>
      </c>
      <c r="BH638" s="39">
        <f t="shared" si="170"/>
        <v>0</v>
      </c>
      <c r="BI638" s="1">
        <f t="shared" si="171"/>
        <v>0</v>
      </c>
      <c r="BJ638" s="1">
        <f t="shared" si="172"/>
        <v>0</v>
      </c>
      <c r="BK638" s="1">
        <f t="shared" si="173"/>
        <v>0</v>
      </c>
      <c r="BL638" s="1">
        <f t="shared" si="174"/>
        <v>0</v>
      </c>
      <c r="BM638" s="10" t="str">
        <f t="shared" si="175"/>
        <v/>
      </c>
      <c r="BN638" s="39">
        <f t="shared" si="176"/>
        <v>0</v>
      </c>
      <c r="BO638" s="39">
        <f t="shared" si="177"/>
        <v>0</v>
      </c>
      <c r="BP638" s="1">
        <f t="shared" si="178"/>
        <v>0</v>
      </c>
      <c r="BQ638" s="1">
        <f t="shared" si="179"/>
        <v>0</v>
      </c>
      <c r="BR638" s="1" t="str">
        <f t="shared" si="180"/>
        <v/>
      </c>
      <c r="BS638" s="1">
        <f t="shared" si="181"/>
        <v>0</v>
      </c>
      <c r="BT638" s="4">
        <f t="shared" si="182"/>
        <v>0</v>
      </c>
      <c r="BU638" s="39">
        <f t="shared" si="183"/>
        <v>0</v>
      </c>
      <c r="BV638" s="1">
        <f t="shared" si="184"/>
        <v>0</v>
      </c>
      <c r="BW638">
        <f t="shared" si="185"/>
        <v>0</v>
      </c>
      <c r="BX638">
        <f t="shared" si="186"/>
        <v>0</v>
      </c>
    </row>
    <row r="639" spans="58:76" x14ac:dyDescent="0.25">
      <c r="BF639" s="1" t="e">
        <f>VLOOKUP(N639,'Incoming Material Report'!H:M,6,FALSE)</f>
        <v>#N/A</v>
      </c>
      <c r="BG639" s="1" t="e">
        <f>IF(VLOOKUP(N639,'Incoming Material Report'!H:N,7,FALSE)=0,"",VLOOKUP(N639,'Incoming Material Report'!H:N,7,FALSE))</f>
        <v>#N/A</v>
      </c>
      <c r="BH639" s="39">
        <f t="shared" si="170"/>
        <v>0</v>
      </c>
      <c r="BI639" s="1">
        <f t="shared" si="171"/>
        <v>0</v>
      </c>
      <c r="BJ639" s="1">
        <f t="shared" si="172"/>
        <v>0</v>
      </c>
      <c r="BK639" s="1">
        <f t="shared" si="173"/>
        <v>0</v>
      </c>
      <c r="BL639" s="1">
        <f t="shared" si="174"/>
        <v>0</v>
      </c>
      <c r="BM639" s="10" t="str">
        <f t="shared" si="175"/>
        <v/>
      </c>
      <c r="BN639" s="39">
        <f t="shared" si="176"/>
        <v>0</v>
      </c>
      <c r="BO639" s="39">
        <f t="shared" si="177"/>
        <v>0</v>
      </c>
      <c r="BP639" s="1">
        <f t="shared" si="178"/>
        <v>0</v>
      </c>
      <c r="BQ639" s="1">
        <f t="shared" si="179"/>
        <v>0</v>
      </c>
      <c r="BR639" s="1" t="str">
        <f t="shared" si="180"/>
        <v/>
      </c>
      <c r="BS639" s="1">
        <f t="shared" si="181"/>
        <v>0</v>
      </c>
      <c r="BT639" s="4">
        <f t="shared" si="182"/>
        <v>0</v>
      </c>
      <c r="BU639" s="39">
        <f t="shared" si="183"/>
        <v>0</v>
      </c>
      <c r="BV639" s="1">
        <f t="shared" si="184"/>
        <v>0</v>
      </c>
      <c r="BW639">
        <f t="shared" si="185"/>
        <v>0</v>
      </c>
      <c r="BX639">
        <f t="shared" si="186"/>
        <v>0</v>
      </c>
    </row>
    <row r="640" spans="58:76" x14ac:dyDescent="0.25">
      <c r="BF640" s="1" t="e">
        <f>VLOOKUP(N640,'Incoming Material Report'!H:M,6,FALSE)</f>
        <v>#N/A</v>
      </c>
      <c r="BG640" s="1" t="e">
        <f>IF(VLOOKUP(N640,'Incoming Material Report'!H:N,7,FALSE)=0,"",VLOOKUP(N640,'Incoming Material Report'!H:N,7,FALSE))</f>
        <v>#N/A</v>
      </c>
      <c r="BH640" s="39">
        <f t="shared" si="170"/>
        <v>0</v>
      </c>
      <c r="BI640" s="1">
        <f t="shared" si="171"/>
        <v>0</v>
      </c>
      <c r="BJ640" s="1">
        <f t="shared" si="172"/>
        <v>0</v>
      </c>
      <c r="BK640" s="1">
        <f t="shared" si="173"/>
        <v>0</v>
      </c>
      <c r="BL640" s="1">
        <f t="shared" si="174"/>
        <v>0</v>
      </c>
      <c r="BM640" s="10" t="str">
        <f t="shared" si="175"/>
        <v/>
      </c>
      <c r="BN640" s="39">
        <f t="shared" si="176"/>
        <v>0</v>
      </c>
      <c r="BO640" s="39">
        <f t="shared" si="177"/>
        <v>0</v>
      </c>
      <c r="BP640" s="1">
        <f t="shared" si="178"/>
        <v>0</v>
      </c>
      <c r="BQ640" s="1">
        <f t="shared" si="179"/>
        <v>0</v>
      </c>
      <c r="BR640" s="1" t="str">
        <f t="shared" si="180"/>
        <v/>
      </c>
      <c r="BS640" s="1">
        <f t="shared" si="181"/>
        <v>0</v>
      </c>
      <c r="BT640" s="4">
        <f t="shared" si="182"/>
        <v>0</v>
      </c>
      <c r="BU640" s="39">
        <f t="shared" si="183"/>
        <v>0</v>
      </c>
      <c r="BV640" s="1">
        <f t="shared" si="184"/>
        <v>0</v>
      </c>
      <c r="BW640">
        <f t="shared" si="185"/>
        <v>0</v>
      </c>
      <c r="BX640">
        <f t="shared" si="186"/>
        <v>0</v>
      </c>
    </row>
    <row r="641" spans="58:76" x14ac:dyDescent="0.25">
      <c r="BF641" s="1" t="e">
        <f>VLOOKUP(N641,'Incoming Material Report'!H:M,6,FALSE)</f>
        <v>#N/A</v>
      </c>
      <c r="BG641" s="1" t="e">
        <f>IF(VLOOKUP(N641,'Incoming Material Report'!H:N,7,FALSE)=0,"",VLOOKUP(N641,'Incoming Material Report'!H:N,7,FALSE))</f>
        <v>#N/A</v>
      </c>
      <c r="BH641" s="39">
        <f t="shared" si="170"/>
        <v>0</v>
      </c>
      <c r="BI641" s="1">
        <f t="shared" si="171"/>
        <v>0</v>
      </c>
      <c r="BJ641" s="1">
        <f t="shared" si="172"/>
        <v>0</v>
      </c>
      <c r="BK641" s="1">
        <f t="shared" si="173"/>
        <v>0</v>
      </c>
      <c r="BL641" s="1">
        <f t="shared" si="174"/>
        <v>0</v>
      </c>
      <c r="BM641" s="10" t="str">
        <f t="shared" si="175"/>
        <v/>
      </c>
      <c r="BN641" s="39">
        <f t="shared" si="176"/>
        <v>0</v>
      </c>
      <c r="BO641" s="39">
        <f t="shared" si="177"/>
        <v>0</v>
      </c>
      <c r="BP641" s="1">
        <f t="shared" si="178"/>
        <v>0</v>
      </c>
      <c r="BQ641" s="1">
        <f t="shared" si="179"/>
        <v>0</v>
      </c>
      <c r="BR641" s="1" t="str">
        <f t="shared" si="180"/>
        <v/>
      </c>
      <c r="BS641" s="1">
        <f t="shared" si="181"/>
        <v>0</v>
      </c>
      <c r="BT641" s="4">
        <f t="shared" si="182"/>
        <v>0</v>
      </c>
      <c r="BU641" s="39">
        <f t="shared" si="183"/>
        <v>0</v>
      </c>
      <c r="BV641" s="1">
        <f t="shared" si="184"/>
        <v>0</v>
      </c>
      <c r="BW641">
        <f t="shared" si="185"/>
        <v>0</v>
      </c>
      <c r="BX641">
        <f t="shared" si="186"/>
        <v>0</v>
      </c>
    </row>
    <row r="642" spans="58:76" x14ac:dyDescent="0.25">
      <c r="BF642" s="1" t="e">
        <f>VLOOKUP(N642,'Incoming Material Report'!H:M,6,FALSE)</f>
        <v>#N/A</v>
      </c>
      <c r="BG642" s="1" t="e">
        <f>IF(VLOOKUP(N642,'Incoming Material Report'!H:N,7,FALSE)=0,"",VLOOKUP(N642,'Incoming Material Report'!H:N,7,FALSE))</f>
        <v>#N/A</v>
      </c>
      <c r="BH642" s="39">
        <f t="shared" si="170"/>
        <v>0</v>
      </c>
      <c r="BI642" s="1">
        <f t="shared" si="171"/>
        <v>0</v>
      </c>
      <c r="BJ642" s="1">
        <f t="shared" si="172"/>
        <v>0</v>
      </c>
      <c r="BK642" s="1">
        <f t="shared" si="173"/>
        <v>0</v>
      </c>
      <c r="BL642" s="1">
        <f t="shared" si="174"/>
        <v>0</v>
      </c>
      <c r="BM642" s="10" t="str">
        <f t="shared" si="175"/>
        <v/>
      </c>
      <c r="BN642" s="39">
        <f t="shared" si="176"/>
        <v>0</v>
      </c>
      <c r="BO642" s="39">
        <f t="shared" si="177"/>
        <v>0</v>
      </c>
      <c r="BP642" s="1">
        <f t="shared" si="178"/>
        <v>0</v>
      </c>
      <c r="BQ642" s="1">
        <f t="shared" si="179"/>
        <v>0</v>
      </c>
      <c r="BR642" s="1" t="str">
        <f t="shared" si="180"/>
        <v/>
      </c>
      <c r="BS642" s="1">
        <f t="shared" si="181"/>
        <v>0</v>
      </c>
      <c r="BT642" s="4">
        <f t="shared" si="182"/>
        <v>0</v>
      </c>
      <c r="BU642" s="39">
        <f t="shared" si="183"/>
        <v>0</v>
      </c>
      <c r="BV642" s="1">
        <f t="shared" si="184"/>
        <v>0</v>
      </c>
      <c r="BW642">
        <f t="shared" si="185"/>
        <v>0</v>
      </c>
      <c r="BX642">
        <f t="shared" si="186"/>
        <v>0</v>
      </c>
    </row>
    <row r="643" spans="58:76" x14ac:dyDescent="0.25">
      <c r="BF643" s="1" t="e">
        <f>VLOOKUP(N643,'Incoming Material Report'!H:M,6,FALSE)</f>
        <v>#N/A</v>
      </c>
      <c r="BG643" s="1" t="e">
        <f>IF(VLOOKUP(N643,'Incoming Material Report'!H:N,7,FALSE)=0,"",VLOOKUP(N643,'Incoming Material Report'!H:N,7,FALSE))</f>
        <v>#N/A</v>
      </c>
      <c r="BH643" s="39">
        <f t="shared" si="170"/>
        <v>0</v>
      </c>
      <c r="BI643" s="1">
        <f t="shared" si="171"/>
        <v>0</v>
      </c>
      <c r="BJ643" s="1">
        <f t="shared" si="172"/>
        <v>0</v>
      </c>
      <c r="BK643" s="1">
        <f t="shared" si="173"/>
        <v>0</v>
      </c>
      <c r="BL643" s="1">
        <f t="shared" si="174"/>
        <v>0</v>
      </c>
      <c r="BM643" s="10" t="str">
        <f t="shared" si="175"/>
        <v/>
      </c>
      <c r="BN643" s="39">
        <f t="shared" si="176"/>
        <v>0</v>
      </c>
      <c r="BO643" s="39">
        <f t="shared" si="177"/>
        <v>0</v>
      </c>
      <c r="BP643" s="1">
        <f t="shared" si="178"/>
        <v>0</v>
      </c>
      <c r="BQ643" s="1">
        <f t="shared" si="179"/>
        <v>0</v>
      </c>
      <c r="BR643" s="1" t="str">
        <f t="shared" si="180"/>
        <v/>
      </c>
      <c r="BS643" s="1">
        <f t="shared" si="181"/>
        <v>0</v>
      </c>
      <c r="BT643" s="4">
        <f t="shared" si="182"/>
        <v>0</v>
      </c>
      <c r="BU643" s="39">
        <f t="shared" si="183"/>
        <v>0</v>
      </c>
      <c r="BV643" s="1">
        <f t="shared" si="184"/>
        <v>0</v>
      </c>
      <c r="BW643">
        <f t="shared" si="185"/>
        <v>0</v>
      </c>
      <c r="BX643">
        <f t="shared" si="186"/>
        <v>0</v>
      </c>
    </row>
    <row r="644" spans="58:76" x14ac:dyDescent="0.25">
      <c r="BF644" s="1" t="e">
        <f>VLOOKUP(N644,'Incoming Material Report'!H:M,6,FALSE)</f>
        <v>#N/A</v>
      </c>
      <c r="BG644" s="1" t="e">
        <f>IF(VLOOKUP(N644,'Incoming Material Report'!H:N,7,FALSE)=0,"",VLOOKUP(N644,'Incoming Material Report'!H:N,7,FALSE))</f>
        <v>#N/A</v>
      </c>
      <c r="BH644" s="39">
        <f t="shared" si="170"/>
        <v>0</v>
      </c>
      <c r="BI644" s="1">
        <f t="shared" si="171"/>
        <v>0</v>
      </c>
      <c r="BJ644" s="1">
        <f t="shared" si="172"/>
        <v>0</v>
      </c>
      <c r="BK644" s="1">
        <f t="shared" si="173"/>
        <v>0</v>
      </c>
      <c r="BL644" s="1">
        <f t="shared" si="174"/>
        <v>0</v>
      </c>
      <c r="BM644" s="10" t="str">
        <f t="shared" si="175"/>
        <v/>
      </c>
      <c r="BN644" s="39">
        <f t="shared" si="176"/>
        <v>0</v>
      </c>
      <c r="BO644" s="39">
        <f t="shared" si="177"/>
        <v>0</v>
      </c>
      <c r="BP644" s="1">
        <f t="shared" si="178"/>
        <v>0</v>
      </c>
      <c r="BQ644" s="1">
        <f t="shared" si="179"/>
        <v>0</v>
      </c>
      <c r="BR644" s="1" t="str">
        <f t="shared" si="180"/>
        <v/>
      </c>
      <c r="BS644" s="1">
        <f t="shared" si="181"/>
        <v>0</v>
      </c>
      <c r="BT644" s="4">
        <f t="shared" si="182"/>
        <v>0</v>
      </c>
      <c r="BU644" s="39">
        <f t="shared" si="183"/>
        <v>0</v>
      </c>
      <c r="BV644" s="1">
        <f t="shared" si="184"/>
        <v>0</v>
      </c>
      <c r="BW644">
        <f t="shared" si="185"/>
        <v>0</v>
      </c>
      <c r="BX644">
        <f t="shared" si="186"/>
        <v>0</v>
      </c>
    </row>
    <row r="645" spans="58:76" x14ac:dyDescent="0.25">
      <c r="BF645" s="1" t="e">
        <f>VLOOKUP(N645,'Incoming Material Report'!H:M,6,FALSE)</f>
        <v>#N/A</v>
      </c>
      <c r="BG645" s="1" t="e">
        <f>IF(VLOOKUP(N645,'Incoming Material Report'!H:N,7,FALSE)=0,"",VLOOKUP(N645,'Incoming Material Report'!H:N,7,FALSE))</f>
        <v>#N/A</v>
      </c>
      <c r="BH645" s="39">
        <f t="shared" si="170"/>
        <v>0</v>
      </c>
      <c r="BI645" s="1">
        <f t="shared" si="171"/>
        <v>0</v>
      </c>
      <c r="BJ645" s="1">
        <f t="shared" si="172"/>
        <v>0</v>
      </c>
      <c r="BK645" s="1">
        <f t="shared" si="173"/>
        <v>0</v>
      </c>
      <c r="BL645" s="1">
        <f t="shared" si="174"/>
        <v>0</v>
      </c>
      <c r="BM645" s="10" t="str">
        <f t="shared" si="175"/>
        <v/>
      </c>
      <c r="BN645" s="39">
        <f t="shared" si="176"/>
        <v>0</v>
      </c>
      <c r="BO645" s="39">
        <f t="shared" si="177"/>
        <v>0</v>
      </c>
      <c r="BP645" s="1">
        <f t="shared" si="178"/>
        <v>0</v>
      </c>
      <c r="BQ645" s="1">
        <f t="shared" si="179"/>
        <v>0</v>
      </c>
      <c r="BR645" s="1" t="str">
        <f t="shared" si="180"/>
        <v/>
      </c>
      <c r="BS645" s="1">
        <f t="shared" si="181"/>
        <v>0</v>
      </c>
      <c r="BT645" s="4">
        <f t="shared" si="182"/>
        <v>0</v>
      </c>
      <c r="BU645" s="39">
        <f t="shared" si="183"/>
        <v>0</v>
      </c>
      <c r="BV645" s="1">
        <f t="shared" si="184"/>
        <v>0</v>
      </c>
      <c r="BW645">
        <f t="shared" si="185"/>
        <v>0</v>
      </c>
      <c r="BX645">
        <f t="shared" si="186"/>
        <v>0</v>
      </c>
    </row>
    <row r="646" spans="58:76" x14ac:dyDescent="0.25">
      <c r="BF646" s="1" t="e">
        <f>VLOOKUP(N646,'Incoming Material Report'!H:M,6,FALSE)</f>
        <v>#N/A</v>
      </c>
      <c r="BG646" s="1" t="e">
        <f>IF(VLOOKUP(N646,'Incoming Material Report'!H:N,7,FALSE)=0,"",VLOOKUP(N646,'Incoming Material Report'!H:N,7,FALSE))</f>
        <v>#N/A</v>
      </c>
      <c r="BH646" s="39">
        <f t="shared" si="170"/>
        <v>0</v>
      </c>
      <c r="BI646" s="1">
        <f t="shared" si="171"/>
        <v>0</v>
      </c>
      <c r="BJ646" s="1">
        <f t="shared" si="172"/>
        <v>0</v>
      </c>
      <c r="BK646" s="1">
        <f t="shared" si="173"/>
        <v>0</v>
      </c>
      <c r="BL646" s="1">
        <f t="shared" si="174"/>
        <v>0</v>
      </c>
      <c r="BM646" s="10" t="str">
        <f t="shared" si="175"/>
        <v/>
      </c>
      <c r="BN646" s="39">
        <f t="shared" si="176"/>
        <v>0</v>
      </c>
      <c r="BO646" s="39">
        <f t="shared" si="177"/>
        <v>0</v>
      </c>
      <c r="BP646" s="1">
        <f t="shared" si="178"/>
        <v>0</v>
      </c>
      <c r="BQ646" s="1">
        <f t="shared" si="179"/>
        <v>0</v>
      </c>
      <c r="BR646" s="1" t="str">
        <f t="shared" si="180"/>
        <v/>
      </c>
      <c r="BS646" s="1">
        <f t="shared" si="181"/>
        <v>0</v>
      </c>
      <c r="BT646" s="4">
        <f t="shared" si="182"/>
        <v>0</v>
      </c>
      <c r="BU646" s="39">
        <f t="shared" si="183"/>
        <v>0</v>
      </c>
      <c r="BV646" s="1">
        <f t="shared" si="184"/>
        <v>0</v>
      </c>
      <c r="BW646">
        <f t="shared" si="185"/>
        <v>0</v>
      </c>
      <c r="BX646">
        <f t="shared" si="186"/>
        <v>0</v>
      </c>
    </row>
    <row r="647" spans="58:76" x14ac:dyDescent="0.25">
      <c r="BF647" s="1" t="e">
        <f>VLOOKUP(N647,'Incoming Material Report'!H:M,6,FALSE)</f>
        <v>#N/A</v>
      </c>
      <c r="BG647" s="1" t="e">
        <f>IF(VLOOKUP(N647,'Incoming Material Report'!H:N,7,FALSE)=0,"",VLOOKUP(N647,'Incoming Material Report'!H:N,7,FALSE))</f>
        <v>#N/A</v>
      </c>
      <c r="BH647" s="39">
        <f t="shared" si="170"/>
        <v>0</v>
      </c>
      <c r="BI647" s="1">
        <f t="shared" si="171"/>
        <v>0</v>
      </c>
      <c r="BJ647" s="1">
        <f t="shared" si="172"/>
        <v>0</v>
      </c>
      <c r="BK647" s="1">
        <f t="shared" si="173"/>
        <v>0</v>
      </c>
      <c r="BL647" s="1">
        <f t="shared" si="174"/>
        <v>0</v>
      </c>
      <c r="BM647" s="10" t="str">
        <f t="shared" si="175"/>
        <v/>
      </c>
      <c r="BN647" s="39">
        <f t="shared" si="176"/>
        <v>0</v>
      </c>
      <c r="BO647" s="39">
        <f t="shared" si="177"/>
        <v>0</v>
      </c>
      <c r="BP647" s="1">
        <f t="shared" si="178"/>
        <v>0</v>
      </c>
      <c r="BQ647" s="1">
        <f t="shared" si="179"/>
        <v>0</v>
      </c>
      <c r="BR647" s="1" t="str">
        <f t="shared" si="180"/>
        <v/>
      </c>
      <c r="BS647" s="1">
        <f t="shared" si="181"/>
        <v>0</v>
      </c>
      <c r="BT647" s="4">
        <f t="shared" si="182"/>
        <v>0</v>
      </c>
      <c r="BU647" s="39">
        <f t="shared" si="183"/>
        <v>0</v>
      </c>
      <c r="BV647" s="1">
        <f t="shared" si="184"/>
        <v>0</v>
      </c>
      <c r="BW647">
        <f t="shared" si="185"/>
        <v>0</v>
      </c>
      <c r="BX647">
        <f t="shared" si="186"/>
        <v>0</v>
      </c>
    </row>
    <row r="648" spans="58:76" x14ac:dyDescent="0.25">
      <c r="BF648" s="1" t="e">
        <f>VLOOKUP(N648,'Incoming Material Report'!H:M,6,FALSE)</f>
        <v>#N/A</v>
      </c>
      <c r="BG648" s="1" t="e">
        <f>IF(VLOOKUP(N648,'Incoming Material Report'!H:N,7,FALSE)=0,"",VLOOKUP(N648,'Incoming Material Report'!H:N,7,FALSE))</f>
        <v>#N/A</v>
      </c>
      <c r="BH648" s="39">
        <f t="shared" si="170"/>
        <v>0</v>
      </c>
      <c r="BI648" s="1">
        <f t="shared" si="171"/>
        <v>0</v>
      </c>
      <c r="BJ648" s="1">
        <f t="shared" si="172"/>
        <v>0</v>
      </c>
      <c r="BK648" s="1">
        <f t="shared" si="173"/>
        <v>0</v>
      </c>
      <c r="BL648" s="1">
        <f t="shared" si="174"/>
        <v>0</v>
      </c>
      <c r="BM648" s="10" t="str">
        <f t="shared" si="175"/>
        <v/>
      </c>
      <c r="BN648" s="39">
        <f t="shared" si="176"/>
        <v>0</v>
      </c>
      <c r="BO648" s="39">
        <f t="shared" si="177"/>
        <v>0</v>
      </c>
      <c r="BP648" s="1">
        <f t="shared" si="178"/>
        <v>0</v>
      </c>
      <c r="BQ648" s="1">
        <f t="shared" si="179"/>
        <v>0</v>
      </c>
      <c r="BR648" s="1" t="str">
        <f t="shared" si="180"/>
        <v/>
      </c>
      <c r="BS648" s="1">
        <f t="shared" si="181"/>
        <v>0</v>
      </c>
      <c r="BT648" s="4">
        <f t="shared" si="182"/>
        <v>0</v>
      </c>
      <c r="BU648" s="39">
        <f t="shared" si="183"/>
        <v>0</v>
      </c>
      <c r="BV648" s="1">
        <f t="shared" si="184"/>
        <v>0</v>
      </c>
      <c r="BW648">
        <f t="shared" si="185"/>
        <v>0</v>
      </c>
      <c r="BX648">
        <f t="shared" si="186"/>
        <v>0</v>
      </c>
    </row>
    <row r="649" spans="58:76" x14ac:dyDescent="0.25">
      <c r="BF649" s="1" t="e">
        <f>VLOOKUP(N649,'Incoming Material Report'!H:M,6,FALSE)</f>
        <v>#N/A</v>
      </c>
      <c r="BG649" s="1" t="e">
        <f>IF(VLOOKUP(N649,'Incoming Material Report'!H:N,7,FALSE)=0,"",VLOOKUP(N649,'Incoming Material Report'!H:N,7,FALSE))</f>
        <v>#N/A</v>
      </c>
      <c r="BH649" s="39">
        <f t="shared" si="170"/>
        <v>0</v>
      </c>
      <c r="BI649" s="1">
        <f t="shared" si="171"/>
        <v>0</v>
      </c>
      <c r="BJ649" s="1">
        <f t="shared" si="172"/>
        <v>0</v>
      </c>
      <c r="BK649" s="1">
        <f t="shared" si="173"/>
        <v>0</v>
      </c>
      <c r="BL649" s="1">
        <f t="shared" si="174"/>
        <v>0</v>
      </c>
      <c r="BM649" s="10" t="str">
        <f t="shared" si="175"/>
        <v/>
      </c>
      <c r="BN649" s="39">
        <f t="shared" si="176"/>
        <v>0</v>
      </c>
      <c r="BO649" s="39">
        <f t="shared" si="177"/>
        <v>0</v>
      </c>
      <c r="BP649" s="1">
        <f t="shared" si="178"/>
        <v>0</v>
      </c>
      <c r="BQ649" s="1">
        <f t="shared" si="179"/>
        <v>0</v>
      </c>
      <c r="BR649" s="1" t="str">
        <f t="shared" si="180"/>
        <v/>
      </c>
      <c r="BS649" s="1">
        <f t="shared" si="181"/>
        <v>0</v>
      </c>
      <c r="BT649" s="4">
        <f t="shared" si="182"/>
        <v>0</v>
      </c>
      <c r="BU649" s="39">
        <f t="shared" si="183"/>
        <v>0</v>
      </c>
      <c r="BV649" s="1">
        <f t="shared" si="184"/>
        <v>0</v>
      </c>
      <c r="BW649">
        <f t="shared" si="185"/>
        <v>0</v>
      </c>
      <c r="BX649">
        <f t="shared" si="186"/>
        <v>0</v>
      </c>
    </row>
    <row r="650" spans="58:76" x14ac:dyDescent="0.25">
      <c r="BF650" s="1" t="e">
        <f>VLOOKUP(N650,'Incoming Material Report'!H:M,6,FALSE)</f>
        <v>#N/A</v>
      </c>
      <c r="BG650" s="1" t="e">
        <f>IF(VLOOKUP(N650,'Incoming Material Report'!H:N,7,FALSE)=0,"",VLOOKUP(N650,'Incoming Material Report'!H:N,7,FALSE))</f>
        <v>#N/A</v>
      </c>
      <c r="BH650" s="39">
        <f t="shared" si="170"/>
        <v>0</v>
      </c>
      <c r="BI650" s="1">
        <f t="shared" si="171"/>
        <v>0</v>
      </c>
      <c r="BJ650" s="1">
        <f t="shared" si="172"/>
        <v>0</v>
      </c>
      <c r="BK650" s="1">
        <f t="shared" si="173"/>
        <v>0</v>
      </c>
      <c r="BL650" s="1">
        <f t="shared" si="174"/>
        <v>0</v>
      </c>
      <c r="BM650" s="10" t="str">
        <f t="shared" si="175"/>
        <v/>
      </c>
      <c r="BN650" s="39">
        <f t="shared" si="176"/>
        <v>0</v>
      </c>
      <c r="BO650" s="39">
        <f t="shared" si="177"/>
        <v>0</v>
      </c>
      <c r="BP650" s="1">
        <f t="shared" si="178"/>
        <v>0</v>
      </c>
      <c r="BQ650" s="1">
        <f t="shared" si="179"/>
        <v>0</v>
      </c>
      <c r="BR650" s="1" t="str">
        <f t="shared" si="180"/>
        <v/>
      </c>
      <c r="BS650" s="1">
        <f t="shared" si="181"/>
        <v>0</v>
      </c>
      <c r="BT650" s="4">
        <f t="shared" si="182"/>
        <v>0</v>
      </c>
      <c r="BU650" s="39">
        <f t="shared" si="183"/>
        <v>0</v>
      </c>
      <c r="BV650" s="1">
        <f t="shared" si="184"/>
        <v>0</v>
      </c>
      <c r="BW650">
        <f t="shared" si="185"/>
        <v>0</v>
      </c>
      <c r="BX650">
        <f t="shared" si="186"/>
        <v>0</v>
      </c>
    </row>
    <row r="651" spans="58:76" x14ac:dyDescent="0.25">
      <c r="BF651" s="1" t="e">
        <f>VLOOKUP(N651,'Incoming Material Report'!H:M,6,FALSE)</f>
        <v>#N/A</v>
      </c>
      <c r="BG651" s="1" t="e">
        <f>IF(VLOOKUP(N651,'Incoming Material Report'!H:N,7,FALSE)=0,"",VLOOKUP(N651,'Incoming Material Report'!H:N,7,FALSE))</f>
        <v>#N/A</v>
      </c>
      <c r="BH651" s="39">
        <f t="shared" si="170"/>
        <v>0</v>
      </c>
      <c r="BI651" s="1">
        <f t="shared" si="171"/>
        <v>0</v>
      </c>
      <c r="BJ651" s="1">
        <f t="shared" si="172"/>
        <v>0</v>
      </c>
      <c r="BK651" s="1">
        <f t="shared" si="173"/>
        <v>0</v>
      </c>
      <c r="BL651" s="1">
        <f t="shared" si="174"/>
        <v>0</v>
      </c>
      <c r="BM651" s="10" t="str">
        <f t="shared" si="175"/>
        <v/>
      </c>
      <c r="BN651" s="39">
        <f t="shared" si="176"/>
        <v>0</v>
      </c>
      <c r="BO651" s="39">
        <f t="shared" si="177"/>
        <v>0</v>
      </c>
      <c r="BP651" s="1">
        <f t="shared" si="178"/>
        <v>0</v>
      </c>
      <c r="BQ651" s="1">
        <f t="shared" si="179"/>
        <v>0</v>
      </c>
      <c r="BR651" s="1" t="str">
        <f t="shared" si="180"/>
        <v/>
      </c>
      <c r="BS651" s="1">
        <f t="shared" si="181"/>
        <v>0</v>
      </c>
      <c r="BT651" s="4">
        <f t="shared" si="182"/>
        <v>0</v>
      </c>
      <c r="BU651" s="39">
        <f t="shared" si="183"/>
        <v>0</v>
      </c>
      <c r="BV651" s="1">
        <f t="shared" si="184"/>
        <v>0</v>
      </c>
      <c r="BW651">
        <f t="shared" si="185"/>
        <v>0</v>
      </c>
      <c r="BX651">
        <f t="shared" si="186"/>
        <v>0</v>
      </c>
    </row>
    <row r="652" spans="58:76" x14ac:dyDescent="0.25">
      <c r="BF652" s="1" t="e">
        <f>VLOOKUP(N652,'Incoming Material Report'!H:M,6,FALSE)</f>
        <v>#N/A</v>
      </c>
      <c r="BG652" s="1" t="e">
        <f>IF(VLOOKUP(N652,'Incoming Material Report'!H:N,7,FALSE)=0,"",VLOOKUP(N652,'Incoming Material Report'!H:N,7,FALSE))</f>
        <v>#N/A</v>
      </c>
      <c r="BH652" s="39">
        <f t="shared" si="170"/>
        <v>0</v>
      </c>
      <c r="BI652" s="1">
        <f t="shared" si="171"/>
        <v>0</v>
      </c>
      <c r="BJ652" s="1">
        <f t="shared" si="172"/>
        <v>0</v>
      </c>
      <c r="BK652" s="1">
        <f t="shared" si="173"/>
        <v>0</v>
      </c>
      <c r="BL652" s="1">
        <f t="shared" si="174"/>
        <v>0</v>
      </c>
      <c r="BM652" s="10" t="str">
        <f t="shared" si="175"/>
        <v/>
      </c>
      <c r="BN652" s="39">
        <f t="shared" si="176"/>
        <v>0</v>
      </c>
      <c r="BO652" s="39">
        <f t="shared" si="177"/>
        <v>0</v>
      </c>
      <c r="BP652" s="1">
        <f t="shared" si="178"/>
        <v>0</v>
      </c>
      <c r="BQ652" s="1">
        <f t="shared" si="179"/>
        <v>0</v>
      </c>
      <c r="BR652" s="1" t="str">
        <f t="shared" si="180"/>
        <v/>
      </c>
      <c r="BS652" s="1">
        <f t="shared" si="181"/>
        <v>0</v>
      </c>
      <c r="BT652" s="4">
        <f t="shared" si="182"/>
        <v>0</v>
      </c>
      <c r="BU652" s="39">
        <f t="shared" si="183"/>
        <v>0</v>
      </c>
      <c r="BV652" s="1">
        <f t="shared" si="184"/>
        <v>0</v>
      </c>
      <c r="BW652">
        <f t="shared" si="185"/>
        <v>0</v>
      </c>
      <c r="BX652">
        <f t="shared" si="186"/>
        <v>0</v>
      </c>
    </row>
    <row r="653" spans="58:76" x14ac:dyDescent="0.25">
      <c r="BF653" s="1" t="e">
        <f>VLOOKUP(N653,'Incoming Material Report'!H:M,6,FALSE)</f>
        <v>#N/A</v>
      </c>
      <c r="BG653" s="1" t="e">
        <f>IF(VLOOKUP(N653,'Incoming Material Report'!H:N,7,FALSE)=0,"",VLOOKUP(N653,'Incoming Material Report'!H:N,7,FALSE))</f>
        <v>#N/A</v>
      </c>
      <c r="BH653" s="39">
        <f t="shared" si="170"/>
        <v>0</v>
      </c>
      <c r="BI653" s="1">
        <f t="shared" si="171"/>
        <v>0</v>
      </c>
      <c r="BJ653" s="1">
        <f t="shared" si="172"/>
        <v>0</v>
      </c>
      <c r="BK653" s="1">
        <f t="shared" si="173"/>
        <v>0</v>
      </c>
      <c r="BL653" s="1">
        <f t="shared" si="174"/>
        <v>0</v>
      </c>
      <c r="BM653" s="10" t="str">
        <f t="shared" si="175"/>
        <v/>
      </c>
      <c r="BN653" s="39">
        <f t="shared" si="176"/>
        <v>0</v>
      </c>
      <c r="BO653" s="39">
        <f t="shared" si="177"/>
        <v>0</v>
      </c>
      <c r="BP653" s="1">
        <f t="shared" si="178"/>
        <v>0</v>
      </c>
      <c r="BQ653" s="1">
        <f t="shared" si="179"/>
        <v>0</v>
      </c>
      <c r="BR653" s="1" t="str">
        <f t="shared" si="180"/>
        <v/>
      </c>
      <c r="BS653" s="1">
        <f t="shared" si="181"/>
        <v>0</v>
      </c>
      <c r="BT653" s="4">
        <f t="shared" si="182"/>
        <v>0</v>
      </c>
      <c r="BU653" s="39">
        <f t="shared" si="183"/>
        <v>0</v>
      </c>
      <c r="BV653" s="1">
        <f t="shared" si="184"/>
        <v>0</v>
      </c>
      <c r="BW653">
        <f t="shared" si="185"/>
        <v>0</v>
      </c>
      <c r="BX653">
        <f t="shared" si="186"/>
        <v>0</v>
      </c>
    </row>
    <row r="654" spans="58:76" x14ac:dyDescent="0.25">
      <c r="BF654" s="1" t="e">
        <f>VLOOKUP(N654,'Incoming Material Report'!H:M,6,FALSE)</f>
        <v>#N/A</v>
      </c>
      <c r="BG654" s="1" t="e">
        <f>IF(VLOOKUP(N654,'Incoming Material Report'!H:N,7,FALSE)=0,"",VLOOKUP(N654,'Incoming Material Report'!H:N,7,FALSE))</f>
        <v>#N/A</v>
      </c>
      <c r="BH654" s="39">
        <f t="shared" si="170"/>
        <v>0</v>
      </c>
      <c r="BI654" s="1">
        <f t="shared" si="171"/>
        <v>0</v>
      </c>
      <c r="BJ654" s="1">
        <f t="shared" si="172"/>
        <v>0</v>
      </c>
      <c r="BK654" s="1">
        <f t="shared" si="173"/>
        <v>0</v>
      </c>
      <c r="BL654" s="1">
        <f t="shared" si="174"/>
        <v>0</v>
      </c>
      <c r="BM654" s="10" t="str">
        <f t="shared" si="175"/>
        <v/>
      </c>
      <c r="BN654" s="39">
        <f t="shared" si="176"/>
        <v>0</v>
      </c>
      <c r="BO654" s="39">
        <f t="shared" si="177"/>
        <v>0</v>
      </c>
      <c r="BP654" s="1">
        <f t="shared" si="178"/>
        <v>0</v>
      </c>
      <c r="BQ654" s="1">
        <f t="shared" si="179"/>
        <v>0</v>
      </c>
      <c r="BR654" s="1" t="str">
        <f t="shared" si="180"/>
        <v/>
      </c>
      <c r="BS654" s="1">
        <f t="shared" si="181"/>
        <v>0</v>
      </c>
      <c r="BT654" s="4">
        <f t="shared" si="182"/>
        <v>0</v>
      </c>
      <c r="BU654" s="39">
        <f t="shared" si="183"/>
        <v>0</v>
      </c>
      <c r="BV654" s="1">
        <f t="shared" si="184"/>
        <v>0</v>
      </c>
      <c r="BW654">
        <f t="shared" si="185"/>
        <v>0</v>
      </c>
      <c r="BX654">
        <f t="shared" si="186"/>
        <v>0</v>
      </c>
    </row>
    <row r="655" spans="58:76" x14ac:dyDescent="0.25">
      <c r="BF655" s="1" t="e">
        <f>VLOOKUP(N655,'Incoming Material Report'!H:M,6,FALSE)</f>
        <v>#N/A</v>
      </c>
      <c r="BG655" s="1" t="e">
        <f>IF(VLOOKUP(N655,'Incoming Material Report'!H:N,7,FALSE)=0,"",VLOOKUP(N655,'Incoming Material Report'!H:N,7,FALSE))</f>
        <v>#N/A</v>
      </c>
      <c r="BH655" s="39">
        <f t="shared" si="170"/>
        <v>0</v>
      </c>
      <c r="BI655" s="1">
        <f t="shared" si="171"/>
        <v>0</v>
      </c>
      <c r="BJ655" s="1">
        <f t="shared" si="172"/>
        <v>0</v>
      </c>
      <c r="BK655" s="1">
        <f t="shared" si="173"/>
        <v>0</v>
      </c>
      <c r="BL655" s="1">
        <f t="shared" si="174"/>
        <v>0</v>
      </c>
      <c r="BM655" s="10" t="str">
        <f t="shared" si="175"/>
        <v/>
      </c>
      <c r="BN655" s="39">
        <f t="shared" si="176"/>
        <v>0</v>
      </c>
      <c r="BO655" s="39">
        <f t="shared" si="177"/>
        <v>0</v>
      </c>
      <c r="BP655" s="1">
        <f t="shared" si="178"/>
        <v>0</v>
      </c>
      <c r="BQ655" s="1">
        <f t="shared" si="179"/>
        <v>0</v>
      </c>
      <c r="BR655" s="1" t="str">
        <f t="shared" si="180"/>
        <v/>
      </c>
      <c r="BS655" s="1">
        <f t="shared" si="181"/>
        <v>0</v>
      </c>
      <c r="BT655" s="4">
        <f t="shared" si="182"/>
        <v>0</v>
      </c>
      <c r="BU655" s="39">
        <f t="shared" si="183"/>
        <v>0</v>
      </c>
      <c r="BV655" s="1">
        <f t="shared" si="184"/>
        <v>0</v>
      </c>
      <c r="BW655">
        <f t="shared" si="185"/>
        <v>0</v>
      </c>
      <c r="BX655">
        <f t="shared" si="186"/>
        <v>0</v>
      </c>
    </row>
    <row r="656" spans="58:76" x14ac:dyDescent="0.25">
      <c r="BF656" s="1" t="e">
        <f>VLOOKUP(N656,'Incoming Material Report'!H:M,6,FALSE)</f>
        <v>#N/A</v>
      </c>
      <c r="BG656" s="1" t="e">
        <f>IF(VLOOKUP(N656,'Incoming Material Report'!H:N,7,FALSE)=0,"",VLOOKUP(N656,'Incoming Material Report'!H:N,7,FALSE))</f>
        <v>#N/A</v>
      </c>
      <c r="BH656" s="39">
        <f t="shared" si="170"/>
        <v>0</v>
      </c>
      <c r="BI656" s="1">
        <f t="shared" si="171"/>
        <v>0</v>
      </c>
      <c r="BJ656" s="1">
        <f t="shared" si="172"/>
        <v>0</v>
      </c>
      <c r="BK656" s="1">
        <f t="shared" si="173"/>
        <v>0</v>
      </c>
      <c r="BL656" s="1">
        <f t="shared" si="174"/>
        <v>0</v>
      </c>
      <c r="BM656" s="10" t="str">
        <f t="shared" si="175"/>
        <v/>
      </c>
      <c r="BN656" s="39">
        <f t="shared" si="176"/>
        <v>0</v>
      </c>
      <c r="BO656" s="39">
        <f t="shared" si="177"/>
        <v>0</v>
      </c>
      <c r="BP656" s="1">
        <f t="shared" si="178"/>
        <v>0</v>
      </c>
      <c r="BQ656" s="1">
        <f t="shared" si="179"/>
        <v>0</v>
      </c>
      <c r="BR656" s="1" t="str">
        <f t="shared" si="180"/>
        <v/>
      </c>
      <c r="BS656" s="1">
        <f t="shared" si="181"/>
        <v>0</v>
      </c>
      <c r="BT656" s="4">
        <f t="shared" si="182"/>
        <v>0</v>
      </c>
      <c r="BU656" s="39">
        <f t="shared" si="183"/>
        <v>0</v>
      </c>
      <c r="BV656" s="1">
        <f t="shared" si="184"/>
        <v>0</v>
      </c>
      <c r="BW656">
        <f t="shared" si="185"/>
        <v>0</v>
      </c>
      <c r="BX656">
        <f t="shared" si="186"/>
        <v>0</v>
      </c>
    </row>
    <row r="657" spans="58:76" x14ac:dyDescent="0.25">
      <c r="BF657" s="1" t="e">
        <f>VLOOKUP(N657,'Incoming Material Report'!H:M,6,FALSE)</f>
        <v>#N/A</v>
      </c>
      <c r="BG657" s="1" t="e">
        <f>IF(VLOOKUP(N657,'Incoming Material Report'!H:N,7,FALSE)=0,"",VLOOKUP(N657,'Incoming Material Report'!H:N,7,FALSE))</f>
        <v>#N/A</v>
      </c>
      <c r="BH657" s="39">
        <f t="shared" si="170"/>
        <v>0</v>
      </c>
      <c r="BI657" s="1">
        <f t="shared" si="171"/>
        <v>0</v>
      </c>
      <c r="BJ657" s="1">
        <f t="shared" si="172"/>
        <v>0</v>
      </c>
      <c r="BK657" s="1">
        <f t="shared" si="173"/>
        <v>0</v>
      </c>
      <c r="BL657" s="1">
        <f t="shared" si="174"/>
        <v>0</v>
      </c>
      <c r="BM657" s="10" t="str">
        <f t="shared" si="175"/>
        <v/>
      </c>
      <c r="BN657" s="39">
        <f t="shared" si="176"/>
        <v>0</v>
      </c>
      <c r="BO657" s="39">
        <f t="shared" si="177"/>
        <v>0</v>
      </c>
      <c r="BP657" s="1">
        <f t="shared" si="178"/>
        <v>0</v>
      </c>
      <c r="BQ657" s="1">
        <f t="shared" si="179"/>
        <v>0</v>
      </c>
      <c r="BR657" s="1" t="str">
        <f t="shared" si="180"/>
        <v/>
      </c>
      <c r="BS657" s="1">
        <f t="shared" si="181"/>
        <v>0</v>
      </c>
      <c r="BT657" s="4">
        <f t="shared" si="182"/>
        <v>0</v>
      </c>
      <c r="BU657" s="39">
        <f t="shared" si="183"/>
        <v>0</v>
      </c>
      <c r="BV657" s="1">
        <f t="shared" si="184"/>
        <v>0</v>
      </c>
      <c r="BW657">
        <f t="shared" si="185"/>
        <v>0</v>
      </c>
      <c r="BX657">
        <f t="shared" si="186"/>
        <v>0</v>
      </c>
    </row>
    <row r="658" spans="58:76" x14ac:dyDescent="0.25">
      <c r="BF658" s="1" t="e">
        <f>VLOOKUP(N658,'Incoming Material Report'!H:M,6,FALSE)</f>
        <v>#N/A</v>
      </c>
      <c r="BG658" s="1" t="e">
        <f>IF(VLOOKUP(N658,'Incoming Material Report'!H:N,7,FALSE)=0,"",VLOOKUP(N658,'Incoming Material Report'!H:N,7,FALSE))</f>
        <v>#N/A</v>
      </c>
      <c r="BH658" s="39">
        <f t="shared" si="170"/>
        <v>0</v>
      </c>
      <c r="BI658" s="1">
        <f t="shared" si="171"/>
        <v>0</v>
      </c>
      <c r="BJ658" s="1">
        <f t="shared" si="172"/>
        <v>0</v>
      </c>
      <c r="BK658" s="1">
        <f t="shared" si="173"/>
        <v>0</v>
      </c>
      <c r="BL658" s="1">
        <f t="shared" si="174"/>
        <v>0</v>
      </c>
      <c r="BM658" s="10" t="str">
        <f t="shared" si="175"/>
        <v/>
      </c>
      <c r="BN658" s="39">
        <f t="shared" si="176"/>
        <v>0</v>
      </c>
      <c r="BO658" s="39">
        <f t="shared" si="177"/>
        <v>0</v>
      </c>
      <c r="BP658" s="1">
        <f t="shared" si="178"/>
        <v>0</v>
      </c>
      <c r="BQ658" s="1">
        <f t="shared" si="179"/>
        <v>0</v>
      </c>
      <c r="BR658" s="1" t="str">
        <f t="shared" si="180"/>
        <v/>
      </c>
      <c r="BS658" s="1">
        <f t="shared" si="181"/>
        <v>0</v>
      </c>
      <c r="BT658" s="4">
        <f t="shared" si="182"/>
        <v>0</v>
      </c>
      <c r="BU658" s="39">
        <f t="shared" si="183"/>
        <v>0</v>
      </c>
      <c r="BV658" s="1">
        <f t="shared" si="184"/>
        <v>0</v>
      </c>
      <c r="BW658">
        <f t="shared" si="185"/>
        <v>0</v>
      </c>
      <c r="BX658">
        <f t="shared" si="186"/>
        <v>0</v>
      </c>
    </row>
    <row r="659" spans="58:76" x14ac:dyDescent="0.25">
      <c r="BF659" s="1" t="e">
        <f>VLOOKUP(N659,'Incoming Material Report'!H:M,6,FALSE)</f>
        <v>#N/A</v>
      </c>
      <c r="BG659" s="1" t="e">
        <f>IF(VLOOKUP(N659,'Incoming Material Report'!H:N,7,FALSE)=0,"",VLOOKUP(N659,'Incoming Material Report'!H:N,7,FALSE))</f>
        <v>#N/A</v>
      </c>
      <c r="BH659" s="39">
        <f t="shared" si="170"/>
        <v>0</v>
      </c>
      <c r="BI659" s="1">
        <f t="shared" si="171"/>
        <v>0</v>
      </c>
      <c r="BJ659" s="1">
        <f t="shared" si="172"/>
        <v>0</v>
      </c>
      <c r="BK659" s="1">
        <f t="shared" si="173"/>
        <v>0</v>
      </c>
      <c r="BL659" s="1">
        <f t="shared" si="174"/>
        <v>0</v>
      </c>
      <c r="BM659" s="10" t="str">
        <f t="shared" si="175"/>
        <v/>
      </c>
      <c r="BN659" s="39">
        <f t="shared" si="176"/>
        <v>0</v>
      </c>
      <c r="BO659" s="39">
        <f t="shared" si="177"/>
        <v>0</v>
      </c>
      <c r="BP659" s="1">
        <f t="shared" si="178"/>
        <v>0</v>
      </c>
      <c r="BQ659" s="1">
        <f t="shared" si="179"/>
        <v>0</v>
      </c>
      <c r="BR659" s="1" t="str">
        <f t="shared" si="180"/>
        <v/>
      </c>
      <c r="BS659" s="1">
        <f t="shared" si="181"/>
        <v>0</v>
      </c>
      <c r="BT659" s="4">
        <f t="shared" si="182"/>
        <v>0</v>
      </c>
      <c r="BU659" s="39">
        <f t="shared" si="183"/>
        <v>0</v>
      </c>
      <c r="BV659" s="1">
        <f t="shared" si="184"/>
        <v>0</v>
      </c>
      <c r="BW659">
        <f t="shared" si="185"/>
        <v>0</v>
      </c>
      <c r="BX659">
        <f t="shared" si="186"/>
        <v>0</v>
      </c>
    </row>
    <row r="660" spans="58:76" x14ac:dyDescent="0.25">
      <c r="BF660" s="1" t="e">
        <f>VLOOKUP(N660,'Incoming Material Report'!H:M,6,FALSE)</f>
        <v>#N/A</v>
      </c>
      <c r="BG660" s="1" t="e">
        <f>IF(VLOOKUP(N660,'Incoming Material Report'!H:N,7,FALSE)=0,"",VLOOKUP(N660,'Incoming Material Report'!H:N,7,FALSE))</f>
        <v>#N/A</v>
      </c>
      <c r="BH660" s="39">
        <f t="shared" si="170"/>
        <v>0</v>
      </c>
      <c r="BI660" s="1">
        <f t="shared" si="171"/>
        <v>0</v>
      </c>
      <c r="BJ660" s="1">
        <f t="shared" si="172"/>
        <v>0</v>
      </c>
      <c r="BK660" s="1">
        <f t="shared" si="173"/>
        <v>0</v>
      </c>
      <c r="BL660" s="1">
        <f t="shared" si="174"/>
        <v>0</v>
      </c>
      <c r="BM660" s="10" t="str">
        <f t="shared" si="175"/>
        <v/>
      </c>
      <c r="BN660" s="39">
        <f t="shared" si="176"/>
        <v>0</v>
      </c>
      <c r="BO660" s="39">
        <f t="shared" si="177"/>
        <v>0</v>
      </c>
      <c r="BP660" s="1">
        <f t="shared" si="178"/>
        <v>0</v>
      </c>
      <c r="BQ660" s="1">
        <f t="shared" si="179"/>
        <v>0</v>
      </c>
      <c r="BR660" s="1" t="str">
        <f t="shared" si="180"/>
        <v/>
      </c>
      <c r="BS660" s="1">
        <f t="shared" si="181"/>
        <v>0</v>
      </c>
      <c r="BT660" s="4">
        <f t="shared" si="182"/>
        <v>0</v>
      </c>
      <c r="BU660" s="39">
        <f t="shared" si="183"/>
        <v>0</v>
      </c>
      <c r="BV660" s="1">
        <f t="shared" si="184"/>
        <v>0</v>
      </c>
      <c r="BW660">
        <f t="shared" si="185"/>
        <v>0</v>
      </c>
      <c r="BX660">
        <f t="shared" si="186"/>
        <v>0</v>
      </c>
    </row>
    <row r="661" spans="58:76" x14ac:dyDescent="0.25">
      <c r="BF661" s="1" t="e">
        <f>VLOOKUP(N661,'Incoming Material Report'!H:M,6,FALSE)</f>
        <v>#N/A</v>
      </c>
      <c r="BG661" s="1" t="e">
        <f>IF(VLOOKUP(N661,'Incoming Material Report'!H:N,7,FALSE)=0,"",VLOOKUP(N661,'Incoming Material Report'!H:N,7,FALSE))</f>
        <v>#N/A</v>
      </c>
      <c r="BH661" s="39">
        <f t="shared" si="170"/>
        <v>0</v>
      </c>
      <c r="BI661" s="1">
        <f t="shared" si="171"/>
        <v>0</v>
      </c>
      <c r="BJ661" s="1">
        <f t="shared" si="172"/>
        <v>0</v>
      </c>
      <c r="BK661" s="1">
        <f t="shared" si="173"/>
        <v>0</v>
      </c>
      <c r="BL661" s="1">
        <f t="shared" si="174"/>
        <v>0</v>
      </c>
      <c r="BM661" s="10" t="str">
        <f t="shared" si="175"/>
        <v/>
      </c>
      <c r="BN661" s="39">
        <f t="shared" si="176"/>
        <v>0</v>
      </c>
      <c r="BO661" s="39">
        <f t="shared" si="177"/>
        <v>0</v>
      </c>
      <c r="BP661" s="1">
        <f t="shared" si="178"/>
        <v>0</v>
      </c>
      <c r="BQ661" s="1">
        <f t="shared" si="179"/>
        <v>0</v>
      </c>
      <c r="BR661" s="1" t="str">
        <f t="shared" si="180"/>
        <v/>
      </c>
      <c r="BS661" s="1">
        <f t="shared" si="181"/>
        <v>0</v>
      </c>
      <c r="BT661" s="4">
        <f t="shared" si="182"/>
        <v>0</v>
      </c>
      <c r="BU661" s="39">
        <f t="shared" si="183"/>
        <v>0</v>
      </c>
      <c r="BV661" s="1">
        <f t="shared" si="184"/>
        <v>0</v>
      </c>
      <c r="BW661">
        <f t="shared" si="185"/>
        <v>0</v>
      </c>
      <c r="BX661">
        <f t="shared" si="186"/>
        <v>0</v>
      </c>
    </row>
    <row r="662" spans="58:76" x14ac:dyDescent="0.25">
      <c r="BF662" s="1" t="e">
        <f>VLOOKUP(N662,'Incoming Material Report'!H:M,6,FALSE)</f>
        <v>#N/A</v>
      </c>
      <c r="BG662" s="1" t="e">
        <f>IF(VLOOKUP(N662,'Incoming Material Report'!H:N,7,FALSE)=0,"",VLOOKUP(N662,'Incoming Material Report'!H:N,7,FALSE))</f>
        <v>#N/A</v>
      </c>
      <c r="BH662" s="39">
        <f t="shared" si="170"/>
        <v>0</v>
      </c>
      <c r="BI662" s="1">
        <f t="shared" si="171"/>
        <v>0</v>
      </c>
      <c r="BJ662" s="1">
        <f t="shared" si="172"/>
        <v>0</v>
      </c>
      <c r="BK662" s="1">
        <f t="shared" si="173"/>
        <v>0</v>
      </c>
      <c r="BL662" s="1">
        <f t="shared" si="174"/>
        <v>0</v>
      </c>
      <c r="BM662" s="10" t="str">
        <f t="shared" si="175"/>
        <v/>
      </c>
      <c r="BN662" s="39">
        <f t="shared" si="176"/>
        <v>0</v>
      </c>
      <c r="BO662" s="39">
        <f t="shared" si="177"/>
        <v>0</v>
      </c>
      <c r="BP662" s="1">
        <f t="shared" si="178"/>
        <v>0</v>
      </c>
      <c r="BQ662" s="1">
        <f t="shared" si="179"/>
        <v>0</v>
      </c>
      <c r="BR662" s="1" t="str">
        <f t="shared" si="180"/>
        <v/>
      </c>
      <c r="BS662" s="1">
        <f t="shared" si="181"/>
        <v>0</v>
      </c>
      <c r="BT662" s="4">
        <f t="shared" si="182"/>
        <v>0</v>
      </c>
      <c r="BU662" s="39">
        <f t="shared" si="183"/>
        <v>0</v>
      </c>
      <c r="BV662" s="1">
        <f t="shared" si="184"/>
        <v>0</v>
      </c>
      <c r="BW662">
        <f t="shared" si="185"/>
        <v>0</v>
      </c>
      <c r="BX662">
        <f t="shared" si="186"/>
        <v>0</v>
      </c>
    </row>
    <row r="663" spans="58:76" x14ac:dyDescent="0.25">
      <c r="BF663" s="1" t="e">
        <f>VLOOKUP(N663,'Incoming Material Report'!H:M,6,FALSE)</f>
        <v>#N/A</v>
      </c>
      <c r="BG663" s="1" t="e">
        <f>IF(VLOOKUP(N663,'Incoming Material Report'!H:N,7,FALSE)=0,"",VLOOKUP(N663,'Incoming Material Report'!H:N,7,FALSE))</f>
        <v>#N/A</v>
      </c>
      <c r="BH663" s="39">
        <f t="shared" si="170"/>
        <v>0</v>
      </c>
      <c r="BI663" s="1">
        <f t="shared" si="171"/>
        <v>0</v>
      </c>
      <c r="BJ663" s="1">
        <f t="shared" si="172"/>
        <v>0</v>
      </c>
      <c r="BK663" s="1">
        <f t="shared" si="173"/>
        <v>0</v>
      </c>
      <c r="BL663" s="1">
        <f t="shared" si="174"/>
        <v>0</v>
      </c>
      <c r="BM663" s="10" t="str">
        <f t="shared" si="175"/>
        <v/>
      </c>
      <c r="BN663" s="39">
        <f t="shared" si="176"/>
        <v>0</v>
      </c>
      <c r="BO663" s="39">
        <f t="shared" si="177"/>
        <v>0</v>
      </c>
      <c r="BP663" s="1">
        <f t="shared" si="178"/>
        <v>0</v>
      </c>
      <c r="BQ663" s="1">
        <f t="shared" si="179"/>
        <v>0</v>
      </c>
      <c r="BR663" s="1" t="str">
        <f t="shared" si="180"/>
        <v/>
      </c>
      <c r="BS663" s="1">
        <f t="shared" si="181"/>
        <v>0</v>
      </c>
      <c r="BT663" s="4">
        <f t="shared" si="182"/>
        <v>0</v>
      </c>
      <c r="BU663" s="39">
        <f t="shared" si="183"/>
        <v>0</v>
      </c>
      <c r="BV663" s="1">
        <f t="shared" si="184"/>
        <v>0</v>
      </c>
      <c r="BW663">
        <f t="shared" si="185"/>
        <v>0</v>
      </c>
      <c r="BX663">
        <f t="shared" si="186"/>
        <v>0</v>
      </c>
    </row>
    <row r="664" spans="58:76" x14ac:dyDescent="0.25">
      <c r="BF664" s="1" t="e">
        <f>VLOOKUP(N664,'Incoming Material Report'!H:M,6,FALSE)</f>
        <v>#N/A</v>
      </c>
      <c r="BG664" s="1" t="e">
        <f>IF(VLOOKUP(N664,'Incoming Material Report'!H:N,7,FALSE)=0,"",VLOOKUP(N664,'Incoming Material Report'!H:N,7,FALSE))</f>
        <v>#N/A</v>
      </c>
      <c r="BH664" s="39">
        <f t="shared" si="170"/>
        <v>0</v>
      </c>
      <c r="BI664" s="1">
        <f t="shared" si="171"/>
        <v>0</v>
      </c>
      <c r="BJ664" s="1">
        <f t="shared" si="172"/>
        <v>0</v>
      </c>
      <c r="BK664" s="1">
        <f t="shared" si="173"/>
        <v>0</v>
      </c>
      <c r="BL664" s="1">
        <f t="shared" si="174"/>
        <v>0</v>
      </c>
      <c r="BM664" s="10" t="str">
        <f t="shared" si="175"/>
        <v/>
      </c>
      <c r="BN664" s="39">
        <f t="shared" si="176"/>
        <v>0</v>
      </c>
      <c r="BO664" s="39">
        <f t="shared" si="177"/>
        <v>0</v>
      </c>
      <c r="BP664" s="1">
        <f t="shared" si="178"/>
        <v>0</v>
      </c>
      <c r="BQ664" s="1">
        <f t="shared" si="179"/>
        <v>0</v>
      </c>
      <c r="BR664" s="1" t="str">
        <f t="shared" si="180"/>
        <v/>
      </c>
      <c r="BS664" s="1">
        <f t="shared" si="181"/>
        <v>0</v>
      </c>
      <c r="BT664" s="4">
        <f t="shared" si="182"/>
        <v>0</v>
      </c>
      <c r="BU664" s="39">
        <f t="shared" si="183"/>
        <v>0</v>
      </c>
      <c r="BV664" s="1">
        <f t="shared" si="184"/>
        <v>0</v>
      </c>
      <c r="BW664">
        <f t="shared" si="185"/>
        <v>0</v>
      </c>
      <c r="BX664">
        <f t="shared" si="186"/>
        <v>0</v>
      </c>
    </row>
    <row r="665" spans="58:76" x14ac:dyDescent="0.25">
      <c r="BF665" s="1" t="e">
        <f>VLOOKUP(N665,'Incoming Material Report'!H:M,6,FALSE)</f>
        <v>#N/A</v>
      </c>
      <c r="BG665" s="1" t="e">
        <f>IF(VLOOKUP(N665,'Incoming Material Report'!H:N,7,FALSE)=0,"",VLOOKUP(N665,'Incoming Material Report'!H:N,7,FALSE))</f>
        <v>#N/A</v>
      </c>
      <c r="BH665" s="39">
        <f t="shared" si="170"/>
        <v>0</v>
      </c>
      <c r="BI665" s="1">
        <f t="shared" si="171"/>
        <v>0</v>
      </c>
      <c r="BJ665" s="1">
        <f t="shared" si="172"/>
        <v>0</v>
      </c>
      <c r="BK665" s="1">
        <f t="shared" si="173"/>
        <v>0</v>
      </c>
      <c r="BL665" s="1">
        <f t="shared" si="174"/>
        <v>0</v>
      </c>
      <c r="BM665" s="10" t="str">
        <f t="shared" si="175"/>
        <v/>
      </c>
      <c r="BN665" s="39">
        <f t="shared" si="176"/>
        <v>0</v>
      </c>
      <c r="BO665" s="39">
        <f t="shared" si="177"/>
        <v>0</v>
      </c>
      <c r="BP665" s="1">
        <f t="shared" si="178"/>
        <v>0</v>
      </c>
      <c r="BQ665" s="1">
        <f t="shared" si="179"/>
        <v>0</v>
      </c>
      <c r="BR665" s="1" t="str">
        <f t="shared" si="180"/>
        <v/>
      </c>
      <c r="BS665" s="1">
        <f t="shared" si="181"/>
        <v>0</v>
      </c>
      <c r="BT665" s="4">
        <f t="shared" si="182"/>
        <v>0</v>
      </c>
      <c r="BU665" s="39">
        <f t="shared" si="183"/>
        <v>0</v>
      </c>
      <c r="BV665" s="1">
        <f t="shared" si="184"/>
        <v>0</v>
      </c>
      <c r="BW665">
        <f t="shared" si="185"/>
        <v>0</v>
      </c>
      <c r="BX665">
        <f t="shared" si="186"/>
        <v>0</v>
      </c>
    </row>
    <row r="666" spans="58:76" x14ac:dyDescent="0.25">
      <c r="BF666" s="1" t="e">
        <f>VLOOKUP(N666,'Incoming Material Report'!H:M,6,FALSE)</f>
        <v>#N/A</v>
      </c>
      <c r="BG666" s="1" t="e">
        <f>IF(VLOOKUP(N666,'Incoming Material Report'!H:N,7,FALSE)=0,"",VLOOKUP(N666,'Incoming Material Report'!H:N,7,FALSE))</f>
        <v>#N/A</v>
      </c>
      <c r="BH666" s="39">
        <f t="shared" si="170"/>
        <v>0</v>
      </c>
      <c r="BI666" s="1">
        <f t="shared" si="171"/>
        <v>0</v>
      </c>
      <c r="BJ666" s="1">
        <f t="shared" si="172"/>
        <v>0</v>
      </c>
      <c r="BK666" s="1">
        <f t="shared" si="173"/>
        <v>0</v>
      </c>
      <c r="BL666" s="1">
        <f t="shared" si="174"/>
        <v>0</v>
      </c>
      <c r="BM666" s="10" t="str">
        <f t="shared" si="175"/>
        <v/>
      </c>
      <c r="BN666" s="39">
        <f t="shared" si="176"/>
        <v>0</v>
      </c>
      <c r="BO666" s="39">
        <f t="shared" si="177"/>
        <v>0</v>
      </c>
      <c r="BP666" s="1">
        <f t="shared" si="178"/>
        <v>0</v>
      </c>
      <c r="BQ666" s="1">
        <f t="shared" si="179"/>
        <v>0</v>
      </c>
      <c r="BR666" s="1" t="str">
        <f t="shared" si="180"/>
        <v/>
      </c>
      <c r="BS666" s="1">
        <f t="shared" si="181"/>
        <v>0</v>
      </c>
      <c r="BT666" s="4">
        <f t="shared" si="182"/>
        <v>0</v>
      </c>
      <c r="BU666" s="39">
        <f t="shared" si="183"/>
        <v>0</v>
      </c>
      <c r="BV666" s="1">
        <f t="shared" si="184"/>
        <v>0</v>
      </c>
      <c r="BW666">
        <f t="shared" si="185"/>
        <v>0</v>
      </c>
      <c r="BX666">
        <f t="shared" si="186"/>
        <v>0</v>
      </c>
    </row>
    <row r="667" spans="58:76" x14ac:dyDescent="0.25">
      <c r="BF667" s="1" t="e">
        <f>VLOOKUP(N667,'Incoming Material Report'!H:M,6,FALSE)</f>
        <v>#N/A</v>
      </c>
      <c r="BG667" s="1" t="e">
        <f>IF(VLOOKUP(N667,'Incoming Material Report'!H:N,7,FALSE)=0,"",VLOOKUP(N667,'Incoming Material Report'!H:N,7,FALSE))</f>
        <v>#N/A</v>
      </c>
      <c r="BH667" s="39">
        <f t="shared" si="170"/>
        <v>0</v>
      </c>
      <c r="BI667" s="1">
        <f t="shared" si="171"/>
        <v>0</v>
      </c>
      <c r="BJ667" s="1">
        <f t="shared" si="172"/>
        <v>0</v>
      </c>
      <c r="BK667" s="1">
        <f t="shared" si="173"/>
        <v>0</v>
      </c>
      <c r="BL667" s="1">
        <f t="shared" si="174"/>
        <v>0</v>
      </c>
      <c r="BM667" s="10" t="str">
        <f t="shared" si="175"/>
        <v/>
      </c>
      <c r="BN667" s="39">
        <f t="shared" si="176"/>
        <v>0</v>
      </c>
      <c r="BO667" s="39">
        <f t="shared" si="177"/>
        <v>0</v>
      </c>
      <c r="BP667" s="1">
        <f t="shared" si="178"/>
        <v>0</v>
      </c>
      <c r="BQ667" s="1">
        <f t="shared" si="179"/>
        <v>0</v>
      </c>
      <c r="BR667" s="1" t="str">
        <f t="shared" si="180"/>
        <v/>
      </c>
      <c r="BS667" s="1">
        <f t="shared" si="181"/>
        <v>0</v>
      </c>
      <c r="BT667" s="4">
        <f t="shared" si="182"/>
        <v>0</v>
      </c>
      <c r="BU667" s="39">
        <f t="shared" si="183"/>
        <v>0</v>
      </c>
      <c r="BV667" s="1">
        <f t="shared" si="184"/>
        <v>0</v>
      </c>
      <c r="BW667">
        <f t="shared" si="185"/>
        <v>0</v>
      </c>
      <c r="BX667">
        <f t="shared" si="186"/>
        <v>0</v>
      </c>
    </row>
    <row r="668" spans="58:76" x14ac:dyDescent="0.25">
      <c r="BF668" s="1" t="e">
        <f>VLOOKUP(N668,'Incoming Material Report'!H:M,6,FALSE)</f>
        <v>#N/A</v>
      </c>
      <c r="BG668" s="1" t="e">
        <f>IF(VLOOKUP(N668,'Incoming Material Report'!H:N,7,FALSE)=0,"",VLOOKUP(N668,'Incoming Material Report'!H:N,7,FALSE))</f>
        <v>#N/A</v>
      </c>
      <c r="BH668" s="39">
        <f t="shared" si="170"/>
        <v>0</v>
      </c>
      <c r="BI668" s="1">
        <f t="shared" si="171"/>
        <v>0</v>
      </c>
      <c r="BJ668" s="1">
        <f t="shared" si="172"/>
        <v>0</v>
      </c>
      <c r="BK668" s="1">
        <f t="shared" si="173"/>
        <v>0</v>
      </c>
      <c r="BL668" s="1">
        <f t="shared" si="174"/>
        <v>0</v>
      </c>
      <c r="BM668" s="10" t="str">
        <f t="shared" si="175"/>
        <v/>
      </c>
      <c r="BN668" s="39">
        <f t="shared" si="176"/>
        <v>0</v>
      </c>
      <c r="BO668" s="39">
        <f t="shared" si="177"/>
        <v>0</v>
      </c>
      <c r="BP668" s="1">
        <f t="shared" si="178"/>
        <v>0</v>
      </c>
      <c r="BQ668" s="1">
        <f t="shared" si="179"/>
        <v>0</v>
      </c>
      <c r="BR668" s="1" t="str">
        <f t="shared" si="180"/>
        <v/>
      </c>
      <c r="BS668" s="1">
        <f t="shared" si="181"/>
        <v>0</v>
      </c>
      <c r="BT668" s="4">
        <f t="shared" si="182"/>
        <v>0</v>
      </c>
      <c r="BU668" s="39">
        <f t="shared" si="183"/>
        <v>0</v>
      </c>
      <c r="BV668" s="1">
        <f t="shared" si="184"/>
        <v>0</v>
      </c>
      <c r="BW668">
        <f t="shared" si="185"/>
        <v>0</v>
      </c>
      <c r="BX668">
        <f t="shared" si="186"/>
        <v>0</v>
      </c>
    </row>
    <row r="669" spans="58:76" x14ac:dyDescent="0.25">
      <c r="BF669" s="1" t="e">
        <f>VLOOKUP(N669,'Incoming Material Report'!H:M,6,FALSE)</f>
        <v>#N/A</v>
      </c>
      <c r="BG669" s="1" t="e">
        <f>IF(VLOOKUP(N669,'Incoming Material Report'!H:N,7,FALSE)=0,"",VLOOKUP(N669,'Incoming Material Report'!H:N,7,FALSE))</f>
        <v>#N/A</v>
      </c>
      <c r="BH669" s="39">
        <f t="shared" si="170"/>
        <v>0</v>
      </c>
      <c r="BI669" s="1">
        <f t="shared" si="171"/>
        <v>0</v>
      </c>
      <c r="BJ669" s="1">
        <f t="shared" si="172"/>
        <v>0</v>
      </c>
      <c r="BK669" s="1">
        <f t="shared" si="173"/>
        <v>0</v>
      </c>
      <c r="BL669" s="1">
        <f t="shared" si="174"/>
        <v>0</v>
      </c>
      <c r="BM669" s="10" t="str">
        <f t="shared" si="175"/>
        <v/>
      </c>
      <c r="BN669" s="39">
        <f t="shared" si="176"/>
        <v>0</v>
      </c>
      <c r="BO669" s="39">
        <f t="shared" si="177"/>
        <v>0</v>
      </c>
      <c r="BP669" s="1">
        <f t="shared" si="178"/>
        <v>0</v>
      </c>
      <c r="BQ669" s="1">
        <f t="shared" si="179"/>
        <v>0</v>
      </c>
      <c r="BR669" s="1" t="str">
        <f t="shared" si="180"/>
        <v/>
      </c>
      <c r="BS669" s="1">
        <f t="shared" si="181"/>
        <v>0</v>
      </c>
      <c r="BT669" s="4">
        <f t="shared" si="182"/>
        <v>0</v>
      </c>
      <c r="BU669" s="39">
        <f t="shared" si="183"/>
        <v>0</v>
      </c>
      <c r="BV669" s="1">
        <f t="shared" si="184"/>
        <v>0</v>
      </c>
      <c r="BW669">
        <f t="shared" si="185"/>
        <v>0</v>
      </c>
      <c r="BX669">
        <f t="shared" si="186"/>
        <v>0</v>
      </c>
    </row>
    <row r="670" spans="58:76" x14ac:dyDescent="0.25">
      <c r="BF670" s="1" t="e">
        <f>VLOOKUP(N670,'Incoming Material Report'!H:M,6,FALSE)</f>
        <v>#N/A</v>
      </c>
      <c r="BG670" s="1" t="e">
        <f>IF(VLOOKUP(N670,'Incoming Material Report'!H:N,7,FALSE)=0,"",VLOOKUP(N670,'Incoming Material Report'!H:N,7,FALSE))</f>
        <v>#N/A</v>
      </c>
      <c r="BH670" s="39">
        <f t="shared" si="170"/>
        <v>0</v>
      </c>
      <c r="BI670" s="1">
        <f t="shared" si="171"/>
        <v>0</v>
      </c>
      <c r="BJ670" s="1">
        <f t="shared" si="172"/>
        <v>0</v>
      </c>
      <c r="BK670" s="1">
        <f t="shared" si="173"/>
        <v>0</v>
      </c>
      <c r="BL670" s="1">
        <f t="shared" si="174"/>
        <v>0</v>
      </c>
      <c r="BM670" s="10" t="str">
        <f t="shared" si="175"/>
        <v/>
      </c>
      <c r="BN670" s="39">
        <f t="shared" si="176"/>
        <v>0</v>
      </c>
      <c r="BO670" s="39">
        <f t="shared" si="177"/>
        <v>0</v>
      </c>
      <c r="BP670" s="1">
        <f t="shared" si="178"/>
        <v>0</v>
      </c>
      <c r="BQ670" s="1">
        <f t="shared" si="179"/>
        <v>0</v>
      </c>
      <c r="BR670" s="1" t="str">
        <f t="shared" si="180"/>
        <v/>
      </c>
      <c r="BS670" s="1">
        <f t="shared" si="181"/>
        <v>0</v>
      </c>
      <c r="BT670" s="4">
        <f t="shared" si="182"/>
        <v>0</v>
      </c>
      <c r="BU670" s="39">
        <f t="shared" si="183"/>
        <v>0</v>
      </c>
      <c r="BV670" s="1">
        <f t="shared" si="184"/>
        <v>0</v>
      </c>
      <c r="BW670">
        <f t="shared" si="185"/>
        <v>0</v>
      </c>
      <c r="BX670">
        <f t="shared" si="186"/>
        <v>0</v>
      </c>
    </row>
    <row r="671" spans="58:76" x14ac:dyDescent="0.25">
      <c r="BF671" s="1" t="e">
        <f>VLOOKUP(N671,'Incoming Material Report'!H:M,6,FALSE)</f>
        <v>#N/A</v>
      </c>
      <c r="BG671" s="1" t="e">
        <f>IF(VLOOKUP(N671,'Incoming Material Report'!H:N,7,FALSE)=0,"",VLOOKUP(N671,'Incoming Material Report'!H:N,7,FALSE))</f>
        <v>#N/A</v>
      </c>
      <c r="BH671" s="39">
        <f t="shared" si="170"/>
        <v>0</v>
      </c>
      <c r="BI671" s="1">
        <f t="shared" si="171"/>
        <v>0</v>
      </c>
      <c r="BJ671" s="1">
        <f t="shared" si="172"/>
        <v>0</v>
      </c>
      <c r="BK671" s="1">
        <f t="shared" si="173"/>
        <v>0</v>
      </c>
      <c r="BL671" s="1">
        <f t="shared" si="174"/>
        <v>0</v>
      </c>
      <c r="BM671" s="10" t="str">
        <f t="shared" si="175"/>
        <v/>
      </c>
      <c r="BN671" s="39">
        <f t="shared" si="176"/>
        <v>0</v>
      </c>
      <c r="BO671" s="39">
        <f t="shared" si="177"/>
        <v>0</v>
      </c>
      <c r="BP671" s="1">
        <f t="shared" si="178"/>
        <v>0</v>
      </c>
      <c r="BQ671" s="1">
        <f t="shared" si="179"/>
        <v>0</v>
      </c>
      <c r="BR671" s="1" t="str">
        <f t="shared" si="180"/>
        <v/>
      </c>
      <c r="BS671" s="1">
        <f t="shared" si="181"/>
        <v>0</v>
      </c>
      <c r="BT671" s="4">
        <f t="shared" si="182"/>
        <v>0</v>
      </c>
      <c r="BU671" s="39">
        <f t="shared" si="183"/>
        <v>0</v>
      </c>
      <c r="BV671" s="1">
        <f t="shared" si="184"/>
        <v>0</v>
      </c>
      <c r="BW671">
        <f t="shared" si="185"/>
        <v>0</v>
      </c>
      <c r="BX671">
        <f t="shared" si="186"/>
        <v>0</v>
      </c>
    </row>
    <row r="672" spans="58:76" x14ac:dyDescent="0.25">
      <c r="BF672" s="1" t="e">
        <f>VLOOKUP(N672,'Incoming Material Report'!H:M,6,FALSE)</f>
        <v>#N/A</v>
      </c>
      <c r="BG672" s="1" t="e">
        <f>IF(VLOOKUP(N672,'Incoming Material Report'!H:N,7,FALSE)=0,"",VLOOKUP(N672,'Incoming Material Report'!H:N,7,FALSE))</f>
        <v>#N/A</v>
      </c>
      <c r="BH672" s="39">
        <f t="shared" si="170"/>
        <v>0</v>
      </c>
      <c r="BI672" s="1">
        <f t="shared" si="171"/>
        <v>0</v>
      </c>
      <c r="BJ672" s="1">
        <f t="shared" si="172"/>
        <v>0</v>
      </c>
      <c r="BK672" s="1">
        <f t="shared" si="173"/>
        <v>0</v>
      </c>
      <c r="BL672" s="1">
        <f t="shared" si="174"/>
        <v>0</v>
      </c>
      <c r="BM672" s="10" t="str">
        <f t="shared" si="175"/>
        <v/>
      </c>
      <c r="BN672" s="39">
        <f t="shared" si="176"/>
        <v>0</v>
      </c>
      <c r="BO672" s="39">
        <f t="shared" si="177"/>
        <v>0</v>
      </c>
      <c r="BP672" s="1">
        <f t="shared" si="178"/>
        <v>0</v>
      </c>
      <c r="BQ672" s="1">
        <f t="shared" si="179"/>
        <v>0</v>
      </c>
      <c r="BR672" s="1" t="str">
        <f t="shared" si="180"/>
        <v/>
      </c>
      <c r="BS672" s="1">
        <f t="shared" si="181"/>
        <v>0</v>
      </c>
      <c r="BT672" s="4">
        <f t="shared" si="182"/>
        <v>0</v>
      </c>
      <c r="BU672" s="39">
        <f t="shared" si="183"/>
        <v>0</v>
      </c>
      <c r="BV672" s="1">
        <f t="shared" si="184"/>
        <v>0</v>
      </c>
      <c r="BW672">
        <f t="shared" si="185"/>
        <v>0</v>
      </c>
      <c r="BX672">
        <f t="shared" si="186"/>
        <v>0</v>
      </c>
    </row>
    <row r="673" spans="58:76" x14ac:dyDescent="0.25">
      <c r="BF673" s="1" t="e">
        <f>VLOOKUP(N673,'Incoming Material Report'!H:M,6,FALSE)</f>
        <v>#N/A</v>
      </c>
      <c r="BG673" s="1" t="e">
        <f>IF(VLOOKUP(N673,'Incoming Material Report'!H:N,7,FALSE)=0,"",VLOOKUP(N673,'Incoming Material Report'!H:N,7,FALSE))</f>
        <v>#N/A</v>
      </c>
      <c r="BH673" s="39">
        <f t="shared" si="170"/>
        <v>0</v>
      </c>
      <c r="BI673" s="1">
        <f t="shared" si="171"/>
        <v>0</v>
      </c>
      <c r="BJ673" s="1">
        <f t="shared" si="172"/>
        <v>0</v>
      </c>
      <c r="BK673" s="1">
        <f t="shared" si="173"/>
        <v>0</v>
      </c>
      <c r="BL673" s="1">
        <f t="shared" si="174"/>
        <v>0</v>
      </c>
      <c r="BM673" s="10" t="str">
        <f t="shared" si="175"/>
        <v/>
      </c>
      <c r="BN673" s="39">
        <f t="shared" si="176"/>
        <v>0</v>
      </c>
      <c r="BO673" s="39">
        <f t="shared" si="177"/>
        <v>0</v>
      </c>
      <c r="BP673" s="1">
        <f t="shared" si="178"/>
        <v>0</v>
      </c>
      <c r="BQ673" s="1">
        <f t="shared" si="179"/>
        <v>0</v>
      </c>
      <c r="BR673" s="1" t="str">
        <f t="shared" si="180"/>
        <v/>
      </c>
      <c r="BS673" s="1">
        <f t="shared" si="181"/>
        <v>0</v>
      </c>
      <c r="BT673" s="4">
        <f t="shared" si="182"/>
        <v>0</v>
      </c>
      <c r="BU673" s="39">
        <f t="shared" si="183"/>
        <v>0</v>
      </c>
      <c r="BV673" s="1">
        <f t="shared" si="184"/>
        <v>0</v>
      </c>
      <c r="BW673">
        <f t="shared" si="185"/>
        <v>0</v>
      </c>
      <c r="BX673">
        <f t="shared" si="186"/>
        <v>0</v>
      </c>
    </row>
    <row r="674" spans="58:76" x14ac:dyDescent="0.25">
      <c r="BF674" s="1" t="e">
        <f>VLOOKUP(N674,'Incoming Material Report'!H:M,6,FALSE)</f>
        <v>#N/A</v>
      </c>
      <c r="BG674" s="1" t="e">
        <f>IF(VLOOKUP(N674,'Incoming Material Report'!H:N,7,FALSE)=0,"",VLOOKUP(N674,'Incoming Material Report'!H:N,7,FALSE))</f>
        <v>#N/A</v>
      </c>
      <c r="BH674" s="39">
        <f t="shared" si="170"/>
        <v>0</v>
      </c>
      <c r="BI674" s="1">
        <f t="shared" si="171"/>
        <v>0</v>
      </c>
      <c r="BJ674" s="1">
        <f t="shared" si="172"/>
        <v>0</v>
      </c>
      <c r="BK674" s="1">
        <f t="shared" si="173"/>
        <v>0</v>
      </c>
      <c r="BL674" s="1">
        <f t="shared" si="174"/>
        <v>0</v>
      </c>
      <c r="BM674" s="10" t="str">
        <f t="shared" si="175"/>
        <v/>
      </c>
      <c r="BN674" s="39">
        <f t="shared" si="176"/>
        <v>0</v>
      </c>
      <c r="BO674" s="39">
        <f t="shared" si="177"/>
        <v>0</v>
      </c>
      <c r="BP674" s="1">
        <f t="shared" si="178"/>
        <v>0</v>
      </c>
      <c r="BQ674" s="1">
        <f t="shared" si="179"/>
        <v>0</v>
      </c>
      <c r="BR674" s="1" t="str">
        <f t="shared" si="180"/>
        <v/>
      </c>
      <c r="BS674" s="1">
        <f t="shared" si="181"/>
        <v>0</v>
      </c>
      <c r="BT674" s="4">
        <f t="shared" si="182"/>
        <v>0</v>
      </c>
      <c r="BU674" s="39">
        <f t="shared" si="183"/>
        <v>0</v>
      </c>
      <c r="BV674" s="1">
        <f t="shared" si="184"/>
        <v>0</v>
      </c>
      <c r="BW674">
        <f t="shared" si="185"/>
        <v>0</v>
      </c>
      <c r="BX674">
        <f t="shared" si="186"/>
        <v>0</v>
      </c>
    </row>
    <row r="675" spans="58:76" x14ac:dyDescent="0.25">
      <c r="BF675" s="1" t="e">
        <f>VLOOKUP(N675,'Incoming Material Report'!H:M,6,FALSE)</f>
        <v>#N/A</v>
      </c>
      <c r="BG675" s="1" t="e">
        <f>IF(VLOOKUP(N675,'Incoming Material Report'!H:N,7,FALSE)=0,"",VLOOKUP(N675,'Incoming Material Report'!H:N,7,FALSE))</f>
        <v>#N/A</v>
      </c>
      <c r="BH675" s="39">
        <f t="shared" si="170"/>
        <v>0</v>
      </c>
      <c r="BI675" s="1">
        <f t="shared" si="171"/>
        <v>0</v>
      </c>
      <c r="BJ675" s="1">
        <f t="shared" si="172"/>
        <v>0</v>
      </c>
      <c r="BK675" s="1">
        <f t="shared" si="173"/>
        <v>0</v>
      </c>
      <c r="BL675" s="1">
        <f t="shared" si="174"/>
        <v>0</v>
      </c>
      <c r="BM675" s="10" t="str">
        <f t="shared" si="175"/>
        <v/>
      </c>
      <c r="BN675" s="39">
        <f t="shared" si="176"/>
        <v>0</v>
      </c>
      <c r="BO675" s="39">
        <f t="shared" si="177"/>
        <v>0</v>
      </c>
      <c r="BP675" s="1">
        <f t="shared" si="178"/>
        <v>0</v>
      </c>
      <c r="BQ675" s="1">
        <f t="shared" si="179"/>
        <v>0</v>
      </c>
      <c r="BR675" s="1" t="str">
        <f t="shared" si="180"/>
        <v/>
      </c>
      <c r="BS675" s="1">
        <f t="shared" si="181"/>
        <v>0</v>
      </c>
      <c r="BT675" s="4">
        <f t="shared" si="182"/>
        <v>0</v>
      </c>
      <c r="BU675" s="39">
        <f t="shared" si="183"/>
        <v>0</v>
      </c>
      <c r="BV675" s="1">
        <f t="shared" si="184"/>
        <v>0</v>
      </c>
      <c r="BW675">
        <f t="shared" si="185"/>
        <v>0</v>
      </c>
      <c r="BX675">
        <f t="shared" si="186"/>
        <v>0</v>
      </c>
    </row>
    <row r="676" spans="58:76" x14ac:dyDescent="0.25">
      <c r="BF676" s="1" t="e">
        <f>VLOOKUP(N676,'Incoming Material Report'!H:M,6,FALSE)</f>
        <v>#N/A</v>
      </c>
      <c r="BG676" s="1" t="e">
        <f>IF(VLOOKUP(N676,'Incoming Material Report'!H:N,7,FALSE)=0,"",VLOOKUP(N676,'Incoming Material Report'!H:N,7,FALSE))</f>
        <v>#N/A</v>
      </c>
      <c r="BH676" s="39">
        <f t="shared" si="170"/>
        <v>0</v>
      </c>
      <c r="BI676" s="1">
        <f t="shared" si="171"/>
        <v>0</v>
      </c>
      <c r="BJ676" s="1">
        <f t="shared" si="172"/>
        <v>0</v>
      </c>
      <c r="BK676" s="1">
        <f t="shared" si="173"/>
        <v>0</v>
      </c>
      <c r="BL676" s="1">
        <f t="shared" si="174"/>
        <v>0</v>
      </c>
      <c r="BM676" s="10" t="str">
        <f t="shared" si="175"/>
        <v/>
      </c>
      <c r="BN676" s="39">
        <f t="shared" si="176"/>
        <v>0</v>
      </c>
      <c r="BO676" s="39">
        <f t="shared" si="177"/>
        <v>0</v>
      </c>
      <c r="BP676" s="1">
        <f t="shared" si="178"/>
        <v>0</v>
      </c>
      <c r="BQ676" s="1">
        <f t="shared" si="179"/>
        <v>0</v>
      </c>
      <c r="BR676" s="1" t="str">
        <f t="shared" si="180"/>
        <v/>
      </c>
      <c r="BS676" s="1">
        <f t="shared" si="181"/>
        <v>0</v>
      </c>
      <c r="BT676" s="4">
        <f t="shared" si="182"/>
        <v>0</v>
      </c>
      <c r="BU676" s="39">
        <f t="shared" si="183"/>
        <v>0</v>
      </c>
      <c r="BV676" s="1">
        <f t="shared" si="184"/>
        <v>0</v>
      </c>
      <c r="BW676">
        <f t="shared" si="185"/>
        <v>0</v>
      </c>
      <c r="BX676">
        <f t="shared" si="186"/>
        <v>0</v>
      </c>
    </row>
    <row r="677" spans="58:76" x14ac:dyDescent="0.25">
      <c r="BF677" s="1" t="e">
        <f>VLOOKUP(N677,'Incoming Material Report'!H:M,6,FALSE)</f>
        <v>#N/A</v>
      </c>
      <c r="BG677" s="1" t="e">
        <f>IF(VLOOKUP(N677,'Incoming Material Report'!H:N,7,FALSE)=0,"",VLOOKUP(N677,'Incoming Material Report'!H:N,7,FALSE))</f>
        <v>#N/A</v>
      </c>
      <c r="BH677" s="39">
        <f t="shared" si="170"/>
        <v>0</v>
      </c>
      <c r="BI677" s="1">
        <f t="shared" si="171"/>
        <v>0</v>
      </c>
      <c r="BJ677" s="1">
        <f t="shared" si="172"/>
        <v>0</v>
      </c>
      <c r="BK677" s="1">
        <f t="shared" si="173"/>
        <v>0</v>
      </c>
      <c r="BL677" s="1">
        <f t="shared" si="174"/>
        <v>0</v>
      </c>
      <c r="BM677" s="10" t="str">
        <f t="shared" si="175"/>
        <v/>
      </c>
      <c r="BN677" s="39">
        <f t="shared" si="176"/>
        <v>0</v>
      </c>
      <c r="BO677" s="39">
        <f t="shared" si="177"/>
        <v>0</v>
      </c>
      <c r="BP677" s="1">
        <f t="shared" si="178"/>
        <v>0</v>
      </c>
      <c r="BQ677" s="1">
        <f t="shared" si="179"/>
        <v>0</v>
      </c>
      <c r="BR677" s="1" t="str">
        <f t="shared" si="180"/>
        <v/>
      </c>
      <c r="BS677" s="1">
        <f t="shared" si="181"/>
        <v>0</v>
      </c>
      <c r="BT677" s="4">
        <f t="shared" si="182"/>
        <v>0</v>
      </c>
      <c r="BU677" s="39">
        <f t="shared" si="183"/>
        <v>0</v>
      </c>
      <c r="BV677" s="1">
        <f t="shared" si="184"/>
        <v>0</v>
      </c>
      <c r="BW677">
        <f t="shared" si="185"/>
        <v>0</v>
      </c>
      <c r="BX677">
        <f t="shared" si="186"/>
        <v>0</v>
      </c>
    </row>
    <row r="678" spans="58:76" x14ac:dyDescent="0.25">
      <c r="BF678" s="1" t="e">
        <f>VLOOKUP(N678,'Incoming Material Report'!H:M,6,FALSE)</f>
        <v>#N/A</v>
      </c>
      <c r="BG678" s="1" t="e">
        <f>IF(VLOOKUP(N678,'Incoming Material Report'!H:N,7,FALSE)=0,"",VLOOKUP(N678,'Incoming Material Report'!H:N,7,FALSE))</f>
        <v>#N/A</v>
      </c>
      <c r="BH678" s="39">
        <f t="shared" si="170"/>
        <v>0</v>
      </c>
      <c r="BI678" s="1">
        <f t="shared" si="171"/>
        <v>0</v>
      </c>
      <c r="BJ678" s="1">
        <f t="shared" si="172"/>
        <v>0</v>
      </c>
      <c r="BK678" s="1">
        <f t="shared" si="173"/>
        <v>0</v>
      </c>
      <c r="BL678" s="1">
        <f t="shared" si="174"/>
        <v>0</v>
      </c>
      <c r="BM678" s="10" t="str">
        <f t="shared" si="175"/>
        <v/>
      </c>
      <c r="BN678" s="39">
        <f t="shared" si="176"/>
        <v>0</v>
      </c>
      <c r="BO678" s="39">
        <f t="shared" si="177"/>
        <v>0</v>
      </c>
      <c r="BP678" s="1">
        <f t="shared" si="178"/>
        <v>0</v>
      </c>
      <c r="BQ678" s="1">
        <f t="shared" si="179"/>
        <v>0</v>
      </c>
      <c r="BR678" s="1" t="str">
        <f t="shared" si="180"/>
        <v/>
      </c>
      <c r="BS678" s="1">
        <f t="shared" si="181"/>
        <v>0</v>
      </c>
      <c r="BT678" s="4">
        <f t="shared" si="182"/>
        <v>0</v>
      </c>
      <c r="BU678" s="39">
        <f t="shared" si="183"/>
        <v>0</v>
      </c>
      <c r="BV678" s="1">
        <f t="shared" si="184"/>
        <v>0</v>
      </c>
      <c r="BW678">
        <f t="shared" si="185"/>
        <v>0</v>
      </c>
      <c r="BX678">
        <f t="shared" si="186"/>
        <v>0</v>
      </c>
    </row>
    <row r="679" spans="58:76" x14ac:dyDescent="0.25">
      <c r="BF679" s="1" t="e">
        <f>VLOOKUP(N679,'Incoming Material Report'!H:M,6,FALSE)</f>
        <v>#N/A</v>
      </c>
      <c r="BG679" s="1" t="e">
        <f>IF(VLOOKUP(N679,'Incoming Material Report'!H:N,7,FALSE)=0,"",VLOOKUP(N679,'Incoming Material Report'!H:N,7,FALSE))</f>
        <v>#N/A</v>
      </c>
      <c r="BH679" s="39">
        <f t="shared" si="170"/>
        <v>0</v>
      </c>
      <c r="BI679" s="1">
        <f t="shared" si="171"/>
        <v>0</v>
      </c>
      <c r="BJ679" s="1">
        <f t="shared" si="172"/>
        <v>0</v>
      </c>
      <c r="BK679" s="1">
        <f t="shared" si="173"/>
        <v>0</v>
      </c>
      <c r="BL679" s="1">
        <f t="shared" si="174"/>
        <v>0</v>
      </c>
      <c r="BM679" s="10" t="str">
        <f t="shared" si="175"/>
        <v/>
      </c>
      <c r="BN679" s="39">
        <f t="shared" si="176"/>
        <v>0</v>
      </c>
      <c r="BO679" s="39">
        <f t="shared" si="177"/>
        <v>0</v>
      </c>
      <c r="BP679" s="1">
        <f t="shared" si="178"/>
        <v>0</v>
      </c>
      <c r="BQ679" s="1">
        <f t="shared" si="179"/>
        <v>0</v>
      </c>
      <c r="BR679" s="1" t="str">
        <f t="shared" si="180"/>
        <v/>
      </c>
      <c r="BS679" s="1">
        <f t="shared" si="181"/>
        <v>0</v>
      </c>
      <c r="BT679" s="4">
        <f t="shared" si="182"/>
        <v>0</v>
      </c>
      <c r="BU679" s="39">
        <f t="shared" si="183"/>
        <v>0</v>
      </c>
      <c r="BV679" s="1">
        <f t="shared" si="184"/>
        <v>0</v>
      </c>
      <c r="BW679">
        <f t="shared" si="185"/>
        <v>0</v>
      </c>
      <c r="BX679">
        <f t="shared" si="186"/>
        <v>0</v>
      </c>
    </row>
    <row r="680" spans="58:76" x14ac:dyDescent="0.25">
      <c r="BF680" s="1" t="e">
        <f>VLOOKUP(N680,'Incoming Material Report'!H:M,6,FALSE)</f>
        <v>#N/A</v>
      </c>
      <c r="BG680" s="1" t="e">
        <f>IF(VLOOKUP(N680,'Incoming Material Report'!H:N,7,FALSE)=0,"",VLOOKUP(N680,'Incoming Material Report'!H:N,7,FALSE))</f>
        <v>#N/A</v>
      </c>
      <c r="BH680" s="39">
        <f t="shared" si="170"/>
        <v>0</v>
      </c>
      <c r="BI680" s="1">
        <f t="shared" si="171"/>
        <v>0</v>
      </c>
      <c r="BJ680" s="1">
        <f t="shared" si="172"/>
        <v>0</v>
      </c>
      <c r="BK680" s="1">
        <f t="shared" si="173"/>
        <v>0</v>
      </c>
      <c r="BL680" s="1">
        <f t="shared" si="174"/>
        <v>0</v>
      </c>
      <c r="BM680" s="10" t="str">
        <f t="shared" si="175"/>
        <v/>
      </c>
      <c r="BN680" s="39">
        <f t="shared" si="176"/>
        <v>0</v>
      </c>
      <c r="BO680" s="39">
        <f t="shared" si="177"/>
        <v>0</v>
      </c>
      <c r="BP680" s="1">
        <f t="shared" si="178"/>
        <v>0</v>
      </c>
      <c r="BQ680" s="1">
        <f t="shared" si="179"/>
        <v>0</v>
      </c>
      <c r="BR680" s="1" t="str">
        <f t="shared" si="180"/>
        <v/>
      </c>
      <c r="BS680" s="1">
        <f t="shared" si="181"/>
        <v>0</v>
      </c>
      <c r="BT680" s="4">
        <f t="shared" si="182"/>
        <v>0</v>
      </c>
      <c r="BU680" s="39">
        <f t="shared" si="183"/>
        <v>0</v>
      </c>
      <c r="BV680" s="1">
        <f t="shared" si="184"/>
        <v>0</v>
      </c>
      <c r="BW680">
        <f t="shared" si="185"/>
        <v>0</v>
      </c>
      <c r="BX680">
        <f t="shared" si="186"/>
        <v>0</v>
      </c>
    </row>
    <row r="681" spans="58:76" x14ac:dyDescent="0.25">
      <c r="BF681" s="1" t="e">
        <f>VLOOKUP(N681,'Incoming Material Report'!H:M,6,FALSE)</f>
        <v>#N/A</v>
      </c>
      <c r="BG681" s="1" t="e">
        <f>IF(VLOOKUP(N681,'Incoming Material Report'!H:N,7,FALSE)=0,"",VLOOKUP(N681,'Incoming Material Report'!H:N,7,FALSE))</f>
        <v>#N/A</v>
      </c>
      <c r="BH681" s="39">
        <f t="shared" si="170"/>
        <v>0</v>
      </c>
      <c r="BI681" s="1">
        <f t="shared" si="171"/>
        <v>0</v>
      </c>
      <c r="BJ681" s="1">
        <f t="shared" si="172"/>
        <v>0</v>
      </c>
      <c r="BK681" s="1">
        <f t="shared" si="173"/>
        <v>0</v>
      </c>
      <c r="BL681" s="1">
        <f t="shared" si="174"/>
        <v>0</v>
      </c>
      <c r="BM681" s="10" t="str">
        <f t="shared" si="175"/>
        <v/>
      </c>
      <c r="BN681" s="39">
        <f t="shared" si="176"/>
        <v>0</v>
      </c>
      <c r="BO681" s="39">
        <f t="shared" si="177"/>
        <v>0</v>
      </c>
      <c r="BP681" s="1">
        <f t="shared" si="178"/>
        <v>0</v>
      </c>
      <c r="BQ681" s="1">
        <f t="shared" si="179"/>
        <v>0</v>
      </c>
      <c r="BR681" s="1" t="str">
        <f t="shared" si="180"/>
        <v/>
      </c>
      <c r="BS681" s="1">
        <f t="shared" si="181"/>
        <v>0</v>
      </c>
      <c r="BT681" s="4">
        <f t="shared" si="182"/>
        <v>0</v>
      </c>
      <c r="BU681" s="39">
        <f t="shared" si="183"/>
        <v>0</v>
      </c>
      <c r="BV681" s="1">
        <f t="shared" si="184"/>
        <v>0</v>
      </c>
      <c r="BW681">
        <f t="shared" si="185"/>
        <v>0</v>
      </c>
      <c r="BX681">
        <f t="shared" si="186"/>
        <v>0</v>
      </c>
    </row>
    <row r="682" spans="58:76" x14ac:dyDescent="0.25">
      <c r="BF682" s="1" t="e">
        <f>VLOOKUP(N682,'Incoming Material Report'!H:M,6,FALSE)</f>
        <v>#N/A</v>
      </c>
      <c r="BG682" s="1" t="e">
        <f>IF(VLOOKUP(N682,'Incoming Material Report'!H:N,7,FALSE)=0,"",VLOOKUP(N682,'Incoming Material Report'!H:N,7,FALSE))</f>
        <v>#N/A</v>
      </c>
      <c r="BH682" s="39">
        <f t="shared" si="170"/>
        <v>0</v>
      </c>
      <c r="BI682" s="1">
        <f t="shared" si="171"/>
        <v>0</v>
      </c>
      <c r="BJ682" s="1">
        <f t="shared" si="172"/>
        <v>0</v>
      </c>
      <c r="BK682" s="1">
        <f t="shared" si="173"/>
        <v>0</v>
      </c>
      <c r="BL682" s="1">
        <f t="shared" si="174"/>
        <v>0</v>
      </c>
      <c r="BM682" s="10" t="str">
        <f t="shared" si="175"/>
        <v/>
      </c>
      <c r="BN682" s="39">
        <f t="shared" si="176"/>
        <v>0</v>
      </c>
      <c r="BO682" s="39">
        <f t="shared" si="177"/>
        <v>0</v>
      </c>
      <c r="BP682" s="1">
        <f t="shared" si="178"/>
        <v>0</v>
      </c>
      <c r="BQ682" s="1">
        <f t="shared" si="179"/>
        <v>0</v>
      </c>
      <c r="BR682" s="1" t="str">
        <f t="shared" si="180"/>
        <v/>
      </c>
      <c r="BS682" s="1">
        <f t="shared" si="181"/>
        <v>0</v>
      </c>
      <c r="BT682" s="4">
        <f t="shared" si="182"/>
        <v>0</v>
      </c>
      <c r="BU682" s="39">
        <f t="shared" si="183"/>
        <v>0</v>
      </c>
      <c r="BV682" s="1">
        <f t="shared" si="184"/>
        <v>0</v>
      </c>
      <c r="BW682">
        <f t="shared" si="185"/>
        <v>0</v>
      </c>
      <c r="BX682">
        <f t="shared" si="186"/>
        <v>0</v>
      </c>
    </row>
    <row r="683" spans="58:76" x14ac:dyDescent="0.25">
      <c r="BF683" s="1" t="e">
        <f>VLOOKUP(N683,'Incoming Material Report'!H:M,6,FALSE)</f>
        <v>#N/A</v>
      </c>
      <c r="BG683" s="1" t="e">
        <f>IF(VLOOKUP(N683,'Incoming Material Report'!H:N,7,FALSE)=0,"",VLOOKUP(N683,'Incoming Material Report'!H:N,7,FALSE))</f>
        <v>#N/A</v>
      </c>
      <c r="BH683" s="39">
        <f t="shared" si="170"/>
        <v>0</v>
      </c>
      <c r="BI683" s="1">
        <f t="shared" si="171"/>
        <v>0</v>
      </c>
      <c r="BJ683" s="1">
        <f t="shared" si="172"/>
        <v>0</v>
      </c>
      <c r="BK683" s="1">
        <f t="shared" si="173"/>
        <v>0</v>
      </c>
      <c r="BL683" s="1">
        <f t="shared" si="174"/>
        <v>0</v>
      </c>
      <c r="BM683" s="10" t="str">
        <f t="shared" si="175"/>
        <v/>
      </c>
      <c r="BN683" s="39">
        <f t="shared" si="176"/>
        <v>0</v>
      </c>
      <c r="BO683" s="39">
        <f t="shared" si="177"/>
        <v>0</v>
      </c>
      <c r="BP683" s="1">
        <f t="shared" si="178"/>
        <v>0</v>
      </c>
      <c r="BQ683" s="1">
        <f t="shared" si="179"/>
        <v>0</v>
      </c>
      <c r="BR683" s="1" t="str">
        <f t="shared" si="180"/>
        <v/>
      </c>
      <c r="BS683" s="1">
        <f t="shared" si="181"/>
        <v>0</v>
      </c>
      <c r="BT683" s="4">
        <f t="shared" si="182"/>
        <v>0</v>
      </c>
      <c r="BU683" s="39">
        <f t="shared" si="183"/>
        <v>0</v>
      </c>
      <c r="BV683" s="1">
        <f t="shared" si="184"/>
        <v>0</v>
      </c>
      <c r="BW683">
        <f t="shared" si="185"/>
        <v>0</v>
      </c>
      <c r="BX683">
        <f t="shared" si="186"/>
        <v>0</v>
      </c>
    </row>
    <row r="684" spans="58:76" x14ac:dyDescent="0.25">
      <c r="BF684" s="1" t="e">
        <f>VLOOKUP(N684,'Incoming Material Report'!H:M,6,FALSE)</f>
        <v>#N/A</v>
      </c>
      <c r="BG684" s="1" t="e">
        <f>IF(VLOOKUP(N684,'Incoming Material Report'!H:N,7,FALSE)=0,"",VLOOKUP(N684,'Incoming Material Report'!H:N,7,FALSE))</f>
        <v>#N/A</v>
      </c>
      <c r="BH684" s="39">
        <f t="shared" si="170"/>
        <v>0</v>
      </c>
      <c r="BI684" s="1">
        <f t="shared" si="171"/>
        <v>0</v>
      </c>
      <c r="BJ684" s="1">
        <f t="shared" si="172"/>
        <v>0</v>
      </c>
      <c r="BK684" s="1">
        <f t="shared" si="173"/>
        <v>0</v>
      </c>
      <c r="BL684" s="1">
        <f t="shared" si="174"/>
        <v>0</v>
      </c>
      <c r="BM684" s="10" t="str">
        <f t="shared" si="175"/>
        <v/>
      </c>
      <c r="BN684" s="39">
        <f t="shared" si="176"/>
        <v>0</v>
      </c>
      <c r="BO684" s="39">
        <f t="shared" si="177"/>
        <v>0</v>
      </c>
      <c r="BP684" s="1">
        <f t="shared" si="178"/>
        <v>0</v>
      </c>
      <c r="BQ684" s="1">
        <f t="shared" si="179"/>
        <v>0</v>
      </c>
      <c r="BR684" s="1" t="str">
        <f t="shared" si="180"/>
        <v/>
      </c>
      <c r="BS684" s="1">
        <f t="shared" si="181"/>
        <v>0</v>
      </c>
      <c r="BT684" s="4">
        <f t="shared" si="182"/>
        <v>0</v>
      </c>
      <c r="BU684" s="39">
        <f t="shared" si="183"/>
        <v>0</v>
      </c>
      <c r="BV684" s="1">
        <f t="shared" si="184"/>
        <v>0</v>
      </c>
      <c r="BW684">
        <f t="shared" si="185"/>
        <v>0</v>
      </c>
      <c r="BX684">
        <f t="shared" si="186"/>
        <v>0</v>
      </c>
    </row>
    <row r="685" spans="58:76" x14ac:dyDescent="0.25">
      <c r="BF685" s="1" t="e">
        <f>VLOOKUP(N685,'Incoming Material Report'!H:M,6,FALSE)</f>
        <v>#N/A</v>
      </c>
      <c r="BG685" s="1" t="e">
        <f>IF(VLOOKUP(N685,'Incoming Material Report'!H:N,7,FALSE)=0,"",VLOOKUP(N685,'Incoming Material Report'!H:N,7,FALSE))</f>
        <v>#N/A</v>
      </c>
      <c r="BH685" s="39">
        <f t="shared" si="170"/>
        <v>0</v>
      </c>
      <c r="BI685" s="1">
        <f t="shared" si="171"/>
        <v>0</v>
      </c>
      <c r="BJ685" s="1">
        <f t="shared" si="172"/>
        <v>0</v>
      </c>
      <c r="BK685" s="1">
        <f t="shared" si="173"/>
        <v>0</v>
      </c>
      <c r="BL685" s="1">
        <f t="shared" si="174"/>
        <v>0</v>
      </c>
      <c r="BM685" s="10" t="str">
        <f t="shared" si="175"/>
        <v/>
      </c>
      <c r="BN685" s="39">
        <f t="shared" si="176"/>
        <v>0</v>
      </c>
      <c r="BO685" s="39">
        <f t="shared" si="177"/>
        <v>0</v>
      </c>
      <c r="BP685" s="1">
        <f t="shared" si="178"/>
        <v>0</v>
      </c>
      <c r="BQ685" s="1">
        <f t="shared" si="179"/>
        <v>0</v>
      </c>
      <c r="BR685" s="1" t="str">
        <f t="shared" si="180"/>
        <v/>
      </c>
      <c r="BS685" s="1">
        <f t="shared" si="181"/>
        <v>0</v>
      </c>
      <c r="BT685" s="4">
        <f t="shared" si="182"/>
        <v>0</v>
      </c>
      <c r="BU685" s="39">
        <f t="shared" si="183"/>
        <v>0</v>
      </c>
      <c r="BV685" s="1">
        <f t="shared" si="184"/>
        <v>0</v>
      </c>
      <c r="BW685">
        <f t="shared" si="185"/>
        <v>0</v>
      </c>
      <c r="BX685">
        <f t="shared" si="186"/>
        <v>0</v>
      </c>
    </row>
    <row r="686" spans="58:76" x14ac:dyDescent="0.25">
      <c r="BF686" s="1" t="e">
        <f>VLOOKUP(N686,'Incoming Material Report'!H:M,6,FALSE)</f>
        <v>#N/A</v>
      </c>
      <c r="BG686" s="1" t="e">
        <f>IF(VLOOKUP(N686,'Incoming Material Report'!H:N,7,FALSE)=0,"",VLOOKUP(N686,'Incoming Material Report'!H:N,7,FALSE))</f>
        <v>#N/A</v>
      </c>
      <c r="BH686" s="39">
        <f t="shared" si="170"/>
        <v>0</v>
      </c>
      <c r="BI686" s="1">
        <f t="shared" si="171"/>
        <v>0</v>
      </c>
      <c r="BJ686" s="1">
        <f t="shared" si="172"/>
        <v>0</v>
      </c>
      <c r="BK686" s="1">
        <f t="shared" si="173"/>
        <v>0</v>
      </c>
      <c r="BL686" s="1">
        <f t="shared" si="174"/>
        <v>0</v>
      </c>
      <c r="BM686" s="10" t="str">
        <f t="shared" si="175"/>
        <v/>
      </c>
      <c r="BN686" s="39">
        <f t="shared" si="176"/>
        <v>0</v>
      </c>
      <c r="BO686" s="39">
        <f t="shared" si="177"/>
        <v>0</v>
      </c>
      <c r="BP686" s="1">
        <f t="shared" si="178"/>
        <v>0</v>
      </c>
      <c r="BQ686" s="1">
        <f t="shared" si="179"/>
        <v>0</v>
      </c>
      <c r="BR686" s="1" t="str">
        <f t="shared" si="180"/>
        <v/>
      </c>
      <c r="BS686" s="1">
        <f t="shared" si="181"/>
        <v>0</v>
      </c>
      <c r="BT686" s="4">
        <f t="shared" si="182"/>
        <v>0</v>
      </c>
      <c r="BU686" s="39">
        <f t="shared" si="183"/>
        <v>0</v>
      </c>
      <c r="BV686" s="1">
        <f t="shared" si="184"/>
        <v>0</v>
      </c>
      <c r="BW686">
        <f t="shared" si="185"/>
        <v>0</v>
      </c>
      <c r="BX686">
        <f t="shared" si="186"/>
        <v>0</v>
      </c>
    </row>
    <row r="687" spans="58:76" x14ac:dyDescent="0.25">
      <c r="BF687" s="1" t="e">
        <f>VLOOKUP(N687,'Incoming Material Report'!H:M,6,FALSE)</f>
        <v>#N/A</v>
      </c>
      <c r="BG687" s="1" t="e">
        <f>IF(VLOOKUP(N687,'Incoming Material Report'!H:N,7,FALSE)=0,"",VLOOKUP(N687,'Incoming Material Report'!H:N,7,FALSE))</f>
        <v>#N/A</v>
      </c>
      <c r="BH687" s="39">
        <f t="shared" si="170"/>
        <v>0</v>
      </c>
      <c r="BI687" s="1">
        <f t="shared" si="171"/>
        <v>0</v>
      </c>
      <c r="BJ687" s="1">
        <f t="shared" si="172"/>
        <v>0</v>
      </c>
      <c r="BK687" s="1">
        <f t="shared" si="173"/>
        <v>0</v>
      </c>
      <c r="BL687" s="1">
        <f t="shared" si="174"/>
        <v>0</v>
      </c>
      <c r="BM687" s="10" t="str">
        <f t="shared" si="175"/>
        <v/>
      </c>
      <c r="BN687" s="39">
        <f t="shared" si="176"/>
        <v>0</v>
      </c>
      <c r="BO687" s="39">
        <f t="shared" si="177"/>
        <v>0</v>
      </c>
      <c r="BP687" s="1">
        <f t="shared" si="178"/>
        <v>0</v>
      </c>
      <c r="BQ687" s="1">
        <f t="shared" si="179"/>
        <v>0</v>
      </c>
      <c r="BR687" s="1" t="str">
        <f t="shared" si="180"/>
        <v/>
      </c>
      <c r="BS687" s="1">
        <f t="shared" si="181"/>
        <v>0</v>
      </c>
      <c r="BT687" s="4">
        <f t="shared" si="182"/>
        <v>0</v>
      </c>
      <c r="BU687" s="39">
        <f t="shared" si="183"/>
        <v>0</v>
      </c>
      <c r="BV687" s="1">
        <f t="shared" si="184"/>
        <v>0</v>
      </c>
      <c r="BW687">
        <f t="shared" si="185"/>
        <v>0</v>
      </c>
      <c r="BX687">
        <f t="shared" si="186"/>
        <v>0</v>
      </c>
    </row>
    <row r="688" spans="58:76" x14ac:dyDescent="0.25">
      <c r="BF688" s="1" t="e">
        <f>VLOOKUP(N688,'Incoming Material Report'!H:M,6,FALSE)</f>
        <v>#N/A</v>
      </c>
      <c r="BG688" s="1" t="e">
        <f>IF(VLOOKUP(N688,'Incoming Material Report'!H:N,7,FALSE)=0,"",VLOOKUP(N688,'Incoming Material Report'!H:N,7,FALSE))</f>
        <v>#N/A</v>
      </c>
      <c r="BH688" s="39">
        <f t="shared" si="170"/>
        <v>0</v>
      </c>
      <c r="BI688" s="1">
        <f t="shared" si="171"/>
        <v>0</v>
      </c>
      <c r="BJ688" s="1">
        <f t="shared" si="172"/>
        <v>0</v>
      </c>
      <c r="BK688" s="1">
        <f t="shared" si="173"/>
        <v>0</v>
      </c>
      <c r="BL688" s="1">
        <f t="shared" si="174"/>
        <v>0</v>
      </c>
      <c r="BM688" s="10" t="str">
        <f t="shared" si="175"/>
        <v/>
      </c>
      <c r="BN688" s="39">
        <f t="shared" si="176"/>
        <v>0</v>
      </c>
      <c r="BO688" s="39">
        <f t="shared" si="177"/>
        <v>0</v>
      </c>
      <c r="BP688" s="1">
        <f t="shared" si="178"/>
        <v>0</v>
      </c>
      <c r="BQ688" s="1">
        <f t="shared" si="179"/>
        <v>0</v>
      </c>
      <c r="BR688" s="1" t="str">
        <f t="shared" si="180"/>
        <v/>
      </c>
      <c r="BS688" s="1">
        <f t="shared" si="181"/>
        <v>0</v>
      </c>
      <c r="BT688" s="4">
        <f t="shared" si="182"/>
        <v>0</v>
      </c>
      <c r="BU688" s="39">
        <f t="shared" si="183"/>
        <v>0</v>
      </c>
      <c r="BV688" s="1">
        <f t="shared" si="184"/>
        <v>0</v>
      </c>
      <c r="BW688">
        <f t="shared" si="185"/>
        <v>0</v>
      </c>
      <c r="BX688">
        <f t="shared" si="186"/>
        <v>0</v>
      </c>
    </row>
    <row r="689" spans="58:76" x14ac:dyDescent="0.25">
      <c r="BF689" s="1" t="e">
        <f>VLOOKUP(N689,'Incoming Material Report'!H:M,6,FALSE)</f>
        <v>#N/A</v>
      </c>
      <c r="BG689" s="1" t="e">
        <f>IF(VLOOKUP(N689,'Incoming Material Report'!H:N,7,FALSE)=0,"",VLOOKUP(N689,'Incoming Material Report'!H:N,7,FALSE))</f>
        <v>#N/A</v>
      </c>
      <c r="BH689" s="39">
        <f t="shared" si="170"/>
        <v>0</v>
      </c>
      <c r="BI689" s="1">
        <f t="shared" si="171"/>
        <v>0</v>
      </c>
      <c r="BJ689" s="1">
        <f t="shared" si="172"/>
        <v>0</v>
      </c>
      <c r="BK689" s="1">
        <f t="shared" si="173"/>
        <v>0</v>
      </c>
      <c r="BL689" s="1">
        <f t="shared" si="174"/>
        <v>0</v>
      </c>
      <c r="BM689" s="10" t="str">
        <f t="shared" si="175"/>
        <v/>
      </c>
      <c r="BN689" s="39">
        <f t="shared" si="176"/>
        <v>0</v>
      </c>
      <c r="BO689" s="39">
        <f t="shared" si="177"/>
        <v>0</v>
      </c>
      <c r="BP689" s="1">
        <f t="shared" si="178"/>
        <v>0</v>
      </c>
      <c r="BQ689" s="1">
        <f t="shared" si="179"/>
        <v>0</v>
      </c>
      <c r="BR689" s="1" t="str">
        <f t="shared" si="180"/>
        <v/>
      </c>
      <c r="BS689" s="1">
        <f t="shared" si="181"/>
        <v>0</v>
      </c>
      <c r="BT689" s="4">
        <f t="shared" si="182"/>
        <v>0</v>
      </c>
      <c r="BU689" s="39">
        <f t="shared" si="183"/>
        <v>0</v>
      </c>
      <c r="BV689" s="1">
        <f t="shared" si="184"/>
        <v>0</v>
      </c>
      <c r="BW689">
        <f t="shared" si="185"/>
        <v>0</v>
      </c>
      <c r="BX689">
        <f t="shared" si="186"/>
        <v>0</v>
      </c>
    </row>
    <row r="690" spans="58:76" x14ac:dyDescent="0.25">
      <c r="BF690" s="1" t="e">
        <f>VLOOKUP(N690,'Incoming Material Report'!H:M,6,FALSE)</f>
        <v>#N/A</v>
      </c>
      <c r="BG690" s="1" t="e">
        <f>IF(VLOOKUP(N690,'Incoming Material Report'!H:N,7,FALSE)=0,"",VLOOKUP(N690,'Incoming Material Report'!H:N,7,FALSE))</f>
        <v>#N/A</v>
      </c>
      <c r="BH690" s="39">
        <f t="shared" si="170"/>
        <v>0</v>
      </c>
      <c r="BI690" s="1">
        <f t="shared" si="171"/>
        <v>0</v>
      </c>
      <c r="BJ690" s="1">
        <f t="shared" si="172"/>
        <v>0</v>
      </c>
      <c r="BK690" s="1">
        <f t="shared" si="173"/>
        <v>0</v>
      </c>
      <c r="BL690" s="1">
        <f t="shared" si="174"/>
        <v>0</v>
      </c>
      <c r="BM690" s="10" t="str">
        <f t="shared" si="175"/>
        <v/>
      </c>
      <c r="BN690" s="39">
        <f t="shared" si="176"/>
        <v>0</v>
      </c>
      <c r="BO690" s="39">
        <f t="shared" si="177"/>
        <v>0</v>
      </c>
      <c r="BP690" s="1">
        <f t="shared" si="178"/>
        <v>0</v>
      </c>
      <c r="BQ690" s="1">
        <f t="shared" si="179"/>
        <v>0</v>
      </c>
      <c r="BR690" s="1" t="str">
        <f t="shared" si="180"/>
        <v/>
      </c>
      <c r="BS690" s="1">
        <f t="shared" si="181"/>
        <v>0</v>
      </c>
      <c r="BT690" s="4">
        <f t="shared" si="182"/>
        <v>0</v>
      </c>
      <c r="BU690" s="39">
        <f t="shared" si="183"/>
        <v>0</v>
      </c>
      <c r="BV690" s="1">
        <f t="shared" si="184"/>
        <v>0</v>
      </c>
      <c r="BW690">
        <f t="shared" si="185"/>
        <v>0</v>
      </c>
      <c r="BX690">
        <f t="shared" si="186"/>
        <v>0</v>
      </c>
    </row>
    <row r="691" spans="58:76" x14ac:dyDescent="0.25">
      <c r="BF691" s="1" t="e">
        <f>VLOOKUP(N691,'Incoming Material Report'!H:M,6,FALSE)</f>
        <v>#N/A</v>
      </c>
      <c r="BG691" s="1" t="e">
        <f>IF(VLOOKUP(N691,'Incoming Material Report'!H:N,7,FALSE)=0,"",VLOOKUP(N691,'Incoming Material Report'!H:N,7,FALSE))</f>
        <v>#N/A</v>
      </c>
      <c r="BH691" s="39">
        <f t="shared" si="170"/>
        <v>0</v>
      </c>
      <c r="BI691" s="1">
        <f t="shared" si="171"/>
        <v>0</v>
      </c>
      <c r="BJ691" s="1">
        <f t="shared" si="172"/>
        <v>0</v>
      </c>
      <c r="BK691" s="1">
        <f t="shared" si="173"/>
        <v>0</v>
      </c>
      <c r="BL691" s="1">
        <f t="shared" si="174"/>
        <v>0</v>
      </c>
      <c r="BM691" s="10" t="str">
        <f t="shared" si="175"/>
        <v/>
      </c>
      <c r="BN691" s="39">
        <f t="shared" si="176"/>
        <v>0</v>
      </c>
      <c r="BO691" s="39">
        <f t="shared" si="177"/>
        <v>0</v>
      </c>
      <c r="BP691" s="1">
        <f t="shared" si="178"/>
        <v>0</v>
      </c>
      <c r="BQ691" s="1">
        <f t="shared" si="179"/>
        <v>0</v>
      </c>
      <c r="BR691" s="1" t="str">
        <f t="shared" si="180"/>
        <v/>
      </c>
      <c r="BS691" s="1">
        <f t="shared" si="181"/>
        <v>0</v>
      </c>
      <c r="BT691" s="4">
        <f t="shared" si="182"/>
        <v>0</v>
      </c>
      <c r="BU691" s="39">
        <f t="shared" si="183"/>
        <v>0</v>
      </c>
      <c r="BV691" s="1">
        <f t="shared" si="184"/>
        <v>0</v>
      </c>
      <c r="BW691">
        <f t="shared" si="185"/>
        <v>0</v>
      </c>
      <c r="BX691">
        <f t="shared" si="186"/>
        <v>0</v>
      </c>
    </row>
    <row r="692" spans="58:76" x14ac:dyDescent="0.25">
      <c r="BF692" s="1" t="e">
        <f>VLOOKUP(N692,'Incoming Material Report'!H:M,6,FALSE)</f>
        <v>#N/A</v>
      </c>
      <c r="BG692" s="1" t="e">
        <f>IF(VLOOKUP(N692,'Incoming Material Report'!H:N,7,FALSE)=0,"",VLOOKUP(N692,'Incoming Material Report'!H:N,7,FALSE))</f>
        <v>#N/A</v>
      </c>
      <c r="BH692" s="39">
        <f t="shared" si="170"/>
        <v>0</v>
      </c>
      <c r="BI692" s="1">
        <f t="shared" si="171"/>
        <v>0</v>
      </c>
      <c r="BJ692" s="1">
        <f t="shared" si="172"/>
        <v>0</v>
      </c>
      <c r="BK692" s="1">
        <f t="shared" si="173"/>
        <v>0</v>
      </c>
      <c r="BL692" s="1">
        <f t="shared" si="174"/>
        <v>0</v>
      </c>
      <c r="BM692" s="10" t="str">
        <f t="shared" si="175"/>
        <v/>
      </c>
      <c r="BN692" s="39">
        <f t="shared" si="176"/>
        <v>0</v>
      </c>
      <c r="BO692" s="39">
        <f t="shared" si="177"/>
        <v>0</v>
      </c>
      <c r="BP692" s="1">
        <f t="shared" si="178"/>
        <v>0</v>
      </c>
      <c r="BQ692" s="1">
        <f t="shared" si="179"/>
        <v>0</v>
      </c>
      <c r="BR692" s="1" t="str">
        <f t="shared" si="180"/>
        <v/>
      </c>
      <c r="BS692" s="1">
        <f t="shared" si="181"/>
        <v>0</v>
      </c>
      <c r="BT692" s="4">
        <f t="shared" si="182"/>
        <v>0</v>
      </c>
      <c r="BU692" s="39">
        <f t="shared" si="183"/>
        <v>0</v>
      </c>
      <c r="BV692" s="1">
        <f t="shared" si="184"/>
        <v>0</v>
      </c>
      <c r="BW692">
        <f t="shared" si="185"/>
        <v>0</v>
      </c>
      <c r="BX692">
        <f t="shared" si="186"/>
        <v>0</v>
      </c>
    </row>
    <row r="693" spans="58:76" x14ac:dyDescent="0.25">
      <c r="BF693" s="1" t="e">
        <f>VLOOKUP(N693,'Incoming Material Report'!H:M,6,FALSE)</f>
        <v>#N/A</v>
      </c>
      <c r="BG693" s="1" t="e">
        <f>IF(VLOOKUP(N693,'Incoming Material Report'!H:N,7,FALSE)=0,"",VLOOKUP(N693,'Incoming Material Report'!H:N,7,FALSE))</f>
        <v>#N/A</v>
      </c>
      <c r="BH693" s="39">
        <f t="shared" si="170"/>
        <v>0</v>
      </c>
      <c r="BI693" s="1">
        <f t="shared" si="171"/>
        <v>0</v>
      </c>
      <c r="BJ693" s="1">
        <f t="shared" si="172"/>
        <v>0</v>
      </c>
      <c r="BK693" s="1">
        <f t="shared" si="173"/>
        <v>0</v>
      </c>
      <c r="BL693" s="1">
        <f t="shared" si="174"/>
        <v>0</v>
      </c>
      <c r="BM693" s="10" t="str">
        <f t="shared" si="175"/>
        <v/>
      </c>
      <c r="BN693" s="39">
        <f t="shared" si="176"/>
        <v>0</v>
      </c>
      <c r="BO693" s="39">
        <f t="shared" si="177"/>
        <v>0</v>
      </c>
      <c r="BP693" s="1">
        <f t="shared" si="178"/>
        <v>0</v>
      </c>
      <c r="BQ693" s="1">
        <f t="shared" si="179"/>
        <v>0</v>
      </c>
      <c r="BR693" s="1" t="str">
        <f t="shared" si="180"/>
        <v/>
      </c>
      <c r="BS693" s="1">
        <f t="shared" si="181"/>
        <v>0</v>
      </c>
      <c r="BT693" s="4">
        <f t="shared" si="182"/>
        <v>0</v>
      </c>
      <c r="BU693" s="39">
        <f t="shared" si="183"/>
        <v>0</v>
      </c>
      <c r="BV693" s="1">
        <f t="shared" si="184"/>
        <v>0</v>
      </c>
      <c r="BW693">
        <f t="shared" si="185"/>
        <v>0</v>
      </c>
      <c r="BX693">
        <f t="shared" si="186"/>
        <v>0</v>
      </c>
    </row>
    <row r="694" spans="58:76" x14ac:dyDescent="0.25">
      <c r="BF694" s="1" t="e">
        <f>VLOOKUP(N694,'Incoming Material Report'!H:M,6,FALSE)</f>
        <v>#N/A</v>
      </c>
      <c r="BG694" s="1" t="e">
        <f>IF(VLOOKUP(N694,'Incoming Material Report'!H:N,7,FALSE)=0,"",VLOOKUP(N694,'Incoming Material Report'!H:N,7,FALSE))</f>
        <v>#N/A</v>
      </c>
      <c r="BH694" s="39">
        <f t="shared" si="170"/>
        <v>0</v>
      </c>
      <c r="BI694" s="1">
        <f t="shared" si="171"/>
        <v>0</v>
      </c>
      <c r="BJ694" s="1">
        <f t="shared" si="172"/>
        <v>0</v>
      </c>
      <c r="BK694" s="1">
        <f t="shared" si="173"/>
        <v>0</v>
      </c>
      <c r="BL694" s="1">
        <f t="shared" si="174"/>
        <v>0</v>
      </c>
      <c r="BM694" s="10" t="str">
        <f t="shared" si="175"/>
        <v/>
      </c>
      <c r="BN694" s="39">
        <f t="shared" si="176"/>
        <v>0</v>
      </c>
      <c r="BO694" s="39">
        <f t="shared" si="177"/>
        <v>0</v>
      </c>
      <c r="BP694" s="1">
        <f t="shared" si="178"/>
        <v>0</v>
      </c>
      <c r="BQ694" s="1">
        <f t="shared" si="179"/>
        <v>0</v>
      </c>
      <c r="BR694" s="1" t="str">
        <f t="shared" si="180"/>
        <v/>
      </c>
      <c r="BS694" s="1">
        <f t="shared" si="181"/>
        <v>0</v>
      </c>
      <c r="BT694" s="4">
        <f t="shared" si="182"/>
        <v>0</v>
      </c>
      <c r="BU694" s="39">
        <f t="shared" si="183"/>
        <v>0</v>
      </c>
      <c r="BV694" s="1">
        <f t="shared" si="184"/>
        <v>0</v>
      </c>
      <c r="BW694">
        <f t="shared" si="185"/>
        <v>0</v>
      </c>
      <c r="BX694">
        <f t="shared" si="186"/>
        <v>0</v>
      </c>
    </row>
    <row r="695" spans="58:76" x14ac:dyDescent="0.25">
      <c r="BF695" s="1" t="e">
        <f>VLOOKUP(N695,'Incoming Material Report'!H:M,6,FALSE)</f>
        <v>#N/A</v>
      </c>
      <c r="BG695" s="1" t="e">
        <f>IF(VLOOKUP(N695,'Incoming Material Report'!H:N,7,FALSE)=0,"",VLOOKUP(N695,'Incoming Material Report'!H:N,7,FALSE))</f>
        <v>#N/A</v>
      </c>
      <c r="BH695" s="39">
        <f t="shared" si="170"/>
        <v>0</v>
      </c>
      <c r="BI695" s="1">
        <f t="shared" si="171"/>
        <v>0</v>
      </c>
      <c r="BJ695" s="1">
        <f t="shared" si="172"/>
        <v>0</v>
      </c>
      <c r="BK695" s="1">
        <f t="shared" si="173"/>
        <v>0</v>
      </c>
      <c r="BL695" s="1">
        <f t="shared" si="174"/>
        <v>0</v>
      </c>
      <c r="BM695" s="10" t="str">
        <f t="shared" si="175"/>
        <v/>
      </c>
      <c r="BN695" s="39">
        <f t="shared" si="176"/>
        <v>0</v>
      </c>
      <c r="BO695" s="39">
        <f t="shared" si="177"/>
        <v>0</v>
      </c>
      <c r="BP695" s="1">
        <f t="shared" si="178"/>
        <v>0</v>
      </c>
      <c r="BQ695" s="1">
        <f t="shared" si="179"/>
        <v>0</v>
      </c>
      <c r="BR695" s="1" t="str">
        <f t="shared" si="180"/>
        <v/>
      </c>
      <c r="BS695" s="1">
        <f t="shared" si="181"/>
        <v>0</v>
      </c>
      <c r="BT695" s="4">
        <f t="shared" si="182"/>
        <v>0</v>
      </c>
      <c r="BU695" s="39">
        <f t="shared" si="183"/>
        <v>0</v>
      </c>
      <c r="BV695" s="1">
        <f t="shared" si="184"/>
        <v>0</v>
      </c>
      <c r="BW695">
        <f t="shared" si="185"/>
        <v>0</v>
      </c>
      <c r="BX695">
        <f t="shared" si="186"/>
        <v>0</v>
      </c>
    </row>
    <row r="696" spans="58:76" x14ac:dyDescent="0.25">
      <c r="BF696" s="1" t="e">
        <f>VLOOKUP(N696,'Incoming Material Report'!H:M,6,FALSE)</f>
        <v>#N/A</v>
      </c>
      <c r="BG696" s="1" t="e">
        <f>IF(VLOOKUP(N696,'Incoming Material Report'!H:N,7,FALSE)=0,"",VLOOKUP(N696,'Incoming Material Report'!H:N,7,FALSE))</f>
        <v>#N/A</v>
      </c>
      <c r="BH696" s="39">
        <f t="shared" si="170"/>
        <v>0</v>
      </c>
      <c r="BI696" s="1">
        <f t="shared" si="171"/>
        <v>0</v>
      </c>
      <c r="BJ696" s="1">
        <f t="shared" si="172"/>
        <v>0</v>
      </c>
      <c r="BK696" s="1">
        <f t="shared" si="173"/>
        <v>0</v>
      </c>
      <c r="BL696" s="1">
        <f t="shared" si="174"/>
        <v>0</v>
      </c>
      <c r="BM696" s="10" t="str">
        <f t="shared" si="175"/>
        <v/>
      </c>
      <c r="BN696" s="39">
        <f t="shared" si="176"/>
        <v>0</v>
      </c>
      <c r="BO696" s="39">
        <f t="shared" si="177"/>
        <v>0</v>
      </c>
      <c r="BP696" s="1">
        <f t="shared" si="178"/>
        <v>0</v>
      </c>
      <c r="BQ696" s="1">
        <f t="shared" si="179"/>
        <v>0</v>
      </c>
      <c r="BR696" s="1" t="str">
        <f t="shared" si="180"/>
        <v/>
      </c>
      <c r="BS696" s="1">
        <f t="shared" si="181"/>
        <v>0</v>
      </c>
      <c r="BT696" s="4">
        <f t="shared" si="182"/>
        <v>0</v>
      </c>
      <c r="BU696" s="39">
        <f t="shared" si="183"/>
        <v>0</v>
      </c>
      <c r="BV696" s="1">
        <f t="shared" si="184"/>
        <v>0</v>
      </c>
      <c r="BW696">
        <f t="shared" si="185"/>
        <v>0</v>
      </c>
      <c r="BX696">
        <f t="shared" si="186"/>
        <v>0</v>
      </c>
    </row>
    <row r="697" spans="58:76" x14ac:dyDescent="0.25">
      <c r="BF697" s="1" t="e">
        <f>VLOOKUP(N697,'Incoming Material Report'!H:M,6,FALSE)</f>
        <v>#N/A</v>
      </c>
      <c r="BG697" s="1" t="e">
        <f>IF(VLOOKUP(N697,'Incoming Material Report'!H:N,7,FALSE)=0,"",VLOOKUP(N697,'Incoming Material Report'!H:N,7,FALSE))</f>
        <v>#N/A</v>
      </c>
      <c r="BH697" s="39">
        <f t="shared" si="170"/>
        <v>0</v>
      </c>
      <c r="BI697" s="1">
        <f t="shared" si="171"/>
        <v>0</v>
      </c>
      <c r="BJ697" s="1">
        <f t="shared" si="172"/>
        <v>0</v>
      </c>
      <c r="BK697" s="1">
        <f t="shared" si="173"/>
        <v>0</v>
      </c>
      <c r="BL697" s="1">
        <f t="shared" si="174"/>
        <v>0</v>
      </c>
      <c r="BM697" s="10" t="str">
        <f t="shared" si="175"/>
        <v/>
      </c>
      <c r="BN697" s="39">
        <f t="shared" si="176"/>
        <v>0</v>
      </c>
      <c r="BO697" s="39">
        <f t="shared" si="177"/>
        <v>0</v>
      </c>
      <c r="BP697" s="1">
        <f t="shared" si="178"/>
        <v>0</v>
      </c>
      <c r="BQ697" s="1">
        <f t="shared" si="179"/>
        <v>0</v>
      </c>
      <c r="BR697" s="1" t="str">
        <f t="shared" si="180"/>
        <v/>
      </c>
      <c r="BS697" s="1">
        <f t="shared" si="181"/>
        <v>0</v>
      </c>
      <c r="BT697" s="4">
        <f t="shared" si="182"/>
        <v>0</v>
      </c>
      <c r="BU697" s="39">
        <f t="shared" si="183"/>
        <v>0</v>
      </c>
      <c r="BV697" s="1">
        <f t="shared" si="184"/>
        <v>0</v>
      </c>
      <c r="BW697">
        <f t="shared" si="185"/>
        <v>0</v>
      </c>
      <c r="BX697">
        <f t="shared" si="186"/>
        <v>0</v>
      </c>
    </row>
    <row r="698" spans="58:76" x14ac:dyDescent="0.25">
      <c r="BF698" s="1" t="e">
        <f>VLOOKUP(N698,'Incoming Material Report'!H:M,6,FALSE)</f>
        <v>#N/A</v>
      </c>
      <c r="BG698" s="1" t="e">
        <f>IF(VLOOKUP(N698,'Incoming Material Report'!H:N,7,FALSE)=0,"",VLOOKUP(N698,'Incoming Material Report'!H:N,7,FALSE))</f>
        <v>#N/A</v>
      </c>
      <c r="BH698" s="39">
        <f t="shared" ref="BH698:BH752" si="187">VALUE(T698)</f>
        <v>0</v>
      </c>
      <c r="BI698" s="1">
        <f t="shared" ref="BI698:BI752" si="188">VALUE(U698)</f>
        <v>0</v>
      </c>
      <c r="BJ698" s="1">
        <f t="shared" ref="BJ698:BJ752" si="189">IFERROR(_xlfn.NUMBERVALUE(V698),V698)</f>
        <v>0</v>
      </c>
      <c r="BK698" s="1">
        <f t="shared" ref="BK698:BK752" si="190">IFERROR(INT(I698),I698)</f>
        <v>0</v>
      </c>
      <c r="BL698" s="1">
        <f t="shared" ref="BL698:BL752" si="191">L698</f>
        <v>0</v>
      </c>
      <c r="BM698" s="10" t="str">
        <f t="shared" ref="BM698:BM752" si="192">SUBSTITUTE(J698,"/",".")</f>
        <v/>
      </c>
      <c r="BN698" s="39">
        <f t="shared" ref="BN698:BN752" si="193">VALUE(Q698)*1000</f>
        <v>0</v>
      </c>
      <c r="BO698" s="39">
        <f t="shared" ref="BO698:BO752" si="194">VALUE(P698)/1000</f>
        <v>0</v>
      </c>
      <c r="BP698" s="1">
        <f t="shared" ref="BP698:BP752" si="195">VALUE(D698)</f>
        <v>0</v>
      </c>
      <c r="BQ698" s="1">
        <f t="shared" ref="BQ698:BQ752" si="196">VALUE(G698)</f>
        <v>0</v>
      </c>
      <c r="BR698" s="1" t="str">
        <f t="shared" ref="BR698:BR752" si="197">SUBSTITUTE(O698,".","")</f>
        <v/>
      </c>
      <c r="BS698" s="1">
        <f t="shared" ref="BS698:BS752" si="198">S698</f>
        <v>0</v>
      </c>
      <c r="BT698" s="4">
        <f t="shared" ref="BT698:BT752" si="199">VALUE(AJ698)</f>
        <v>0</v>
      </c>
      <c r="BU698" s="39">
        <f t="shared" ref="BU698:BU752" si="200">K698</f>
        <v>0</v>
      </c>
      <c r="BV698" s="1">
        <f t="shared" ref="BV698:BV752" si="201">AQ698</f>
        <v>0</v>
      </c>
      <c r="BW698">
        <f t="shared" ref="BW698:BW752" si="202">X698</f>
        <v>0</v>
      </c>
      <c r="BX698">
        <f t="shared" ref="BX698:BX752" si="203">AN698</f>
        <v>0</v>
      </c>
    </row>
    <row r="699" spans="58:76" x14ac:dyDescent="0.25">
      <c r="BF699" s="1" t="e">
        <f>VLOOKUP(N699,'Incoming Material Report'!H:M,6,FALSE)</f>
        <v>#N/A</v>
      </c>
      <c r="BG699" s="1" t="e">
        <f>IF(VLOOKUP(N699,'Incoming Material Report'!H:N,7,FALSE)=0,"",VLOOKUP(N699,'Incoming Material Report'!H:N,7,FALSE))</f>
        <v>#N/A</v>
      </c>
      <c r="BH699" s="39">
        <f t="shared" si="187"/>
        <v>0</v>
      </c>
      <c r="BI699" s="1">
        <f t="shared" si="188"/>
        <v>0</v>
      </c>
      <c r="BJ699" s="1">
        <f t="shared" si="189"/>
        <v>0</v>
      </c>
      <c r="BK699" s="1">
        <f t="shared" si="190"/>
        <v>0</v>
      </c>
      <c r="BL699" s="1">
        <f t="shared" si="191"/>
        <v>0</v>
      </c>
      <c r="BM699" s="10" t="str">
        <f t="shared" si="192"/>
        <v/>
      </c>
      <c r="BN699" s="39">
        <f t="shared" si="193"/>
        <v>0</v>
      </c>
      <c r="BO699" s="39">
        <f t="shared" si="194"/>
        <v>0</v>
      </c>
      <c r="BP699" s="1">
        <f t="shared" si="195"/>
        <v>0</v>
      </c>
      <c r="BQ699" s="1">
        <f t="shared" si="196"/>
        <v>0</v>
      </c>
      <c r="BR699" s="1" t="str">
        <f t="shared" si="197"/>
        <v/>
      </c>
      <c r="BS699" s="1">
        <f t="shared" si="198"/>
        <v>0</v>
      </c>
      <c r="BT699" s="4">
        <f t="shared" si="199"/>
        <v>0</v>
      </c>
      <c r="BU699" s="39">
        <f t="shared" si="200"/>
        <v>0</v>
      </c>
      <c r="BV699" s="1">
        <f t="shared" si="201"/>
        <v>0</v>
      </c>
      <c r="BW699">
        <f t="shared" si="202"/>
        <v>0</v>
      </c>
      <c r="BX699">
        <f t="shared" si="203"/>
        <v>0</v>
      </c>
    </row>
    <row r="700" spans="58:76" x14ac:dyDescent="0.25">
      <c r="BF700" s="1" t="e">
        <f>VLOOKUP(N700,'Incoming Material Report'!H:M,6,FALSE)</f>
        <v>#N/A</v>
      </c>
      <c r="BG700" s="1" t="e">
        <f>IF(VLOOKUP(N700,'Incoming Material Report'!H:N,7,FALSE)=0,"",VLOOKUP(N700,'Incoming Material Report'!H:N,7,FALSE))</f>
        <v>#N/A</v>
      </c>
      <c r="BH700" s="39">
        <f t="shared" si="187"/>
        <v>0</v>
      </c>
      <c r="BI700" s="1">
        <f t="shared" si="188"/>
        <v>0</v>
      </c>
      <c r="BJ700" s="1">
        <f t="shared" si="189"/>
        <v>0</v>
      </c>
      <c r="BK700" s="1">
        <f t="shared" si="190"/>
        <v>0</v>
      </c>
      <c r="BL700" s="1">
        <f t="shared" si="191"/>
        <v>0</v>
      </c>
      <c r="BM700" s="10" t="str">
        <f t="shared" si="192"/>
        <v/>
      </c>
      <c r="BN700" s="39">
        <f t="shared" si="193"/>
        <v>0</v>
      </c>
      <c r="BO700" s="39">
        <f t="shared" si="194"/>
        <v>0</v>
      </c>
      <c r="BP700" s="1">
        <f t="shared" si="195"/>
        <v>0</v>
      </c>
      <c r="BQ700" s="1">
        <f t="shared" si="196"/>
        <v>0</v>
      </c>
      <c r="BR700" s="1" t="str">
        <f t="shared" si="197"/>
        <v/>
      </c>
      <c r="BS700" s="1">
        <f t="shared" si="198"/>
        <v>0</v>
      </c>
      <c r="BT700" s="4">
        <f t="shared" si="199"/>
        <v>0</v>
      </c>
      <c r="BU700" s="39">
        <f t="shared" si="200"/>
        <v>0</v>
      </c>
      <c r="BV700" s="1">
        <f t="shared" si="201"/>
        <v>0</v>
      </c>
      <c r="BW700">
        <f t="shared" si="202"/>
        <v>0</v>
      </c>
      <c r="BX700">
        <f t="shared" si="203"/>
        <v>0</v>
      </c>
    </row>
    <row r="701" spans="58:76" x14ac:dyDescent="0.25">
      <c r="BF701" s="1" t="e">
        <f>VLOOKUP(N701,'Incoming Material Report'!H:M,6,FALSE)</f>
        <v>#N/A</v>
      </c>
      <c r="BG701" s="1" t="e">
        <f>IF(VLOOKUP(N701,'Incoming Material Report'!H:N,7,FALSE)=0,"",VLOOKUP(N701,'Incoming Material Report'!H:N,7,FALSE))</f>
        <v>#N/A</v>
      </c>
      <c r="BH701" s="39">
        <f t="shared" si="187"/>
        <v>0</v>
      </c>
      <c r="BI701" s="1">
        <f t="shared" si="188"/>
        <v>0</v>
      </c>
      <c r="BJ701" s="1">
        <f t="shared" si="189"/>
        <v>0</v>
      </c>
      <c r="BK701" s="1">
        <f t="shared" si="190"/>
        <v>0</v>
      </c>
      <c r="BL701" s="1">
        <f t="shared" si="191"/>
        <v>0</v>
      </c>
      <c r="BM701" s="10" t="str">
        <f t="shared" si="192"/>
        <v/>
      </c>
      <c r="BN701" s="39">
        <f t="shared" si="193"/>
        <v>0</v>
      </c>
      <c r="BO701" s="39">
        <f t="shared" si="194"/>
        <v>0</v>
      </c>
      <c r="BP701" s="1">
        <f t="shared" si="195"/>
        <v>0</v>
      </c>
      <c r="BQ701" s="1">
        <f t="shared" si="196"/>
        <v>0</v>
      </c>
      <c r="BR701" s="1" t="str">
        <f t="shared" si="197"/>
        <v/>
      </c>
      <c r="BS701" s="1">
        <f t="shared" si="198"/>
        <v>0</v>
      </c>
      <c r="BT701" s="4">
        <f t="shared" si="199"/>
        <v>0</v>
      </c>
      <c r="BU701" s="39">
        <f t="shared" si="200"/>
        <v>0</v>
      </c>
      <c r="BV701" s="1">
        <f t="shared" si="201"/>
        <v>0</v>
      </c>
      <c r="BW701">
        <f t="shared" si="202"/>
        <v>0</v>
      </c>
      <c r="BX701">
        <f t="shared" si="203"/>
        <v>0</v>
      </c>
    </row>
    <row r="702" spans="58:76" x14ac:dyDescent="0.25">
      <c r="BF702" s="1" t="e">
        <f>VLOOKUP(N702,'Incoming Material Report'!H:M,6,FALSE)</f>
        <v>#N/A</v>
      </c>
      <c r="BG702" s="1" t="e">
        <f>IF(VLOOKUP(N702,'Incoming Material Report'!H:N,7,FALSE)=0,"",VLOOKUP(N702,'Incoming Material Report'!H:N,7,FALSE))</f>
        <v>#N/A</v>
      </c>
      <c r="BH702" s="39">
        <f t="shared" si="187"/>
        <v>0</v>
      </c>
      <c r="BI702" s="1">
        <f t="shared" si="188"/>
        <v>0</v>
      </c>
      <c r="BJ702" s="1">
        <f t="shared" si="189"/>
        <v>0</v>
      </c>
      <c r="BK702" s="1">
        <f t="shared" si="190"/>
        <v>0</v>
      </c>
      <c r="BL702" s="1">
        <f t="shared" si="191"/>
        <v>0</v>
      </c>
      <c r="BM702" s="10" t="str">
        <f t="shared" si="192"/>
        <v/>
      </c>
      <c r="BN702" s="39">
        <f t="shared" si="193"/>
        <v>0</v>
      </c>
      <c r="BO702" s="39">
        <f t="shared" si="194"/>
        <v>0</v>
      </c>
      <c r="BP702" s="1">
        <f t="shared" si="195"/>
        <v>0</v>
      </c>
      <c r="BQ702" s="1">
        <f t="shared" si="196"/>
        <v>0</v>
      </c>
      <c r="BR702" s="1" t="str">
        <f t="shared" si="197"/>
        <v/>
      </c>
      <c r="BS702" s="1">
        <f t="shared" si="198"/>
        <v>0</v>
      </c>
      <c r="BT702" s="4">
        <f t="shared" si="199"/>
        <v>0</v>
      </c>
      <c r="BU702" s="39">
        <f t="shared" si="200"/>
        <v>0</v>
      </c>
      <c r="BV702" s="1">
        <f t="shared" si="201"/>
        <v>0</v>
      </c>
      <c r="BW702">
        <f t="shared" si="202"/>
        <v>0</v>
      </c>
      <c r="BX702">
        <f t="shared" si="203"/>
        <v>0</v>
      </c>
    </row>
    <row r="703" spans="58:76" x14ac:dyDescent="0.25">
      <c r="BF703" s="1" t="e">
        <f>VLOOKUP(N703,'Incoming Material Report'!H:M,6,FALSE)</f>
        <v>#N/A</v>
      </c>
      <c r="BG703" s="1" t="e">
        <f>IF(VLOOKUP(N703,'Incoming Material Report'!H:N,7,FALSE)=0,"",VLOOKUP(N703,'Incoming Material Report'!H:N,7,FALSE))</f>
        <v>#N/A</v>
      </c>
      <c r="BH703" s="39">
        <f t="shared" si="187"/>
        <v>0</v>
      </c>
      <c r="BI703" s="1">
        <f t="shared" si="188"/>
        <v>0</v>
      </c>
      <c r="BJ703" s="1">
        <f t="shared" si="189"/>
        <v>0</v>
      </c>
      <c r="BK703" s="1">
        <f t="shared" si="190"/>
        <v>0</v>
      </c>
      <c r="BL703" s="1">
        <f t="shared" si="191"/>
        <v>0</v>
      </c>
      <c r="BM703" s="10" t="str">
        <f t="shared" si="192"/>
        <v/>
      </c>
      <c r="BN703" s="39">
        <f t="shared" si="193"/>
        <v>0</v>
      </c>
      <c r="BO703" s="39">
        <f t="shared" si="194"/>
        <v>0</v>
      </c>
      <c r="BP703" s="1">
        <f t="shared" si="195"/>
        <v>0</v>
      </c>
      <c r="BQ703" s="1">
        <f t="shared" si="196"/>
        <v>0</v>
      </c>
      <c r="BR703" s="1" t="str">
        <f t="shared" si="197"/>
        <v/>
      </c>
      <c r="BS703" s="1">
        <f t="shared" si="198"/>
        <v>0</v>
      </c>
      <c r="BT703" s="4">
        <f t="shared" si="199"/>
        <v>0</v>
      </c>
      <c r="BU703" s="39">
        <f t="shared" si="200"/>
        <v>0</v>
      </c>
      <c r="BV703" s="1">
        <f t="shared" si="201"/>
        <v>0</v>
      </c>
      <c r="BW703">
        <f t="shared" si="202"/>
        <v>0</v>
      </c>
      <c r="BX703">
        <f t="shared" si="203"/>
        <v>0</v>
      </c>
    </row>
    <row r="704" spans="58:76" x14ac:dyDescent="0.25">
      <c r="BF704" s="1" t="e">
        <f>VLOOKUP(N704,'Incoming Material Report'!H:M,6,FALSE)</f>
        <v>#N/A</v>
      </c>
      <c r="BG704" s="1" t="e">
        <f>IF(VLOOKUP(N704,'Incoming Material Report'!H:N,7,FALSE)=0,"",VLOOKUP(N704,'Incoming Material Report'!H:N,7,FALSE))</f>
        <v>#N/A</v>
      </c>
      <c r="BH704" s="39">
        <f t="shared" si="187"/>
        <v>0</v>
      </c>
      <c r="BI704" s="1">
        <f t="shared" si="188"/>
        <v>0</v>
      </c>
      <c r="BJ704" s="1">
        <f t="shared" si="189"/>
        <v>0</v>
      </c>
      <c r="BK704" s="1">
        <f t="shared" si="190"/>
        <v>0</v>
      </c>
      <c r="BL704" s="1">
        <f t="shared" si="191"/>
        <v>0</v>
      </c>
      <c r="BM704" s="10" t="str">
        <f t="shared" si="192"/>
        <v/>
      </c>
      <c r="BN704" s="39">
        <f t="shared" si="193"/>
        <v>0</v>
      </c>
      <c r="BO704" s="39">
        <f t="shared" si="194"/>
        <v>0</v>
      </c>
      <c r="BP704" s="1">
        <f t="shared" si="195"/>
        <v>0</v>
      </c>
      <c r="BQ704" s="1">
        <f t="shared" si="196"/>
        <v>0</v>
      </c>
      <c r="BR704" s="1" t="str">
        <f t="shared" si="197"/>
        <v/>
      </c>
      <c r="BS704" s="1">
        <f t="shared" si="198"/>
        <v>0</v>
      </c>
      <c r="BT704" s="4">
        <f t="shared" si="199"/>
        <v>0</v>
      </c>
      <c r="BU704" s="39">
        <f t="shared" si="200"/>
        <v>0</v>
      </c>
      <c r="BV704" s="1">
        <f t="shared" si="201"/>
        <v>0</v>
      </c>
      <c r="BW704">
        <f t="shared" si="202"/>
        <v>0</v>
      </c>
      <c r="BX704">
        <f t="shared" si="203"/>
        <v>0</v>
      </c>
    </row>
    <row r="705" spans="58:76" x14ac:dyDescent="0.25">
      <c r="BF705" s="1" t="e">
        <f>VLOOKUP(N705,'Incoming Material Report'!H:M,6,FALSE)</f>
        <v>#N/A</v>
      </c>
      <c r="BG705" s="1" t="e">
        <f>IF(VLOOKUP(N705,'Incoming Material Report'!H:N,7,FALSE)=0,"",VLOOKUP(N705,'Incoming Material Report'!H:N,7,FALSE))</f>
        <v>#N/A</v>
      </c>
      <c r="BH705" s="39">
        <f t="shared" si="187"/>
        <v>0</v>
      </c>
      <c r="BI705" s="1">
        <f t="shared" si="188"/>
        <v>0</v>
      </c>
      <c r="BJ705" s="1">
        <f t="shared" si="189"/>
        <v>0</v>
      </c>
      <c r="BK705" s="1">
        <f t="shared" si="190"/>
        <v>0</v>
      </c>
      <c r="BL705" s="1">
        <f t="shared" si="191"/>
        <v>0</v>
      </c>
      <c r="BM705" s="10" t="str">
        <f t="shared" si="192"/>
        <v/>
      </c>
      <c r="BN705" s="39">
        <f t="shared" si="193"/>
        <v>0</v>
      </c>
      <c r="BO705" s="39">
        <f t="shared" si="194"/>
        <v>0</v>
      </c>
      <c r="BP705" s="1">
        <f t="shared" si="195"/>
        <v>0</v>
      </c>
      <c r="BQ705" s="1">
        <f t="shared" si="196"/>
        <v>0</v>
      </c>
      <c r="BR705" s="1" t="str">
        <f t="shared" si="197"/>
        <v/>
      </c>
      <c r="BS705" s="1">
        <f t="shared" si="198"/>
        <v>0</v>
      </c>
      <c r="BT705" s="4">
        <f t="shared" si="199"/>
        <v>0</v>
      </c>
      <c r="BU705" s="39">
        <f t="shared" si="200"/>
        <v>0</v>
      </c>
      <c r="BV705" s="1">
        <f t="shared" si="201"/>
        <v>0</v>
      </c>
      <c r="BW705">
        <f t="shared" si="202"/>
        <v>0</v>
      </c>
      <c r="BX705">
        <f t="shared" si="203"/>
        <v>0</v>
      </c>
    </row>
    <row r="706" spans="58:76" x14ac:dyDescent="0.25">
      <c r="BF706" s="1" t="e">
        <f>VLOOKUP(N706,'Incoming Material Report'!H:M,6,FALSE)</f>
        <v>#N/A</v>
      </c>
      <c r="BG706" s="1" t="e">
        <f>IF(VLOOKUP(N706,'Incoming Material Report'!H:N,7,FALSE)=0,"",VLOOKUP(N706,'Incoming Material Report'!H:N,7,FALSE))</f>
        <v>#N/A</v>
      </c>
      <c r="BH706" s="39">
        <f t="shared" si="187"/>
        <v>0</v>
      </c>
      <c r="BI706" s="1">
        <f t="shared" si="188"/>
        <v>0</v>
      </c>
      <c r="BJ706" s="1">
        <f t="shared" si="189"/>
        <v>0</v>
      </c>
      <c r="BK706" s="1">
        <f t="shared" si="190"/>
        <v>0</v>
      </c>
      <c r="BL706" s="1">
        <f t="shared" si="191"/>
        <v>0</v>
      </c>
      <c r="BM706" s="10" t="str">
        <f t="shared" si="192"/>
        <v/>
      </c>
      <c r="BN706" s="39">
        <f t="shared" si="193"/>
        <v>0</v>
      </c>
      <c r="BO706" s="39">
        <f t="shared" si="194"/>
        <v>0</v>
      </c>
      <c r="BP706" s="1">
        <f t="shared" si="195"/>
        <v>0</v>
      </c>
      <c r="BQ706" s="1">
        <f t="shared" si="196"/>
        <v>0</v>
      </c>
      <c r="BR706" s="1" t="str">
        <f t="shared" si="197"/>
        <v/>
      </c>
      <c r="BS706" s="1">
        <f t="shared" si="198"/>
        <v>0</v>
      </c>
      <c r="BT706" s="4">
        <f t="shared" si="199"/>
        <v>0</v>
      </c>
      <c r="BU706" s="39">
        <f t="shared" si="200"/>
        <v>0</v>
      </c>
      <c r="BV706" s="1">
        <f t="shared" si="201"/>
        <v>0</v>
      </c>
      <c r="BW706">
        <f t="shared" si="202"/>
        <v>0</v>
      </c>
      <c r="BX706">
        <f t="shared" si="203"/>
        <v>0</v>
      </c>
    </row>
    <row r="707" spans="58:76" x14ac:dyDescent="0.25">
      <c r="BF707" s="1" t="e">
        <f>VLOOKUP(N707,'Incoming Material Report'!H:M,6,FALSE)</f>
        <v>#N/A</v>
      </c>
      <c r="BG707" s="1" t="e">
        <f>IF(VLOOKUP(N707,'Incoming Material Report'!H:N,7,FALSE)=0,"",VLOOKUP(N707,'Incoming Material Report'!H:N,7,FALSE))</f>
        <v>#N/A</v>
      </c>
      <c r="BH707" s="39">
        <f t="shared" si="187"/>
        <v>0</v>
      </c>
      <c r="BI707" s="1">
        <f t="shared" si="188"/>
        <v>0</v>
      </c>
      <c r="BJ707" s="1">
        <f t="shared" si="189"/>
        <v>0</v>
      </c>
      <c r="BK707" s="1">
        <f t="shared" si="190"/>
        <v>0</v>
      </c>
      <c r="BL707" s="1">
        <f t="shared" si="191"/>
        <v>0</v>
      </c>
      <c r="BM707" s="10" t="str">
        <f t="shared" si="192"/>
        <v/>
      </c>
      <c r="BN707" s="39">
        <f t="shared" si="193"/>
        <v>0</v>
      </c>
      <c r="BO707" s="39">
        <f t="shared" si="194"/>
        <v>0</v>
      </c>
      <c r="BP707" s="1">
        <f t="shared" si="195"/>
        <v>0</v>
      </c>
      <c r="BQ707" s="1">
        <f t="shared" si="196"/>
        <v>0</v>
      </c>
      <c r="BR707" s="1" t="str">
        <f t="shared" si="197"/>
        <v/>
      </c>
      <c r="BS707" s="1">
        <f t="shared" si="198"/>
        <v>0</v>
      </c>
      <c r="BT707" s="4">
        <f t="shared" si="199"/>
        <v>0</v>
      </c>
      <c r="BU707" s="39">
        <f t="shared" si="200"/>
        <v>0</v>
      </c>
      <c r="BV707" s="1">
        <f t="shared" si="201"/>
        <v>0</v>
      </c>
      <c r="BW707">
        <f t="shared" si="202"/>
        <v>0</v>
      </c>
      <c r="BX707">
        <f t="shared" si="203"/>
        <v>0</v>
      </c>
    </row>
    <row r="708" spans="58:76" x14ac:dyDescent="0.25">
      <c r="BF708" s="1" t="e">
        <f>VLOOKUP(N708,'Incoming Material Report'!H:M,6,FALSE)</f>
        <v>#N/A</v>
      </c>
      <c r="BG708" s="1" t="e">
        <f>IF(VLOOKUP(N708,'Incoming Material Report'!H:N,7,FALSE)=0,"",VLOOKUP(N708,'Incoming Material Report'!H:N,7,FALSE))</f>
        <v>#N/A</v>
      </c>
      <c r="BH708" s="39">
        <f t="shared" si="187"/>
        <v>0</v>
      </c>
      <c r="BI708" s="1">
        <f t="shared" si="188"/>
        <v>0</v>
      </c>
      <c r="BJ708" s="1">
        <f t="shared" si="189"/>
        <v>0</v>
      </c>
      <c r="BK708" s="1">
        <f t="shared" si="190"/>
        <v>0</v>
      </c>
      <c r="BL708" s="1">
        <f t="shared" si="191"/>
        <v>0</v>
      </c>
      <c r="BM708" s="10" t="str">
        <f t="shared" si="192"/>
        <v/>
      </c>
      <c r="BN708" s="39">
        <f t="shared" si="193"/>
        <v>0</v>
      </c>
      <c r="BO708" s="39">
        <f t="shared" si="194"/>
        <v>0</v>
      </c>
      <c r="BP708" s="1">
        <f t="shared" si="195"/>
        <v>0</v>
      </c>
      <c r="BQ708" s="1">
        <f t="shared" si="196"/>
        <v>0</v>
      </c>
      <c r="BR708" s="1" t="str">
        <f t="shared" si="197"/>
        <v/>
      </c>
      <c r="BS708" s="1">
        <f t="shared" si="198"/>
        <v>0</v>
      </c>
      <c r="BT708" s="4">
        <f t="shared" si="199"/>
        <v>0</v>
      </c>
      <c r="BU708" s="39">
        <f t="shared" si="200"/>
        <v>0</v>
      </c>
      <c r="BV708" s="1">
        <f t="shared" si="201"/>
        <v>0</v>
      </c>
      <c r="BW708">
        <f t="shared" si="202"/>
        <v>0</v>
      </c>
      <c r="BX708">
        <f t="shared" si="203"/>
        <v>0</v>
      </c>
    </row>
    <row r="709" spans="58:76" x14ac:dyDescent="0.25">
      <c r="BF709" s="1" t="e">
        <f>VLOOKUP(N709,'Incoming Material Report'!H:M,6,FALSE)</f>
        <v>#N/A</v>
      </c>
      <c r="BG709" s="1" t="e">
        <f>IF(VLOOKUP(N709,'Incoming Material Report'!H:N,7,FALSE)=0,"",VLOOKUP(N709,'Incoming Material Report'!H:N,7,FALSE))</f>
        <v>#N/A</v>
      </c>
      <c r="BH709" s="39">
        <f t="shared" si="187"/>
        <v>0</v>
      </c>
      <c r="BI709" s="1">
        <f t="shared" si="188"/>
        <v>0</v>
      </c>
      <c r="BJ709" s="1">
        <f t="shared" si="189"/>
        <v>0</v>
      </c>
      <c r="BK709" s="1">
        <f t="shared" si="190"/>
        <v>0</v>
      </c>
      <c r="BL709" s="1">
        <f t="shared" si="191"/>
        <v>0</v>
      </c>
      <c r="BM709" s="10" t="str">
        <f t="shared" si="192"/>
        <v/>
      </c>
      <c r="BN709" s="39">
        <f t="shared" si="193"/>
        <v>0</v>
      </c>
      <c r="BO709" s="39">
        <f t="shared" si="194"/>
        <v>0</v>
      </c>
      <c r="BP709" s="1">
        <f t="shared" si="195"/>
        <v>0</v>
      </c>
      <c r="BQ709" s="1">
        <f t="shared" si="196"/>
        <v>0</v>
      </c>
      <c r="BR709" s="1" t="str">
        <f t="shared" si="197"/>
        <v/>
      </c>
      <c r="BS709" s="1">
        <f t="shared" si="198"/>
        <v>0</v>
      </c>
      <c r="BT709" s="4">
        <f t="shared" si="199"/>
        <v>0</v>
      </c>
      <c r="BU709" s="39">
        <f t="shared" si="200"/>
        <v>0</v>
      </c>
      <c r="BV709" s="1">
        <f t="shared" si="201"/>
        <v>0</v>
      </c>
      <c r="BW709">
        <f t="shared" si="202"/>
        <v>0</v>
      </c>
      <c r="BX709">
        <f t="shared" si="203"/>
        <v>0</v>
      </c>
    </row>
    <row r="710" spans="58:76" x14ac:dyDescent="0.25">
      <c r="BF710" s="1" t="e">
        <f>VLOOKUP(N710,'Incoming Material Report'!H:M,6,FALSE)</f>
        <v>#N/A</v>
      </c>
      <c r="BG710" s="1" t="e">
        <f>IF(VLOOKUP(N710,'Incoming Material Report'!H:N,7,FALSE)=0,"",VLOOKUP(N710,'Incoming Material Report'!H:N,7,FALSE))</f>
        <v>#N/A</v>
      </c>
      <c r="BH710" s="39">
        <f t="shared" si="187"/>
        <v>0</v>
      </c>
      <c r="BI710" s="1">
        <f t="shared" si="188"/>
        <v>0</v>
      </c>
      <c r="BJ710" s="1">
        <f t="shared" si="189"/>
        <v>0</v>
      </c>
      <c r="BK710" s="1">
        <f t="shared" si="190"/>
        <v>0</v>
      </c>
      <c r="BL710" s="1">
        <f t="shared" si="191"/>
        <v>0</v>
      </c>
      <c r="BM710" s="10" t="str">
        <f t="shared" si="192"/>
        <v/>
      </c>
      <c r="BN710" s="39">
        <f t="shared" si="193"/>
        <v>0</v>
      </c>
      <c r="BO710" s="39">
        <f t="shared" si="194"/>
        <v>0</v>
      </c>
      <c r="BP710" s="1">
        <f t="shared" si="195"/>
        <v>0</v>
      </c>
      <c r="BQ710" s="1">
        <f t="shared" si="196"/>
        <v>0</v>
      </c>
      <c r="BR710" s="1" t="str">
        <f t="shared" si="197"/>
        <v/>
      </c>
      <c r="BS710" s="1">
        <f t="shared" si="198"/>
        <v>0</v>
      </c>
      <c r="BT710" s="4">
        <f t="shared" si="199"/>
        <v>0</v>
      </c>
      <c r="BU710" s="39">
        <f t="shared" si="200"/>
        <v>0</v>
      </c>
      <c r="BV710" s="1">
        <f t="shared" si="201"/>
        <v>0</v>
      </c>
      <c r="BW710">
        <f t="shared" si="202"/>
        <v>0</v>
      </c>
      <c r="BX710">
        <f t="shared" si="203"/>
        <v>0</v>
      </c>
    </row>
    <row r="711" spans="58:76" x14ac:dyDescent="0.25">
      <c r="BF711" s="1" t="e">
        <f>VLOOKUP(N711,'Incoming Material Report'!H:M,6,FALSE)</f>
        <v>#N/A</v>
      </c>
      <c r="BG711" s="1" t="e">
        <f>IF(VLOOKUP(N711,'Incoming Material Report'!H:N,7,FALSE)=0,"",VLOOKUP(N711,'Incoming Material Report'!H:N,7,FALSE))</f>
        <v>#N/A</v>
      </c>
      <c r="BH711" s="39">
        <f t="shared" si="187"/>
        <v>0</v>
      </c>
      <c r="BI711" s="1">
        <f t="shared" si="188"/>
        <v>0</v>
      </c>
      <c r="BJ711" s="1">
        <f t="shared" si="189"/>
        <v>0</v>
      </c>
      <c r="BK711" s="1">
        <f t="shared" si="190"/>
        <v>0</v>
      </c>
      <c r="BL711" s="1">
        <f t="shared" si="191"/>
        <v>0</v>
      </c>
      <c r="BM711" s="10" t="str">
        <f t="shared" si="192"/>
        <v/>
      </c>
      <c r="BN711" s="39">
        <f t="shared" si="193"/>
        <v>0</v>
      </c>
      <c r="BO711" s="39">
        <f t="shared" si="194"/>
        <v>0</v>
      </c>
      <c r="BP711" s="1">
        <f t="shared" si="195"/>
        <v>0</v>
      </c>
      <c r="BQ711" s="1">
        <f t="shared" si="196"/>
        <v>0</v>
      </c>
      <c r="BR711" s="1" t="str">
        <f t="shared" si="197"/>
        <v/>
      </c>
      <c r="BS711" s="1">
        <f t="shared" si="198"/>
        <v>0</v>
      </c>
      <c r="BT711" s="4">
        <f t="shared" si="199"/>
        <v>0</v>
      </c>
      <c r="BU711" s="39">
        <f t="shared" si="200"/>
        <v>0</v>
      </c>
      <c r="BV711" s="1">
        <f t="shared" si="201"/>
        <v>0</v>
      </c>
      <c r="BW711">
        <f t="shared" si="202"/>
        <v>0</v>
      </c>
      <c r="BX711">
        <f t="shared" si="203"/>
        <v>0</v>
      </c>
    </row>
    <row r="712" spans="58:76" x14ac:dyDescent="0.25">
      <c r="BF712" s="1" t="e">
        <f>VLOOKUP(N712,'Incoming Material Report'!H:M,6,FALSE)</f>
        <v>#N/A</v>
      </c>
      <c r="BG712" s="1" t="e">
        <f>IF(VLOOKUP(N712,'Incoming Material Report'!H:N,7,FALSE)=0,"",VLOOKUP(N712,'Incoming Material Report'!H:N,7,FALSE))</f>
        <v>#N/A</v>
      </c>
      <c r="BH712" s="39">
        <f t="shared" si="187"/>
        <v>0</v>
      </c>
      <c r="BI712" s="1">
        <f t="shared" si="188"/>
        <v>0</v>
      </c>
      <c r="BJ712" s="1">
        <f t="shared" si="189"/>
        <v>0</v>
      </c>
      <c r="BK712" s="1">
        <f t="shared" si="190"/>
        <v>0</v>
      </c>
      <c r="BL712" s="1">
        <f t="shared" si="191"/>
        <v>0</v>
      </c>
      <c r="BM712" s="10" t="str">
        <f t="shared" si="192"/>
        <v/>
      </c>
      <c r="BN712" s="39">
        <f t="shared" si="193"/>
        <v>0</v>
      </c>
      <c r="BO712" s="39">
        <f t="shared" si="194"/>
        <v>0</v>
      </c>
      <c r="BP712" s="1">
        <f t="shared" si="195"/>
        <v>0</v>
      </c>
      <c r="BQ712" s="1">
        <f t="shared" si="196"/>
        <v>0</v>
      </c>
      <c r="BR712" s="1" t="str">
        <f t="shared" si="197"/>
        <v/>
      </c>
      <c r="BS712" s="1">
        <f t="shared" si="198"/>
        <v>0</v>
      </c>
      <c r="BT712" s="4">
        <f t="shared" si="199"/>
        <v>0</v>
      </c>
      <c r="BU712" s="39">
        <f t="shared" si="200"/>
        <v>0</v>
      </c>
      <c r="BV712" s="1">
        <f t="shared" si="201"/>
        <v>0</v>
      </c>
      <c r="BW712">
        <f t="shared" si="202"/>
        <v>0</v>
      </c>
      <c r="BX712">
        <f t="shared" si="203"/>
        <v>0</v>
      </c>
    </row>
    <row r="713" spans="58:76" x14ac:dyDescent="0.25">
      <c r="BF713" s="1" t="e">
        <f>VLOOKUP(N713,'Incoming Material Report'!H:M,6,FALSE)</f>
        <v>#N/A</v>
      </c>
      <c r="BG713" s="1" t="e">
        <f>IF(VLOOKUP(N713,'Incoming Material Report'!H:N,7,FALSE)=0,"",VLOOKUP(N713,'Incoming Material Report'!H:N,7,FALSE))</f>
        <v>#N/A</v>
      </c>
      <c r="BH713" s="39">
        <f t="shared" si="187"/>
        <v>0</v>
      </c>
      <c r="BI713" s="1">
        <f t="shared" si="188"/>
        <v>0</v>
      </c>
      <c r="BJ713" s="1">
        <f t="shared" si="189"/>
        <v>0</v>
      </c>
      <c r="BK713" s="1">
        <f t="shared" si="190"/>
        <v>0</v>
      </c>
      <c r="BL713" s="1">
        <f t="shared" si="191"/>
        <v>0</v>
      </c>
      <c r="BM713" s="10" t="str">
        <f t="shared" si="192"/>
        <v/>
      </c>
      <c r="BN713" s="39">
        <f t="shared" si="193"/>
        <v>0</v>
      </c>
      <c r="BO713" s="39">
        <f t="shared" si="194"/>
        <v>0</v>
      </c>
      <c r="BP713" s="1">
        <f t="shared" si="195"/>
        <v>0</v>
      </c>
      <c r="BQ713" s="1">
        <f t="shared" si="196"/>
        <v>0</v>
      </c>
      <c r="BR713" s="1" t="str">
        <f t="shared" si="197"/>
        <v/>
      </c>
      <c r="BS713" s="1">
        <f t="shared" si="198"/>
        <v>0</v>
      </c>
      <c r="BT713" s="4">
        <f t="shared" si="199"/>
        <v>0</v>
      </c>
      <c r="BU713" s="39">
        <f t="shared" si="200"/>
        <v>0</v>
      </c>
      <c r="BV713" s="1">
        <f t="shared" si="201"/>
        <v>0</v>
      </c>
      <c r="BW713">
        <f t="shared" si="202"/>
        <v>0</v>
      </c>
      <c r="BX713">
        <f t="shared" si="203"/>
        <v>0</v>
      </c>
    </row>
    <row r="714" spans="58:76" x14ac:dyDescent="0.25">
      <c r="BF714" s="1" t="e">
        <f>VLOOKUP(N714,'Incoming Material Report'!H:M,6,FALSE)</f>
        <v>#N/A</v>
      </c>
      <c r="BG714" s="1" t="e">
        <f>IF(VLOOKUP(N714,'Incoming Material Report'!H:N,7,FALSE)=0,"",VLOOKUP(N714,'Incoming Material Report'!H:N,7,FALSE))</f>
        <v>#N/A</v>
      </c>
      <c r="BH714" s="39">
        <f t="shared" si="187"/>
        <v>0</v>
      </c>
      <c r="BI714" s="1">
        <f t="shared" si="188"/>
        <v>0</v>
      </c>
      <c r="BJ714" s="1">
        <f t="shared" si="189"/>
        <v>0</v>
      </c>
      <c r="BK714" s="1">
        <f t="shared" si="190"/>
        <v>0</v>
      </c>
      <c r="BL714" s="1">
        <f t="shared" si="191"/>
        <v>0</v>
      </c>
      <c r="BM714" s="10" t="str">
        <f t="shared" si="192"/>
        <v/>
      </c>
      <c r="BN714" s="39">
        <f t="shared" si="193"/>
        <v>0</v>
      </c>
      <c r="BO714" s="39">
        <f t="shared" si="194"/>
        <v>0</v>
      </c>
      <c r="BP714" s="1">
        <f t="shared" si="195"/>
        <v>0</v>
      </c>
      <c r="BQ714" s="1">
        <f t="shared" si="196"/>
        <v>0</v>
      </c>
      <c r="BR714" s="1" t="str">
        <f t="shared" si="197"/>
        <v/>
      </c>
      <c r="BS714" s="1">
        <f t="shared" si="198"/>
        <v>0</v>
      </c>
      <c r="BT714" s="4">
        <f t="shared" si="199"/>
        <v>0</v>
      </c>
      <c r="BU714" s="39">
        <f t="shared" si="200"/>
        <v>0</v>
      </c>
      <c r="BV714" s="1">
        <f t="shared" si="201"/>
        <v>0</v>
      </c>
      <c r="BW714">
        <f t="shared" si="202"/>
        <v>0</v>
      </c>
      <c r="BX714">
        <f t="shared" si="203"/>
        <v>0</v>
      </c>
    </row>
    <row r="715" spans="58:76" x14ac:dyDescent="0.25">
      <c r="BF715" s="1" t="e">
        <f>VLOOKUP(N715,'Incoming Material Report'!H:M,6,FALSE)</f>
        <v>#N/A</v>
      </c>
      <c r="BG715" s="1" t="e">
        <f>IF(VLOOKUP(N715,'Incoming Material Report'!H:N,7,FALSE)=0,"",VLOOKUP(N715,'Incoming Material Report'!H:N,7,FALSE))</f>
        <v>#N/A</v>
      </c>
      <c r="BH715" s="39">
        <f t="shared" si="187"/>
        <v>0</v>
      </c>
      <c r="BI715" s="1">
        <f t="shared" si="188"/>
        <v>0</v>
      </c>
      <c r="BJ715" s="1">
        <f t="shared" si="189"/>
        <v>0</v>
      </c>
      <c r="BK715" s="1">
        <f t="shared" si="190"/>
        <v>0</v>
      </c>
      <c r="BL715" s="1">
        <f t="shared" si="191"/>
        <v>0</v>
      </c>
      <c r="BM715" s="10" t="str">
        <f t="shared" si="192"/>
        <v/>
      </c>
      <c r="BN715" s="39">
        <f t="shared" si="193"/>
        <v>0</v>
      </c>
      <c r="BO715" s="39">
        <f t="shared" si="194"/>
        <v>0</v>
      </c>
      <c r="BP715" s="1">
        <f t="shared" si="195"/>
        <v>0</v>
      </c>
      <c r="BQ715" s="1">
        <f t="shared" si="196"/>
        <v>0</v>
      </c>
      <c r="BR715" s="1" t="str">
        <f t="shared" si="197"/>
        <v/>
      </c>
      <c r="BS715" s="1">
        <f t="shared" si="198"/>
        <v>0</v>
      </c>
      <c r="BT715" s="4">
        <f t="shared" si="199"/>
        <v>0</v>
      </c>
      <c r="BU715" s="39">
        <f t="shared" si="200"/>
        <v>0</v>
      </c>
      <c r="BV715" s="1">
        <f t="shared" si="201"/>
        <v>0</v>
      </c>
      <c r="BW715">
        <f t="shared" si="202"/>
        <v>0</v>
      </c>
      <c r="BX715">
        <f t="shared" si="203"/>
        <v>0</v>
      </c>
    </row>
    <row r="716" spans="58:76" x14ac:dyDescent="0.25">
      <c r="BF716" s="1" t="e">
        <f>VLOOKUP(N716,'Incoming Material Report'!H:M,6,FALSE)</f>
        <v>#N/A</v>
      </c>
      <c r="BG716" s="1" t="e">
        <f>IF(VLOOKUP(N716,'Incoming Material Report'!H:N,7,FALSE)=0,"",VLOOKUP(N716,'Incoming Material Report'!H:N,7,FALSE))</f>
        <v>#N/A</v>
      </c>
      <c r="BH716" s="39">
        <f t="shared" si="187"/>
        <v>0</v>
      </c>
      <c r="BI716" s="1">
        <f t="shared" si="188"/>
        <v>0</v>
      </c>
      <c r="BJ716" s="1">
        <f t="shared" si="189"/>
        <v>0</v>
      </c>
      <c r="BK716" s="1">
        <f t="shared" si="190"/>
        <v>0</v>
      </c>
      <c r="BL716" s="1">
        <f t="shared" si="191"/>
        <v>0</v>
      </c>
      <c r="BM716" s="10" t="str">
        <f t="shared" si="192"/>
        <v/>
      </c>
      <c r="BN716" s="39">
        <f t="shared" si="193"/>
        <v>0</v>
      </c>
      <c r="BO716" s="39">
        <f t="shared" si="194"/>
        <v>0</v>
      </c>
      <c r="BP716" s="1">
        <f t="shared" si="195"/>
        <v>0</v>
      </c>
      <c r="BQ716" s="1">
        <f t="shared" si="196"/>
        <v>0</v>
      </c>
      <c r="BR716" s="1" t="str">
        <f t="shared" si="197"/>
        <v/>
      </c>
      <c r="BS716" s="1">
        <f t="shared" si="198"/>
        <v>0</v>
      </c>
      <c r="BT716" s="4">
        <f t="shared" si="199"/>
        <v>0</v>
      </c>
      <c r="BU716" s="39">
        <f t="shared" si="200"/>
        <v>0</v>
      </c>
      <c r="BV716" s="1">
        <f t="shared" si="201"/>
        <v>0</v>
      </c>
      <c r="BW716">
        <f t="shared" si="202"/>
        <v>0</v>
      </c>
      <c r="BX716">
        <f t="shared" si="203"/>
        <v>0</v>
      </c>
    </row>
    <row r="717" spans="58:76" x14ac:dyDescent="0.25">
      <c r="BF717" s="1" t="e">
        <f>VLOOKUP(N717,'Incoming Material Report'!H:M,6,FALSE)</f>
        <v>#N/A</v>
      </c>
      <c r="BG717" s="1" t="e">
        <f>IF(VLOOKUP(N717,'Incoming Material Report'!H:N,7,FALSE)=0,"",VLOOKUP(N717,'Incoming Material Report'!H:N,7,FALSE))</f>
        <v>#N/A</v>
      </c>
      <c r="BH717" s="39">
        <f t="shared" si="187"/>
        <v>0</v>
      </c>
      <c r="BI717" s="1">
        <f t="shared" si="188"/>
        <v>0</v>
      </c>
      <c r="BJ717" s="1">
        <f t="shared" si="189"/>
        <v>0</v>
      </c>
      <c r="BK717" s="1">
        <f t="shared" si="190"/>
        <v>0</v>
      </c>
      <c r="BL717" s="1">
        <f t="shared" si="191"/>
        <v>0</v>
      </c>
      <c r="BM717" s="10" t="str">
        <f t="shared" si="192"/>
        <v/>
      </c>
      <c r="BN717" s="39">
        <f t="shared" si="193"/>
        <v>0</v>
      </c>
      <c r="BO717" s="39">
        <f t="shared" si="194"/>
        <v>0</v>
      </c>
      <c r="BP717" s="1">
        <f t="shared" si="195"/>
        <v>0</v>
      </c>
      <c r="BQ717" s="1">
        <f t="shared" si="196"/>
        <v>0</v>
      </c>
      <c r="BR717" s="1" t="str">
        <f t="shared" si="197"/>
        <v/>
      </c>
      <c r="BS717" s="1">
        <f t="shared" si="198"/>
        <v>0</v>
      </c>
      <c r="BT717" s="4">
        <f t="shared" si="199"/>
        <v>0</v>
      </c>
      <c r="BU717" s="39">
        <f t="shared" si="200"/>
        <v>0</v>
      </c>
      <c r="BV717" s="1">
        <f t="shared" si="201"/>
        <v>0</v>
      </c>
      <c r="BW717">
        <f t="shared" si="202"/>
        <v>0</v>
      </c>
      <c r="BX717">
        <f t="shared" si="203"/>
        <v>0</v>
      </c>
    </row>
    <row r="718" spans="58:76" x14ac:dyDescent="0.25">
      <c r="BF718" s="1" t="e">
        <f>VLOOKUP(N718,'Incoming Material Report'!H:M,6,FALSE)</f>
        <v>#N/A</v>
      </c>
      <c r="BG718" s="1" t="e">
        <f>IF(VLOOKUP(N718,'Incoming Material Report'!H:N,7,FALSE)=0,"",VLOOKUP(N718,'Incoming Material Report'!H:N,7,FALSE))</f>
        <v>#N/A</v>
      </c>
      <c r="BH718" s="39">
        <f t="shared" si="187"/>
        <v>0</v>
      </c>
      <c r="BI718" s="1">
        <f t="shared" si="188"/>
        <v>0</v>
      </c>
      <c r="BJ718" s="1">
        <f t="shared" si="189"/>
        <v>0</v>
      </c>
      <c r="BK718" s="1">
        <f t="shared" si="190"/>
        <v>0</v>
      </c>
      <c r="BL718" s="1">
        <f t="shared" si="191"/>
        <v>0</v>
      </c>
      <c r="BM718" s="10" t="str">
        <f t="shared" si="192"/>
        <v/>
      </c>
      <c r="BN718" s="39">
        <f t="shared" si="193"/>
        <v>0</v>
      </c>
      <c r="BO718" s="39">
        <f t="shared" si="194"/>
        <v>0</v>
      </c>
      <c r="BP718" s="1">
        <f t="shared" si="195"/>
        <v>0</v>
      </c>
      <c r="BQ718" s="1">
        <f t="shared" si="196"/>
        <v>0</v>
      </c>
      <c r="BR718" s="1" t="str">
        <f t="shared" si="197"/>
        <v/>
      </c>
      <c r="BS718" s="1">
        <f t="shared" si="198"/>
        <v>0</v>
      </c>
      <c r="BT718" s="4">
        <f t="shared" si="199"/>
        <v>0</v>
      </c>
      <c r="BU718" s="39">
        <f t="shared" si="200"/>
        <v>0</v>
      </c>
      <c r="BV718" s="1">
        <f t="shared" si="201"/>
        <v>0</v>
      </c>
      <c r="BW718">
        <f t="shared" si="202"/>
        <v>0</v>
      </c>
      <c r="BX718">
        <f t="shared" si="203"/>
        <v>0</v>
      </c>
    </row>
    <row r="719" spans="58:76" x14ac:dyDescent="0.25">
      <c r="BF719" s="1" t="e">
        <f>VLOOKUP(N719,'Incoming Material Report'!H:M,6,FALSE)</f>
        <v>#N/A</v>
      </c>
      <c r="BG719" s="1" t="e">
        <f>IF(VLOOKUP(N719,'Incoming Material Report'!H:N,7,FALSE)=0,"",VLOOKUP(N719,'Incoming Material Report'!H:N,7,FALSE))</f>
        <v>#N/A</v>
      </c>
      <c r="BH719" s="39">
        <f t="shared" si="187"/>
        <v>0</v>
      </c>
      <c r="BI719" s="1">
        <f t="shared" si="188"/>
        <v>0</v>
      </c>
      <c r="BJ719" s="1">
        <f t="shared" si="189"/>
        <v>0</v>
      </c>
      <c r="BK719" s="1">
        <f t="shared" si="190"/>
        <v>0</v>
      </c>
      <c r="BL719" s="1">
        <f t="shared" si="191"/>
        <v>0</v>
      </c>
      <c r="BM719" s="10" t="str">
        <f t="shared" si="192"/>
        <v/>
      </c>
      <c r="BN719" s="39">
        <f t="shared" si="193"/>
        <v>0</v>
      </c>
      <c r="BO719" s="39">
        <f t="shared" si="194"/>
        <v>0</v>
      </c>
      <c r="BP719" s="1">
        <f t="shared" si="195"/>
        <v>0</v>
      </c>
      <c r="BQ719" s="1">
        <f t="shared" si="196"/>
        <v>0</v>
      </c>
      <c r="BR719" s="1" t="str">
        <f t="shared" si="197"/>
        <v/>
      </c>
      <c r="BS719" s="1">
        <f t="shared" si="198"/>
        <v>0</v>
      </c>
      <c r="BT719" s="4">
        <f t="shared" si="199"/>
        <v>0</v>
      </c>
      <c r="BU719" s="39">
        <f t="shared" si="200"/>
        <v>0</v>
      </c>
      <c r="BV719" s="1">
        <f t="shared" si="201"/>
        <v>0</v>
      </c>
      <c r="BW719">
        <f t="shared" si="202"/>
        <v>0</v>
      </c>
      <c r="BX719">
        <f t="shared" si="203"/>
        <v>0</v>
      </c>
    </row>
    <row r="720" spans="58:76" x14ac:dyDescent="0.25">
      <c r="BF720" s="1" t="e">
        <f>VLOOKUP(N720,'Incoming Material Report'!H:M,6,FALSE)</f>
        <v>#N/A</v>
      </c>
      <c r="BG720" s="1" t="e">
        <f>IF(VLOOKUP(N720,'Incoming Material Report'!H:N,7,FALSE)=0,"",VLOOKUP(N720,'Incoming Material Report'!H:N,7,FALSE))</f>
        <v>#N/A</v>
      </c>
      <c r="BH720" s="39">
        <f t="shared" si="187"/>
        <v>0</v>
      </c>
      <c r="BI720" s="1">
        <f t="shared" si="188"/>
        <v>0</v>
      </c>
      <c r="BJ720" s="1">
        <f t="shared" si="189"/>
        <v>0</v>
      </c>
      <c r="BK720" s="1">
        <f t="shared" si="190"/>
        <v>0</v>
      </c>
      <c r="BL720" s="1">
        <f t="shared" si="191"/>
        <v>0</v>
      </c>
      <c r="BM720" s="10" t="str">
        <f t="shared" si="192"/>
        <v/>
      </c>
      <c r="BN720" s="39">
        <f t="shared" si="193"/>
        <v>0</v>
      </c>
      <c r="BO720" s="39">
        <f t="shared" si="194"/>
        <v>0</v>
      </c>
      <c r="BP720" s="1">
        <f t="shared" si="195"/>
        <v>0</v>
      </c>
      <c r="BQ720" s="1">
        <f t="shared" si="196"/>
        <v>0</v>
      </c>
      <c r="BR720" s="1" t="str">
        <f t="shared" si="197"/>
        <v/>
      </c>
      <c r="BS720" s="1">
        <f t="shared" si="198"/>
        <v>0</v>
      </c>
      <c r="BT720" s="4">
        <f t="shared" si="199"/>
        <v>0</v>
      </c>
      <c r="BU720" s="39">
        <f t="shared" si="200"/>
        <v>0</v>
      </c>
      <c r="BV720" s="1">
        <f t="shared" si="201"/>
        <v>0</v>
      </c>
      <c r="BW720">
        <f t="shared" si="202"/>
        <v>0</v>
      </c>
      <c r="BX720">
        <f t="shared" si="203"/>
        <v>0</v>
      </c>
    </row>
    <row r="721" spans="58:76" x14ac:dyDescent="0.25">
      <c r="BF721" s="1" t="e">
        <f>VLOOKUP(N721,'Incoming Material Report'!H:M,6,FALSE)</f>
        <v>#N/A</v>
      </c>
      <c r="BG721" s="1" t="e">
        <f>IF(VLOOKUP(N721,'Incoming Material Report'!H:N,7,FALSE)=0,"",VLOOKUP(N721,'Incoming Material Report'!H:N,7,FALSE))</f>
        <v>#N/A</v>
      </c>
      <c r="BH721" s="39">
        <f t="shared" si="187"/>
        <v>0</v>
      </c>
      <c r="BI721" s="1">
        <f t="shared" si="188"/>
        <v>0</v>
      </c>
      <c r="BJ721" s="1">
        <f t="shared" si="189"/>
        <v>0</v>
      </c>
      <c r="BK721" s="1">
        <f t="shared" si="190"/>
        <v>0</v>
      </c>
      <c r="BL721" s="1">
        <f t="shared" si="191"/>
        <v>0</v>
      </c>
      <c r="BM721" s="10" t="str">
        <f t="shared" si="192"/>
        <v/>
      </c>
      <c r="BN721" s="39">
        <f t="shared" si="193"/>
        <v>0</v>
      </c>
      <c r="BO721" s="39">
        <f t="shared" si="194"/>
        <v>0</v>
      </c>
      <c r="BP721" s="1">
        <f t="shared" si="195"/>
        <v>0</v>
      </c>
      <c r="BQ721" s="1">
        <f t="shared" si="196"/>
        <v>0</v>
      </c>
      <c r="BR721" s="1" t="str">
        <f t="shared" si="197"/>
        <v/>
      </c>
      <c r="BS721" s="1">
        <f t="shared" si="198"/>
        <v>0</v>
      </c>
      <c r="BT721" s="4">
        <f t="shared" si="199"/>
        <v>0</v>
      </c>
      <c r="BU721" s="39">
        <f t="shared" si="200"/>
        <v>0</v>
      </c>
      <c r="BV721" s="1">
        <f t="shared" si="201"/>
        <v>0</v>
      </c>
      <c r="BW721">
        <f t="shared" si="202"/>
        <v>0</v>
      </c>
      <c r="BX721">
        <f t="shared" si="203"/>
        <v>0</v>
      </c>
    </row>
    <row r="722" spans="58:76" x14ac:dyDescent="0.25">
      <c r="BF722" s="1" t="e">
        <f>VLOOKUP(N722,'Incoming Material Report'!H:M,6,FALSE)</f>
        <v>#N/A</v>
      </c>
      <c r="BG722" s="1" t="e">
        <f>IF(VLOOKUP(N722,'Incoming Material Report'!H:N,7,FALSE)=0,"",VLOOKUP(N722,'Incoming Material Report'!H:N,7,FALSE))</f>
        <v>#N/A</v>
      </c>
      <c r="BH722" s="39">
        <f t="shared" si="187"/>
        <v>0</v>
      </c>
      <c r="BI722" s="1">
        <f t="shared" si="188"/>
        <v>0</v>
      </c>
      <c r="BJ722" s="1">
        <f t="shared" si="189"/>
        <v>0</v>
      </c>
      <c r="BK722" s="1">
        <f t="shared" si="190"/>
        <v>0</v>
      </c>
      <c r="BL722" s="1">
        <f t="shared" si="191"/>
        <v>0</v>
      </c>
      <c r="BM722" s="10" t="str">
        <f t="shared" si="192"/>
        <v/>
      </c>
      <c r="BN722" s="39">
        <f t="shared" si="193"/>
        <v>0</v>
      </c>
      <c r="BO722" s="39">
        <f t="shared" si="194"/>
        <v>0</v>
      </c>
      <c r="BP722" s="1">
        <f t="shared" si="195"/>
        <v>0</v>
      </c>
      <c r="BQ722" s="1">
        <f t="shared" si="196"/>
        <v>0</v>
      </c>
      <c r="BR722" s="1" t="str">
        <f t="shared" si="197"/>
        <v/>
      </c>
      <c r="BS722" s="1">
        <f t="shared" si="198"/>
        <v>0</v>
      </c>
      <c r="BT722" s="4">
        <f t="shared" si="199"/>
        <v>0</v>
      </c>
      <c r="BU722" s="39">
        <f t="shared" si="200"/>
        <v>0</v>
      </c>
      <c r="BV722" s="1">
        <f t="shared" si="201"/>
        <v>0</v>
      </c>
      <c r="BW722">
        <f t="shared" si="202"/>
        <v>0</v>
      </c>
      <c r="BX722">
        <f t="shared" si="203"/>
        <v>0</v>
      </c>
    </row>
    <row r="723" spans="58:76" x14ac:dyDescent="0.25">
      <c r="BF723" s="1" t="e">
        <f>VLOOKUP(N723,'Incoming Material Report'!H:M,6,FALSE)</f>
        <v>#N/A</v>
      </c>
      <c r="BG723" s="1" t="e">
        <f>IF(VLOOKUP(N723,'Incoming Material Report'!H:N,7,FALSE)=0,"",VLOOKUP(N723,'Incoming Material Report'!H:N,7,FALSE))</f>
        <v>#N/A</v>
      </c>
      <c r="BH723" s="39">
        <f t="shared" si="187"/>
        <v>0</v>
      </c>
      <c r="BI723" s="1">
        <f t="shared" si="188"/>
        <v>0</v>
      </c>
      <c r="BJ723" s="1">
        <f t="shared" si="189"/>
        <v>0</v>
      </c>
      <c r="BK723" s="1">
        <f t="shared" si="190"/>
        <v>0</v>
      </c>
      <c r="BL723" s="1">
        <f t="shared" si="191"/>
        <v>0</v>
      </c>
      <c r="BM723" s="10" t="str">
        <f t="shared" si="192"/>
        <v/>
      </c>
      <c r="BN723" s="39">
        <f t="shared" si="193"/>
        <v>0</v>
      </c>
      <c r="BO723" s="39">
        <f t="shared" si="194"/>
        <v>0</v>
      </c>
      <c r="BP723" s="1">
        <f t="shared" si="195"/>
        <v>0</v>
      </c>
      <c r="BQ723" s="1">
        <f t="shared" si="196"/>
        <v>0</v>
      </c>
      <c r="BR723" s="1" t="str">
        <f t="shared" si="197"/>
        <v/>
      </c>
      <c r="BS723" s="1">
        <f t="shared" si="198"/>
        <v>0</v>
      </c>
      <c r="BT723" s="4">
        <f t="shared" si="199"/>
        <v>0</v>
      </c>
      <c r="BU723" s="39">
        <f t="shared" si="200"/>
        <v>0</v>
      </c>
      <c r="BV723" s="1">
        <f t="shared" si="201"/>
        <v>0</v>
      </c>
      <c r="BW723">
        <f t="shared" si="202"/>
        <v>0</v>
      </c>
      <c r="BX723">
        <f t="shared" si="203"/>
        <v>0</v>
      </c>
    </row>
    <row r="724" spans="58:76" x14ac:dyDescent="0.25">
      <c r="BF724" s="1" t="e">
        <f>VLOOKUP(N724,'Incoming Material Report'!H:M,6,FALSE)</f>
        <v>#N/A</v>
      </c>
      <c r="BG724" s="1" t="e">
        <f>IF(VLOOKUP(N724,'Incoming Material Report'!H:N,7,FALSE)=0,"",VLOOKUP(N724,'Incoming Material Report'!H:N,7,FALSE))</f>
        <v>#N/A</v>
      </c>
      <c r="BH724" s="39">
        <f t="shared" si="187"/>
        <v>0</v>
      </c>
      <c r="BI724" s="1">
        <f t="shared" si="188"/>
        <v>0</v>
      </c>
      <c r="BJ724" s="1">
        <f t="shared" si="189"/>
        <v>0</v>
      </c>
      <c r="BK724" s="1">
        <f t="shared" si="190"/>
        <v>0</v>
      </c>
      <c r="BL724" s="1">
        <f t="shared" si="191"/>
        <v>0</v>
      </c>
      <c r="BM724" s="10" t="str">
        <f t="shared" si="192"/>
        <v/>
      </c>
      <c r="BN724" s="39">
        <f t="shared" si="193"/>
        <v>0</v>
      </c>
      <c r="BO724" s="39">
        <f t="shared" si="194"/>
        <v>0</v>
      </c>
      <c r="BP724" s="1">
        <f t="shared" si="195"/>
        <v>0</v>
      </c>
      <c r="BQ724" s="1">
        <f t="shared" si="196"/>
        <v>0</v>
      </c>
      <c r="BR724" s="1" t="str">
        <f t="shared" si="197"/>
        <v/>
      </c>
      <c r="BS724" s="1">
        <f t="shared" si="198"/>
        <v>0</v>
      </c>
      <c r="BT724" s="4">
        <f t="shared" si="199"/>
        <v>0</v>
      </c>
      <c r="BU724" s="39">
        <f t="shared" si="200"/>
        <v>0</v>
      </c>
      <c r="BV724" s="1">
        <f t="shared" si="201"/>
        <v>0</v>
      </c>
      <c r="BW724">
        <f t="shared" si="202"/>
        <v>0</v>
      </c>
      <c r="BX724">
        <f t="shared" si="203"/>
        <v>0</v>
      </c>
    </row>
    <row r="725" spans="58:76" x14ac:dyDescent="0.25">
      <c r="BF725" s="1" t="e">
        <f>VLOOKUP(N725,'Incoming Material Report'!H:M,6,FALSE)</f>
        <v>#N/A</v>
      </c>
      <c r="BG725" s="1" t="e">
        <f>IF(VLOOKUP(N725,'Incoming Material Report'!H:N,7,FALSE)=0,"",VLOOKUP(N725,'Incoming Material Report'!H:N,7,FALSE))</f>
        <v>#N/A</v>
      </c>
      <c r="BH725" s="39">
        <f t="shared" si="187"/>
        <v>0</v>
      </c>
      <c r="BI725" s="1">
        <f t="shared" si="188"/>
        <v>0</v>
      </c>
      <c r="BJ725" s="1">
        <f t="shared" si="189"/>
        <v>0</v>
      </c>
      <c r="BK725" s="1">
        <f t="shared" si="190"/>
        <v>0</v>
      </c>
      <c r="BL725" s="1">
        <f t="shared" si="191"/>
        <v>0</v>
      </c>
      <c r="BM725" s="10" t="str">
        <f t="shared" si="192"/>
        <v/>
      </c>
      <c r="BN725" s="39">
        <f t="shared" si="193"/>
        <v>0</v>
      </c>
      <c r="BO725" s="39">
        <f t="shared" si="194"/>
        <v>0</v>
      </c>
      <c r="BP725" s="1">
        <f t="shared" si="195"/>
        <v>0</v>
      </c>
      <c r="BQ725" s="1">
        <f t="shared" si="196"/>
        <v>0</v>
      </c>
      <c r="BR725" s="1" t="str">
        <f t="shared" si="197"/>
        <v/>
      </c>
      <c r="BS725" s="1">
        <f t="shared" si="198"/>
        <v>0</v>
      </c>
      <c r="BT725" s="4">
        <f t="shared" si="199"/>
        <v>0</v>
      </c>
      <c r="BU725" s="39">
        <f t="shared" si="200"/>
        <v>0</v>
      </c>
      <c r="BV725" s="1">
        <f t="shared" si="201"/>
        <v>0</v>
      </c>
      <c r="BW725">
        <f t="shared" si="202"/>
        <v>0</v>
      </c>
      <c r="BX725">
        <f t="shared" si="203"/>
        <v>0</v>
      </c>
    </row>
    <row r="726" spans="58:76" x14ac:dyDescent="0.25">
      <c r="BF726" s="1" t="e">
        <f>VLOOKUP(N726,'Incoming Material Report'!H:M,6,FALSE)</f>
        <v>#N/A</v>
      </c>
      <c r="BG726" s="1" t="e">
        <f>IF(VLOOKUP(N726,'Incoming Material Report'!H:N,7,FALSE)=0,"",VLOOKUP(N726,'Incoming Material Report'!H:N,7,FALSE))</f>
        <v>#N/A</v>
      </c>
      <c r="BH726" s="39">
        <f t="shared" si="187"/>
        <v>0</v>
      </c>
      <c r="BI726" s="1">
        <f t="shared" si="188"/>
        <v>0</v>
      </c>
      <c r="BJ726" s="1">
        <f t="shared" si="189"/>
        <v>0</v>
      </c>
      <c r="BK726" s="1">
        <f t="shared" si="190"/>
        <v>0</v>
      </c>
      <c r="BL726" s="1">
        <f t="shared" si="191"/>
        <v>0</v>
      </c>
      <c r="BM726" s="10" t="str">
        <f t="shared" si="192"/>
        <v/>
      </c>
      <c r="BN726" s="39">
        <f t="shared" si="193"/>
        <v>0</v>
      </c>
      <c r="BO726" s="39">
        <f t="shared" si="194"/>
        <v>0</v>
      </c>
      <c r="BP726" s="1">
        <f t="shared" si="195"/>
        <v>0</v>
      </c>
      <c r="BQ726" s="1">
        <f t="shared" si="196"/>
        <v>0</v>
      </c>
      <c r="BR726" s="1" t="str">
        <f t="shared" si="197"/>
        <v/>
      </c>
      <c r="BS726" s="1">
        <f t="shared" si="198"/>
        <v>0</v>
      </c>
      <c r="BT726" s="4">
        <f t="shared" si="199"/>
        <v>0</v>
      </c>
      <c r="BU726" s="39">
        <f t="shared" si="200"/>
        <v>0</v>
      </c>
      <c r="BV726" s="1">
        <f t="shared" si="201"/>
        <v>0</v>
      </c>
      <c r="BW726">
        <f t="shared" si="202"/>
        <v>0</v>
      </c>
      <c r="BX726">
        <f t="shared" si="203"/>
        <v>0</v>
      </c>
    </row>
    <row r="727" spans="58:76" x14ac:dyDescent="0.25">
      <c r="BF727" s="1" t="e">
        <f>VLOOKUP(N727,'Incoming Material Report'!H:M,6,FALSE)</f>
        <v>#N/A</v>
      </c>
      <c r="BG727" s="1" t="e">
        <f>IF(VLOOKUP(N727,'Incoming Material Report'!H:N,7,FALSE)=0,"",VLOOKUP(N727,'Incoming Material Report'!H:N,7,FALSE))</f>
        <v>#N/A</v>
      </c>
      <c r="BH727" s="39">
        <f t="shared" si="187"/>
        <v>0</v>
      </c>
      <c r="BI727" s="1">
        <f t="shared" si="188"/>
        <v>0</v>
      </c>
      <c r="BJ727" s="1">
        <f t="shared" si="189"/>
        <v>0</v>
      </c>
      <c r="BK727" s="1">
        <f t="shared" si="190"/>
        <v>0</v>
      </c>
      <c r="BL727" s="1">
        <f t="shared" si="191"/>
        <v>0</v>
      </c>
      <c r="BM727" s="10" t="str">
        <f t="shared" si="192"/>
        <v/>
      </c>
      <c r="BN727" s="39">
        <f t="shared" si="193"/>
        <v>0</v>
      </c>
      <c r="BO727" s="39">
        <f t="shared" si="194"/>
        <v>0</v>
      </c>
      <c r="BP727" s="1">
        <f t="shared" si="195"/>
        <v>0</v>
      </c>
      <c r="BQ727" s="1">
        <f t="shared" si="196"/>
        <v>0</v>
      </c>
      <c r="BR727" s="1" t="str">
        <f t="shared" si="197"/>
        <v/>
      </c>
      <c r="BS727" s="1">
        <f t="shared" si="198"/>
        <v>0</v>
      </c>
      <c r="BT727" s="4">
        <f t="shared" si="199"/>
        <v>0</v>
      </c>
      <c r="BU727" s="39">
        <f t="shared" si="200"/>
        <v>0</v>
      </c>
      <c r="BV727" s="1">
        <f t="shared" si="201"/>
        <v>0</v>
      </c>
      <c r="BW727">
        <f t="shared" si="202"/>
        <v>0</v>
      </c>
      <c r="BX727">
        <f t="shared" si="203"/>
        <v>0</v>
      </c>
    </row>
    <row r="728" spans="58:76" x14ac:dyDescent="0.25">
      <c r="BF728" s="1" t="e">
        <f>VLOOKUP(N728,'Incoming Material Report'!H:M,6,FALSE)</f>
        <v>#N/A</v>
      </c>
      <c r="BG728" s="1" t="e">
        <f>IF(VLOOKUP(N728,'Incoming Material Report'!H:N,7,FALSE)=0,"",VLOOKUP(N728,'Incoming Material Report'!H:N,7,FALSE))</f>
        <v>#N/A</v>
      </c>
      <c r="BH728" s="39">
        <f t="shared" si="187"/>
        <v>0</v>
      </c>
      <c r="BI728" s="1">
        <f t="shared" si="188"/>
        <v>0</v>
      </c>
      <c r="BJ728" s="1">
        <f t="shared" si="189"/>
        <v>0</v>
      </c>
      <c r="BK728" s="1">
        <f t="shared" si="190"/>
        <v>0</v>
      </c>
      <c r="BL728" s="1">
        <f t="shared" si="191"/>
        <v>0</v>
      </c>
      <c r="BM728" s="10" t="str">
        <f t="shared" si="192"/>
        <v/>
      </c>
      <c r="BN728" s="39">
        <f t="shared" si="193"/>
        <v>0</v>
      </c>
      <c r="BO728" s="39">
        <f t="shared" si="194"/>
        <v>0</v>
      </c>
      <c r="BP728" s="1">
        <f t="shared" si="195"/>
        <v>0</v>
      </c>
      <c r="BQ728" s="1">
        <f t="shared" si="196"/>
        <v>0</v>
      </c>
      <c r="BR728" s="1" t="str">
        <f t="shared" si="197"/>
        <v/>
      </c>
      <c r="BS728" s="1">
        <f t="shared" si="198"/>
        <v>0</v>
      </c>
      <c r="BT728" s="4">
        <f t="shared" si="199"/>
        <v>0</v>
      </c>
      <c r="BU728" s="39">
        <f t="shared" si="200"/>
        <v>0</v>
      </c>
      <c r="BV728" s="1">
        <f t="shared" si="201"/>
        <v>0</v>
      </c>
      <c r="BW728">
        <f t="shared" si="202"/>
        <v>0</v>
      </c>
      <c r="BX728">
        <f t="shared" si="203"/>
        <v>0</v>
      </c>
    </row>
    <row r="729" spans="58:76" x14ac:dyDescent="0.25">
      <c r="BF729" s="1" t="e">
        <f>VLOOKUP(N729,'Incoming Material Report'!H:M,6,FALSE)</f>
        <v>#N/A</v>
      </c>
      <c r="BG729" s="1" t="e">
        <f>IF(VLOOKUP(N729,'Incoming Material Report'!H:N,7,FALSE)=0,"",VLOOKUP(N729,'Incoming Material Report'!H:N,7,FALSE))</f>
        <v>#N/A</v>
      </c>
      <c r="BH729" s="39">
        <f t="shared" si="187"/>
        <v>0</v>
      </c>
      <c r="BI729" s="1">
        <f t="shared" si="188"/>
        <v>0</v>
      </c>
      <c r="BJ729" s="1">
        <f t="shared" si="189"/>
        <v>0</v>
      </c>
      <c r="BK729" s="1">
        <f t="shared" si="190"/>
        <v>0</v>
      </c>
      <c r="BL729" s="1">
        <f t="shared" si="191"/>
        <v>0</v>
      </c>
      <c r="BM729" s="10" t="str">
        <f t="shared" si="192"/>
        <v/>
      </c>
      <c r="BN729" s="39">
        <f t="shared" si="193"/>
        <v>0</v>
      </c>
      <c r="BO729" s="39">
        <f t="shared" si="194"/>
        <v>0</v>
      </c>
      <c r="BP729" s="1">
        <f t="shared" si="195"/>
        <v>0</v>
      </c>
      <c r="BQ729" s="1">
        <f t="shared" si="196"/>
        <v>0</v>
      </c>
      <c r="BR729" s="1" t="str">
        <f t="shared" si="197"/>
        <v/>
      </c>
      <c r="BS729" s="1">
        <f t="shared" si="198"/>
        <v>0</v>
      </c>
      <c r="BT729" s="4">
        <f t="shared" si="199"/>
        <v>0</v>
      </c>
      <c r="BU729" s="39">
        <f t="shared" si="200"/>
        <v>0</v>
      </c>
      <c r="BV729" s="1">
        <f t="shared" si="201"/>
        <v>0</v>
      </c>
      <c r="BW729">
        <f t="shared" si="202"/>
        <v>0</v>
      </c>
      <c r="BX729">
        <f t="shared" si="203"/>
        <v>0</v>
      </c>
    </row>
    <row r="730" spans="58:76" x14ac:dyDescent="0.25">
      <c r="BF730" s="1" t="e">
        <f>VLOOKUP(N730,'Incoming Material Report'!H:M,6,FALSE)</f>
        <v>#N/A</v>
      </c>
      <c r="BG730" s="1" t="e">
        <f>IF(VLOOKUP(N730,'Incoming Material Report'!H:N,7,FALSE)=0,"",VLOOKUP(N730,'Incoming Material Report'!H:N,7,FALSE))</f>
        <v>#N/A</v>
      </c>
      <c r="BH730" s="39">
        <f t="shared" si="187"/>
        <v>0</v>
      </c>
      <c r="BI730" s="1">
        <f t="shared" si="188"/>
        <v>0</v>
      </c>
      <c r="BJ730" s="1">
        <f t="shared" si="189"/>
        <v>0</v>
      </c>
      <c r="BK730" s="1">
        <f t="shared" si="190"/>
        <v>0</v>
      </c>
      <c r="BL730" s="1">
        <f t="shared" si="191"/>
        <v>0</v>
      </c>
      <c r="BM730" s="10" t="str">
        <f t="shared" si="192"/>
        <v/>
      </c>
      <c r="BN730" s="39">
        <f t="shared" si="193"/>
        <v>0</v>
      </c>
      <c r="BO730" s="39">
        <f t="shared" si="194"/>
        <v>0</v>
      </c>
      <c r="BP730" s="1">
        <f t="shared" si="195"/>
        <v>0</v>
      </c>
      <c r="BQ730" s="1">
        <f t="shared" si="196"/>
        <v>0</v>
      </c>
      <c r="BR730" s="1" t="str">
        <f t="shared" si="197"/>
        <v/>
      </c>
      <c r="BS730" s="1">
        <f t="shared" si="198"/>
        <v>0</v>
      </c>
      <c r="BT730" s="4">
        <f t="shared" si="199"/>
        <v>0</v>
      </c>
      <c r="BU730" s="39">
        <f t="shared" si="200"/>
        <v>0</v>
      </c>
      <c r="BV730" s="1">
        <f t="shared" si="201"/>
        <v>0</v>
      </c>
      <c r="BW730">
        <f t="shared" si="202"/>
        <v>0</v>
      </c>
      <c r="BX730">
        <f t="shared" si="203"/>
        <v>0</v>
      </c>
    </row>
    <row r="731" spans="58:76" x14ac:dyDescent="0.25">
      <c r="BF731" s="1" t="e">
        <f>VLOOKUP(N731,'Incoming Material Report'!H:M,6,FALSE)</f>
        <v>#N/A</v>
      </c>
      <c r="BG731" s="1" t="e">
        <f>IF(VLOOKUP(N731,'Incoming Material Report'!H:N,7,FALSE)=0,"",VLOOKUP(N731,'Incoming Material Report'!H:N,7,FALSE))</f>
        <v>#N/A</v>
      </c>
      <c r="BH731" s="39">
        <f t="shared" si="187"/>
        <v>0</v>
      </c>
      <c r="BI731" s="1">
        <f t="shared" si="188"/>
        <v>0</v>
      </c>
      <c r="BJ731" s="1">
        <f t="shared" si="189"/>
        <v>0</v>
      </c>
      <c r="BK731" s="1">
        <f t="shared" si="190"/>
        <v>0</v>
      </c>
      <c r="BL731" s="1">
        <f t="shared" si="191"/>
        <v>0</v>
      </c>
      <c r="BM731" s="10" t="str">
        <f t="shared" si="192"/>
        <v/>
      </c>
      <c r="BN731" s="39">
        <f t="shared" si="193"/>
        <v>0</v>
      </c>
      <c r="BO731" s="39">
        <f t="shared" si="194"/>
        <v>0</v>
      </c>
      <c r="BP731" s="1">
        <f t="shared" si="195"/>
        <v>0</v>
      </c>
      <c r="BQ731" s="1">
        <f t="shared" si="196"/>
        <v>0</v>
      </c>
      <c r="BR731" s="1" t="str">
        <f t="shared" si="197"/>
        <v/>
      </c>
      <c r="BS731" s="1">
        <f t="shared" si="198"/>
        <v>0</v>
      </c>
      <c r="BT731" s="4">
        <f t="shared" si="199"/>
        <v>0</v>
      </c>
      <c r="BU731" s="39">
        <f t="shared" si="200"/>
        <v>0</v>
      </c>
      <c r="BV731" s="1">
        <f t="shared" si="201"/>
        <v>0</v>
      </c>
      <c r="BW731">
        <f t="shared" si="202"/>
        <v>0</v>
      </c>
      <c r="BX731">
        <f t="shared" si="203"/>
        <v>0</v>
      </c>
    </row>
    <row r="732" spans="58:76" x14ac:dyDescent="0.25">
      <c r="BF732" s="1" t="e">
        <f>VLOOKUP(N732,'Incoming Material Report'!H:M,6,FALSE)</f>
        <v>#N/A</v>
      </c>
      <c r="BG732" s="1" t="e">
        <f>IF(VLOOKUP(N732,'Incoming Material Report'!H:N,7,FALSE)=0,"",VLOOKUP(N732,'Incoming Material Report'!H:N,7,FALSE))</f>
        <v>#N/A</v>
      </c>
      <c r="BH732" s="39">
        <f t="shared" si="187"/>
        <v>0</v>
      </c>
      <c r="BI732" s="1">
        <f t="shared" si="188"/>
        <v>0</v>
      </c>
      <c r="BJ732" s="1">
        <f t="shared" si="189"/>
        <v>0</v>
      </c>
      <c r="BK732" s="1">
        <f t="shared" si="190"/>
        <v>0</v>
      </c>
      <c r="BL732" s="1">
        <f t="shared" si="191"/>
        <v>0</v>
      </c>
      <c r="BM732" s="10" t="str">
        <f t="shared" si="192"/>
        <v/>
      </c>
      <c r="BN732" s="39">
        <f t="shared" si="193"/>
        <v>0</v>
      </c>
      <c r="BO732" s="39">
        <f t="shared" si="194"/>
        <v>0</v>
      </c>
      <c r="BP732" s="1">
        <f t="shared" si="195"/>
        <v>0</v>
      </c>
      <c r="BQ732" s="1">
        <f t="shared" si="196"/>
        <v>0</v>
      </c>
      <c r="BR732" s="1" t="str">
        <f t="shared" si="197"/>
        <v/>
      </c>
      <c r="BS732" s="1">
        <f t="shared" si="198"/>
        <v>0</v>
      </c>
      <c r="BT732" s="4">
        <f t="shared" si="199"/>
        <v>0</v>
      </c>
      <c r="BU732" s="39">
        <f t="shared" si="200"/>
        <v>0</v>
      </c>
      <c r="BV732" s="1">
        <f t="shared" si="201"/>
        <v>0</v>
      </c>
      <c r="BW732">
        <f t="shared" si="202"/>
        <v>0</v>
      </c>
      <c r="BX732">
        <f t="shared" si="203"/>
        <v>0</v>
      </c>
    </row>
    <row r="733" spans="58:76" x14ac:dyDescent="0.25">
      <c r="BF733" s="1" t="e">
        <f>VLOOKUP(N733,'Incoming Material Report'!H:M,6,FALSE)</f>
        <v>#N/A</v>
      </c>
      <c r="BG733" s="1" t="e">
        <f>IF(VLOOKUP(N733,'Incoming Material Report'!H:N,7,FALSE)=0,"",VLOOKUP(N733,'Incoming Material Report'!H:N,7,FALSE))</f>
        <v>#N/A</v>
      </c>
      <c r="BH733" s="39">
        <f t="shared" si="187"/>
        <v>0</v>
      </c>
      <c r="BI733" s="1">
        <f t="shared" si="188"/>
        <v>0</v>
      </c>
      <c r="BJ733" s="1">
        <f t="shared" si="189"/>
        <v>0</v>
      </c>
      <c r="BK733" s="1">
        <f t="shared" si="190"/>
        <v>0</v>
      </c>
      <c r="BL733" s="1">
        <f t="shared" si="191"/>
        <v>0</v>
      </c>
      <c r="BM733" s="10" t="str">
        <f t="shared" si="192"/>
        <v/>
      </c>
      <c r="BN733" s="39">
        <f t="shared" si="193"/>
        <v>0</v>
      </c>
      <c r="BO733" s="39">
        <f t="shared" si="194"/>
        <v>0</v>
      </c>
      <c r="BP733" s="1">
        <f t="shared" si="195"/>
        <v>0</v>
      </c>
      <c r="BQ733" s="1">
        <f t="shared" si="196"/>
        <v>0</v>
      </c>
      <c r="BR733" s="1" t="str">
        <f t="shared" si="197"/>
        <v/>
      </c>
      <c r="BS733" s="1">
        <f t="shared" si="198"/>
        <v>0</v>
      </c>
      <c r="BT733" s="4">
        <f t="shared" si="199"/>
        <v>0</v>
      </c>
      <c r="BU733" s="39">
        <f t="shared" si="200"/>
        <v>0</v>
      </c>
      <c r="BV733" s="1">
        <f t="shared" si="201"/>
        <v>0</v>
      </c>
      <c r="BW733">
        <f t="shared" si="202"/>
        <v>0</v>
      </c>
      <c r="BX733">
        <f t="shared" si="203"/>
        <v>0</v>
      </c>
    </row>
    <row r="734" spans="58:76" x14ac:dyDescent="0.25">
      <c r="BF734" s="1" t="e">
        <f>VLOOKUP(N734,'Incoming Material Report'!H:M,6,FALSE)</f>
        <v>#N/A</v>
      </c>
      <c r="BG734" s="1" t="e">
        <f>IF(VLOOKUP(N734,'Incoming Material Report'!H:N,7,FALSE)=0,"",VLOOKUP(N734,'Incoming Material Report'!H:N,7,FALSE))</f>
        <v>#N/A</v>
      </c>
      <c r="BH734" s="39">
        <f t="shared" si="187"/>
        <v>0</v>
      </c>
      <c r="BI734" s="1">
        <f t="shared" si="188"/>
        <v>0</v>
      </c>
      <c r="BJ734" s="1">
        <f t="shared" si="189"/>
        <v>0</v>
      </c>
      <c r="BK734" s="1">
        <f t="shared" si="190"/>
        <v>0</v>
      </c>
      <c r="BL734" s="1">
        <f t="shared" si="191"/>
        <v>0</v>
      </c>
      <c r="BM734" s="10" t="str">
        <f t="shared" si="192"/>
        <v/>
      </c>
      <c r="BN734" s="39">
        <f t="shared" si="193"/>
        <v>0</v>
      </c>
      <c r="BO734" s="39">
        <f t="shared" si="194"/>
        <v>0</v>
      </c>
      <c r="BP734" s="1">
        <f t="shared" si="195"/>
        <v>0</v>
      </c>
      <c r="BQ734" s="1">
        <f t="shared" si="196"/>
        <v>0</v>
      </c>
      <c r="BR734" s="1" t="str">
        <f t="shared" si="197"/>
        <v/>
      </c>
      <c r="BS734" s="1">
        <f t="shared" si="198"/>
        <v>0</v>
      </c>
      <c r="BT734" s="4">
        <f t="shared" si="199"/>
        <v>0</v>
      </c>
      <c r="BU734" s="39">
        <f t="shared" si="200"/>
        <v>0</v>
      </c>
      <c r="BV734" s="1">
        <f t="shared" si="201"/>
        <v>0</v>
      </c>
      <c r="BW734">
        <f t="shared" si="202"/>
        <v>0</v>
      </c>
      <c r="BX734">
        <f t="shared" si="203"/>
        <v>0</v>
      </c>
    </row>
    <row r="735" spans="58:76" x14ac:dyDescent="0.25">
      <c r="BF735" s="1" t="e">
        <f>VLOOKUP(N735,'Incoming Material Report'!H:M,6,FALSE)</f>
        <v>#N/A</v>
      </c>
      <c r="BG735" s="1" t="e">
        <f>IF(VLOOKUP(N735,'Incoming Material Report'!H:N,7,FALSE)=0,"",VLOOKUP(N735,'Incoming Material Report'!H:N,7,FALSE))</f>
        <v>#N/A</v>
      </c>
      <c r="BH735" s="39">
        <f t="shared" si="187"/>
        <v>0</v>
      </c>
      <c r="BI735" s="1">
        <f t="shared" si="188"/>
        <v>0</v>
      </c>
      <c r="BJ735" s="1">
        <f t="shared" si="189"/>
        <v>0</v>
      </c>
      <c r="BK735" s="1">
        <f t="shared" si="190"/>
        <v>0</v>
      </c>
      <c r="BL735" s="1">
        <f t="shared" si="191"/>
        <v>0</v>
      </c>
      <c r="BM735" s="10" t="str">
        <f t="shared" si="192"/>
        <v/>
      </c>
      <c r="BN735" s="39">
        <f t="shared" si="193"/>
        <v>0</v>
      </c>
      <c r="BO735" s="39">
        <f t="shared" si="194"/>
        <v>0</v>
      </c>
      <c r="BP735" s="1">
        <f t="shared" si="195"/>
        <v>0</v>
      </c>
      <c r="BQ735" s="1">
        <f t="shared" si="196"/>
        <v>0</v>
      </c>
      <c r="BR735" s="1" t="str">
        <f t="shared" si="197"/>
        <v/>
      </c>
      <c r="BS735" s="1">
        <f t="shared" si="198"/>
        <v>0</v>
      </c>
      <c r="BT735" s="4">
        <f t="shared" si="199"/>
        <v>0</v>
      </c>
      <c r="BU735" s="39">
        <f t="shared" si="200"/>
        <v>0</v>
      </c>
      <c r="BV735" s="1">
        <f t="shared" si="201"/>
        <v>0</v>
      </c>
      <c r="BW735">
        <f t="shared" si="202"/>
        <v>0</v>
      </c>
      <c r="BX735">
        <f t="shared" si="203"/>
        <v>0</v>
      </c>
    </row>
    <row r="736" spans="58:76" x14ac:dyDescent="0.25">
      <c r="BF736" s="1" t="e">
        <f>VLOOKUP(N736,'Incoming Material Report'!H:M,6,FALSE)</f>
        <v>#N/A</v>
      </c>
      <c r="BG736" s="1" t="e">
        <f>IF(VLOOKUP(N736,'Incoming Material Report'!H:N,7,FALSE)=0,"",VLOOKUP(N736,'Incoming Material Report'!H:N,7,FALSE))</f>
        <v>#N/A</v>
      </c>
      <c r="BH736" s="39">
        <f t="shared" si="187"/>
        <v>0</v>
      </c>
      <c r="BI736" s="1">
        <f t="shared" si="188"/>
        <v>0</v>
      </c>
      <c r="BJ736" s="1">
        <f t="shared" si="189"/>
        <v>0</v>
      </c>
      <c r="BK736" s="1">
        <f t="shared" si="190"/>
        <v>0</v>
      </c>
      <c r="BL736" s="1">
        <f t="shared" si="191"/>
        <v>0</v>
      </c>
      <c r="BM736" s="10" t="str">
        <f t="shared" si="192"/>
        <v/>
      </c>
      <c r="BN736" s="39">
        <f t="shared" si="193"/>
        <v>0</v>
      </c>
      <c r="BO736" s="39">
        <f t="shared" si="194"/>
        <v>0</v>
      </c>
      <c r="BP736" s="1">
        <f t="shared" si="195"/>
        <v>0</v>
      </c>
      <c r="BQ736" s="1">
        <f t="shared" si="196"/>
        <v>0</v>
      </c>
      <c r="BR736" s="1" t="str">
        <f t="shared" si="197"/>
        <v/>
      </c>
      <c r="BS736" s="1">
        <f t="shared" si="198"/>
        <v>0</v>
      </c>
      <c r="BT736" s="4">
        <f t="shared" si="199"/>
        <v>0</v>
      </c>
      <c r="BU736" s="39">
        <f t="shared" si="200"/>
        <v>0</v>
      </c>
      <c r="BV736" s="1">
        <f t="shared" si="201"/>
        <v>0</v>
      </c>
      <c r="BW736">
        <f t="shared" si="202"/>
        <v>0</v>
      </c>
      <c r="BX736">
        <f t="shared" si="203"/>
        <v>0</v>
      </c>
    </row>
    <row r="737" spans="58:76" x14ac:dyDescent="0.25">
      <c r="BF737" s="1" t="e">
        <f>VLOOKUP(N737,'Incoming Material Report'!H:M,6,FALSE)</f>
        <v>#N/A</v>
      </c>
      <c r="BG737" s="1" t="e">
        <f>IF(VLOOKUP(N737,'Incoming Material Report'!H:N,7,FALSE)=0,"",VLOOKUP(N737,'Incoming Material Report'!H:N,7,FALSE))</f>
        <v>#N/A</v>
      </c>
      <c r="BH737" s="39">
        <f t="shared" si="187"/>
        <v>0</v>
      </c>
      <c r="BI737" s="1">
        <f t="shared" si="188"/>
        <v>0</v>
      </c>
      <c r="BJ737" s="1">
        <f t="shared" si="189"/>
        <v>0</v>
      </c>
      <c r="BK737" s="1">
        <f t="shared" si="190"/>
        <v>0</v>
      </c>
      <c r="BL737" s="1">
        <f t="shared" si="191"/>
        <v>0</v>
      </c>
      <c r="BM737" s="10" t="str">
        <f t="shared" si="192"/>
        <v/>
      </c>
      <c r="BN737" s="39">
        <f t="shared" si="193"/>
        <v>0</v>
      </c>
      <c r="BO737" s="39">
        <f t="shared" si="194"/>
        <v>0</v>
      </c>
      <c r="BP737" s="1">
        <f t="shared" si="195"/>
        <v>0</v>
      </c>
      <c r="BQ737" s="1">
        <f t="shared" si="196"/>
        <v>0</v>
      </c>
      <c r="BR737" s="1" t="str">
        <f t="shared" si="197"/>
        <v/>
      </c>
      <c r="BS737" s="1">
        <f t="shared" si="198"/>
        <v>0</v>
      </c>
      <c r="BT737" s="4">
        <f t="shared" si="199"/>
        <v>0</v>
      </c>
      <c r="BU737" s="39">
        <f t="shared" si="200"/>
        <v>0</v>
      </c>
      <c r="BV737" s="1">
        <f t="shared" si="201"/>
        <v>0</v>
      </c>
      <c r="BW737">
        <f t="shared" si="202"/>
        <v>0</v>
      </c>
      <c r="BX737">
        <f t="shared" si="203"/>
        <v>0</v>
      </c>
    </row>
    <row r="738" spans="58:76" x14ac:dyDescent="0.25">
      <c r="BF738" s="1" t="e">
        <f>VLOOKUP(N738,'Incoming Material Report'!H:M,6,FALSE)</f>
        <v>#N/A</v>
      </c>
      <c r="BG738" s="1" t="e">
        <f>IF(VLOOKUP(N738,'Incoming Material Report'!H:N,7,FALSE)=0,"",VLOOKUP(N738,'Incoming Material Report'!H:N,7,FALSE))</f>
        <v>#N/A</v>
      </c>
      <c r="BH738" s="39">
        <f t="shared" si="187"/>
        <v>0</v>
      </c>
      <c r="BI738" s="1">
        <f t="shared" si="188"/>
        <v>0</v>
      </c>
      <c r="BJ738" s="1">
        <f t="shared" si="189"/>
        <v>0</v>
      </c>
      <c r="BK738" s="1">
        <f t="shared" si="190"/>
        <v>0</v>
      </c>
      <c r="BL738" s="1">
        <f t="shared" si="191"/>
        <v>0</v>
      </c>
      <c r="BM738" s="10" t="str">
        <f t="shared" si="192"/>
        <v/>
      </c>
      <c r="BN738" s="39">
        <f t="shared" si="193"/>
        <v>0</v>
      </c>
      <c r="BO738" s="39">
        <f t="shared" si="194"/>
        <v>0</v>
      </c>
      <c r="BP738" s="1">
        <f t="shared" si="195"/>
        <v>0</v>
      </c>
      <c r="BQ738" s="1">
        <f t="shared" si="196"/>
        <v>0</v>
      </c>
      <c r="BR738" s="1" t="str">
        <f t="shared" si="197"/>
        <v/>
      </c>
      <c r="BS738" s="1">
        <f t="shared" si="198"/>
        <v>0</v>
      </c>
      <c r="BT738" s="4">
        <f t="shared" si="199"/>
        <v>0</v>
      </c>
      <c r="BU738" s="39">
        <f t="shared" si="200"/>
        <v>0</v>
      </c>
      <c r="BV738" s="1">
        <f t="shared" si="201"/>
        <v>0</v>
      </c>
      <c r="BW738">
        <f t="shared" si="202"/>
        <v>0</v>
      </c>
      <c r="BX738">
        <f t="shared" si="203"/>
        <v>0</v>
      </c>
    </row>
    <row r="739" spans="58:76" x14ac:dyDescent="0.25">
      <c r="BF739" s="1" t="e">
        <f>VLOOKUP(N739,'Incoming Material Report'!H:M,6,FALSE)</f>
        <v>#N/A</v>
      </c>
      <c r="BG739" s="1" t="e">
        <f>IF(VLOOKUP(N739,'Incoming Material Report'!H:N,7,FALSE)=0,"",VLOOKUP(N739,'Incoming Material Report'!H:N,7,FALSE))</f>
        <v>#N/A</v>
      </c>
      <c r="BH739" s="39">
        <f t="shared" si="187"/>
        <v>0</v>
      </c>
      <c r="BI739" s="1">
        <f t="shared" si="188"/>
        <v>0</v>
      </c>
      <c r="BJ739" s="1">
        <f t="shared" si="189"/>
        <v>0</v>
      </c>
      <c r="BK739" s="1">
        <f t="shared" si="190"/>
        <v>0</v>
      </c>
      <c r="BL739" s="1">
        <f t="shared" si="191"/>
        <v>0</v>
      </c>
      <c r="BM739" s="10" t="str">
        <f t="shared" si="192"/>
        <v/>
      </c>
      <c r="BN739" s="39">
        <f t="shared" si="193"/>
        <v>0</v>
      </c>
      <c r="BO739" s="39">
        <f t="shared" si="194"/>
        <v>0</v>
      </c>
      <c r="BP739" s="1">
        <f t="shared" si="195"/>
        <v>0</v>
      </c>
      <c r="BQ739" s="1">
        <f t="shared" si="196"/>
        <v>0</v>
      </c>
      <c r="BR739" s="1" t="str">
        <f t="shared" si="197"/>
        <v/>
      </c>
      <c r="BS739" s="1">
        <f t="shared" si="198"/>
        <v>0</v>
      </c>
      <c r="BT739" s="4">
        <f t="shared" si="199"/>
        <v>0</v>
      </c>
      <c r="BU739" s="39">
        <f t="shared" si="200"/>
        <v>0</v>
      </c>
      <c r="BV739" s="1">
        <f t="shared" si="201"/>
        <v>0</v>
      </c>
      <c r="BW739">
        <f t="shared" si="202"/>
        <v>0</v>
      </c>
      <c r="BX739">
        <f t="shared" si="203"/>
        <v>0</v>
      </c>
    </row>
    <row r="740" spans="58:76" x14ac:dyDescent="0.25">
      <c r="BF740" s="1" t="e">
        <f>VLOOKUP(N740,'Incoming Material Report'!H:M,6,FALSE)</f>
        <v>#N/A</v>
      </c>
      <c r="BG740" s="1" t="e">
        <f>IF(VLOOKUP(N740,'Incoming Material Report'!H:N,7,FALSE)=0,"",VLOOKUP(N740,'Incoming Material Report'!H:N,7,FALSE))</f>
        <v>#N/A</v>
      </c>
      <c r="BH740" s="39">
        <f t="shared" si="187"/>
        <v>0</v>
      </c>
      <c r="BI740" s="1">
        <f t="shared" si="188"/>
        <v>0</v>
      </c>
      <c r="BJ740" s="1">
        <f t="shared" si="189"/>
        <v>0</v>
      </c>
      <c r="BK740" s="1">
        <f t="shared" si="190"/>
        <v>0</v>
      </c>
      <c r="BL740" s="1">
        <f t="shared" si="191"/>
        <v>0</v>
      </c>
      <c r="BM740" s="10" t="str">
        <f t="shared" si="192"/>
        <v/>
      </c>
      <c r="BN740" s="39">
        <f t="shared" si="193"/>
        <v>0</v>
      </c>
      <c r="BO740" s="39">
        <f t="shared" si="194"/>
        <v>0</v>
      </c>
      <c r="BP740" s="1">
        <f t="shared" si="195"/>
        <v>0</v>
      </c>
      <c r="BQ740" s="1">
        <f t="shared" si="196"/>
        <v>0</v>
      </c>
      <c r="BR740" s="1" t="str">
        <f t="shared" si="197"/>
        <v/>
      </c>
      <c r="BS740" s="1">
        <f t="shared" si="198"/>
        <v>0</v>
      </c>
      <c r="BT740" s="4">
        <f t="shared" si="199"/>
        <v>0</v>
      </c>
      <c r="BU740" s="39">
        <f t="shared" si="200"/>
        <v>0</v>
      </c>
      <c r="BV740" s="1">
        <f t="shared" si="201"/>
        <v>0</v>
      </c>
      <c r="BW740">
        <f t="shared" si="202"/>
        <v>0</v>
      </c>
      <c r="BX740">
        <f t="shared" si="203"/>
        <v>0</v>
      </c>
    </row>
    <row r="741" spans="58:76" x14ac:dyDescent="0.25">
      <c r="BF741" s="1" t="e">
        <f>VLOOKUP(N741,'Incoming Material Report'!H:M,6,FALSE)</f>
        <v>#N/A</v>
      </c>
      <c r="BG741" s="1" t="e">
        <f>IF(VLOOKUP(N741,'Incoming Material Report'!H:N,7,FALSE)=0,"",VLOOKUP(N741,'Incoming Material Report'!H:N,7,FALSE))</f>
        <v>#N/A</v>
      </c>
      <c r="BH741" s="39">
        <f t="shared" si="187"/>
        <v>0</v>
      </c>
      <c r="BI741" s="1">
        <f t="shared" si="188"/>
        <v>0</v>
      </c>
      <c r="BJ741" s="1">
        <f t="shared" si="189"/>
        <v>0</v>
      </c>
      <c r="BK741" s="1">
        <f t="shared" si="190"/>
        <v>0</v>
      </c>
      <c r="BL741" s="1">
        <f t="shared" si="191"/>
        <v>0</v>
      </c>
      <c r="BM741" s="10" t="str">
        <f t="shared" si="192"/>
        <v/>
      </c>
      <c r="BN741" s="39">
        <f t="shared" si="193"/>
        <v>0</v>
      </c>
      <c r="BO741" s="39">
        <f t="shared" si="194"/>
        <v>0</v>
      </c>
      <c r="BP741" s="1">
        <f t="shared" si="195"/>
        <v>0</v>
      </c>
      <c r="BQ741" s="1">
        <f t="shared" si="196"/>
        <v>0</v>
      </c>
      <c r="BR741" s="1" t="str">
        <f t="shared" si="197"/>
        <v/>
      </c>
      <c r="BS741" s="1">
        <f t="shared" si="198"/>
        <v>0</v>
      </c>
      <c r="BT741" s="4">
        <f t="shared" si="199"/>
        <v>0</v>
      </c>
      <c r="BU741" s="39">
        <f t="shared" si="200"/>
        <v>0</v>
      </c>
      <c r="BV741" s="1">
        <f t="shared" si="201"/>
        <v>0</v>
      </c>
      <c r="BW741">
        <f t="shared" si="202"/>
        <v>0</v>
      </c>
      <c r="BX741">
        <f t="shared" si="203"/>
        <v>0</v>
      </c>
    </row>
    <row r="742" spans="58:76" x14ac:dyDescent="0.25">
      <c r="BF742" s="1" t="e">
        <f>VLOOKUP(N742,'Incoming Material Report'!H:M,6,FALSE)</f>
        <v>#N/A</v>
      </c>
      <c r="BG742" s="1" t="e">
        <f>IF(VLOOKUP(N742,'Incoming Material Report'!H:N,7,FALSE)=0,"",VLOOKUP(N742,'Incoming Material Report'!H:N,7,FALSE))</f>
        <v>#N/A</v>
      </c>
      <c r="BH742" s="39">
        <f t="shared" si="187"/>
        <v>0</v>
      </c>
      <c r="BI742" s="1">
        <f t="shared" si="188"/>
        <v>0</v>
      </c>
      <c r="BJ742" s="1">
        <f t="shared" si="189"/>
        <v>0</v>
      </c>
      <c r="BK742" s="1">
        <f t="shared" si="190"/>
        <v>0</v>
      </c>
      <c r="BL742" s="1">
        <f t="shared" si="191"/>
        <v>0</v>
      </c>
      <c r="BM742" s="10" t="str">
        <f t="shared" si="192"/>
        <v/>
      </c>
      <c r="BN742" s="39">
        <f t="shared" si="193"/>
        <v>0</v>
      </c>
      <c r="BO742" s="39">
        <f t="shared" si="194"/>
        <v>0</v>
      </c>
      <c r="BP742" s="1">
        <f t="shared" si="195"/>
        <v>0</v>
      </c>
      <c r="BQ742" s="1">
        <f t="shared" si="196"/>
        <v>0</v>
      </c>
      <c r="BR742" s="1" t="str">
        <f t="shared" si="197"/>
        <v/>
      </c>
      <c r="BS742" s="1">
        <f t="shared" si="198"/>
        <v>0</v>
      </c>
      <c r="BT742" s="4">
        <f t="shared" si="199"/>
        <v>0</v>
      </c>
      <c r="BU742" s="39">
        <f t="shared" si="200"/>
        <v>0</v>
      </c>
      <c r="BV742" s="1">
        <f t="shared" si="201"/>
        <v>0</v>
      </c>
      <c r="BW742">
        <f t="shared" si="202"/>
        <v>0</v>
      </c>
      <c r="BX742">
        <f t="shared" si="203"/>
        <v>0</v>
      </c>
    </row>
    <row r="743" spans="58:76" x14ac:dyDescent="0.25">
      <c r="BF743" s="1" t="e">
        <f>VLOOKUP(N743,'Incoming Material Report'!H:M,6,FALSE)</f>
        <v>#N/A</v>
      </c>
      <c r="BG743" s="1" t="e">
        <f>IF(VLOOKUP(N743,'Incoming Material Report'!H:N,7,FALSE)=0,"",VLOOKUP(N743,'Incoming Material Report'!H:N,7,FALSE))</f>
        <v>#N/A</v>
      </c>
      <c r="BH743" s="39">
        <f t="shared" si="187"/>
        <v>0</v>
      </c>
      <c r="BI743" s="1">
        <f t="shared" si="188"/>
        <v>0</v>
      </c>
      <c r="BJ743" s="1">
        <f t="shared" si="189"/>
        <v>0</v>
      </c>
      <c r="BK743" s="1">
        <f t="shared" si="190"/>
        <v>0</v>
      </c>
      <c r="BL743" s="1">
        <f t="shared" si="191"/>
        <v>0</v>
      </c>
      <c r="BM743" s="10" t="str">
        <f t="shared" si="192"/>
        <v/>
      </c>
      <c r="BN743" s="39">
        <f t="shared" si="193"/>
        <v>0</v>
      </c>
      <c r="BO743" s="39">
        <f t="shared" si="194"/>
        <v>0</v>
      </c>
      <c r="BP743" s="1">
        <f t="shared" si="195"/>
        <v>0</v>
      </c>
      <c r="BQ743" s="1">
        <f t="shared" si="196"/>
        <v>0</v>
      </c>
      <c r="BR743" s="1" t="str">
        <f t="shared" si="197"/>
        <v/>
      </c>
      <c r="BS743" s="1">
        <f t="shared" si="198"/>
        <v>0</v>
      </c>
      <c r="BT743" s="4">
        <f t="shared" si="199"/>
        <v>0</v>
      </c>
      <c r="BU743" s="39">
        <f t="shared" si="200"/>
        <v>0</v>
      </c>
      <c r="BV743" s="1">
        <f t="shared" si="201"/>
        <v>0</v>
      </c>
      <c r="BW743">
        <f t="shared" si="202"/>
        <v>0</v>
      </c>
      <c r="BX743">
        <f t="shared" si="203"/>
        <v>0</v>
      </c>
    </row>
    <row r="744" spans="58:76" x14ac:dyDescent="0.25">
      <c r="BF744" s="1" t="e">
        <f>VLOOKUP(N744,'Incoming Material Report'!H:M,6,FALSE)</f>
        <v>#N/A</v>
      </c>
      <c r="BG744" s="1" t="e">
        <f>IF(VLOOKUP(N744,'Incoming Material Report'!H:N,7,FALSE)=0,"",VLOOKUP(N744,'Incoming Material Report'!H:N,7,FALSE))</f>
        <v>#N/A</v>
      </c>
      <c r="BH744" s="39">
        <f t="shared" si="187"/>
        <v>0</v>
      </c>
      <c r="BI744" s="1">
        <f t="shared" si="188"/>
        <v>0</v>
      </c>
      <c r="BJ744" s="1">
        <f t="shared" si="189"/>
        <v>0</v>
      </c>
      <c r="BK744" s="1">
        <f t="shared" si="190"/>
        <v>0</v>
      </c>
      <c r="BL744" s="1">
        <f t="shared" si="191"/>
        <v>0</v>
      </c>
      <c r="BM744" s="10" t="str">
        <f t="shared" si="192"/>
        <v/>
      </c>
      <c r="BN744" s="39">
        <f t="shared" si="193"/>
        <v>0</v>
      </c>
      <c r="BO744" s="39">
        <f t="shared" si="194"/>
        <v>0</v>
      </c>
      <c r="BP744" s="1">
        <f t="shared" si="195"/>
        <v>0</v>
      </c>
      <c r="BQ744" s="1">
        <f t="shared" si="196"/>
        <v>0</v>
      </c>
      <c r="BR744" s="1" t="str">
        <f t="shared" si="197"/>
        <v/>
      </c>
      <c r="BS744" s="1">
        <f t="shared" si="198"/>
        <v>0</v>
      </c>
      <c r="BT744" s="4">
        <f t="shared" si="199"/>
        <v>0</v>
      </c>
      <c r="BU744" s="39">
        <f t="shared" si="200"/>
        <v>0</v>
      </c>
      <c r="BV744" s="1">
        <f t="shared" si="201"/>
        <v>0</v>
      </c>
      <c r="BW744">
        <f t="shared" si="202"/>
        <v>0</v>
      </c>
      <c r="BX744">
        <f t="shared" si="203"/>
        <v>0</v>
      </c>
    </row>
    <row r="745" spans="58:76" x14ac:dyDescent="0.25">
      <c r="BF745" s="1" t="e">
        <f>VLOOKUP(N745,'Incoming Material Report'!H:M,6,FALSE)</f>
        <v>#N/A</v>
      </c>
      <c r="BG745" s="1" t="e">
        <f>IF(VLOOKUP(N745,'Incoming Material Report'!H:N,7,FALSE)=0,"",VLOOKUP(N745,'Incoming Material Report'!H:N,7,FALSE))</f>
        <v>#N/A</v>
      </c>
      <c r="BH745" s="39">
        <f t="shared" si="187"/>
        <v>0</v>
      </c>
      <c r="BI745" s="1">
        <f t="shared" si="188"/>
        <v>0</v>
      </c>
      <c r="BJ745" s="1">
        <f t="shared" si="189"/>
        <v>0</v>
      </c>
      <c r="BK745" s="1">
        <f t="shared" si="190"/>
        <v>0</v>
      </c>
      <c r="BL745" s="1">
        <f t="shared" si="191"/>
        <v>0</v>
      </c>
      <c r="BM745" s="10" t="str">
        <f t="shared" si="192"/>
        <v/>
      </c>
      <c r="BN745" s="39">
        <f t="shared" si="193"/>
        <v>0</v>
      </c>
      <c r="BO745" s="39">
        <f t="shared" si="194"/>
        <v>0</v>
      </c>
      <c r="BP745" s="1">
        <f t="shared" si="195"/>
        <v>0</v>
      </c>
      <c r="BQ745" s="1">
        <f t="shared" si="196"/>
        <v>0</v>
      </c>
      <c r="BR745" s="1" t="str">
        <f t="shared" si="197"/>
        <v/>
      </c>
      <c r="BS745" s="1">
        <f t="shared" si="198"/>
        <v>0</v>
      </c>
      <c r="BT745" s="4">
        <f t="shared" si="199"/>
        <v>0</v>
      </c>
      <c r="BU745" s="39">
        <f t="shared" si="200"/>
        <v>0</v>
      </c>
      <c r="BV745" s="1">
        <f t="shared" si="201"/>
        <v>0</v>
      </c>
      <c r="BW745">
        <f t="shared" si="202"/>
        <v>0</v>
      </c>
      <c r="BX745">
        <f t="shared" si="203"/>
        <v>0</v>
      </c>
    </row>
    <row r="746" spans="58:76" x14ac:dyDescent="0.25">
      <c r="BF746" s="1" t="e">
        <f>VLOOKUP(N746,'Incoming Material Report'!H:M,6,FALSE)</f>
        <v>#N/A</v>
      </c>
      <c r="BG746" s="1" t="e">
        <f>IF(VLOOKUP(N746,'Incoming Material Report'!H:N,7,FALSE)=0,"",VLOOKUP(N746,'Incoming Material Report'!H:N,7,FALSE))</f>
        <v>#N/A</v>
      </c>
      <c r="BH746" s="39">
        <f t="shared" si="187"/>
        <v>0</v>
      </c>
      <c r="BI746" s="1">
        <f t="shared" si="188"/>
        <v>0</v>
      </c>
      <c r="BJ746" s="1">
        <f t="shared" si="189"/>
        <v>0</v>
      </c>
      <c r="BK746" s="1">
        <f t="shared" si="190"/>
        <v>0</v>
      </c>
      <c r="BL746" s="1">
        <f t="shared" si="191"/>
        <v>0</v>
      </c>
      <c r="BM746" s="10" t="str">
        <f t="shared" si="192"/>
        <v/>
      </c>
      <c r="BN746" s="39">
        <f t="shared" si="193"/>
        <v>0</v>
      </c>
      <c r="BO746" s="39">
        <f t="shared" si="194"/>
        <v>0</v>
      </c>
      <c r="BP746" s="1">
        <f t="shared" si="195"/>
        <v>0</v>
      </c>
      <c r="BQ746" s="1">
        <f t="shared" si="196"/>
        <v>0</v>
      </c>
      <c r="BR746" s="1" t="str">
        <f t="shared" si="197"/>
        <v/>
      </c>
      <c r="BS746" s="1">
        <f t="shared" si="198"/>
        <v>0</v>
      </c>
      <c r="BT746" s="4">
        <f t="shared" si="199"/>
        <v>0</v>
      </c>
      <c r="BU746" s="39">
        <f t="shared" si="200"/>
        <v>0</v>
      </c>
      <c r="BV746" s="1">
        <f t="shared" si="201"/>
        <v>0</v>
      </c>
      <c r="BW746">
        <f t="shared" si="202"/>
        <v>0</v>
      </c>
      <c r="BX746">
        <f t="shared" si="203"/>
        <v>0</v>
      </c>
    </row>
    <row r="747" spans="58:76" x14ac:dyDescent="0.25">
      <c r="BF747" s="1" t="e">
        <f>VLOOKUP(N747,'Incoming Material Report'!H:M,6,FALSE)</f>
        <v>#N/A</v>
      </c>
      <c r="BG747" s="1" t="e">
        <f>IF(VLOOKUP(N747,'Incoming Material Report'!H:N,7,FALSE)=0,"",VLOOKUP(N747,'Incoming Material Report'!H:N,7,FALSE))</f>
        <v>#N/A</v>
      </c>
      <c r="BH747" s="39">
        <f t="shared" si="187"/>
        <v>0</v>
      </c>
      <c r="BI747" s="1">
        <f t="shared" si="188"/>
        <v>0</v>
      </c>
      <c r="BJ747" s="1">
        <f t="shared" si="189"/>
        <v>0</v>
      </c>
      <c r="BK747" s="1">
        <f t="shared" si="190"/>
        <v>0</v>
      </c>
      <c r="BL747" s="1">
        <f t="shared" si="191"/>
        <v>0</v>
      </c>
      <c r="BM747" s="10" t="str">
        <f t="shared" si="192"/>
        <v/>
      </c>
      <c r="BN747" s="39">
        <f t="shared" si="193"/>
        <v>0</v>
      </c>
      <c r="BO747" s="39">
        <f t="shared" si="194"/>
        <v>0</v>
      </c>
      <c r="BP747" s="1">
        <f t="shared" si="195"/>
        <v>0</v>
      </c>
      <c r="BQ747" s="1">
        <f t="shared" si="196"/>
        <v>0</v>
      </c>
      <c r="BR747" s="1" t="str">
        <f t="shared" si="197"/>
        <v/>
      </c>
      <c r="BS747" s="1">
        <f t="shared" si="198"/>
        <v>0</v>
      </c>
      <c r="BT747" s="4">
        <f t="shared" si="199"/>
        <v>0</v>
      </c>
      <c r="BU747" s="39">
        <f t="shared" si="200"/>
        <v>0</v>
      </c>
      <c r="BV747" s="1">
        <f t="shared" si="201"/>
        <v>0</v>
      </c>
      <c r="BW747">
        <f t="shared" si="202"/>
        <v>0</v>
      </c>
      <c r="BX747">
        <f t="shared" si="203"/>
        <v>0</v>
      </c>
    </row>
    <row r="748" spans="58:76" x14ac:dyDescent="0.25">
      <c r="BF748" s="1" t="e">
        <f>VLOOKUP(N748,'Incoming Material Report'!H:M,6,FALSE)</f>
        <v>#N/A</v>
      </c>
      <c r="BG748" s="1" t="e">
        <f>IF(VLOOKUP(N748,'Incoming Material Report'!H:N,7,FALSE)=0,"",VLOOKUP(N748,'Incoming Material Report'!H:N,7,FALSE))</f>
        <v>#N/A</v>
      </c>
      <c r="BH748" s="39">
        <f t="shared" si="187"/>
        <v>0</v>
      </c>
      <c r="BI748" s="1">
        <f t="shared" si="188"/>
        <v>0</v>
      </c>
      <c r="BJ748" s="1">
        <f t="shared" si="189"/>
        <v>0</v>
      </c>
      <c r="BK748" s="1">
        <f t="shared" si="190"/>
        <v>0</v>
      </c>
      <c r="BL748" s="1">
        <f t="shared" si="191"/>
        <v>0</v>
      </c>
      <c r="BM748" s="10" t="str">
        <f t="shared" si="192"/>
        <v/>
      </c>
      <c r="BN748" s="39">
        <f t="shared" si="193"/>
        <v>0</v>
      </c>
      <c r="BO748" s="39">
        <f t="shared" si="194"/>
        <v>0</v>
      </c>
      <c r="BP748" s="1">
        <f t="shared" si="195"/>
        <v>0</v>
      </c>
      <c r="BQ748" s="1">
        <f t="shared" si="196"/>
        <v>0</v>
      </c>
      <c r="BR748" s="1" t="str">
        <f t="shared" si="197"/>
        <v/>
      </c>
      <c r="BS748" s="1">
        <f t="shared" si="198"/>
        <v>0</v>
      </c>
      <c r="BT748" s="4">
        <f t="shared" si="199"/>
        <v>0</v>
      </c>
      <c r="BU748" s="39">
        <f t="shared" si="200"/>
        <v>0</v>
      </c>
      <c r="BV748" s="1">
        <f t="shared" si="201"/>
        <v>0</v>
      </c>
      <c r="BW748">
        <f t="shared" si="202"/>
        <v>0</v>
      </c>
      <c r="BX748">
        <f t="shared" si="203"/>
        <v>0</v>
      </c>
    </row>
    <row r="749" spans="58:76" x14ac:dyDescent="0.25">
      <c r="BF749" s="1" t="e">
        <f>VLOOKUP(N749,'Incoming Material Report'!H:M,6,FALSE)</f>
        <v>#N/A</v>
      </c>
      <c r="BG749" s="1" t="e">
        <f>IF(VLOOKUP(N749,'Incoming Material Report'!H:N,7,FALSE)=0,"",VLOOKUP(N749,'Incoming Material Report'!H:N,7,FALSE))</f>
        <v>#N/A</v>
      </c>
      <c r="BH749" s="39">
        <f t="shared" si="187"/>
        <v>0</v>
      </c>
      <c r="BI749" s="1">
        <f t="shared" si="188"/>
        <v>0</v>
      </c>
      <c r="BJ749" s="1">
        <f t="shared" si="189"/>
        <v>0</v>
      </c>
      <c r="BK749" s="1">
        <f t="shared" si="190"/>
        <v>0</v>
      </c>
      <c r="BL749" s="1">
        <f t="shared" si="191"/>
        <v>0</v>
      </c>
      <c r="BM749" s="10" t="str">
        <f t="shared" si="192"/>
        <v/>
      </c>
      <c r="BN749" s="39">
        <f t="shared" si="193"/>
        <v>0</v>
      </c>
      <c r="BO749" s="39">
        <f t="shared" si="194"/>
        <v>0</v>
      </c>
      <c r="BP749" s="1">
        <f t="shared" si="195"/>
        <v>0</v>
      </c>
      <c r="BQ749" s="1">
        <f t="shared" si="196"/>
        <v>0</v>
      </c>
      <c r="BR749" s="1" t="str">
        <f t="shared" si="197"/>
        <v/>
      </c>
      <c r="BS749" s="1">
        <f t="shared" si="198"/>
        <v>0</v>
      </c>
      <c r="BT749" s="4">
        <f t="shared" si="199"/>
        <v>0</v>
      </c>
      <c r="BU749" s="39">
        <f t="shared" si="200"/>
        <v>0</v>
      </c>
      <c r="BV749" s="1">
        <f t="shared" si="201"/>
        <v>0</v>
      </c>
      <c r="BW749">
        <f t="shared" si="202"/>
        <v>0</v>
      </c>
      <c r="BX749">
        <f t="shared" si="203"/>
        <v>0</v>
      </c>
    </row>
    <row r="750" spans="58:76" x14ac:dyDescent="0.25">
      <c r="BF750" s="1" t="e">
        <f>VLOOKUP(N750,'Incoming Material Report'!H:M,6,FALSE)</f>
        <v>#N/A</v>
      </c>
      <c r="BG750" s="1" t="e">
        <f>IF(VLOOKUP(N750,'Incoming Material Report'!H:N,7,FALSE)=0,"",VLOOKUP(N750,'Incoming Material Report'!H:N,7,FALSE))</f>
        <v>#N/A</v>
      </c>
      <c r="BH750" s="39">
        <f t="shared" si="187"/>
        <v>0</v>
      </c>
      <c r="BI750" s="1">
        <f t="shared" si="188"/>
        <v>0</v>
      </c>
      <c r="BJ750" s="1">
        <f t="shared" si="189"/>
        <v>0</v>
      </c>
      <c r="BK750" s="1">
        <f t="shared" si="190"/>
        <v>0</v>
      </c>
      <c r="BL750" s="1">
        <f t="shared" si="191"/>
        <v>0</v>
      </c>
      <c r="BM750" s="10" t="str">
        <f t="shared" si="192"/>
        <v/>
      </c>
      <c r="BN750" s="39">
        <f t="shared" si="193"/>
        <v>0</v>
      </c>
      <c r="BO750" s="39">
        <f t="shared" si="194"/>
        <v>0</v>
      </c>
      <c r="BP750" s="1">
        <f t="shared" si="195"/>
        <v>0</v>
      </c>
      <c r="BQ750" s="1">
        <f t="shared" si="196"/>
        <v>0</v>
      </c>
      <c r="BR750" s="1" t="str">
        <f t="shared" si="197"/>
        <v/>
      </c>
      <c r="BS750" s="1">
        <f t="shared" si="198"/>
        <v>0</v>
      </c>
      <c r="BT750" s="4">
        <f t="shared" si="199"/>
        <v>0</v>
      </c>
      <c r="BU750" s="39">
        <f t="shared" si="200"/>
        <v>0</v>
      </c>
      <c r="BV750" s="1">
        <f t="shared" si="201"/>
        <v>0</v>
      </c>
      <c r="BW750">
        <f t="shared" si="202"/>
        <v>0</v>
      </c>
      <c r="BX750">
        <f t="shared" si="203"/>
        <v>0</v>
      </c>
    </row>
    <row r="751" spans="58:76" x14ac:dyDescent="0.25">
      <c r="BF751" s="1" t="e">
        <f>VLOOKUP(N751,'Incoming Material Report'!H:M,6,FALSE)</f>
        <v>#N/A</v>
      </c>
      <c r="BG751" s="1" t="e">
        <f>IF(VLOOKUP(N751,'Incoming Material Report'!H:N,7,FALSE)=0,"",VLOOKUP(N751,'Incoming Material Report'!H:N,7,FALSE))</f>
        <v>#N/A</v>
      </c>
      <c r="BH751" s="39">
        <f t="shared" si="187"/>
        <v>0</v>
      </c>
      <c r="BI751" s="1">
        <f t="shared" si="188"/>
        <v>0</v>
      </c>
      <c r="BJ751" s="1">
        <f t="shared" si="189"/>
        <v>0</v>
      </c>
      <c r="BK751" s="1">
        <f t="shared" si="190"/>
        <v>0</v>
      </c>
      <c r="BL751" s="1">
        <f t="shared" si="191"/>
        <v>0</v>
      </c>
      <c r="BM751" s="10" t="str">
        <f t="shared" si="192"/>
        <v/>
      </c>
      <c r="BN751" s="39">
        <f t="shared" si="193"/>
        <v>0</v>
      </c>
      <c r="BO751" s="39">
        <f t="shared" si="194"/>
        <v>0</v>
      </c>
      <c r="BP751" s="1">
        <f t="shared" si="195"/>
        <v>0</v>
      </c>
      <c r="BQ751" s="1">
        <f t="shared" si="196"/>
        <v>0</v>
      </c>
      <c r="BR751" s="1" t="str">
        <f t="shared" si="197"/>
        <v/>
      </c>
      <c r="BS751" s="1">
        <f t="shared" si="198"/>
        <v>0</v>
      </c>
      <c r="BT751" s="4">
        <f t="shared" si="199"/>
        <v>0</v>
      </c>
      <c r="BU751" s="39">
        <f t="shared" si="200"/>
        <v>0</v>
      </c>
      <c r="BV751" s="1">
        <f t="shared" si="201"/>
        <v>0</v>
      </c>
      <c r="BW751">
        <f t="shared" si="202"/>
        <v>0</v>
      </c>
      <c r="BX751">
        <f t="shared" si="203"/>
        <v>0</v>
      </c>
    </row>
    <row r="752" spans="58:76" x14ac:dyDescent="0.25">
      <c r="BF752" s="1" t="e">
        <f>VLOOKUP(N752,'Incoming Material Report'!H:M,6,FALSE)</f>
        <v>#N/A</v>
      </c>
      <c r="BG752" s="1" t="e">
        <f>IF(VLOOKUP(N752,'Incoming Material Report'!H:N,7,FALSE)=0,"",VLOOKUP(N752,'Incoming Material Report'!H:N,7,FALSE))</f>
        <v>#N/A</v>
      </c>
      <c r="BH752" s="39">
        <f t="shared" si="187"/>
        <v>0</v>
      </c>
      <c r="BI752" s="1">
        <f t="shared" si="188"/>
        <v>0</v>
      </c>
      <c r="BJ752" s="1">
        <f t="shared" si="189"/>
        <v>0</v>
      </c>
      <c r="BK752" s="1">
        <f t="shared" si="190"/>
        <v>0</v>
      </c>
      <c r="BL752" s="1">
        <f t="shared" si="191"/>
        <v>0</v>
      </c>
      <c r="BM752" s="10" t="str">
        <f t="shared" si="192"/>
        <v/>
      </c>
      <c r="BN752" s="39">
        <f t="shared" si="193"/>
        <v>0</v>
      </c>
      <c r="BO752" s="39">
        <f t="shared" si="194"/>
        <v>0</v>
      </c>
      <c r="BP752" s="1">
        <f t="shared" si="195"/>
        <v>0</v>
      </c>
      <c r="BQ752" s="1">
        <f t="shared" si="196"/>
        <v>0</v>
      </c>
      <c r="BR752" s="1" t="str">
        <f t="shared" si="197"/>
        <v/>
      </c>
      <c r="BS752" s="1">
        <f t="shared" si="198"/>
        <v>0</v>
      </c>
      <c r="BT752" s="4">
        <f t="shared" si="199"/>
        <v>0</v>
      </c>
      <c r="BU752" s="39">
        <f t="shared" si="200"/>
        <v>0</v>
      </c>
      <c r="BV752" s="1">
        <f t="shared" si="201"/>
        <v>0</v>
      </c>
      <c r="BW752">
        <f t="shared" si="202"/>
        <v>0</v>
      </c>
      <c r="BX752">
        <f t="shared" si="203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4"/>
  <sheetViews>
    <sheetView workbookViewId="0">
      <selection activeCell="B18" sqref="B18"/>
    </sheetView>
  </sheetViews>
  <sheetFormatPr defaultRowHeight="15" x14ac:dyDescent="0.25"/>
  <cols>
    <col min="1" max="1" width="42.85546875" style="41" bestFit="1" customWidth="1"/>
    <col min="2" max="2" width="43.7109375" style="41" bestFit="1" customWidth="1"/>
    <col min="7" max="7" width="17.28515625" bestFit="1" customWidth="1"/>
    <col min="8" max="8" width="10.7109375" style="30" bestFit="1" customWidth="1"/>
  </cols>
  <sheetData>
    <row r="1" spans="1:8" x14ac:dyDescent="0.25">
      <c r="A1" s="40" t="s">
        <v>98</v>
      </c>
      <c r="B1" s="40" t="s">
        <v>109</v>
      </c>
      <c r="G1" s="69" t="s">
        <v>99</v>
      </c>
      <c r="H1" s="32" t="str">
        <f>TEXT(COUNTA(A:A)+1,"0")</f>
        <v>2</v>
      </c>
    </row>
    <row r="2" spans="1:8" x14ac:dyDescent="0.25">
      <c r="G2" s="69"/>
      <c r="H2" s="32" t="str">
        <f>TEXT(COUNTA(B:B)+1,"0")</f>
        <v>2</v>
      </c>
    </row>
    <row r="3" spans="1:8" x14ac:dyDescent="0.25">
      <c r="G3" t="s">
        <v>115</v>
      </c>
      <c r="H3" s="32" t="str">
        <f>TEXT(Config!C10,"")</f>
        <v>MISMATCH</v>
      </c>
    </row>
    <row r="4" spans="1:8" x14ac:dyDescent="0.25">
      <c r="G4" t="s">
        <v>122</v>
      </c>
      <c r="H4" s="30">
        <f>COUNTA(HSN!A:A)-1</f>
        <v>-1</v>
      </c>
    </row>
  </sheetData>
  <mergeCells count="1">
    <mergeCell ref="G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Y11"/>
  <sheetViews>
    <sheetView topLeftCell="CA1" zoomScale="81" workbookViewId="0">
      <selection activeCell="CK3" sqref="CK3"/>
    </sheetView>
  </sheetViews>
  <sheetFormatPr defaultColWidth="9.140625" defaultRowHeight="15" x14ac:dyDescent="0.25"/>
  <cols>
    <col min="1" max="1" width="9.140625" style="4" customWidth="1"/>
    <col min="2" max="2" width="8.28515625" style="4" bestFit="1" customWidth="1"/>
    <col min="3" max="3" width="52.140625" style="4" bestFit="1" customWidth="1"/>
    <col min="4" max="4" width="7.5703125" style="4" bestFit="1" customWidth="1"/>
    <col min="5" max="5" width="11.42578125" style="5" bestFit="1" customWidth="1"/>
    <col min="6" max="6" width="7.7109375" style="4" bestFit="1" customWidth="1"/>
    <col min="7" max="7" width="14.42578125" style="4" bestFit="1" customWidth="1"/>
    <col min="8" max="8" width="8.5703125" style="4" bestFit="1" customWidth="1"/>
    <col min="9" max="9" width="8.42578125" style="4" bestFit="1" customWidth="1"/>
    <col min="10" max="10" width="16.42578125" style="4" bestFit="1" customWidth="1"/>
    <col min="11" max="12" width="11.42578125" style="4" bestFit="1" customWidth="1"/>
    <col min="13" max="13" width="14" style="4" bestFit="1" customWidth="1"/>
    <col min="14" max="14" width="11" style="4" bestFit="1" customWidth="1"/>
    <col min="15" max="15" width="18.85546875" style="4" bestFit="1" customWidth="1"/>
    <col min="16" max="16" width="9.5703125" style="4" bestFit="1" customWidth="1"/>
    <col min="17" max="17" width="5.28515625" style="4" bestFit="1" customWidth="1"/>
    <col min="18" max="18" width="6.5703125" style="4" bestFit="1" customWidth="1"/>
    <col min="19" max="19" width="5.85546875" style="4" bestFit="1" customWidth="1"/>
    <col min="20" max="20" width="11.28515625" style="4" bestFit="1" customWidth="1"/>
    <col min="21" max="21" width="14.85546875" style="4" bestFit="1" customWidth="1"/>
    <col min="22" max="22" width="15.7109375" style="4" bestFit="1" customWidth="1"/>
    <col min="23" max="23" width="18.140625" style="4" bestFit="1" customWidth="1"/>
    <col min="24" max="24" width="8" style="4" bestFit="1" customWidth="1"/>
    <col min="25" max="25" width="14" style="4" bestFit="1" customWidth="1"/>
    <col min="26" max="26" width="11.28515625" style="4" bestFit="1" customWidth="1"/>
    <col min="27" max="27" width="14.85546875" style="4" bestFit="1" customWidth="1"/>
    <col min="28" max="28" width="27.42578125" style="4" bestFit="1" customWidth="1"/>
    <col min="29" max="29" width="15.140625" style="4" bestFit="1" customWidth="1"/>
    <col min="30" max="30" width="21.140625" style="4" bestFit="1" customWidth="1"/>
    <col min="31" max="31" width="9.140625" style="4" customWidth="1"/>
    <col min="32" max="32" width="20.5703125" style="4" bestFit="1" customWidth="1"/>
    <col min="33" max="33" width="20.28515625" style="4" bestFit="1" customWidth="1"/>
    <col min="34" max="34" width="20.5703125" style="4" bestFit="1" customWidth="1"/>
    <col min="35" max="35" width="14.42578125" style="4" bestFit="1" customWidth="1"/>
    <col min="36" max="36" width="14.85546875" style="4" bestFit="1" customWidth="1"/>
    <col min="37" max="37" width="14.140625" style="4" bestFit="1" customWidth="1"/>
    <col min="38" max="38" width="29" style="4" bestFit="1" customWidth="1"/>
    <col min="39" max="39" width="23.28515625" style="4" bestFit="1" customWidth="1"/>
    <col min="40" max="40" width="27.42578125" style="4" bestFit="1" customWidth="1"/>
    <col min="41" max="41" width="26.28515625" style="4" bestFit="1" customWidth="1"/>
    <col min="42" max="42" width="31.42578125" style="4" bestFit="1" customWidth="1"/>
    <col min="43" max="43" width="29.140625" style="4" bestFit="1" customWidth="1"/>
    <col min="44" max="44" width="19.140625" style="4" bestFit="1" customWidth="1"/>
    <col min="45" max="45" width="10.42578125" style="4" bestFit="1" customWidth="1"/>
    <col min="46" max="46" width="8" style="4" bestFit="1" customWidth="1"/>
    <col min="47" max="47" width="18.5703125" style="4" bestFit="1" customWidth="1"/>
    <col min="48" max="51" width="9.140625" style="4" customWidth="1"/>
    <col min="52" max="52" width="18.42578125" style="4" bestFit="1" customWidth="1"/>
    <col min="53" max="53" width="18.5703125" style="4" bestFit="1" customWidth="1"/>
    <col min="54" max="54" width="12.42578125" style="4" bestFit="1" customWidth="1"/>
    <col min="55" max="55" width="13" style="4" bestFit="1" customWidth="1"/>
    <col min="56" max="56" width="12.140625" style="4" bestFit="1" customWidth="1"/>
    <col min="57" max="57" width="26.7109375" style="4" bestFit="1" customWidth="1"/>
    <col min="58" max="58" width="21.140625" style="4" bestFit="1" customWidth="1"/>
    <col min="59" max="59" width="25.28515625" style="4" bestFit="1" customWidth="1"/>
    <col min="60" max="60" width="24.28515625" style="4" bestFit="1" customWidth="1"/>
    <col min="61" max="61" width="29.42578125" style="4" bestFit="1" customWidth="1"/>
    <col min="62" max="62" width="28.28515625" style="4" bestFit="1" customWidth="1"/>
    <col min="63" max="63" width="19.28515625" style="4" bestFit="1" customWidth="1"/>
    <col min="64" max="64" width="16.42578125" style="4" bestFit="1" customWidth="1"/>
    <col min="65" max="65" width="14.140625" style="4" bestFit="1" customWidth="1"/>
    <col min="66" max="74" width="9.140625" style="4" customWidth="1"/>
    <col min="75" max="75" width="5" style="4" bestFit="1" customWidth="1"/>
    <col min="76" max="76" width="13.140625" style="4" bestFit="1" customWidth="1"/>
    <col min="77" max="80" width="20.28515625" style="4" customWidth="1"/>
    <col min="81" max="81" width="31.140625" style="4" bestFit="1" customWidth="1"/>
    <col min="82" max="82" width="12" style="4" bestFit="1" customWidth="1"/>
    <col min="83" max="83" width="10.28515625" style="4" bestFit="1" customWidth="1"/>
    <col min="84" max="84" width="30.42578125" style="4" bestFit="1" customWidth="1"/>
    <col min="85" max="85" width="14.85546875" style="4" bestFit="1" customWidth="1"/>
    <col min="86" max="86" width="16.140625" style="4" bestFit="1" customWidth="1"/>
    <col min="87" max="88" width="14.42578125" style="4" bestFit="1" customWidth="1"/>
    <col min="89" max="89" width="19.85546875" style="4" customWidth="1"/>
    <col min="90" max="100" width="9.140625" style="4" customWidth="1"/>
    <col min="101" max="101" width="6.85546875" style="1" bestFit="1" customWidth="1"/>
    <col min="102" max="102" width="11.42578125" style="4" bestFit="1" customWidth="1"/>
    <col min="103" max="103" width="14.85546875" style="4" bestFit="1" customWidth="1"/>
    <col min="104" max="104" width="9" style="4" bestFit="1" customWidth="1"/>
    <col min="105" max="105" width="12.140625" style="4" bestFit="1" customWidth="1"/>
    <col min="106" max="108" width="9" style="4" bestFit="1" customWidth="1"/>
    <col min="109" max="109" width="22.5703125" style="4" bestFit="1" customWidth="1"/>
    <col min="110" max="110" width="14" style="4" bestFit="1" customWidth="1"/>
    <col min="111" max="111" width="12.7109375" style="4" bestFit="1" customWidth="1"/>
    <col min="112" max="112" width="14.42578125" style="4" bestFit="1" customWidth="1"/>
    <col min="113" max="113" width="21.28515625" style="4" customWidth="1"/>
    <col min="114" max="114" width="14.42578125" style="4" bestFit="1" customWidth="1"/>
    <col min="115" max="115" width="12.7109375" style="4" bestFit="1" customWidth="1"/>
    <col min="116" max="116" width="8.7109375" style="4" bestFit="1" customWidth="1"/>
    <col min="117" max="117" width="13.7109375" style="4" bestFit="1" customWidth="1"/>
    <col min="118" max="123" width="9.140625" style="4" customWidth="1"/>
    <col min="124" max="124" width="18.42578125" style="4" bestFit="1" customWidth="1"/>
    <col min="125" max="125" width="18.5703125" style="4" bestFit="1" customWidth="1"/>
    <col min="126" max="126" width="12.42578125" style="4" bestFit="1" customWidth="1"/>
    <col min="127" max="127" width="13" style="4" bestFit="1" customWidth="1"/>
    <col min="128" max="128" width="12.140625" style="4" bestFit="1" customWidth="1"/>
    <col min="129" max="129" width="26.7109375" style="4" bestFit="1" customWidth="1"/>
    <col min="130" max="130" width="21.140625" style="4" bestFit="1" customWidth="1"/>
    <col min="131" max="131" width="25.28515625" style="4" bestFit="1" customWidth="1"/>
    <col min="132" max="132" width="24.28515625" style="4" bestFit="1" customWidth="1"/>
    <col min="133" max="133" width="29.42578125" style="4" bestFit="1" customWidth="1"/>
    <col min="134" max="134" width="28.28515625" style="4" bestFit="1" customWidth="1"/>
    <col min="135" max="135" width="19.28515625" style="4" bestFit="1" customWidth="1"/>
    <col min="136" max="136" width="16.42578125" style="4" bestFit="1" customWidth="1"/>
    <col min="137" max="137" width="14.140625" style="4" bestFit="1" customWidth="1"/>
    <col min="138" max="138" width="9.140625" style="4" customWidth="1"/>
    <col min="139" max="16384" width="9.140625" style="4"/>
  </cols>
  <sheetData>
    <row r="1" spans="1:181" s="50" customFormat="1" ht="27" customHeight="1" x14ac:dyDescent="0.25">
      <c r="A1" s="55" t="s">
        <v>93</v>
      </c>
      <c r="B1" s="49" t="s">
        <v>0</v>
      </c>
      <c r="C1" s="49"/>
      <c r="D1" s="49"/>
      <c r="E1" s="49" t="s">
        <v>17</v>
      </c>
      <c r="F1" s="49" t="s">
        <v>20</v>
      </c>
      <c r="G1" s="49" t="s">
        <v>136</v>
      </c>
      <c r="H1" s="49" t="s">
        <v>22</v>
      </c>
      <c r="I1" s="49" t="s">
        <v>23</v>
      </c>
      <c r="J1" s="49" t="s">
        <v>138</v>
      </c>
      <c r="K1" s="49" t="s">
        <v>26</v>
      </c>
      <c r="L1" s="49"/>
      <c r="M1" s="49"/>
      <c r="N1" s="49"/>
      <c r="O1" s="49" t="s">
        <v>6</v>
      </c>
      <c r="P1" s="49" t="s">
        <v>29</v>
      </c>
      <c r="Q1" s="49" t="s">
        <v>30</v>
      </c>
      <c r="R1" s="49" t="s">
        <v>31</v>
      </c>
      <c r="S1" s="49" t="s">
        <v>32</v>
      </c>
      <c r="T1" s="49"/>
      <c r="U1" s="49" t="s">
        <v>34</v>
      </c>
      <c r="V1" s="49" t="s">
        <v>2</v>
      </c>
      <c r="W1" s="49" t="s">
        <v>35</v>
      </c>
      <c r="X1" s="49" t="s">
        <v>5</v>
      </c>
      <c r="Y1" s="49" t="s">
        <v>16</v>
      </c>
      <c r="AF1" s="55" t="s">
        <v>37</v>
      </c>
      <c r="AG1" s="50" t="s">
        <v>38</v>
      </c>
      <c r="AH1" s="50" t="s">
        <v>39</v>
      </c>
      <c r="AI1" s="50" t="s">
        <v>40</v>
      </c>
      <c r="AJ1" s="50" t="s">
        <v>41</v>
      </c>
      <c r="AK1" s="50" t="s">
        <v>42</v>
      </c>
      <c r="AL1" s="50" t="s">
        <v>43</v>
      </c>
      <c r="AM1" s="50" t="s">
        <v>44</v>
      </c>
      <c r="AN1" s="50" t="s">
        <v>45</v>
      </c>
      <c r="AO1" s="50" t="s">
        <v>46</v>
      </c>
      <c r="AP1" s="50" t="s">
        <v>47</v>
      </c>
      <c r="AQ1" s="50" t="s">
        <v>48</v>
      </c>
      <c r="AR1" s="50" t="s">
        <v>15</v>
      </c>
      <c r="AS1" s="50" t="s">
        <v>16</v>
      </c>
      <c r="AT1" s="50" t="s">
        <v>5</v>
      </c>
      <c r="AU1" s="50" t="s">
        <v>49</v>
      </c>
      <c r="AY1" s="55" t="s">
        <v>95</v>
      </c>
      <c r="AZ1" s="50" t="s">
        <v>50</v>
      </c>
      <c r="BA1" s="50" t="s">
        <v>51</v>
      </c>
      <c r="BB1" s="50" t="s">
        <v>52</v>
      </c>
      <c r="BC1" s="50" t="s">
        <v>53</v>
      </c>
      <c r="BD1" s="50" t="s">
        <v>54</v>
      </c>
      <c r="BE1" s="50" t="s">
        <v>55</v>
      </c>
      <c r="BF1" s="50" t="s">
        <v>56</v>
      </c>
      <c r="BG1" s="50" t="s">
        <v>133</v>
      </c>
      <c r="BH1" s="50" t="s">
        <v>58</v>
      </c>
      <c r="BI1" s="50" t="s">
        <v>59</v>
      </c>
      <c r="BJ1" s="50" t="s">
        <v>60</v>
      </c>
      <c r="BK1" s="50" t="s">
        <v>61</v>
      </c>
      <c r="BL1" s="50" t="s">
        <v>62</v>
      </c>
      <c r="BM1" s="50" t="s">
        <v>63</v>
      </c>
      <c r="BW1" s="56" t="s">
        <v>175</v>
      </c>
      <c r="BX1" s="21" t="s">
        <v>65</v>
      </c>
      <c r="BY1" s="21" t="s">
        <v>66</v>
      </c>
      <c r="BZ1" s="21" t="s">
        <v>67</v>
      </c>
      <c r="CA1" s="21" t="s">
        <v>68</v>
      </c>
      <c r="CB1" s="21" t="s">
        <v>119</v>
      </c>
      <c r="CC1" s="21" t="s">
        <v>176</v>
      </c>
      <c r="CD1" s="21" t="s">
        <v>177</v>
      </c>
      <c r="CE1" s="1"/>
      <c r="CF1" s="21" t="s">
        <v>71</v>
      </c>
      <c r="CG1" s="21" t="s">
        <v>72</v>
      </c>
      <c r="CH1" s="21" t="s">
        <v>73</v>
      </c>
      <c r="CI1" s="21" t="s">
        <v>178</v>
      </c>
      <c r="CJ1" s="21" t="s">
        <v>179</v>
      </c>
      <c r="CK1" s="21" t="s">
        <v>96</v>
      </c>
    </row>
    <row r="2" spans="1:181" s="1" customFormat="1" ht="24.75" customHeight="1" x14ac:dyDescent="0.25">
      <c r="B2" s="14" t="s">
        <v>94</v>
      </c>
      <c r="C2" s="14" t="s">
        <v>94</v>
      </c>
      <c r="E2" s="5" t="str">
        <f>IF(Final!E2=Final!BL2,"OK","NA")</f>
        <v>OK</v>
      </c>
      <c r="F2" s="5" t="str">
        <f>IF(Final!F2=Final!BN2,"OK","OK")</f>
        <v>OK</v>
      </c>
      <c r="G2" s="15" t="str">
        <f>IF(Final!G2=Final!BG2,"OK","NA")</f>
        <v>OK</v>
      </c>
      <c r="H2" s="4" t="str">
        <f>IF(AND(Final!H2=Final!AM2,Final!H2=Final!BF2),"ok","NA")</f>
        <v>ok</v>
      </c>
      <c r="I2" s="4" t="str">
        <f>IFERROR(IF(ABS((Final!I2-Final!BH2)&lt;Config!$K$21),"ok","NA"),"NA")</f>
        <v>NA</v>
      </c>
      <c r="J2" s="4" t="str">
        <f>IFERROR(IF(ROUNDDOWN(Final!J2,0)=ROUNDDOWN(Final!BI2,0),"ok","NA"),"NA")</f>
        <v>NA</v>
      </c>
      <c r="K2" s="4" t="str">
        <f>IFERROR(IF(ABS(Final!BZ2-Final!K2)&lt;=1,"ok","NA"),"NA")</f>
        <v>NA</v>
      </c>
      <c r="L2" s="4" t="str">
        <f>IFERROR(IF(ABS(Final!CA2-Final!L2)&lt;=1,"ok","NA"),"NA")</f>
        <v>ok</v>
      </c>
      <c r="M2" s="4" t="str">
        <f>IFERROR(IF(ROUNDDOWN(Final!M2,0)=ROUNDDOWN(Final!CB2,0),"ok","NA"),"NA")</f>
        <v>ok</v>
      </c>
      <c r="N2" s="4" t="str">
        <f>IFERROR(IF(ROUNDDOWN(Final!N2,0)=ROUNDDOWN(Final!CC2,0),"ok","NA"),"NA")</f>
        <v>ok</v>
      </c>
      <c r="O2" s="4" t="str">
        <f>IF(AND(Final!O2=Final!AG2,Final!O2=Final!AZ2),"ok","NA")</f>
        <v>ok</v>
      </c>
      <c r="P2" s="4" t="str">
        <f>IF(AND(Final!P2=Final!AH2,Final!P2=Final!BA2),"ok","NA")</f>
        <v>ok</v>
      </c>
      <c r="Q2" s="4" t="str">
        <f>IF(AND(Final!Q2=Final!AI2,Final!Q2=Final!BB2),"ok","NA")</f>
        <v>ok</v>
      </c>
      <c r="R2" s="4" t="str">
        <f>IF(AND(Final!R2=Final!AJ2,Final!R2=Final!BC2),"ok","NA")</f>
        <v>ok</v>
      </c>
      <c r="S2" s="4" t="str">
        <f>IF(AND(Final!S2=Final!AK2,Final!S2=Final!BD2),"ok","NA")</f>
        <v>ok</v>
      </c>
      <c r="T2" s="15" t="s">
        <v>94</v>
      </c>
      <c r="U2" s="15" t="s">
        <v>94</v>
      </c>
      <c r="V2" s="4" t="str">
        <f>IF(Final!V2=Final!BE2,"ok","NA")</f>
        <v>ok</v>
      </c>
      <c r="W2" s="4" t="str">
        <f>IF(Final!W2=Final!AQ2,"ok","NA")</f>
        <v>ok</v>
      </c>
      <c r="X2" s="4" t="s">
        <v>137</v>
      </c>
      <c r="Y2" s="4" t="str">
        <f>IF(ISNUMBER(SEARCH(Final!BK2,Final!Y2))&gt;0,"ok","NA")</f>
        <v>ok</v>
      </c>
      <c r="Z2" s="15" t="s">
        <v>94</v>
      </c>
      <c r="AA2" s="15" t="s">
        <v>94</v>
      </c>
      <c r="AB2" s="4" t="str">
        <f>IF(ROUNDDOWN(Final!CF2,0)=ROUNDDOWN(Final!AB2,0),"OK","NA")</f>
        <v>OK</v>
      </c>
      <c r="AC2" s="4" t="str">
        <f>IF(ROUNDDOWN(Final!CJ2,0)=ROUNDDOWN(Final!CJ2,0),"ok","NA")</f>
        <v>ok</v>
      </c>
      <c r="AD2" s="4" t="str">
        <f>IF(ROUNDDOWN(Final!CK2,0)=ROUNDDOWN(Final!CK2,0),"ok","NA")</f>
        <v>ok</v>
      </c>
      <c r="AF2" s="6"/>
      <c r="AG2" s="4" t="str">
        <f>AZ2</f>
        <v>ok</v>
      </c>
      <c r="AH2" s="4" t="str">
        <f t="shared" ref="AH2:AK2" si="0">BA2</f>
        <v>ok</v>
      </c>
      <c r="AI2" s="4" t="str">
        <f t="shared" si="0"/>
        <v>ok</v>
      </c>
      <c r="AJ2" s="4" t="str">
        <f t="shared" si="0"/>
        <v>ok</v>
      </c>
      <c r="AK2" s="4" t="str">
        <f t="shared" si="0"/>
        <v>ok</v>
      </c>
      <c r="AL2" s="4" t="str">
        <f>BE2</f>
        <v>ok</v>
      </c>
      <c r="AM2" s="4" t="str">
        <f>BF2</f>
        <v>ok</v>
      </c>
      <c r="AN2" s="4"/>
      <c r="AO2" s="4" t="str">
        <f>IF(Final!BH2=Final!AO2,"ok","NA")</f>
        <v>ok</v>
      </c>
      <c r="AP2" s="4" t="str">
        <f>IF(Final!BH2=Final!AO2,"ok","NA")</f>
        <v>ok</v>
      </c>
      <c r="AQ2" s="4" t="str">
        <f t="shared" ref="AQ2" si="1">BJ2</f>
        <v>ok</v>
      </c>
      <c r="AR2" s="4" t="str">
        <f>IF(Final!BJ2=Config!$K$4,"ok","NA")</f>
        <v>ok</v>
      </c>
      <c r="AS2" s="1" t="str">
        <f>IF(Final!BK2=Final!Y2,"ok","NA")</f>
        <v>ok</v>
      </c>
      <c r="AT2" s="4" t="s">
        <v>137</v>
      </c>
      <c r="AU2" s="4" t="str">
        <f>_xlfn.IFNA(VLOOKUP(U2,'Incoming Material Report'!A:Z,8,FALSE),"")</f>
        <v/>
      </c>
      <c r="AX2" s="7"/>
      <c r="AZ2" s="4" t="str">
        <f>IF(Final!AG2=Final!AZ2,"ok","NA")</f>
        <v>ok</v>
      </c>
      <c r="BA2" s="4" t="str">
        <f>IF(Final!AH2=Final!BA2,"ok","NA")</f>
        <v>ok</v>
      </c>
      <c r="BB2" s="4" t="str">
        <f>IF(Final!AI2=Final!BB2,"ok","NA")</f>
        <v>ok</v>
      </c>
      <c r="BC2" s="4" t="str">
        <f>IF(Final!AJ2=Final!BC2,"ok","NA")</f>
        <v>ok</v>
      </c>
      <c r="BD2" s="4" t="str">
        <f>IF(Final!AK2=Final!BD2,"ok","NA")</f>
        <v>ok</v>
      </c>
      <c r="BE2" s="4" t="str">
        <f>IF(Final!V2=Final!BE2,"ok","NA")</f>
        <v>ok</v>
      </c>
      <c r="BF2" s="4" t="str">
        <f>IF(Final!H2=Final!BF2,"ok","NA")</f>
        <v>ok</v>
      </c>
      <c r="BH2" s="4" t="str">
        <f>IFERROR(IF(ABS((Final!I2-Final!BH2)&lt;Config!$K$21),"ok","NA"),"NA")</f>
        <v>NA</v>
      </c>
      <c r="BI2" s="4" t="str">
        <f>IFERROR(IF(ROUNDDOWN(Final!J2,0)=ROUNDDOWN(Final!BI2,0),"ok","NA"),"NA")</f>
        <v>NA</v>
      </c>
      <c r="BJ2" s="4" t="str">
        <f>IF(Config!$K$4=Final!BJ2,"ok","NA")</f>
        <v>ok</v>
      </c>
      <c r="BK2" s="4" t="str">
        <f>IF(ISNUMBER(SEARCH(Final!BK2,Final!Y2))&gt;0,"ok","NA")</f>
        <v>ok</v>
      </c>
      <c r="BL2" s="4" t="str">
        <f>IF(Final!BL2=Final!E2,"ok","NA")</f>
        <v>ok</v>
      </c>
      <c r="BM2" s="4" t="s">
        <v>137</v>
      </c>
      <c r="BW2" s="7"/>
      <c r="BX2" s="15" t="s">
        <v>94</v>
      </c>
      <c r="BY2" s="4" t="e">
        <f>IF(ABS(Final!BY2-Final!J2)&lt;0.5,"OK","NA")</f>
        <v>#VALUE!</v>
      </c>
      <c r="BZ2" s="4" t="str">
        <f>IFERROR(IF(ABS(Final!BZ2-Final!K2)&lt;=1,"OK","NA"),"NA")</f>
        <v>NA</v>
      </c>
      <c r="CA2" s="4" t="str">
        <f>IFERROR(IF(ABS(Final!CA2-Final!L2)&lt;=1,"OK","NA"),"NA")</f>
        <v>OK</v>
      </c>
      <c r="CB2" s="4" t="str">
        <f>IFERROR(IF(ABS(Final!CB2-Final!CI2)&lt;1,"OK","OK"),"NA")</f>
        <v>OK</v>
      </c>
      <c r="CC2" s="4" t="str">
        <f>IFERROR(IF(ABS(Final!CC2-Final!N2)&lt;=1,"OK","NA"),"NA")</f>
        <v>OK</v>
      </c>
      <c r="CD2" s="1" t="str">
        <f>IFERROR(IF(ABS(Final!I2-Final!CD2)&lt;Config!$K$22,"ok","NA"),"NA")</f>
        <v>NA</v>
      </c>
      <c r="CF2" s="4" t="str">
        <f>IFERROR(IF(ABS(Final!CF2-Final!AB2)&lt;20,"OK","NA"),"NA")</f>
        <v>OK</v>
      </c>
      <c r="CG2" s="4" t="str">
        <f>IFERROR(IF(ABS(Final!CG2-SUM(Final!K2:K100))&lt;20,"OK","NA"),"NA")</f>
        <v>OK</v>
      </c>
      <c r="CH2" s="4" t="s">
        <v>94</v>
      </c>
      <c r="CI2" s="4"/>
      <c r="CJ2" s="1" t="str">
        <f>IFERROR(IF(ABS(Final!CJ2-Final!AC2)&lt;20,"OK","NA"),"NA")</f>
        <v>OK</v>
      </c>
      <c r="CK2" s="4" t="str">
        <f>IF(ABS(Final!CK2-Final!AD2)&lt;20,"OK","NA")</f>
        <v>OK</v>
      </c>
      <c r="CW2" s="1">
        <v>1</v>
      </c>
      <c r="CX2" s="4" t="str">
        <f>IF((X2=AT2=BM2),"OK","NA")</f>
        <v>NA</v>
      </c>
      <c r="CY2" s="4" t="str">
        <f>IF(O2=AG2=AZ2,"OK","NA")</f>
        <v>NA</v>
      </c>
      <c r="CZ2" s="4" t="str">
        <f>IF(P2=AH2=BA2,"OK","NA")</f>
        <v>NA</v>
      </c>
      <c r="DA2" s="4" t="str">
        <f>IF(Q2=AI2=BB2,"OK","NA")</f>
        <v>NA</v>
      </c>
      <c r="DB2" s="4" t="str">
        <f>IF(R2=AJ2=BC2,"OK","NA")</f>
        <v>NA</v>
      </c>
      <c r="DC2" s="4" t="str">
        <f>IF(S2=AK2=BD2,"OK","NA")</f>
        <v>NA</v>
      </c>
      <c r="DD2" s="4" t="str">
        <f>IF(H2=AM2=BF2,"OK","NA")</f>
        <v>NA</v>
      </c>
      <c r="DE2" s="4" t="e">
        <f>IF(J2=BY2=BI2,"OK","NA")</f>
        <v>#VALUE!</v>
      </c>
      <c r="DF2" s="4" t="str">
        <f>IF(SUM(K2:K85)=CG2,"OK","NA")</f>
        <v>NA</v>
      </c>
      <c r="DG2" s="4" t="str">
        <f>IF(SUM(L2:L79)=CH2,"OK","NA")</f>
        <v>NA</v>
      </c>
      <c r="DH2" s="4" t="str">
        <f>IF(M2=Final!CI2,"OK","NA")</f>
        <v>NA</v>
      </c>
      <c r="DI2" s="4" t="str">
        <f>IF(AB2=CF2,"OK","NA")</f>
        <v>OK</v>
      </c>
      <c r="DJ2" s="4" t="str">
        <f>IF(W2=AQ2,"OK","NA")</f>
        <v>OK</v>
      </c>
      <c r="DK2" s="4" t="str">
        <f>IF(V2=AL2=BE2,"OK","NA")</f>
        <v>NA</v>
      </c>
      <c r="DL2" s="4" t="str">
        <f>IF(Y2=AS2=BK2,"OK","NA")</f>
        <v>NA</v>
      </c>
      <c r="DT2" s="4" t="str">
        <f>IF(B2="","",IF(AND(AZ2=AG2,AG2=O2,B2&lt;&gt;""),"OK","NA"))</f>
        <v>OK</v>
      </c>
      <c r="DU2" s="4" t="str">
        <f>IF(B2="","",IF(AND(BA2=AH2,AH2=P2),"OK","NA"))</f>
        <v>OK</v>
      </c>
      <c r="DV2" s="4" t="str">
        <f>IF(B2="","",IF(AND(BB2=AI2,AI2=Q2),"OK","NA"))</f>
        <v>OK</v>
      </c>
      <c r="DW2" s="4" t="str">
        <f>IF(B2="","",IF(AND(BC2=AJ2,AJ2=R2),"OK","NA"))</f>
        <v>OK</v>
      </c>
      <c r="DX2" s="4" t="str">
        <f>IF(B2="","",IF(AND(BD2=AK2,AK2=S2),"OK","NA"))</f>
        <v>OK</v>
      </c>
      <c r="DY2" s="4" t="str">
        <f>IF(B2="","",IF(AND(BE2=V2),"OK","NA"))</f>
        <v>OK</v>
      </c>
      <c r="DZ2" s="4" t="str">
        <f>IF(B2="","",IF(AND(BF2=H2,H2=AM2),"OK","NA"))</f>
        <v>OK</v>
      </c>
      <c r="EB2" s="4" t="str">
        <f>IF(B2="","",IF(AND(BH2=I2,I2=AO2),"OK","NA"))</f>
        <v>NA</v>
      </c>
      <c r="EC2" s="4" t="str">
        <f>IF(B2="","",IF(AND(BI2=J2),"OK","NA"))</f>
        <v>OK</v>
      </c>
      <c r="ED2" s="4" t="str">
        <f>IF(B2="","",IF(AND(BJ2=AR2),"OK","NA"))</f>
        <v>OK</v>
      </c>
      <c r="EE2" s="4" t="str">
        <f>IF(B2="","",IF(AND(BK2=Y2),"OK","NA"))</f>
        <v>OK</v>
      </c>
      <c r="EF2" s="4" t="str">
        <f>IF(B2="","",IF(AND(BL2=E2),"OK","NA"))</f>
        <v>OK</v>
      </c>
      <c r="EG2" s="4" t="str">
        <f>IF(B2="","",IF(AND(BM2=X2,X2=AT2),"OK","NA"))</f>
        <v>OK</v>
      </c>
      <c r="ES2" s="1" t="b">
        <v>0</v>
      </c>
      <c r="ET2" s="1" t="b">
        <v>0</v>
      </c>
      <c r="EU2" s="1" t="b">
        <v>0</v>
      </c>
      <c r="EV2" s="1" t="b">
        <v>0</v>
      </c>
      <c r="EW2" s="1" t="b">
        <v>0</v>
      </c>
      <c r="EX2" s="1" t="b">
        <v>0</v>
      </c>
      <c r="EY2" s="1" t="b">
        <v>0</v>
      </c>
      <c r="EZ2" s="1" t="b">
        <v>0</v>
      </c>
      <c r="FA2" s="1" t="b">
        <v>0</v>
      </c>
      <c r="FB2" s="1" t="b">
        <v>0</v>
      </c>
      <c r="FC2" s="1" t="b">
        <v>0</v>
      </c>
      <c r="FD2" s="1" t="b">
        <v>0</v>
      </c>
      <c r="FE2" s="1" t="b">
        <v>0</v>
      </c>
      <c r="FF2" s="1" t="b">
        <v>0</v>
      </c>
      <c r="FG2" s="1" t="b">
        <v>0</v>
      </c>
      <c r="FH2" s="1" t="b">
        <v>0</v>
      </c>
      <c r="FI2" s="1" t="b">
        <v>0</v>
      </c>
      <c r="FJ2" s="1" t="b">
        <v>0</v>
      </c>
      <c r="FK2" s="1" t="b">
        <v>0</v>
      </c>
      <c r="FL2" s="1" t="b">
        <v>0</v>
      </c>
      <c r="FM2" s="1" t="b">
        <v>0</v>
      </c>
      <c r="FN2" s="1" t="b">
        <v>0</v>
      </c>
      <c r="FO2" s="1" t="b">
        <v>0</v>
      </c>
      <c r="FP2" s="1" t="b">
        <v>0</v>
      </c>
      <c r="FQ2" s="1" t="b">
        <v>0</v>
      </c>
      <c r="FR2" s="1" t="b">
        <v>0</v>
      </c>
      <c r="FS2" s="1" t="b">
        <v>0</v>
      </c>
      <c r="FT2" s="1" t="b">
        <v>0</v>
      </c>
      <c r="FU2" s="1" t="b">
        <v>0</v>
      </c>
      <c r="FV2" s="1" t="b">
        <v>0</v>
      </c>
      <c r="FW2" s="1" t="b">
        <v>0</v>
      </c>
      <c r="FX2" s="1" t="b">
        <v>0</v>
      </c>
      <c r="FY2" s="1" t="b">
        <v>0</v>
      </c>
    </row>
    <row r="3" spans="1:181" s="1" customFormat="1" ht="24.75" customHeight="1" x14ac:dyDescent="0.25">
      <c r="B3" s="14"/>
      <c r="C3" s="14"/>
      <c r="E3" s="5"/>
      <c r="F3" s="5"/>
      <c r="G3" s="1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15"/>
      <c r="U3" s="15"/>
      <c r="V3" s="4"/>
      <c r="W3" s="4"/>
      <c r="X3" s="4"/>
      <c r="Y3" s="4"/>
      <c r="Z3" s="15"/>
      <c r="AA3" s="15"/>
      <c r="AB3" s="4"/>
      <c r="AC3" s="4"/>
      <c r="AD3" s="4"/>
      <c r="AF3" s="6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T3" s="4"/>
      <c r="AU3" s="4"/>
      <c r="AX3" s="7"/>
      <c r="AZ3" s="4"/>
      <c r="BA3" s="4"/>
      <c r="BB3" s="4"/>
      <c r="BC3" s="4"/>
      <c r="BD3" s="4"/>
      <c r="BE3" s="4"/>
      <c r="BF3" s="4"/>
      <c r="BH3" s="4"/>
      <c r="BI3" s="4"/>
      <c r="BJ3" s="4"/>
      <c r="BK3" s="4"/>
      <c r="BL3" s="4"/>
      <c r="BM3" s="4"/>
      <c r="BW3" s="7"/>
      <c r="BX3" s="15"/>
      <c r="BY3" s="4"/>
      <c r="BZ3" s="4"/>
      <c r="CA3" s="4"/>
      <c r="CB3" s="4"/>
      <c r="CC3" s="4"/>
      <c r="DT3" s="4"/>
      <c r="DU3" s="4"/>
      <c r="DV3" s="4"/>
      <c r="DW3" s="4"/>
      <c r="DX3" s="4"/>
      <c r="DY3" s="4"/>
      <c r="DZ3" s="4"/>
      <c r="EB3" s="4"/>
      <c r="EC3" s="4"/>
      <c r="ED3" s="4"/>
      <c r="EE3" s="4"/>
      <c r="EF3" s="4"/>
      <c r="EG3" s="4"/>
    </row>
    <row r="4" spans="1:181" s="1" customFormat="1" ht="24.75" customHeight="1" x14ac:dyDescent="0.25">
      <c r="B4" s="14"/>
      <c r="C4" s="14"/>
      <c r="E4" s="5"/>
      <c r="F4" s="5"/>
      <c r="G4" s="15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15"/>
      <c r="U4" s="15"/>
      <c r="V4" s="4"/>
      <c r="W4" s="4"/>
      <c r="X4" s="4"/>
      <c r="Y4" s="4"/>
      <c r="Z4" s="15"/>
      <c r="AA4" s="15"/>
      <c r="AB4" s="4"/>
      <c r="AC4" s="4"/>
      <c r="AD4" s="4"/>
      <c r="AF4" s="6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T4" s="4"/>
      <c r="AU4" s="4"/>
      <c r="AX4" s="7"/>
      <c r="AZ4" s="4"/>
      <c r="BA4" s="4"/>
      <c r="BB4" s="4"/>
      <c r="BC4" s="4"/>
      <c r="BD4" s="4"/>
      <c r="BE4" s="4"/>
      <c r="BF4" s="4"/>
      <c r="BH4" s="4"/>
      <c r="BI4" s="4"/>
      <c r="BJ4" s="4"/>
      <c r="BK4" s="4"/>
      <c r="BL4" s="4"/>
      <c r="BM4" s="4"/>
      <c r="BW4" s="7"/>
      <c r="BX4" s="15"/>
      <c r="BY4" s="4"/>
      <c r="BZ4" s="4"/>
      <c r="CA4" s="4"/>
      <c r="CB4" s="4"/>
      <c r="CC4" s="4"/>
      <c r="DT4" s="4"/>
      <c r="DU4" s="4"/>
      <c r="DV4" s="4"/>
      <c r="DW4" s="4"/>
      <c r="DX4" s="4"/>
      <c r="DY4" s="4"/>
      <c r="DZ4" s="4"/>
      <c r="EB4" s="4"/>
      <c r="EC4" s="4"/>
      <c r="ED4" s="4"/>
      <c r="EE4" s="4"/>
      <c r="EF4" s="4"/>
      <c r="EG4" s="4"/>
    </row>
    <row r="5" spans="1:181" s="1" customFormat="1" ht="24.75" customHeight="1" x14ac:dyDescent="0.25">
      <c r="T5" s="4"/>
      <c r="U5" s="4"/>
      <c r="AF5" s="6"/>
      <c r="AG5" s="4"/>
      <c r="AH5" s="4"/>
      <c r="AI5" s="4"/>
      <c r="AJ5" s="4"/>
      <c r="AK5" s="4"/>
      <c r="AL5" s="4"/>
      <c r="AM5" s="4"/>
      <c r="AO5" s="4"/>
      <c r="AQ5" s="4"/>
      <c r="AR5" s="4"/>
      <c r="AT5" s="4"/>
      <c r="AU5" s="4"/>
      <c r="AX5" s="7"/>
      <c r="BE5" s="4"/>
      <c r="BW5" s="7"/>
      <c r="BX5" s="4"/>
      <c r="BY5" s="4"/>
      <c r="BZ5" s="4"/>
      <c r="CA5" s="4"/>
      <c r="CB5" s="4"/>
      <c r="CC5" s="4"/>
      <c r="DT5" s="4"/>
      <c r="DU5" s="4"/>
      <c r="DV5" s="4"/>
      <c r="DW5" s="4"/>
      <c r="DX5" s="4"/>
      <c r="DY5" s="4"/>
      <c r="DZ5" s="4"/>
      <c r="EB5" s="4"/>
      <c r="EC5" s="4"/>
      <c r="ED5" s="4"/>
      <c r="EE5" s="4"/>
      <c r="EF5" s="4"/>
      <c r="EG5" s="4"/>
    </row>
    <row r="6" spans="1:181" s="1" customFormat="1" ht="24.75" customHeight="1" x14ac:dyDescent="0.25">
      <c r="T6" s="4"/>
      <c r="U6" s="4"/>
      <c r="AF6" s="6"/>
      <c r="AG6" s="4"/>
      <c r="AH6" s="4"/>
      <c r="AI6" s="4"/>
      <c r="AJ6" s="4"/>
      <c r="AK6" s="4"/>
      <c r="AL6" s="4"/>
      <c r="AM6" s="4"/>
      <c r="AO6" s="4"/>
      <c r="AQ6" s="4"/>
      <c r="AR6" s="4"/>
      <c r="AT6" s="4"/>
      <c r="AX6" s="7"/>
      <c r="AZ6" s="4"/>
      <c r="BA6" s="4"/>
      <c r="BB6" s="4"/>
      <c r="BC6" s="4"/>
      <c r="BD6" s="4"/>
      <c r="BE6" s="4"/>
      <c r="BF6" s="4"/>
      <c r="BH6" s="4"/>
      <c r="BI6" s="4"/>
      <c r="BJ6" s="4"/>
      <c r="BK6" s="4"/>
      <c r="BL6" s="4"/>
      <c r="BM6" s="4"/>
      <c r="BW6" s="7"/>
      <c r="DT6" s="4"/>
      <c r="DU6" s="4"/>
      <c r="DV6" s="4"/>
      <c r="DW6" s="4"/>
      <c r="DX6" s="4"/>
      <c r="DY6" s="4"/>
      <c r="DZ6" s="4"/>
      <c r="EB6" s="4"/>
      <c r="EC6" s="4"/>
      <c r="ED6" s="4"/>
      <c r="EE6" s="4"/>
      <c r="EF6" s="4"/>
      <c r="EG6" s="4"/>
    </row>
    <row r="7" spans="1:181" x14ac:dyDescent="0.25">
      <c r="AX7" s="7"/>
      <c r="BW7" s="7"/>
    </row>
    <row r="8" spans="1:181" x14ac:dyDescent="0.25">
      <c r="AX8" s="7"/>
    </row>
    <row r="9" spans="1:181" x14ac:dyDescent="0.25">
      <c r="AX9" s="7"/>
    </row>
    <row r="10" spans="1:181" x14ac:dyDescent="0.25">
      <c r="AX10" s="7"/>
    </row>
    <row r="11" spans="1:181" x14ac:dyDescent="0.25">
      <c r="AX11" s="7"/>
    </row>
  </sheetData>
  <conditionalFormatting sqref="A1:BM1">
    <cfRule type="notContainsBlanks" dxfId="12" priority="3">
      <formula>LEN(TRIM(A1))&gt;0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3468B0E9-DCAA-469E-835D-16A413AE4625}">
            <xm:f>AND('Validation GRPO'!A1="NA",A1&lt;&gt;"")</xm:f>
            <x14:dxf>
              <fill>
                <patternFill>
                  <bgColor rgb="FFFF0000"/>
                </patternFill>
              </fill>
            </x14:dxf>
          </x14:cfRule>
          <xm:sqref>A1:BV1</xm:sqref>
        </x14:conditionalFormatting>
        <x14:conditionalFormatting xmlns:xm="http://schemas.microsoft.com/office/excel/2006/main">
          <x14:cfRule type="expression" priority="2" id="{7A1C6FB3-CE5A-4E99-96CF-0375CB64949F}">
            <xm:f>AND('C:\Users\issac\AppData\Local\Microsoft\Windows\INetCache\Content.Outlook\1UR46FCF\[TATA Invoice 2472807050.xlsm]Validation'!#REF!="NA",BX1&lt;&gt;"")</xm:f>
            <x14:dxf>
              <fill>
                <patternFill>
                  <bgColor rgb="FFFF0000"/>
                </patternFill>
              </fill>
            </x14:dxf>
          </x14:cfRule>
          <xm:sqref>BX1:CK1</xm:sqref>
        </x14:conditionalFormatting>
        <x14:conditionalFormatting xmlns:xm="http://schemas.microsoft.com/office/excel/2006/main">
          <x14:cfRule type="expression" priority="1" id="{869650EE-3D8A-44AC-B485-AE3CA8668ADC}">
            <xm:f>AND('C:\Users\issac\AppData\Local\Microsoft\Windows\INetCache\Content.Outlook\1UR46FCF\[TATA Invoice 2472807050.xlsm]Validation'!#REF!="NA",BW1&lt;&gt;"")</xm:f>
            <x14:dxf>
              <fill>
                <patternFill>
                  <bgColor rgb="FFFF0000"/>
                </patternFill>
              </fill>
            </x14:dxf>
          </x14:cfRule>
          <xm:sqref>BW1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5"/>
  <sheetViews>
    <sheetView topLeftCell="E1"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22"/>
  <sheetViews>
    <sheetView showGridLines="0" topLeftCell="I1" zoomScale="93" workbookViewId="0">
      <selection activeCell="N14" sqref="N14"/>
    </sheetView>
  </sheetViews>
  <sheetFormatPr defaultRowHeight="15" x14ac:dyDescent="0.25"/>
  <cols>
    <col min="1" max="1" width="9.140625" style="1" customWidth="1"/>
    <col min="2" max="2" width="22.42578125" style="1" bestFit="1" customWidth="1"/>
    <col min="3" max="3" width="14.42578125" style="1" bestFit="1" customWidth="1"/>
    <col min="4" max="4" width="14.28515625" style="1" bestFit="1" customWidth="1"/>
    <col min="5" max="5" width="16.5703125" style="1" bestFit="1" customWidth="1"/>
    <col min="6" max="6" width="23" style="1" bestFit="1" customWidth="1"/>
    <col min="7" max="7" width="17" style="1" customWidth="1"/>
    <col min="8" max="8" width="22" style="1" bestFit="1" customWidth="1"/>
    <col min="9" max="9" width="9.140625" style="1" customWidth="1"/>
    <col min="10" max="10" width="33.5703125" style="1" bestFit="1" customWidth="1"/>
    <col min="11" max="11" width="11" style="1" bestFit="1" customWidth="1"/>
    <col min="12" max="13" width="9.140625" style="1" customWidth="1"/>
    <col min="14" max="14" width="24.7109375" style="1" bestFit="1" customWidth="1"/>
    <col min="15" max="15" width="22.140625" style="1" bestFit="1" customWidth="1"/>
    <col min="17" max="17" width="9.28515625" customWidth="1"/>
    <col min="18" max="18" width="12.5703125" customWidth="1"/>
    <col min="19" max="19" width="18.7109375" customWidth="1"/>
    <col min="28" max="28" width="13.140625" bestFit="1" customWidth="1"/>
    <col min="29" max="29" width="18.140625" bestFit="1" customWidth="1"/>
    <col min="30" max="30" width="11.28515625" bestFit="1" customWidth="1"/>
    <col min="33" max="33" width="12" bestFit="1" customWidth="1"/>
    <col min="35" max="35" width="18.140625" bestFit="1" customWidth="1"/>
    <col min="36" max="36" width="19.28515625" bestFit="1" customWidth="1"/>
    <col min="37" max="37" width="14.5703125" bestFit="1" customWidth="1"/>
    <col min="45" max="45" width="10.85546875" bestFit="1" customWidth="1"/>
  </cols>
  <sheetData>
    <row r="1" spans="1:46" x14ac:dyDescent="0.25">
      <c r="AS1" s="21" t="s">
        <v>130</v>
      </c>
      <c r="AT1" s="21" t="str">
        <f>IF(OR((N4&lt;&gt;"HOLD"),AND(N4="HOLD",(Logs!H1-2)&lt;2)),"PASS","FAIL")</f>
        <v>PASS</v>
      </c>
    </row>
    <row r="2" spans="1:46" ht="15" customHeight="1" x14ac:dyDescent="0.25">
      <c r="A2" s="66" t="s">
        <v>107</v>
      </c>
      <c r="B2" s="66"/>
      <c r="C2" s="66"/>
      <c r="D2" s="16"/>
      <c r="E2" s="67" t="s">
        <v>118</v>
      </c>
      <c r="F2" s="67"/>
      <c r="G2" s="67"/>
      <c r="H2" s="68"/>
    </row>
    <row r="3" spans="1:46" ht="19.5" customHeight="1" x14ac:dyDescent="0.25">
      <c r="A3" s="18" t="s">
        <v>0</v>
      </c>
      <c r="B3" s="18" t="s">
        <v>1</v>
      </c>
      <c r="C3" s="19" t="s">
        <v>108</v>
      </c>
      <c r="D3" s="16"/>
      <c r="E3" s="22" t="s">
        <v>0</v>
      </c>
      <c r="F3" s="22" t="s">
        <v>1</v>
      </c>
      <c r="G3" s="23" t="s">
        <v>108</v>
      </c>
      <c r="H3" s="68"/>
      <c r="I3"/>
      <c r="J3" s="24" t="s">
        <v>2</v>
      </c>
      <c r="K3" s="20" t="str">
        <f>IF(Final!V2="","",TEXT(Final!V2,"0"))</f>
        <v/>
      </c>
      <c r="L3"/>
      <c r="M3"/>
      <c r="N3" s="29" t="s">
        <v>3</v>
      </c>
      <c r="O3" s="29" t="s">
        <v>4</v>
      </c>
      <c r="Q3" s="26" t="s">
        <v>112</v>
      </c>
      <c r="R3" s="26" t="s">
        <v>108</v>
      </c>
      <c r="S3" s="27" t="s">
        <v>113</v>
      </c>
      <c r="Y3" s="17" t="s">
        <v>0</v>
      </c>
      <c r="Z3" s="17" t="s">
        <v>2</v>
      </c>
      <c r="AA3" s="17" t="s">
        <v>35</v>
      </c>
      <c r="AB3" s="17" t="s">
        <v>100</v>
      </c>
      <c r="AC3" s="17" t="s">
        <v>101</v>
      </c>
      <c r="AD3" s="17" t="s">
        <v>102</v>
      </c>
      <c r="AE3" s="17" t="s">
        <v>103</v>
      </c>
      <c r="AF3" s="17" t="s">
        <v>5</v>
      </c>
      <c r="AG3" s="17" t="s">
        <v>104</v>
      </c>
      <c r="AH3" s="17" t="s">
        <v>105</v>
      </c>
      <c r="AI3" s="17" t="s">
        <v>79</v>
      </c>
      <c r="AJ3" s="17" t="s">
        <v>76</v>
      </c>
      <c r="AK3" s="17" t="s">
        <v>106</v>
      </c>
    </row>
    <row r="4" spans="1:46" x14ac:dyDescent="0.25">
      <c r="A4" s="20">
        <v>1</v>
      </c>
      <c r="B4" s="20" t="s">
        <v>5</v>
      </c>
      <c r="C4" s="20" t="s">
        <v>145</v>
      </c>
      <c r="E4" s="21">
        <v>1</v>
      </c>
      <c r="F4" s="36" t="s">
        <v>66</v>
      </c>
      <c r="G4" s="21" t="str">
        <f>IF(COUNTIF(Validation!BY:BY,"NA")&gt;0,"MISMATCH","PASS")</f>
        <v>PASS</v>
      </c>
      <c r="J4" s="24" t="s">
        <v>15</v>
      </c>
      <c r="K4" s="20" t="str">
        <f>Final!AR2</f>
        <v/>
      </c>
      <c r="N4" s="31" t="str">
        <f>IF(OR(ISNA(VLOOKUP(Final!V2,'GRPO Wiz'!BK:BK,1,FALSE)),(1048576-COUNTBLANK(Final!AZ:AZ)-1)&lt;&gt;INT(K6)),"HOLD",IF(COUNTIF(C:C,"MISMATCH")&gt;0,"MISMATCH","PASS"))</f>
        <v>MISMATCH</v>
      </c>
      <c r="O4" s="31" t="str">
        <f>IF(OR(COUNTIF(G:G,"MISMATCH")&gt;0,ABS(K9)&gt;20),"MISMATCH","PASS")</f>
        <v>MISMATCH</v>
      </c>
      <c r="Q4" s="28" t="s">
        <v>114</v>
      </c>
      <c r="R4" s="25" t="s">
        <v>117</v>
      </c>
      <c r="S4" s="37"/>
      <c r="Z4" t="str">
        <f>K3</f>
        <v/>
      </c>
      <c r="AA4">
        <f>Final!W2</f>
        <v>0</v>
      </c>
      <c r="AB4" s="38">
        <f>S4</f>
        <v>0</v>
      </c>
      <c r="AC4" s="38">
        <f>S5</f>
        <v>0</v>
      </c>
      <c r="AD4" t="str">
        <f>K6</f>
        <v>0</v>
      </c>
      <c r="AE4">
        <f>SUM(Final!H2:H95)</f>
        <v>0</v>
      </c>
      <c r="AF4" t="str">
        <f>K5</f>
        <v>NSC</v>
      </c>
      <c r="AG4" t="str">
        <f>R4</f>
        <v>Pending</v>
      </c>
      <c r="AH4" t="str">
        <f>R5</f>
        <v>Pending</v>
      </c>
      <c r="AI4">
        <f>Final!AD2</f>
        <v>0</v>
      </c>
      <c r="AJ4">
        <f>Final!AB2</f>
        <v>0</v>
      </c>
      <c r="AK4">
        <f>Final!AC2</f>
        <v>0</v>
      </c>
    </row>
    <row r="5" spans="1:46" x14ac:dyDescent="0.25">
      <c r="A5" s="20">
        <v>2</v>
      </c>
      <c r="B5" s="20" t="s">
        <v>6</v>
      </c>
      <c r="C5" s="20" t="str">
        <f>IF(COUNTIF(Validation!O:O,"NA")&gt;0,"MISMATCH","PASS")</f>
        <v>PASS</v>
      </c>
      <c r="E5" s="21">
        <v>2</v>
      </c>
      <c r="F5" s="36" t="str">
        <f>IF(Final!K1="IGST","AP IGST","AP CGST")</f>
        <v>AP IGST</v>
      </c>
      <c r="G5" s="21" t="str">
        <f>IF(COUNTIF(Validation!BZ:BZ,"NA")&gt;0,"MISMATCH","PASS")</f>
        <v>MISMATCH</v>
      </c>
      <c r="J5" s="24" t="s">
        <v>5</v>
      </c>
      <c r="K5" s="20" t="s">
        <v>131</v>
      </c>
      <c r="Q5" s="28" t="s">
        <v>64</v>
      </c>
      <c r="R5" s="25" t="s">
        <v>117</v>
      </c>
      <c r="S5" s="37"/>
    </row>
    <row r="6" spans="1:46" x14ac:dyDescent="0.25">
      <c r="A6" s="20">
        <v>3</v>
      </c>
      <c r="B6" s="20" t="s">
        <v>7</v>
      </c>
      <c r="C6" s="20" t="str">
        <f>IF(COUNTIF(Validation!P:P,"NA")&gt;0,"MISMATCH","PASS")</f>
        <v>PASS</v>
      </c>
      <c r="E6" s="21">
        <v>3</v>
      </c>
      <c r="F6" s="36" t="str">
        <f>IF(Final!K1="IGST","","AP SGST")</f>
        <v/>
      </c>
      <c r="G6" s="21" t="str">
        <f>IF(Final!K1="IGST","",IF(COUNTIF(Validation!CA:CA,"NA")&gt;0,"MISMATCH","PASS"))</f>
        <v/>
      </c>
      <c r="J6" s="24" t="s">
        <v>97</v>
      </c>
      <c r="K6" s="20" t="str">
        <f>TEXT(MASTER!V3-2,"0")</f>
        <v>0</v>
      </c>
    </row>
    <row r="7" spans="1:46" x14ac:dyDescent="0.25">
      <c r="A7" s="20">
        <v>4</v>
      </c>
      <c r="B7" s="20" t="s">
        <v>8</v>
      </c>
      <c r="C7" s="20" t="str">
        <f>IF(COUNTIF(Validation!Q:Q,"NA")&gt;0,"MISMATCH","PASS")</f>
        <v>PASS</v>
      </c>
      <c r="E7" s="21">
        <v>4</v>
      </c>
      <c r="F7" s="36" t="s">
        <v>119</v>
      </c>
      <c r="G7" s="21" t="str">
        <f>IF(COUNTIF(Validation!CB:CB,"NA")&gt;0,"MISMATCH","PASS")</f>
        <v>PASS</v>
      </c>
      <c r="J7" s="24" t="s">
        <v>110</v>
      </c>
      <c r="K7" s="20" t="str">
        <f>TEXT(COUNTA(Logs!A:A)-1,"0")</f>
        <v>0</v>
      </c>
    </row>
    <row r="8" spans="1:46" x14ac:dyDescent="0.25">
      <c r="A8" s="20">
        <v>5</v>
      </c>
      <c r="B8" s="20" t="s">
        <v>9</v>
      </c>
      <c r="C8" s="20" t="str">
        <f>IF(COUNTIF(Validation!R:R,"NA")&gt;0,"MISMATCH","PASS")</f>
        <v>PASS</v>
      </c>
      <c r="E8" s="21">
        <v>5</v>
      </c>
      <c r="F8" s="36" t="s">
        <v>120</v>
      </c>
      <c r="G8" s="21" t="str">
        <f>IF(COUNTIF(Validation!CC:CC,"NA")&gt;0,"MISMATCH","PASS")</f>
        <v>PASS</v>
      </c>
      <c r="J8" s="24" t="s">
        <v>111</v>
      </c>
      <c r="K8" s="20" t="str">
        <f>TEXT(COUNTA(Logs!A:A)-1,"0")</f>
        <v>0</v>
      </c>
    </row>
    <row r="9" spans="1:46" x14ac:dyDescent="0.25">
      <c r="A9" s="20">
        <v>6</v>
      </c>
      <c r="B9" s="20" t="s">
        <v>10</v>
      </c>
      <c r="C9" s="20" t="str">
        <f>IF(COUNTIF(Validation!S:S,"NA")&gt;0,"MISMATCH","PASS")</f>
        <v>PASS</v>
      </c>
      <c r="E9" s="21">
        <v>6</v>
      </c>
      <c r="F9" s="36" t="s">
        <v>71</v>
      </c>
      <c r="G9" s="21" t="str">
        <f>IF(COUNTIF(Validation!CF:CF,"NA")&gt;0,"MISMATCH","PASS")</f>
        <v>PASS</v>
      </c>
      <c r="J9" s="24" t="s">
        <v>116</v>
      </c>
      <c r="K9" s="34" t="str">
        <f>TEXT(Final!AD2-Final!CK2,"0.0000")</f>
        <v>0.0000</v>
      </c>
    </row>
    <row r="10" spans="1:46" x14ac:dyDescent="0.25">
      <c r="A10" s="20">
        <v>7</v>
      </c>
      <c r="B10" s="20" t="s">
        <v>11</v>
      </c>
      <c r="C10" s="20" t="str">
        <f>IF(OR(Final!V2="",COUNTIF(Validation!V:V,"NA")&gt;0),"MISMATCH","PASS")</f>
        <v>MISMATCH</v>
      </c>
      <c r="E10" s="21">
        <v>7</v>
      </c>
      <c r="F10" s="36" t="str">
        <f>Final!CG1</f>
        <v>TOTAL IGST</v>
      </c>
      <c r="G10" s="21" t="str">
        <f>IF(COUNTIF(Validation!CG:CG,"NA")&gt;0,"MISMATCH","PASS")</f>
        <v>PASS</v>
      </c>
      <c r="J10" s="24" t="s">
        <v>16</v>
      </c>
      <c r="K10" s="35"/>
    </row>
    <row r="11" spans="1:46" x14ac:dyDescent="0.25">
      <c r="A11" s="20">
        <v>8</v>
      </c>
      <c r="B11" s="20" t="s">
        <v>12</v>
      </c>
      <c r="C11" s="20" t="str">
        <f>IF(COUNTIF(Validation!H:H,"NA")&gt;0,"MISMATCH","PASS")</f>
        <v>PASS</v>
      </c>
      <c r="E11" s="21">
        <v>8</v>
      </c>
      <c r="F11" s="36" t="str">
        <f>IF(Final!K1="IGST","","TOTAL SGST")</f>
        <v/>
      </c>
      <c r="G11" s="21" t="str">
        <f>IF(Final!K1="IGST","",IF(COUNTIF(Validation!CH:CH,"NA")&gt;0,"MISMATCH","PASS"))</f>
        <v/>
      </c>
    </row>
    <row r="12" spans="1:46" x14ac:dyDescent="0.25">
      <c r="A12" s="20">
        <v>9</v>
      </c>
      <c r="B12" s="20" t="s">
        <v>13</v>
      </c>
      <c r="C12" s="20" t="str">
        <f>IF(COUNTIF(Validation!I:I,"NA")&gt;0,"MISMATCH","PASS")</f>
        <v>MISMATCH</v>
      </c>
      <c r="E12" s="21">
        <v>9</v>
      </c>
      <c r="F12" s="36"/>
      <c r="G12" s="21"/>
      <c r="J12" s="24" t="s">
        <v>128</v>
      </c>
      <c r="K12" s="21">
        <f ca="1">INT(TEXT(TODAY(),"MM"))</f>
        <v>2</v>
      </c>
    </row>
    <row r="13" spans="1:46" x14ac:dyDescent="0.25">
      <c r="A13" s="20">
        <v>10</v>
      </c>
      <c r="B13" s="20" t="s">
        <v>14</v>
      </c>
      <c r="C13" s="20" t="str">
        <f>IF(COUNTIF(Validation!J:J,"NA")&gt;0,"MISMATCH","PASS")</f>
        <v>MISMATCH</v>
      </c>
      <c r="E13" s="21">
        <v>10</v>
      </c>
      <c r="F13" s="36" t="s">
        <v>36</v>
      </c>
      <c r="G13" s="21" t="str">
        <f>IF(COUNTIF(Validation!CJ:CJ,"NA")&gt;0,"MISMATCH","PASS")</f>
        <v>PASS</v>
      </c>
      <c r="J13" s="24" t="s">
        <v>123</v>
      </c>
      <c r="K13" s="21" t="str">
        <f>IFERROR(INT(MID(Final!W2,4,2)),"")</f>
        <v/>
      </c>
    </row>
    <row r="14" spans="1:46" x14ac:dyDescent="0.25">
      <c r="A14" s="20">
        <v>11</v>
      </c>
      <c r="B14" s="20" t="s">
        <v>15</v>
      </c>
      <c r="C14" s="20" t="str">
        <f>IF(COUNTIF(Validation!AR:AR,"NA")&gt;0,"MISMATCH","PASS")</f>
        <v>PASS</v>
      </c>
      <c r="E14" s="21">
        <v>11</v>
      </c>
      <c r="F14" s="36" t="s">
        <v>96</v>
      </c>
      <c r="G14" s="21" t="str">
        <f>IF(COUNTIF(Validation!CK:CK,"NA")&gt;0,"MISMATCH","PASS")</f>
        <v>PASS</v>
      </c>
      <c r="J14" s="24" t="s">
        <v>124</v>
      </c>
      <c r="K14" s="21" t="str">
        <f>IFERROR(INT(MID(VLOOKUP(Final!V2,'GRPO Wiz'!BK:BX,14,FALSE),4,2)),"")</f>
        <v/>
      </c>
    </row>
    <row r="15" spans="1:46" x14ac:dyDescent="0.25">
      <c r="A15" s="20">
        <v>12</v>
      </c>
      <c r="B15" s="20" t="s">
        <v>16</v>
      </c>
      <c r="C15" s="20" t="str">
        <f>IF(COUNTIF(Validation!Y:Y,"NA")&gt;0,"MISMATCH","PASS")</f>
        <v>PASS</v>
      </c>
      <c r="E15" s="21">
        <v>12</v>
      </c>
      <c r="F15" s="36" t="s">
        <v>121</v>
      </c>
      <c r="G15" s="21" t="str">
        <f>IF(COUNTIF(Validation!CD:CD,"NA")&gt;0,"MISMATCH","PASS")</f>
        <v>MISMATCH</v>
      </c>
      <c r="J15" s="24" t="s">
        <v>125</v>
      </c>
      <c r="K15" s="21" t="s">
        <v>192</v>
      </c>
    </row>
    <row r="16" spans="1:46" x14ac:dyDescent="0.25">
      <c r="A16" s="20">
        <v>13</v>
      </c>
      <c r="B16" s="20" t="s">
        <v>17</v>
      </c>
      <c r="C16" s="20" t="str">
        <f>IF(COUNTIF(Validation!E:E,"NA")&gt;0,"MISMATCH","PASS")</f>
        <v>PASS</v>
      </c>
      <c r="J16" s="24" t="s">
        <v>126</v>
      </c>
      <c r="K16" s="21" t="str">
        <f>IF(K15="Fail",IFERROR(MID(VLOOKUP(Final!V2,'GRPO Wiz'!BK:BX,14,FALSE),1,2)&amp;"/"&amp;MID(VLOOKUP(Final!V2,'GRPO Wiz'!BK:BX,14,FALSE),4,2)&amp;"/"&amp;MID(VLOOKUP(Final!V2,'GRPO Wiz'!BK:BX,14,FALSE),7,2),""),"")</f>
        <v/>
      </c>
    </row>
    <row r="17" spans="1:11" x14ac:dyDescent="0.25">
      <c r="A17" s="20">
        <v>14</v>
      </c>
      <c r="B17" s="20" t="s">
        <v>136</v>
      </c>
      <c r="C17" s="20" t="str">
        <f>IF(COUNTIF(Validation!G:G,"NA")&gt;0,"MISMATCH","PASS")</f>
        <v>PASS</v>
      </c>
      <c r="J17" s="24" t="s">
        <v>127</v>
      </c>
      <c r="K17" s="21" t="str">
        <f>IF(K15="Fail",IFERROR(MID(Final!W2,1,2)&amp;"/"&amp;MID(Final!W2,4,2)&amp;"/"&amp;MID(Final!W2,7,2),""),"")</f>
        <v/>
      </c>
    </row>
    <row r="18" spans="1:11" x14ac:dyDescent="0.25">
      <c r="A18" s="20">
        <v>15</v>
      </c>
      <c r="B18" s="20" t="s">
        <v>97</v>
      </c>
      <c r="C18" s="1" t="str">
        <f>IF(K19=K6,"PASS","MISMATCH")</f>
        <v>MISMATCH</v>
      </c>
    </row>
    <row r="19" spans="1:11" x14ac:dyDescent="0.25">
      <c r="J19" s="24" t="s">
        <v>144</v>
      </c>
      <c r="K19" s="20" t="str">
        <f>'Config GRPO'!K11</f>
        <v>1048576</v>
      </c>
    </row>
    <row r="20" spans="1:11" x14ac:dyDescent="0.25">
      <c r="J20" s="24"/>
      <c r="K20" s="20"/>
    </row>
    <row r="21" spans="1:11" x14ac:dyDescent="0.25">
      <c r="J21" s="44" t="s">
        <v>185</v>
      </c>
      <c r="K21" s="36">
        <v>0.05</v>
      </c>
    </row>
    <row r="22" spans="1:11" x14ac:dyDescent="0.25">
      <c r="J22" s="44" t="s">
        <v>186</v>
      </c>
      <c r="K22" s="36">
        <v>0.1</v>
      </c>
    </row>
  </sheetData>
  <mergeCells count="3">
    <mergeCell ref="H2:H3"/>
    <mergeCell ref="A2:C2"/>
    <mergeCell ref="E2:G2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Y377"/>
  <sheetViews>
    <sheetView showGridLines="0" tabSelected="1" zoomScale="81" zoomScaleNormal="58" workbookViewId="0">
      <selection activeCell="CD67" sqref="A67:XFD99"/>
    </sheetView>
  </sheetViews>
  <sheetFormatPr defaultColWidth="9.140625" defaultRowHeight="15" outlineLevelCol="1" x14ac:dyDescent="0.25"/>
  <cols>
    <col min="1" max="1" width="14.140625" style="52" bestFit="1" customWidth="1"/>
    <col min="2" max="2" width="5.28515625" style="52" customWidth="1"/>
    <col min="3" max="3" width="40.7109375" style="52" hidden="1" customWidth="1"/>
    <col min="4" max="4" width="4.42578125" style="52" hidden="1" customWidth="1"/>
    <col min="5" max="5" width="9.42578125" style="52" bestFit="1" customWidth="1"/>
    <col min="6" max="6" width="4.28515625" style="52" bestFit="1" customWidth="1"/>
    <col min="7" max="7" width="15.140625" style="52" bestFit="1" customWidth="1"/>
    <col min="8" max="8" width="6" style="52" bestFit="1" customWidth="1"/>
    <col min="9" max="9" width="7.5703125" style="52" bestFit="1" customWidth="1"/>
    <col min="10" max="10" width="15.42578125" style="52" customWidth="1"/>
    <col min="11" max="11" width="9.42578125" style="52" customWidth="1"/>
    <col min="12" max="12" width="9.42578125" style="52" hidden="1" customWidth="1"/>
    <col min="13" max="14" width="10.42578125" style="52" hidden="1" customWidth="1"/>
    <col min="15" max="15" width="13.42578125" style="52" bestFit="1" customWidth="1"/>
    <col min="16" max="16" width="6.85546875" style="52" bestFit="1" customWidth="1"/>
    <col min="17" max="17" width="4.28515625" style="52" bestFit="1" customWidth="1"/>
    <col min="18" max="18" width="5.28515625" style="52" bestFit="1" customWidth="1"/>
    <col min="19" max="19" width="4.85546875" style="52" customWidth="1"/>
    <col min="20" max="20" width="0.28515625" style="52" customWidth="1"/>
    <col min="21" max="21" width="12" style="52" bestFit="1" customWidth="1"/>
    <col min="22" max="22" width="11.5703125" style="52" bestFit="1" customWidth="1"/>
    <col min="23" max="23" width="12.85546875" style="52" bestFit="1" customWidth="1"/>
    <col min="24" max="24" width="5.7109375" style="52" bestFit="1" customWidth="1"/>
    <col min="25" max="25" width="10.42578125" style="52" bestFit="1" customWidth="1"/>
    <col min="26" max="26" width="9.42578125" style="52" bestFit="1" customWidth="1" outlineLevel="1"/>
    <col min="27" max="27" width="12" style="52" bestFit="1" customWidth="1" outlineLevel="1"/>
    <col min="28" max="28" width="21" style="52" bestFit="1" customWidth="1"/>
    <col min="29" max="29" width="12.5703125" style="52" bestFit="1" customWidth="1"/>
    <col min="30" max="30" width="19.5703125" style="52" bestFit="1" customWidth="1"/>
    <col min="31" max="31" width="9.140625" style="52" customWidth="1"/>
    <col min="32" max="32" width="12.5703125" style="52" bestFit="1" customWidth="1"/>
    <col min="33" max="33" width="12.140625" style="52" bestFit="1" customWidth="1"/>
    <col min="34" max="34" width="12.42578125" style="52" bestFit="1" customWidth="1"/>
    <col min="35" max="35" width="8.7109375" style="52" bestFit="1" customWidth="1"/>
    <col min="36" max="36" width="9.5703125" style="52" bestFit="1" customWidth="1"/>
    <col min="37" max="37" width="8.5703125" style="52" bestFit="1" customWidth="1"/>
    <col min="38" max="38" width="18.7109375" style="52" bestFit="1" customWidth="1"/>
    <col min="39" max="39" width="14.7109375" style="52" bestFit="1" customWidth="1"/>
    <col min="40" max="41" width="17.28515625" style="52" bestFit="1" customWidth="1"/>
    <col min="42" max="42" width="19.140625" style="52" bestFit="1" customWidth="1"/>
    <col min="43" max="43" width="19.7109375" style="52" bestFit="1" customWidth="1"/>
    <col min="44" max="44" width="13.7109375" style="52" bestFit="1" customWidth="1"/>
    <col min="45" max="45" width="6.7109375" style="52" bestFit="1" customWidth="1"/>
    <col min="46" max="46" width="7.5703125" style="52" bestFit="1" customWidth="1"/>
    <col min="47" max="47" width="15" style="52" bestFit="1" customWidth="1"/>
    <col min="48" max="49" width="9.140625" style="52" customWidth="1"/>
    <col min="50" max="50" width="2.42578125" style="52" bestFit="1" customWidth="1"/>
    <col min="51" max="51" width="11.5703125" style="52" bestFit="1" customWidth="1"/>
    <col min="52" max="52" width="12.140625" style="52" bestFit="1" customWidth="1"/>
    <col min="53" max="53" width="11.28515625" style="52" bestFit="1" customWidth="1"/>
    <col min="54" max="54" width="7.7109375" style="52" bestFit="1" customWidth="1"/>
    <col min="55" max="55" width="8.5703125" style="52" bestFit="1" customWidth="1"/>
    <col min="56" max="56" width="7.5703125" style="52" bestFit="1" customWidth="1"/>
    <col min="57" max="57" width="17.5703125" style="52" bestFit="1" customWidth="1"/>
    <col min="58" max="58" width="13.7109375" style="52" bestFit="1" customWidth="1"/>
    <col min="59" max="59" width="20.140625" style="57" bestFit="1" customWidth="1"/>
    <col min="60" max="60" width="16.28515625" style="52" bestFit="1" customWidth="1"/>
    <col min="61" max="61" width="18" style="52" bestFit="1" customWidth="1"/>
    <col min="62" max="62" width="19.42578125" style="52" bestFit="1" customWidth="1"/>
    <col min="63" max="63" width="12.140625" style="52" bestFit="1" customWidth="1"/>
    <col min="64" max="64" width="10.42578125" style="52" bestFit="1" customWidth="1"/>
    <col min="65" max="65" width="10.85546875" style="52" bestFit="1" customWidth="1"/>
    <col min="66" max="67" width="9.140625" style="52" customWidth="1"/>
    <col min="68" max="73" width="9.140625" style="52" customWidth="1" outlineLevel="1"/>
    <col min="74" max="74" width="9.140625" style="52" customWidth="1"/>
    <col min="75" max="75" width="16.85546875" style="52" bestFit="1" customWidth="1"/>
    <col min="76" max="76" width="11" style="52" bestFit="1" customWidth="1"/>
    <col min="77" max="77" width="18.42578125" style="52" bestFit="1" customWidth="1"/>
    <col min="78" max="78" width="9.42578125" style="52" bestFit="1" customWidth="1"/>
    <col min="79" max="79" width="9.28515625" style="52" customWidth="1"/>
    <col min="80" max="80" width="10.42578125" style="52" bestFit="1" customWidth="1"/>
    <col min="81" max="81" width="23.42578125" style="52" bestFit="1" customWidth="1"/>
    <col min="82" max="82" width="14.140625" style="52" bestFit="1" customWidth="1" outlineLevel="1"/>
    <col min="83" max="83" width="7" style="52" bestFit="1" customWidth="1" outlineLevel="1"/>
    <col min="84" max="84" width="22.85546875" style="52" bestFit="1" customWidth="1"/>
    <col min="85" max="86" width="11.7109375" style="52" bestFit="1" customWidth="1"/>
    <col min="87" max="87" width="10.42578125" style="52" bestFit="1" customWidth="1"/>
    <col min="88" max="88" width="22.28515625" style="52" bestFit="1" customWidth="1"/>
    <col min="89" max="89" width="21.140625" style="52" bestFit="1" customWidth="1"/>
    <col min="90" max="100" width="9.140625" style="52" customWidth="1"/>
    <col min="101" max="101" width="5.28515625" style="52" bestFit="1" customWidth="1" outlineLevel="1"/>
    <col min="102" max="102" width="5" style="52" bestFit="1" customWidth="1" outlineLevel="1"/>
    <col min="103" max="103" width="13.42578125" style="52" bestFit="1" customWidth="1" outlineLevel="1"/>
    <col min="104" max="104" width="5.28515625" style="52" bestFit="1" customWidth="1" outlineLevel="1"/>
    <col min="105" max="105" width="10.42578125" style="52" bestFit="1" customWidth="1" outlineLevel="1"/>
    <col min="106" max="106" width="6.85546875" style="52" bestFit="1" customWidth="1" outlineLevel="1"/>
    <col min="107" max="107" width="7.42578125" style="52" bestFit="1" customWidth="1" outlineLevel="1"/>
    <col min="108" max="108" width="7.5703125" style="52" bestFit="1" customWidth="1" outlineLevel="1"/>
    <col min="109" max="109" width="21" style="52" bestFit="1" customWidth="1" outlineLevel="1"/>
    <col min="110" max="110" width="11" style="52" bestFit="1" customWidth="1" outlineLevel="1"/>
    <col min="111" max="111" width="10.5703125" style="52" bestFit="1" customWidth="1" outlineLevel="1"/>
    <col min="112" max="112" width="10.28515625" style="52" bestFit="1" customWidth="1" outlineLevel="1"/>
    <col min="113" max="113" width="19.5703125" style="52" bestFit="1" customWidth="1" outlineLevel="1"/>
    <col min="114" max="114" width="12.85546875" style="52" bestFit="1" customWidth="1" outlineLevel="1"/>
    <col min="115" max="115" width="11" style="52" bestFit="1" customWidth="1" outlineLevel="1"/>
    <col min="116" max="116" width="6.7109375" style="52" bestFit="1" customWidth="1" outlineLevel="1"/>
    <col min="117" max="117" width="10.28515625" style="52" bestFit="1" customWidth="1" outlineLevel="1"/>
    <col min="118" max="123" width="9.140625" style="52" customWidth="1" outlineLevel="1"/>
    <col min="124" max="124" width="10.85546875" style="52" bestFit="1" customWidth="1" outlineLevel="1"/>
    <col min="125" max="125" width="11.28515625" style="52" bestFit="1" customWidth="1" outlineLevel="1"/>
    <col min="126" max="126" width="7.7109375" style="52" bestFit="1" customWidth="1" outlineLevel="1"/>
    <col min="127" max="127" width="8.5703125" style="52" bestFit="1" customWidth="1" outlineLevel="1"/>
    <col min="128" max="128" width="7.5703125" style="52" bestFit="1" customWidth="1" outlineLevel="1"/>
    <col min="129" max="129" width="17.5703125" style="52" bestFit="1" customWidth="1" outlineLevel="1"/>
    <col min="130" max="130" width="13.7109375" style="52" bestFit="1" customWidth="1" outlineLevel="1"/>
    <col min="131" max="132" width="16.28515625" style="52" bestFit="1" customWidth="1" outlineLevel="1"/>
    <col min="133" max="133" width="18" style="52" bestFit="1" customWidth="1" outlineLevel="1"/>
    <col min="134" max="134" width="19.42578125" style="52" bestFit="1" customWidth="1" outlineLevel="1"/>
    <col min="135" max="135" width="12.140625" style="52" bestFit="1" customWidth="1" outlineLevel="1"/>
    <col min="136" max="136" width="10.42578125" style="52" bestFit="1" customWidth="1" outlineLevel="1"/>
    <col min="137" max="137" width="10.85546875" style="52" bestFit="1" customWidth="1" outlineLevel="1"/>
    <col min="138" max="138" width="9.140625" style="52" customWidth="1" outlineLevel="1"/>
    <col min="139" max="143" width="9.140625" style="52" outlineLevel="1"/>
    <col min="144" max="148" width="9.140625" style="52"/>
    <col min="149" max="181" width="6.28515625" style="52" bestFit="1" customWidth="1"/>
    <col min="182" max="16384" width="9.140625" style="52"/>
  </cols>
  <sheetData>
    <row r="1" spans="1:181" s="60" customFormat="1" ht="27" customHeight="1" x14ac:dyDescent="0.25">
      <c r="A1" s="58" t="s">
        <v>93</v>
      </c>
      <c r="B1" s="59" t="s">
        <v>0</v>
      </c>
      <c r="C1" s="59"/>
      <c r="D1" s="59"/>
      <c r="E1" s="59" t="s">
        <v>17</v>
      </c>
      <c r="F1" s="59" t="s">
        <v>20</v>
      </c>
      <c r="G1" s="59" t="s">
        <v>136</v>
      </c>
      <c r="H1" s="59" t="s">
        <v>22</v>
      </c>
      <c r="I1" s="59" t="s">
        <v>23</v>
      </c>
      <c r="J1" s="59" t="s">
        <v>138</v>
      </c>
      <c r="K1" s="59" t="s">
        <v>26</v>
      </c>
      <c r="L1" s="59"/>
      <c r="M1" s="59"/>
      <c r="N1" s="59"/>
      <c r="O1" s="59" t="s">
        <v>6</v>
      </c>
      <c r="P1" s="59" t="s">
        <v>29</v>
      </c>
      <c r="Q1" s="59" t="s">
        <v>30</v>
      </c>
      <c r="R1" s="59" t="s">
        <v>31</v>
      </c>
      <c r="S1" s="59" t="s">
        <v>32</v>
      </c>
      <c r="T1" s="59"/>
      <c r="U1" s="59" t="s">
        <v>34</v>
      </c>
      <c r="V1" s="59" t="s">
        <v>2</v>
      </c>
      <c r="W1" s="59" t="s">
        <v>35</v>
      </c>
      <c r="X1" s="59" t="s">
        <v>5</v>
      </c>
      <c r="Y1" s="59" t="s">
        <v>16</v>
      </c>
      <c r="AB1" s="21" t="s">
        <v>76</v>
      </c>
      <c r="AC1" s="21" t="s">
        <v>92</v>
      </c>
      <c r="AD1" s="21" t="s">
        <v>79</v>
      </c>
      <c r="AF1" s="58" t="s">
        <v>37</v>
      </c>
      <c r="AG1" s="60" t="s">
        <v>38</v>
      </c>
      <c r="AH1" s="60" t="s">
        <v>39</v>
      </c>
      <c r="AI1" s="60" t="s">
        <v>40</v>
      </c>
      <c r="AJ1" s="60" t="s">
        <v>41</v>
      </c>
      <c r="AK1" s="60" t="s">
        <v>42</v>
      </c>
      <c r="AL1" s="60" t="s">
        <v>43</v>
      </c>
      <c r="AM1" s="60" t="s">
        <v>44</v>
      </c>
      <c r="AN1" s="60" t="s">
        <v>45</v>
      </c>
      <c r="AO1" s="60" t="s">
        <v>46</v>
      </c>
      <c r="AP1" s="60" t="s">
        <v>47</v>
      </c>
      <c r="AQ1" s="60" t="s">
        <v>48</v>
      </c>
      <c r="AR1" s="60" t="s">
        <v>15</v>
      </c>
      <c r="AS1" s="60" t="s">
        <v>16</v>
      </c>
      <c r="AT1" s="60" t="s">
        <v>5</v>
      </c>
      <c r="AU1" s="60" t="s">
        <v>49</v>
      </c>
      <c r="AY1" s="58" t="s">
        <v>95</v>
      </c>
      <c r="AZ1" s="60" t="s">
        <v>50</v>
      </c>
      <c r="BA1" s="60" t="s">
        <v>51</v>
      </c>
      <c r="BB1" s="60" t="s">
        <v>52</v>
      </c>
      <c r="BC1" s="60" t="s">
        <v>53</v>
      </c>
      <c r="BD1" s="60" t="s">
        <v>54</v>
      </c>
      <c r="BE1" s="60" t="s">
        <v>55</v>
      </c>
      <c r="BF1" s="60" t="s">
        <v>56</v>
      </c>
      <c r="BG1" s="60" t="s">
        <v>133</v>
      </c>
      <c r="BH1" s="60" t="s">
        <v>58</v>
      </c>
      <c r="BI1" s="60" t="s">
        <v>59</v>
      </c>
      <c r="BJ1" s="60" t="s">
        <v>60</v>
      </c>
      <c r="BK1" s="60" t="s">
        <v>61</v>
      </c>
      <c r="BL1" s="60" t="s">
        <v>62</v>
      </c>
      <c r="BM1" s="60" t="s">
        <v>63</v>
      </c>
      <c r="BW1" s="61" t="s">
        <v>175</v>
      </c>
      <c r="BX1" s="21" t="s">
        <v>65</v>
      </c>
      <c r="BY1" s="21" t="s">
        <v>66</v>
      </c>
      <c r="BZ1" s="21" t="s">
        <v>187</v>
      </c>
      <c r="CA1" s="21"/>
      <c r="CB1" s="21" t="s">
        <v>119</v>
      </c>
      <c r="CC1" s="21" t="s">
        <v>188</v>
      </c>
      <c r="CD1" s="21" t="s">
        <v>177</v>
      </c>
      <c r="CE1" s="4"/>
      <c r="CF1" s="21" t="s">
        <v>71</v>
      </c>
      <c r="CG1" s="21" t="s">
        <v>189</v>
      </c>
      <c r="CH1" s="21"/>
      <c r="CI1" s="21" t="s">
        <v>178</v>
      </c>
      <c r="CJ1" s="21" t="s">
        <v>190</v>
      </c>
      <c r="CK1" s="21" t="s">
        <v>96</v>
      </c>
    </row>
    <row r="2" spans="1:181" ht="26.25" customHeight="1" x14ac:dyDescent="0.25">
      <c r="J2" s="52" t="str">
        <f>IF(O2="","",ROUND(H2*ROUND(I2,1),2))</f>
        <v/>
      </c>
      <c r="K2" s="52" t="str">
        <f>IF(O2="","",VLOOKUP(U2,Data!O:AC,15,FALSE)/G2)</f>
        <v/>
      </c>
      <c r="X2" s="52" t="str">
        <f>AT2</f>
        <v/>
      </c>
      <c r="Z2" s="52">
        <f>IFERROR(ROUND(H2*I2,2),0)</f>
        <v>0</v>
      </c>
      <c r="AB2" s="62">
        <f>SUM(Z2:Z377)</f>
        <v>0</v>
      </c>
      <c r="AC2" s="62">
        <f>SUM(K2:M134)</f>
        <v>0</v>
      </c>
      <c r="AD2" s="62">
        <f>AB2</f>
        <v>0</v>
      </c>
      <c r="AG2" s="52" t="str">
        <f>_xlfn.IFNA(VLOOKUP(U2,'Incoming Material Report'!A:M,13,FALSE),"")</f>
        <v/>
      </c>
      <c r="AH2" s="52" t="str">
        <f>_xlfn.IFNA(IF(VLOOKUP(U2,'Incoming Material Report'!A:N,14,FALSE)="","",VLOOKUP(U2,'Incoming Material Report'!A:N,14,FALSE)),"")</f>
        <v/>
      </c>
      <c r="AI2" s="52" t="str">
        <f>_xlfn.IFNA(VLOOKUP(U2,'Incoming Material Report'!A:Z,24,FALSE),"")</f>
        <v/>
      </c>
      <c r="AJ2" s="52" t="str">
        <f>_xlfn.IFNA(VLOOKUP(U2,'Incoming Material Report'!A:Z,25,FALSE),"")</f>
        <v/>
      </c>
      <c r="AK2" s="52" t="str">
        <f>_xlfn.IFNA(VLOOKUP(U2,'Incoming Material Report'!A:Z,26,FALSE),"")</f>
        <v/>
      </c>
      <c r="AL2" s="52" t="str">
        <f>_xlfn.IFNA(VLOOKUP(U2,'Incoming Material Report'!A:Z,2,FALSE),"")</f>
        <v/>
      </c>
      <c r="AM2" s="52" t="str">
        <f>_xlfn.IFNA(VLOOKUP(U2,'Incoming Material Report'!A:K,11,FALSE)/1000,"")</f>
        <v/>
      </c>
      <c r="AO2" s="52" t="str">
        <f>_xlfn.IFNA(VLOOKUP(U2,'Incoming Material Report'!A:R,18,FALSE)*1000,"")</f>
        <v/>
      </c>
      <c r="AQ2" s="52" t="str">
        <f>_xlfn.IFNA(TEXT(VLOOKUP(U2,'Incoming Material Report'!A:D,4,FALSE),"dd.mm.yy"),"")</f>
        <v/>
      </c>
      <c r="AR2" s="52" t="str">
        <f>_xlfn.IFNA(VLOOKUP(U2,'Incoming Material Report'!A:Z,5,FALSE),"")</f>
        <v/>
      </c>
      <c r="AT2" s="52" t="str">
        <f>IF(OR(_xlfn.IFNA(VLOOKUP(U2,'Incoming Material Report'!A:Z,6,FALSE),"")="NSC",_xlfn.IFNA(VLOOKUP(U2,'Incoming Material Report'!A:Z,6,FALSE),"")="NSSMC"),"NSC","")</f>
        <v/>
      </c>
      <c r="AU2" s="52" t="str">
        <f>_xlfn.IFNA(VLOOKUP(U2,'Incoming Material Report'!A:Z,8,FALSE),"")</f>
        <v/>
      </c>
      <c r="AZ2" s="52" t="str">
        <f>_xlfn.IFNA(VLOOKUP(U2,'GRPO Wiz'!AP:BT,17,FALSE),"")</f>
        <v/>
      </c>
      <c r="BA2" s="52" t="str">
        <f>_xlfn.IFNA(VLOOKUP(U2,'GRPO Wiz'!AP:BT,18,FALSE),"")</f>
        <v/>
      </c>
      <c r="BB2" s="52" t="str">
        <f>_xlfn.IFNA(VLOOKUP(U2,'GRPO Wiz'!AP:BT,19,FALSE),"")</f>
        <v/>
      </c>
      <c r="BC2" s="52" t="str">
        <f>_xlfn.IFNA(VLOOKUP(U2,'GRPO Wiz'!AP:BT,20,FALSE),"")</f>
        <v/>
      </c>
      <c r="BD2" s="52" t="str">
        <f>_xlfn.IFNA(VLOOKUP(U2,'GRPO Wiz'!AP:BT,21,FALSE),"")</f>
        <v/>
      </c>
      <c r="BE2" s="52" t="str">
        <f>_xlfn.IFNA(LEFT((VLOOKUP(U2,'GRPO Wiz'!AP:BT,22,FALSE)),8),"")</f>
        <v/>
      </c>
      <c r="BF2" s="52" t="str">
        <f>_xlfn.IFNA(VLOOKUP(U2,'GRPO Wiz'!AP:BT,26,FALSE),"")</f>
        <v/>
      </c>
      <c r="BG2" s="57" t="str">
        <f>_xlfn.IFNA(VLOOKUP(U2,'GRPO Wiz'!AP:BQ,28,FALSE),"")</f>
        <v/>
      </c>
      <c r="BH2" s="52" t="str">
        <f>_xlfn.IFNA(VLOOKUP(U2,'GRPO Wiz'!AP:BN,25,FALSE),"")</f>
        <v/>
      </c>
      <c r="BI2" s="52" t="str">
        <f>_xlfn.IFNA(VLOOKUP(U2,'GRPO Wiz'!AP:BT,31,FALSE),"")</f>
        <v/>
      </c>
      <c r="BJ2" s="52" t="str">
        <f>_xlfn.IFNA(VLOOKUP(U2,'GRPO Wiz'!AP:BZ,32,FALSE),"")</f>
        <v/>
      </c>
      <c r="BK2" s="52" t="str">
        <f>_xlfn.IFNA(VLOOKUP(U2,'GRPO Wiz'!AP:BZ,27,FALSE),"")</f>
        <v/>
      </c>
      <c r="BL2" s="52" t="str">
        <f>_xlfn.IFNA(VALUE(VLOOKUP(U2,'GRPO Wiz'!AP:BZ,29,FALSE)),"")</f>
        <v/>
      </c>
      <c r="BM2" s="52" t="str">
        <f>IF(OR(_xlfn.IFNA(VLOOKUP(U2,'GRPO Wiz'!AP:BZ,33,FALSE),"")="NSC",_xlfn.IFNA(VLOOKUP(U2,'GRPO Wiz'!AP:BZ,33,FALSE),"")="NSSMC"),"NSC","")</f>
        <v/>
      </c>
      <c r="BN2" s="52" t="str">
        <f>_xlfn.IFNA(VLOOKUP(U2,'GRPO Wiz'!AP:BZ,34,FALSE),"")</f>
        <v/>
      </c>
      <c r="BX2" s="52" t="str">
        <f>AU2</f>
        <v/>
      </c>
      <c r="BY2" s="52" t="str">
        <f>_xlfn.IFNA(VLOOKUP(BX2&amp;H2,AP!IP:IQ,2,FALSE),"")</f>
        <v/>
      </c>
      <c r="BZ2" s="53" t="str">
        <f t="shared" ref="BZ2" si="0">IF($BZ$1="AP IGST",IFERROR(BY2*18%,""),IFERROR(BY2*9%,""))</f>
        <v/>
      </c>
      <c r="CA2" s="53"/>
      <c r="CD2" s="52" t="str">
        <f>_xlfn.IFNA((VLOOKUP(BX2&amp;H2,AP!IP:IS,4,FALSE)),"")</f>
        <v/>
      </c>
      <c r="CF2" s="52">
        <f>Tax!AM2</f>
        <v>0</v>
      </c>
      <c r="CG2" s="52">
        <f>Tax!AK2</f>
        <v>0</v>
      </c>
      <c r="CI2" s="52">
        <f>Tax!H3</f>
        <v>0</v>
      </c>
      <c r="CJ2" s="52">
        <f>SUM(CG2:CH2)</f>
        <v>0</v>
      </c>
      <c r="CK2" s="52">
        <f>Tax!H2</f>
        <v>0</v>
      </c>
      <c r="CW2" s="52">
        <v>1</v>
      </c>
      <c r="DT2" s="52" t="str">
        <f t="shared" ref="DT2:DT16" si="1">IF(B2="","",IF(AND(AZ2=AG2,AG2=O2,B2&lt;&gt;""),"TRUE","FALSE"))</f>
        <v/>
      </c>
      <c r="DU2" s="52" t="str">
        <f t="shared" ref="DU2:DU16" si="2">IF(B2="","",IF(AND(BA2=AH2,AH2=P2),"TRUE","FALSE"))</f>
        <v/>
      </c>
      <c r="DV2" s="52" t="str">
        <f t="shared" ref="DV2:DV16" si="3">IF(B2="","",IF(AND(BB2=AI2,AI2=Q2),"TRUE","FALSE"))</f>
        <v/>
      </c>
      <c r="DW2" s="52" t="str">
        <f t="shared" ref="DW2:DW16" si="4">IF(B2="","",IF(AND(BC2=AJ2,AJ2=R2),"TRUE","FALSE"))</f>
        <v/>
      </c>
      <c r="DX2" s="52" t="str">
        <f t="shared" ref="DX2:DX16" si="5">IF(B2="","",IF(AND(BD2=AK2,AK2=S2),"TRUE","FALSE"))</f>
        <v/>
      </c>
      <c r="DY2" s="52" t="str">
        <f t="shared" ref="DY2:DY16" si="6">IF(B2="","",IF(AND(BE2=V2),"TRUE","FALSE"))</f>
        <v/>
      </c>
      <c r="DZ2" s="52" t="str">
        <f t="shared" ref="DZ2:DZ16" si="7">IF(B2="","",IF(AND(BF2=H2,H2=AM2),"TRUE","FALSE"))</f>
        <v/>
      </c>
      <c r="EB2" s="52" t="str">
        <f t="shared" ref="EB2:EB16" si="8">IF(B2="","",IF(AND(BH2=I2,I2=AO2),"TRUE","FALSE"))</f>
        <v/>
      </c>
      <c r="EC2" s="52" t="str">
        <f t="shared" ref="EC2:EC16" si="9">IF(B2="","",IF(AND(BI2=J2),"TRUE","FALSE"))</f>
        <v/>
      </c>
      <c r="ED2" s="52" t="str">
        <f t="shared" ref="ED2:ED16" si="10">IF(B2="","",IF(AND(BJ2=AR2),"TRUE","FALSE"))</f>
        <v/>
      </c>
      <c r="EE2" s="52" t="str">
        <f t="shared" ref="EE2:EE16" si="11">IF(B2="","",IF(AND(BK2=Y2),"TRUE","FALSE"))</f>
        <v/>
      </c>
      <c r="EF2" s="52" t="str">
        <f t="shared" ref="EF2:EF16" si="12">IF(B2="","",IF(AND(BL2=E2),"TRUE","FALSE"))</f>
        <v/>
      </c>
      <c r="EG2" s="52" t="str">
        <f t="shared" ref="EG2:EG16" si="13">IF(B2="","",IF(AND(BM2=X2,X2=AT2),"TRUE","FALSE"))</f>
        <v/>
      </c>
      <c r="ES2" s="52" t="b">
        <v>0</v>
      </c>
      <c r="ET2" s="52" t="b">
        <v>0</v>
      </c>
      <c r="EU2" s="52" t="b">
        <v>0</v>
      </c>
      <c r="EV2" s="52" t="b">
        <v>0</v>
      </c>
      <c r="EW2" s="52" t="b">
        <v>0</v>
      </c>
      <c r="EX2" s="52" t="b">
        <v>0</v>
      </c>
      <c r="EY2" s="52" t="b">
        <v>0</v>
      </c>
      <c r="EZ2" s="52" t="b">
        <v>0</v>
      </c>
      <c r="FA2" s="52" t="b">
        <v>0</v>
      </c>
      <c r="FB2" s="52" t="b">
        <v>0</v>
      </c>
      <c r="FC2" s="52" t="b">
        <v>0</v>
      </c>
      <c r="FD2" s="52" t="b">
        <v>0</v>
      </c>
      <c r="FE2" s="52" t="b">
        <v>0</v>
      </c>
      <c r="FF2" s="52" t="b">
        <v>0</v>
      </c>
      <c r="FG2" s="52" t="b">
        <v>0</v>
      </c>
      <c r="FH2" s="52" t="b">
        <v>0</v>
      </c>
      <c r="FI2" s="52" t="b">
        <v>0</v>
      </c>
      <c r="FJ2" s="52" t="b">
        <v>0</v>
      </c>
      <c r="FK2" s="52" t="b">
        <v>0</v>
      </c>
      <c r="FL2" s="52" t="b">
        <v>0</v>
      </c>
      <c r="FM2" s="52" t="b">
        <v>0</v>
      </c>
      <c r="FN2" s="52" t="b">
        <v>0</v>
      </c>
      <c r="FO2" s="52" t="b">
        <v>0</v>
      </c>
      <c r="FP2" s="52" t="b">
        <v>0</v>
      </c>
      <c r="FQ2" s="52" t="b">
        <v>0</v>
      </c>
      <c r="FR2" s="52" t="b">
        <v>0</v>
      </c>
      <c r="FS2" s="52" t="b">
        <v>0</v>
      </c>
      <c r="FT2" s="52" t="b">
        <v>0</v>
      </c>
      <c r="FU2" s="52" t="b">
        <v>0</v>
      </c>
      <c r="FV2" s="52" t="b">
        <v>0</v>
      </c>
      <c r="FW2" s="52" t="b">
        <v>0</v>
      </c>
      <c r="FX2" s="52" t="b">
        <v>0</v>
      </c>
      <c r="FY2" s="52" t="b">
        <v>0</v>
      </c>
    </row>
    <row r="3" spans="1:181" ht="26.25" customHeight="1" x14ac:dyDescent="0.25">
      <c r="J3" s="52" t="str">
        <f t="shared" ref="J3:J33" si="14">IF(O3="","",ROUND(H3*ROUND(I3,1),2))</f>
        <v/>
      </c>
      <c r="K3" s="52" t="str">
        <f>IF(O3="","",VLOOKUP(U3,Data!O:AC,15,FALSE)/G3)</f>
        <v/>
      </c>
      <c r="X3" s="52" t="str">
        <f t="shared" ref="X3:X33" si="15">AT3</f>
        <v/>
      </c>
      <c r="Z3" s="52">
        <f t="shared" ref="Z3:Z33" si="16">IFERROR(ROUND(H3*I3,2),0)</f>
        <v>0</v>
      </c>
      <c r="AG3" s="52" t="str">
        <f>_xlfn.IFNA(VLOOKUP(U3,'Incoming Material Report'!A:M,13,FALSE),"")</f>
        <v/>
      </c>
      <c r="AH3" s="52" t="str">
        <f>_xlfn.IFNA(IF(VLOOKUP(U3,'Incoming Material Report'!A:N,14,FALSE)="","",VLOOKUP(U3,'Incoming Material Report'!A:N,14,FALSE)),"")</f>
        <v/>
      </c>
      <c r="AI3" s="52" t="str">
        <f>_xlfn.IFNA(VLOOKUP(U3,'Incoming Material Report'!A:Z,24,FALSE),"")</f>
        <v/>
      </c>
      <c r="AJ3" s="52" t="str">
        <f>_xlfn.IFNA(VLOOKUP(U3,'Incoming Material Report'!A:Z,25,FALSE),"")</f>
        <v/>
      </c>
      <c r="AK3" s="52" t="str">
        <f>_xlfn.IFNA(VLOOKUP(U3,'Incoming Material Report'!A:Z,26,FALSE),"")</f>
        <v/>
      </c>
      <c r="AL3" s="52" t="str">
        <f>_xlfn.IFNA(VLOOKUP(U3,'Incoming Material Report'!A:Z,2,FALSE),"")</f>
        <v/>
      </c>
      <c r="AM3" s="52" t="str">
        <f>_xlfn.IFNA(VLOOKUP(U3,'Incoming Material Report'!A:K,11,FALSE)/1000,"")</f>
        <v/>
      </c>
      <c r="AO3" s="52" t="str">
        <f>_xlfn.IFNA(VLOOKUP(U3,'Incoming Material Report'!A:R,18,FALSE)*1000,"")</f>
        <v/>
      </c>
      <c r="AQ3" s="52" t="str">
        <f>_xlfn.IFNA(TEXT(VLOOKUP(U3,'Incoming Material Report'!A:D,4,FALSE),"dd.mm.yy"),"")</f>
        <v/>
      </c>
      <c r="AR3" s="52" t="str">
        <f>_xlfn.IFNA(VLOOKUP(U3,'Incoming Material Report'!A:Z,5,FALSE),"")</f>
        <v/>
      </c>
      <c r="AT3" s="52" t="str">
        <f>IF(OR(_xlfn.IFNA(VLOOKUP(U3,'Incoming Material Report'!A:Z,6,FALSE),"")="NSC",_xlfn.IFNA(VLOOKUP(U3,'Incoming Material Report'!A:Z,6,FALSE),"")="NSSMC"),"NSC","")</f>
        <v/>
      </c>
      <c r="AU3" s="52" t="str">
        <f>_xlfn.IFNA(VLOOKUP(U3,'Incoming Material Report'!A:Z,8,FALSE),"")</f>
        <v/>
      </c>
      <c r="AZ3" s="52" t="str">
        <f>_xlfn.IFNA(VLOOKUP(U3,'GRPO Wiz'!AP:BT,17,FALSE),"")</f>
        <v/>
      </c>
      <c r="BA3" s="52" t="str">
        <f>_xlfn.IFNA(VLOOKUP(U3,'GRPO Wiz'!AP:BT,18,FALSE),"")</f>
        <v/>
      </c>
      <c r="BB3" s="52" t="str">
        <f>_xlfn.IFNA(VLOOKUP(U3,'GRPO Wiz'!AP:BT,19,FALSE),"")</f>
        <v/>
      </c>
      <c r="BC3" s="52" t="str">
        <f>_xlfn.IFNA(VLOOKUP(U3,'GRPO Wiz'!AP:BT,20,FALSE),"")</f>
        <v/>
      </c>
      <c r="BD3" s="52" t="str">
        <f>_xlfn.IFNA(VLOOKUP(U3,'GRPO Wiz'!AP:BT,21,FALSE),"")</f>
        <v/>
      </c>
      <c r="BE3" s="52" t="str">
        <f>_xlfn.IFNA(LEFT((VLOOKUP(U3,'GRPO Wiz'!AP:BT,22,FALSE)),8),"")</f>
        <v/>
      </c>
      <c r="BF3" s="52" t="str">
        <f>_xlfn.IFNA(VLOOKUP(U3,'GRPO Wiz'!AP:BT,26,FALSE),"")</f>
        <v/>
      </c>
      <c r="BG3" s="57" t="str">
        <f>_xlfn.IFNA(VLOOKUP(U3,'GRPO Wiz'!AP:BQ,28,FALSE),"")</f>
        <v/>
      </c>
      <c r="BH3" s="52" t="str">
        <f>_xlfn.IFNA(VLOOKUP(U3,'GRPO Wiz'!AP:BN,25,FALSE),"")</f>
        <v/>
      </c>
      <c r="BI3" s="52" t="str">
        <f>_xlfn.IFNA(VLOOKUP(U3,'GRPO Wiz'!AP:BT,31,FALSE),"")</f>
        <v/>
      </c>
      <c r="BJ3" s="52" t="str">
        <f>_xlfn.IFNA(VLOOKUP(U3,'GRPO Wiz'!AP:BZ,32,FALSE),"")</f>
        <v/>
      </c>
      <c r="BK3" s="52" t="str">
        <f>_xlfn.IFNA(VLOOKUP(U3,'GRPO Wiz'!AP:BZ,27,FALSE),"")</f>
        <v/>
      </c>
      <c r="BL3" s="52" t="str">
        <f>_xlfn.IFNA(VALUE(VLOOKUP(U3,'GRPO Wiz'!AP:BZ,29,FALSE)),"")</f>
        <v/>
      </c>
      <c r="BM3" s="52" t="str">
        <f>IF(OR(_xlfn.IFNA(VLOOKUP(U3,'GRPO Wiz'!AP:BZ,33,FALSE),"")="NSC",_xlfn.IFNA(VLOOKUP(U3,'GRPO Wiz'!AP:BZ,33,FALSE),"")="NSSMC"),"NSC","")</f>
        <v/>
      </c>
      <c r="BX3" s="52" t="str">
        <f t="shared" ref="BX3:BX33" si="17">AU3</f>
        <v/>
      </c>
      <c r="BY3" s="52" t="str">
        <f>_xlfn.IFNA(VLOOKUP(BX3&amp;H3,AP!IP:IQ,2,FALSE),"")</f>
        <v/>
      </c>
      <c r="BZ3" s="53" t="str">
        <f t="shared" ref="BZ3:BZ33" si="18">IF($BZ$1="AP IGST",IFERROR(BY3*18%,""),IFERROR(BY3*9%,""))</f>
        <v/>
      </c>
      <c r="CA3" s="53"/>
      <c r="CD3" s="52" t="str">
        <f>_xlfn.IFNA((VLOOKUP(BX3&amp;H3,AP!IP:IS,4,FALSE)),"")</f>
        <v/>
      </c>
      <c r="CW3" s="52">
        <v>2</v>
      </c>
      <c r="DT3" s="52" t="str">
        <f t="shared" si="1"/>
        <v/>
      </c>
      <c r="DU3" s="52" t="str">
        <f t="shared" si="2"/>
        <v/>
      </c>
      <c r="DV3" s="52" t="str">
        <f t="shared" si="3"/>
        <v/>
      </c>
      <c r="DW3" s="52" t="str">
        <f t="shared" si="4"/>
        <v/>
      </c>
      <c r="DX3" s="52" t="str">
        <f t="shared" si="5"/>
        <v/>
      </c>
      <c r="DY3" s="52" t="str">
        <f t="shared" si="6"/>
        <v/>
      </c>
      <c r="DZ3" s="52" t="str">
        <f t="shared" si="7"/>
        <v/>
      </c>
      <c r="EB3" s="52" t="str">
        <f t="shared" si="8"/>
        <v/>
      </c>
      <c r="EC3" s="52" t="str">
        <f t="shared" si="9"/>
        <v/>
      </c>
      <c r="ED3" s="52" t="str">
        <f t="shared" si="10"/>
        <v/>
      </c>
      <c r="EE3" s="52" t="str">
        <f t="shared" si="11"/>
        <v/>
      </c>
      <c r="EF3" s="52" t="str">
        <f t="shared" si="12"/>
        <v/>
      </c>
      <c r="EG3" s="52" t="str">
        <f t="shared" si="13"/>
        <v/>
      </c>
    </row>
    <row r="4" spans="1:181" ht="26.25" customHeight="1" x14ac:dyDescent="0.25">
      <c r="J4" s="52" t="str">
        <f t="shared" si="14"/>
        <v/>
      </c>
      <c r="K4" s="52" t="str">
        <f>IF(O4="","",VLOOKUP(U4,Data!O:AC,15,FALSE)/G4)</f>
        <v/>
      </c>
      <c r="X4" s="52" t="str">
        <f t="shared" si="15"/>
        <v/>
      </c>
      <c r="Z4" s="52">
        <f t="shared" si="16"/>
        <v>0</v>
      </c>
      <c r="AG4" s="52" t="str">
        <f>_xlfn.IFNA(VLOOKUP(U4,'Incoming Material Report'!A:M,13,FALSE),"")</f>
        <v/>
      </c>
      <c r="AH4" s="52" t="str">
        <f>_xlfn.IFNA(IF(VLOOKUP(U4,'Incoming Material Report'!A:N,14,FALSE)="","",VLOOKUP(U4,'Incoming Material Report'!A:N,14,FALSE)),"")</f>
        <v/>
      </c>
      <c r="AI4" s="52" t="str">
        <f>_xlfn.IFNA(VLOOKUP(U4,'Incoming Material Report'!A:Z,24,FALSE),"")</f>
        <v/>
      </c>
      <c r="AJ4" s="52" t="str">
        <f>_xlfn.IFNA(VLOOKUP(U4,'Incoming Material Report'!A:Z,25,FALSE),"")</f>
        <v/>
      </c>
      <c r="AK4" s="52" t="str">
        <f>_xlfn.IFNA(VLOOKUP(U4,'Incoming Material Report'!A:Z,26,FALSE),"")</f>
        <v/>
      </c>
      <c r="AL4" s="52" t="str">
        <f>_xlfn.IFNA(VLOOKUP(U4,'Incoming Material Report'!A:Z,2,FALSE),"")</f>
        <v/>
      </c>
      <c r="AM4" s="52" t="str">
        <f>_xlfn.IFNA(VLOOKUP(U4,'Incoming Material Report'!A:K,11,FALSE)/1000,"")</f>
        <v/>
      </c>
      <c r="AO4" s="52" t="str">
        <f>_xlfn.IFNA(VLOOKUP(U4,'Incoming Material Report'!A:R,18,FALSE)*1000,"")</f>
        <v/>
      </c>
      <c r="AQ4" s="52" t="str">
        <f>_xlfn.IFNA(TEXT(VLOOKUP(U4,'Incoming Material Report'!A:D,4,FALSE),"dd.mm.yy"),"")</f>
        <v/>
      </c>
      <c r="AR4" s="52" t="str">
        <f>_xlfn.IFNA(VLOOKUP(U4,'Incoming Material Report'!A:Z,5,FALSE),"")</f>
        <v/>
      </c>
      <c r="AT4" s="52" t="str">
        <f>IF(OR(_xlfn.IFNA(VLOOKUP(U4,'Incoming Material Report'!A:Z,6,FALSE),"")="NSC",_xlfn.IFNA(VLOOKUP(U4,'Incoming Material Report'!A:Z,6,FALSE),"")="NSSMC"),"NSC","")</f>
        <v/>
      </c>
      <c r="AU4" s="52" t="str">
        <f>_xlfn.IFNA(VLOOKUP(U4,'Incoming Material Report'!A:Z,8,FALSE),"")</f>
        <v/>
      </c>
      <c r="AZ4" s="52" t="str">
        <f>_xlfn.IFNA(VLOOKUP(U4,'GRPO Wiz'!AP:BT,17,FALSE),"")</f>
        <v/>
      </c>
      <c r="BA4" s="52" t="str">
        <f>_xlfn.IFNA(VLOOKUP(U4,'GRPO Wiz'!AP:BT,18,FALSE),"")</f>
        <v/>
      </c>
      <c r="BB4" s="52" t="str">
        <f>_xlfn.IFNA(VLOOKUP(U4,'GRPO Wiz'!AP:BT,19,FALSE),"")</f>
        <v/>
      </c>
      <c r="BC4" s="52" t="str">
        <f>_xlfn.IFNA(VLOOKUP(U4,'GRPO Wiz'!AP:BT,20,FALSE),"")</f>
        <v/>
      </c>
      <c r="BD4" s="52" t="str">
        <f>_xlfn.IFNA(VLOOKUP(U4,'GRPO Wiz'!AP:BT,21,FALSE),"")</f>
        <v/>
      </c>
      <c r="BE4" s="52" t="str">
        <f>_xlfn.IFNA(LEFT((VLOOKUP(U4,'GRPO Wiz'!AP:BT,22,FALSE)),8),"")</f>
        <v/>
      </c>
      <c r="BF4" s="52" t="str">
        <f>_xlfn.IFNA(VLOOKUP(U4,'GRPO Wiz'!AP:BT,26,FALSE),"")</f>
        <v/>
      </c>
      <c r="BG4" s="57" t="str">
        <f>_xlfn.IFNA(VLOOKUP(U4,'GRPO Wiz'!AP:BQ,28,FALSE),"")</f>
        <v/>
      </c>
      <c r="BH4" s="52" t="str">
        <f>_xlfn.IFNA(VLOOKUP(U4,'GRPO Wiz'!AP:BN,25,FALSE),"")</f>
        <v/>
      </c>
      <c r="BI4" s="52" t="str">
        <f>_xlfn.IFNA(VLOOKUP(U4,'GRPO Wiz'!AP:BT,31,FALSE),"")</f>
        <v/>
      </c>
      <c r="BJ4" s="52" t="str">
        <f>_xlfn.IFNA(VLOOKUP(U4,'GRPO Wiz'!AP:BZ,32,FALSE),"")</f>
        <v/>
      </c>
      <c r="BK4" s="52" t="str">
        <f>_xlfn.IFNA(VLOOKUP(U4,'GRPO Wiz'!AP:BZ,27,FALSE),"")</f>
        <v/>
      </c>
      <c r="BL4" s="52" t="str">
        <f>_xlfn.IFNA(VALUE(VLOOKUP(U4,'GRPO Wiz'!AP:BZ,29,FALSE)),"")</f>
        <v/>
      </c>
      <c r="BM4" s="52" t="str">
        <f>IF(OR(_xlfn.IFNA(VLOOKUP(U4,'GRPO Wiz'!AP:BZ,33,FALSE),"")="NSC",_xlfn.IFNA(VLOOKUP(U4,'GRPO Wiz'!AP:BZ,33,FALSE),"")="NSSMC"),"NSC","")</f>
        <v/>
      </c>
      <c r="BX4" s="52" t="str">
        <f t="shared" si="17"/>
        <v/>
      </c>
      <c r="BY4" s="52" t="str">
        <f>_xlfn.IFNA(VLOOKUP(BX4&amp;H4,AP!IP:IQ,2,FALSE),"")</f>
        <v/>
      </c>
      <c r="BZ4" s="53" t="str">
        <f t="shared" si="18"/>
        <v/>
      </c>
      <c r="CA4" s="53"/>
      <c r="CD4" s="52" t="str">
        <f>_xlfn.IFNA((VLOOKUP(BX4&amp;H4,AP!IP:IS,4,FALSE)),"")</f>
        <v/>
      </c>
      <c r="CW4" s="52">
        <v>3</v>
      </c>
      <c r="DT4" s="52" t="str">
        <f t="shared" si="1"/>
        <v/>
      </c>
      <c r="DU4" s="52" t="str">
        <f t="shared" si="2"/>
        <v/>
      </c>
      <c r="DV4" s="52" t="str">
        <f t="shared" si="3"/>
        <v/>
      </c>
      <c r="DW4" s="52" t="str">
        <f t="shared" si="4"/>
        <v/>
      </c>
      <c r="DX4" s="52" t="str">
        <f t="shared" si="5"/>
        <v/>
      </c>
      <c r="DY4" s="52" t="str">
        <f t="shared" si="6"/>
        <v/>
      </c>
      <c r="DZ4" s="52" t="str">
        <f t="shared" si="7"/>
        <v/>
      </c>
      <c r="EB4" s="52" t="str">
        <f t="shared" si="8"/>
        <v/>
      </c>
      <c r="EC4" s="52" t="str">
        <f t="shared" si="9"/>
        <v/>
      </c>
      <c r="ED4" s="52" t="str">
        <f t="shared" si="10"/>
        <v/>
      </c>
      <c r="EE4" s="52" t="str">
        <f t="shared" si="11"/>
        <v/>
      </c>
      <c r="EF4" s="52" t="str">
        <f t="shared" si="12"/>
        <v/>
      </c>
      <c r="EG4" s="52" t="str">
        <f t="shared" si="13"/>
        <v/>
      </c>
    </row>
    <row r="5" spans="1:181" ht="26.25" customHeight="1" x14ac:dyDescent="0.25">
      <c r="J5" s="52" t="str">
        <f t="shared" si="14"/>
        <v/>
      </c>
      <c r="K5" s="52" t="str">
        <f>IF(O5="","",VLOOKUP(U5,Data!O:AC,15,FALSE)/G5)</f>
        <v/>
      </c>
      <c r="X5" s="52" t="str">
        <f t="shared" si="15"/>
        <v/>
      </c>
      <c r="Z5" s="52">
        <f t="shared" si="16"/>
        <v>0</v>
      </c>
      <c r="AG5" s="52" t="str">
        <f>_xlfn.IFNA(VLOOKUP(U5,'Incoming Material Report'!A:M,13,FALSE),"")</f>
        <v/>
      </c>
      <c r="AH5" s="52" t="str">
        <f>_xlfn.IFNA(IF(VLOOKUP(U5,'Incoming Material Report'!A:N,14,FALSE)="","",VLOOKUP(U5,'Incoming Material Report'!A:N,14,FALSE)),"")</f>
        <v/>
      </c>
      <c r="AI5" s="52" t="str">
        <f>_xlfn.IFNA(VLOOKUP(U5,'Incoming Material Report'!A:Z,24,FALSE),"")</f>
        <v/>
      </c>
      <c r="AJ5" s="52" t="str">
        <f>_xlfn.IFNA(VLOOKUP(U5,'Incoming Material Report'!A:Z,25,FALSE),"")</f>
        <v/>
      </c>
      <c r="AK5" s="52" t="str">
        <f>_xlfn.IFNA(VLOOKUP(U5,'Incoming Material Report'!A:Z,26,FALSE),"")</f>
        <v/>
      </c>
      <c r="AL5" s="52" t="str">
        <f>_xlfn.IFNA(VLOOKUP(U5,'Incoming Material Report'!A:Z,2,FALSE),"")</f>
        <v/>
      </c>
      <c r="AM5" s="52" t="str">
        <f>_xlfn.IFNA(VLOOKUP(U5,'Incoming Material Report'!A:K,11,FALSE)/1000,"")</f>
        <v/>
      </c>
      <c r="AO5" s="52" t="str">
        <f>_xlfn.IFNA(VLOOKUP(U5,'Incoming Material Report'!A:R,18,FALSE)*1000,"")</f>
        <v/>
      </c>
      <c r="AQ5" s="52" t="str">
        <f>_xlfn.IFNA(TEXT(VLOOKUP(U5,'Incoming Material Report'!A:D,4,FALSE),"dd.mm.yy"),"")</f>
        <v/>
      </c>
      <c r="AR5" s="52" t="str">
        <f>_xlfn.IFNA(VLOOKUP(U5,'Incoming Material Report'!A:Z,5,FALSE),"")</f>
        <v/>
      </c>
      <c r="AT5" s="52" t="str">
        <f>IF(OR(_xlfn.IFNA(VLOOKUP(U5,'Incoming Material Report'!A:Z,6,FALSE),"")="NSC",_xlfn.IFNA(VLOOKUP(U5,'Incoming Material Report'!A:Z,6,FALSE),"")="NSSMC"),"NSC","")</f>
        <v/>
      </c>
      <c r="AU5" s="52" t="str">
        <f>_xlfn.IFNA(VLOOKUP(U5,'Incoming Material Report'!A:Z,8,FALSE),"")</f>
        <v/>
      </c>
      <c r="AZ5" s="52" t="str">
        <f>_xlfn.IFNA(VLOOKUP(U5,'GRPO Wiz'!AP:BT,17,FALSE),"")</f>
        <v/>
      </c>
      <c r="BA5" s="52" t="str">
        <f>_xlfn.IFNA(VLOOKUP(U5,'GRPO Wiz'!AP:BT,18,FALSE),"")</f>
        <v/>
      </c>
      <c r="BB5" s="52" t="str">
        <f>_xlfn.IFNA(VLOOKUP(U5,'GRPO Wiz'!AP:BT,19,FALSE),"")</f>
        <v/>
      </c>
      <c r="BC5" s="52" t="str">
        <f>_xlfn.IFNA(VLOOKUP(U5,'GRPO Wiz'!AP:BT,20,FALSE),"")</f>
        <v/>
      </c>
      <c r="BD5" s="52" t="str">
        <f>_xlfn.IFNA(VLOOKUP(U5,'GRPO Wiz'!AP:BT,21,FALSE),"")</f>
        <v/>
      </c>
      <c r="BE5" s="52" t="str">
        <f>_xlfn.IFNA(LEFT((VLOOKUP(U5,'GRPO Wiz'!AP:BT,22,FALSE)),8),"")</f>
        <v/>
      </c>
      <c r="BF5" s="52" t="str">
        <f>_xlfn.IFNA(VLOOKUP(U5,'GRPO Wiz'!AP:BT,26,FALSE),"")</f>
        <v/>
      </c>
      <c r="BG5" s="57" t="str">
        <f>_xlfn.IFNA(VLOOKUP(U5,'GRPO Wiz'!AP:BQ,28,FALSE),"")</f>
        <v/>
      </c>
      <c r="BH5" s="52" t="str">
        <f>_xlfn.IFNA(VLOOKUP(U5,'GRPO Wiz'!AP:BN,25,FALSE),"")</f>
        <v/>
      </c>
      <c r="BI5" s="52" t="str">
        <f>_xlfn.IFNA(VLOOKUP(U5,'GRPO Wiz'!AP:BT,31,FALSE),"")</f>
        <v/>
      </c>
      <c r="BJ5" s="52" t="str">
        <f>_xlfn.IFNA(VLOOKUP(U5,'GRPO Wiz'!AP:BZ,32,FALSE),"")</f>
        <v/>
      </c>
      <c r="BK5" s="52" t="str">
        <f>_xlfn.IFNA(VLOOKUP(U5,'GRPO Wiz'!AP:BZ,27,FALSE),"")</f>
        <v/>
      </c>
      <c r="BL5" s="52" t="str">
        <f>_xlfn.IFNA(VALUE(VLOOKUP(U5,'GRPO Wiz'!AP:BZ,29,FALSE)),"")</f>
        <v/>
      </c>
      <c r="BM5" s="52" t="str">
        <f>IF(OR(_xlfn.IFNA(VLOOKUP(U5,'GRPO Wiz'!AP:BZ,33,FALSE),"")="NSC",_xlfn.IFNA(VLOOKUP(U5,'GRPO Wiz'!AP:BZ,33,FALSE),"")="NSSMC"),"NSC","")</f>
        <v/>
      </c>
      <c r="BX5" s="52" t="str">
        <f t="shared" si="17"/>
        <v/>
      </c>
      <c r="BY5" s="52" t="str">
        <f>_xlfn.IFNA(VLOOKUP(BX5&amp;H5,AP!IP:IQ,2,FALSE),"")</f>
        <v/>
      </c>
      <c r="BZ5" s="53" t="str">
        <f t="shared" si="18"/>
        <v/>
      </c>
      <c r="CA5" s="53"/>
      <c r="CD5" s="52" t="str">
        <f>_xlfn.IFNA((VLOOKUP(BX5&amp;H5,AP!IP:IS,4,FALSE)),"")</f>
        <v/>
      </c>
    </row>
    <row r="6" spans="1:181" ht="26.25" customHeight="1" x14ac:dyDescent="0.25">
      <c r="J6" s="52" t="str">
        <f t="shared" si="14"/>
        <v/>
      </c>
      <c r="K6" s="52" t="str">
        <f>IF(O6="","",VLOOKUP(U6,Data!O:AC,15,FALSE)/G6)</f>
        <v/>
      </c>
      <c r="X6" s="52" t="str">
        <f t="shared" si="15"/>
        <v/>
      </c>
      <c r="Z6" s="52">
        <f t="shared" si="16"/>
        <v>0</v>
      </c>
      <c r="AG6" s="52" t="str">
        <f>_xlfn.IFNA(VLOOKUP(U6,'Incoming Material Report'!A:M,13,FALSE),"")</f>
        <v/>
      </c>
      <c r="AH6" s="52" t="str">
        <f>_xlfn.IFNA(IF(VLOOKUP(U6,'Incoming Material Report'!A:N,14,FALSE)="","",VLOOKUP(U6,'Incoming Material Report'!A:N,14,FALSE)),"")</f>
        <v/>
      </c>
      <c r="AI6" s="52" t="str">
        <f>_xlfn.IFNA(VLOOKUP(U6,'Incoming Material Report'!A:Z,24,FALSE),"")</f>
        <v/>
      </c>
      <c r="AJ6" s="52" t="str">
        <f>_xlfn.IFNA(VLOOKUP(U6,'Incoming Material Report'!A:Z,25,FALSE),"")</f>
        <v/>
      </c>
      <c r="AK6" s="52" t="str">
        <f>_xlfn.IFNA(VLOOKUP(U6,'Incoming Material Report'!A:Z,26,FALSE),"")</f>
        <v/>
      </c>
      <c r="AL6" s="52" t="str">
        <f>_xlfn.IFNA(VLOOKUP(U6,'Incoming Material Report'!A:Z,2,FALSE),"")</f>
        <v/>
      </c>
      <c r="AM6" s="52" t="str">
        <f>_xlfn.IFNA(VLOOKUP(U6,'Incoming Material Report'!A:K,11,FALSE)/1000,"")</f>
        <v/>
      </c>
      <c r="AO6" s="52" t="str">
        <f>_xlfn.IFNA(VLOOKUP(U6,'Incoming Material Report'!A:R,18,FALSE)*1000,"")</f>
        <v/>
      </c>
      <c r="AQ6" s="52" t="str">
        <f>_xlfn.IFNA(TEXT(VLOOKUP(U6,'Incoming Material Report'!A:D,4,FALSE),"dd.mm.yy"),"")</f>
        <v/>
      </c>
      <c r="AR6" s="52" t="str">
        <f>_xlfn.IFNA(VLOOKUP(U6,'Incoming Material Report'!A:Z,5,FALSE),"")</f>
        <v/>
      </c>
      <c r="AT6" s="52" t="str">
        <f>IF(OR(_xlfn.IFNA(VLOOKUP(U6,'Incoming Material Report'!A:Z,6,FALSE),"")="NSC",_xlfn.IFNA(VLOOKUP(U6,'Incoming Material Report'!A:Z,6,FALSE),"")="NSSMC"),"NSC","")</f>
        <v/>
      </c>
      <c r="AU6" s="52" t="str">
        <f>_xlfn.IFNA(VLOOKUP(U6,'Incoming Material Report'!A:Z,8,FALSE),"")</f>
        <v/>
      </c>
      <c r="AZ6" s="52" t="str">
        <f>_xlfn.IFNA(VLOOKUP(U6,'GRPO Wiz'!AP:BT,17,FALSE),"")</f>
        <v/>
      </c>
      <c r="BA6" s="52" t="str">
        <f>_xlfn.IFNA(VLOOKUP(U6,'GRPO Wiz'!AP:BT,18,FALSE),"")</f>
        <v/>
      </c>
      <c r="BB6" s="52" t="str">
        <f>_xlfn.IFNA(VLOOKUP(U6,'GRPO Wiz'!AP:BT,19,FALSE),"")</f>
        <v/>
      </c>
      <c r="BC6" s="52" t="str">
        <f>_xlfn.IFNA(VLOOKUP(U6,'GRPO Wiz'!AP:BT,20,FALSE),"")</f>
        <v/>
      </c>
      <c r="BD6" s="52" t="str">
        <f>_xlfn.IFNA(VLOOKUP(U6,'GRPO Wiz'!AP:BT,21,FALSE),"")</f>
        <v/>
      </c>
      <c r="BE6" s="52" t="str">
        <f>_xlfn.IFNA(LEFT((VLOOKUP(U6,'GRPO Wiz'!AP:BT,22,FALSE)),8),"")</f>
        <v/>
      </c>
      <c r="BF6" s="52" t="str">
        <f>_xlfn.IFNA(VLOOKUP(U6,'GRPO Wiz'!AP:BT,26,FALSE),"")</f>
        <v/>
      </c>
      <c r="BG6" s="57" t="str">
        <f>_xlfn.IFNA(VLOOKUP(U6,'GRPO Wiz'!AP:BQ,28,FALSE),"")</f>
        <v/>
      </c>
      <c r="BH6" s="52" t="str">
        <f>_xlfn.IFNA(VLOOKUP(U6,'GRPO Wiz'!AP:BN,25,FALSE),"")</f>
        <v/>
      </c>
      <c r="BI6" s="52" t="str">
        <f>_xlfn.IFNA(VLOOKUP(U6,'GRPO Wiz'!AP:BT,31,FALSE),"")</f>
        <v/>
      </c>
      <c r="BJ6" s="52" t="str">
        <f>_xlfn.IFNA(VLOOKUP(U6,'GRPO Wiz'!AP:BZ,32,FALSE),"")</f>
        <v/>
      </c>
      <c r="BK6" s="52" t="str">
        <f>_xlfn.IFNA(VLOOKUP(U6,'GRPO Wiz'!AP:BZ,27,FALSE),"")</f>
        <v/>
      </c>
      <c r="BL6" s="52" t="str">
        <f>_xlfn.IFNA(VALUE(VLOOKUP(U6,'GRPO Wiz'!AP:BZ,29,FALSE)),"")</f>
        <v/>
      </c>
      <c r="BM6" s="52" t="str">
        <f>IF(OR(_xlfn.IFNA(VLOOKUP(U6,'GRPO Wiz'!AP:BZ,33,FALSE),"")="NSC",_xlfn.IFNA(VLOOKUP(U6,'GRPO Wiz'!AP:BZ,33,FALSE),"")="NSSMC"),"NSC","")</f>
        <v/>
      </c>
      <c r="BX6" s="52" t="str">
        <f t="shared" si="17"/>
        <v/>
      </c>
      <c r="BY6" s="52" t="str">
        <f>_xlfn.IFNA(VLOOKUP(BX6&amp;H6,AP!IP:IQ,2,FALSE),"")</f>
        <v/>
      </c>
      <c r="BZ6" s="53" t="str">
        <f t="shared" si="18"/>
        <v/>
      </c>
      <c r="CA6" s="53"/>
      <c r="CD6" s="52" t="str">
        <f>_xlfn.IFNA((VLOOKUP(BX6&amp;H6,AP!IP:IS,4,FALSE)),"")</f>
        <v/>
      </c>
      <c r="CW6" s="52">
        <v>5</v>
      </c>
      <c r="DT6" s="52" t="str">
        <f t="shared" si="1"/>
        <v/>
      </c>
      <c r="DU6" s="52" t="str">
        <f t="shared" si="2"/>
        <v/>
      </c>
      <c r="DV6" s="52" t="str">
        <f t="shared" si="3"/>
        <v/>
      </c>
      <c r="DW6" s="52" t="str">
        <f t="shared" si="4"/>
        <v/>
      </c>
      <c r="DX6" s="52" t="str">
        <f t="shared" si="5"/>
        <v/>
      </c>
      <c r="DY6" s="52" t="str">
        <f t="shared" si="6"/>
        <v/>
      </c>
      <c r="DZ6" s="52" t="str">
        <f t="shared" si="7"/>
        <v/>
      </c>
      <c r="EB6" s="52" t="str">
        <f t="shared" si="8"/>
        <v/>
      </c>
      <c r="EC6" s="52" t="str">
        <f t="shared" si="9"/>
        <v/>
      </c>
      <c r="ED6" s="52" t="str">
        <f t="shared" si="10"/>
        <v/>
      </c>
      <c r="EE6" s="52" t="str">
        <f t="shared" si="11"/>
        <v/>
      </c>
      <c r="EF6" s="52" t="str">
        <f t="shared" si="12"/>
        <v/>
      </c>
      <c r="EG6" s="52" t="str">
        <f t="shared" si="13"/>
        <v/>
      </c>
    </row>
    <row r="7" spans="1:181" ht="26.25" customHeight="1" x14ac:dyDescent="0.25">
      <c r="J7" s="52" t="str">
        <f t="shared" si="14"/>
        <v/>
      </c>
      <c r="K7" s="52" t="str">
        <f>IF(O7="","",VLOOKUP(U7,Data!O:AC,15,FALSE)/G7)</f>
        <v/>
      </c>
      <c r="X7" s="52" t="str">
        <f t="shared" si="15"/>
        <v/>
      </c>
      <c r="Z7" s="52">
        <f t="shared" si="16"/>
        <v>0</v>
      </c>
      <c r="AG7" s="52" t="str">
        <f>_xlfn.IFNA(VLOOKUP(U7,'Incoming Material Report'!A:M,13,FALSE),"")</f>
        <v/>
      </c>
      <c r="AH7" s="52" t="str">
        <f>_xlfn.IFNA(IF(VLOOKUP(U7,'Incoming Material Report'!A:N,14,FALSE)="","",VLOOKUP(U7,'Incoming Material Report'!A:N,14,FALSE)),"")</f>
        <v/>
      </c>
      <c r="AI7" s="52" t="str">
        <f>_xlfn.IFNA(VLOOKUP(U7,'Incoming Material Report'!A:Z,24,FALSE),"")</f>
        <v/>
      </c>
      <c r="AJ7" s="52" t="str">
        <f>_xlfn.IFNA(VLOOKUP(U7,'Incoming Material Report'!A:Z,25,FALSE),"")</f>
        <v/>
      </c>
      <c r="AK7" s="52" t="str">
        <f>_xlfn.IFNA(VLOOKUP(U7,'Incoming Material Report'!A:Z,26,FALSE),"")</f>
        <v/>
      </c>
      <c r="AL7" s="52" t="str">
        <f>_xlfn.IFNA(VLOOKUP(U7,'Incoming Material Report'!A:Z,2,FALSE),"")</f>
        <v/>
      </c>
      <c r="AM7" s="52" t="str">
        <f>_xlfn.IFNA(VLOOKUP(U7,'Incoming Material Report'!A:K,11,FALSE)/1000,"")</f>
        <v/>
      </c>
      <c r="AO7" s="52" t="str">
        <f>_xlfn.IFNA(VLOOKUP(U7,'Incoming Material Report'!A:R,18,FALSE)*1000,"")</f>
        <v/>
      </c>
      <c r="AQ7" s="52" t="str">
        <f>_xlfn.IFNA(TEXT(VLOOKUP(U7,'Incoming Material Report'!A:D,4,FALSE),"dd.mm.yy"),"")</f>
        <v/>
      </c>
      <c r="AR7" s="52" t="str">
        <f>_xlfn.IFNA(VLOOKUP(U7,'Incoming Material Report'!A:Z,5,FALSE),"")</f>
        <v/>
      </c>
      <c r="AT7" s="52" t="str">
        <f>IF(OR(_xlfn.IFNA(VLOOKUP(U7,'Incoming Material Report'!A:Z,6,FALSE),"")="NSC",_xlfn.IFNA(VLOOKUP(U7,'Incoming Material Report'!A:Z,6,FALSE),"")="NSSMC"),"NSC","")</f>
        <v/>
      </c>
      <c r="AU7" s="52" t="str">
        <f>_xlfn.IFNA(VLOOKUP(U7,'Incoming Material Report'!A:Z,8,FALSE),"")</f>
        <v/>
      </c>
      <c r="AZ7" s="52" t="str">
        <f>_xlfn.IFNA(VLOOKUP(U7,'GRPO Wiz'!AP:BT,17,FALSE),"")</f>
        <v/>
      </c>
      <c r="BA7" s="52" t="str">
        <f>_xlfn.IFNA(VLOOKUP(U7,'GRPO Wiz'!AP:BT,18,FALSE),"")</f>
        <v/>
      </c>
      <c r="BB7" s="52" t="str">
        <f>_xlfn.IFNA(VLOOKUP(U7,'GRPO Wiz'!AP:BT,19,FALSE),"")</f>
        <v/>
      </c>
      <c r="BC7" s="52" t="str">
        <f>_xlfn.IFNA(VLOOKUP(U7,'GRPO Wiz'!AP:BT,20,FALSE),"")</f>
        <v/>
      </c>
      <c r="BD7" s="52" t="str">
        <f>_xlfn.IFNA(VLOOKUP(U7,'GRPO Wiz'!AP:BT,21,FALSE),"")</f>
        <v/>
      </c>
      <c r="BE7" s="52" t="str">
        <f>_xlfn.IFNA(LEFT((VLOOKUP(U7,'GRPO Wiz'!AP:BT,22,FALSE)),8),"")</f>
        <v/>
      </c>
      <c r="BF7" s="52" t="str">
        <f>_xlfn.IFNA(VLOOKUP(U7,'GRPO Wiz'!AP:BT,26,FALSE),"")</f>
        <v/>
      </c>
      <c r="BG7" s="57" t="str">
        <f>_xlfn.IFNA(VLOOKUP(U7,'GRPO Wiz'!AP:BQ,28,FALSE),"")</f>
        <v/>
      </c>
      <c r="BH7" s="52" t="str">
        <f>_xlfn.IFNA(VLOOKUP(U7,'GRPO Wiz'!AP:BN,25,FALSE),"")</f>
        <v/>
      </c>
      <c r="BI7" s="52" t="str">
        <f>_xlfn.IFNA(VLOOKUP(U7,'GRPO Wiz'!AP:BT,31,FALSE),"")</f>
        <v/>
      </c>
      <c r="BJ7" s="52" t="str">
        <f>_xlfn.IFNA(VLOOKUP(U7,'GRPO Wiz'!AP:BZ,32,FALSE),"")</f>
        <v/>
      </c>
      <c r="BK7" s="52" t="str">
        <f>_xlfn.IFNA(VLOOKUP(U7,'GRPO Wiz'!AP:BZ,27,FALSE),"")</f>
        <v/>
      </c>
      <c r="BL7" s="52" t="str">
        <f>_xlfn.IFNA(VALUE(VLOOKUP(U7,'GRPO Wiz'!AP:BZ,29,FALSE)),"")</f>
        <v/>
      </c>
      <c r="BM7" s="52" t="str">
        <f>IF(OR(_xlfn.IFNA(VLOOKUP(U7,'GRPO Wiz'!AP:BZ,33,FALSE),"")="NSC",_xlfn.IFNA(VLOOKUP(U7,'GRPO Wiz'!AP:BZ,33,FALSE),"")="NSSMC"),"NSC","")</f>
        <v/>
      </c>
      <c r="BX7" s="52" t="str">
        <f t="shared" si="17"/>
        <v/>
      </c>
      <c r="BY7" s="52" t="str">
        <f>_xlfn.IFNA(VLOOKUP(BX7&amp;H7,AP!IP:IQ,2,FALSE),"")</f>
        <v/>
      </c>
      <c r="BZ7" s="53" t="str">
        <f t="shared" si="18"/>
        <v/>
      </c>
      <c r="CA7" s="53"/>
      <c r="CD7" s="52" t="str">
        <f>_xlfn.IFNA((VLOOKUP(BX7&amp;H7,AP!IP:IS,4,FALSE)),"")</f>
        <v/>
      </c>
      <c r="CW7" s="52">
        <v>6</v>
      </c>
      <c r="DT7" s="52" t="str">
        <f t="shared" si="1"/>
        <v/>
      </c>
      <c r="DU7" s="52" t="str">
        <f t="shared" si="2"/>
        <v/>
      </c>
      <c r="DV7" s="52" t="str">
        <f t="shared" si="3"/>
        <v/>
      </c>
      <c r="DW7" s="52" t="str">
        <f t="shared" si="4"/>
        <v/>
      </c>
      <c r="DX7" s="52" t="str">
        <f t="shared" si="5"/>
        <v/>
      </c>
      <c r="DY7" s="52" t="str">
        <f t="shared" si="6"/>
        <v/>
      </c>
      <c r="DZ7" s="52" t="str">
        <f t="shared" si="7"/>
        <v/>
      </c>
      <c r="EB7" s="52" t="str">
        <f t="shared" si="8"/>
        <v/>
      </c>
      <c r="EC7" s="52" t="str">
        <f t="shared" si="9"/>
        <v/>
      </c>
      <c r="ED7" s="52" t="str">
        <f t="shared" si="10"/>
        <v/>
      </c>
      <c r="EE7" s="52" t="str">
        <f t="shared" si="11"/>
        <v/>
      </c>
      <c r="EF7" s="52" t="str">
        <f t="shared" si="12"/>
        <v/>
      </c>
      <c r="EG7" s="52" t="str">
        <f t="shared" si="13"/>
        <v/>
      </c>
    </row>
    <row r="8" spans="1:181" ht="26.25" customHeight="1" x14ac:dyDescent="0.25">
      <c r="J8" s="52" t="str">
        <f t="shared" si="14"/>
        <v/>
      </c>
      <c r="K8" s="52" t="str">
        <f>IF(O8="","",VLOOKUP(U8,Data!O:AC,15,FALSE)/G8)</f>
        <v/>
      </c>
      <c r="X8" s="52" t="str">
        <f t="shared" si="15"/>
        <v/>
      </c>
      <c r="Z8" s="52">
        <f t="shared" si="16"/>
        <v>0</v>
      </c>
      <c r="AG8" s="52" t="str">
        <f>_xlfn.IFNA(VLOOKUP(U8,'Incoming Material Report'!A:M,13,FALSE),"")</f>
        <v/>
      </c>
      <c r="AH8" s="52" t="str">
        <f>_xlfn.IFNA(IF(VLOOKUP(U8,'Incoming Material Report'!A:N,14,FALSE)="","",VLOOKUP(U8,'Incoming Material Report'!A:N,14,FALSE)),"")</f>
        <v/>
      </c>
      <c r="AI8" s="52" t="str">
        <f>_xlfn.IFNA(VLOOKUP(U8,'Incoming Material Report'!A:Z,24,FALSE),"")</f>
        <v/>
      </c>
      <c r="AJ8" s="52" t="str">
        <f>_xlfn.IFNA(VLOOKUP(U8,'Incoming Material Report'!A:Z,25,FALSE),"")</f>
        <v/>
      </c>
      <c r="AK8" s="52" t="str">
        <f>_xlfn.IFNA(VLOOKUP(U8,'Incoming Material Report'!A:Z,26,FALSE),"")</f>
        <v/>
      </c>
      <c r="AL8" s="52" t="str">
        <f>_xlfn.IFNA(VLOOKUP(U8,'Incoming Material Report'!A:Z,2,FALSE),"")</f>
        <v/>
      </c>
      <c r="AM8" s="52" t="str">
        <f>_xlfn.IFNA(VLOOKUP(U8,'Incoming Material Report'!A:K,11,FALSE)/1000,"")</f>
        <v/>
      </c>
      <c r="AO8" s="52" t="str">
        <f>_xlfn.IFNA(VLOOKUP(U8,'Incoming Material Report'!A:R,18,FALSE)*1000,"")</f>
        <v/>
      </c>
      <c r="AQ8" s="52" t="str">
        <f>_xlfn.IFNA(TEXT(VLOOKUP(U8,'Incoming Material Report'!A:D,4,FALSE),"dd.mm.yy"),"")</f>
        <v/>
      </c>
      <c r="AR8" s="52" t="str">
        <f>_xlfn.IFNA(VLOOKUP(U8,'Incoming Material Report'!A:Z,5,FALSE),"")</f>
        <v/>
      </c>
      <c r="AT8" s="52" t="str">
        <f>IF(OR(_xlfn.IFNA(VLOOKUP(U8,'Incoming Material Report'!A:Z,6,FALSE),"")="NSC",_xlfn.IFNA(VLOOKUP(U8,'Incoming Material Report'!A:Z,6,FALSE),"")="NSSMC"),"NSC","")</f>
        <v/>
      </c>
      <c r="AU8" s="52" t="str">
        <f>_xlfn.IFNA(VLOOKUP(U8,'Incoming Material Report'!A:Z,8,FALSE),"")</f>
        <v/>
      </c>
      <c r="AZ8" s="52" t="str">
        <f>_xlfn.IFNA(VLOOKUP(U8,'GRPO Wiz'!AP:BT,17,FALSE),"")</f>
        <v/>
      </c>
      <c r="BA8" s="52" t="str">
        <f>_xlfn.IFNA(VLOOKUP(U8,'GRPO Wiz'!AP:BT,18,FALSE),"")</f>
        <v/>
      </c>
      <c r="BB8" s="52" t="str">
        <f>_xlfn.IFNA(VLOOKUP(U8,'GRPO Wiz'!AP:BT,19,FALSE),"")</f>
        <v/>
      </c>
      <c r="BC8" s="52" t="str">
        <f>_xlfn.IFNA(VLOOKUP(U8,'GRPO Wiz'!AP:BT,20,FALSE),"")</f>
        <v/>
      </c>
      <c r="BD8" s="52" t="str">
        <f>_xlfn.IFNA(VLOOKUP(U8,'GRPO Wiz'!AP:BT,21,FALSE),"")</f>
        <v/>
      </c>
      <c r="BE8" s="52" t="str">
        <f>_xlfn.IFNA(LEFT((VLOOKUP(U8,'GRPO Wiz'!AP:BT,22,FALSE)),8),"")</f>
        <v/>
      </c>
      <c r="BF8" s="52" t="str">
        <f>_xlfn.IFNA(VLOOKUP(U8,'GRPO Wiz'!AP:BT,26,FALSE),"")</f>
        <v/>
      </c>
      <c r="BG8" s="57" t="str">
        <f>_xlfn.IFNA(VLOOKUP(U8,'GRPO Wiz'!AP:BQ,28,FALSE),"")</f>
        <v/>
      </c>
      <c r="BH8" s="52" t="str">
        <f>_xlfn.IFNA(VLOOKUP(U8,'GRPO Wiz'!AP:BN,25,FALSE),"")</f>
        <v/>
      </c>
      <c r="BI8" s="52" t="str">
        <f>_xlfn.IFNA(VLOOKUP(U8,'GRPO Wiz'!AP:BT,31,FALSE),"")</f>
        <v/>
      </c>
      <c r="BJ8" s="52" t="str">
        <f>_xlfn.IFNA(VLOOKUP(U8,'GRPO Wiz'!AP:BZ,32,FALSE),"")</f>
        <v/>
      </c>
      <c r="BK8" s="52" t="str">
        <f>_xlfn.IFNA(VLOOKUP(U8,'GRPO Wiz'!AP:BZ,27,FALSE),"")</f>
        <v/>
      </c>
      <c r="BL8" s="52" t="str">
        <f>_xlfn.IFNA(VALUE(VLOOKUP(U8,'GRPO Wiz'!AP:BZ,29,FALSE)),"")</f>
        <v/>
      </c>
      <c r="BM8" s="52" t="str">
        <f>IF(OR(_xlfn.IFNA(VLOOKUP(U8,'GRPO Wiz'!AP:BZ,33,FALSE),"")="NSC",_xlfn.IFNA(VLOOKUP(U8,'GRPO Wiz'!AP:BZ,33,FALSE),"")="NSSMC"),"NSC","")</f>
        <v/>
      </c>
      <c r="BX8" s="52" t="str">
        <f t="shared" si="17"/>
        <v/>
      </c>
      <c r="BY8" s="52" t="str">
        <f>_xlfn.IFNA(VLOOKUP(BX8&amp;H8,AP!IP:IQ,2,FALSE),"")</f>
        <v/>
      </c>
      <c r="BZ8" s="53" t="str">
        <f t="shared" si="18"/>
        <v/>
      </c>
      <c r="CA8" s="53"/>
      <c r="CD8" s="52" t="str">
        <f>_xlfn.IFNA((VLOOKUP(BX8&amp;H8,AP!IP:IS,4,FALSE)),"")</f>
        <v/>
      </c>
      <c r="CW8" s="52">
        <v>7</v>
      </c>
      <c r="DT8" s="52" t="str">
        <f t="shared" si="1"/>
        <v/>
      </c>
      <c r="DU8" s="52" t="str">
        <f t="shared" si="2"/>
        <v/>
      </c>
      <c r="DV8" s="52" t="str">
        <f t="shared" si="3"/>
        <v/>
      </c>
      <c r="DW8" s="52" t="str">
        <f t="shared" si="4"/>
        <v/>
      </c>
      <c r="DX8" s="52" t="str">
        <f t="shared" si="5"/>
        <v/>
      </c>
      <c r="DY8" s="52" t="str">
        <f t="shared" si="6"/>
        <v/>
      </c>
      <c r="DZ8" s="52" t="str">
        <f t="shared" si="7"/>
        <v/>
      </c>
      <c r="EB8" s="52" t="str">
        <f t="shared" si="8"/>
        <v/>
      </c>
      <c r="EC8" s="52" t="str">
        <f t="shared" si="9"/>
        <v/>
      </c>
      <c r="ED8" s="52" t="str">
        <f t="shared" si="10"/>
        <v/>
      </c>
      <c r="EE8" s="52" t="str">
        <f t="shared" si="11"/>
        <v/>
      </c>
      <c r="EF8" s="52" t="str">
        <f t="shared" si="12"/>
        <v/>
      </c>
      <c r="EG8" s="52" t="str">
        <f t="shared" si="13"/>
        <v/>
      </c>
    </row>
    <row r="9" spans="1:181" ht="26.25" customHeight="1" x14ac:dyDescent="0.25">
      <c r="J9" s="52" t="str">
        <f t="shared" si="14"/>
        <v/>
      </c>
      <c r="K9" s="52" t="str">
        <f>IF(O9="","",VLOOKUP(U9,Data!O:AC,15,FALSE)/G9)</f>
        <v/>
      </c>
      <c r="X9" s="52" t="str">
        <f t="shared" si="15"/>
        <v/>
      </c>
      <c r="Z9" s="52">
        <f t="shared" si="16"/>
        <v>0</v>
      </c>
      <c r="AG9" s="52" t="str">
        <f>_xlfn.IFNA(VLOOKUP(U9,'Incoming Material Report'!A:M,13,FALSE),"")</f>
        <v/>
      </c>
      <c r="AH9" s="52" t="str">
        <f>_xlfn.IFNA(IF(VLOOKUP(U9,'Incoming Material Report'!A:N,14,FALSE)="","",VLOOKUP(U9,'Incoming Material Report'!A:N,14,FALSE)),"")</f>
        <v/>
      </c>
      <c r="AI9" s="52" t="str">
        <f>_xlfn.IFNA(VLOOKUP(U9,'Incoming Material Report'!A:Z,24,FALSE),"")</f>
        <v/>
      </c>
      <c r="AJ9" s="52" t="str">
        <f>_xlfn.IFNA(VLOOKUP(U9,'Incoming Material Report'!A:Z,25,FALSE),"")</f>
        <v/>
      </c>
      <c r="AK9" s="52" t="str">
        <f>_xlfn.IFNA(VLOOKUP(U9,'Incoming Material Report'!A:Z,26,FALSE),"")</f>
        <v/>
      </c>
      <c r="AL9" s="52" t="str">
        <f>_xlfn.IFNA(VLOOKUP(U9,'Incoming Material Report'!A:Z,2,FALSE),"")</f>
        <v/>
      </c>
      <c r="AM9" s="52" t="str">
        <f>_xlfn.IFNA(VLOOKUP(U9,'Incoming Material Report'!A:K,11,FALSE)/1000,"")</f>
        <v/>
      </c>
      <c r="AO9" s="52" t="str">
        <f>_xlfn.IFNA(VLOOKUP(U9,'Incoming Material Report'!A:R,18,FALSE)*1000,"")</f>
        <v/>
      </c>
      <c r="AQ9" s="52" t="str">
        <f>_xlfn.IFNA(TEXT(VLOOKUP(U9,'Incoming Material Report'!A:D,4,FALSE),"dd.mm.yy"),"")</f>
        <v/>
      </c>
      <c r="AR9" s="52" t="str">
        <f>_xlfn.IFNA(VLOOKUP(U9,'Incoming Material Report'!A:Z,5,FALSE),"")</f>
        <v/>
      </c>
      <c r="AT9" s="52" t="str">
        <f>IF(OR(_xlfn.IFNA(VLOOKUP(U9,'Incoming Material Report'!A:Z,6,FALSE),"")="NSC",_xlfn.IFNA(VLOOKUP(U9,'Incoming Material Report'!A:Z,6,FALSE),"")="NSSMC"),"NSC","")</f>
        <v/>
      </c>
      <c r="AU9" s="52" t="str">
        <f>_xlfn.IFNA(VLOOKUP(U9,'Incoming Material Report'!A:Z,8,FALSE),"")</f>
        <v/>
      </c>
      <c r="AZ9" s="52" t="str">
        <f>_xlfn.IFNA(VLOOKUP(U9,'GRPO Wiz'!AP:BT,17,FALSE),"")</f>
        <v/>
      </c>
      <c r="BA9" s="52" t="str">
        <f>_xlfn.IFNA(VLOOKUP(U9,'GRPO Wiz'!AP:BT,18,FALSE),"")</f>
        <v/>
      </c>
      <c r="BB9" s="52" t="str">
        <f>_xlfn.IFNA(VLOOKUP(U9,'GRPO Wiz'!AP:BT,19,FALSE),"")</f>
        <v/>
      </c>
      <c r="BC9" s="52" t="str">
        <f>_xlfn.IFNA(VLOOKUP(U9,'GRPO Wiz'!AP:BT,20,FALSE),"")</f>
        <v/>
      </c>
      <c r="BD9" s="52" t="str">
        <f>_xlfn.IFNA(VLOOKUP(U9,'GRPO Wiz'!AP:BT,21,FALSE),"")</f>
        <v/>
      </c>
      <c r="BE9" s="52" t="str">
        <f>_xlfn.IFNA(LEFT((VLOOKUP(U9,'GRPO Wiz'!AP:BT,22,FALSE)),8),"")</f>
        <v/>
      </c>
      <c r="BF9" s="52" t="str">
        <f>_xlfn.IFNA(VLOOKUP(U9,'GRPO Wiz'!AP:BT,26,FALSE),"")</f>
        <v/>
      </c>
      <c r="BG9" s="57" t="str">
        <f>_xlfn.IFNA(VLOOKUP(U9,'GRPO Wiz'!AP:BQ,28,FALSE),"")</f>
        <v/>
      </c>
      <c r="BH9" s="52" t="str">
        <f>_xlfn.IFNA(VLOOKUP(U9,'GRPO Wiz'!AP:BN,25,FALSE),"")</f>
        <v/>
      </c>
      <c r="BI9" s="52" t="str">
        <f>_xlfn.IFNA(VLOOKUP(U9,'GRPO Wiz'!AP:BT,31,FALSE),"")</f>
        <v/>
      </c>
      <c r="BJ9" s="52" t="str">
        <f>_xlfn.IFNA(VLOOKUP(U9,'GRPO Wiz'!AP:BZ,32,FALSE),"")</f>
        <v/>
      </c>
      <c r="BK9" s="52" t="str">
        <f>_xlfn.IFNA(VLOOKUP(U9,'GRPO Wiz'!AP:BZ,27,FALSE),"")</f>
        <v/>
      </c>
      <c r="BL9" s="52" t="str">
        <f>_xlfn.IFNA(VALUE(VLOOKUP(U9,'GRPO Wiz'!AP:BZ,29,FALSE)),"")</f>
        <v/>
      </c>
      <c r="BM9" s="52" t="str">
        <f>IF(OR(_xlfn.IFNA(VLOOKUP(U9,'GRPO Wiz'!AP:BZ,33,FALSE),"")="NSC",_xlfn.IFNA(VLOOKUP(U9,'GRPO Wiz'!AP:BZ,33,FALSE),"")="NSSMC"),"NSC","")</f>
        <v/>
      </c>
      <c r="BX9" s="52" t="str">
        <f t="shared" si="17"/>
        <v/>
      </c>
      <c r="BY9" s="52" t="str">
        <f>_xlfn.IFNA(VLOOKUP(BX9&amp;H9,AP!IP:IQ,2,FALSE),"")</f>
        <v/>
      </c>
      <c r="BZ9" s="53" t="str">
        <f t="shared" si="18"/>
        <v/>
      </c>
      <c r="CA9" s="53"/>
      <c r="CD9" s="52" t="str">
        <f>_xlfn.IFNA((VLOOKUP(BX9&amp;H9,AP!IP:IS,4,FALSE)),"")</f>
        <v/>
      </c>
      <c r="CW9" s="52">
        <v>8</v>
      </c>
      <c r="DT9" s="52" t="str">
        <f t="shared" si="1"/>
        <v/>
      </c>
      <c r="DU9" s="52" t="str">
        <f t="shared" si="2"/>
        <v/>
      </c>
      <c r="DV9" s="52" t="str">
        <f t="shared" si="3"/>
        <v/>
      </c>
      <c r="DW9" s="52" t="str">
        <f t="shared" si="4"/>
        <v/>
      </c>
      <c r="DX9" s="52" t="str">
        <f t="shared" si="5"/>
        <v/>
      </c>
      <c r="DY9" s="52" t="str">
        <f t="shared" si="6"/>
        <v/>
      </c>
      <c r="DZ9" s="52" t="str">
        <f t="shared" si="7"/>
        <v/>
      </c>
      <c r="EB9" s="52" t="str">
        <f t="shared" si="8"/>
        <v/>
      </c>
      <c r="EC9" s="52" t="str">
        <f t="shared" si="9"/>
        <v/>
      </c>
      <c r="ED9" s="52" t="str">
        <f t="shared" si="10"/>
        <v/>
      </c>
      <c r="EE9" s="52" t="str">
        <f t="shared" si="11"/>
        <v/>
      </c>
      <c r="EF9" s="52" t="str">
        <f t="shared" si="12"/>
        <v/>
      </c>
      <c r="EG9" s="52" t="str">
        <f t="shared" si="13"/>
        <v/>
      </c>
    </row>
    <row r="10" spans="1:181" ht="26.25" customHeight="1" x14ac:dyDescent="0.25">
      <c r="J10" s="52" t="str">
        <f t="shared" si="14"/>
        <v/>
      </c>
      <c r="K10" s="52" t="str">
        <f>IF(O10="","",VLOOKUP(U10,Data!O:AC,15,FALSE)/G10)</f>
        <v/>
      </c>
      <c r="X10" s="52" t="str">
        <f t="shared" si="15"/>
        <v/>
      </c>
      <c r="Z10" s="52">
        <f t="shared" si="16"/>
        <v>0</v>
      </c>
      <c r="AG10" s="52" t="str">
        <f>_xlfn.IFNA(VLOOKUP(U10,'Incoming Material Report'!A:M,13,FALSE),"")</f>
        <v/>
      </c>
      <c r="AH10" s="52" t="str">
        <f>_xlfn.IFNA(IF(VLOOKUP(U10,'Incoming Material Report'!A:N,14,FALSE)="","",VLOOKUP(U10,'Incoming Material Report'!A:N,14,FALSE)),"")</f>
        <v/>
      </c>
      <c r="AI10" s="52" t="str">
        <f>_xlfn.IFNA(VLOOKUP(U10,'Incoming Material Report'!A:Z,24,FALSE),"")</f>
        <v/>
      </c>
      <c r="AJ10" s="52" t="str">
        <f>_xlfn.IFNA(VLOOKUP(U10,'Incoming Material Report'!A:Z,25,FALSE),"")</f>
        <v/>
      </c>
      <c r="AK10" s="52" t="str">
        <f>_xlfn.IFNA(VLOOKUP(U10,'Incoming Material Report'!A:Z,26,FALSE),"")</f>
        <v/>
      </c>
      <c r="AL10" s="52" t="str">
        <f>_xlfn.IFNA(VLOOKUP(U10,'Incoming Material Report'!A:Z,2,FALSE),"")</f>
        <v/>
      </c>
      <c r="AM10" s="52" t="str">
        <f>_xlfn.IFNA(VLOOKUP(U10,'Incoming Material Report'!A:K,11,FALSE)/1000,"")</f>
        <v/>
      </c>
      <c r="AO10" s="52" t="str">
        <f>_xlfn.IFNA(VLOOKUP(U10,'Incoming Material Report'!A:R,18,FALSE)*1000,"")</f>
        <v/>
      </c>
      <c r="AQ10" s="52" t="str">
        <f>_xlfn.IFNA(TEXT(VLOOKUP(U10,'Incoming Material Report'!A:D,4,FALSE),"dd.mm.yy"),"")</f>
        <v/>
      </c>
      <c r="AR10" s="52" t="str">
        <f>_xlfn.IFNA(VLOOKUP(U10,'Incoming Material Report'!A:Z,5,FALSE),"")</f>
        <v/>
      </c>
      <c r="AT10" s="52" t="str">
        <f>IF(OR(_xlfn.IFNA(VLOOKUP(U10,'Incoming Material Report'!A:Z,6,FALSE),"")="NSC",_xlfn.IFNA(VLOOKUP(U10,'Incoming Material Report'!A:Z,6,FALSE),"")="NSSMC"),"NSC","")</f>
        <v/>
      </c>
      <c r="AU10" s="52" t="str">
        <f>_xlfn.IFNA(VLOOKUP(U10,'Incoming Material Report'!A:Z,8,FALSE),"")</f>
        <v/>
      </c>
      <c r="AZ10" s="52" t="str">
        <f>_xlfn.IFNA(VLOOKUP(U10,'GRPO Wiz'!AP:BT,17,FALSE),"")</f>
        <v/>
      </c>
      <c r="BA10" s="52" t="str">
        <f>_xlfn.IFNA(VLOOKUP(U10,'GRPO Wiz'!AP:BT,18,FALSE),"")</f>
        <v/>
      </c>
      <c r="BB10" s="52" t="str">
        <f>_xlfn.IFNA(VLOOKUP(U10,'GRPO Wiz'!AP:BT,19,FALSE),"")</f>
        <v/>
      </c>
      <c r="BC10" s="52" t="str">
        <f>_xlfn.IFNA(VLOOKUP(U10,'GRPO Wiz'!AP:BT,20,FALSE),"")</f>
        <v/>
      </c>
      <c r="BD10" s="52" t="str">
        <f>_xlfn.IFNA(VLOOKUP(U10,'GRPO Wiz'!AP:BT,21,FALSE),"")</f>
        <v/>
      </c>
      <c r="BE10" s="52" t="str">
        <f>_xlfn.IFNA(LEFT((VLOOKUP(U10,'GRPO Wiz'!AP:BT,22,FALSE)),8),"")</f>
        <v/>
      </c>
      <c r="BF10" s="52" t="str">
        <f>_xlfn.IFNA(VLOOKUP(U10,'GRPO Wiz'!AP:BT,26,FALSE),"")</f>
        <v/>
      </c>
      <c r="BG10" s="57" t="str">
        <f>_xlfn.IFNA(VLOOKUP(U10,'GRPO Wiz'!AP:BQ,28,FALSE),"")</f>
        <v/>
      </c>
      <c r="BH10" s="52" t="str">
        <f>_xlfn.IFNA(VLOOKUP(U10,'GRPO Wiz'!AP:BN,25,FALSE),"")</f>
        <v/>
      </c>
      <c r="BI10" s="52" t="str">
        <f>_xlfn.IFNA(VLOOKUP(U10,'GRPO Wiz'!AP:BT,31,FALSE),"")</f>
        <v/>
      </c>
      <c r="BJ10" s="52" t="str">
        <f>_xlfn.IFNA(VLOOKUP(U10,'GRPO Wiz'!AP:BZ,32,FALSE),"")</f>
        <v/>
      </c>
      <c r="BK10" s="52" t="str">
        <f>_xlfn.IFNA(VLOOKUP(U10,'GRPO Wiz'!AP:BZ,27,FALSE),"")</f>
        <v/>
      </c>
      <c r="BL10" s="52" t="str">
        <f>_xlfn.IFNA(VALUE(VLOOKUP(U10,'GRPO Wiz'!AP:BZ,29,FALSE)),"")</f>
        <v/>
      </c>
      <c r="BM10" s="52" t="str">
        <f>IF(OR(_xlfn.IFNA(VLOOKUP(U10,'GRPO Wiz'!AP:BZ,33,FALSE),"")="NSC",_xlfn.IFNA(VLOOKUP(U10,'GRPO Wiz'!AP:BZ,33,FALSE),"")="NSSMC"),"NSC","")</f>
        <v/>
      </c>
      <c r="BX10" s="52" t="str">
        <f t="shared" si="17"/>
        <v/>
      </c>
      <c r="BY10" s="52" t="str">
        <f>_xlfn.IFNA(VLOOKUP(BX10&amp;H10,AP!IP:IQ,2,FALSE),"")</f>
        <v/>
      </c>
      <c r="BZ10" s="53" t="str">
        <f t="shared" si="18"/>
        <v/>
      </c>
      <c r="CA10" s="53"/>
      <c r="CD10" s="52" t="str">
        <f>_xlfn.IFNA((VLOOKUP(BX10&amp;H10,AP!IP:IS,4,FALSE)),"")</f>
        <v/>
      </c>
      <c r="CW10" s="52">
        <v>9</v>
      </c>
      <c r="DT10" s="52" t="str">
        <f t="shared" si="1"/>
        <v/>
      </c>
      <c r="DU10" s="52" t="str">
        <f t="shared" si="2"/>
        <v/>
      </c>
      <c r="DV10" s="52" t="str">
        <f t="shared" si="3"/>
        <v/>
      </c>
      <c r="DW10" s="52" t="str">
        <f t="shared" si="4"/>
        <v/>
      </c>
      <c r="DX10" s="52" t="str">
        <f t="shared" si="5"/>
        <v/>
      </c>
      <c r="DY10" s="52" t="str">
        <f t="shared" si="6"/>
        <v/>
      </c>
      <c r="DZ10" s="52" t="str">
        <f t="shared" si="7"/>
        <v/>
      </c>
      <c r="EB10" s="52" t="str">
        <f t="shared" si="8"/>
        <v/>
      </c>
      <c r="EC10" s="52" t="str">
        <f t="shared" si="9"/>
        <v/>
      </c>
      <c r="ED10" s="52" t="str">
        <f t="shared" si="10"/>
        <v/>
      </c>
      <c r="EE10" s="52" t="str">
        <f t="shared" si="11"/>
        <v/>
      </c>
      <c r="EF10" s="52" t="str">
        <f t="shared" si="12"/>
        <v/>
      </c>
      <c r="EG10" s="52" t="str">
        <f t="shared" si="13"/>
        <v/>
      </c>
    </row>
    <row r="11" spans="1:181" ht="26.25" customHeight="1" x14ac:dyDescent="0.25">
      <c r="J11" s="52" t="str">
        <f t="shared" si="14"/>
        <v/>
      </c>
      <c r="K11" s="52" t="str">
        <f>IF(O11="","",VLOOKUP(U11,Data!O:AC,15,FALSE)/G11)</f>
        <v/>
      </c>
      <c r="X11" s="52" t="str">
        <f t="shared" si="15"/>
        <v/>
      </c>
      <c r="Z11" s="52">
        <f t="shared" si="16"/>
        <v>0</v>
      </c>
      <c r="AG11" s="52" t="str">
        <f>_xlfn.IFNA(VLOOKUP(U11,'Incoming Material Report'!A:M,13,FALSE),"")</f>
        <v/>
      </c>
      <c r="AH11" s="52" t="str">
        <f>_xlfn.IFNA(IF(VLOOKUP(U11,'Incoming Material Report'!A:N,14,FALSE)="","",VLOOKUP(U11,'Incoming Material Report'!A:N,14,FALSE)),"")</f>
        <v/>
      </c>
      <c r="AI11" s="52" t="str">
        <f>_xlfn.IFNA(VLOOKUP(U11,'Incoming Material Report'!A:Z,24,FALSE),"")</f>
        <v/>
      </c>
      <c r="AJ11" s="52" t="str">
        <f>_xlfn.IFNA(VLOOKUP(U11,'Incoming Material Report'!A:Z,25,FALSE),"")</f>
        <v/>
      </c>
      <c r="AK11" s="52" t="str">
        <f>_xlfn.IFNA(VLOOKUP(U11,'Incoming Material Report'!A:Z,26,FALSE),"")</f>
        <v/>
      </c>
      <c r="AL11" s="52" t="str">
        <f>_xlfn.IFNA(VLOOKUP(U11,'Incoming Material Report'!A:Z,2,FALSE),"")</f>
        <v/>
      </c>
      <c r="AM11" s="52" t="str">
        <f>_xlfn.IFNA(VLOOKUP(U11,'Incoming Material Report'!A:K,11,FALSE)/1000,"")</f>
        <v/>
      </c>
      <c r="AO11" s="52" t="str">
        <f>_xlfn.IFNA(VLOOKUP(U11,'Incoming Material Report'!A:R,18,FALSE)*1000,"")</f>
        <v/>
      </c>
      <c r="AQ11" s="52" t="str">
        <f>_xlfn.IFNA(TEXT(VLOOKUP(U11,'Incoming Material Report'!A:D,4,FALSE),"dd.mm.yy"),"")</f>
        <v/>
      </c>
      <c r="AR11" s="52" t="str">
        <f>_xlfn.IFNA(VLOOKUP(U11,'Incoming Material Report'!A:Z,5,FALSE),"")</f>
        <v/>
      </c>
      <c r="AT11" s="52" t="str">
        <f>IF(OR(_xlfn.IFNA(VLOOKUP(U11,'Incoming Material Report'!A:Z,6,FALSE),"")="NSC",_xlfn.IFNA(VLOOKUP(U11,'Incoming Material Report'!A:Z,6,FALSE),"")="NSSMC"),"NSC","")</f>
        <v/>
      </c>
      <c r="AU11" s="52" t="str">
        <f>_xlfn.IFNA(VLOOKUP(U11,'Incoming Material Report'!A:Z,8,FALSE),"")</f>
        <v/>
      </c>
      <c r="AZ11" s="52" t="str">
        <f>_xlfn.IFNA(VLOOKUP(U11,'GRPO Wiz'!AP:BT,17,FALSE),"")</f>
        <v/>
      </c>
      <c r="BA11" s="52" t="str">
        <f>_xlfn.IFNA(VLOOKUP(U11,'GRPO Wiz'!AP:BT,18,FALSE),"")</f>
        <v/>
      </c>
      <c r="BB11" s="52" t="str">
        <f>_xlfn.IFNA(VLOOKUP(U11,'GRPO Wiz'!AP:BT,19,FALSE),"")</f>
        <v/>
      </c>
      <c r="BC11" s="52" t="str">
        <f>_xlfn.IFNA(VLOOKUP(U11,'GRPO Wiz'!AP:BT,20,FALSE),"")</f>
        <v/>
      </c>
      <c r="BD11" s="52" t="str">
        <f>_xlfn.IFNA(VLOOKUP(U11,'GRPO Wiz'!AP:BT,21,FALSE),"")</f>
        <v/>
      </c>
      <c r="BE11" s="52" t="str">
        <f>_xlfn.IFNA(LEFT((VLOOKUP(U11,'GRPO Wiz'!AP:BT,22,FALSE)),8),"")</f>
        <v/>
      </c>
      <c r="BF11" s="52" t="str">
        <f>_xlfn.IFNA(VLOOKUP(U11,'GRPO Wiz'!AP:BT,26,FALSE),"")</f>
        <v/>
      </c>
      <c r="BG11" s="57" t="str">
        <f>_xlfn.IFNA(VLOOKUP(U11,'GRPO Wiz'!AP:BQ,28,FALSE),"")</f>
        <v/>
      </c>
      <c r="BH11" s="52" t="str">
        <f>_xlfn.IFNA(VLOOKUP(U11,'GRPO Wiz'!AP:BN,25,FALSE),"")</f>
        <v/>
      </c>
      <c r="BI11" s="52" t="str">
        <f>_xlfn.IFNA(VLOOKUP(U11,'GRPO Wiz'!AP:BT,31,FALSE),"")</f>
        <v/>
      </c>
      <c r="BJ11" s="52" t="str">
        <f>_xlfn.IFNA(VLOOKUP(U11,'GRPO Wiz'!AP:BZ,32,FALSE),"")</f>
        <v/>
      </c>
      <c r="BK11" s="52" t="str">
        <f>_xlfn.IFNA(VLOOKUP(U11,'GRPO Wiz'!AP:BZ,27,FALSE),"")</f>
        <v/>
      </c>
      <c r="BL11" s="52" t="str">
        <f>_xlfn.IFNA(VALUE(VLOOKUP(U11,'GRPO Wiz'!AP:BZ,29,FALSE)),"")</f>
        <v/>
      </c>
      <c r="BM11" s="52" t="str">
        <f>IF(OR(_xlfn.IFNA(VLOOKUP(U11,'GRPO Wiz'!AP:BZ,33,FALSE),"")="NSC",_xlfn.IFNA(VLOOKUP(U11,'GRPO Wiz'!AP:BZ,33,FALSE),"")="NSSMC"),"NSC","")</f>
        <v/>
      </c>
      <c r="BX11" s="52" t="str">
        <f t="shared" si="17"/>
        <v/>
      </c>
      <c r="BY11" s="52" t="str">
        <f>_xlfn.IFNA(VLOOKUP(BX11&amp;H11,AP!IP:IQ,2,FALSE),"")</f>
        <v/>
      </c>
      <c r="BZ11" s="53" t="str">
        <f t="shared" si="18"/>
        <v/>
      </c>
      <c r="CA11" s="53"/>
      <c r="CD11" s="52" t="str">
        <f>_xlfn.IFNA((VLOOKUP(BX11&amp;H11,AP!IP:IS,4,FALSE)),"")</f>
        <v/>
      </c>
      <c r="CW11" s="52">
        <v>10</v>
      </c>
      <c r="DT11" s="52" t="str">
        <f t="shared" si="1"/>
        <v/>
      </c>
      <c r="DU11" s="52" t="str">
        <f t="shared" si="2"/>
        <v/>
      </c>
      <c r="DV11" s="52" t="str">
        <f t="shared" si="3"/>
        <v/>
      </c>
      <c r="DW11" s="52" t="str">
        <f t="shared" si="4"/>
        <v/>
      </c>
      <c r="DX11" s="52" t="str">
        <f t="shared" si="5"/>
        <v/>
      </c>
      <c r="DY11" s="52" t="str">
        <f t="shared" si="6"/>
        <v/>
      </c>
      <c r="DZ11" s="52" t="str">
        <f t="shared" si="7"/>
        <v/>
      </c>
      <c r="EB11" s="52" t="str">
        <f t="shared" si="8"/>
        <v/>
      </c>
      <c r="EC11" s="52" t="str">
        <f t="shared" si="9"/>
        <v/>
      </c>
      <c r="ED11" s="52" t="str">
        <f t="shared" si="10"/>
        <v/>
      </c>
      <c r="EE11" s="52" t="str">
        <f t="shared" si="11"/>
        <v/>
      </c>
      <c r="EF11" s="52" t="str">
        <f t="shared" si="12"/>
        <v/>
      </c>
      <c r="EG11" s="52" t="str">
        <f t="shared" si="13"/>
        <v/>
      </c>
    </row>
    <row r="12" spans="1:181" ht="26.25" customHeight="1" x14ac:dyDescent="0.25">
      <c r="J12" s="52" t="str">
        <f t="shared" si="14"/>
        <v/>
      </c>
      <c r="K12" s="52" t="str">
        <f>IF(O12="","",VLOOKUP(U12,Data!O:AC,15,FALSE)/G12)</f>
        <v/>
      </c>
      <c r="X12" s="52" t="str">
        <f t="shared" si="15"/>
        <v/>
      </c>
      <c r="Z12" s="52">
        <f t="shared" si="16"/>
        <v>0</v>
      </c>
      <c r="AG12" s="52" t="str">
        <f>_xlfn.IFNA(VLOOKUP(U12,'Incoming Material Report'!A:M,13,FALSE),"")</f>
        <v/>
      </c>
      <c r="AH12" s="52" t="str">
        <f>_xlfn.IFNA(IF(VLOOKUP(U12,'Incoming Material Report'!A:N,14,FALSE)="","",VLOOKUP(U12,'Incoming Material Report'!A:N,14,FALSE)),"")</f>
        <v/>
      </c>
      <c r="AI12" s="52" t="str">
        <f>_xlfn.IFNA(VLOOKUP(U12,'Incoming Material Report'!A:Z,24,FALSE),"")</f>
        <v/>
      </c>
      <c r="AJ12" s="52" t="str">
        <f>_xlfn.IFNA(VLOOKUP(U12,'Incoming Material Report'!A:Z,25,FALSE),"")</f>
        <v/>
      </c>
      <c r="AK12" s="52" t="str">
        <f>_xlfn.IFNA(VLOOKUP(U12,'Incoming Material Report'!A:Z,26,FALSE),"")</f>
        <v/>
      </c>
      <c r="AL12" s="52" t="str">
        <f>_xlfn.IFNA(VLOOKUP(U12,'Incoming Material Report'!A:Z,2,FALSE),"")</f>
        <v/>
      </c>
      <c r="AM12" s="52" t="str">
        <f>_xlfn.IFNA(VLOOKUP(U12,'Incoming Material Report'!A:K,11,FALSE)/1000,"")</f>
        <v/>
      </c>
      <c r="AO12" s="52" t="str">
        <f>_xlfn.IFNA(VLOOKUP(U12,'Incoming Material Report'!A:R,18,FALSE)*1000,"")</f>
        <v/>
      </c>
      <c r="AQ12" s="52" t="str">
        <f>_xlfn.IFNA(TEXT(VLOOKUP(U12,'Incoming Material Report'!A:D,4,FALSE),"dd.mm.yy"),"")</f>
        <v/>
      </c>
      <c r="AR12" s="52" t="str">
        <f>_xlfn.IFNA(VLOOKUP(U12,'Incoming Material Report'!A:Z,5,FALSE),"")</f>
        <v/>
      </c>
      <c r="AT12" s="52" t="str">
        <f>IF(OR(_xlfn.IFNA(VLOOKUP(U12,'Incoming Material Report'!A:Z,6,FALSE),"")="NSC",_xlfn.IFNA(VLOOKUP(U12,'Incoming Material Report'!A:Z,6,FALSE),"")="NSSMC"),"NSC","")</f>
        <v/>
      </c>
      <c r="AU12" s="52" t="str">
        <f>_xlfn.IFNA(VLOOKUP(U12,'Incoming Material Report'!A:Z,8,FALSE),"")</f>
        <v/>
      </c>
      <c r="AZ12" s="52" t="str">
        <f>_xlfn.IFNA(VLOOKUP(U12,'GRPO Wiz'!AP:BT,17,FALSE),"")</f>
        <v/>
      </c>
      <c r="BA12" s="52" t="str">
        <f>_xlfn.IFNA(VLOOKUP(U12,'GRPO Wiz'!AP:BT,18,FALSE),"")</f>
        <v/>
      </c>
      <c r="BB12" s="52" t="str">
        <f>_xlfn.IFNA(VLOOKUP(U12,'GRPO Wiz'!AP:BT,19,FALSE),"")</f>
        <v/>
      </c>
      <c r="BC12" s="52" t="str">
        <f>_xlfn.IFNA(VLOOKUP(U12,'GRPO Wiz'!AP:BT,20,FALSE),"")</f>
        <v/>
      </c>
      <c r="BD12" s="52" t="str">
        <f>_xlfn.IFNA(VLOOKUP(U12,'GRPO Wiz'!AP:BT,21,FALSE),"")</f>
        <v/>
      </c>
      <c r="BE12" s="52" t="str">
        <f>_xlfn.IFNA(LEFT((VLOOKUP(U12,'GRPO Wiz'!AP:BT,22,FALSE)),8),"")</f>
        <v/>
      </c>
      <c r="BF12" s="52" t="str">
        <f>_xlfn.IFNA(VLOOKUP(U12,'GRPO Wiz'!AP:BT,26,FALSE),"")</f>
        <v/>
      </c>
      <c r="BG12" s="57" t="str">
        <f>_xlfn.IFNA(VLOOKUP(U12,'GRPO Wiz'!AP:BQ,28,FALSE),"")</f>
        <v/>
      </c>
      <c r="BH12" s="52" t="str">
        <f>_xlfn.IFNA(VLOOKUP(U12,'GRPO Wiz'!AP:BN,25,FALSE),"")</f>
        <v/>
      </c>
      <c r="BI12" s="52" t="str">
        <f>_xlfn.IFNA(VLOOKUP(U12,'GRPO Wiz'!AP:BT,31,FALSE),"")</f>
        <v/>
      </c>
      <c r="BJ12" s="52" t="str">
        <f>_xlfn.IFNA(VLOOKUP(U12,'GRPO Wiz'!AP:BZ,32,FALSE),"")</f>
        <v/>
      </c>
      <c r="BK12" s="52" t="str">
        <f>_xlfn.IFNA(VLOOKUP(U12,'GRPO Wiz'!AP:BZ,27,FALSE),"")</f>
        <v/>
      </c>
      <c r="BL12" s="52" t="str">
        <f>_xlfn.IFNA(VALUE(VLOOKUP(U12,'GRPO Wiz'!AP:BZ,29,FALSE)),"")</f>
        <v/>
      </c>
      <c r="BM12" s="52" t="str">
        <f>IF(OR(_xlfn.IFNA(VLOOKUP(U12,'GRPO Wiz'!AP:BZ,33,FALSE),"")="NSC",_xlfn.IFNA(VLOOKUP(U12,'GRPO Wiz'!AP:BZ,33,FALSE),"")="NSSMC"),"NSC","")</f>
        <v/>
      </c>
      <c r="BX12" s="52" t="str">
        <f t="shared" si="17"/>
        <v/>
      </c>
      <c r="BY12" s="52" t="str">
        <f>_xlfn.IFNA(VLOOKUP(BX12&amp;H12,AP!IP:IQ,2,FALSE),"")</f>
        <v/>
      </c>
      <c r="BZ12" s="53" t="str">
        <f t="shared" si="18"/>
        <v/>
      </c>
      <c r="CA12" s="53"/>
      <c r="CD12" s="52" t="str">
        <f>_xlfn.IFNA((VLOOKUP(BX12&amp;H12,AP!IP:IS,4,FALSE)),"")</f>
        <v/>
      </c>
      <c r="CW12" s="52">
        <v>11</v>
      </c>
      <c r="DT12" s="52" t="str">
        <f t="shared" si="1"/>
        <v/>
      </c>
      <c r="DU12" s="52" t="str">
        <f t="shared" si="2"/>
        <v/>
      </c>
      <c r="DV12" s="52" t="str">
        <f t="shared" si="3"/>
        <v/>
      </c>
      <c r="DW12" s="52" t="str">
        <f t="shared" si="4"/>
        <v/>
      </c>
      <c r="DX12" s="52" t="str">
        <f t="shared" si="5"/>
        <v/>
      </c>
      <c r="DY12" s="52" t="str">
        <f t="shared" si="6"/>
        <v/>
      </c>
      <c r="DZ12" s="52" t="str">
        <f t="shared" si="7"/>
        <v/>
      </c>
      <c r="EB12" s="52" t="str">
        <f t="shared" si="8"/>
        <v/>
      </c>
      <c r="EC12" s="52" t="str">
        <f t="shared" si="9"/>
        <v/>
      </c>
      <c r="ED12" s="52" t="str">
        <f t="shared" si="10"/>
        <v/>
      </c>
      <c r="EE12" s="52" t="str">
        <f t="shared" si="11"/>
        <v/>
      </c>
      <c r="EF12" s="52" t="str">
        <f t="shared" si="12"/>
        <v/>
      </c>
      <c r="EG12" s="52" t="str">
        <f t="shared" si="13"/>
        <v/>
      </c>
    </row>
    <row r="13" spans="1:181" ht="26.25" customHeight="1" x14ac:dyDescent="0.25">
      <c r="J13" s="52" t="str">
        <f t="shared" si="14"/>
        <v/>
      </c>
      <c r="K13" s="52" t="str">
        <f>IF(O13="","",VLOOKUP(U13,Data!O:AC,15,FALSE)/G13)</f>
        <v/>
      </c>
      <c r="X13" s="52" t="str">
        <f t="shared" si="15"/>
        <v/>
      </c>
      <c r="Z13" s="52">
        <f t="shared" si="16"/>
        <v>0</v>
      </c>
      <c r="AG13" s="52" t="str">
        <f>_xlfn.IFNA(VLOOKUP(U13,'Incoming Material Report'!A:M,13,FALSE),"")</f>
        <v/>
      </c>
      <c r="AH13" s="52" t="str">
        <f>_xlfn.IFNA(IF(VLOOKUP(U13,'Incoming Material Report'!A:N,14,FALSE)="","",VLOOKUP(U13,'Incoming Material Report'!A:N,14,FALSE)),"")</f>
        <v/>
      </c>
      <c r="AI13" s="52" t="str">
        <f>_xlfn.IFNA(VLOOKUP(U13,'Incoming Material Report'!A:Z,24,FALSE),"")</f>
        <v/>
      </c>
      <c r="AJ13" s="52" t="str">
        <f>_xlfn.IFNA(VLOOKUP(U13,'Incoming Material Report'!A:Z,25,FALSE),"")</f>
        <v/>
      </c>
      <c r="AK13" s="52" t="str">
        <f>_xlfn.IFNA(VLOOKUP(U13,'Incoming Material Report'!A:Z,26,FALSE),"")</f>
        <v/>
      </c>
      <c r="AL13" s="52" t="str">
        <f>_xlfn.IFNA(VLOOKUP(U13,'Incoming Material Report'!A:Z,2,FALSE),"")</f>
        <v/>
      </c>
      <c r="AM13" s="52" t="str">
        <f>_xlfn.IFNA(VLOOKUP(U13,'Incoming Material Report'!A:K,11,FALSE)/1000,"")</f>
        <v/>
      </c>
      <c r="AO13" s="52" t="str">
        <f>_xlfn.IFNA(VLOOKUP(U13,'Incoming Material Report'!A:R,18,FALSE)*1000,"")</f>
        <v/>
      </c>
      <c r="AQ13" s="52" t="str">
        <f>_xlfn.IFNA(TEXT(VLOOKUP(U13,'Incoming Material Report'!A:D,4,FALSE),"dd.mm.yy"),"")</f>
        <v/>
      </c>
      <c r="AR13" s="52" t="str">
        <f>_xlfn.IFNA(VLOOKUP(U13,'Incoming Material Report'!A:Z,5,FALSE),"")</f>
        <v/>
      </c>
      <c r="AT13" s="52" t="str">
        <f>IF(OR(_xlfn.IFNA(VLOOKUP(U13,'Incoming Material Report'!A:Z,6,FALSE),"")="NSC",_xlfn.IFNA(VLOOKUP(U13,'Incoming Material Report'!A:Z,6,FALSE),"")="NSSMC"),"NSC","")</f>
        <v/>
      </c>
      <c r="AU13" s="52" t="str">
        <f>_xlfn.IFNA(VLOOKUP(U13,'Incoming Material Report'!A:Z,8,FALSE),"")</f>
        <v/>
      </c>
      <c r="AZ13" s="52" t="str">
        <f>_xlfn.IFNA(VLOOKUP(U13,'GRPO Wiz'!AP:BT,17,FALSE),"")</f>
        <v/>
      </c>
      <c r="BA13" s="52" t="str">
        <f>_xlfn.IFNA(VLOOKUP(U13,'GRPO Wiz'!AP:BT,18,FALSE),"")</f>
        <v/>
      </c>
      <c r="BB13" s="52" t="str">
        <f>_xlfn.IFNA(VLOOKUP(U13,'GRPO Wiz'!AP:BT,19,FALSE),"")</f>
        <v/>
      </c>
      <c r="BC13" s="52" t="str">
        <f>_xlfn.IFNA(VLOOKUP(U13,'GRPO Wiz'!AP:BT,20,FALSE),"")</f>
        <v/>
      </c>
      <c r="BD13" s="52" t="str">
        <f>_xlfn.IFNA(VLOOKUP(U13,'GRPO Wiz'!AP:BT,21,FALSE),"")</f>
        <v/>
      </c>
      <c r="BE13" s="52" t="str">
        <f>_xlfn.IFNA(LEFT((VLOOKUP(U13,'GRPO Wiz'!AP:BT,22,FALSE)),8),"")</f>
        <v/>
      </c>
      <c r="BF13" s="52" t="str">
        <f>_xlfn.IFNA(VLOOKUP(U13,'GRPO Wiz'!AP:BT,26,FALSE),"")</f>
        <v/>
      </c>
      <c r="BG13" s="57" t="str">
        <f>_xlfn.IFNA(VLOOKUP(U13,'GRPO Wiz'!AP:BQ,28,FALSE),"")</f>
        <v/>
      </c>
      <c r="BH13" s="52" t="str">
        <f>_xlfn.IFNA(VLOOKUP(U13,'GRPO Wiz'!AP:BN,25,FALSE),"")</f>
        <v/>
      </c>
      <c r="BI13" s="52" t="str">
        <f>_xlfn.IFNA(VLOOKUP(U13,'GRPO Wiz'!AP:BT,31,FALSE),"")</f>
        <v/>
      </c>
      <c r="BJ13" s="52" t="str">
        <f>_xlfn.IFNA(VLOOKUP(U13,'GRPO Wiz'!AP:BZ,32,FALSE),"")</f>
        <v/>
      </c>
      <c r="BK13" s="52" t="str">
        <f>_xlfn.IFNA(VLOOKUP(U13,'GRPO Wiz'!AP:BZ,27,FALSE),"")</f>
        <v/>
      </c>
      <c r="BL13" s="52" t="str">
        <f>_xlfn.IFNA(VALUE(VLOOKUP(U13,'GRPO Wiz'!AP:BZ,29,FALSE)),"")</f>
        <v/>
      </c>
      <c r="BM13" s="52" t="str">
        <f>IF(OR(_xlfn.IFNA(VLOOKUP(U13,'GRPO Wiz'!AP:BZ,33,FALSE),"")="NSC",_xlfn.IFNA(VLOOKUP(U13,'GRPO Wiz'!AP:BZ,33,FALSE),"")="NSSMC"),"NSC","")</f>
        <v/>
      </c>
      <c r="BX13" s="52" t="str">
        <f t="shared" si="17"/>
        <v/>
      </c>
      <c r="BY13" s="52" t="str">
        <f>_xlfn.IFNA(VLOOKUP(BX13&amp;H13,AP!IP:IQ,2,FALSE),"")</f>
        <v/>
      </c>
      <c r="BZ13" s="53" t="str">
        <f t="shared" si="18"/>
        <v/>
      </c>
      <c r="CA13" s="53"/>
      <c r="CD13" s="52" t="str">
        <f>_xlfn.IFNA((VLOOKUP(BX13&amp;H13,AP!IP:IS,4,FALSE)),"")</f>
        <v/>
      </c>
      <c r="CW13" s="52">
        <v>12</v>
      </c>
      <c r="DT13" s="52" t="str">
        <f t="shared" si="1"/>
        <v/>
      </c>
      <c r="DU13" s="52" t="str">
        <f t="shared" si="2"/>
        <v/>
      </c>
      <c r="DV13" s="52" t="str">
        <f t="shared" si="3"/>
        <v/>
      </c>
      <c r="DW13" s="52" t="str">
        <f t="shared" si="4"/>
        <v/>
      </c>
      <c r="DX13" s="52" t="str">
        <f t="shared" si="5"/>
        <v/>
      </c>
      <c r="DY13" s="52" t="str">
        <f t="shared" si="6"/>
        <v/>
      </c>
      <c r="DZ13" s="52" t="str">
        <f t="shared" si="7"/>
        <v/>
      </c>
      <c r="EB13" s="52" t="str">
        <f t="shared" si="8"/>
        <v/>
      </c>
      <c r="EC13" s="52" t="str">
        <f t="shared" si="9"/>
        <v/>
      </c>
      <c r="ED13" s="52" t="str">
        <f t="shared" si="10"/>
        <v/>
      </c>
      <c r="EE13" s="52" t="str">
        <f t="shared" si="11"/>
        <v/>
      </c>
      <c r="EF13" s="52" t="str">
        <f t="shared" si="12"/>
        <v/>
      </c>
      <c r="EG13" s="52" t="str">
        <f t="shared" si="13"/>
        <v/>
      </c>
    </row>
    <row r="14" spans="1:181" ht="26.25" customHeight="1" x14ac:dyDescent="0.25">
      <c r="J14" s="52" t="str">
        <f t="shared" si="14"/>
        <v/>
      </c>
      <c r="K14" s="52" t="str">
        <f>IF(O14="","",VLOOKUP(U14,Data!O:AC,15,FALSE)/G14)</f>
        <v/>
      </c>
      <c r="X14" s="52" t="str">
        <f t="shared" si="15"/>
        <v/>
      </c>
      <c r="Z14" s="52">
        <f t="shared" si="16"/>
        <v>0</v>
      </c>
      <c r="AG14" s="52" t="str">
        <f>_xlfn.IFNA(VLOOKUP(U14,'Incoming Material Report'!A:M,13,FALSE),"")</f>
        <v/>
      </c>
      <c r="AH14" s="52" t="str">
        <f>_xlfn.IFNA(IF(VLOOKUP(U14,'Incoming Material Report'!A:N,14,FALSE)="","",VLOOKUP(U14,'Incoming Material Report'!A:N,14,FALSE)),"")</f>
        <v/>
      </c>
      <c r="AI14" s="52" t="str">
        <f>_xlfn.IFNA(VLOOKUP(U14,'Incoming Material Report'!A:Z,24,FALSE),"")</f>
        <v/>
      </c>
      <c r="AJ14" s="52" t="str">
        <f>_xlfn.IFNA(VLOOKUP(U14,'Incoming Material Report'!A:Z,25,FALSE),"")</f>
        <v/>
      </c>
      <c r="AK14" s="52" t="str">
        <f>_xlfn.IFNA(VLOOKUP(U14,'Incoming Material Report'!A:Z,26,FALSE),"")</f>
        <v/>
      </c>
      <c r="AL14" s="52" t="str">
        <f>_xlfn.IFNA(VLOOKUP(U14,'Incoming Material Report'!A:Z,2,FALSE),"")</f>
        <v/>
      </c>
      <c r="AM14" s="52" t="str">
        <f>_xlfn.IFNA(VLOOKUP(U14,'Incoming Material Report'!A:K,11,FALSE)/1000,"")</f>
        <v/>
      </c>
      <c r="AO14" s="52" t="str">
        <f>_xlfn.IFNA(VLOOKUP(U14,'Incoming Material Report'!A:R,18,FALSE)*1000,"")</f>
        <v/>
      </c>
      <c r="AQ14" s="52" t="str">
        <f>_xlfn.IFNA(TEXT(VLOOKUP(U14,'Incoming Material Report'!A:D,4,FALSE),"dd.mm.yy"),"")</f>
        <v/>
      </c>
      <c r="AR14" s="52" t="str">
        <f>_xlfn.IFNA(VLOOKUP(U14,'Incoming Material Report'!A:Z,5,FALSE),"")</f>
        <v/>
      </c>
      <c r="AT14" s="52" t="str">
        <f>IF(OR(_xlfn.IFNA(VLOOKUP(U14,'Incoming Material Report'!A:Z,6,FALSE),"")="NSC",_xlfn.IFNA(VLOOKUP(U14,'Incoming Material Report'!A:Z,6,FALSE),"")="NSSMC"),"NSC","")</f>
        <v/>
      </c>
      <c r="AU14" s="52" t="str">
        <f>_xlfn.IFNA(VLOOKUP(U14,'Incoming Material Report'!A:Z,8,FALSE),"")</f>
        <v/>
      </c>
      <c r="AZ14" s="52" t="str">
        <f>_xlfn.IFNA(VLOOKUP(U14,'GRPO Wiz'!AP:BT,17,FALSE),"")</f>
        <v/>
      </c>
      <c r="BA14" s="52" t="str">
        <f>_xlfn.IFNA(VLOOKUP(U14,'GRPO Wiz'!AP:BT,18,FALSE),"")</f>
        <v/>
      </c>
      <c r="BB14" s="52" t="str">
        <f>_xlfn.IFNA(VLOOKUP(U14,'GRPO Wiz'!AP:BT,19,FALSE),"")</f>
        <v/>
      </c>
      <c r="BC14" s="52" t="str">
        <f>_xlfn.IFNA(VLOOKUP(U14,'GRPO Wiz'!AP:BT,20,FALSE),"")</f>
        <v/>
      </c>
      <c r="BD14" s="52" t="str">
        <f>_xlfn.IFNA(VLOOKUP(U14,'GRPO Wiz'!AP:BT,21,FALSE),"")</f>
        <v/>
      </c>
      <c r="BE14" s="52" t="str">
        <f>_xlfn.IFNA(LEFT((VLOOKUP(U14,'GRPO Wiz'!AP:BT,22,FALSE)),8),"")</f>
        <v/>
      </c>
      <c r="BF14" s="52" t="str">
        <f>_xlfn.IFNA(VLOOKUP(U14,'GRPO Wiz'!AP:BT,26,FALSE),"")</f>
        <v/>
      </c>
      <c r="BG14" s="57" t="str">
        <f>_xlfn.IFNA(VLOOKUP(U14,'GRPO Wiz'!AP:BQ,28,FALSE),"")</f>
        <v/>
      </c>
      <c r="BH14" s="52" t="str">
        <f>_xlfn.IFNA(VLOOKUP(U14,'GRPO Wiz'!AP:BN,25,FALSE),"")</f>
        <v/>
      </c>
      <c r="BI14" s="52" t="str">
        <f>_xlfn.IFNA(VLOOKUP(U14,'GRPO Wiz'!AP:BT,31,FALSE),"")</f>
        <v/>
      </c>
      <c r="BJ14" s="52" t="str">
        <f>_xlfn.IFNA(VLOOKUP(U14,'GRPO Wiz'!AP:BZ,32,FALSE),"")</f>
        <v/>
      </c>
      <c r="BK14" s="52" t="str">
        <f>_xlfn.IFNA(VLOOKUP(U14,'GRPO Wiz'!AP:BZ,27,FALSE),"")</f>
        <v/>
      </c>
      <c r="BL14" s="52" t="str">
        <f>_xlfn.IFNA(VALUE(VLOOKUP(U14,'GRPO Wiz'!AP:BZ,29,FALSE)),"")</f>
        <v/>
      </c>
      <c r="BM14" s="52" t="str">
        <f>IF(OR(_xlfn.IFNA(VLOOKUP(U14,'GRPO Wiz'!AP:BZ,33,FALSE),"")="NSC",_xlfn.IFNA(VLOOKUP(U14,'GRPO Wiz'!AP:BZ,33,FALSE),"")="NSSMC"),"NSC","")</f>
        <v/>
      </c>
      <c r="BX14" s="52" t="str">
        <f t="shared" si="17"/>
        <v/>
      </c>
      <c r="BY14" s="52" t="str">
        <f>_xlfn.IFNA(VLOOKUP(BX14&amp;H14,AP!IP:IQ,2,FALSE),"")</f>
        <v/>
      </c>
      <c r="BZ14" s="53" t="str">
        <f t="shared" si="18"/>
        <v/>
      </c>
      <c r="CA14" s="53"/>
      <c r="CD14" s="52" t="str">
        <f>_xlfn.IFNA((VLOOKUP(BX14&amp;H14,AP!IP:IS,4,FALSE)),"")</f>
        <v/>
      </c>
      <c r="CW14" s="52">
        <v>13</v>
      </c>
      <c r="DT14" s="52" t="str">
        <f t="shared" si="1"/>
        <v/>
      </c>
      <c r="DU14" s="52" t="str">
        <f t="shared" si="2"/>
        <v/>
      </c>
      <c r="DV14" s="52" t="str">
        <f t="shared" si="3"/>
        <v/>
      </c>
      <c r="DW14" s="52" t="str">
        <f t="shared" si="4"/>
        <v/>
      </c>
      <c r="DX14" s="52" t="str">
        <f t="shared" si="5"/>
        <v/>
      </c>
      <c r="DY14" s="52" t="str">
        <f t="shared" si="6"/>
        <v/>
      </c>
      <c r="DZ14" s="52" t="str">
        <f t="shared" si="7"/>
        <v/>
      </c>
      <c r="EB14" s="52" t="str">
        <f t="shared" si="8"/>
        <v/>
      </c>
      <c r="EC14" s="52" t="str">
        <f t="shared" si="9"/>
        <v/>
      </c>
      <c r="ED14" s="52" t="str">
        <f t="shared" si="10"/>
        <v/>
      </c>
      <c r="EE14" s="52" t="str">
        <f t="shared" si="11"/>
        <v/>
      </c>
      <c r="EF14" s="52" t="str">
        <f t="shared" si="12"/>
        <v/>
      </c>
      <c r="EG14" s="52" t="str">
        <f t="shared" si="13"/>
        <v/>
      </c>
    </row>
    <row r="15" spans="1:181" ht="26.25" customHeight="1" x14ac:dyDescent="0.25">
      <c r="J15" s="52" t="str">
        <f t="shared" si="14"/>
        <v/>
      </c>
      <c r="K15" s="52" t="str">
        <f>IF(O15="","",VLOOKUP(U15,Data!O:AC,15,FALSE)/G15)</f>
        <v/>
      </c>
      <c r="X15" s="52" t="str">
        <f t="shared" si="15"/>
        <v/>
      </c>
      <c r="Z15" s="52">
        <f t="shared" si="16"/>
        <v>0</v>
      </c>
      <c r="AG15" s="52" t="str">
        <f>_xlfn.IFNA(VLOOKUP(U15,'Incoming Material Report'!A:M,13,FALSE),"")</f>
        <v/>
      </c>
      <c r="AH15" s="52" t="str">
        <f>_xlfn.IFNA(IF(VLOOKUP(U15,'Incoming Material Report'!A:N,14,FALSE)="","",VLOOKUP(U15,'Incoming Material Report'!A:N,14,FALSE)),"")</f>
        <v/>
      </c>
      <c r="AI15" s="52" t="str">
        <f>_xlfn.IFNA(VLOOKUP(U15,'Incoming Material Report'!A:Z,24,FALSE),"")</f>
        <v/>
      </c>
      <c r="AJ15" s="52" t="str">
        <f>_xlfn.IFNA(VLOOKUP(U15,'Incoming Material Report'!A:Z,25,FALSE),"")</f>
        <v/>
      </c>
      <c r="AK15" s="52" t="str">
        <f>_xlfn.IFNA(VLOOKUP(U15,'Incoming Material Report'!A:Z,26,FALSE),"")</f>
        <v/>
      </c>
      <c r="AL15" s="52" t="str">
        <f>_xlfn.IFNA(VLOOKUP(U15,'Incoming Material Report'!A:Z,2,FALSE),"")</f>
        <v/>
      </c>
      <c r="AM15" s="52" t="str">
        <f>_xlfn.IFNA(VLOOKUP(U15,'Incoming Material Report'!A:K,11,FALSE)/1000,"")</f>
        <v/>
      </c>
      <c r="AO15" s="52" t="str">
        <f>_xlfn.IFNA(VLOOKUP(U15,'Incoming Material Report'!A:R,18,FALSE)*1000,"")</f>
        <v/>
      </c>
      <c r="AQ15" s="52" t="str">
        <f>_xlfn.IFNA(TEXT(VLOOKUP(U15,'Incoming Material Report'!A:D,4,FALSE),"dd.mm.yy"),"")</f>
        <v/>
      </c>
      <c r="AR15" s="52" t="str">
        <f>_xlfn.IFNA(VLOOKUP(U15,'Incoming Material Report'!A:Z,5,FALSE),"")</f>
        <v/>
      </c>
      <c r="AT15" s="52" t="str">
        <f>IF(OR(_xlfn.IFNA(VLOOKUP(U15,'Incoming Material Report'!A:Z,6,FALSE),"")="NSC",_xlfn.IFNA(VLOOKUP(U15,'Incoming Material Report'!A:Z,6,FALSE),"")="NSSMC"),"NSC","")</f>
        <v/>
      </c>
      <c r="AU15" s="52" t="str">
        <f>_xlfn.IFNA(VLOOKUP(U15,'Incoming Material Report'!A:Z,8,FALSE),"")</f>
        <v/>
      </c>
      <c r="AZ15" s="52" t="str">
        <f>_xlfn.IFNA(VLOOKUP(U15,'GRPO Wiz'!AP:BT,17,FALSE),"")</f>
        <v/>
      </c>
      <c r="BA15" s="52" t="str">
        <f>_xlfn.IFNA(VLOOKUP(U15,'GRPO Wiz'!AP:BT,18,FALSE),"")</f>
        <v/>
      </c>
      <c r="BB15" s="52" t="str">
        <f>_xlfn.IFNA(VLOOKUP(U15,'GRPO Wiz'!AP:BT,19,FALSE),"")</f>
        <v/>
      </c>
      <c r="BC15" s="52" t="str">
        <f>_xlfn.IFNA(VLOOKUP(U15,'GRPO Wiz'!AP:BT,20,FALSE),"")</f>
        <v/>
      </c>
      <c r="BD15" s="52" t="str">
        <f>_xlfn.IFNA(VLOOKUP(U15,'GRPO Wiz'!AP:BT,21,FALSE),"")</f>
        <v/>
      </c>
      <c r="BE15" s="52" t="str">
        <f>_xlfn.IFNA(LEFT((VLOOKUP(U15,'GRPO Wiz'!AP:BT,22,FALSE)),8),"")</f>
        <v/>
      </c>
      <c r="BF15" s="52" t="str">
        <f>_xlfn.IFNA(VLOOKUP(U15,'GRPO Wiz'!AP:BT,26,FALSE),"")</f>
        <v/>
      </c>
      <c r="BG15" s="57" t="str">
        <f>_xlfn.IFNA(VLOOKUP(U15,'GRPO Wiz'!AP:BQ,28,FALSE),"")</f>
        <v/>
      </c>
      <c r="BH15" s="52" t="str">
        <f>_xlfn.IFNA(VLOOKUP(U15,'GRPO Wiz'!AP:BN,25,FALSE),"")</f>
        <v/>
      </c>
      <c r="BI15" s="52" t="str">
        <f>_xlfn.IFNA(VLOOKUP(U15,'GRPO Wiz'!AP:BT,31,FALSE),"")</f>
        <v/>
      </c>
      <c r="BJ15" s="52" t="str">
        <f>_xlfn.IFNA(VLOOKUP(U15,'GRPO Wiz'!AP:BZ,32,FALSE),"")</f>
        <v/>
      </c>
      <c r="BK15" s="52" t="str">
        <f>_xlfn.IFNA(VLOOKUP(U15,'GRPO Wiz'!AP:BZ,27,FALSE),"")</f>
        <v/>
      </c>
      <c r="BL15" s="52" t="str">
        <f>_xlfn.IFNA(VALUE(VLOOKUP(U15,'GRPO Wiz'!AP:BZ,29,FALSE)),"")</f>
        <v/>
      </c>
      <c r="BM15" s="52" t="str">
        <f>IF(OR(_xlfn.IFNA(VLOOKUP(U15,'GRPO Wiz'!AP:BZ,33,FALSE),"")="NSC",_xlfn.IFNA(VLOOKUP(U15,'GRPO Wiz'!AP:BZ,33,FALSE),"")="NSSMC"),"NSC","")</f>
        <v/>
      </c>
      <c r="BX15" s="52" t="str">
        <f t="shared" si="17"/>
        <v/>
      </c>
      <c r="BY15" s="52" t="str">
        <f>_xlfn.IFNA(VLOOKUP(BX15&amp;H15,AP!IP:IQ,2,FALSE),"")</f>
        <v/>
      </c>
      <c r="BZ15" s="53" t="str">
        <f t="shared" si="18"/>
        <v/>
      </c>
      <c r="CA15" s="53"/>
      <c r="CD15" s="52" t="str">
        <f>_xlfn.IFNA((VLOOKUP(BX15&amp;H15,AP!IP:IS,4,FALSE)),"")</f>
        <v/>
      </c>
      <c r="CW15" s="52">
        <v>14</v>
      </c>
      <c r="DT15" s="52" t="str">
        <f t="shared" si="1"/>
        <v/>
      </c>
      <c r="DU15" s="52" t="str">
        <f t="shared" si="2"/>
        <v/>
      </c>
      <c r="DV15" s="52" t="str">
        <f t="shared" si="3"/>
        <v/>
      </c>
      <c r="DW15" s="52" t="str">
        <f t="shared" si="4"/>
        <v/>
      </c>
      <c r="DX15" s="52" t="str">
        <f t="shared" si="5"/>
        <v/>
      </c>
      <c r="DY15" s="52" t="str">
        <f t="shared" si="6"/>
        <v/>
      </c>
      <c r="DZ15" s="52" t="str">
        <f t="shared" si="7"/>
        <v/>
      </c>
      <c r="EB15" s="52" t="str">
        <f t="shared" si="8"/>
        <v/>
      </c>
      <c r="EC15" s="52" t="str">
        <f t="shared" si="9"/>
        <v/>
      </c>
      <c r="ED15" s="52" t="str">
        <f t="shared" si="10"/>
        <v/>
      </c>
      <c r="EE15" s="52" t="str">
        <f t="shared" si="11"/>
        <v/>
      </c>
      <c r="EF15" s="52" t="str">
        <f t="shared" si="12"/>
        <v/>
      </c>
      <c r="EG15" s="52" t="str">
        <f t="shared" si="13"/>
        <v/>
      </c>
    </row>
    <row r="16" spans="1:181" ht="26.25" customHeight="1" x14ac:dyDescent="0.25">
      <c r="J16" s="52" t="str">
        <f t="shared" si="14"/>
        <v/>
      </c>
      <c r="K16" s="52" t="str">
        <f>IF(O16="","",VLOOKUP(U16,Data!O:AC,15,FALSE)/G16)</f>
        <v/>
      </c>
      <c r="X16" s="52" t="str">
        <f t="shared" si="15"/>
        <v/>
      </c>
      <c r="Z16" s="52">
        <f t="shared" si="16"/>
        <v>0</v>
      </c>
      <c r="AG16" s="52" t="str">
        <f>_xlfn.IFNA(VLOOKUP(U16,'Incoming Material Report'!A:M,13,FALSE),"")</f>
        <v/>
      </c>
      <c r="AH16" s="52" t="str">
        <f>_xlfn.IFNA(IF(VLOOKUP(U16,'Incoming Material Report'!A:N,14,FALSE)="","",VLOOKUP(U16,'Incoming Material Report'!A:N,14,FALSE)),"")</f>
        <v/>
      </c>
      <c r="AI16" s="52" t="str">
        <f>_xlfn.IFNA(VLOOKUP(U16,'Incoming Material Report'!A:Z,24,FALSE),"")</f>
        <v/>
      </c>
      <c r="AJ16" s="52" t="str">
        <f>_xlfn.IFNA(VLOOKUP(U16,'Incoming Material Report'!A:Z,25,FALSE),"")</f>
        <v/>
      </c>
      <c r="AK16" s="52" t="str">
        <f>_xlfn.IFNA(VLOOKUP(U16,'Incoming Material Report'!A:Z,26,FALSE),"")</f>
        <v/>
      </c>
      <c r="AL16" s="52" t="str">
        <f>_xlfn.IFNA(VLOOKUP(U16,'Incoming Material Report'!A:Z,2,FALSE),"")</f>
        <v/>
      </c>
      <c r="AM16" s="52" t="str">
        <f>_xlfn.IFNA(VLOOKUP(U16,'Incoming Material Report'!A:K,11,FALSE)/1000,"")</f>
        <v/>
      </c>
      <c r="AO16" s="52" t="str">
        <f>_xlfn.IFNA(VLOOKUP(U16,'Incoming Material Report'!A:R,18,FALSE)*1000,"")</f>
        <v/>
      </c>
      <c r="AQ16" s="52" t="str">
        <f>_xlfn.IFNA(TEXT(VLOOKUP(U16,'Incoming Material Report'!A:D,4,FALSE),"dd.mm.yy"),"")</f>
        <v/>
      </c>
      <c r="AR16" s="52" t="str">
        <f>_xlfn.IFNA(VLOOKUP(U16,'Incoming Material Report'!A:Z,5,FALSE),"")</f>
        <v/>
      </c>
      <c r="AT16" s="52" t="str">
        <f>IF(OR(_xlfn.IFNA(VLOOKUP(U16,'Incoming Material Report'!A:Z,6,FALSE),"")="NSC",_xlfn.IFNA(VLOOKUP(U16,'Incoming Material Report'!A:Z,6,FALSE),"")="NSSMC"),"NSC","")</f>
        <v/>
      </c>
      <c r="AU16" s="52" t="str">
        <f>_xlfn.IFNA(VLOOKUP(U16,'Incoming Material Report'!A:Z,8,FALSE),"")</f>
        <v/>
      </c>
      <c r="AZ16" s="52" t="str">
        <f>_xlfn.IFNA(VLOOKUP(U16,'GRPO Wiz'!AP:BT,17,FALSE),"")</f>
        <v/>
      </c>
      <c r="BA16" s="52" t="str">
        <f>_xlfn.IFNA(VLOOKUP(U16,'GRPO Wiz'!AP:BT,18,FALSE),"")</f>
        <v/>
      </c>
      <c r="BB16" s="52" t="str">
        <f>_xlfn.IFNA(VLOOKUP(U16,'GRPO Wiz'!AP:BT,19,FALSE),"")</f>
        <v/>
      </c>
      <c r="BC16" s="52" t="str">
        <f>_xlfn.IFNA(VLOOKUP(U16,'GRPO Wiz'!AP:BT,20,FALSE),"")</f>
        <v/>
      </c>
      <c r="BD16" s="52" t="str">
        <f>_xlfn.IFNA(VLOOKUP(U16,'GRPO Wiz'!AP:BT,21,FALSE),"")</f>
        <v/>
      </c>
      <c r="BE16" s="52" t="str">
        <f>_xlfn.IFNA(LEFT((VLOOKUP(U16,'GRPO Wiz'!AP:BT,22,FALSE)),8),"")</f>
        <v/>
      </c>
      <c r="BF16" s="52" t="str">
        <f>_xlfn.IFNA(VLOOKUP(U16,'GRPO Wiz'!AP:BT,26,FALSE),"")</f>
        <v/>
      </c>
      <c r="BG16" s="57" t="str">
        <f>_xlfn.IFNA(VLOOKUP(U16,'GRPO Wiz'!AP:BQ,28,FALSE),"")</f>
        <v/>
      </c>
      <c r="BH16" s="52" t="str">
        <f>_xlfn.IFNA(VLOOKUP(U16,'GRPO Wiz'!AP:BN,25,FALSE),"")</f>
        <v/>
      </c>
      <c r="BI16" s="52" t="str">
        <f>_xlfn.IFNA(VLOOKUP(U16,'GRPO Wiz'!AP:BT,31,FALSE),"")</f>
        <v/>
      </c>
      <c r="BJ16" s="52" t="str">
        <f>_xlfn.IFNA(VLOOKUP(U16,'GRPO Wiz'!AP:BZ,32,FALSE),"")</f>
        <v/>
      </c>
      <c r="BK16" s="52" t="str">
        <f>_xlfn.IFNA(VLOOKUP(U16,'GRPO Wiz'!AP:BZ,27,FALSE),"")</f>
        <v/>
      </c>
      <c r="BL16" s="52" t="str">
        <f>_xlfn.IFNA(VALUE(VLOOKUP(U16,'GRPO Wiz'!AP:BZ,29,FALSE)),"")</f>
        <v/>
      </c>
      <c r="BM16" s="52" t="str">
        <f>IF(OR(_xlfn.IFNA(VLOOKUP(U16,'GRPO Wiz'!AP:BZ,33,FALSE),"")="NSC",_xlfn.IFNA(VLOOKUP(U16,'GRPO Wiz'!AP:BZ,33,FALSE),"")="NSSMC"),"NSC","")</f>
        <v/>
      </c>
      <c r="BX16" s="52" t="str">
        <f t="shared" si="17"/>
        <v/>
      </c>
      <c r="BY16" s="52" t="str">
        <f>_xlfn.IFNA(VLOOKUP(BX16&amp;H16,AP!IP:IQ,2,FALSE),"")</f>
        <v/>
      </c>
      <c r="BZ16" s="53" t="str">
        <f t="shared" si="18"/>
        <v/>
      </c>
      <c r="CA16" s="53"/>
      <c r="CD16" s="52" t="str">
        <f>_xlfn.IFNA((VLOOKUP(BX16&amp;H16,AP!IP:IS,4,FALSE)),"")</f>
        <v/>
      </c>
      <c r="CW16" s="52">
        <v>15</v>
      </c>
      <c r="DT16" s="52" t="str">
        <f t="shared" si="1"/>
        <v/>
      </c>
      <c r="DU16" s="52" t="str">
        <f t="shared" si="2"/>
        <v/>
      </c>
      <c r="DV16" s="52" t="str">
        <f t="shared" si="3"/>
        <v/>
      </c>
      <c r="DW16" s="52" t="str">
        <f t="shared" si="4"/>
        <v/>
      </c>
      <c r="DX16" s="52" t="str">
        <f t="shared" si="5"/>
        <v/>
      </c>
      <c r="DY16" s="52" t="str">
        <f t="shared" si="6"/>
        <v/>
      </c>
      <c r="DZ16" s="52" t="str">
        <f t="shared" si="7"/>
        <v/>
      </c>
      <c r="EB16" s="52" t="str">
        <f t="shared" si="8"/>
        <v/>
      </c>
      <c r="EC16" s="52" t="str">
        <f t="shared" si="9"/>
        <v/>
      </c>
      <c r="ED16" s="52" t="str">
        <f t="shared" si="10"/>
        <v/>
      </c>
      <c r="EE16" s="52" t="str">
        <f t="shared" si="11"/>
        <v/>
      </c>
      <c r="EF16" s="52" t="str">
        <f t="shared" si="12"/>
        <v/>
      </c>
      <c r="EG16" s="52" t="str">
        <f t="shared" si="13"/>
        <v/>
      </c>
    </row>
    <row r="17" spans="10:101" ht="26.25" customHeight="1" x14ac:dyDescent="0.25">
      <c r="J17" s="52" t="str">
        <f t="shared" si="14"/>
        <v/>
      </c>
      <c r="K17" s="52" t="str">
        <f>IF(O17="","",VLOOKUP(U17,Data!O:AC,15,FALSE)/G17)</f>
        <v/>
      </c>
      <c r="X17" s="52" t="str">
        <f t="shared" si="15"/>
        <v/>
      </c>
      <c r="Z17" s="52">
        <f t="shared" si="16"/>
        <v>0</v>
      </c>
      <c r="AG17" s="52" t="str">
        <f>_xlfn.IFNA(VLOOKUP(U17,'Incoming Material Report'!A:M,13,FALSE),"")</f>
        <v/>
      </c>
      <c r="AH17" s="52" t="str">
        <f>_xlfn.IFNA(IF(VLOOKUP(U17,'Incoming Material Report'!A:N,14,FALSE)="","",VLOOKUP(U17,'Incoming Material Report'!A:N,14,FALSE)),"")</f>
        <v/>
      </c>
      <c r="AI17" s="52" t="str">
        <f>_xlfn.IFNA(VLOOKUP(U17,'Incoming Material Report'!A:Z,24,FALSE),"")</f>
        <v/>
      </c>
      <c r="AJ17" s="52" t="str">
        <f>_xlfn.IFNA(VLOOKUP(U17,'Incoming Material Report'!A:Z,25,FALSE),"")</f>
        <v/>
      </c>
      <c r="AK17" s="52" t="str">
        <f>_xlfn.IFNA(VLOOKUP(U17,'Incoming Material Report'!A:Z,26,FALSE),"")</f>
        <v/>
      </c>
      <c r="AL17" s="52" t="str">
        <f>_xlfn.IFNA(VLOOKUP(U17,'Incoming Material Report'!A:Z,2,FALSE),"")</f>
        <v/>
      </c>
      <c r="AM17" s="52" t="str">
        <f>_xlfn.IFNA(VLOOKUP(U17,'Incoming Material Report'!A:K,11,FALSE)/1000,"")</f>
        <v/>
      </c>
      <c r="AO17" s="52" t="str">
        <f>_xlfn.IFNA(VLOOKUP(U17,'Incoming Material Report'!A:R,18,FALSE)*1000,"")</f>
        <v/>
      </c>
      <c r="AQ17" s="52" t="str">
        <f>_xlfn.IFNA(TEXT(VLOOKUP(U17,'Incoming Material Report'!A:D,4,FALSE),"dd.mm.yy"),"")</f>
        <v/>
      </c>
      <c r="AR17" s="52" t="str">
        <f>_xlfn.IFNA(VLOOKUP(U17,'Incoming Material Report'!A:Z,5,FALSE),"")</f>
        <v/>
      </c>
      <c r="AT17" s="52" t="str">
        <f>IF(OR(_xlfn.IFNA(VLOOKUP(U17,'Incoming Material Report'!A:Z,6,FALSE),"")="NSC",_xlfn.IFNA(VLOOKUP(U17,'Incoming Material Report'!A:Z,6,FALSE),"")="NSSMC"),"NSC","")</f>
        <v/>
      </c>
      <c r="AU17" s="52" t="str">
        <f>_xlfn.IFNA(VLOOKUP(U17,'Incoming Material Report'!A:Z,8,FALSE),"")</f>
        <v/>
      </c>
      <c r="AZ17" s="52" t="str">
        <f>_xlfn.IFNA(VLOOKUP(U17,'GRPO Wiz'!AP:BT,17,FALSE),"")</f>
        <v/>
      </c>
      <c r="BA17" s="52" t="str">
        <f>_xlfn.IFNA(VLOOKUP(U17,'GRPO Wiz'!AP:BT,18,FALSE),"")</f>
        <v/>
      </c>
      <c r="BB17" s="52" t="str">
        <f>_xlfn.IFNA(VLOOKUP(U17,'GRPO Wiz'!AP:BT,19,FALSE),"")</f>
        <v/>
      </c>
      <c r="BC17" s="52" t="str">
        <f>_xlfn.IFNA(VLOOKUP(U17,'GRPO Wiz'!AP:BT,20,FALSE),"")</f>
        <v/>
      </c>
      <c r="BD17" s="52" t="str">
        <f>_xlfn.IFNA(VLOOKUP(U17,'GRPO Wiz'!AP:BT,21,FALSE),"")</f>
        <v/>
      </c>
      <c r="BE17" s="52" t="str">
        <f>_xlfn.IFNA(LEFT((VLOOKUP(U17,'GRPO Wiz'!AP:BT,22,FALSE)),8),"")</f>
        <v/>
      </c>
      <c r="BF17" s="52" t="str">
        <f>_xlfn.IFNA(VLOOKUP(U17,'GRPO Wiz'!AP:BT,26,FALSE),"")</f>
        <v/>
      </c>
      <c r="BG17" s="57" t="str">
        <f>_xlfn.IFNA(VLOOKUP(U17,'GRPO Wiz'!AP:BQ,28,FALSE),"")</f>
        <v/>
      </c>
      <c r="BH17" s="52" t="str">
        <f>_xlfn.IFNA(VLOOKUP(U17,'GRPO Wiz'!AP:BN,25,FALSE),"")</f>
        <v/>
      </c>
      <c r="BI17" s="52" t="str">
        <f>_xlfn.IFNA(VLOOKUP(U17,'GRPO Wiz'!AP:BT,31,FALSE),"")</f>
        <v/>
      </c>
      <c r="BJ17" s="52" t="str">
        <f>_xlfn.IFNA(VLOOKUP(U17,'GRPO Wiz'!AP:BZ,32,FALSE),"")</f>
        <v/>
      </c>
      <c r="BK17" s="52" t="str">
        <f>_xlfn.IFNA(VLOOKUP(U17,'GRPO Wiz'!AP:BZ,27,FALSE),"")</f>
        <v/>
      </c>
      <c r="BL17" s="52" t="str">
        <f>_xlfn.IFNA(VALUE(VLOOKUP(U17,'GRPO Wiz'!AP:BZ,29,FALSE)),"")</f>
        <v/>
      </c>
      <c r="BM17" s="52" t="str">
        <f>IF(OR(_xlfn.IFNA(VLOOKUP(U17,'GRPO Wiz'!AP:BZ,33,FALSE),"")="NSC",_xlfn.IFNA(VLOOKUP(U17,'GRPO Wiz'!AP:BZ,33,FALSE),"")="NSSMC"),"NSC","")</f>
        <v/>
      </c>
      <c r="BX17" s="52" t="str">
        <f t="shared" si="17"/>
        <v/>
      </c>
      <c r="BY17" s="52" t="str">
        <f>_xlfn.IFNA(VLOOKUP(BX17&amp;H17,AP!IP:IQ,2,FALSE),"")</f>
        <v/>
      </c>
      <c r="BZ17" s="53" t="str">
        <f t="shared" si="18"/>
        <v/>
      </c>
      <c r="CA17" s="53"/>
      <c r="CD17" s="52" t="str">
        <f>_xlfn.IFNA((VLOOKUP(BX17&amp;H17,AP!IP:IS,4,FALSE)),"")</f>
        <v/>
      </c>
      <c r="CW17" s="52">
        <v>16</v>
      </c>
    </row>
    <row r="18" spans="10:101" ht="26.25" customHeight="1" x14ac:dyDescent="0.25">
      <c r="J18" s="52" t="str">
        <f t="shared" si="14"/>
        <v/>
      </c>
      <c r="K18" s="52" t="str">
        <f>IF(O18="","",VLOOKUP(U18,Data!O:AC,15,FALSE)/G18)</f>
        <v/>
      </c>
      <c r="X18" s="52" t="str">
        <f t="shared" si="15"/>
        <v/>
      </c>
      <c r="Z18" s="52">
        <f t="shared" si="16"/>
        <v>0</v>
      </c>
      <c r="AG18" s="52" t="str">
        <f>_xlfn.IFNA(VLOOKUP(U18,'Incoming Material Report'!A:M,13,FALSE),"")</f>
        <v/>
      </c>
      <c r="AH18" s="52" t="str">
        <f>_xlfn.IFNA(IF(VLOOKUP(U18,'Incoming Material Report'!A:N,14,FALSE)="","",VLOOKUP(U18,'Incoming Material Report'!A:N,14,FALSE)),"")</f>
        <v/>
      </c>
      <c r="AI18" s="52" t="str">
        <f>_xlfn.IFNA(VLOOKUP(U18,'Incoming Material Report'!A:Z,24,FALSE),"")</f>
        <v/>
      </c>
      <c r="AJ18" s="52" t="str">
        <f>_xlfn.IFNA(VLOOKUP(U18,'Incoming Material Report'!A:Z,25,FALSE),"")</f>
        <v/>
      </c>
      <c r="AK18" s="52" t="str">
        <f>_xlfn.IFNA(VLOOKUP(U18,'Incoming Material Report'!A:Z,26,FALSE),"")</f>
        <v/>
      </c>
      <c r="AL18" s="52" t="str">
        <f>_xlfn.IFNA(VLOOKUP(U18,'Incoming Material Report'!A:Z,2,FALSE),"")</f>
        <v/>
      </c>
      <c r="AM18" s="52" t="str">
        <f>_xlfn.IFNA(VLOOKUP(U18,'Incoming Material Report'!A:K,11,FALSE)/1000,"")</f>
        <v/>
      </c>
      <c r="AO18" s="52" t="str">
        <f>_xlfn.IFNA(VLOOKUP(U18,'Incoming Material Report'!A:R,18,FALSE)*1000,"")</f>
        <v/>
      </c>
      <c r="AQ18" s="52" t="str">
        <f>_xlfn.IFNA(TEXT(VLOOKUP(U18,'Incoming Material Report'!A:D,4,FALSE),"dd.mm.yy"),"")</f>
        <v/>
      </c>
      <c r="AR18" s="52" t="str">
        <f>_xlfn.IFNA(VLOOKUP(U18,'Incoming Material Report'!A:Z,5,FALSE),"")</f>
        <v/>
      </c>
      <c r="AT18" s="52" t="str">
        <f>IF(OR(_xlfn.IFNA(VLOOKUP(U18,'Incoming Material Report'!A:Z,6,FALSE),"")="NSC",_xlfn.IFNA(VLOOKUP(U18,'Incoming Material Report'!A:Z,6,FALSE),"")="NSSMC"),"NSC","")</f>
        <v/>
      </c>
      <c r="AU18" s="52" t="str">
        <f>_xlfn.IFNA(VLOOKUP(U18,'Incoming Material Report'!A:Z,8,FALSE),"")</f>
        <v/>
      </c>
      <c r="AZ18" s="52" t="str">
        <f>_xlfn.IFNA(VLOOKUP(U18,'GRPO Wiz'!AP:BT,17,FALSE),"")</f>
        <v/>
      </c>
      <c r="BA18" s="52" t="str">
        <f>_xlfn.IFNA(VLOOKUP(U18,'GRPO Wiz'!AP:BT,18,FALSE),"")</f>
        <v/>
      </c>
      <c r="BB18" s="52" t="str">
        <f>_xlfn.IFNA(VLOOKUP(U18,'GRPO Wiz'!AP:BT,19,FALSE),"")</f>
        <v/>
      </c>
      <c r="BC18" s="52" t="str">
        <f>_xlfn.IFNA(VLOOKUP(U18,'GRPO Wiz'!AP:BT,20,FALSE),"")</f>
        <v/>
      </c>
      <c r="BD18" s="52" t="str">
        <f>_xlfn.IFNA(VLOOKUP(U18,'GRPO Wiz'!AP:BT,21,FALSE),"")</f>
        <v/>
      </c>
      <c r="BE18" s="52" t="str">
        <f>_xlfn.IFNA(LEFT((VLOOKUP(U18,'GRPO Wiz'!AP:BT,22,FALSE)),8),"")</f>
        <v/>
      </c>
      <c r="BF18" s="52" t="str">
        <f>_xlfn.IFNA(VLOOKUP(U18,'GRPO Wiz'!AP:BT,26,FALSE),"")</f>
        <v/>
      </c>
      <c r="BG18" s="57" t="str">
        <f>_xlfn.IFNA(VLOOKUP(U18,'GRPO Wiz'!AP:BQ,28,FALSE),"")</f>
        <v/>
      </c>
      <c r="BH18" s="52" t="str">
        <f>_xlfn.IFNA(VLOOKUP(U18,'GRPO Wiz'!AP:BN,25,FALSE),"")</f>
        <v/>
      </c>
      <c r="BI18" s="52" t="str">
        <f>_xlfn.IFNA(VLOOKUP(U18,'GRPO Wiz'!AP:BT,31,FALSE),"")</f>
        <v/>
      </c>
      <c r="BJ18" s="52" t="str">
        <f>_xlfn.IFNA(VLOOKUP(U18,'GRPO Wiz'!AP:BZ,32,FALSE),"")</f>
        <v/>
      </c>
      <c r="BK18" s="52" t="str">
        <f>_xlfn.IFNA(VLOOKUP(U18,'GRPO Wiz'!AP:BZ,27,FALSE),"")</f>
        <v/>
      </c>
      <c r="BL18" s="52" t="str">
        <f>_xlfn.IFNA(VALUE(VLOOKUP(U18,'GRPO Wiz'!AP:BZ,29,FALSE)),"")</f>
        <v/>
      </c>
      <c r="BM18" s="52" t="str">
        <f>IF(OR(_xlfn.IFNA(VLOOKUP(U18,'GRPO Wiz'!AP:BZ,33,FALSE),"")="NSC",_xlfn.IFNA(VLOOKUP(U18,'GRPO Wiz'!AP:BZ,33,FALSE),"")="NSSMC"),"NSC","")</f>
        <v/>
      </c>
      <c r="BX18" s="52" t="str">
        <f t="shared" si="17"/>
        <v/>
      </c>
      <c r="BY18" s="52" t="str">
        <f>_xlfn.IFNA(VLOOKUP(BX18&amp;H18,AP!IP:IQ,2,FALSE),"")</f>
        <v/>
      </c>
      <c r="BZ18" s="53" t="str">
        <f t="shared" si="18"/>
        <v/>
      </c>
      <c r="CA18" s="53"/>
      <c r="CD18" s="52" t="str">
        <f>_xlfn.IFNA((VLOOKUP(BX18&amp;H18,AP!IP:IS,4,FALSE)),"")</f>
        <v/>
      </c>
      <c r="CW18" s="52">
        <v>17</v>
      </c>
    </row>
    <row r="19" spans="10:101" ht="26.25" customHeight="1" x14ac:dyDescent="0.25">
      <c r="J19" s="52" t="str">
        <f t="shared" si="14"/>
        <v/>
      </c>
      <c r="K19" s="52" t="str">
        <f>IF(O19="","",VLOOKUP(U19,Data!O:AC,15,FALSE)/G19)</f>
        <v/>
      </c>
      <c r="X19" s="52" t="str">
        <f t="shared" si="15"/>
        <v/>
      </c>
      <c r="Z19" s="52">
        <f t="shared" si="16"/>
        <v>0</v>
      </c>
      <c r="AG19" s="52" t="str">
        <f>_xlfn.IFNA(VLOOKUP(U19,'Incoming Material Report'!A:M,13,FALSE),"")</f>
        <v/>
      </c>
      <c r="AH19" s="52" t="str">
        <f>_xlfn.IFNA(IF(VLOOKUP(U19,'Incoming Material Report'!A:N,14,FALSE)="","",VLOOKUP(U19,'Incoming Material Report'!A:N,14,FALSE)),"")</f>
        <v/>
      </c>
      <c r="AI19" s="52" t="str">
        <f>_xlfn.IFNA(VLOOKUP(U19,'Incoming Material Report'!A:Z,24,FALSE),"")</f>
        <v/>
      </c>
      <c r="AJ19" s="52" t="str">
        <f>_xlfn.IFNA(VLOOKUP(U19,'Incoming Material Report'!A:Z,25,FALSE),"")</f>
        <v/>
      </c>
      <c r="AK19" s="52" t="str">
        <f>_xlfn.IFNA(VLOOKUP(U19,'Incoming Material Report'!A:Z,26,FALSE),"")</f>
        <v/>
      </c>
      <c r="AL19" s="52" t="str">
        <f>_xlfn.IFNA(VLOOKUP(U19,'Incoming Material Report'!A:Z,2,FALSE),"")</f>
        <v/>
      </c>
      <c r="AM19" s="52" t="str">
        <f>_xlfn.IFNA(VLOOKUP(U19,'Incoming Material Report'!A:K,11,FALSE)/1000,"")</f>
        <v/>
      </c>
      <c r="AO19" s="52" t="str">
        <f>_xlfn.IFNA(VLOOKUP(U19,'Incoming Material Report'!A:R,18,FALSE)*1000,"")</f>
        <v/>
      </c>
      <c r="AQ19" s="52" t="str">
        <f>_xlfn.IFNA(TEXT(VLOOKUP(U19,'Incoming Material Report'!A:D,4,FALSE),"dd.mm.yy"),"")</f>
        <v/>
      </c>
      <c r="AR19" s="52" t="str">
        <f>_xlfn.IFNA(VLOOKUP(U19,'Incoming Material Report'!A:Z,5,FALSE),"")</f>
        <v/>
      </c>
      <c r="AT19" s="52" t="str">
        <f>IF(OR(_xlfn.IFNA(VLOOKUP(U19,'Incoming Material Report'!A:Z,6,FALSE),"")="NSC",_xlfn.IFNA(VLOOKUP(U19,'Incoming Material Report'!A:Z,6,FALSE),"")="NSSMC"),"NSC","")</f>
        <v/>
      </c>
      <c r="AU19" s="52" t="str">
        <f>_xlfn.IFNA(VLOOKUP(U19,'Incoming Material Report'!A:Z,8,FALSE),"")</f>
        <v/>
      </c>
      <c r="AZ19" s="52" t="str">
        <f>_xlfn.IFNA(VLOOKUP(U19,'GRPO Wiz'!AP:BT,17,FALSE),"")</f>
        <v/>
      </c>
      <c r="BA19" s="52" t="str">
        <f>_xlfn.IFNA(VLOOKUP(U19,'GRPO Wiz'!AP:BT,18,FALSE),"")</f>
        <v/>
      </c>
      <c r="BB19" s="52" t="str">
        <f>_xlfn.IFNA(VLOOKUP(U19,'GRPO Wiz'!AP:BT,19,FALSE),"")</f>
        <v/>
      </c>
      <c r="BC19" s="52" t="str">
        <f>_xlfn.IFNA(VLOOKUP(U19,'GRPO Wiz'!AP:BT,20,FALSE),"")</f>
        <v/>
      </c>
      <c r="BD19" s="52" t="str">
        <f>_xlfn.IFNA(VLOOKUP(U19,'GRPO Wiz'!AP:BT,21,FALSE),"")</f>
        <v/>
      </c>
      <c r="BE19" s="52" t="str">
        <f>_xlfn.IFNA(LEFT((VLOOKUP(U19,'GRPO Wiz'!AP:BT,22,FALSE)),8),"")</f>
        <v/>
      </c>
      <c r="BF19" s="52" t="str">
        <f>_xlfn.IFNA(VLOOKUP(U19,'GRPO Wiz'!AP:BT,26,FALSE),"")</f>
        <v/>
      </c>
      <c r="BG19" s="57" t="str">
        <f>_xlfn.IFNA(VLOOKUP(U19,'GRPO Wiz'!AP:BQ,28,FALSE),"")</f>
        <v/>
      </c>
      <c r="BH19" s="52" t="str">
        <f>_xlfn.IFNA(VLOOKUP(U19,'GRPO Wiz'!AP:BN,25,FALSE),"")</f>
        <v/>
      </c>
      <c r="BI19" s="52" t="str">
        <f>_xlfn.IFNA(VLOOKUP(U19,'GRPO Wiz'!AP:BT,31,FALSE),"")</f>
        <v/>
      </c>
      <c r="BJ19" s="52" t="str">
        <f>_xlfn.IFNA(VLOOKUP(U19,'GRPO Wiz'!AP:BZ,32,FALSE),"")</f>
        <v/>
      </c>
      <c r="BK19" s="52" t="str">
        <f>_xlfn.IFNA(VLOOKUP(U19,'GRPO Wiz'!AP:BZ,27,FALSE),"")</f>
        <v/>
      </c>
      <c r="BL19" s="52" t="str">
        <f>_xlfn.IFNA(VALUE(VLOOKUP(U19,'GRPO Wiz'!AP:BZ,29,FALSE)),"")</f>
        <v/>
      </c>
      <c r="BM19" s="52" t="str">
        <f>IF(OR(_xlfn.IFNA(VLOOKUP(U19,'GRPO Wiz'!AP:BZ,33,FALSE),"")="NSC",_xlfn.IFNA(VLOOKUP(U19,'GRPO Wiz'!AP:BZ,33,FALSE),"")="NSSMC"),"NSC","")</f>
        <v/>
      </c>
      <c r="BX19" s="52" t="str">
        <f t="shared" si="17"/>
        <v/>
      </c>
      <c r="BY19" s="52" t="str">
        <f>_xlfn.IFNA(VLOOKUP(BX19&amp;H19,AP!IP:IQ,2,FALSE),"")</f>
        <v/>
      </c>
      <c r="BZ19" s="53" t="str">
        <f t="shared" si="18"/>
        <v/>
      </c>
      <c r="CA19" s="53"/>
      <c r="CD19" s="52" t="str">
        <f>_xlfn.IFNA((VLOOKUP(BX19&amp;H19,AP!IP:IS,4,FALSE)),"")</f>
        <v/>
      </c>
      <c r="CW19" s="52">
        <v>18</v>
      </c>
    </row>
    <row r="20" spans="10:101" ht="26.25" customHeight="1" x14ac:dyDescent="0.25">
      <c r="J20" s="52" t="str">
        <f t="shared" si="14"/>
        <v/>
      </c>
      <c r="K20" s="52" t="str">
        <f>IF(O20="","",VLOOKUP(U20,Data!O:AC,15,FALSE)/G20)</f>
        <v/>
      </c>
      <c r="X20" s="52" t="str">
        <f t="shared" si="15"/>
        <v/>
      </c>
      <c r="Z20" s="52">
        <f t="shared" si="16"/>
        <v>0</v>
      </c>
      <c r="AG20" s="52" t="str">
        <f>_xlfn.IFNA(VLOOKUP(U20,'Incoming Material Report'!A:M,13,FALSE),"")</f>
        <v/>
      </c>
      <c r="AH20" s="52" t="str">
        <f>_xlfn.IFNA(IF(VLOOKUP(U20,'Incoming Material Report'!A:N,14,FALSE)="","",VLOOKUP(U20,'Incoming Material Report'!A:N,14,FALSE)),"")</f>
        <v/>
      </c>
      <c r="AI20" s="52" t="str">
        <f>_xlfn.IFNA(VLOOKUP(U20,'Incoming Material Report'!A:Z,24,FALSE),"")</f>
        <v/>
      </c>
      <c r="AJ20" s="52" t="str">
        <f>_xlfn.IFNA(VLOOKUP(U20,'Incoming Material Report'!A:Z,25,FALSE),"")</f>
        <v/>
      </c>
      <c r="AK20" s="52" t="str">
        <f>_xlfn.IFNA(VLOOKUP(U20,'Incoming Material Report'!A:Z,26,FALSE),"")</f>
        <v/>
      </c>
      <c r="AL20" s="52" t="str">
        <f>_xlfn.IFNA(VLOOKUP(U20,'Incoming Material Report'!A:Z,2,FALSE),"")</f>
        <v/>
      </c>
      <c r="AM20" s="52" t="str">
        <f>_xlfn.IFNA(VLOOKUP(U20,'Incoming Material Report'!A:K,11,FALSE)/1000,"")</f>
        <v/>
      </c>
      <c r="AO20" s="52" t="str">
        <f>_xlfn.IFNA(VLOOKUP(U20,'Incoming Material Report'!A:R,18,FALSE)*1000,"")</f>
        <v/>
      </c>
      <c r="AQ20" s="52" t="str">
        <f>_xlfn.IFNA(TEXT(VLOOKUP(U20,'Incoming Material Report'!A:D,4,FALSE),"dd.mm.yy"),"")</f>
        <v/>
      </c>
      <c r="AR20" s="52" t="str">
        <f>_xlfn.IFNA(VLOOKUP(U20,'Incoming Material Report'!A:Z,5,FALSE),"")</f>
        <v/>
      </c>
      <c r="AT20" s="52" t="str">
        <f>IF(OR(_xlfn.IFNA(VLOOKUP(U20,'Incoming Material Report'!A:Z,6,FALSE),"")="NSC",_xlfn.IFNA(VLOOKUP(U20,'Incoming Material Report'!A:Z,6,FALSE),"")="NSSMC"),"NSC","")</f>
        <v/>
      </c>
      <c r="AU20" s="52" t="str">
        <f>_xlfn.IFNA(VLOOKUP(U20,'Incoming Material Report'!A:Z,8,FALSE),"")</f>
        <v/>
      </c>
      <c r="AZ20" s="52" t="str">
        <f>_xlfn.IFNA(VLOOKUP(U20,'GRPO Wiz'!AP:BT,17,FALSE),"")</f>
        <v/>
      </c>
      <c r="BA20" s="52" t="str">
        <f>_xlfn.IFNA(VLOOKUP(U20,'GRPO Wiz'!AP:BT,18,FALSE),"")</f>
        <v/>
      </c>
      <c r="BB20" s="52" t="str">
        <f>_xlfn.IFNA(VLOOKUP(U20,'GRPO Wiz'!AP:BT,19,FALSE),"")</f>
        <v/>
      </c>
      <c r="BC20" s="52" t="str">
        <f>_xlfn.IFNA(VLOOKUP(U20,'GRPO Wiz'!AP:BT,20,FALSE),"")</f>
        <v/>
      </c>
      <c r="BD20" s="52" t="str">
        <f>_xlfn.IFNA(VLOOKUP(U20,'GRPO Wiz'!AP:BT,21,FALSE),"")</f>
        <v/>
      </c>
      <c r="BE20" s="52" t="str">
        <f>_xlfn.IFNA(LEFT((VLOOKUP(U20,'GRPO Wiz'!AP:BT,22,FALSE)),8),"")</f>
        <v/>
      </c>
      <c r="BF20" s="52" t="str">
        <f>_xlfn.IFNA(VLOOKUP(U20,'GRPO Wiz'!AP:BT,26,FALSE),"")</f>
        <v/>
      </c>
      <c r="BG20" s="57" t="str">
        <f>_xlfn.IFNA(VLOOKUP(U20,'GRPO Wiz'!AP:BQ,28,FALSE),"")</f>
        <v/>
      </c>
      <c r="BH20" s="52" t="str">
        <f>_xlfn.IFNA(VLOOKUP(U20,'GRPO Wiz'!AP:BN,25,FALSE),"")</f>
        <v/>
      </c>
      <c r="BI20" s="52" t="str">
        <f>_xlfn.IFNA(VLOOKUP(U20,'GRPO Wiz'!AP:BT,31,FALSE),"")</f>
        <v/>
      </c>
      <c r="BJ20" s="52" t="str">
        <f>_xlfn.IFNA(VLOOKUP(U20,'GRPO Wiz'!AP:BZ,32,FALSE),"")</f>
        <v/>
      </c>
      <c r="BK20" s="52" t="str">
        <f>_xlfn.IFNA(VLOOKUP(U20,'GRPO Wiz'!AP:BZ,27,FALSE),"")</f>
        <v/>
      </c>
      <c r="BL20" s="52" t="str">
        <f>_xlfn.IFNA(VALUE(VLOOKUP(U20,'GRPO Wiz'!AP:BZ,29,FALSE)),"")</f>
        <v/>
      </c>
      <c r="BM20" s="52" t="str">
        <f>IF(OR(_xlfn.IFNA(VLOOKUP(U20,'GRPO Wiz'!AP:BZ,33,FALSE),"")="NSC",_xlfn.IFNA(VLOOKUP(U20,'GRPO Wiz'!AP:BZ,33,FALSE),"")="NSSMC"),"NSC","")</f>
        <v/>
      </c>
      <c r="BX20" s="52" t="str">
        <f t="shared" si="17"/>
        <v/>
      </c>
      <c r="BY20" s="52" t="str">
        <f>_xlfn.IFNA(VLOOKUP(BX20&amp;H20,AP!IP:IQ,2,FALSE),"")</f>
        <v/>
      </c>
      <c r="BZ20" s="53" t="str">
        <f t="shared" si="18"/>
        <v/>
      </c>
      <c r="CA20" s="53"/>
      <c r="CD20" s="52" t="str">
        <f>_xlfn.IFNA((VLOOKUP(BX20&amp;H20,AP!IP:IS,4,FALSE)),"")</f>
        <v/>
      </c>
      <c r="CW20" s="52">
        <v>19</v>
      </c>
    </row>
    <row r="21" spans="10:101" ht="26.25" customHeight="1" x14ac:dyDescent="0.25">
      <c r="J21" s="52" t="str">
        <f t="shared" si="14"/>
        <v/>
      </c>
      <c r="K21" s="52" t="str">
        <f>IF(O21="","",VLOOKUP(U21,Data!O:AC,15,FALSE)/G21)</f>
        <v/>
      </c>
      <c r="X21" s="52" t="str">
        <f t="shared" si="15"/>
        <v/>
      </c>
      <c r="Z21" s="52">
        <f t="shared" si="16"/>
        <v>0</v>
      </c>
      <c r="AG21" s="52" t="str">
        <f>_xlfn.IFNA(VLOOKUP(U21,'Incoming Material Report'!A:M,13,FALSE),"")</f>
        <v/>
      </c>
      <c r="AH21" s="52" t="str">
        <f>_xlfn.IFNA(IF(VLOOKUP(U21,'Incoming Material Report'!A:N,14,FALSE)="","",VLOOKUP(U21,'Incoming Material Report'!A:N,14,FALSE)),"")</f>
        <v/>
      </c>
      <c r="AI21" s="52" t="str">
        <f>_xlfn.IFNA(VLOOKUP(U21,'Incoming Material Report'!A:Z,24,FALSE),"")</f>
        <v/>
      </c>
      <c r="AJ21" s="52" t="str">
        <f>_xlfn.IFNA(VLOOKUP(U21,'Incoming Material Report'!A:Z,25,FALSE),"")</f>
        <v/>
      </c>
      <c r="AK21" s="52" t="str">
        <f>_xlfn.IFNA(VLOOKUP(U21,'Incoming Material Report'!A:Z,26,FALSE),"")</f>
        <v/>
      </c>
      <c r="AL21" s="52" t="str">
        <f>_xlfn.IFNA(VLOOKUP(U21,'Incoming Material Report'!A:Z,2,FALSE),"")</f>
        <v/>
      </c>
      <c r="AM21" s="52" t="str">
        <f>_xlfn.IFNA(VLOOKUP(U21,'Incoming Material Report'!A:K,11,FALSE)/1000,"")</f>
        <v/>
      </c>
      <c r="AO21" s="52" t="str">
        <f>_xlfn.IFNA(VLOOKUP(U21,'Incoming Material Report'!A:R,18,FALSE)*1000,"")</f>
        <v/>
      </c>
      <c r="AQ21" s="52" t="str">
        <f>_xlfn.IFNA(TEXT(VLOOKUP(U21,'Incoming Material Report'!A:D,4,FALSE),"dd.mm.yy"),"")</f>
        <v/>
      </c>
      <c r="AR21" s="52" t="str">
        <f>_xlfn.IFNA(VLOOKUP(U21,'Incoming Material Report'!A:Z,5,FALSE),"")</f>
        <v/>
      </c>
      <c r="AT21" s="52" t="str">
        <f>IF(OR(_xlfn.IFNA(VLOOKUP(U21,'Incoming Material Report'!A:Z,6,FALSE),"")="NSC",_xlfn.IFNA(VLOOKUP(U21,'Incoming Material Report'!A:Z,6,FALSE),"")="NSSMC"),"NSC","")</f>
        <v/>
      </c>
      <c r="AU21" s="52" t="str">
        <f>_xlfn.IFNA(VLOOKUP(U21,'Incoming Material Report'!A:Z,8,FALSE),"")</f>
        <v/>
      </c>
      <c r="AZ21" s="52" t="str">
        <f>_xlfn.IFNA(VLOOKUP(U21,'GRPO Wiz'!AP:BT,17,FALSE),"")</f>
        <v/>
      </c>
      <c r="BA21" s="52" t="str">
        <f>_xlfn.IFNA(VLOOKUP(U21,'GRPO Wiz'!AP:BT,18,FALSE),"")</f>
        <v/>
      </c>
      <c r="BB21" s="52" t="str">
        <f>_xlfn.IFNA(VLOOKUP(U21,'GRPO Wiz'!AP:BT,19,FALSE),"")</f>
        <v/>
      </c>
      <c r="BC21" s="52" t="str">
        <f>_xlfn.IFNA(VLOOKUP(U21,'GRPO Wiz'!AP:BT,20,FALSE),"")</f>
        <v/>
      </c>
      <c r="BD21" s="52" t="str">
        <f>_xlfn.IFNA(VLOOKUP(U21,'GRPO Wiz'!AP:BT,21,FALSE),"")</f>
        <v/>
      </c>
      <c r="BE21" s="52" t="str">
        <f>_xlfn.IFNA(LEFT((VLOOKUP(U21,'GRPO Wiz'!AP:BT,22,FALSE)),8),"")</f>
        <v/>
      </c>
      <c r="BF21" s="52" t="str">
        <f>_xlfn.IFNA(VLOOKUP(U21,'GRPO Wiz'!AP:BT,26,FALSE),"")</f>
        <v/>
      </c>
      <c r="BG21" s="57" t="str">
        <f>_xlfn.IFNA(VLOOKUP(U21,'GRPO Wiz'!AP:BQ,28,FALSE),"")</f>
        <v/>
      </c>
      <c r="BH21" s="52" t="str">
        <f>_xlfn.IFNA(VLOOKUP(U21,'GRPO Wiz'!AP:BN,25,FALSE),"")</f>
        <v/>
      </c>
      <c r="BI21" s="52" t="str">
        <f>_xlfn.IFNA(VLOOKUP(U21,'GRPO Wiz'!AP:BT,31,FALSE),"")</f>
        <v/>
      </c>
      <c r="BJ21" s="52" t="str">
        <f>_xlfn.IFNA(VLOOKUP(U21,'GRPO Wiz'!AP:BZ,32,FALSE),"")</f>
        <v/>
      </c>
      <c r="BK21" s="52" t="str">
        <f>_xlfn.IFNA(VLOOKUP(U21,'GRPO Wiz'!AP:BZ,27,FALSE),"")</f>
        <v/>
      </c>
      <c r="BL21" s="52" t="str">
        <f>_xlfn.IFNA(VALUE(VLOOKUP(U21,'GRPO Wiz'!AP:BZ,29,FALSE)),"")</f>
        <v/>
      </c>
      <c r="BM21" s="52" t="str">
        <f>IF(OR(_xlfn.IFNA(VLOOKUP(U21,'GRPO Wiz'!AP:BZ,33,FALSE),"")="NSC",_xlfn.IFNA(VLOOKUP(U21,'GRPO Wiz'!AP:BZ,33,FALSE),"")="NSSMC"),"NSC","")</f>
        <v/>
      </c>
      <c r="BX21" s="52" t="str">
        <f t="shared" si="17"/>
        <v/>
      </c>
      <c r="BY21" s="52" t="str">
        <f>_xlfn.IFNA(VLOOKUP(BX21&amp;H21,AP!IP:IQ,2,FALSE),"")</f>
        <v/>
      </c>
      <c r="BZ21" s="53" t="str">
        <f t="shared" si="18"/>
        <v/>
      </c>
      <c r="CA21" s="53"/>
      <c r="CD21" s="52" t="str">
        <f>_xlfn.IFNA((VLOOKUP(BX21&amp;H21,AP!IP:IS,4,FALSE)),"")</f>
        <v/>
      </c>
      <c r="CW21" s="52">
        <v>20</v>
      </c>
    </row>
    <row r="22" spans="10:101" ht="26.25" customHeight="1" x14ac:dyDescent="0.25">
      <c r="J22" s="52" t="str">
        <f t="shared" si="14"/>
        <v/>
      </c>
      <c r="K22" s="52" t="str">
        <f>IF(O22="","",VLOOKUP(U22,Data!O:AC,15,FALSE)/G22)</f>
        <v/>
      </c>
      <c r="X22" s="52" t="str">
        <f t="shared" si="15"/>
        <v/>
      </c>
      <c r="Z22" s="52">
        <f t="shared" si="16"/>
        <v>0</v>
      </c>
      <c r="AG22" s="52" t="str">
        <f>_xlfn.IFNA(VLOOKUP(U22,'Incoming Material Report'!A:M,13,FALSE),"")</f>
        <v/>
      </c>
      <c r="AH22" s="52" t="str">
        <f>_xlfn.IFNA(IF(VLOOKUP(U22,'Incoming Material Report'!A:N,14,FALSE)="","",VLOOKUP(U22,'Incoming Material Report'!A:N,14,FALSE)),"")</f>
        <v/>
      </c>
      <c r="AI22" s="52" t="str">
        <f>_xlfn.IFNA(VLOOKUP(U22,'Incoming Material Report'!A:Z,24,FALSE),"")</f>
        <v/>
      </c>
      <c r="AJ22" s="52" t="str">
        <f>_xlfn.IFNA(VLOOKUP(U22,'Incoming Material Report'!A:Z,25,FALSE),"")</f>
        <v/>
      </c>
      <c r="AK22" s="52" t="str">
        <f>_xlfn.IFNA(VLOOKUP(U22,'Incoming Material Report'!A:Z,26,FALSE),"")</f>
        <v/>
      </c>
      <c r="AL22" s="52" t="str">
        <f>_xlfn.IFNA(VLOOKUP(U22,'Incoming Material Report'!A:Z,2,FALSE),"")</f>
        <v/>
      </c>
      <c r="AM22" s="52" t="str">
        <f>_xlfn.IFNA(VLOOKUP(U22,'Incoming Material Report'!A:K,11,FALSE)/1000,"")</f>
        <v/>
      </c>
      <c r="AO22" s="52" t="str">
        <f>_xlfn.IFNA(VLOOKUP(U22,'Incoming Material Report'!A:R,18,FALSE)*1000,"")</f>
        <v/>
      </c>
      <c r="AQ22" s="52" t="str">
        <f>_xlfn.IFNA(TEXT(VLOOKUP(U22,'Incoming Material Report'!A:D,4,FALSE),"dd.mm.yy"),"")</f>
        <v/>
      </c>
      <c r="AR22" s="52" t="str">
        <f>_xlfn.IFNA(VLOOKUP(U22,'Incoming Material Report'!A:Z,5,FALSE),"")</f>
        <v/>
      </c>
      <c r="AT22" s="52" t="str">
        <f>IF(OR(_xlfn.IFNA(VLOOKUP(U22,'Incoming Material Report'!A:Z,6,FALSE),"")="NSC",_xlfn.IFNA(VLOOKUP(U22,'Incoming Material Report'!A:Z,6,FALSE),"")="NSSMC"),"NSC","")</f>
        <v/>
      </c>
      <c r="AU22" s="52" t="str">
        <f>_xlfn.IFNA(VLOOKUP(U22,'Incoming Material Report'!A:Z,8,FALSE),"")</f>
        <v/>
      </c>
      <c r="AZ22" s="52" t="str">
        <f>_xlfn.IFNA(VLOOKUP(U22,'GRPO Wiz'!AP:BT,17,FALSE),"")</f>
        <v/>
      </c>
      <c r="BA22" s="52" t="str">
        <f>_xlfn.IFNA(VLOOKUP(U22,'GRPO Wiz'!AP:BT,18,FALSE),"")</f>
        <v/>
      </c>
      <c r="BB22" s="52" t="str">
        <f>_xlfn.IFNA(VLOOKUP(U22,'GRPO Wiz'!AP:BT,19,FALSE),"")</f>
        <v/>
      </c>
      <c r="BC22" s="52" t="str">
        <f>_xlfn.IFNA(VLOOKUP(U22,'GRPO Wiz'!AP:BT,20,FALSE),"")</f>
        <v/>
      </c>
      <c r="BD22" s="52" t="str">
        <f>_xlfn.IFNA(VLOOKUP(U22,'GRPO Wiz'!AP:BT,21,FALSE),"")</f>
        <v/>
      </c>
      <c r="BE22" s="52" t="str">
        <f>_xlfn.IFNA(LEFT((VLOOKUP(U22,'GRPO Wiz'!AP:BT,22,FALSE)),8),"")</f>
        <v/>
      </c>
      <c r="BF22" s="52" t="str">
        <f>_xlfn.IFNA(VLOOKUP(U22,'GRPO Wiz'!AP:BT,26,FALSE),"")</f>
        <v/>
      </c>
      <c r="BG22" s="57" t="str">
        <f>_xlfn.IFNA(VLOOKUP(U22,'GRPO Wiz'!AP:BQ,28,FALSE),"")</f>
        <v/>
      </c>
      <c r="BH22" s="52" t="str">
        <f>_xlfn.IFNA(VLOOKUP(U22,'GRPO Wiz'!AP:BN,25,FALSE),"")</f>
        <v/>
      </c>
      <c r="BI22" s="52" t="str">
        <f>_xlfn.IFNA(VLOOKUP(U22,'GRPO Wiz'!AP:BT,31,FALSE),"")</f>
        <v/>
      </c>
      <c r="BJ22" s="52" t="str">
        <f>_xlfn.IFNA(VLOOKUP(U22,'GRPO Wiz'!AP:BZ,32,FALSE),"")</f>
        <v/>
      </c>
      <c r="BK22" s="52" t="str">
        <f>_xlfn.IFNA(VLOOKUP(U22,'GRPO Wiz'!AP:BZ,27,FALSE),"")</f>
        <v/>
      </c>
      <c r="BL22" s="52" t="str">
        <f>_xlfn.IFNA(VALUE(VLOOKUP(U22,'GRPO Wiz'!AP:BZ,29,FALSE)),"")</f>
        <v/>
      </c>
      <c r="BM22" s="52" t="str">
        <f>IF(OR(_xlfn.IFNA(VLOOKUP(U22,'GRPO Wiz'!AP:BZ,33,FALSE),"")="NSC",_xlfn.IFNA(VLOOKUP(U22,'GRPO Wiz'!AP:BZ,33,FALSE),"")="NSSMC"),"NSC","")</f>
        <v/>
      </c>
      <c r="BX22" s="52" t="str">
        <f t="shared" si="17"/>
        <v/>
      </c>
      <c r="BY22" s="52" t="str">
        <f>_xlfn.IFNA(VLOOKUP(BX22&amp;H22,AP!IP:IQ,2,FALSE),"")</f>
        <v/>
      </c>
      <c r="BZ22" s="53" t="str">
        <f t="shared" si="18"/>
        <v/>
      </c>
      <c r="CA22" s="53"/>
      <c r="CD22" s="52" t="str">
        <f>_xlfn.IFNA((VLOOKUP(BX22&amp;H22,AP!IP:IS,4,FALSE)),"")</f>
        <v/>
      </c>
      <c r="CW22" s="52">
        <v>21</v>
      </c>
    </row>
    <row r="23" spans="10:101" ht="26.25" customHeight="1" x14ac:dyDescent="0.25">
      <c r="J23" s="52" t="str">
        <f t="shared" si="14"/>
        <v/>
      </c>
      <c r="K23" s="52" t="str">
        <f>IF(O23="","",VLOOKUP(U23,Data!O:AC,15,FALSE)/G23)</f>
        <v/>
      </c>
      <c r="X23" s="52" t="str">
        <f t="shared" si="15"/>
        <v/>
      </c>
      <c r="Z23" s="52">
        <f t="shared" si="16"/>
        <v>0</v>
      </c>
      <c r="AG23" s="52" t="str">
        <f>_xlfn.IFNA(VLOOKUP(U23,'Incoming Material Report'!A:M,13,FALSE),"")</f>
        <v/>
      </c>
      <c r="AH23" s="52" t="str">
        <f>_xlfn.IFNA(IF(VLOOKUP(U23,'Incoming Material Report'!A:N,14,FALSE)="","",VLOOKUP(U23,'Incoming Material Report'!A:N,14,FALSE)),"")</f>
        <v/>
      </c>
      <c r="AI23" s="52" t="str">
        <f>_xlfn.IFNA(VLOOKUP(U23,'Incoming Material Report'!A:Z,24,FALSE),"")</f>
        <v/>
      </c>
      <c r="AJ23" s="52" t="str">
        <f>_xlfn.IFNA(VLOOKUP(U23,'Incoming Material Report'!A:Z,25,FALSE),"")</f>
        <v/>
      </c>
      <c r="AK23" s="52" t="str">
        <f>_xlfn.IFNA(VLOOKUP(U23,'Incoming Material Report'!A:Z,26,FALSE),"")</f>
        <v/>
      </c>
      <c r="AL23" s="52" t="str">
        <f>_xlfn.IFNA(VLOOKUP(U23,'Incoming Material Report'!A:Z,2,FALSE),"")</f>
        <v/>
      </c>
      <c r="AM23" s="52" t="str">
        <f>_xlfn.IFNA(VLOOKUP(U23,'Incoming Material Report'!A:K,11,FALSE)/1000,"")</f>
        <v/>
      </c>
      <c r="AO23" s="52" t="str">
        <f>_xlfn.IFNA(VLOOKUP(U23,'Incoming Material Report'!A:R,18,FALSE)*1000,"")</f>
        <v/>
      </c>
      <c r="AQ23" s="52" t="str">
        <f>_xlfn.IFNA(TEXT(VLOOKUP(U23,'Incoming Material Report'!A:D,4,FALSE),"dd.mm.yy"),"")</f>
        <v/>
      </c>
      <c r="AR23" s="52" t="str">
        <f>_xlfn.IFNA(VLOOKUP(U23,'Incoming Material Report'!A:Z,5,FALSE),"")</f>
        <v/>
      </c>
      <c r="AT23" s="52" t="str">
        <f>IF(OR(_xlfn.IFNA(VLOOKUP(U23,'Incoming Material Report'!A:Z,6,FALSE),"")="NSC",_xlfn.IFNA(VLOOKUP(U23,'Incoming Material Report'!A:Z,6,FALSE),"")="NSSMC"),"NSC","")</f>
        <v/>
      </c>
      <c r="AU23" s="52" t="str">
        <f>_xlfn.IFNA(VLOOKUP(U23,'Incoming Material Report'!A:Z,8,FALSE),"")</f>
        <v/>
      </c>
      <c r="AZ23" s="52" t="str">
        <f>_xlfn.IFNA(VLOOKUP(U23,'GRPO Wiz'!AP:BT,17,FALSE),"")</f>
        <v/>
      </c>
      <c r="BA23" s="52" t="str">
        <f>_xlfn.IFNA(VLOOKUP(U23,'GRPO Wiz'!AP:BT,18,FALSE),"")</f>
        <v/>
      </c>
      <c r="BB23" s="52" t="str">
        <f>_xlfn.IFNA(VLOOKUP(U23,'GRPO Wiz'!AP:BT,19,FALSE),"")</f>
        <v/>
      </c>
      <c r="BC23" s="52" t="str">
        <f>_xlfn.IFNA(VLOOKUP(U23,'GRPO Wiz'!AP:BT,20,FALSE),"")</f>
        <v/>
      </c>
      <c r="BD23" s="52" t="str">
        <f>_xlfn.IFNA(VLOOKUP(U23,'GRPO Wiz'!AP:BT,21,FALSE),"")</f>
        <v/>
      </c>
      <c r="BE23" s="52" t="str">
        <f>_xlfn.IFNA(LEFT((VLOOKUP(U23,'GRPO Wiz'!AP:BT,22,FALSE)),8),"")</f>
        <v/>
      </c>
      <c r="BF23" s="52" t="str">
        <f>_xlfn.IFNA(VLOOKUP(U23,'GRPO Wiz'!AP:BT,26,FALSE),"")</f>
        <v/>
      </c>
      <c r="BG23" s="57" t="str">
        <f>_xlfn.IFNA(VLOOKUP(U23,'GRPO Wiz'!AP:BQ,28,FALSE),"")</f>
        <v/>
      </c>
      <c r="BH23" s="52" t="str">
        <f>_xlfn.IFNA(VLOOKUP(U23,'GRPO Wiz'!AP:BN,25,FALSE),"")</f>
        <v/>
      </c>
      <c r="BI23" s="52" t="str">
        <f>_xlfn.IFNA(VLOOKUP(U23,'GRPO Wiz'!AP:BT,31,FALSE),"")</f>
        <v/>
      </c>
      <c r="BJ23" s="52" t="str">
        <f>_xlfn.IFNA(VLOOKUP(U23,'GRPO Wiz'!AP:BZ,32,FALSE),"")</f>
        <v/>
      </c>
      <c r="BK23" s="52" t="str">
        <f>_xlfn.IFNA(VLOOKUP(U23,'GRPO Wiz'!AP:BZ,27,FALSE),"")</f>
        <v/>
      </c>
      <c r="BL23" s="52" t="str">
        <f>_xlfn.IFNA(VALUE(VLOOKUP(U23,'GRPO Wiz'!AP:BZ,29,FALSE)),"")</f>
        <v/>
      </c>
      <c r="BM23" s="52" t="str">
        <f>IF(OR(_xlfn.IFNA(VLOOKUP(U23,'GRPO Wiz'!AP:BZ,33,FALSE),"")="NSC",_xlfn.IFNA(VLOOKUP(U23,'GRPO Wiz'!AP:BZ,33,FALSE),"")="NSSMC"),"NSC","")</f>
        <v/>
      </c>
      <c r="BX23" s="52" t="str">
        <f t="shared" si="17"/>
        <v/>
      </c>
      <c r="BY23" s="52" t="str">
        <f>_xlfn.IFNA(VLOOKUP(BX23&amp;H23,AP!IP:IQ,2,FALSE),"")</f>
        <v/>
      </c>
      <c r="BZ23" s="53" t="str">
        <f t="shared" si="18"/>
        <v/>
      </c>
      <c r="CA23" s="53"/>
      <c r="CD23" s="52" t="str">
        <f>_xlfn.IFNA((VLOOKUP(BX23&amp;H23,AP!IP:IS,4,FALSE)),"")</f>
        <v/>
      </c>
    </row>
    <row r="24" spans="10:101" ht="26.25" customHeight="1" x14ac:dyDescent="0.25">
      <c r="J24" s="52" t="str">
        <f t="shared" si="14"/>
        <v/>
      </c>
      <c r="K24" s="52" t="str">
        <f>IF(O24="","",VLOOKUP(U24,Data!O:AC,15,FALSE)/G24)</f>
        <v/>
      </c>
      <c r="X24" s="52" t="str">
        <f t="shared" si="15"/>
        <v/>
      </c>
      <c r="Z24" s="52">
        <f t="shared" si="16"/>
        <v>0</v>
      </c>
      <c r="AG24" s="52" t="str">
        <f>_xlfn.IFNA(VLOOKUP(U24,'Incoming Material Report'!A:M,13,FALSE),"")</f>
        <v/>
      </c>
      <c r="AH24" s="52" t="str">
        <f>_xlfn.IFNA(IF(VLOOKUP(U24,'Incoming Material Report'!A:N,14,FALSE)="","",VLOOKUP(U24,'Incoming Material Report'!A:N,14,FALSE)),"")</f>
        <v/>
      </c>
      <c r="AI24" s="52" t="str">
        <f>_xlfn.IFNA(VLOOKUP(U24,'Incoming Material Report'!A:Z,24,FALSE),"")</f>
        <v/>
      </c>
      <c r="AJ24" s="52" t="str">
        <f>_xlfn.IFNA(VLOOKUP(U24,'Incoming Material Report'!A:Z,25,FALSE),"")</f>
        <v/>
      </c>
      <c r="AK24" s="52" t="str">
        <f>_xlfn.IFNA(VLOOKUP(U24,'Incoming Material Report'!A:Z,26,FALSE),"")</f>
        <v/>
      </c>
      <c r="AL24" s="52" t="str">
        <f>_xlfn.IFNA(VLOOKUP(U24,'Incoming Material Report'!A:Z,2,FALSE),"")</f>
        <v/>
      </c>
      <c r="AM24" s="52" t="str">
        <f>_xlfn.IFNA(VLOOKUP(U24,'Incoming Material Report'!A:K,11,FALSE)/1000,"")</f>
        <v/>
      </c>
      <c r="AO24" s="52" t="str">
        <f>_xlfn.IFNA(VLOOKUP(U24,'Incoming Material Report'!A:R,18,FALSE)*1000,"")</f>
        <v/>
      </c>
      <c r="AQ24" s="52" t="str">
        <f>_xlfn.IFNA(TEXT(VLOOKUP(U24,'Incoming Material Report'!A:D,4,FALSE),"dd.mm.yy"),"")</f>
        <v/>
      </c>
      <c r="AR24" s="52" t="str">
        <f>_xlfn.IFNA(VLOOKUP(U24,'Incoming Material Report'!A:Z,5,FALSE),"")</f>
        <v/>
      </c>
      <c r="AT24" s="52" t="str">
        <f>IF(OR(_xlfn.IFNA(VLOOKUP(U24,'Incoming Material Report'!A:Z,6,FALSE),"")="NSC",_xlfn.IFNA(VLOOKUP(U24,'Incoming Material Report'!A:Z,6,FALSE),"")="NSSMC"),"NSC","")</f>
        <v/>
      </c>
      <c r="AU24" s="52" t="str">
        <f>_xlfn.IFNA(VLOOKUP(U24,'Incoming Material Report'!A:Z,8,FALSE),"")</f>
        <v/>
      </c>
      <c r="AZ24" s="52" t="str">
        <f>_xlfn.IFNA(VLOOKUP(U24,'GRPO Wiz'!AP:BT,17,FALSE),"")</f>
        <v/>
      </c>
      <c r="BA24" s="52" t="str">
        <f>_xlfn.IFNA(VLOOKUP(U24,'GRPO Wiz'!AP:BT,18,FALSE),"")</f>
        <v/>
      </c>
      <c r="BB24" s="52" t="str">
        <f>_xlfn.IFNA(VLOOKUP(U24,'GRPO Wiz'!AP:BT,19,FALSE),"")</f>
        <v/>
      </c>
      <c r="BC24" s="52" t="str">
        <f>_xlfn.IFNA(VLOOKUP(U24,'GRPO Wiz'!AP:BT,20,FALSE),"")</f>
        <v/>
      </c>
      <c r="BD24" s="52" t="str">
        <f>_xlfn.IFNA(VLOOKUP(U24,'GRPO Wiz'!AP:BT,21,FALSE),"")</f>
        <v/>
      </c>
      <c r="BE24" s="52" t="str">
        <f>_xlfn.IFNA(LEFT((VLOOKUP(U24,'GRPO Wiz'!AP:BT,22,FALSE)),8),"")</f>
        <v/>
      </c>
      <c r="BF24" s="52" t="str">
        <f>_xlfn.IFNA(VLOOKUP(U24,'GRPO Wiz'!AP:BT,26,FALSE),"")</f>
        <v/>
      </c>
      <c r="BG24" s="57" t="str">
        <f>_xlfn.IFNA(VLOOKUP(U24,'GRPO Wiz'!AP:BQ,28,FALSE),"")</f>
        <v/>
      </c>
      <c r="BH24" s="52" t="str">
        <f>_xlfn.IFNA(VLOOKUP(U24,'GRPO Wiz'!AP:BN,25,FALSE),"")</f>
        <v/>
      </c>
      <c r="BI24" s="52" t="str">
        <f>_xlfn.IFNA(VLOOKUP(U24,'GRPO Wiz'!AP:BT,31,FALSE),"")</f>
        <v/>
      </c>
      <c r="BJ24" s="52" t="str">
        <f>_xlfn.IFNA(VLOOKUP(U24,'GRPO Wiz'!AP:BZ,32,FALSE),"")</f>
        <v/>
      </c>
      <c r="BK24" s="52" t="str">
        <f>_xlfn.IFNA(VLOOKUP(U24,'GRPO Wiz'!AP:BZ,27,FALSE),"")</f>
        <v/>
      </c>
      <c r="BL24" s="52" t="str">
        <f>_xlfn.IFNA(VALUE(VLOOKUP(U24,'GRPO Wiz'!AP:BZ,29,FALSE)),"")</f>
        <v/>
      </c>
      <c r="BM24" s="52" t="str">
        <f>IF(OR(_xlfn.IFNA(VLOOKUP(U24,'GRPO Wiz'!AP:BZ,33,FALSE),"")="NSC",_xlfn.IFNA(VLOOKUP(U24,'GRPO Wiz'!AP:BZ,33,FALSE),"")="NSSMC"),"NSC","")</f>
        <v/>
      </c>
      <c r="BX24" s="52" t="str">
        <f t="shared" si="17"/>
        <v/>
      </c>
      <c r="BY24" s="52" t="str">
        <f>_xlfn.IFNA(VLOOKUP(BX24&amp;H24,AP!IP:IQ,2,FALSE),"")</f>
        <v/>
      </c>
      <c r="BZ24" s="53" t="str">
        <f t="shared" si="18"/>
        <v/>
      </c>
      <c r="CA24" s="53"/>
      <c r="CD24" s="52" t="str">
        <f>_xlfn.IFNA((VLOOKUP(BX24&amp;H24,AP!IP:IS,4,FALSE)),"")</f>
        <v/>
      </c>
    </row>
    <row r="25" spans="10:101" ht="26.25" customHeight="1" x14ac:dyDescent="0.25">
      <c r="J25" s="52" t="str">
        <f t="shared" si="14"/>
        <v/>
      </c>
      <c r="K25" s="52" t="str">
        <f>IF(O25="","",VLOOKUP(U25,Data!O:AC,15,FALSE)/G25)</f>
        <v/>
      </c>
      <c r="X25" s="52" t="str">
        <f t="shared" si="15"/>
        <v/>
      </c>
      <c r="Z25" s="52">
        <f t="shared" si="16"/>
        <v>0</v>
      </c>
      <c r="AG25" s="52" t="str">
        <f>_xlfn.IFNA(VLOOKUP(U25,'Incoming Material Report'!A:M,13,FALSE),"")</f>
        <v/>
      </c>
      <c r="AH25" s="52" t="str">
        <f>_xlfn.IFNA(IF(VLOOKUP(U25,'Incoming Material Report'!A:N,14,FALSE)="","",VLOOKUP(U25,'Incoming Material Report'!A:N,14,FALSE)),"")</f>
        <v/>
      </c>
      <c r="AI25" s="52" t="str">
        <f>_xlfn.IFNA(VLOOKUP(U25,'Incoming Material Report'!A:Z,24,FALSE),"")</f>
        <v/>
      </c>
      <c r="AJ25" s="52" t="str">
        <f>_xlfn.IFNA(VLOOKUP(U25,'Incoming Material Report'!A:Z,25,FALSE),"")</f>
        <v/>
      </c>
      <c r="AK25" s="52" t="str">
        <f>_xlfn.IFNA(VLOOKUP(U25,'Incoming Material Report'!A:Z,26,FALSE),"")</f>
        <v/>
      </c>
      <c r="AL25" s="52" t="str">
        <f>_xlfn.IFNA(VLOOKUP(U25,'Incoming Material Report'!A:Z,2,FALSE),"")</f>
        <v/>
      </c>
      <c r="AM25" s="52" t="str">
        <f>_xlfn.IFNA(VLOOKUP(U25,'Incoming Material Report'!A:K,11,FALSE)/1000,"")</f>
        <v/>
      </c>
      <c r="AO25" s="52" t="str">
        <f>_xlfn.IFNA(VLOOKUP(U25,'Incoming Material Report'!A:R,18,FALSE)*1000,"")</f>
        <v/>
      </c>
      <c r="AQ25" s="52" t="str">
        <f>_xlfn.IFNA(TEXT(VLOOKUP(U25,'Incoming Material Report'!A:D,4,FALSE),"dd.mm.yy"),"")</f>
        <v/>
      </c>
      <c r="AR25" s="52" t="str">
        <f>_xlfn.IFNA(VLOOKUP(U25,'Incoming Material Report'!A:Z,5,FALSE),"")</f>
        <v/>
      </c>
      <c r="AT25" s="52" t="str">
        <f>IF(OR(_xlfn.IFNA(VLOOKUP(U25,'Incoming Material Report'!A:Z,6,FALSE),"")="NSC",_xlfn.IFNA(VLOOKUP(U25,'Incoming Material Report'!A:Z,6,FALSE),"")="NSSMC"),"NSC","")</f>
        <v/>
      </c>
      <c r="AU25" s="52" t="str">
        <f>_xlfn.IFNA(VLOOKUP(U25,'Incoming Material Report'!A:Z,8,FALSE),"")</f>
        <v/>
      </c>
      <c r="AZ25" s="52" t="str">
        <f>_xlfn.IFNA(VLOOKUP(U25,'GRPO Wiz'!AP:BT,17,FALSE),"")</f>
        <v/>
      </c>
      <c r="BA25" s="52" t="str">
        <f>_xlfn.IFNA(VLOOKUP(U25,'GRPO Wiz'!AP:BT,18,FALSE),"")</f>
        <v/>
      </c>
      <c r="BB25" s="52" t="str">
        <f>_xlfn.IFNA(VLOOKUP(U25,'GRPO Wiz'!AP:BT,19,FALSE),"")</f>
        <v/>
      </c>
      <c r="BC25" s="52" t="str">
        <f>_xlfn.IFNA(VLOOKUP(U25,'GRPO Wiz'!AP:BT,20,FALSE),"")</f>
        <v/>
      </c>
      <c r="BD25" s="52" t="str">
        <f>_xlfn.IFNA(VLOOKUP(U25,'GRPO Wiz'!AP:BT,21,FALSE),"")</f>
        <v/>
      </c>
      <c r="BE25" s="52" t="str">
        <f>_xlfn.IFNA(LEFT((VLOOKUP(U25,'GRPO Wiz'!AP:BT,22,FALSE)),8),"")</f>
        <v/>
      </c>
      <c r="BF25" s="52" t="str">
        <f>_xlfn.IFNA(VLOOKUP(U25,'GRPO Wiz'!AP:BT,26,FALSE),"")</f>
        <v/>
      </c>
      <c r="BG25" s="57" t="str">
        <f>_xlfn.IFNA(VLOOKUP(U25,'GRPO Wiz'!AP:BQ,28,FALSE),"")</f>
        <v/>
      </c>
      <c r="BH25" s="52" t="str">
        <f>_xlfn.IFNA(VLOOKUP(U25,'GRPO Wiz'!AP:BN,25,FALSE),"")</f>
        <v/>
      </c>
      <c r="BI25" s="52" t="str">
        <f>_xlfn.IFNA(VLOOKUP(U25,'GRPO Wiz'!AP:BT,31,FALSE),"")</f>
        <v/>
      </c>
      <c r="BJ25" s="52" t="str">
        <f>_xlfn.IFNA(VLOOKUP(U25,'GRPO Wiz'!AP:BZ,32,FALSE),"")</f>
        <v/>
      </c>
      <c r="BK25" s="52" t="str">
        <f>_xlfn.IFNA(VLOOKUP(U25,'GRPO Wiz'!AP:BZ,27,FALSE),"")</f>
        <v/>
      </c>
      <c r="BL25" s="52" t="str">
        <f>_xlfn.IFNA(VALUE(VLOOKUP(U25,'GRPO Wiz'!AP:BZ,29,FALSE)),"")</f>
        <v/>
      </c>
      <c r="BM25" s="52" t="str">
        <f>IF(OR(_xlfn.IFNA(VLOOKUP(U25,'GRPO Wiz'!AP:BZ,33,FALSE),"")="NSC",_xlfn.IFNA(VLOOKUP(U25,'GRPO Wiz'!AP:BZ,33,FALSE),"")="NSSMC"),"NSC","")</f>
        <v/>
      </c>
      <c r="BX25" s="52" t="str">
        <f t="shared" si="17"/>
        <v/>
      </c>
      <c r="BY25" s="52" t="str">
        <f>_xlfn.IFNA(VLOOKUP(BX25&amp;H25,AP!IP:IQ,2,FALSE),"")</f>
        <v/>
      </c>
      <c r="BZ25" s="53" t="str">
        <f t="shared" si="18"/>
        <v/>
      </c>
      <c r="CA25" s="53"/>
      <c r="CD25" s="52" t="str">
        <f>_xlfn.IFNA((VLOOKUP(BX25&amp;H25,AP!IP:IS,4,FALSE)),"")</f>
        <v/>
      </c>
    </row>
    <row r="26" spans="10:101" ht="26.25" customHeight="1" x14ac:dyDescent="0.25">
      <c r="J26" s="52" t="str">
        <f t="shared" si="14"/>
        <v/>
      </c>
      <c r="K26" s="52" t="str">
        <f>IF(O26="","",VLOOKUP(U26,Data!O:AC,15,FALSE)/G26)</f>
        <v/>
      </c>
      <c r="X26" s="52" t="str">
        <f t="shared" si="15"/>
        <v/>
      </c>
      <c r="Z26" s="52">
        <f t="shared" si="16"/>
        <v>0</v>
      </c>
      <c r="AG26" s="52" t="str">
        <f>_xlfn.IFNA(VLOOKUP(U26,'Incoming Material Report'!A:M,13,FALSE),"")</f>
        <v/>
      </c>
      <c r="AH26" s="52" t="str">
        <f>_xlfn.IFNA(IF(VLOOKUP(U26,'Incoming Material Report'!A:N,14,FALSE)="","",VLOOKUP(U26,'Incoming Material Report'!A:N,14,FALSE)),"")</f>
        <v/>
      </c>
      <c r="AI26" s="52" t="str">
        <f>_xlfn.IFNA(VLOOKUP(U26,'Incoming Material Report'!A:Z,24,FALSE),"")</f>
        <v/>
      </c>
      <c r="AJ26" s="52" t="str">
        <f>_xlfn.IFNA(VLOOKUP(U26,'Incoming Material Report'!A:Z,25,FALSE),"")</f>
        <v/>
      </c>
      <c r="AK26" s="52" t="str">
        <f>_xlfn.IFNA(VLOOKUP(U26,'Incoming Material Report'!A:Z,26,FALSE),"")</f>
        <v/>
      </c>
      <c r="AL26" s="52" t="str">
        <f>_xlfn.IFNA(VLOOKUP(U26,'Incoming Material Report'!A:Z,2,FALSE),"")</f>
        <v/>
      </c>
      <c r="AM26" s="52" t="str">
        <f>_xlfn.IFNA(VLOOKUP(U26,'Incoming Material Report'!A:K,11,FALSE)/1000,"")</f>
        <v/>
      </c>
      <c r="AO26" s="52" t="str">
        <f>_xlfn.IFNA(VLOOKUP(U26,'Incoming Material Report'!A:R,18,FALSE)*1000,"")</f>
        <v/>
      </c>
      <c r="AQ26" s="52" t="str">
        <f>_xlfn.IFNA(TEXT(VLOOKUP(U26,'Incoming Material Report'!A:D,4,FALSE),"dd.mm.yy"),"")</f>
        <v/>
      </c>
      <c r="AR26" s="52" t="str">
        <f>_xlfn.IFNA(VLOOKUP(U26,'Incoming Material Report'!A:Z,5,FALSE),"")</f>
        <v/>
      </c>
      <c r="AT26" s="52" t="str">
        <f>IF(OR(_xlfn.IFNA(VLOOKUP(U26,'Incoming Material Report'!A:Z,6,FALSE),"")="NSC",_xlfn.IFNA(VLOOKUP(U26,'Incoming Material Report'!A:Z,6,FALSE),"")="NSSMC"),"NSC","")</f>
        <v/>
      </c>
      <c r="AU26" s="52" t="str">
        <f>_xlfn.IFNA(VLOOKUP(U26,'Incoming Material Report'!A:Z,8,FALSE),"")</f>
        <v/>
      </c>
      <c r="AZ26" s="52" t="str">
        <f>_xlfn.IFNA(VLOOKUP(U26,'GRPO Wiz'!AP:BT,17,FALSE),"")</f>
        <v/>
      </c>
      <c r="BA26" s="52" t="str">
        <f>_xlfn.IFNA(VLOOKUP(U26,'GRPO Wiz'!AP:BT,18,FALSE),"")</f>
        <v/>
      </c>
      <c r="BB26" s="52" t="str">
        <f>_xlfn.IFNA(VLOOKUP(U26,'GRPO Wiz'!AP:BT,19,FALSE),"")</f>
        <v/>
      </c>
      <c r="BC26" s="52" t="str">
        <f>_xlfn.IFNA(VLOOKUP(U26,'GRPO Wiz'!AP:BT,20,FALSE),"")</f>
        <v/>
      </c>
      <c r="BD26" s="52" t="str">
        <f>_xlfn.IFNA(VLOOKUP(U26,'GRPO Wiz'!AP:BT,21,FALSE),"")</f>
        <v/>
      </c>
      <c r="BE26" s="52" t="str">
        <f>_xlfn.IFNA(LEFT((VLOOKUP(U26,'GRPO Wiz'!AP:BT,22,FALSE)),8),"")</f>
        <v/>
      </c>
      <c r="BF26" s="52" t="str">
        <f>_xlfn.IFNA(VLOOKUP(U26,'GRPO Wiz'!AP:BT,26,FALSE),"")</f>
        <v/>
      </c>
      <c r="BG26" s="57" t="str">
        <f>_xlfn.IFNA(VLOOKUP(U26,'GRPO Wiz'!AP:BQ,28,FALSE),"")</f>
        <v/>
      </c>
      <c r="BH26" s="52" t="str">
        <f>_xlfn.IFNA(VLOOKUP(U26,'GRPO Wiz'!AP:BN,25,FALSE),"")</f>
        <v/>
      </c>
      <c r="BI26" s="52" t="str">
        <f>_xlfn.IFNA(VLOOKUP(U26,'GRPO Wiz'!AP:BT,31,FALSE),"")</f>
        <v/>
      </c>
      <c r="BJ26" s="52" t="str">
        <f>_xlfn.IFNA(VLOOKUP(U26,'GRPO Wiz'!AP:BZ,32,FALSE),"")</f>
        <v/>
      </c>
      <c r="BK26" s="52" t="str">
        <f>_xlfn.IFNA(VLOOKUP(U26,'GRPO Wiz'!AP:BZ,27,FALSE),"")</f>
        <v/>
      </c>
      <c r="BL26" s="52" t="str">
        <f>_xlfn.IFNA(VALUE(VLOOKUP(U26,'GRPO Wiz'!AP:BZ,29,FALSE)),"")</f>
        <v/>
      </c>
      <c r="BM26" s="52" t="str">
        <f>IF(OR(_xlfn.IFNA(VLOOKUP(U26,'GRPO Wiz'!AP:BZ,33,FALSE),"")="NSC",_xlfn.IFNA(VLOOKUP(U26,'GRPO Wiz'!AP:BZ,33,FALSE),"")="NSSMC"),"NSC","")</f>
        <v/>
      </c>
      <c r="BX26" s="52" t="str">
        <f t="shared" si="17"/>
        <v/>
      </c>
      <c r="BY26" s="52" t="str">
        <f>_xlfn.IFNA(VLOOKUP(BX26&amp;H26,AP!IP:IQ,2,FALSE),"")</f>
        <v/>
      </c>
      <c r="BZ26" s="53" t="str">
        <f t="shared" si="18"/>
        <v/>
      </c>
      <c r="CA26" s="53"/>
      <c r="CD26" s="52" t="str">
        <f>_xlfn.IFNA((VLOOKUP(BX26&amp;H26,AP!IP:IS,4,FALSE)),"")</f>
        <v/>
      </c>
    </row>
    <row r="27" spans="10:101" ht="26.25" customHeight="1" x14ac:dyDescent="0.25">
      <c r="J27" s="52" t="str">
        <f t="shared" si="14"/>
        <v/>
      </c>
      <c r="K27" s="52" t="str">
        <f>IF(O27="","",VLOOKUP(U27,Data!O:AC,15,FALSE)/G27)</f>
        <v/>
      </c>
      <c r="X27" s="52" t="str">
        <f t="shared" si="15"/>
        <v/>
      </c>
      <c r="Z27" s="52">
        <f t="shared" si="16"/>
        <v>0</v>
      </c>
      <c r="AG27" s="52" t="str">
        <f>_xlfn.IFNA(VLOOKUP(U27,'Incoming Material Report'!A:M,13,FALSE),"")</f>
        <v/>
      </c>
      <c r="AH27" s="52" t="str">
        <f>_xlfn.IFNA(IF(VLOOKUP(U27,'Incoming Material Report'!A:N,14,FALSE)="","",VLOOKUP(U27,'Incoming Material Report'!A:N,14,FALSE)),"")</f>
        <v/>
      </c>
      <c r="AI27" s="52" t="str">
        <f>_xlfn.IFNA(VLOOKUP(U27,'Incoming Material Report'!A:Z,24,FALSE),"")</f>
        <v/>
      </c>
      <c r="AJ27" s="52" t="str">
        <f>_xlfn.IFNA(VLOOKUP(U27,'Incoming Material Report'!A:Z,25,FALSE),"")</f>
        <v/>
      </c>
      <c r="AK27" s="52" t="str">
        <f>_xlfn.IFNA(VLOOKUP(U27,'Incoming Material Report'!A:Z,26,FALSE),"")</f>
        <v/>
      </c>
      <c r="AL27" s="52" t="str">
        <f>_xlfn.IFNA(VLOOKUP(U27,'Incoming Material Report'!A:Z,2,FALSE),"")</f>
        <v/>
      </c>
      <c r="AM27" s="52" t="str">
        <f>_xlfn.IFNA(VLOOKUP(U27,'Incoming Material Report'!A:K,11,FALSE)/1000,"")</f>
        <v/>
      </c>
      <c r="AO27" s="52" t="str">
        <f>_xlfn.IFNA(VLOOKUP(U27,'Incoming Material Report'!A:R,18,FALSE)*1000,"")</f>
        <v/>
      </c>
      <c r="AQ27" s="52" t="str">
        <f>_xlfn.IFNA(TEXT(VLOOKUP(U27,'Incoming Material Report'!A:D,4,FALSE),"dd.mm.yy"),"")</f>
        <v/>
      </c>
      <c r="AR27" s="52" t="str">
        <f>_xlfn.IFNA(VLOOKUP(U27,'Incoming Material Report'!A:Z,5,FALSE),"")</f>
        <v/>
      </c>
      <c r="AT27" s="52" t="str">
        <f>IF(OR(_xlfn.IFNA(VLOOKUP(U27,'Incoming Material Report'!A:Z,6,FALSE),"")="NSC",_xlfn.IFNA(VLOOKUP(U27,'Incoming Material Report'!A:Z,6,FALSE),"")="NSSMC"),"NSC","")</f>
        <v/>
      </c>
      <c r="AU27" s="52" t="str">
        <f>_xlfn.IFNA(VLOOKUP(U27,'Incoming Material Report'!A:Z,8,FALSE),"")</f>
        <v/>
      </c>
      <c r="AZ27" s="52" t="str">
        <f>_xlfn.IFNA(VLOOKUP(U27,'GRPO Wiz'!AP:BT,17,FALSE),"")</f>
        <v/>
      </c>
      <c r="BA27" s="52" t="str">
        <f>_xlfn.IFNA(VLOOKUP(U27,'GRPO Wiz'!AP:BT,18,FALSE),"")</f>
        <v/>
      </c>
      <c r="BB27" s="52" t="str">
        <f>_xlfn.IFNA(VLOOKUP(U27,'GRPO Wiz'!AP:BT,19,FALSE),"")</f>
        <v/>
      </c>
      <c r="BC27" s="52" t="str">
        <f>_xlfn.IFNA(VLOOKUP(U27,'GRPO Wiz'!AP:BT,20,FALSE),"")</f>
        <v/>
      </c>
      <c r="BD27" s="52" t="str">
        <f>_xlfn.IFNA(VLOOKUP(U27,'GRPO Wiz'!AP:BT,21,FALSE),"")</f>
        <v/>
      </c>
      <c r="BE27" s="52" t="str">
        <f>_xlfn.IFNA(LEFT((VLOOKUP(U27,'GRPO Wiz'!AP:BT,22,FALSE)),8),"")</f>
        <v/>
      </c>
      <c r="BF27" s="52" t="str">
        <f>_xlfn.IFNA(VLOOKUP(U27,'GRPO Wiz'!AP:BT,26,FALSE),"")</f>
        <v/>
      </c>
      <c r="BG27" s="57" t="str">
        <f>_xlfn.IFNA(VLOOKUP(U27,'GRPO Wiz'!AP:BQ,28,FALSE),"")</f>
        <v/>
      </c>
      <c r="BH27" s="52" t="str">
        <f>_xlfn.IFNA(VLOOKUP(U27,'GRPO Wiz'!AP:BN,25,FALSE),"")</f>
        <v/>
      </c>
      <c r="BI27" s="52" t="str">
        <f>_xlfn.IFNA(VLOOKUP(U27,'GRPO Wiz'!AP:BT,31,FALSE),"")</f>
        <v/>
      </c>
      <c r="BJ27" s="52" t="str">
        <f>_xlfn.IFNA(VLOOKUP(U27,'GRPO Wiz'!AP:BZ,32,FALSE),"")</f>
        <v/>
      </c>
      <c r="BK27" s="52" t="str">
        <f>_xlfn.IFNA(VLOOKUP(U27,'GRPO Wiz'!AP:BZ,27,FALSE),"")</f>
        <v/>
      </c>
      <c r="BL27" s="52" t="str">
        <f>_xlfn.IFNA(VALUE(VLOOKUP(U27,'GRPO Wiz'!AP:BZ,29,FALSE)),"")</f>
        <v/>
      </c>
      <c r="BM27" s="52" t="str">
        <f>IF(OR(_xlfn.IFNA(VLOOKUP(U27,'GRPO Wiz'!AP:BZ,33,FALSE),"")="NSC",_xlfn.IFNA(VLOOKUP(U27,'GRPO Wiz'!AP:BZ,33,FALSE),"")="NSSMC"),"NSC","")</f>
        <v/>
      </c>
      <c r="BX27" s="52" t="str">
        <f t="shared" si="17"/>
        <v/>
      </c>
      <c r="BY27" s="52" t="str">
        <f>_xlfn.IFNA(VLOOKUP(BX27&amp;H27,AP!IP:IQ,2,FALSE),"")</f>
        <v/>
      </c>
      <c r="BZ27" s="53" t="str">
        <f t="shared" si="18"/>
        <v/>
      </c>
      <c r="CA27" s="53"/>
      <c r="CD27" s="52" t="str">
        <f>_xlfn.IFNA((VLOOKUP(BX27&amp;H27,AP!IP:IS,4,FALSE)),"")</f>
        <v/>
      </c>
    </row>
    <row r="28" spans="10:101" ht="26.25" customHeight="1" x14ac:dyDescent="0.25">
      <c r="J28" s="52" t="str">
        <f t="shared" si="14"/>
        <v/>
      </c>
      <c r="K28" s="52" t="str">
        <f>IF(O28="","",VLOOKUP(U28,Data!O:AC,15,FALSE)/G28)</f>
        <v/>
      </c>
      <c r="X28" s="52" t="str">
        <f t="shared" si="15"/>
        <v/>
      </c>
      <c r="Z28" s="52">
        <f t="shared" si="16"/>
        <v>0</v>
      </c>
      <c r="AG28" s="52" t="str">
        <f>_xlfn.IFNA(VLOOKUP(U28,'Incoming Material Report'!A:M,13,FALSE),"")</f>
        <v/>
      </c>
      <c r="AH28" s="52" t="str">
        <f>_xlfn.IFNA(IF(VLOOKUP(U28,'Incoming Material Report'!A:N,14,FALSE)="","",VLOOKUP(U28,'Incoming Material Report'!A:N,14,FALSE)),"")</f>
        <v/>
      </c>
      <c r="AI28" s="52" t="str">
        <f>_xlfn.IFNA(VLOOKUP(U28,'Incoming Material Report'!A:Z,24,FALSE),"")</f>
        <v/>
      </c>
      <c r="AJ28" s="52" t="str">
        <f>_xlfn.IFNA(VLOOKUP(U28,'Incoming Material Report'!A:Z,25,FALSE),"")</f>
        <v/>
      </c>
      <c r="AK28" s="52" t="str">
        <f>_xlfn.IFNA(VLOOKUP(U28,'Incoming Material Report'!A:Z,26,FALSE),"")</f>
        <v/>
      </c>
      <c r="AL28" s="52" t="str">
        <f>_xlfn.IFNA(VLOOKUP(U28,'Incoming Material Report'!A:Z,2,FALSE),"")</f>
        <v/>
      </c>
      <c r="AM28" s="52" t="str">
        <f>_xlfn.IFNA(VLOOKUP(U28,'Incoming Material Report'!A:K,11,FALSE)/1000,"")</f>
        <v/>
      </c>
      <c r="AO28" s="52" t="str">
        <f>_xlfn.IFNA(VLOOKUP(U28,'Incoming Material Report'!A:R,18,FALSE)*1000,"")</f>
        <v/>
      </c>
      <c r="AQ28" s="52" t="str">
        <f>_xlfn.IFNA(TEXT(VLOOKUP(U28,'Incoming Material Report'!A:D,4,FALSE),"dd.mm.yy"),"")</f>
        <v/>
      </c>
      <c r="AR28" s="52" t="str">
        <f>_xlfn.IFNA(VLOOKUP(U28,'Incoming Material Report'!A:Z,5,FALSE),"")</f>
        <v/>
      </c>
      <c r="AT28" s="52" t="str">
        <f>IF(OR(_xlfn.IFNA(VLOOKUP(U28,'Incoming Material Report'!A:Z,6,FALSE),"")="NSC",_xlfn.IFNA(VLOOKUP(U28,'Incoming Material Report'!A:Z,6,FALSE),"")="NSSMC"),"NSC","")</f>
        <v/>
      </c>
      <c r="AU28" s="52" t="str">
        <f>_xlfn.IFNA(VLOOKUP(U28,'Incoming Material Report'!A:Z,8,FALSE),"")</f>
        <v/>
      </c>
      <c r="AZ28" s="52" t="str">
        <f>_xlfn.IFNA(VLOOKUP(U28,'GRPO Wiz'!AP:BT,17,FALSE),"")</f>
        <v/>
      </c>
      <c r="BA28" s="52" t="str">
        <f>_xlfn.IFNA(VLOOKUP(U28,'GRPO Wiz'!AP:BT,18,FALSE),"")</f>
        <v/>
      </c>
      <c r="BB28" s="52" t="str">
        <f>_xlfn.IFNA(VLOOKUP(U28,'GRPO Wiz'!AP:BT,19,FALSE),"")</f>
        <v/>
      </c>
      <c r="BC28" s="52" t="str">
        <f>_xlfn.IFNA(VLOOKUP(U28,'GRPO Wiz'!AP:BT,20,FALSE),"")</f>
        <v/>
      </c>
      <c r="BD28" s="52" t="str">
        <f>_xlfn.IFNA(VLOOKUP(U28,'GRPO Wiz'!AP:BT,21,FALSE),"")</f>
        <v/>
      </c>
      <c r="BE28" s="52" t="str">
        <f>_xlfn.IFNA(LEFT((VLOOKUP(U28,'GRPO Wiz'!AP:BT,22,FALSE)),8),"")</f>
        <v/>
      </c>
      <c r="BF28" s="52" t="str">
        <f>_xlfn.IFNA(VLOOKUP(U28,'GRPO Wiz'!AP:BT,26,FALSE),"")</f>
        <v/>
      </c>
      <c r="BG28" s="57" t="str">
        <f>_xlfn.IFNA(VLOOKUP(U28,'GRPO Wiz'!AP:BQ,28,FALSE),"")</f>
        <v/>
      </c>
      <c r="BH28" s="52" t="str">
        <f>_xlfn.IFNA(VLOOKUP(U28,'GRPO Wiz'!AP:BN,25,FALSE),"")</f>
        <v/>
      </c>
      <c r="BI28" s="52" t="str">
        <f>_xlfn.IFNA(VLOOKUP(U28,'GRPO Wiz'!AP:BT,31,FALSE),"")</f>
        <v/>
      </c>
      <c r="BJ28" s="52" t="str">
        <f>_xlfn.IFNA(VLOOKUP(U28,'GRPO Wiz'!AP:BZ,32,FALSE),"")</f>
        <v/>
      </c>
      <c r="BK28" s="52" t="str">
        <f>_xlfn.IFNA(VLOOKUP(U28,'GRPO Wiz'!AP:BZ,27,FALSE),"")</f>
        <v/>
      </c>
      <c r="BL28" s="52" t="str">
        <f>_xlfn.IFNA(VALUE(VLOOKUP(U28,'GRPO Wiz'!AP:BZ,29,FALSE)),"")</f>
        <v/>
      </c>
      <c r="BM28" s="52" t="str">
        <f>IF(OR(_xlfn.IFNA(VLOOKUP(U28,'GRPO Wiz'!AP:BZ,33,FALSE),"")="NSC",_xlfn.IFNA(VLOOKUP(U28,'GRPO Wiz'!AP:BZ,33,FALSE),"")="NSSMC"),"NSC","")</f>
        <v/>
      </c>
      <c r="BX28" s="52" t="str">
        <f t="shared" si="17"/>
        <v/>
      </c>
      <c r="BY28" s="52" t="str">
        <f>_xlfn.IFNA(VLOOKUP(BX28&amp;H28,AP!IP:IQ,2,FALSE),"")</f>
        <v/>
      </c>
      <c r="BZ28" s="53" t="str">
        <f t="shared" si="18"/>
        <v/>
      </c>
      <c r="CA28" s="53"/>
      <c r="CD28" s="52" t="str">
        <f>_xlfn.IFNA((VLOOKUP(BX28&amp;H28,AP!IP:IS,4,FALSE)),"")</f>
        <v/>
      </c>
    </row>
    <row r="29" spans="10:101" ht="26.25" customHeight="1" x14ac:dyDescent="0.25">
      <c r="J29" s="52" t="str">
        <f t="shared" si="14"/>
        <v/>
      </c>
      <c r="K29" s="52" t="str">
        <f>IF(O29="","",VLOOKUP(U29,Data!O:AC,15,FALSE)/G29)</f>
        <v/>
      </c>
      <c r="X29" s="52" t="str">
        <f t="shared" si="15"/>
        <v/>
      </c>
      <c r="Z29" s="52">
        <f t="shared" si="16"/>
        <v>0</v>
      </c>
      <c r="AG29" s="52" t="str">
        <f>_xlfn.IFNA(VLOOKUP(U29,'Incoming Material Report'!A:M,13,FALSE),"")</f>
        <v/>
      </c>
      <c r="AH29" s="52" t="str">
        <f>_xlfn.IFNA(IF(VLOOKUP(U29,'Incoming Material Report'!A:N,14,FALSE)="","",VLOOKUP(U29,'Incoming Material Report'!A:N,14,FALSE)),"")</f>
        <v/>
      </c>
      <c r="AI29" s="52" t="str">
        <f>_xlfn.IFNA(VLOOKUP(U29,'Incoming Material Report'!A:Z,24,FALSE),"")</f>
        <v/>
      </c>
      <c r="AJ29" s="52" t="str">
        <f>_xlfn.IFNA(VLOOKUP(U29,'Incoming Material Report'!A:Z,25,FALSE),"")</f>
        <v/>
      </c>
      <c r="AK29" s="52" t="str">
        <f>_xlfn.IFNA(VLOOKUP(U29,'Incoming Material Report'!A:Z,26,FALSE),"")</f>
        <v/>
      </c>
      <c r="AL29" s="52" t="str">
        <f>_xlfn.IFNA(VLOOKUP(U29,'Incoming Material Report'!A:Z,2,FALSE),"")</f>
        <v/>
      </c>
      <c r="AM29" s="52" t="str">
        <f>_xlfn.IFNA(VLOOKUP(U29,'Incoming Material Report'!A:K,11,FALSE)/1000,"")</f>
        <v/>
      </c>
      <c r="AO29" s="52" t="str">
        <f>_xlfn.IFNA(VLOOKUP(U29,'Incoming Material Report'!A:R,18,FALSE)*1000,"")</f>
        <v/>
      </c>
      <c r="AQ29" s="52" t="str">
        <f>_xlfn.IFNA(TEXT(VLOOKUP(U29,'Incoming Material Report'!A:D,4,FALSE),"dd.mm.yy"),"")</f>
        <v/>
      </c>
      <c r="AR29" s="52" t="str">
        <f>_xlfn.IFNA(VLOOKUP(U29,'Incoming Material Report'!A:Z,5,FALSE),"")</f>
        <v/>
      </c>
      <c r="AT29" s="52" t="str">
        <f>IF(OR(_xlfn.IFNA(VLOOKUP(U29,'Incoming Material Report'!A:Z,6,FALSE),"")="NSC",_xlfn.IFNA(VLOOKUP(U29,'Incoming Material Report'!A:Z,6,FALSE),"")="NSSMC"),"NSC","")</f>
        <v/>
      </c>
      <c r="AU29" s="52" t="str">
        <f>_xlfn.IFNA(VLOOKUP(U29,'Incoming Material Report'!A:Z,8,FALSE),"")</f>
        <v/>
      </c>
      <c r="AZ29" s="52" t="str">
        <f>_xlfn.IFNA(VLOOKUP(U29,'GRPO Wiz'!AP:BT,17,FALSE),"")</f>
        <v/>
      </c>
      <c r="BA29" s="52" t="str">
        <f>_xlfn.IFNA(VLOOKUP(U29,'GRPO Wiz'!AP:BT,18,FALSE),"")</f>
        <v/>
      </c>
      <c r="BB29" s="52" t="str">
        <f>_xlfn.IFNA(VLOOKUP(U29,'GRPO Wiz'!AP:BT,19,FALSE),"")</f>
        <v/>
      </c>
      <c r="BC29" s="52" t="str">
        <f>_xlfn.IFNA(VLOOKUP(U29,'GRPO Wiz'!AP:BT,20,FALSE),"")</f>
        <v/>
      </c>
      <c r="BD29" s="52" t="str">
        <f>_xlfn.IFNA(VLOOKUP(U29,'GRPO Wiz'!AP:BT,21,FALSE),"")</f>
        <v/>
      </c>
      <c r="BE29" s="52" t="str">
        <f>_xlfn.IFNA(LEFT((VLOOKUP(U29,'GRPO Wiz'!AP:BT,22,FALSE)),8),"")</f>
        <v/>
      </c>
      <c r="BF29" s="52" t="str">
        <f>_xlfn.IFNA(VLOOKUP(U29,'GRPO Wiz'!AP:BT,26,FALSE),"")</f>
        <v/>
      </c>
      <c r="BG29" s="57" t="str">
        <f>_xlfn.IFNA(VLOOKUP(U29,'GRPO Wiz'!AP:BQ,28,FALSE),"")</f>
        <v/>
      </c>
      <c r="BH29" s="52" t="str">
        <f>_xlfn.IFNA(VLOOKUP(U29,'GRPO Wiz'!AP:BN,25,FALSE),"")</f>
        <v/>
      </c>
      <c r="BI29" s="52" t="str">
        <f>_xlfn.IFNA(VLOOKUP(U29,'GRPO Wiz'!AP:BT,31,FALSE),"")</f>
        <v/>
      </c>
      <c r="BJ29" s="52" t="str">
        <f>_xlfn.IFNA(VLOOKUP(U29,'GRPO Wiz'!AP:BZ,32,FALSE),"")</f>
        <v/>
      </c>
      <c r="BK29" s="52" t="str">
        <f>_xlfn.IFNA(VLOOKUP(U29,'GRPO Wiz'!AP:BZ,27,FALSE),"")</f>
        <v/>
      </c>
      <c r="BL29" s="52" t="str">
        <f>_xlfn.IFNA(VALUE(VLOOKUP(U29,'GRPO Wiz'!AP:BZ,29,FALSE)),"")</f>
        <v/>
      </c>
      <c r="BM29" s="52" t="str">
        <f>IF(OR(_xlfn.IFNA(VLOOKUP(U29,'GRPO Wiz'!AP:BZ,33,FALSE),"")="NSC",_xlfn.IFNA(VLOOKUP(U29,'GRPO Wiz'!AP:BZ,33,FALSE),"")="NSSMC"),"NSC","")</f>
        <v/>
      </c>
      <c r="BX29" s="52" t="str">
        <f>AU29</f>
        <v/>
      </c>
      <c r="BY29" s="52" t="str">
        <f>_xlfn.IFNA(VLOOKUP(BX29&amp;H29,AP!IP:IQ,2,FALSE),"")</f>
        <v/>
      </c>
      <c r="BZ29" s="53" t="str">
        <f t="shared" si="18"/>
        <v/>
      </c>
      <c r="CA29" s="53"/>
      <c r="CD29" s="52" t="str">
        <f>_xlfn.IFNA((VLOOKUP(BX29&amp;H29,AP!IP:IS,4,FALSE)),"")</f>
        <v/>
      </c>
    </row>
    <row r="30" spans="10:101" ht="26.25" customHeight="1" x14ac:dyDescent="0.25">
      <c r="J30" s="52" t="str">
        <f t="shared" si="14"/>
        <v/>
      </c>
      <c r="K30" s="52" t="str">
        <f>IF(O30="","",VLOOKUP(U30,Data!O:AC,15,FALSE)/G30)</f>
        <v/>
      </c>
      <c r="X30" s="52" t="str">
        <f t="shared" si="15"/>
        <v/>
      </c>
      <c r="Z30" s="52">
        <f t="shared" si="16"/>
        <v>0</v>
      </c>
      <c r="AG30" s="52" t="str">
        <f>_xlfn.IFNA(VLOOKUP(U30,'Incoming Material Report'!A:M,13,FALSE),"")</f>
        <v/>
      </c>
      <c r="AH30" s="52" t="str">
        <f>_xlfn.IFNA(IF(VLOOKUP(U30,'Incoming Material Report'!A:N,14,FALSE)="","",VLOOKUP(U30,'Incoming Material Report'!A:N,14,FALSE)),"")</f>
        <v/>
      </c>
      <c r="AI30" s="52" t="str">
        <f>_xlfn.IFNA(VLOOKUP(U30,'Incoming Material Report'!A:Z,24,FALSE),"")</f>
        <v/>
      </c>
      <c r="AJ30" s="52" t="str">
        <f>_xlfn.IFNA(VLOOKUP(U30,'Incoming Material Report'!A:Z,25,FALSE),"")</f>
        <v/>
      </c>
      <c r="AK30" s="52" t="str">
        <f>_xlfn.IFNA(VLOOKUP(U30,'Incoming Material Report'!A:Z,26,FALSE),"")</f>
        <v/>
      </c>
      <c r="AL30" s="52" t="str">
        <f>_xlfn.IFNA(VLOOKUP(U30,'Incoming Material Report'!A:Z,2,FALSE),"")</f>
        <v/>
      </c>
      <c r="AM30" s="52" t="str">
        <f>_xlfn.IFNA(VLOOKUP(U30,'Incoming Material Report'!A:K,11,FALSE)/1000,"")</f>
        <v/>
      </c>
      <c r="AO30" s="52" t="str">
        <f>_xlfn.IFNA(VLOOKUP(U30,'Incoming Material Report'!A:R,18,FALSE)*1000,"")</f>
        <v/>
      </c>
      <c r="AQ30" s="52" t="str">
        <f>_xlfn.IFNA(TEXT(VLOOKUP(U30,'Incoming Material Report'!A:D,4,FALSE),"dd.mm.yy"),"")</f>
        <v/>
      </c>
      <c r="AR30" s="52" t="str">
        <f>_xlfn.IFNA(VLOOKUP(U30,'Incoming Material Report'!A:Z,5,FALSE),"")</f>
        <v/>
      </c>
      <c r="AT30" s="52" t="str">
        <f>IF(OR(_xlfn.IFNA(VLOOKUP(U30,'Incoming Material Report'!A:Z,6,FALSE),"")="NSC",_xlfn.IFNA(VLOOKUP(U30,'Incoming Material Report'!A:Z,6,FALSE),"")="NSSMC"),"NSC","")</f>
        <v/>
      </c>
      <c r="AU30" s="52" t="str">
        <f>_xlfn.IFNA(VLOOKUP(U30,'Incoming Material Report'!A:Z,8,FALSE),"")</f>
        <v/>
      </c>
      <c r="AZ30" s="52" t="str">
        <f>_xlfn.IFNA(VLOOKUP(U30,'GRPO Wiz'!AP:BT,17,FALSE),"")</f>
        <v/>
      </c>
      <c r="BA30" s="52" t="str">
        <f>_xlfn.IFNA(VLOOKUP(U30,'GRPO Wiz'!AP:BT,18,FALSE),"")</f>
        <v/>
      </c>
      <c r="BB30" s="52" t="str">
        <f>_xlfn.IFNA(VLOOKUP(U30,'GRPO Wiz'!AP:BT,19,FALSE),"")</f>
        <v/>
      </c>
      <c r="BC30" s="52" t="str">
        <f>_xlfn.IFNA(VLOOKUP(U30,'GRPO Wiz'!AP:BT,20,FALSE),"")</f>
        <v/>
      </c>
      <c r="BD30" s="52" t="str">
        <f>_xlfn.IFNA(VLOOKUP(U30,'GRPO Wiz'!AP:BT,21,FALSE),"")</f>
        <v/>
      </c>
      <c r="BE30" s="52" t="str">
        <f>_xlfn.IFNA(LEFT((VLOOKUP(U30,'GRPO Wiz'!AP:BT,22,FALSE)),8),"")</f>
        <v/>
      </c>
      <c r="BF30" s="52" t="str">
        <f>_xlfn.IFNA(VLOOKUP(U30,'GRPO Wiz'!AP:BT,26,FALSE),"")</f>
        <v/>
      </c>
      <c r="BG30" s="57" t="str">
        <f>_xlfn.IFNA(VLOOKUP(U30,'GRPO Wiz'!AP:BQ,28,FALSE),"")</f>
        <v/>
      </c>
      <c r="BH30" s="52" t="str">
        <f>_xlfn.IFNA(VLOOKUP(U30,'GRPO Wiz'!AP:BN,25,FALSE),"")</f>
        <v/>
      </c>
      <c r="BI30" s="52" t="str">
        <f>_xlfn.IFNA(VLOOKUP(U30,'GRPO Wiz'!AP:BT,31,FALSE),"")</f>
        <v/>
      </c>
      <c r="BJ30" s="52" t="str">
        <f>_xlfn.IFNA(VLOOKUP(U30,'GRPO Wiz'!AP:BZ,32,FALSE),"")</f>
        <v/>
      </c>
      <c r="BK30" s="52" t="str">
        <f>_xlfn.IFNA(VLOOKUP(U30,'GRPO Wiz'!AP:BZ,27,FALSE),"")</f>
        <v/>
      </c>
      <c r="BL30" s="52" t="str">
        <f>_xlfn.IFNA(VALUE(VLOOKUP(U30,'GRPO Wiz'!AP:BZ,29,FALSE)),"")</f>
        <v/>
      </c>
      <c r="BM30" s="52" t="str">
        <f>IF(OR(_xlfn.IFNA(VLOOKUP(U30,'GRPO Wiz'!AP:BZ,33,FALSE),"")="NSC",_xlfn.IFNA(VLOOKUP(U30,'GRPO Wiz'!AP:BZ,33,FALSE),"")="NSSMC"),"NSC","")</f>
        <v/>
      </c>
      <c r="BX30" s="52" t="str">
        <f t="shared" si="17"/>
        <v/>
      </c>
      <c r="BY30" s="52" t="str">
        <f>_xlfn.IFNA(VLOOKUP(BX30&amp;H30,AP!IP:IQ,2,FALSE),"")</f>
        <v/>
      </c>
      <c r="BZ30" s="53" t="str">
        <f t="shared" si="18"/>
        <v/>
      </c>
      <c r="CA30" s="53"/>
      <c r="CD30" s="52" t="str">
        <f>_xlfn.IFNA((VLOOKUP(BX30&amp;H30,AP!IP:IS,4,FALSE)),"")</f>
        <v/>
      </c>
    </row>
    <row r="31" spans="10:101" ht="26.25" customHeight="1" x14ac:dyDescent="0.25">
      <c r="J31" s="52" t="str">
        <f t="shared" si="14"/>
        <v/>
      </c>
      <c r="K31" s="52" t="str">
        <f>IF(O31="","",VLOOKUP(U31,Data!O:AC,15,FALSE)/G31)</f>
        <v/>
      </c>
      <c r="X31" s="52" t="str">
        <f t="shared" si="15"/>
        <v/>
      </c>
      <c r="Z31" s="52">
        <f t="shared" si="16"/>
        <v>0</v>
      </c>
      <c r="AG31" s="52" t="str">
        <f>_xlfn.IFNA(VLOOKUP(U31,'Incoming Material Report'!A:M,13,FALSE),"")</f>
        <v/>
      </c>
      <c r="AH31" s="52" t="str">
        <f>_xlfn.IFNA(IF(VLOOKUP(U31,'Incoming Material Report'!A:N,14,FALSE)="","",VLOOKUP(U31,'Incoming Material Report'!A:N,14,FALSE)),"")</f>
        <v/>
      </c>
      <c r="AI31" s="52" t="str">
        <f>_xlfn.IFNA(VLOOKUP(U31,'Incoming Material Report'!A:Z,24,FALSE),"")</f>
        <v/>
      </c>
      <c r="AJ31" s="52" t="str">
        <f>_xlfn.IFNA(VLOOKUP(U31,'Incoming Material Report'!A:Z,25,FALSE),"")</f>
        <v/>
      </c>
      <c r="AK31" s="52" t="str">
        <f>_xlfn.IFNA(VLOOKUP(U31,'Incoming Material Report'!A:Z,26,FALSE),"")</f>
        <v/>
      </c>
      <c r="AL31" s="52" t="str">
        <f>_xlfn.IFNA(VLOOKUP(U31,'Incoming Material Report'!A:Z,2,FALSE),"")</f>
        <v/>
      </c>
      <c r="AM31" s="52" t="str">
        <f>_xlfn.IFNA(VLOOKUP(U31,'Incoming Material Report'!A:K,11,FALSE)/1000,"")</f>
        <v/>
      </c>
      <c r="AO31" s="52" t="str">
        <f>_xlfn.IFNA(VLOOKUP(U31,'Incoming Material Report'!A:R,18,FALSE)*1000,"")</f>
        <v/>
      </c>
      <c r="AQ31" s="52" t="str">
        <f>_xlfn.IFNA(TEXT(VLOOKUP(U31,'Incoming Material Report'!A:D,4,FALSE),"dd.mm.yy"),"")</f>
        <v/>
      </c>
      <c r="AR31" s="52" t="str">
        <f>_xlfn.IFNA(VLOOKUP(U31,'Incoming Material Report'!A:Z,5,FALSE),"")</f>
        <v/>
      </c>
      <c r="AT31" s="52" t="str">
        <f>IF(OR(_xlfn.IFNA(VLOOKUP(U31,'Incoming Material Report'!A:Z,6,FALSE),"")="NSC",_xlfn.IFNA(VLOOKUP(U31,'Incoming Material Report'!A:Z,6,FALSE),"")="NSSMC"),"NSC","")</f>
        <v/>
      </c>
      <c r="AU31" s="52" t="str">
        <f>_xlfn.IFNA(VLOOKUP(U31,'Incoming Material Report'!A:Z,8,FALSE),"")</f>
        <v/>
      </c>
      <c r="AZ31" s="52" t="str">
        <f>_xlfn.IFNA(VLOOKUP(U31,'GRPO Wiz'!AP:BT,17,FALSE),"")</f>
        <v/>
      </c>
      <c r="BA31" s="52" t="str">
        <f>_xlfn.IFNA(VLOOKUP(U31,'GRPO Wiz'!AP:BT,18,FALSE),"")</f>
        <v/>
      </c>
      <c r="BB31" s="52" t="str">
        <f>_xlfn.IFNA(VLOOKUP(U31,'GRPO Wiz'!AP:BT,19,FALSE),"")</f>
        <v/>
      </c>
      <c r="BC31" s="52" t="str">
        <f>_xlfn.IFNA(VLOOKUP(U31,'GRPO Wiz'!AP:BT,20,FALSE),"")</f>
        <v/>
      </c>
      <c r="BD31" s="52" t="str">
        <f>_xlfn.IFNA(VLOOKUP(U31,'GRPO Wiz'!AP:BT,21,FALSE),"")</f>
        <v/>
      </c>
      <c r="BE31" s="52" t="str">
        <f>_xlfn.IFNA(LEFT((VLOOKUP(U31,'GRPO Wiz'!AP:BT,22,FALSE)),8),"")</f>
        <v/>
      </c>
      <c r="BF31" s="52" t="str">
        <f>_xlfn.IFNA(VLOOKUP(U31,'GRPO Wiz'!AP:BT,26,FALSE),"")</f>
        <v/>
      </c>
      <c r="BG31" s="57" t="str">
        <f>_xlfn.IFNA(VLOOKUP(U31,'GRPO Wiz'!AP:BQ,28,FALSE),"")</f>
        <v/>
      </c>
      <c r="BH31" s="52" t="str">
        <f>_xlfn.IFNA(VLOOKUP(U31,'GRPO Wiz'!AP:BN,25,FALSE),"")</f>
        <v/>
      </c>
      <c r="BI31" s="52" t="str">
        <f>_xlfn.IFNA(VLOOKUP(U31,'GRPO Wiz'!AP:BT,31,FALSE),"")</f>
        <v/>
      </c>
      <c r="BJ31" s="52" t="str">
        <f>_xlfn.IFNA(VLOOKUP(U31,'GRPO Wiz'!AP:BZ,32,FALSE),"")</f>
        <v/>
      </c>
      <c r="BK31" s="52" t="str">
        <f>_xlfn.IFNA(VLOOKUP(U31,'GRPO Wiz'!AP:BZ,27,FALSE),"")</f>
        <v/>
      </c>
      <c r="BL31" s="52" t="str">
        <f>_xlfn.IFNA(VALUE(VLOOKUP(U31,'GRPO Wiz'!AP:BZ,29,FALSE)),"")</f>
        <v/>
      </c>
      <c r="BM31" s="52" t="str">
        <f>IF(OR(_xlfn.IFNA(VLOOKUP(U31,'GRPO Wiz'!AP:BZ,33,FALSE),"")="NSC",_xlfn.IFNA(VLOOKUP(U31,'GRPO Wiz'!AP:BZ,33,FALSE),"")="NSSMC"),"NSC","")</f>
        <v/>
      </c>
      <c r="BX31" s="52" t="str">
        <f t="shared" si="17"/>
        <v/>
      </c>
      <c r="BY31" s="52" t="str">
        <f>_xlfn.IFNA(VLOOKUP(BX31&amp;H31,AP!IP:IQ,2,FALSE),"")</f>
        <v/>
      </c>
      <c r="BZ31" s="53" t="str">
        <f t="shared" si="18"/>
        <v/>
      </c>
      <c r="CA31" s="53"/>
      <c r="CD31" s="52" t="str">
        <f>_xlfn.IFNA((VLOOKUP(BX31&amp;H31,AP!IP:IS,4,FALSE)),"")</f>
        <v/>
      </c>
    </row>
    <row r="32" spans="10:101" ht="26.25" customHeight="1" x14ac:dyDescent="0.25">
      <c r="J32" s="52" t="str">
        <f t="shared" si="14"/>
        <v/>
      </c>
      <c r="K32" s="52" t="str">
        <f>IF(O32="","",VLOOKUP(U32,Data!O:AC,15,FALSE)/G32)</f>
        <v/>
      </c>
      <c r="X32" s="52" t="str">
        <f t="shared" si="15"/>
        <v/>
      </c>
      <c r="Z32" s="52">
        <f t="shared" si="16"/>
        <v>0</v>
      </c>
      <c r="AG32" s="52" t="str">
        <f>_xlfn.IFNA(VLOOKUP(U32,'Incoming Material Report'!A:M,13,FALSE),"")</f>
        <v/>
      </c>
      <c r="AH32" s="52" t="str">
        <f>_xlfn.IFNA(IF(VLOOKUP(U32,'Incoming Material Report'!A:N,14,FALSE)="","",VLOOKUP(U32,'Incoming Material Report'!A:N,14,FALSE)),"")</f>
        <v/>
      </c>
      <c r="AI32" s="52" t="str">
        <f>_xlfn.IFNA(VLOOKUP(U32,'Incoming Material Report'!A:Z,24,FALSE),"")</f>
        <v/>
      </c>
      <c r="AJ32" s="52" t="str">
        <f>_xlfn.IFNA(VLOOKUP(U32,'Incoming Material Report'!A:Z,25,FALSE),"")</f>
        <v/>
      </c>
      <c r="AK32" s="52" t="str">
        <f>_xlfn.IFNA(VLOOKUP(U32,'Incoming Material Report'!A:Z,26,FALSE),"")</f>
        <v/>
      </c>
      <c r="AL32" s="52" t="str">
        <f>_xlfn.IFNA(VLOOKUP(U32,'Incoming Material Report'!A:Z,2,FALSE),"")</f>
        <v/>
      </c>
      <c r="AM32" s="52" t="str">
        <f>_xlfn.IFNA(VLOOKUP(U32,'Incoming Material Report'!A:K,11,FALSE)/1000,"")</f>
        <v/>
      </c>
      <c r="AO32" s="52" t="str">
        <f>_xlfn.IFNA(VLOOKUP(U32,'Incoming Material Report'!A:R,18,FALSE)*1000,"")</f>
        <v/>
      </c>
      <c r="AQ32" s="52" t="str">
        <f>_xlfn.IFNA(TEXT(VLOOKUP(U32,'Incoming Material Report'!A:D,4,FALSE),"dd.mm.yy"),"")</f>
        <v/>
      </c>
      <c r="AR32" s="52" t="str">
        <f>_xlfn.IFNA(VLOOKUP(U32,'Incoming Material Report'!A:Z,5,FALSE),"")</f>
        <v/>
      </c>
      <c r="AT32" s="52" t="str">
        <f>IF(OR(_xlfn.IFNA(VLOOKUP(U32,'Incoming Material Report'!A:Z,6,FALSE),"")="NSC",_xlfn.IFNA(VLOOKUP(U32,'Incoming Material Report'!A:Z,6,FALSE),"")="NSSMC"),"NSC","")</f>
        <v/>
      </c>
      <c r="AU32" s="52" t="str">
        <f>_xlfn.IFNA(VLOOKUP(U32,'Incoming Material Report'!A:Z,8,FALSE),"")</f>
        <v/>
      </c>
      <c r="AZ32" s="52" t="str">
        <f>_xlfn.IFNA(VLOOKUP(U32,'GRPO Wiz'!AP:BT,17,FALSE),"")</f>
        <v/>
      </c>
      <c r="BA32" s="52" t="str">
        <f>_xlfn.IFNA(VLOOKUP(U32,'GRPO Wiz'!AP:BT,18,FALSE),"")</f>
        <v/>
      </c>
      <c r="BB32" s="52" t="str">
        <f>_xlfn.IFNA(VLOOKUP(U32,'GRPO Wiz'!AP:BT,19,FALSE),"")</f>
        <v/>
      </c>
      <c r="BC32" s="52" t="str">
        <f>_xlfn.IFNA(VLOOKUP(U32,'GRPO Wiz'!AP:BT,20,FALSE),"")</f>
        <v/>
      </c>
      <c r="BD32" s="52" t="str">
        <f>_xlfn.IFNA(VLOOKUP(U32,'GRPO Wiz'!AP:BT,21,FALSE),"")</f>
        <v/>
      </c>
      <c r="BE32" s="52" t="str">
        <f>_xlfn.IFNA(LEFT((VLOOKUP(U32,'GRPO Wiz'!AP:BT,22,FALSE)),8),"")</f>
        <v/>
      </c>
      <c r="BF32" s="52" t="str">
        <f>_xlfn.IFNA(VLOOKUP(U32,'GRPO Wiz'!AP:BT,26,FALSE),"")</f>
        <v/>
      </c>
      <c r="BG32" s="57" t="str">
        <f>_xlfn.IFNA(VLOOKUP(U32,'GRPO Wiz'!AP:BQ,28,FALSE),"")</f>
        <v/>
      </c>
      <c r="BH32" s="52" t="str">
        <f>_xlfn.IFNA(VLOOKUP(U32,'GRPO Wiz'!AP:BN,25,FALSE),"")</f>
        <v/>
      </c>
      <c r="BI32" s="52" t="str">
        <f>_xlfn.IFNA(VLOOKUP(U32,'GRPO Wiz'!AP:BT,31,FALSE),"")</f>
        <v/>
      </c>
      <c r="BJ32" s="52" t="str">
        <f>_xlfn.IFNA(VLOOKUP(U32,'GRPO Wiz'!AP:BZ,32,FALSE),"")</f>
        <v/>
      </c>
      <c r="BK32" s="52" t="str">
        <f>_xlfn.IFNA(VLOOKUP(U32,'GRPO Wiz'!AP:BZ,27,FALSE),"")</f>
        <v/>
      </c>
      <c r="BL32" s="52" t="str">
        <f>_xlfn.IFNA(VALUE(VLOOKUP(U32,'GRPO Wiz'!AP:BZ,29,FALSE)),"")</f>
        <v/>
      </c>
      <c r="BM32" s="52" t="str">
        <f>IF(OR(_xlfn.IFNA(VLOOKUP(U32,'GRPO Wiz'!AP:BZ,33,FALSE),"")="NSC",_xlfn.IFNA(VLOOKUP(U32,'GRPO Wiz'!AP:BZ,33,FALSE),"")="NSSMC"),"NSC","")</f>
        <v/>
      </c>
      <c r="BX32" s="52" t="str">
        <f t="shared" si="17"/>
        <v/>
      </c>
      <c r="BY32" s="52" t="str">
        <f>_xlfn.IFNA(VLOOKUP(BX32&amp;H32,AP!IP:IQ,2,FALSE),"")</f>
        <v/>
      </c>
      <c r="BZ32" s="53" t="str">
        <f t="shared" si="18"/>
        <v/>
      </c>
      <c r="CA32" s="53"/>
      <c r="CD32" s="52" t="str">
        <f>_xlfn.IFNA((VLOOKUP(BX32&amp;H32,AP!IP:IS,4,FALSE)),"")</f>
        <v/>
      </c>
    </row>
    <row r="33" spans="10:82" ht="26.25" customHeight="1" x14ac:dyDescent="0.25">
      <c r="J33" s="52" t="str">
        <f t="shared" si="14"/>
        <v/>
      </c>
      <c r="K33" s="52" t="str">
        <f>IF(O33="","",VLOOKUP(U33,Data!O:AC,15,FALSE)/G33)</f>
        <v/>
      </c>
      <c r="X33" s="52" t="str">
        <f t="shared" si="15"/>
        <v/>
      </c>
      <c r="Z33" s="52">
        <f t="shared" si="16"/>
        <v>0</v>
      </c>
      <c r="AG33" s="52" t="str">
        <f>_xlfn.IFNA(VLOOKUP(U33,'Incoming Material Report'!A:M,13,FALSE),"")</f>
        <v/>
      </c>
      <c r="AH33" s="52" t="str">
        <f>_xlfn.IFNA(IF(VLOOKUP(U33,'Incoming Material Report'!A:N,14,FALSE)="","",VLOOKUP(U33,'Incoming Material Report'!A:N,14,FALSE)),"")</f>
        <v/>
      </c>
      <c r="AI33" s="52" t="str">
        <f>_xlfn.IFNA(VLOOKUP(U33,'Incoming Material Report'!A:Z,24,FALSE),"")</f>
        <v/>
      </c>
      <c r="AJ33" s="52" t="str">
        <f>_xlfn.IFNA(VLOOKUP(U33,'Incoming Material Report'!A:Z,25,FALSE),"")</f>
        <v/>
      </c>
      <c r="AK33" s="52" t="str">
        <f>_xlfn.IFNA(VLOOKUP(U33,'Incoming Material Report'!A:Z,26,FALSE),"")</f>
        <v/>
      </c>
      <c r="AL33" s="52" t="str">
        <f>_xlfn.IFNA(VLOOKUP(U33,'Incoming Material Report'!A:Z,2,FALSE),"")</f>
        <v/>
      </c>
      <c r="AM33" s="52" t="str">
        <f>_xlfn.IFNA(VLOOKUP(U33,'Incoming Material Report'!A:K,11,FALSE)/1000,"")</f>
        <v/>
      </c>
      <c r="AO33" s="52" t="str">
        <f>_xlfn.IFNA(VLOOKUP(U33,'Incoming Material Report'!A:R,18,FALSE)*1000,"")</f>
        <v/>
      </c>
      <c r="AQ33" s="52" t="str">
        <f>_xlfn.IFNA(TEXT(VLOOKUP(U33,'Incoming Material Report'!A:D,4,FALSE),"dd.mm.yy"),"")</f>
        <v/>
      </c>
      <c r="AR33" s="52" t="str">
        <f>_xlfn.IFNA(VLOOKUP(U33,'Incoming Material Report'!A:Z,5,FALSE),"")</f>
        <v/>
      </c>
      <c r="AT33" s="52" t="str">
        <f>IF(OR(_xlfn.IFNA(VLOOKUP(U33,'Incoming Material Report'!A:Z,6,FALSE),"")="NSC",_xlfn.IFNA(VLOOKUP(U33,'Incoming Material Report'!A:Z,6,FALSE),"")="NSSMC"),"NSC","")</f>
        <v/>
      </c>
      <c r="AU33" s="52" t="str">
        <f>_xlfn.IFNA(VLOOKUP(U33,'Incoming Material Report'!A:Z,8,FALSE),"")</f>
        <v/>
      </c>
      <c r="AZ33" s="52" t="str">
        <f>_xlfn.IFNA(VLOOKUP(U33,'GRPO Wiz'!AP:BT,17,FALSE),"")</f>
        <v/>
      </c>
      <c r="BA33" s="52" t="str">
        <f>_xlfn.IFNA(VLOOKUP(U33,'GRPO Wiz'!AP:BT,18,FALSE),"")</f>
        <v/>
      </c>
      <c r="BB33" s="52" t="str">
        <f>_xlfn.IFNA(VLOOKUP(U33,'GRPO Wiz'!AP:BT,19,FALSE),"")</f>
        <v/>
      </c>
      <c r="BC33" s="52" t="str">
        <f>_xlfn.IFNA(VLOOKUP(U33,'GRPO Wiz'!AP:BT,20,FALSE),"")</f>
        <v/>
      </c>
      <c r="BD33" s="52" t="str">
        <f>_xlfn.IFNA(VLOOKUP(U33,'GRPO Wiz'!AP:BT,21,FALSE),"")</f>
        <v/>
      </c>
      <c r="BE33" s="52" t="str">
        <f>_xlfn.IFNA(LEFT((VLOOKUP(U33,'GRPO Wiz'!AP:BT,22,FALSE)),8),"")</f>
        <v/>
      </c>
      <c r="BF33" s="52" t="str">
        <f>_xlfn.IFNA(VLOOKUP(U33,'GRPO Wiz'!AP:BT,26,FALSE),"")</f>
        <v/>
      </c>
      <c r="BG33" s="57" t="str">
        <f>_xlfn.IFNA(VLOOKUP(U33,'GRPO Wiz'!AP:BQ,28,FALSE),"")</f>
        <v/>
      </c>
      <c r="BH33" s="52" t="str">
        <f>_xlfn.IFNA(VLOOKUP(U33,'GRPO Wiz'!AP:BN,25,FALSE),"")</f>
        <v/>
      </c>
      <c r="BI33" s="52" t="str">
        <f>_xlfn.IFNA(VLOOKUP(U33,'GRPO Wiz'!AP:BT,31,FALSE),"")</f>
        <v/>
      </c>
      <c r="BJ33" s="52" t="str">
        <f>_xlfn.IFNA(VLOOKUP(U33,'GRPO Wiz'!AP:BZ,32,FALSE),"")</f>
        <v/>
      </c>
      <c r="BK33" s="52" t="str">
        <f>_xlfn.IFNA(VLOOKUP(U33,'GRPO Wiz'!AP:BZ,27,FALSE),"")</f>
        <v/>
      </c>
      <c r="BL33" s="52" t="str">
        <f>_xlfn.IFNA(VALUE(VLOOKUP(U33,'GRPO Wiz'!AP:BZ,29,FALSE)),"")</f>
        <v/>
      </c>
      <c r="BM33" s="52" t="str">
        <f>IF(OR(_xlfn.IFNA(VLOOKUP(U33,'GRPO Wiz'!AP:BZ,33,FALSE),"")="NSC",_xlfn.IFNA(VLOOKUP(U33,'GRPO Wiz'!AP:BZ,33,FALSE),"")="NSSMC"),"NSC","")</f>
        <v/>
      </c>
      <c r="BX33" s="52" t="str">
        <f t="shared" si="17"/>
        <v/>
      </c>
      <c r="BY33" s="52" t="str">
        <f>_xlfn.IFNA(VLOOKUP(BX33&amp;H33,AP!IP:IQ,2,FALSE),"")</f>
        <v/>
      </c>
      <c r="BZ33" s="53" t="str">
        <f t="shared" si="18"/>
        <v/>
      </c>
      <c r="CA33" s="53"/>
      <c r="CD33" s="52" t="str">
        <f>_xlfn.IFNA((VLOOKUP(BX33&amp;H33,AP!IP:IS,4,FALSE)),"")</f>
        <v/>
      </c>
    </row>
    <row r="34" spans="10:82" ht="26.25" customHeight="1" x14ac:dyDescent="0.25">
      <c r="J34" s="52" t="str">
        <f t="shared" ref="J34:J67" si="19">IF(O34="","",ROUND(H34*ROUND(I34,1),2))</f>
        <v/>
      </c>
      <c r="K34" s="52" t="str">
        <f>IF(O34="","",VLOOKUP(U34,Data!O:AC,15,FALSE)/G34)</f>
        <v/>
      </c>
      <c r="X34" s="52" t="str">
        <f t="shared" ref="X34:X67" si="20">AT34</f>
        <v/>
      </c>
      <c r="Z34" s="52">
        <f t="shared" ref="Z34:Z67" si="21">IFERROR(ROUND(H34*I34,2),0)</f>
        <v>0</v>
      </c>
      <c r="AG34" s="52" t="str">
        <f>_xlfn.IFNA(VLOOKUP(U34,'Incoming Material Report'!A:M,13,FALSE),"")</f>
        <v/>
      </c>
      <c r="AH34" s="52" t="str">
        <f>_xlfn.IFNA(IF(VLOOKUP(U34,'Incoming Material Report'!A:N,14,FALSE)="","",VLOOKUP(U34,'Incoming Material Report'!A:N,14,FALSE)),"")</f>
        <v/>
      </c>
      <c r="AI34" s="52" t="str">
        <f>_xlfn.IFNA(VLOOKUP(U34,'Incoming Material Report'!A:Z,24,FALSE),"")</f>
        <v/>
      </c>
      <c r="AJ34" s="52" t="str">
        <f>_xlfn.IFNA(VLOOKUP(U34,'Incoming Material Report'!A:Z,25,FALSE),"")</f>
        <v/>
      </c>
      <c r="AK34" s="52" t="str">
        <f>_xlfn.IFNA(VLOOKUP(U34,'Incoming Material Report'!A:Z,26,FALSE),"")</f>
        <v/>
      </c>
      <c r="AL34" s="52" t="str">
        <f>_xlfn.IFNA(VLOOKUP(U34,'Incoming Material Report'!A:Z,2,FALSE),"")</f>
        <v/>
      </c>
      <c r="AM34" s="52" t="str">
        <f>_xlfn.IFNA(VLOOKUP(U34,'Incoming Material Report'!A:K,11,FALSE)/1000,"")</f>
        <v/>
      </c>
      <c r="AO34" s="52" t="str">
        <f>_xlfn.IFNA(VLOOKUP(U34,'Incoming Material Report'!A:R,18,FALSE)*1000,"")</f>
        <v/>
      </c>
      <c r="AQ34" s="52" t="str">
        <f>_xlfn.IFNA(TEXT(VLOOKUP(U34,'Incoming Material Report'!A:D,4,FALSE),"dd.mm.yy"),"")</f>
        <v/>
      </c>
      <c r="AR34" s="52" t="str">
        <f>_xlfn.IFNA(VLOOKUP(U34,'Incoming Material Report'!A:Z,5,FALSE),"")</f>
        <v/>
      </c>
      <c r="AT34" s="52" t="str">
        <f>IF(OR(_xlfn.IFNA(VLOOKUP(U34,'Incoming Material Report'!A:Z,6,FALSE),"")="NSC",_xlfn.IFNA(VLOOKUP(U34,'Incoming Material Report'!A:Z,6,FALSE),"")="NSSMC"),"NSC","")</f>
        <v/>
      </c>
      <c r="AU34" s="52" t="str">
        <f>_xlfn.IFNA(VLOOKUP(U34,'Incoming Material Report'!A:Z,8,FALSE),"")</f>
        <v/>
      </c>
      <c r="AZ34" s="52" t="str">
        <f>_xlfn.IFNA(VLOOKUP(U34,'GRPO Wiz'!AP:BT,17,FALSE),"")</f>
        <v/>
      </c>
      <c r="BA34" s="52" t="str">
        <f>_xlfn.IFNA(VLOOKUP(U34,'GRPO Wiz'!AP:BT,18,FALSE),"")</f>
        <v/>
      </c>
      <c r="BB34" s="52" t="str">
        <f>_xlfn.IFNA(VLOOKUP(U34,'GRPO Wiz'!AP:BT,19,FALSE),"")</f>
        <v/>
      </c>
      <c r="BC34" s="52" t="str">
        <f>_xlfn.IFNA(VLOOKUP(U34,'GRPO Wiz'!AP:BT,20,FALSE),"")</f>
        <v/>
      </c>
      <c r="BD34" s="52" t="str">
        <f>_xlfn.IFNA(VLOOKUP(U34,'GRPO Wiz'!AP:BT,21,FALSE),"")</f>
        <v/>
      </c>
      <c r="BE34" s="52" t="str">
        <f>_xlfn.IFNA(LEFT((VLOOKUP(U34,'GRPO Wiz'!AP:BT,22,FALSE)),8),"")</f>
        <v/>
      </c>
      <c r="BF34" s="52" t="str">
        <f>_xlfn.IFNA(VLOOKUP(U34,'GRPO Wiz'!AP:BT,26,FALSE),"")</f>
        <v/>
      </c>
      <c r="BG34" s="63" t="str">
        <f>_xlfn.IFNA(VLOOKUP(U34,'GRPO Wiz'!AP:BQ,28,FALSE),"")</f>
        <v/>
      </c>
      <c r="BH34" s="52" t="str">
        <f>_xlfn.IFNA(VLOOKUP(U34,'GRPO Wiz'!AP:BN,25,FALSE),"")</f>
        <v/>
      </c>
      <c r="BI34" s="52" t="str">
        <f>_xlfn.IFNA(VLOOKUP(U34,'GRPO Wiz'!AP:BT,31,FALSE),"")</f>
        <v/>
      </c>
      <c r="BJ34" s="52" t="str">
        <f>_xlfn.IFNA(VLOOKUP(U34,'GRPO Wiz'!AP:BZ,32,FALSE),"")</f>
        <v/>
      </c>
      <c r="BK34" s="52" t="str">
        <f>_xlfn.IFNA(VLOOKUP(U34,'GRPO Wiz'!AP:BZ,27,FALSE),"")</f>
        <v/>
      </c>
      <c r="BL34" s="52" t="str">
        <f>_xlfn.IFNA(VALUE(VLOOKUP(U34,'GRPO Wiz'!AP:BZ,29,FALSE)),"")</f>
        <v/>
      </c>
      <c r="BM34" s="52" t="str">
        <f>IF(OR(_xlfn.IFNA(VLOOKUP(U34,'GRPO Wiz'!AP:BZ,33,FALSE),"")="NSC",_xlfn.IFNA(VLOOKUP(U34,'GRPO Wiz'!AP:BZ,33,FALSE),"")="NSSMC"),"NSC","")</f>
        <v/>
      </c>
      <c r="BX34" s="52" t="str">
        <f t="shared" ref="BX34:BX67" si="22">AU34</f>
        <v/>
      </c>
      <c r="BY34" s="52" t="str">
        <f>_xlfn.IFNA(VLOOKUP(BX34&amp;H34,AP!IP:IQ,2,FALSE),"")</f>
        <v/>
      </c>
      <c r="BZ34" s="53" t="str">
        <f t="shared" ref="BZ34:BZ67" si="23">IF($BZ$1="AP IGST",IFERROR(BY34*18%,""),IFERROR(BY34*9%,""))</f>
        <v/>
      </c>
      <c r="CA34" s="53"/>
      <c r="CD34" s="52" t="str">
        <f>_xlfn.IFNA((VLOOKUP(BX34&amp;H34,AP!IP:IS,4,FALSE)),"")</f>
        <v/>
      </c>
    </row>
    <row r="35" spans="10:82" ht="26.25" customHeight="1" x14ac:dyDescent="0.25">
      <c r="J35" s="52" t="str">
        <f t="shared" si="19"/>
        <v/>
      </c>
      <c r="K35" s="52" t="str">
        <f>IF(O35="","",VLOOKUP(U35,Data!O:AC,15,FALSE)/G35)</f>
        <v/>
      </c>
      <c r="X35" s="52" t="str">
        <f t="shared" si="20"/>
        <v/>
      </c>
      <c r="Z35" s="52">
        <f t="shared" si="21"/>
        <v>0</v>
      </c>
      <c r="AG35" s="52" t="str">
        <f>_xlfn.IFNA(VLOOKUP(U35,'Incoming Material Report'!A:M,13,FALSE),"")</f>
        <v/>
      </c>
      <c r="AH35" s="52" t="str">
        <f>_xlfn.IFNA(IF(VLOOKUP(U35,'Incoming Material Report'!A:N,14,FALSE)="","",VLOOKUP(U35,'Incoming Material Report'!A:N,14,FALSE)),"")</f>
        <v/>
      </c>
      <c r="AI35" s="52" t="str">
        <f>_xlfn.IFNA(VLOOKUP(U35,'Incoming Material Report'!A:Z,24,FALSE),"")</f>
        <v/>
      </c>
      <c r="AJ35" s="52" t="str">
        <f>_xlfn.IFNA(VLOOKUP(U35,'Incoming Material Report'!A:Z,25,FALSE),"")</f>
        <v/>
      </c>
      <c r="AK35" s="52" t="str">
        <f>_xlfn.IFNA(VLOOKUP(U35,'Incoming Material Report'!A:Z,26,FALSE),"")</f>
        <v/>
      </c>
      <c r="AL35" s="52" t="str">
        <f>_xlfn.IFNA(VLOOKUP(U35,'Incoming Material Report'!A:Z,2,FALSE),"")</f>
        <v/>
      </c>
      <c r="AM35" s="52" t="str">
        <f>_xlfn.IFNA(VLOOKUP(U35,'Incoming Material Report'!A:K,11,FALSE)/1000,"")</f>
        <v/>
      </c>
      <c r="AO35" s="52" t="str">
        <f>_xlfn.IFNA(VLOOKUP(U35,'Incoming Material Report'!A:R,18,FALSE)*1000,"")</f>
        <v/>
      </c>
      <c r="AQ35" s="52" t="str">
        <f>_xlfn.IFNA(TEXT(VLOOKUP(U35,'Incoming Material Report'!A:D,4,FALSE),"dd.mm.yy"),"")</f>
        <v/>
      </c>
      <c r="AR35" s="52" t="str">
        <f>_xlfn.IFNA(VLOOKUP(U35,'Incoming Material Report'!A:Z,5,FALSE),"")</f>
        <v/>
      </c>
      <c r="AT35" s="52" t="str">
        <f>IF(OR(_xlfn.IFNA(VLOOKUP(U35,'Incoming Material Report'!A:Z,6,FALSE),"")="NSC",_xlfn.IFNA(VLOOKUP(U35,'Incoming Material Report'!A:Z,6,FALSE),"")="NSSMC"),"NSC","")</f>
        <v/>
      </c>
      <c r="AU35" s="52" t="str">
        <f>_xlfn.IFNA(VLOOKUP(U35,'Incoming Material Report'!A:Z,8,FALSE),"")</f>
        <v/>
      </c>
      <c r="AZ35" s="52" t="str">
        <f>_xlfn.IFNA(VLOOKUP(U35,'GRPO Wiz'!AP:BT,17,FALSE),"")</f>
        <v/>
      </c>
      <c r="BA35" s="52" t="str">
        <f>_xlfn.IFNA(VLOOKUP(U35,'GRPO Wiz'!AP:BT,18,FALSE),"")</f>
        <v/>
      </c>
      <c r="BB35" s="52" t="str">
        <f>_xlfn.IFNA(VLOOKUP(U35,'GRPO Wiz'!AP:BT,19,FALSE),"")</f>
        <v/>
      </c>
      <c r="BC35" s="52" t="str">
        <f>_xlfn.IFNA(VLOOKUP(U35,'GRPO Wiz'!AP:BT,20,FALSE),"")</f>
        <v/>
      </c>
      <c r="BD35" s="52" t="str">
        <f>_xlfn.IFNA(VLOOKUP(U35,'GRPO Wiz'!AP:BT,21,FALSE),"")</f>
        <v/>
      </c>
      <c r="BE35" s="52" t="str">
        <f>_xlfn.IFNA(LEFT((VLOOKUP(U35,'GRPO Wiz'!AP:BT,22,FALSE)),8),"")</f>
        <v/>
      </c>
      <c r="BF35" s="52" t="str">
        <f>_xlfn.IFNA(VLOOKUP(U35,'GRPO Wiz'!AP:BT,26,FALSE),"")</f>
        <v/>
      </c>
      <c r="BG35" s="63" t="str">
        <f>_xlfn.IFNA(VLOOKUP(U35,'GRPO Wiz'!AP:BQ,28,FALSE),"")</f>
        <v/>
      </c>
      <c r="BH35" s="52" t="str">
        <f>_xlfn.IFNA(VLOOKUP(U35,'GRPO Wiz'!AP:BN,25,FALSE),"")</f>
        <v/>
      </c>
      <c r="BI35" s="52" t="str">
        <f>_xlfn.IFNA(VLOOKUP(U35,'GRPO Wiz'!AP:BT,31,FALSE),"")</f>
        <v/>
      </c>
      <c r="BJ35" s="52" t="str">
        <f>_xlfn.IFNA(VLOOKUP(U35,'GRPO Wiz'!AP:BZ,32,FALSE),"")</f>
        <v/>
      </c>
      <c r="BK35" s="52" t="str">
        <f>_xlfn.IFNA(VLOOKUP(U35,'GRPO Wiz'!AP:BZ,27,FALSE),"")</f>
        <v/>
      </c>
      <c r="BL35" s="52" t="str">
        <f>_xlfn.IFNA(VALUE(VLOOKUP(U35,'GRPO Wiz'!AP:BZ,29,FALSE)),"")</f>
        <v/>
      </c>
      <c r="BM35" s="52" t="str">
        <f>IF(OR(_xlfn.IFNA(VLOOKUP(U35,'GRPO Wiz'!AP:BZ,33,FALSE),"")="NSC",_xlfn.IFNA(VLOOKUP(U35,'GRPO Wiz'!AP:BZ,33,FALSE),"")="NSSMC"),"NSC","")</f>
        <v/>
      </c>
      <c r="BX35" s="52" t="str">
        <f t="shared" si="22"/>
        <v/>
      </c>
      <c r="BY35" s="52" t="str">
        <f>_xlfn.IFNA(VLOOKUP(BX35&amp;H35,AP!IP:IQ,2,FALSE),"")</f>
        <v/>
      </c>
      <c r="BZ35" s="53" t="str">
        <f t="shared" si="23"/>
        <v/>
      </c>
      <c r="CA35" s="53"/>
      <c r="CD35" s="52" t="str">
        <f>_xlfn.IFNA((VLOOKUP(BX35&amp;H35,AP!IP:IS,4,FALSE)),"")</f>
        <v/>
      </c>
    </row>
    <row r="36" spans="10:82" ht="26.25" customHeight="1" x14ac:dyDescent="0.25">
      <c r="J36" s="52" t="str">
        <f t="shared" si="19"/>
        <v/>
      </c>
      <c r="K36" s="52" t="str">
        <f>IF(O36="","",VLOOKUP(U36,Data!O:AC,15,FALSE)/G36)</f>
        <v/>
      </c>
      <c r="X36" s="52" t="str">
        <f t="shared" si="20"/>
        <v/>
      </c>
      <c r="Z36" s="52">
        <f t="shared" si="21"/>
        <v>0</v>
      </c>
      <c r="AG36" s="52" t="str">
        <f>_xlfn.IFNA(VLOOKUP(U36,'Incoming Material Report'!A:M,13,FALSE),"")</f>
        <v/>
      </c>
      <c r="AH36" s="52" t="str">
        <f>_xlfn.IFNA(IF(VLOOKUP(U36,'Incoming Material Report'!A:N,14,FALSE)="","",VLOOKUP(U36,'Incoming Material Report'!A:N,14,FALSE)),"")</f>
        <v/>
      </c>
      <c r="AI36" s="52" t="str">
        <f>_xlfn.IFNA(VLOOKUP(U36,'Incoming Material Report'!A:Z,24,FALSE),"")</f>
        <v/>
      </c>
      <c r="AJ36" s="52" t="str">
        <f>_xlfn.IFNA(VLOOKUP(U36,'Incoming Material Report'!A:Z,25,FALSE),"")</f>
        <v/>
      </c>
      <c r="AK36" s="52" t="str">
        <f>_xlfn.IFNA(VLOOKUP(U36,'Incoming Material Report'!A:Z,26,FALSE),"")</f>
        <v/>
      </c>
      <c r="AL36" s="52" t="str">
        <f>_xlfn.IFNA(VLOOKUP(U36,'Incoming Material Report'!A:Z,2,FALSE),"")</f>
        <v/>
      </c>
      <c r="AM36" s="52" t="str">
        <f>_xlfn.IFNA(VLOOKUP(U36,'Incoming Material Report'!A:K,11,FALSE)/1000,"")</f>
        <v/>
      </c>
      <c r="AO36" s="52" t="str">
        <f>_xlfn.IFNA(VLOOKUP(U36,'Incoming Material Report'!A:R,18,FALSE)*1000,"")</f>
        <v/>
      </c>
      <c r="AQ36" s="52" t="str">
        <f>_xlfn.IFNA(TEXT(VLOOKUP(U36,'Incoming Material Report'!A:D,4,FALSE),"dd.mm.yy"),"")</f>
        <v/>
      </c>
      <c r="AR36" s="52" t="str">
        <f>_xlfn.IFNA(VLOOKUP(U36,'Incoming Material Report'!A:Z,5,FALSE),"")</f>
        <v/>
      </c>
      <c r="AT36" s="52" t="str">
        <f>IF(OR(_xlfn.IFNA(VLOOKUP(U36,'Incoming Material Report'!A:Z,6,FALSE),"")="NSC",_xlfn.IFNA(VLOOKUP(U36,'Incoming Material Report'!A:Z,6,FALSE),"")="NSSMC"),"NSC","")</f>
        <v/>
      </c>
      <c r="AU36" s="52" t="str">
        <f>_xlfn.IFNA(VLOOKUP(U36,'Incoming Material Report'!A:Z,8,FALSE),"")</f>
        <v/>
      </c>
      <c r="AZ36" s="52" t="str">
        <f>_xlfn.IFNA(VLOOKUP(U36,'GRPO Wiz'!AP:BT,17,FALSE),"")</f>
        <v/>
      </c>
      <c r="BA36" s="52" t="str">
        <f>_xlfn.IFNA(VLOOKUP(U36,'GRPO Wiz'!AP:BT,18,FALSE),"")</f>
        <v/>
      </c>
      <c r="BB36" s="52" t="str">
        <f>_xlfn.IFNA(VLOOKUP(U36,'GRPO Wiz'!AP:BT,19,FALSE),"")</f>
        <v/>
      </c>
      <c r="BC36" s="52" t="str">
        <f>_xlfn.IFNA(VLOOKUP(U36,'GRPO Wiz'!AP:BT,20,FALSE),"")</f>
        <v/>
      </c>
      <c r="BD36" s="52" t="str">
        <f>_xlfn.IFNA(VLOOKUP(U36,'GRPO Wiz'!AP:BT,21,FALSE),"")</f>
        <v/>
      </c>
      <c r="BE36" s="52" t="str">
        <f>_xlfn.IFNA(LEFT((VLOOKUP(U36,'GRPO Wiz'!AP:BT,22,FALSE)),8),"")</f>
        <v/>
      </c>
      <c r="BF36" s="52" t="str">
        <f>_xlfn.IFNA(VLOOKUP(U36,'GRPO Wiz'!AP:BT,26,FALSE),"")</f>
        <v/>
      </c>
      <c r="BG36" s="63" t="str">
        <f>_xlfn.IFNA(VLOOKUP(U36,'GRPO Wiz'!AP:BQ,28,FALSE),"")</f>
        <v/>
      </c>
      <c r="BH36" s="52" t="str">
        <f>_xlfn.IFNA(VLOOKUP(U36,'GRPO Wiz'!AP:BN,25,FALSE),"")</f>
        <v/>
      </c>
      <c r="BI36" s="52" t="str">
        <f>_xlfn.IFNA(VLOOKUP(U36,'GRPO Wiz'!AP:BT,31,FALSE),"")</f>
        <v/>
      </c>
      <c r="BJ36" s="52" t="str">
        <f>_xlfn.IFNA(VLOOKUP(U36,'GRPO Wiz'!AP:BZ,32,FALSE),"")</f>
        <v/>
      </c>
      <c r="BK36" s="52" t="str">
        <f>_xlfn.IFNA(VLOOKUP(U36,'GRPO Wiz'!AP:BZ,27,FALSE),"")</f>
        <v/>
      </c>
      <c r="BL36" s="52" t="str">
        <f>_xlfn.IFNA(VALUE(VLOOKUP(U36,'GRPO Wiz'!AP:BZ,29,FALSE)),"")</f>
        <v/>
      </c>
      <c r="BM36" s="52" t="str">
        <f>IF(OR(_xlfn.IFNA(VLOOKUP(U36,'GRPO Wiz'!AP:BZ,33,FALSE),"")="NSC",_xlfn.IFNA(VLOOKUP(U36,'GRPO Wiz'!AP:BZ,33,FALSE),"")="NSSMC"),"NSC","")</f>
        <v/>
      </c>
      <c r="BX36" s="52" t="str">
        <f t="shared" si="22"/>
        <v/>
      </c>
      <c r="BY36" s="52" t="str">
        <f>_xlfn.IFNA(VLOOKUP(BX36&amp;H36,AP!IP:IQ,2,FALSE),"")</f>
        <v/>
      </c>
      <c r="BZ36" s="53" t="str">
        <f t="shared" si="23"/>
        <v/>
      </c>
      <c r="CA36" s="53"/>
      <c r="CD36" s="52" t="str">
        <f>_xlfn.IFNA((VLOOKUP(BX36&amp;H36,AP!IP:IS,4,FALSE)),"")</f>
        <v/>
      </c>
    </row>
    <row r="37" spans="10:82" ht="26.25" customHeight="1" x14ac:dyDescent="0.25">
      <c r="J37" s="52" t="str">
        <f t="shared" si="19"/>
        <v/>
      </c>
      <c r="K37" s="52" t="str">
        <f>IF(O37="","",VLOOKUP(U37,Data!O:AC,15,FALSE)/G37)</f>
        <v/>
      </c>
      <c r="X37" s="52" t="str">
        <f t="shared" si="20"/>
        <v/>
      </c>
      <c r="Z37" s="52">
        <f t="shared" si="21"/>
        <v>0</v>
      </c>
      <c r="AG37" s="52" t="str">
        <f>_xlfn.IFNA(VLOOKUP(U37,'Incoming Material Report'!A:M,13,FALSE),"")</f>
        <v/>
      </c>
      <c r="AH37" s="52" t="str">
        <f>_xlfn.IFNA(IF(VLOOKUP(U37,'Incoming Material Report'!A:N,14,FALSE)="","",VLOOKUP(U37,'Incoming Material Report'!A:N,14,FALSE)),"")</f>
        <v/>
      </c>
      <c r="AI37" s="52" t="str">
        <f>_xlfn.IFNA(VLOOKUP(U37,'Incoming Material Report'!A:Z,24,FALSE),"")</f>
        <v/>
      </c>
      <c r="AJ37" s="52" t="str">
        <f>_xlfn.IFNA(VLOOKUP(U37,'Incoming Material Report'!A:Z,25,FALSE),"")</f>
        <v/>
      </c>
      <c r="AK37" s="52" t="str">
        <f>_xlfn.IFNA(VLOOKUP(U37,'Incoming Material Report'!A:Z,26,FALSE),"")</f>
        <v/>
      </c>
      <c r="AL37" s="52" t="str">
        <f>_xlfn.IFNA(VLOOKUP(U37,'Incoming Material Report'!A:Z,2,FALSE),"")</f>
        <v/>
      </c>
      <c r="AM37" s="52" t="str">
        <f>_xlfn.IFNA(VLOOKUP(U37,'Incoming Material Report'!A:K,11,FALSE)/1000,"")</f>
        <v/>
      </c>
      <c r="AO37" s="52" t="str">
        <f>_xlfn.IFNA(VLOOKUP(U37,'Incoming Material Report'!A:R,18,FALSE)*1000,"")</f>
        <v/>
      </c>
      <c r="AQ37" s="52" t="str">
        <f>_xlfn.IFNA(TEXT(VLOOKUP(U37,'Incoming Material Report'!A:D,4,FALSE),"dd.mm.yy"),"")</f>
        <v/>
      </c>
      <c r="AR37" s="52" t="str">
        <f>_xlfn.IFNA(VLOOKUP(U37,'Incoming Material Report'!A:Z,5,FALSE),"")</f>
        <v/>
      </c>
      <c r="AT37" s="52" t="str">
        <f>IF(OR(_xlfn.IFNA(VLOOKUP(U37,'Incoming Material Report'!A:Z,6,FALSE),"")="NSC",_xlfn.IFNA(VLOOKUP(U37,'Incoming Material Report'!A:Z,6,FALSE),"")="NSSMC"),"NSC","")</f>
        <v/>
      </c>
      <c r="AU37" s="52" t="str">
        <f>_xlfn.IFNA(VLOOKUP(U37,'Incoming Material Report'!A:Z,8,FALSE),"")</f>
        <v/>
      </c>
      <c r="AZ37" s="52" t="str">
        <f>_xlfn.IFNA(VLOOKUP(U37,'GRPO Wiz'!AP:BT,17,FALSE),"")</f>
        <v/>
      </c>
      <c r="BA37" s="52" t="str">
        <f>_xlfn.IFNA(VLOOKUP(U37,'GRPO Wiz'!AP:BT,18,FALSE),"")</f>
        <v/>
      </c>
      <c r="BB37" s="52" t="str">
        <f>_xlfn.IFNA(VLOOKUP(U37,'GRPO Wiz'!AP:BT,19,FALSE),"")</f>
        <v/>
      </c>
      <c r="BC37" s="52" t="str">
        <f>_xlfn.IFNA(VLOOKUP(U37,'GRPO Wiz'!AP:BT,20,FALSE),"")</f>
        <v/>
      </c>
      <c r="BD37" s="52" t="str">
        <f>_xlfn.IFNA(VLOOKUP(U37,'GRPO Wiz'!AP:BT,21,FALSE),"")</f>
        <v/>
      </c>
      <c r="BE37" s="52" t="str">
        <f>_xlfn.IFNA(LEFT((VLOOKUP(U37,'GRPO Wiz'!AP:BT,22,FALSE)),8),"")</f>
        <v/>
      </c>
      <c r="BF37" s="52" t="str">
        <f>_xlfn.IFNA(VLOOKUP(U37,'GRPO Wiz'!AP:BT,26,FALSE),"")</f>
        <v/>
      </c>
      <c r="BG37" s="63" t="str">
        <f>_xlfn.IFNA(VLOOKUP(U37,'GRPO Wiz'!AP:BQ,28,FALSE),"")</f>
        <v/>
      </c>
      <c r="BH37" s="52" t="str">
        <f>_xlfn.IFNA(VLOOKUP(U37,'GRPO Wiz'!AP:BN,25,FALSE),"")</f>
        <v/>
      </c>
      <c r="BI37" s="52" t="str">
        <f>_xlfn.IFNA(VLOOKUP(U37,'GRPO Wiz'!AP:BT,31,FALSE),"")</f>
        <v/>
      </c>
      <c r="BJ37" s="52" t="str">
        <f>_xlfn.IFNA(VLOOKUP(U37,'GRPO Wiz'!AP:BZ,32,FALSE),"")</f>
        <v/>
      </c>
      <c r="BK37" s="52" t="str">
        <f>_xlfn.IFNA(VLOOKUP(U37,'GRPO Wiz'!AP:BZ,27,FALSE),"")</f>
        <v/>
      </c>
      <c r="BL37" s="52" t="str">
        <f>_xlfn.IFNA(VALUE(VLOOKUP(U37,'GRPO Wiz'!AP:BZ,29,FALSE)),"")</f>
        <v/>
      </c>
      <c r="BM37" s="52" t="str">
        <f>IF(OR(_xlfn.IFNA(VLOOKUP(U37,'GRPO Wiz'!AP:BZ,33,FALSE),"")="NSC",_xlfn.IFNA(VLOOKUP(U37,'GRPO Wiz'!AP:BZ,33,FALSE),"")="NSSMC"),"NSC","")</f>
        <v/>
      </c>
      <c r="BX37" s="52" t="str">
        <f t="shared" si="22"/>
        <v/>
      </c>
      <c r="BY37" s="52" t="str">
        <f>_xlfn.IFNA(VLOOKUP(BX37&amp;H37,AP!IP:IQ,2,FALSE),"")</f>
        <v/>
      </c>
      <c r="BZ37" s="53" t="str">
        <f t="shared" si="23"/>
        <v/>
      </c>
      <c r="CA37" s="53"/>
      <c r="CD37" s="52" t="str">
        <f>_xlfn.IFNA((VLOOKUP(BX37&amp;H37,AP!IP:IS,4,FALSE)),"")</f>
        <v/>
      </c>
    </row>
    <row r="38" spans="10:82" ht="26.25" customHeight="1" x14ac:dyDescent="0.25">
      <c r="J38" s="52" t="str">
        <f t="shared" si="19"/>
        <v/>
      </c>
      <c r="K38" s="52" t="str">
        <f>IF(O38="","",VLOOKUP(U38,Data!O:AC,15,FALSE)/G38)</f>
        <v/>
      </c>
      <c r="X38" s="52" t="str">
        <f t="shared" si="20"/>
        <v/>
      </c>
      <c r="Z38" s="52">
        <f t="shared" si="21"/>
        <v>0</v>
      </c>
      <c r="AG38" s="52" t="str">
        <f>_xlfn.IFNA(VLOOKUP(U38,'Incoming Material Report'!A:M,13,FALSE),"")</f>
        <v/>
      </c>
      <c r="AH38" s="52" t="str">
        <f>_xlfn.IFNA(IF(VLOOKUP(U38,'Incoming Material Report'!A:N,14,FALSE)="","",VLOOKUP(U38,'Incoming Material Report'!A:N,14,FALSE)),"")</f>
        <v/>
      </c>
      <c r="AI38" s="52" t="str">
        <f>_xlfn.IFNA(VLOOKUP(U38,'Incoming Material Report'!A:Z,24,FALSE),"")</f>
        <v/>
      </c>
      <c r="AJ38" s="52" t="str">
        <f>_xlfn.IFNA(VLOOKUP(U38,'Incoming Material Report'!A:Z,25,FALSE),"")</f>
        <v/>
      </c>
      <c r="AK38" s="52" t="str">
        <f>_xlfn.IFNA(VLOOKUP(U38,'Incoming Material Report'!A:Z,26,FALSE),"")</f>
        <v/>
      </c>
      <c r="AL38" s="52" t="str">
        <f>_xlfn.IFNA(VLOOKUP(U38,'Incoming Material Report'!A:Z,2,FALSE),"")</f>
        <v/>
      </c>
      <c r="AM38" s="52" t="str">
        <f>_xlfn.IFNA(VLOOKUP(U38,'Incoming Material Report'!A:K,11,FALSE)/1000,"")</f>
        <v/>
      </c>
      <c r="AO38" s="52" t="str">
        <f>_xlfn.IFNA(VLOOKUP(U38,'Incoming Material Report'!A:R,18,FALSE)*1000,"")</f>
        <v/>
      </c>
      <c r="AQ38" s="52" t="str">
        <f>_xlfn.IFNA(TEXT(VLOOKUP(U38,'Incoming Material Report'!A:D,4,FALSE),"dd.mm.yy"),"")</f>
        <v/>
      </c>
      <c r="AR38" s="52" t="str">
        <f>_xlfn.IFNA(VLOOKUP(U38,'Incoming Material Report'!A:Z,5,FALSE),"")</f>
        <v/>
      </c>
      <c r="AT38" s="52" t="str">
        <f>IF(OR(_xlfn.IFNA(VLOOKUP(U38,'Incoming Material Report'!A:Z,6,FALSE),"")="NSC",_xlfn.IFNA(VLOOKUP(U38,'Incoming Material Report'!A:Z,6,FALSE),"")="NSSMC"),"NSC","")</f>
        <v/>
      </c>
      <c r="AU38" s="52" t="str">
        <f>_xlfn.IFNA(VLOOKUP(U38,'Incoming Material Report'!A:Z,8,FALSE),"")</f>
        <v/>
      </c>
      <c r="AZ38" s="52" t="str">
        <f>_xlfn.IFNA(VLOOKUP(U38,'GRPO Wiz'!AP:BT,17,FALSE),"")</f>
        <v/>
      </c>
      <c r="BA38" s="52" t="str">
        <f>_xlfn.IFNA(VLOOKUP(U38,'GRPO Wiz'!AP:BT,18,FALSE),"")</f>
        <v/>
      </c>
      <c r="BB38" s="52" t="str">
        <f>_xlfn.IFNA(VLOOKUP(U38,'GRPO Wiz'!AP:BT,19,FALSE),"")</f>
        <v/>
      </c>
      <c r="BC38" s="52" t="str">
        <f>_xlfn.IFNA(VLOOKUP(U38,'GRPO Wiz'!AP:BT,20,FALSE),"")</f>
        <v/>
      </c>
      <c r="BD38" s="52" t="str">
        <f>_xlfn.IFNA(VLOOKUP(U38,'GRPO Wiz'!AP:BT,21,FALSE),"")</f>
        <v/>
      </c>
      <c r="BE38" s="52" t="str">
        <f>_xlfn.IFNA(LEFT((VLOOKUP(U38,'GRPO Wiz'!AP:BT,22,FALSE)),8),"")</f>
        <v/>
      </c>
      <c r="BF38" s="52" t="str">
        <f>_xlfn.IFNA(VLOOKUP(U38,'GRPO Wiz'!AP:BT,26,FALSE),"")</f>
        <v/>
      </c>
      <c r="BG38" s="63" t="str">
        <f>_xlfn.IFNA(VLOOKUP(U38,'GRPO Wiz'!AP:BQ,28,FALSE),"")</f>
        <v/>
      </c>
      <c r="BH38" s="52" t="str">
        <f>_xlfn.IFNA(VLOOKUP(U38,'GRPO Wiz'!AP:BN,25,FALSE),"")</f>
        <v/>
      </c>
      <c r="BI38" s="52" t="str">
        <f>_xlfn.IFNA(VLOOKUP(U38,'GRPO Wiz'!AP:BT,31,FALSE),"")</f>
        <v/>
      </c>
      <c r="BJ38" s="52" t="str">
        <f>_xlfn.IFNA(VLOOKUP(U38,'GRPO Wiz'!AP:BZ,32,FALSE),"")</f>
        <v/>
      </c>
      <c r="BK38" s="52" t="str">
        <f>_xlfn.IFNA(VLOOKUP(U38,'GRPO Wiz'!AP:BZ,27,FALSE),"")</f>
        <v/>
      </c>
      <c r="BL38" s="52" t="str">
        <f>_xlfn.IFNA(VALUE(VLOOKUP(U38,'GRPO Wiz'!AP:BZ,29,FALSE)),"")</f>
        <v/>
      </c>
      <c r="BM38" s="52" t="str">
        <f>IF(OR(_xlfn.IFNA(VLOOKUP(U38,'GRPO Wiz'!AP:BZ,33,FALSE),"")="NSC",_xlfn.IFNA(VLOOKUP(U38,'GRPO Wiz'!AP:BZ,33,FALSE),"")="NSSMC"),"NSC","")</f>
        <v/>
      </c>
      <c r="BX38" s="52" t="str">
        <f t="shared" si="22"/>
        <v/>
      </c>
      <c r="BY38" s="52" t="str">
        <f>_xlfn.IFNA(VLOOKUP(BX38&amp;H38,AP!IP:IQ,2,FALSE),"")</f>
        <v/>
      </c>
      <c r="BZ38" s="53" t="str">
        <f t="shared" si="23"/>
        <v/>
      </c>
      <c r="CA38" s="53"/>
      <c r="CD38" s="52" t="str">
        <f>_xlfn.IFNA((VLOOKUP(BX38&amp;H38,AP!IP:IS,4,FALSE)),"")</f>
        <v/>
      </c>
    </row>
    <row r="39" spans="10:82" ht="26.25" customHeight="1" x14ac:dyDescent="0.25">
      <c r="J39" s="52" t="str">
        <f t="shared" si="19"/>
        <v/>
      </c>
      <c r="K39" s="52" t="str">
        <f>IF(O39="","",VLOOKUP(U39,Data!O:AC,15,FALSE)/G39)</f>
        <v/>
      </c>
      <c r="X39" s="52" t="str">
        <f t="shared" si="20"/>
        <v/>
      </c>
      <c r="Z39" s="52">
        <f t="shared" si="21"/>
        <v>0</v>
      </c>
      <c r="AG39" s="52" t="str">
        <f>_xlfn.IFNA(VLOOKUP(U39,'Incoming Material Report'!A:M,13,FALSE),"")</f>
        <v/>
      </c>
      <c r="AH39" s="52" t="str">
        <f>_xlfn.IFNA(IF(VLOOKUP(U39,'Incoming Material Report'!A:N,14,FALSE)="","",VLOOKUP(U39,'Incoming Material Report'!A:N,14,FALSE)),"")</f>
        <v/>
      </c>
      <c r="AI39" s="52" t="str">
        <f>_xlfn.IFNA(VLOOKUP(U39,'Incoming Material Report'!A:Z,24,FALSE),"")</f>
        <v/>
      </c>
      <c r="AJ39" s="52" t="str">
        <f>_xlfn.IFNA(VLOOKUP(U39,'Incoming Material Report'!A:Z,25,FALSE),"")</f>
        <v/>
      </c>
      <c r="AK39" s="52" t="str">
        <f>_xlfn.IFNA(VLOOKUP(U39,'Incoming Material Report'!A:Z,26,FALSE),"")</f>
        <v/>
      </c>
      <c r="AL39" s="52" t="str">
        <f>_xlfn.IFNA(VLOOKUP(U39,'Incoming Material Report'!A:Z,2,FALSE),"")</f>
        <v/>
      </c>
      <c r="AM39" s="52" t="str">
        <f>_xlfn.IFNA(VLOOKUP(U39,'Incoming Material Report'!A:K,11,FALSE)/1000,"")</f>
        <v/>
      </c>
      <c r="AO39" s="52" t="str">
        <f>_xlfn.IFNA(VLOOKUP(U39,'Incoming Material Report'!A:R,18,FALSE)*1000,"")</f>
        <v/>
      </c>
      <c r="AQ39" s="52" t="str">
        <f>_xlfn.IFNA(TEXT(VLOOKUP(U39,'Incoming Material Report'!A:D,4,FALSE),"dd.mm.yy"),"")</f>
        <v/>
      </c>
      <c r="AR39" s="52" t="str">
        <f>_xlfn.IFNA(VLOOKUP(U39,'Incoming Material Report'!A:Z,5,FALSE),"")</f>
        <v/>
      </c>
      <c r="AT39" s="52" t="str">
        <f>IF(OR(_xlfn.IFNA(VLOOKUP(U39,'Incoming Material Report'!A:Z,6,FALSE),"")="NSC",_xlfn.IFNA(VLOOKUP(U39,'Incoming Material Report'!A:Z,6,FALSE),"")="NSSMC"),"NSC","")</f>
        <v/>
      </c>
      <c r="AU39" s="52" t="str">
        <f>_xlfn.IFNA(VLOOKUP(U39,'Incoming Material Report'!A:Z,8,FALSE),"")</f>
        <v/>
      </c>
      <c r="AZ39" s="52" t="str">
        <f>_xlfn.IFNA(VLOOKUP(U39,'GRPO Wiz'!AP:BT,17,FALSE),"")</f>
        <v/>
      </c>
      <c r="BA39" s="52" t="str">
        <f>_xlfn.IFNA(VLOOKUP(U39,'GRPO Wiz'!AP:BT,18,FALSE),"")</f>
        <v/>
      </c>
      <c r="BB39" s="52" t="str">
        <f>_xlfn.IFNA(VLOOKUP(U39,'GRPO Wiz'!AP:BT,19,FALSE),"")</f>
        <v/>
      </c>
      <c r="BC39" s="52" t="str">
        <f>_xlfn.IFNA(VLOOKUP(U39,'GRPO Wiz'!AP:BT,20,FALSE),"")</f>
        <v/>
      </c>
      <c r="BD39" s="52" t="str">
        <f>_xlfn.IFNA(VLOOKUP(U39,'GRPO Wiz'!AP:BT,21,FALSE),"")</f>
        <v/>
      </c>
      <c r="BE39" s="52" t="str">
        <f>_xlfn.IFNA(LEFT((VLOOKUP(U39,'GRPO Wiz'!AP:BT,22,FALSE)),8),"")</f>
        <v/>
      </c>
      <c r="BF39" s="52" t="str">
        <f>_xlfn.IFNA(VLOOKUP(U39,'GRPO Wiz'!AP:BT,26,FALSE),"")</f>
        <v/>
      </c>
      <c r="BG39" s="63" t="str">
        <f>_xlfn.IFNA(VLOOKUP(U39,'GRPO Wiz'!AP:BQ,28,FALSE),"")</f>
        <v/>
      </c>
      <c r="BH39" s="52" t="str">
        <f>_xlfn.IFNA(VLOOKUP(U39,'GRPO Wiz'!AP:BN,25,FALSE),"")</f>
        <v/>
      </c>
      <c r="BI39" s="52" t="str">
        <f>_xlfn.IFNA(VLOOKUP(U39,'GRPO Wiz'!AP:BT,31,FALSE),"")</f>
        <v/>
      </c>
      <c r="BJ39" s="52" t="str">
        <f>_xlfn.IFNA(VLOOKUP(U39,'GRPO Wiz'!AP:BZ,32,FALSE),"")</f>
        <v/>
      </c>
      <c r="BK39" s="52" t="str">
        <f>_xlfn.IFNA(VLOOKUP(U39,'GRPO Wiz'!AP:BZ,27,FALSE),"")</f>
        <v/>
      </c>
      <c r="BL39" s="52" t="str">
        <f>_xlfn.IFNA(VALUE(VLOOKUP(U39,'GRPO Wiz'!AP:BZ,29,FALSE)),"")</f>
        <v/>
      </c>
      <c r="BM39" s="52" t="str">
        <f>IF(OR(_xlfn.IFNA(VLOOKUP(U39,'GRPO Wiz'!AP:BZ,33,FALSE),"")="NSC",_xlfn.IFNA(VLOOKUP(U39,'GRPO Wiz'!AP:BZ,33,FALSE),"")="NSSMC"),"NSC","")</f>
        <v/>
      </c>
      <c r="BX39" s="52" t="str">
        <f t="shared" si="22"/>
        <v/>
      </c>
      <c r="BY39" s="52" t="str">
        <f>_xlfn.IFNA(VLOOKUP(BX39&amp;H39,AP!IP:IQ,2,FALSE),"")</f>
        <v/>
      </c>
      <c r="BZ39" s="53" t="str">
        <f t="shared" si="23"/>
        <v/>
      </c>
      <c r="CA39" s="53"/>
      <c r="CD39" s="52" t="str">
        <f>_xlfn.IFNA((VLOOKUP(BX39&amp;H39,AP!IP:IS,4,FALSE)),"")</f>
        <v/>
      </c>
    </row>
    <row r="40" spans="10:82" ht="26.25" customHeight="1" x14ac:dyDescent="0.25">
      <c r="J40" s="52" t="str">
        <f t="shared" si="19"/>
        <v/>
      </c>
      <c r="K40" s="52" t="str">
        <f>IF(O40="","",VLOOKUP(U40,Data!O:AC,15,FALSE)/G40)</f>
        <v/>
      </c>
      <c r="X40" s="52" t="str">
        <f t="shared" si="20"/>
        <v/>
      </c>
      <c r="Z40" s="52">
        <f t="shared" si="21"/>
        <v>0</v>
      </c>
      <c r="AG40" s="52" t="str">
        <f>_xlfn.IFNA(VLOOKUP(U40,'Incoming Material Report'!A:M,13,FALSE),"")</f>
        <v/>
      </c>
      <c r="AH40" s="52" t="str">
        <f>_xlfn.IFNA(IF(VLOOKUP(U40,'Incoming Material Report'!A:N,14,FALSE)="","",VLOOKUP(U40,'Incoming Material Report'!A:N,14,FALSE)),"")</f>
        <v/>
      </c>
      <c r="AI40" s="52" t="str">
        <f>_xlfn.IFNA(VLOOKUP(U40,'Incoming Material Report'!A:Z,24,FALSE),"")</f>
        <v/>
      </c>
      <c r="AJ40" s="52" t="str">
        <f>_xlfn.IFNA(VLOOKUP(U40,'Incoming Material Report'!A:Z,25,FALSE),"")</f>
        <v/>
      </c>
      <c r="AK40" s="52" t="str">
        <f>_xlfn.IFNA(VLOOKUP(U40,'Incoming Material Report'!A:Z,26,FALSE),"")</f>
        <v/>
      </c>
      <c r="AL40" s="52" t="str">
        <f>_xlfn.IFNA(VLOOKUP(U40,'Incoming Material Report'!A:Z,2,FALSE),"")</f>
        <v/>
      </c>
      <c r="AM40" s="52" t="str">
        <f>_xlfn.IFNA(VLOOKUP(U40,'Incoming Material Report'!A:K,11,FALSE)/1000,"")</f>
        <v/>
      </c>
      <c r="AO40" s="52" t="str">
        <f>_xlfn.IFNA(VLOOKUP(U40,'Incoming Material Report'!A:R,18,FALSE)*1000,"")</f>
        <v/>
      </c>
      <c r="AQ40" s="52" t="str">
        <f>_xlfn.IFNA(TEXT(VLOOKUP(U40,'Incoming Material Report'!A:D,4,FALSE),"dd.mm.yy"),"")</f>
        <v/>
      </c>
      <c r="AR40" s="52" t="str">
        <f>_xlfn.IFNA(VLOOKUP(U40,'Incoming Material Report'!A:Z,5,FALSE),"")</f>
        <v/>
      </c>
      <c r="AT40" s="52" t="str">
        <f>IF(OR(_xlfn.IFNA(VLOOKUP(U40,'Incoming Material Report'!A:Z,6,FALSE),"")="NSC",_xlfn.IFNA(VLOOKUP(U40,'Incoming Material Report'!A:Z,6,FALSE),"")="NSSMC"),"NSC","")</f>
        <v/>
      </c>
      <c r="AU40" s="52" t="str">
        <f>_xlfn.IFNA(VLOOKUP(U40,'Incoming Material Report'!A:Z,8,FALSE),"")</f>
        <v/>
      </c>
      <c r="AZ40" s="52" t="str">
        <f>_xlfn.IFNA(VLOOKUP(U40,'GRPO Wiz'!AP:BT,17,FALSE),"")</f>
        <v/>
      </c>
      <c r="BA40" s="52" t="str">
        <f>_xlfn.IFNA(VLOOKUP(U40,'GRPO Wiz'!AP:BT,18,FALSE),"")</f>
        <v/>
      </c>
      <c r="BB40" s="52" t="str">
        <f>_xlfn.IFNA(VLOOKUP(U40,'GRPO Wiz'!AP:BT,19,FALSE),"")</f>
        <v/>
      </c>
      <c r="BC40" s="52" t="str">
        <f>_xlfn.IFNA(VLOOKUP(U40,'GRPO Wiz'!AP:BT,20,FALSE),"")</f>
        <v/>
      </c>
      <c r="BD40" s="52" t="str">
        <f>_xlfn.IFNA(VLOOKUP(U40,'GRPO Wiz'!AP:BT,21,FALSE),"")</f>
        <v/>
      </c>
      <c r="BE40" s="52" t="str">
        <f>_xlfn.IFNA(LEFT((VLOOKUP(U40,'GRPO Wiz'!AP:BT,22,FALSE)),8),"")</f>
        <v/>
      </c>
      <c r="BF40" s="52" t="str">
        <f>_xlfn.IFNA(VLOOKUP(U40,'GRPO Wiz'!AP:BT,26,FALSE),"")</f>
        <v/>
      </c>
      <c r="BG40" s="63" t="str">
        <f>_xlfn.IFNA(VLOOKUP(U40,'GRPO Wiz'!AP:BQ,28,FALSE),"")</f>
        <v/>
      </c>
      <c r="BH40" s="52" t="str">
        <f>_xlfn.IFNA(VLOOKUP(U40,'GRPO Wiz'!AP:BN,25,FALSE),"")</f>
        <v/>
      </c>
      <c r="BI40" s="52" t="str">
        <f>_xlfn.IFNA(VLOOKUP(U40,'GRPO Wiz'!AP:BT,31,FALSE),"")</f>
        <v/>
      </c>
      <c r="BJ40" s="52" t="str">
        <f>_xlfn.IFNA(VLOOKUP(U40,'GRPO Wiz'!AP:BZ,32,FALSE),"")</f>
        <v/>
      </c>
      <c r="BK40" s="52" t="str">
        <f>_xlfn.IFNA(VLOOKUP(U40,'GRPO Wiz'!AP:BZ,27,FALSE),"")</f>
        <v/>
      </c>
      <c r="BL40" s="52" t="str">
        <f>_xlfn.IFNA(VALUE(VLOOKUP(U40,'GRPO Wiz'!AP:BZ,29,FALSE)),"")</f>
        <v/>
      </c>
      <c r="BM40" s="52" t="str">
        <f>IF(OR(_xlfn.IFNA(VLOOKUP(U40,'GRPO Wiz'!AP:BZ,33,FALSE),"")="NSC",_xlfn.IFNA(VLOOKUP(U40,'GRPO Wiz'!AP:BZ,33,FALSE),"")="NSSMC"),"NSC","")</f>
        <v/>
      </c>
      <c r="BX40" s="52" t="str">
        <f t="shared" si="22"/>
        <v/>
      </c>
      <c r="BY40" s="52" t="str">
        <f>_xlfn.IFNA(VLOOKUP(BX40&amp;H40,AP!IP:IQ,2,FALSE),"")</f>
        <v/>
      </c>
      <c r="BZ40" s="53" t="str">
        <f t="shared" si="23"/>
        <v/>
      </c>
      <c r="CA40" s="53"/>
      <c r="CD40" s="52" t="str">
        <f>_xlfn.IFNA((VLOOKUP(BX40&amp;H40,AP!IP:IS,4,FALSE)),"")</f>
        <v/>
      </c>
    </row>
    <row r="41" spans="10:82" ht="26.25" customHeight="1" x14ac:dyDescent="0.25">
      <c r="J41" s="52" t="str">
        <f t="shared" si="19"/>
        <v/>
      </c>
      <c r="K41" s="52" t="str">
        <f>IF(O41="","",VLOOKUP(U41,Data!O:AC,15,FALSE)/G41)</f>
        <v/>
      </c>
      <c r="X41" s="52" t="str">
        <f t="shared" si="20"/>
        <v/>
      </c>
      <c r="Z41" s="52">
        <f t="shared" si="21"/>
        <v>0</v>
      </c>
      <c r="AG41" s="52" t="str">
        <f>_xlfn.IFNA(VLOOKUP(U41,'Incoming Material Report'!A:M,13,FALSE),"")</f>
        <v/>
      </c>
      <c r="AH41" s="52" t="str">
        <f>_xlfn.IFNA(IF(VLOOKUP(U41,'Incoming Material Report'!A:N,14,FALSE)="","",VLOOKUP(U41,'Incoming Material Report'!A:N,14,FALSE)),"")</f>
        <v/>
      </c>
      <c r="AI41" s="52" t="str">
        <f>_xlfn.IFNA(VLOOKUP(U41,'Incoming Material Report'!A:Z,24,FALSE),"")</f>
        <v/>
      </c>
      <c r="AJ41" s="52" t="str">
        <f>_xlfn.IFNA(VLOOKUP(U41,'Incoming Material Report'!A:Z,25,FALSE),"")</f>
        <v/>
      </c>
      <c r="AK41" s="52" t="str">
        <f>_xlfn.IFNA(VLOOKUP(U41,'Incoming Material Report'!A:Z,26,FALSE),"")</f>
        <v/>
      </c>
      <c r="AL41" s="52" t="str">
        <f>_xlfn.IFNA(VLOOKUP(U41,'Incoming Material Report'!A:Z,2,FALSE),"")</f>
        <v/>
      </c>
      <c r="AM41" s="52" t="str">
        <f>_xlfn.IFNA(VLOOKUP(U41,'Incoming Material Report'!A:K,11,FALSE)/1000,"")</f>
        <v/>
      </c>
      <c r="AO41" s="52" t="str">
        <f>_xlfn.IFNA(VLOOKUP(U41,'Incoming Material Report'!A:R,18,FALSE)*1000,"")</f>
        <v/>
      </c>
      <c r="AQ41" s="52" t="str">
        <f>_xlfn.IFNA(TEXT(VLOOKUP(U41,'Incoming Material Report'!A:D,4,FALSE),"dd.mm.yy"),"")</f>
        <v/>
      </c>
      <c r="AR41" s="52" t="str">
        <f>_xlfn.IFNA(VLOOKUP(U41,'Incoming Material Report'!A:Z,5,FALSE),"")</f>
        <v/>
      </c>
      <c r="AT41" s="52" t="str">
        <f>IF(OR(_xlfn.IFNA(VLOOKUP(U41,'Incoming Material Report'!A:Z,6,FALSE),"")="NSC",_xlfn.IFNA(VLOOKUP(U41,'Incoming Material Report'!A:Z,6,FALSE),"")="NSSMC"),"NSC","")</f>
        <v/>
      </c>
      <c r="AU41" s="52" t="str">
        <f>_xlfn.IFNA(VLOOKUP(U41,'Incoming Material Report'!A:Z,8,FALSE),"")</f>
        <v/>
      </c>
      <c r="AZ41" s="52" t="str">
        <f>_xlfn.IFNA(VLOOKUP(U41,'GRPO Wiz'!AP:BT,17,FALSE),"")</f>
        <v/>
      </c>
      <c r="BA41" s="52" t="str">
        <f>_xlfn.IFNA(VLOOKUP(U41,'GRPO Wiz'!AP:BT,18,FALSE),"")</f>
        <v/>
      </c>
      <c r="BB41" s="52" t="str">
        <f>_xlfn.IFNA(VLOOKUP(U41,'GRPO Wiz'!AP:BT,19,FALSE),"")</f>
        <v/>
      </c>
      <c r="BC41" s="52" t="str">
        <f>_xlfn.IFNA(VLOOKUP(U41,'GRPO Wiz'!AP:BT,20,FALSE),"")</f>
        <v/>
      </c>
      <c r="BD41" s="52" t="str">
        <f>_xlfn.IFNA(VLOOKUP(U41,'GRPO Wiz'!AP:BT,21,FALSE),"")</f>
        <v/>
      </c>
      <c r="BE41" s="52" t="str">
        <f>_xlfn.IFNA(LEFT((VLOOKUP(U41,'GRPO Wiz'!AP:BT,22,FALSE)),8),"")</f>
        <v/>
      </c>
      <c r="BF41" s="52" t="str">
        <f>_xlfn.IFNA(VLOOKUP(U41,'GRPO Wiz'!AP:BT,26,FALSE),"")</f>
        <v/>
      </c>
      <c r="BG41" s="63" t="str">
        <f>_xlfn.IFNA(VLOOKUP(U41,'GRPO Wiz'!AP:BQ,28,FALSE),"")</f>
        <v/>
      </c>
      <c r="BH41" s="52" t="str">
        <f>_xlfn.IFNA(VLOOKUP(U41,'GRPO Wiz'!AP:BN,25,FALSE),"")</f>
        <v/>
      </c>
      <c r="BI41" s="52" t="str">
        <f>_xlfn.IFNA(VLOOKUP(U41,'GRPO Wiz'!AP:BT,31,FALSE),"")</f>
        <v/>
      </c>
      <c r="BJ41" s="52" t="str">
        <f>_xlfn.IFNA(VLOOKUP(U41,'GRPO Wiz'!AP:BZ,32,FALSE),"")</f>
        <v/>
      </c>
      <c r="BK41" s="52" t="str">
        <f>_xlfn.IFNA(VLOOKUP(U41,'GRPO Wiz'!AP:BZ,27,FALSE),"")</f>
        <v/>
      </c>
      <c r="BL41" s="52" t="str">
        <f>_xlfn.IFNA(VALUE(VLOOKUP(U41,'GRPO Wiz'!AP:BZ,29,FALSE)),"")</f>
        <v/>
      </c>
      <c r="BM41" s="52" t="str">
        <f>IF(OR(_xlfn.IFNA(VLOOKUP(U41,'GRPO Wiz'!AP:BZ,33,FALSE),"")="NSC",_xlfn.IFNA(VLOOKUP(U41,'GRPO Wiz'!AP:BZ,33,FALSE),"")="NSSMC"),"NSC","")</f>
        <v/>
      </c>
      <c r="BX41" s="52" t="str">
        <f t="shared" si="22"/>
        <v/>
      </c>
      <c r="BY41" s="52" t="str">
        <f>_xlfn.IFNA(VLOOKUP(BX41&amp;H41,AP!IP:IQ,2,FALSE),"")</f>
        <v/>
      </c>
      <c r="BZ41" s="53" t="str">
        <f t="shared" si="23"/>
        <v/>
      </c>
      <c r="CA41" s="53"/>
      <c r="CD41" s="52" t="str">
        <f>_xlfn.IFNA((VLOOKUP(BX41&amp;H41,AP!IP:IS,4,FALSE)),"")</f>
        <v/>
      </c>
    </row>
    <row r="42" spans="10:82" ht="26.25" customHeight="1" x14ac:dyDescent="0.25">
      <c r="J42" s="52" t="str">
        <f t="shared" si="19"/>
        <v/>
      </c>
      <c r="K42" s="52" t="str">
        <f>IF(O42="","",VLOOKUP(U42,Data!O:AC,15,FALSE)/G42)</f>
        <v/>
      </c>
      <c r="X42" s="52" t="str">
        <f t="shared" si="20"/>
        <v/>
      </c>
      <c r="Z42" s="52">
        <f t="shared" si="21"/>
        <v>0</v>
      </c>
      <c r="AG42" s="52" t="str">
        <f>_xlfn.IFNA(VLOOKUP(U42,'Incoming Material Report'!A:M,13,FALSE),"")</f>
        <v/>
      </c>
      <c r="AH42" s="52" t="str">
        <f>_xlfn.IFNA(IF(VLOOKUP(U42,'Incoming Material Report'!A:N,14,FALSE)="","",VLOOKUP(U42,'Incoming Material Report'!A:N,14,FALSE)),"")</f>
        <v/>
      </c>
      <c r="AI42" s="52" t="str">
        <f>_xlfn.IFNA(VLOOKUP(U42,'Incoming Material Report'!A:Z,24,FALSE),"")</f>
        <v/>
      </c>
      <c r="AJ42" s="52" t="str">
        <f>_xlfn.IFNA(VLOOKUP(U42,'Incoming Material Report'!A:Z,25,FALSE),"")</f>
        <v/>
      </c>
      <c r="AK42" s="52" t="str">
        <f>_xlfn.IFNA(VLOOKUP(U42,'Incoming Material Report'!A:Z,26,FALSE),"")</f>
        <v/>
      </c>
      <c r="AL42" s="52" t="str">
        <f>_xlfn.IFNA(VLOOKUP(U42,'Incoming Material Report'!A:Z,2,FALSE),"")</f>
        <v/>
      </c>
      <c r="AM42" s="52" t="str">
        <f>_xlfn.IFNA(VLOOKUP(U42,'Incoming Material Report'!A:K,11,FALSE)/1000,"")</f>
        <v/>
      </c>
      <c r="AO42" s="52" t="str">
        <f>_xlfn.IFNA(VLOOKUP(U42,'Incoming Material Report'!A:R,18,FALSE)*1000,"")</f>
        <v/>
      </c>
      <c r="AQ42" s="52" t="str">
        <f>_xlfn.IFNA(TEXT(VLOOKUP(U42,'Incoming Material Report'!A:D,4,FALSE),"dd.mm.yy"),"")</f>
        <v/>
      </c>
      <c r="AR42" s="52" t="str">
        <f>_xlfn.IFNA(VLOOKUP(U42,'Incoming Material Report'!A:Z,5,FALSE),"")</f>
        <v/>
      </c>
      <c r="AT42" s="52" t="str">
        <f>IF(OR(_xlfn.IFNA(VLOOKUP(U42,'Incoming Material Report'!A:Z,6,FALSE),"")="NSC",_xlfn.IFNA(VLOOKUP(U42,'Incoming Material Report'!A:Z,6,FALSE),"")="NSSMC"),"NSC","")</f>
        <v/>
      </c>
      <c r="AU42" s="52" t="str">
        <f>_xlfn.IFNA(VLOOKUP(U42,'Incoming Material Report'!A:Z,8,FALSE),"")</f>
        <v/>
      </c>
      <c r="AZ42" s="52" t="str">
        <f>_xlfn.IFNA(VLOOKUP(U42,'GRPO Wiz'!AP:BT,17,FALSE),"")</f>
        <v/>
      </c>
      <c r="BA42" s="52" t="str">
        <f>_xlfn.IFNA(VLOOKUP(U42,'GRPO Wiz'!AP:BT,18,FALSE),"")</f>
        <v/>
      </c>
      <c r="BB42" s="52" t="str">
        <f>_xlfn.IFNA(VLOOKUP(U42,'GRPO Wiz'!AP:BT,19,FALSE),"")</f>
        <v/>
      </c>
      <c r="BC42" s="52" t="str">
        <f>_xlfn.IFNA(VLOOKUP(U42,'GRPO Wiz'!AP:BT,20,FALSE),"")</f>
        <v/>
      </c>
      <c r="BD42" s="52" t="str">
        <f>_xlfn.IFNA(VLOOKUP(U42,'GRPO Wiz'!AP:BT,21,FALSE),"")</f>
        <v/>
      </c>
      <c r="BE42" s="52" t="str">
        <f>_xlfn.IFNA(LEFT((VLOOKUP(U42,'GRPO Wiz'!AP:BT,22,FALSE)),8),"")</f>
        <v/>
      </c>
      <c r="BF42" s="52" t="str">
        <f>_xlfn.IFNA(VLOOKUP(U42,'GRPO Wiz'!AP:BT,26,FALSE),"")</f>
        <v/>
      </c>
      <c r="BG42" s="63" t="str">
        <f>_xlfn.IFNA(VLOOKUP(U42,'GRPO Wiz'!AP:BQ,28,FALSE),"")</f>
        <v/>
      </c>
      <c r="BH42" s="52" t="str">
        <f>_xlfn.IFNA(VLOOKUP(U42,'GRPO Wiz'!AP:BN,25,FALSE),"")</f>
        <v/>
      </c>
      <c r="BI42" s="52" t="str">
        <f>_xlfn.IFNA(VLOOKUP(U42,'GRPO Wiz'!AP:BT,31,FALSE),"")</f>
        <v/>
      </c>
      <c r="BJ42" s="52" t="str">
        <f>_xlfn.IFNA(VLOOKUP(U42,'GRPO Wiz'!AP:BZ,32,FALSE),"")</f>
        <v/>
      </c>
      <c r="BK42" s="52" t="str">
        <f>_xlfn.IFNA(VLOOKUP(U42,'GRPO Wiz'!AP:BZ,27,FALSE),"")</f>
        <v/>
      </c>
      <c r="BL42" s="52" t="str">
        <f>_xlfn.IFNA(VALUE(VLOOKUP(U42,'GRPO Wiz'!AP:BZ,29,FALSE)),"")</f>
        <v/>
      </c>
      <c r="BM42" s="52" t="str">
        <f>IF(OR(_xlfn.IFNA(VLOOKUP(U42,'GRPO Wiz'!AP:BZ,33,FALSE),"")="NSC",_xlfn.IFNA(VLOOKUP(U42,'GRPO Wiz'!AP:BZ,33,FALSE),"")="NSSMC"),"NSC","")</f>
        <v/>
      </c>
      <c r="BX42" s="52" t="str">
        <f t="shared" si="22"/>
        <v/>
      </c>
      <c r="BY42" s="52" t="str">
        <f>_xlfn.IFNA(VLOOKUP(BX42&amp;H42,AP!IP:IQ,2,FALSE),"")</f>
        <v/>
      </c>
      <c r="BZ42" s="53" t="str">
        <f t="shared" si="23"/>
        <v/>
      </c>
      <c r="CA42" s="53"/>
      <c r="CD42" s="52" t="str">
        <f>_xlfn.IFNA((VLOOKUP(BX42&amp;H42,AP!IP:IS,4,FALSE)),"")</f>
        <v/>
      </c>
    </row>
    <row r="43" spans="10:82" ht="26.25" customHeight="1" x14ac:dyDescent="0.25">
      <c r="J43" s="52" t="str">
        <f t="shared" si="19"/>
        <v/>
      </c>
      <c r="K43" s="52" t="str">
        <f>IF(O43="","",VLOOKUP(U43,Data!O:AC,15,FALSE)/G43)</f>
        <v/>
      </c>
      <c r="X43" s="52" t="str">
        <f t="shared" si="20"/>
        <v/>
      </c>
      <c r="Z43" s="52">
        <f t="shared" si="21"/>
        <v>0</v>
      </c>
      <c r="AG43" s="52" t="str">
        <f>_xlfn.IFNA(VLOOKUP(U43,'Incoming Material Report'!A:M,13,FALSE),"")</f>
        <v/>
      </c>
      <c r="AH43" s="52" t="str">
        <f>_xlfn.IFNA(IF(VLOOKUP(U43,'Incoming Material Report'!A:N,14,FALSE)="","",VLOOKUP(U43,'Incoming Material Report'!A:N,14,FALSE)),"")</f>
        <v/>
      </c>
      <c r="AI43" s="52" t="str">
        <f>_xlfn.IFNA(VLOOKUP(U43,'Incoming Material Report'!A:Z,24,FALSE),"")</f>
        <v/>
      </c>
      <c r="AJ43" s="52" t="str">
        <f>_xlfn.IFNA(VLOOKUP(U43,'Incoming Material Report'!A:Z,25,FALSE),"")</f>
        <v/>
      </c>
      <c r="AK43" s="52" t="str">
        <f>_xlfn.IFNA(VLOOKUP(U43,'Incoming Material Report'!A:Z,26,FALSE),"")</f>
        <v/>
      </c>
      <c r="AL43" s="52" t="str">
        <f>_xlfn.IFNA(VLOOKUP(U43,'Incoming Material Report'!A:Z,2,FALSE),"")</f>
        <v/>
      </c>
      <c r="AM43" s="52" t="str">
        <f>_xlfn.IFNA(VLOOKUP(U43,'Incoming Material Report'!A:K,11,FALSE)/1000,"")</f>
        <v/>
      </c>
      <c r="AO43" s="52" t="str">
        <f>_xlfn.IFNA(VLOOKUP(U43,'Incoming Material Report'!A:R,18,FALSE)*1000,"")</f>
        <v/>
      </c>
      <c r="AQ43" s="52" t="str">
        <f>_xlfn.IFNA(TEXT(VLOOKUP(U43,'Incoming Material Report'!A:D,4,FALSE),"dd.mm.yy"),"")</f>
        <v/>
      </c>
      <c r="AR43" s="52" t="str">
        <f>_xlfn.IFNA(VLOOKUP(U43,'Incoming Material Report'!A:Z,5,FALSE),"")</f>
        <v/>
      </c>
      <c r="AT43" s="52" t="str">
        <f>IF(OR(_xlfn.IFNA(VLOOKUP(U43,'Incoming Material Report'!A:Z,6,FALSE),"")="NSC",_xlfn.IFNA(VLOOKUP(U43,'Incoming Material Report'!A:Z,6,FALSE),"")="NSSMC"),"NSC","")</f>
        <v/>
      </c>
      <c r="AU43" s="52" t="str">
        <f>_xlfn.IFNA(VLOOKUP(U43,'Incoming Material Report'!A:Z,8,FALSE),"")</f>
        <v/>
      </c>
      <c r="AZ43" s="52" t="str">
        <f>_xlfn.IFNA(VLOOKUP(U43,'GRPO Wiz'!AP:BT,17,FALSE),"")</f>
        <v/>
      </c>
      <c r="BA43" s="52" t="str">
        <f>_xlfn.IFNA(VLOOKUP(U43,'GRPO Wiz'!AP:BT,18,FALSE),"")</f>
        <v/>
      </c>
      <c r="BB43" s="52" t="str">
        <f>_xlfn.IFNA(VLOOKUP(U43,'GRPO Wiz'!AP:BT,19,FALSE),"")</f>
        <v/>
      </c>
      <c r="BC43" s="52" t="str">
        <f>_xlfn.IFNA(VLOOKUP(U43,'GRPO Wiz'!AP:BT,20,FALSE),"")</f>
        <v/>
      </c>
      <c r="BD43" s="52" t="str">
        <f>_xlfn.IFNA(VLOOKUP(U43,'GRPO Wiz'!AP:BT,21,FALSE),"")</f>
        <v/>
      </c>
      <c r="BE43" s="52" t="str">
        <f>_xlfn.IFNA(LEFT((VLOOKUP(U43,'GRPO Wiz'!AP:BT,22,FALSE)),8),"")</f>
        <v/>
      </c>
      <c r="BF43" s="52" t="str">
        <f>_xlfn.IFNA(VLOOKUP(U43,'GRPO Wiz'!AP:BT,26,FALSE),"")</f>
        <v/>
      </c>
      <c r="BG43" s="63" t="str">
        <f>_xlfn.IFNA(VLOOKUP(U43,'GRPO Wiz'!AP:BQ,28,FALSE),"")</f>
        <v/>
      </c>
      <c r="BH43" s="52" t="str">
        <f>_xlfn.IFNA(VLOOKUP(U43,'GRPO Wiz'!AP:BN,25,FALSE),"")</f>
        <v/>
      </c>
      <c r="BI43" s="52" t="str">
        <f>_xlfn.IFNA(VLOOKUP(U43,'GRPO Wiz'!AP:BT,31,FALSE),"")</f>
        <v/>
      </c>
      <c r="BJ43" s="52" t="str">
        <f>_xlfn.IFNA(VLOOKUP(U43,'GRPO Wiz'!AP:BZ,32,FALSE),"")</f>
        <v/>
      </c>
      <c r="BK43" s="52" t="str">
        <f>_xlfn.IFNA(VLOOKUP(U43,'GRPO Wiz'!AP:BZ,27,FALSE),"")</f>
        <v/>
      </c>
      <c r="BL43" s="52" t="str">
        <f>_xlfn.IFNA(VALUE(VLOOKUP(U43,'GRPO Wiz'!AP:BZ,29,FALSE)),"")</f>
        <v/>
      </c>
      <c r="BM43" s="52" t="str">
        <f>IF(OR(_xlfn.IFNA(VLOOKUP(U43,'GRPO Wiz'!AP:BZ,33,FALSE),"")="NSC",_xlfn.IFNA(VLOOKUP(U43,'GRPO Wiz'!AP:BZ,33,FALSE),"")="NSSMC"),"NSC","")</f>
        <v/>
      </c>
      <c r="BX43" s="52" t="str">
        <f t="shared" si="22"/>
        <v/>
      </c>
      <c r="BY43" s="52" t="str">
        <f>_xlfn.IFNA(VLOOKUP(BX43&amp;H43,AP!IP:IQ,2,FALSE),"")</f>
        <v/>
      </c>
      <c r="BZ43" s="53" t="str">
        <f t="shared" si="23"/>
        <v/>
      </c>
      <c r="CA43" s="53"/>
      <c r="CD43" s="52" t="str">
        <f>_xlfn.IFNA((VLOOKUP(BX43&amp;H43,AP!IP:IS,4,FALSE)),"")</f>
        <v/>
      </c>
    </row>
    <row r="44" spans="10:82" ht="26.25" customHeight="1" x14ac:dyDescent="0.25">
      <c r="J44" s="52" t="str">
        <f t="shared" si="19"/>
        <v/>
      </c>
      <c r="K44" s="52" t="str">
        <f>IF(O44="","",VLOOKUP(U44,Data!O:AC,15,FALSE)/G44)</f>
        <v/>
      </c>
      <c r="X44" s="52" t="str">
        <f t="shared" si="20"/>
        <v/>
      </c>
      <c r="Z44" s="52">
        <f t="shared" si="21"/>
        <v>0</v>
      </c>
      <c r="AG44" s="52" t="str">
        <f>_xlfn.IFNA(VLOOKUP(U44,'Incoming Material Report'!A:M,13,FALSE),"")</f>
        <v/>
      </c>
      <c r="AH44" s="52" t="str">
        <f>_xlfn.IFNA(IF(VLOOKUP(U44,'Incoming Material Report'!A:N,14,FALSE)="","",VLOOKUP(U44,'Incoming Material Report'!A:N,14,FALSE)),"")</f>
        <v/>
      </c>
      <c r="AI44" s="52" t="str">
        <f>_xlfn.IFNA(VLOOKUP(U44,'Incoming Material Report'!A:Z,24,FALSE),"")</f>
        <v/>
      </c>
      <c r="AJ44" s="52" t="str">
        <f>_xlfn.IFNA(VLOOKUP(U44,'Incoming Material Report'!A:Z,25,FALSE),"")</f>
        <v/>
      </c>
      <c r="AK44" s="52" t="str">
        <f>_xlfn.IFNA(VLOOKUP(U44,'Incoming Material Report'!A:Z,26,FALSE),"")</f>
        <v/>
      </c>
      <c r="AL44" s="52" t="str">
        <f>_xlfn.IFNA(VLOOKUP(U44,'Incoming Material Report'!A:Z,2,FALSE),"")</f>
        <v/>
      </c>
      <c r="AM44" s="52" t="str">
        <f>_xlfn.IFNA(VLOOKUP(U44,'Incoming Material Report'!A:K,11,FALSE)/1000,"")</f>
        <v/>
      </c>
      <c r="AO44" s="52" t="str">
        <f>_xlfn.IFNA(VLOOKUP(U44,'Incoming Material Report'!A:R,18,FALSE)*1000,"")</f>
        <v/>
      </c>
      <c r="AQ44" s="52" t="str">
        <f>_xlfn.IFNA(TEXT(VLOOKUP(U44,'Incoming Material Report'!A:D,4,FALSE),"dd.mm.yy"),"")</f>
        <v/>
      </c>
      <c r="AR44" s="52" t="str">
        <f>_xlfn.IFNA(VLOOKUP(U44,'Incoming Material Report'!A:Z,5,FALSE),"")</f>
        <v/>
      </c>
      <c r="AT44" s="52" t="str">
        <f>IF(OR(_xlfn.IFNA(VLOOKUP(U44,'Incoming Material Report'!A:Z,6,FALSE),"")="NSC",_xlfn.IFNA(VLOOKUP(U44,'Incoming Material Report'!A:Z,6,FALSE),"")="NSSMC"),"NSC","")</f>
        <v/>
      </c>
      <c r="AU44" s="52" t="str">
        <f>_xlfn.IFNA(VLOOKUP(U44,'Incoming Material Report'!A:Z,8,FALSE),"")</f>
        <v/>
      </c>
      <c r="AZ44" s="52" t="str">
        <f>_xlfn.IFNA(VLOOKUP(U44,'GRPO Wiz'!AP:BT,17,FALSE),"")</f>
        <v/>
      </c>
      <c r="BA44" s="52" t="str">
        <f>_xlfn.IFNA(VLOOKUP(U44,'GRPO Wiz'!AP:BT,18,FALSE),"")</f>
        <v/>
      </c>
      <c r="BB44" s="52" t="str">
        <f>_xlfn.IFNA(VLOOKUP(U44,'GRPO Wiz'!AP:BT,19,FALSE),"")</f>
        <v/>
      </c>
      <c r="BC44" s="52" t="str">
        <f>_xlfn.IFNA(VLOOKUP(U44,'GRPO Wiz'!AP:BT,20,FALSE),"")</f>
        <v/>
      </c>
      <c r="BD44" s="52" t="str">
        <f>_xlfn.IFNA(VLOOKUP(U44,'GRPO Wiz'!AP:BT,21,FALSE),"")</f>
        <v/>
      </c>
      <c r="BE44" s="52" t="str">
        <f>_xlfn.IFNA(LEFT((VLOOKUP(U44,'GRPO Wiz'!AP:BT,22,FALSE)),8),"")</f>
        <v/>
      </c>
      <c r="BF44" s="52" t="str">
        <f>_xlfn.IFNA(VLOOKUP(U44,'GRPO Wiz'!AP:BT,26,FALSE),"")</f>
        <v/>
      </c>
      <c r="BG44" s="63" t="str">
        <f>_xlfn.IFNA(VLOOKUP(U44,'GRPO Wiz'!AP:BQ,28,FALSE),"")</f>
        <v/>
      </c>
      <c r="BH44" s="52" t="str">
        <f>_xlfn.IFNA(VLOOKUP(U44,'GRPO Wiz'!AP:BN,25,FALSE),"")</f>
        <v/>
      </c>
      <c r="BI44" s="52" t="str">
        <f>_xlfn.IFNA(VLOOKUP(U44,'GRPO Wiz'!AP:BT,31,FALSE),"")</f>
        <v/>
      </c>
      <c r="BJ44" s="52" t="str">
        <f>_xlfn.IFNA(VLOOKUP(U44,'GRPO Wiz'!AP:BZ,32,FALSE),"")</f>
        <v/>
      </c>
      <c r="BK44" s="52" t="str">
        <f>_xlfn.IFNA(VLOOKUP(U44,'GRPO Wiz'!AP:BZ,27,FALSE),"")</f>
        <v/>
      </c>
      <c r="BL44" s="52" t="str">
        <f>_xlfn.IFNA(VALUE(VLOOKUP(U44,'GRPO Wiz'!AP:BZ,29,FALSE)),"")</f>
        <v/>
      </c>
      <c r="BM44" s="52" t="str">
        <f>IF(OR(_xlfn.IFNA(VLOOKUP(U44,'GRPO Wiz'!AP:BZ,33,FALSE),"")="NSC",_xlfn.IFNA(VLOOKUP(U44,'GRPO Wiz'!AP:BZ,33,FALSE),"")="NSSMC"),"NSC","")</f>
        <v/>
      </c>
      <c r="BX44" s="52" t="str">
        <f t="shared" si="22"/>
        <v/>
      </c>
      <c r="BY44" s="52" t="str">
        <f>_xlfn.IFNA(VLOOKUP(BX44&amp;H44,AP!IP:IQ,2,FALSE),"")</f>
        <v/>
      </c>
      <c r="BZ44" s="53" t="str">
        <f t="shared" si="23"/>
        <v/>
      </c>
      <c r="CA44" s="53"/>
      <c r="CD44" s="52" t="str">
        <f>_xlfn.IFNA((VLOOKUP(BX44&amp;H44,AP!IP:IS,4,FALSE)),"")</f>
        <v/>
      </c>
    </row>
    <row r="45" spans="10:82" ht="26.25" customHeight="1" x14ac:dyDescent="0.25">
      <c r="J45" s="52" t="str">
        <f t="shared" si="19"/>
        <v/>
      </c>
      <c r="K45" s="52" t="str">
        <f>IF(O45="","",VLOOKUP(U45,Data!O:AC,15,FALSE)/G45)</f>
        <v/>
      </c>
      <c r="X45" s="52" t="str">
        <f t="shared" si="20"/>
        <v/>
      </c>
      <c r="Z45" s="52">
        <f t="shared" si="21"/>
        <v>0</v>
      </c>
      <c r="AG45" s="52" t="str">
        <f>_xlfn.IFNA(VLOOKUP(U45,'Incoming Material Report'!A:M,13,FALSE),"")</f>
        <v/>
      </c>
      <c r="AH45" s="52" t="str">
        <f>_xlfn.IFNA(IF(VLOOKUP(U45,'Incoming Material Report'!A:N,14,FALSE)="","",VLOOKUP(U45,'Incoming Material Report'!A:N,14,FALSE)),"")</f>
        <v/>
      </c>
      <c r="AI45" s="52" t="str">
        <f>_xlfn.IFNA(VLOOKUP(U45,'Incoming Material Report'!A:Z,24,FALSE),"")</f>
        <v/>
      </c>
      <c r="AJ45" s="52" t="str">
        <f>_xlfn.IFNA(VLOOKUP(U45,'Incoming Material Report'!A:Z,25,FALSE),"")</f>
        <v/>
      </c>
      <c r="AK45" s="52" t="str">
        <f>_xlfn.IFNA(VLOOKUP(U45,'Incoming Material Report'!A:Z,26,FALSE),"")</f>
        <v/>
      </c>
      <c r="AL45" s="52" t="str">
        <f>_xlfn.IFNA(VLOOKUP(U45,'Incoming Material Report'!A:Z,2,FALSE),"")</f>
        <v/>
      </c>
      <c r="AM45" s="52" t="str">
        <f>_xlfn.IFNA(VLOOKUP(U45,'Incoming Material Report'!A:K,11,FALSE)/1000,"")</f>
        <v/>
      </c>
      <c r="AO45" s="52" t="str">
        <f>_xlfn.IFNA(VLOOKUP(U45,'Incoming Material Report'!A:R,18,FALSE)*1000,"")</f>
        <v/>
      </c>
      <c r="AQ45" s="52" t="str">
        <f>_xlfn.IFNA(TEXT(VLOOKUP(U45,'Incoming Material Report'!A:D,4,FALSE),"dd.mm.yy"),"")</f>
        <v/>
      </c>
      <c r="AR45" s="52" t="str">
        <f>_xlfn.IFNA(VLOOKUP(U45,'Incoming Material Report'!A:Z,5,FALSE),"")</f>
        <v/>
      </c>
      <c r="AT45" s="52" t="str">
        <f>IF(OR(_xlfn.IFNA(VLOOKUP(U45,'Incoming Material Report'!A:Z,6,FALSE),"")="NSC",_xlfn.IFNA(VLOOKUP(U45,'Incoming Material Report'!A:Z,6,FALSE),"")="NSSMC"),"NSC","")</f>
        <v/>
      </c>
      <c r="AU45" s="52" t="str">
        <f>_xlfn.IFNA(VLOOKUP(U45,'Incoming Material Report'!A:Z,8,FALSE),"")</f>
        <v/>
      </c>
      <c r="AZ45" s="52" t="str">
        <f>_xlfn.IFNA(VLOOKUP(U45,'GRPO Wiz'!AP:BT,17,FALSE),"")</f>
        <v/>
      </c>
      <c r="BA45" s="52" t="str">
        <f>_xlfn.IFNA(VLOOKUP(U45,'GRPO Wiz'!AP:BT,18,FALSE),"")</f>
        <v/>
      </c>
      <c r="BB45" s="52" t="str">
        <f>_xlfn.IFNA(VLOOKUP(U45,'GRPO Wiz'!AP:BT,19,FALSE),"")</f>
        <v/>
      </c>
      <c r="BC45" s="52" t="str">
        <f>_xlfn.IFNA(VLOOKUP(U45,'GRPO Wiz'!AP:BT,20,FALSE),"")</f>
        <v/>
      </c>
      <c r="BD45" s="52" t="str">
        <f>_xlfn.IFNA(VLOOKUP(U45,'GRPO Wiz'!AP:BT,21,FALSE),"")</f>
        <v/>
      </c>
      <c r="BE45" s="52" t="str">
        <f>_xlfn.IFNA(LEFT((VLOOKUP(U45,'GRPO Wiz'!AP:BT,22,FALSE)),8),"")</f>
        <v/>
      </c>
      <c r="BF45" s="52" t="str">
        <f>_xlfn.IFNA(VLOOKUP(U45,'GRPO Wiz'!AP:BT,26,FALSE),"")</f>
        <v/>
      </c>
      <c r="BG45" s="63" t="str">
        <f>_xlfn.IFNA(VLOOKUP(U45,'GRPO Wiz'!AP:BQ,28,FALSE),"")</f>
        <v/>
      </c>
      <c r="BH45" s="52" t="str">
        <f>_xlfn.IFNA(VLOOKUP(U45,'GRPO Wiz'!AP:BN,25,FALSE),"")</f>
        <v/>
      </c>
      <c r="BI45" s="52" t="str">
        <f>_xlfn.IFNA(VLOOKUP(U45,'GRPO Wiz'!AP:BT,31,FALSE),"")</f>
        <v/>
      </c>
      <c r="BJ45" s="52" t="str">
        <f>_xlfn.IFNA(VLOOKUP(U45,'GRPO Wiz'!AP:BZ,32,FALSE),"")</f>
        <v/>
      </c>
      <c r="BK45" s="52" t="str">
        <f>_xlfn.IFNA(VLOOKUP(U45,'GRPO Wiz'!AP:BZ,27,FALSE),"")</f>
        <v/>
      </c>
      <c r="BL45" s="52" t="str">
        <f>_xlfn.IFNA(VALUE(VLOOKUP(U45,'GRPO Wiz'!AP:BZ,29,FALSE)),"")</f>
        <v/>
      </c>
      <c r="BM45" s="52" t="str">
        <f>IF(OR(_xlfn.IFNA(VLOOKUP(U45,'GRPO Wiz'!AP:BZ,33,FALSE),"")="NSC",_xlfn.IFNA(VLOOKUP(U45,'GRPO Wiz'!AP:BZ,33,FALSE),"")="NSSMC"),"NSC","")</f>
        <v/>
      </c>
      <c r="BX45" s="52" t="str">
        <f t="shared" si="22"/>
        <v/>
      </c>
      <c r="BY45" s="52" t="str">
        <f>_xlfn.IFNA(VLOOKUP(BX45&amp;H45,AP!IP:IQ,2,FALSE),"")</f>
        <v/>
      </c>
      <c r="BZ45" s="53" t="str">
        <f t="shared" si="23"/>
        <v/>
      </c>
      <c r="CA45" s="53"/>
      <c r="CD45" s="52" t="str">
        <f>_xlfn.IFNA((VLOOKUP(BX45&amp;H45,AP!IP:IS,4,FALSE)),"")</f>
        <v/>
      </c>
    </row>
    <row r="46" spans="10:82" ht="26.25" customHeight="1" x14ac:dyDescent="0.25">
      <c r="J46" s="52" t="str">
        <f t="shared" si="19"/>
        <v/>
      </c>
      <c r="K46" s="52" t="str">
        <f>IF(O46="","",VLOOKUP(U46,Data!O:AC,15,FALSE)/G46)</f>
        <v/>
      </c>
      <c r="X46" s="52" t="str">
        <f t="shared" si="20"/>
        <v/>
      </c>
      <c r="Z46" s="52">
        <f t="shared" si="21"/>
        <v>0</v>
      </c>
      <c r="AG46" s="52" t="str">
        <f>_xlfn.IFNA(VLOOKUP(U46,'Incoming Material Report'!A:M,13,FALSE),"")</f>
        <v/>
      </c>
      <c r="AH46" s="52" t="str">
        <f>_xlfn.IFNA(IF(VLOOKUP(U46,'Incoming Material Report'!A:N,14,FALSE)="","",VLOOKUP(U46,'Incoming Material Report'!A:N,14,FALSE)),"")</f>
        <v/>
      </c>
      <c r="AI46" s="52" t="str">
        <f>_xlfn.IFNA(VLOOKUP(U46,'Incoming Material Report'!A:Z,24,FALSE),"")</f>
        <v/>
      </c>
      <c r="AJ46" s="52" t="str">
        <f>_xlfn.IFNA(VLOOKUP(U46,'Incoming Material Report'!A:Z,25,FALSE),"")</f>
        <v/>
      </c>
      <c r="AK46" s="52" t="str">
        <f>_xlfn.IFNA(VLOOKUP(U46,'Incoming Material Report'!A:Z,26,FALSE),"")</f>
        <v/>
      </c>
      <c r="AL46" s="52" t="str">
        <f>_xlfn.IFNA(VLOOKUP(U46,'Incoming Material Report'!A:Z,2,FALSE),"")</f>
        <v/>
      </c>
      <c r="AM46" s="52" t="str">
        <f>_xlfn.IFNA(VLOOKUP(U46,'Incoming Material Report'!A:K,11,FALSE)/1000,"")</f>
        <v/>
      </c>
      <c r="AO46" s="52" t="str">
        <f>_xlfn.IFNA(VLOOKUP(U46,'Incoming Material Report'!A:R,18,FALSE)*1000,"")</f>
        <v/>
      </c>
      <c r="AQ46" s="52" t="str">
        <f>_xlfn.IFNA(TEXT(VLOOKUP(U46,'Incoming Material Report'!A:D,4,FALSE),"dd.mm.yy"),"")</f>
        <v/>
      </c>
      <c r="AR46" s="52" t="str">
        <f>_xlfn.IFNA(VLOOKUP(U46,'Incoming Material Report'!A:Z,5,FALSE),"")</f>
        <v/>
      </c>
      <c r="AT46" s="52" t="str">
        <f>IF(OR(_xlfn.IFNA(VLOOKUP(U46,'Incoming Material Report'!A:Z,6,FALSE),"")="NSC",_xlfn.IFNA(VLOOKUP(U46,'Incoming Material Report'!A:Z,6,FALSE),"")="NSSMC"),"NSC","")</f>
        <v/>
      </c>
      <c r="AU46" s="52" t="str">
        <f>_xlfn.IFNA(VLOOKUP(U46,'Incoming Material Report'!A:Z,8,FALSE),"")</f>
        <v/>
      </c>
      <c r="AZ46" s="52" t="str">
        <f>_xlfn.IFNA(VLOOKUP(U46,'GRPO Wiz'!AP:BT,17,FALSE),"")</f>
        <v/>
      </c>
      <c r="BA46" s="52" t="str">
        <f>_xlfn.IFNA(VLOOKUP(U46,'GRPO Wiz'!AP:BT,18,FALSE),"")</f>
        <v/>
      </c>
      <c r="BB46" s="52" t="str">
        <f>_xlfn.IFNA(VLOOKUP(U46,'GRPO Wiz'!AP:BT,19,FALSE),"")</f>
        <v/>
      </c>
      <c r="BC46" s="52" t="str">
        <f>_xlfn.IFNA(VLOOKUP(U46,'GRPO Wiz'!AP:BT,20,FALSE),"")</f>
        <v/>
      </c>
      <c r="BD46" s="52" t="str">
        <f>_xlfn.IFNA(VLOOKUP(U46,'GRPO Wiz'!AP:BT,21,FALSE),"")</f>
        <v/>
      </c>
      <c r="BE46" s="52" t="str">
        <f>_xlfn.IFNA(LEFT((VLOOKUP(U46,'GRPO Wiz'!AP:BT,22,FALSE)),8),"")</f>
        <v/>
      </c>
      <c r="BF46" s="52" t="str">
        <f>_xlfn.IFNA(VLOOKUP(U46,'GRPO Wiz'!AP:BT,26,FALSE),"")</f>
        <v/>
      </c>
      <c r="BG46" s="63" t="str">
        <f>_xlfn.IFNA(VLOOKUP(U46,'GRPO Wiz'!AP:BQ,28,FALSE),"")</f>
        <v/>
      </c>
      <c r="BH46" s="52" t="str">
        <f>_xlfn.IFNA(VLOOKUP(U46,'GRPO Wiz'!AP:BN,25,FALSE),"")</f>
        <v/>
      </c>
      <c r="BI46" s="52" t="str">
        <f>_xlfn.IFNA(VLOOKUP(U46,'GRPO Wiz'!AP:BT,31,FALSE),"")</f>
        <v/>
      </c>
      <c r="BJ46" s="52" t="str">
        <f>_xlfn.IFNA(VLOOKUP(U46,'GRPO Wiz'!AP:BZ,32,FALSE),"")</f>
        <v/>
      </c>
      <c r="BK46" s="52" t="str">
        <f>_xlfn.IFNA(VLOOKUP(U46,'GRPO Wiz'!AP:BZ,27,FALSE),"")</f>
        <v/>
      </c>
      <c r="BL46" s="52" t="str">
        <f>_xlfn.IFNA(VALUE(VLOOKUP(U46,'GRPO Wiz'!AP:BZ,29,FALSE)),"")</f>
        <v/>
      </c>
      <c r="BM46" s="52" t="str">
        <f>IF(OR(_xlfn.IFNA(VLOOKUP(U46,'GRPO Wiz'!AP:BZ,33,FALSE),"")="NSC",_xlfn.IFNA(VLOOKUP(U46,'GRPO Wiz'!AP:BZ,33,FALSE),"")="NSSMC"),"NSC","")</f>
        <v/>
      </c>
      <c r="BX46" s="52" t="str">
        <f t="shared" si="22"/>
        <v/>
      </c>
      <c r="BY46" s="52" t="str">
        <f>_xlfn.IFNA(VLOOKUP(BX46&amp;H46,AP!IP:IQ,2,FALSE),"")</f>
        <v/>
      </c>
      <c r="BZ46" s="53" t="str">
        <f t="shared" si="23"/>
        <v/>
      </c>
      <c r="CA46" s="53"/>
      <c r="CD46" s="52" t="str">
        <f>_xlfn.IFNA((VLOOKUP(BX46&amp;H46,AP!IP:IS,4,FALSE)),"")</f>
        <v/>
      </c>
    </row>
    <row r="47" spans="10:82" ht="26.25" customHeight="1" x14ac:dyDescent="0.25">
      <c r="J47" s="52" t="str">
        <f t="shared" si="19"/>
        <v/>
      </c>
      <c r="K47" s="52" t="str">
        <f>IF(O47="","",VLOOKUP(U47,Data!O:AC,15,FALSE)/G47)</f>
        <v/>
      </c>
      <c r="X47" s="52" t="str">
        <f t="shared" si="20"/>
        <v/>
      </c>
      <c r="Z47" s="52">
        <f t="shared" si="21"/>
        <v>0</v>
      </c>
      <c r="AG47" s="52" t="str">
        <f>_xlfn.IFNA(VLOOKUP(U47,'Incoming Material Report'!A:M,13,FALSE),"")</f>
        <v/>
      </c>
      <c r="AH47" s="52" t="str">
        <f>_xlfn.IFNA(IF(VLOOKUP(U47,'Incoming Material Report'!A:N,14,FALSE)="","",VLOOKUP(U47,'Incoming Material Report'!A:N,14,FALSE)),"")</f>
        <v/>
      </c>
      <c r="AI47" s="52" t="str">
        <f>_xlfn.IFNA(VLOOKUP(U47,'Incoming Material Report'!A:Z,24,FALSE),"")</f>
        <v/>
      </c>
      <c r="AJ47" s="52" t="str">
        <f>_xlfn.IFNA(VLOOKUP(U47,'Incoming Material Report'!A:Z,25,FALSE),"")</f>
        <v/>
      </c>
      <c r="AK47" s="52" t="str">
        <f>_xlfn.IFNA(VLOOKUP(U47,'Incoming Material Report'!A:Z,26,FALSE),"")</f>
        <v/>
      </c>
      <c r="AL47" s="52" t="str">
        <f>_xlfn.IFNA(VLOOKUP(U47,'Incoming Material Report'!A:Z,2,FALSE),"")</f>
        <v/>
      </c>
      <c r="AM47" s="52" t="str">
        <f>_xlfn.IFNA(VLOOKUP(U47,'Incoming Material Report'!A:K,11,FALSE)/1000,"")</f>
        <v/>
      </c>
      <c r="AO47" s="52" t="str">
        <f>_xlfn.IFNA(VLOOKUP(U47,'Incoming Material Report'!A:R,18,FALSE)*1000,"")</f>
        <v/>
      </c>
      <c r="AQ47" s="52" t="str">
        <f>_xlfn.IFNA(TEXT(VLOOKUP(U47,'Incoming Material Report'!A:D,4,FALSE),"dd.mm.yy"),"")</f>
        <v/>
      </c>
      <c r="AR47" s="52" t="str">
        <f>_xlfn.IFNA(VLOOKUP(U47,'Incoming Material Report'!A:Z,5,FALSE),"")</f>
        <v/>
      </c>
      <c r="AT47" s="52" t="str">
        <f>IF(OR(_xlfn.IFNA(VLOOKUP(U47,'Incoming Material Report'!A:Z,6,FALSE),"")="NSC",_xlfn.IFNA(VLOOKUP(U47,'Incoming Material Report'!A:Z,6,FALSE),"")="NSSMC"),"NSC","")</f>
        <v/>
      </c>
      <c r="AU47" s="52" t="str">
        <f>_xlfn.IFNA(VLOOKUP(U47,'Incoming Material Report'!A:Z,8,FALSE),"")</f>
        <v/>
      </c>
      <c r="AZ47" s="52" t="str">
        <f>_xlfn.IFNA(VLOOKUP(U47,'GRPO Wiz'!AP:BT,17,FALSE),"")</f>
        <v/>
      </c>
      <c r="BA47" s="52" t="str">
        <f>_xlfn.IFNA(VLOOKUP(U47,'GRPO Wiz'!AP:BT,18,FALSE),"")</f>
        <v/>
      </c>
      <c r="BB47" s="52" t="str">
        <f>_xlfn.IFNA(VLOOKUP(U47,'GRPO Wiz'!AP:BT,19,FALSE),"")</f>
        <v/>
      </c>
      <c r="BC47" s="52" t="str">
        <f>_xlfn.IFNA(VLOOKUP(U47,'GRPO Wiz'!AP:BT,20,FALSE),"")</f>
        <v/>
      </c>
      <c r="BD47" s="52" t="str">
        <f>_xlfn.IFNA(VLOOKUP(U47,'GRPO Wiz'!AP:BT,21,FALSE),"")</f>
        <v/>
      </c>
      <c r="BE47" s="52" t="str">
        <f>_xlfn.IFNA(LEFT((VLOOKUP(U47,'GRPO Wiz'!AP:BT,22,FALSE)),8),"")</f>
        <v/>
      </c>
      <c r="BF47" s="52" t="str">
        <f>_xlfn.IFNA(VLOOKUP(U47,'GRPO Wiz'!AP:BT,26,FALSE),"")</f>
        <v/>
      </c>
      <c r="BG47" s="63" t="str">
        <f>_xlfn.IFNA(VLOOKUP(U47,'GRPO Wiz'!AP:BQ,28,FALSE),"")</f>
        <v/>
      </c>
      <c r="BH47" s="52" t="str">
        <f>_xlfn.IFNA(VLOOKUP(U47,'GRPO Wiz'!AP:BN,25,FALSE),"")</f>
        <v/>
      </c>
      <c r="BI47" s="52" t="str">
        <f>_xlfn.IFNA(VLOOKUP(U47,'GRPO Wiz'!AP:BT,31,FALSE),"")</f>
        <v/>
      </c>
      <c r="BJ47" s="52" t="str">
        <f>_xlfn.IFNA(VLOOKUP(U47,'GRPO Wiz'!AP:BZ,32,FALSE),"")</f>
        <v/>
      </c>
      <c r="BK47" s="52" t="str">
        <f>_xlfn.IFNA(VLOOKUP(U47,'GRPO Wiz'!AP:BZ,27,FALSE),"")</f>
        <v/>
      </c>
      <c r="BL47" s="52" t="str">
        <f>_xlfn.IFNA(VALUE(VLOOKUP(U47,'GRPO Wiz'!AP:BZ,29,FALSE)),"")</f>
        <v/>
      </c>
      <c r="BM47" s="52" t="str">
        <f>IF(OR(_xlfn.IFNA(VLOOKUP(U47,'GRPO Wiz'!AP:BZ,33,FALSE),"")="NSC",_xlfn.IFNA(VLOOKUP(U47,'GRPO Wiz'!AP:BZ,33,FALSE),"")="NSSMC"),"NSC","")</f>
        <v/>
      </c>
      <c r="BX47" s="52" t="str">
        <f t="shared" si="22"/>
        <v/>
      </c>
      <c r="BY47" s="52" t="str">
        <f>_xlfn.IFNA(VLOOKUP(BX47&amp;H47,AP!IP:IQ,2,FALSE),"")</f>
        <v/>
      </c>
      <c r="BZ47" s="53" t="str">
        <f t="shared" si="23"/>
        <v/>
      </c>
      <c r="CA47" s="53"/>
      <c r="CD47" s="52" t="str">
        <f>_xlfn.IFNA((VLOOKUP(BX47&amp;H47,AP!IP:IS,4,FALSE)),"")</f>
        <v/>
      </c>
    </row>
    <row r="48" spans="10:82" ht="26.25" customHeight="1" x14ac:dyDescent="0.25">
      <c r="J48" s="52" t="str">
        <f t="shared" si="19"/>
        <v/>
      </c>
      <c r="K48" s="52" t="str">
        <f>IF(O48="","",VLOOKUP(U48,Data!O:AC,15,FALSE)/G48)</f>
        <v/>
      </c>
      <c r="X48" s="52" t="str">
        <f t="shared" si="20"/>
        <v/>
      </c>
      <c r="Z48" s="52">
        <f t="shared" si="21"/>
        <v>0</v>
      </c>
      <c r="AG48" s="52" t="str">
        <f>_xlfn.IFNA(VLOOKUP(U48,'Incoming Material Report'!A:M,13,FALSE),"")</f>
        <v/>
      </c>
      <c r="AH48" s="52" t="str">
        <f>_xlfn.IFNA(IF(VLOOKUP(U48,'Incoming Material Report'!A:N,14,FALSE)="","",VLOOKUP(U48,'Incoming Material Report'!A:N,14,FALSE)),"")</f>
        <v/>
      </c>
      <c r="AI48" s="52" t="str">
        <f>_xlfn.IFNA(VLOOKUP(U48,'Incoming Material Report'!A:Z,24,FALSE),"")</f>
        <v/>
      </c>
      <c r="AJ48" s="52" t="str">
        <f>_xlfn.IFNA(VLOOKUP(U48,'Incoming Material Report'!A:Z,25,FALSE),"")</f>
        <v/>
      </c>
      <c r="AK48" s="52" t="str">
        <f>_xlfn.IFNA(VLOOKUP(U48,'Incoming Material Report'!A:Z,26,FALSE),"")</f>
        <v/>
      </c>
      <c r="AL48" s="52" t="str">
        <f>_xlfn.IFNA(VLOOKUP(U48,'Incoming Material Report'!A:Z,2,FALSE),"")</f>
        <v/>
      </c>
      <c r="AM48" s="52" t="str">
        <f>_xlfn.IFNA(VLOOKUP(U48,'Incoming Material Report'!A:K,11,FALSE)/1000,"")</f>
        <v/>
      </c>
      <c r="AO48" s="52" t="str">
        <f>_xlfn.IFNA(VLOOKUP(U48,'Incoming Material Report'!A:R,18,FALSE)*1000,"")</f>
        <v/>
      </c>
      <c r="AQ48" s="52" t="str">
        <f>_xlfn.IFNA(TEXT(VLOOKUP(U48,'Incoming Material Report'!A:D,4,FALSE),"dd.mm.yy"),"")</f>
        <v/>
      </c>
      <c r="AR48" s="52" t="str">
        <f>_xlfn.IFNA(VLOOKUP(U48,'Incoming Material Report'!A:Z,5,FALSE),"")</f>
        <v/>
      </c>
      <c r="AT48" s="52" t="str">
        <f>IF(OR(_xlfn.IFNA(VLOOKUP(U48,'Incoming Material Report'!A:Z,6,FALSE),"")="NSC",_xlfn.IFNA(VLOOKUP(U48,'Incoming Material Report'!A:Z,6,FALSE),"")="NSSMC"),"NSC","")</f>
        <v/>
      </c>
      <c r="AU48" s="52" t="str">
        <f>_xlfn.IFNA(VLOOKUP(U48,'Incoming Material Report'!A:Z,8,FALSE),"")</f>
        <v/>
      </c>
      <c r="AZ48" s="52" t="str">
        <f>_xlfn.IFNA(VLOOKUP(U48,'GRPO Wiz'!AP:BT,17,FALSE),"")</f>
        <v/>
      </c>
      <c r="BA48" s="52" t="str">
        <f>_xlfn.IFNA(VLOOKUP(U48,'GRPO Wiz'!AP:BT,18,FALSE),"")</f>
        <v/>
      </c>
      <c r="BB48" s="52" t="str">
        <f>_xlfn.IFNA(VLOOKUP(U48,'GRPO Wiz'!AP:BT,19,FALSE),"")</f>
        <v/>
      </c>
      <c r="BC48" s="52" t="str">
        <f>_xlfn.IFNA(VLOOKUP(U48,'GRPO Wiz'!AP:BT,20,FALSE),"")</f>
        <v/>
      </c>
      <c r="BD48" s="52" t="str">
        <f>_xlfn.IFNA(VLOOKUP(U48,'GRPO Wiz'!AP:BT,21,FALSE),"")</f>
        <v/>
      </c>
      <c r="BE48" s="52" t="str">
        <f>_xlfn.IFNA(LEFT((VLOOKUP(U48,'GRPO Wiz'!AP:BT,22,FALSE)),8),"")</f>
        <v/>
      </c>
      <c r="BF48" s="52" t="str">
        <f>_xlfn.IFNA(VLOOKUP(U48,'GRPO Wiz'!AP:BT,26,FALSE),"")</f>
        <v/>
      </c>
      <c r="BG48" s="63" t="str">
        <f>_xlfn.IFNA(VLOOKUP(U48,'GRPO Wiz'!AP:BQ,28,FALSE),"")</f>
        <v/>
      </c>
      <c r="BH48" s="52" t="str">
        <f>_xlfn.IFNA(VLOOKUP(U48,'GRPO Wiz'!AP:BN,25,FALSE),"")</f>
        <v/>
      </c>
      <c r="BI48" s="52" t="str">
        <f>_xlfn.IFNA(VLOOKUP(U48,'GRPO Wiz'!AP:BT,31,FALSE),"")</f>
        <v/>
      </c>
      <c r="BJ48" s="52" t="str">
        <f>_xlfn.IFNA(VLOOKUP(U48,'GRPO Wiz'!AP:BZ,32,FALSE),"")</f>
        <v/>
      </c>
      <c r="BK48" s="52" t="str">
        <f>_xlfn.IFNA(VLOOKUP(U48,'GRPO Wiz'!AP:BZ,27,FALSE),"")</f>
        <v/>
      </c>
      <c r="BL48" s="52" t="str">
        <f>_xlfn.IFNA(VALUE(VLOOKUP(U48,'GRPO Wiz'!AP:BZ,29,FALSE)),"")</f>
        <v/>
      </c>
      <c r="BM48" s="52" t="str">
        <f>IF(OR(_xlfn.IFNA(VLOOKUP(U48,'GRPO Wiz'!AP:BZ,33,FALSE),"")="NSC",_xlfn.IFNA(VLOOKUP(U48,'GRPO Wiz'!AP:BZ,33,FALSE),"")="NSSMC"),"NSC","")</f>
        <v/>
      </c>
      <c r="BX48" s="52" t="str">
        <f t="shared" si="22"/>
        <v/>
      </c>
      <c r="BY48" s="52" t="str">
        <f>_xlfn.IFNA(VLOOKUP(BX48&amp;H48,AP!IP:IQ,2,FALSE),"")</f>
        <v/>
      </c>
      <c r="BZ48" s="53" t="str">
        <f t="shared" si="23"/>
        <v/>
      </c>
      <c r="CA48" s="53"/>
      <c r="CD48" s="52" t="str">
        <f>_xlfn.IFNA((VLOOKUP(BX48&amp;H48,AP!IP:IS,4,FALSE)),"")</f>
        <v/>
      </c>
    </row>
    <row r="49" spans="10:82" ht="26.25" customHeight="1" x14ac:dyDescent="0.25">
      <c r="J49" s="52" t="str">
        <f t="shared" si="19"/>
        <v/>
      </c>
      <c r="K49" s="52" t="str">
        <f>IF(O49="","",VLOOKUP(U49,Data!O:AC,15,FALSE)/G49)</f>
        <v/>
      </c>
      <c r="X49" s="52" t="str">
        <f t="shared" si="20"/>
        <v/>
      </c>
      <c r="Z49" s="52">
        <f t="shared" si="21"/>
        <v>0</v>
      </c>
      <c r="AG49" s="52" t="str">
        <f>_xlfn.IFNA(VLOOKUP(U49,'Incoming Material Report'!A:M,13,FALSE),"")</f>
        <v/>
      </c>
      <c r="AH49" s="52" t="str">
        <f>_xlfn.IFNA(IF(VLOOKUP(U49,'Incoming Material Report'!A:N,14,FALSE)="","",VLOOKUP(U49,'Incoming Material Report'!A:N,14,FALSE)),"")</f>
        <v/>
      </c>
      <c r="AI49" s="52" t="str">
        <f>_xlfn.IFNA(VLOOKUP(U49,'Incoming Material Report'!A:Z,24,FALSE),"")</f>
        <v/>
      </c>
      <c r="AJ49" s="52" t="str">
        <f>_xlfn.IFNA(VLOOKUP(U49,'Incoming Material Report'!A:Z,25,FALSE),"")</f>
        <v/>
      </c>
      <c r="AK49" s="52" t="str">
        <f>_xlfn.IFNA(VLOOKUP(U49,'Incoming Material Report'!A:Z,26,FALSE),"")</f>
        <v/>
      </c>
      <c r="AL49" s="52" t="str">
        <f>_xlfn.IFNA(VLOOKUP(U49,'Incoming Material Report'!A:Z,2,FALSE),"")</f>
        <v/>
      </c>
      <c r="AM49" s="52" t="str">
        <f>_xlfn.IFNA(VLOOKUP(U49,'Incoming Material Report'!A:K,11,FALSE)/1000,"")</f>
        <v/>
      </c>
      <c r="AO49" s="52" t="str">
        <f>_xlfn.IFNA(VLOOKUP(U49,'Incoming Material Report'!A:R,18,FALSE)*1000,"")</f>
        <v/>
      </c>
      <c r="AQ49" s="52" t="str">
        <f>_xlfn.IFNA(TEXT(VLOOKUP(U49,'Incoming Material Report'!A:D,4,FALSE),"dd.mm.yy"),"")</f>
        <v/>
      </c>
      <c r="AR49" s="52" t="str">
        <f>_xlfn.IFNA(VLOOKUP(U49,'Incoming Material Report'!A:Z,5,FALSE),"")</f>
        <v/>
      </c>
      <c r="AT49" s="52" t="str">
        <f>IF(OR(_xlfn.IFNA(VLOOKUP(U49,'Incoming Material Report'!A:Z,6,FALSE),"")="NSC",_xlfn.IFNA(VLOOKUP(U49,'Incoming Material Report'!A:Z,6,FALSE),"")="NSSMC"),"NSC","")</f>
        <v/>
      </c>
      <c r="AU49" s="52" t="str">
        <f>_xlfn.IFNA(VLOOKUP(U49,'Incoming Material Report'!A:Z,8,FALSE),"")</f>
        <v/>
      </c>
      <c r="AZ49" s="52" t="str">
        <f>_xlfn.IFNA(VLOOKUP(U49,'GRPO Wiz'!AP:BT,17,FALSE),"")</f>
        <v/>
      </c>
      <c r="BA49" s="52" t="str">
        <f>_xlfn.IFNA(VLOOKUP(U49,'GRPO Wiz'!AP:BT,18,FALSE),"")</f>
        <v/>
      </c>
      <c r="BB49" s="52" t="str">
        <f>_xlfn.IFNA(VLOOKUP(U49,'GRPO Wiz'!AP:BT,19,FALSE),"")</f>
        <v/>
      </c>
      <c r="BC49" s="52" t="str">
        <f>_xlfn.IFNA(VLOOKUP(U49,'GRPO Wiz'!AP:BT,20,FALSE),"")</f>
        <v/>
      </c>
      <c r="BD49" s="52" t="str">
        <f>_xlfn.IFNA(VLOOKUP(U49,'GRPO Wiz'!AP:BT,21,FALSE),"")</f>
        <v/>
      </c>
      <c r="BE49" s="52" t="str">
        <f>_xlfn.IFNA(LEFT((VLOOKUP(U49,'GRPO Wiz'!AP:BT,22,FALSE)),8),"")</f>
        <v/>
      </c>
      <c r="BF49" s="52" t="str">
        <f>_xlfn.IFNA(VLOOKUP(U49,'GRPO Wiz'!AP:BT,26,FALSE),"")</f>
        <v/>
      </c>
      <c r="BG49" s="63" t="str">
        <f>_xlfn.IFNA(VLOOKUP(U49,'GRPO Wiz'!AP:BQ,28,FALSE),"")</f>
        <v/>
      </c>
      <c r="BH49" s="52" t="str">
        <f>_xlfn.IFNA(VLOOKUP(U49,'GRPO Wiz'!AP:BN,25,FALSE),"")</f>
        <v/>
      </c>
      <c r="BI49" s="52" t="str">
        <f>_xlfn.IFNA(VLOOKUP(U49,'GRPO Wiz'!AP:BT,31,FALSE),"")</f>
        <v/>
      </c>
      <c r="BJ49" s="52" t="str">
        <f>_xlfn.IFNA(VLOOKUP(U49,'GRPO Wiz'!AP:BZ,32,FALSE),"")</f>
        <v/>
      </c>
      <c r="BK49" s="52" t="str">
        <f>_xlfn.IFNA(VLOOKUP(U49,'GRPO Wiz'!AP:BZ,27,FALSE),"")</f>
        <v/>
      </c>
      <c r="BL49" s="52" t="str">
        <f>_xlfn.IFNA(VALUE(VLOOKUP(U49,'GRPO Wiz'!AP:BZ,29,FALSE)),"")</f>
        <v/>
      </c>
      <c r="BM49" s="52" t="str">
        <f>IF(OR(_xlfn.IFNA(VLOOKUP(U49,'GRPO Wiz'!AP:BZ,33,FALSE),"")="NSC",_xlfn.IFNA(VLOOKUP(U49,'GRPO Wiz'!AP:BZ,33,FALSE),"")="NSSMC"),"NSC","")</f>
        <v/>
      </c>
      <c r="BX49" s="52" t="str">
        <f t="shared" si="22"/>
        <v/>
      </c>
      <c r="BY49" s="52" t="str">
        <f>_xlfn.IFNA(VLOOKUP(BX49&amp;H49,AP!IP:IQ,2,FALSE),"")</f>
        <v/>
      </c>
      <c r="BZ49" s="53" t="str">
        <f t="shared" si="23"/>
        <v/>
      </c>
      <c r="CA49" s="53"/>
      <c r="CD49" s="52" t="str">
        <f>_xlfn.IFNA((VLOOKUP(BX49&amp;H49,AP!IP:IS,4,FALSE)),"")</f>
        <v/>
      </c>
    </row>
    <row r="50" spans="10:82" ht="26.25" customHeight="1" x14ac:dyDescent="0.25">
      <c r="J50" s="52" t="str">
        <f t="shared" si="19"/>
        <v/>
      </c>
      <c r="K50" s="52" t="str">
        <f>IF(O50="","",VLOOKUP(U50,Data!O:AC,15,FALSE)/G50)</f>
        <v/>
      </c>
      <c r="X50" s="52" t="str">
        <f t="shared" si="20"/>
        <v/>
      </c>
      <c r="Z50" s="52">
        <f t="shared" si="21"/>
        <v>0</v>
      </c>
      <c r="AG50" s="52" t="str">
        <f>_xlfn.IFNA(VLOOKUP(U50,'Incoming Material Report'!A:M,13,FALSE),"")</f>
        <v/>
      </c>
      <c r="AH50" s="52" t="str">
        <f>_xlfn.IFNA(IF(VLOOKUP(U50,'Incoming Material Report'!A:N,14,FALSE)="","",VLOOKUP(U50,'Incoming Material Report'!A:N,14,FALSE)),"")</f>
        <v/>
      </c>
      <c r="AI50" s="52" t="str">
        <f>_xlfn.IFNA(VLOOKUP(U50,'Incoming Material Report'!A:Z,24,FALSE),"")</f>
        <v/>
      </c>
      <c r="AJ50" s="52" t="str">
        <f>_xlfn.IFNA(VLOOKUP(U50,'Incoming Material Report'!A:Z,25,FALSE),"")</f>
        <v/>
      </c>
      <c r="AK50" s="52" t="str">
        <f>_xlfn.IFNA(VLOOKUP(U50,'Incoming Material Report'!A:Z,26,FALSE),"")</f>
        <v/>
      </c>
      <c r="AL50" s="52" t="str">
        <f>_xlfn.IFNA(VLOOKUP(U50,'Incoming Material Report'!A:Z,2,FALSE),"")</f>
        <v/>
      </c>
      <c r="AM50" s="52" t="str">
        <f>_xlfn.IFNA(VLOOKUP(U50,'Incoming Material Report'!A:K,11,FALSE)/1000,"")</f>
        <v/>
      </c>
      <c r="AO50" s="52" t="str">
        <f>_xlfn.IFNA(VLOOKUP(U50,'Incoming Material Report'!A:R,18,FALSE)*1000,"")</f>
        <v/>
      </c>
      <c r="AQ50" s="52" t="str">
        <f>_xlfn.IFNA(TEXT(VLOOKUP(U50,'Incoming Material Report'!A:D,4,FALSE),"dd.mm.yy"),"")</f>
        <v/>
      </c>
      <c r="AR50" s="52" t="str">
        <f>_xlfn.IFNA(VLOOKUP(U50,'Incoming Material Report'!A:Z,5,FALSE),"")</f>
        <v/>
      </c>
      <c r="AT50" s="52" t="str">
        <f>IF(OR(_xlfn.IFNA(VLOOKUP(U50,'Incoming Material Report'!A:Z,6,FALSE),"")="NSC",_xlfn.IFNA(VLOOKUP(U50,'Incoming Material Report'!A:Z,6,FALSE),"")="NSSMC"),"NSC","")</f>
        <v/>
      </c>
      <c r="AU50" s="52" t="str">
        <f>_xlfn.IFNA(VLOOKUP(U50,'Incoming Material Report'!A:Z,8,FALSE),"")</f>
        <v/>
      </c>
      <c r="AZ50" s="52" t="str">
        <f>_xlfn.IFNA(VLOOKUP(U50,'GRPO Wiz'!AP:BT,17,FALSE),"")</f>
        <v/>
      </c>
      <c r="BA50" s="52" t="str">
        <f>_xlfn.IFNA(VLOOKUP(U50,'GRPO Wiz'!AP:BT,18,FALSE),"")</f>
        <v/>
      </c>
      <c r="BB50" s="52" t="str">
        <f>_xlfn.IFNA(VLOOKUP(U50,'GRPO Wiz'!AP:BT,19,FALSE),"")</f>
        <v/>
      </c>
      <c r="BC50" s="52" t="str">
        <f>_xlfn.IFNA(VLOOKUP(U50,'GRPO Wiz'!AP:BT,20,FALSE),"")</f>
        <v/>
      </c>
      <c r="BD50" s="52" t="str">
        <f>_xlfn.IFNA(VLOOKUP(U50,'GRPO Wiz'!AP:BT,21,FALSE),"")</f>
        <v/>
      </c>
      <c r="BE50" s="52" t="str">
        <f>_xlfn.IFNA(LEFT((VLOOKUP(U50,'GRPO Wiz'!AP:BT,22,FALSE)),8),"")</f>
        <v/>
      </c>
      <c r="BF50" s="52" t="str">
        <f>_xlfn.IFNA(VLOOKUP(U50,'GRPO Wiz'!AP:BT,26,FALSE),"")</f>
        <v/>
      </c>
      <c r="BG50" s="63" t="str">
        <f>_xlfn.IFNA(VLOOKUP(U50,'GRPO Wiz'!AP:BQ,28,FALSE),"")</f>
        <v/>
      </c>
      <c r="BH50" s="52" t="str">
        <f>_xlfn.IFNA(VLOOKUP(U50,'GRPO Wiz'!AP:BN,25,FALSE),"")</f>
        <v/>
      </c>
      <c r="BI50" s="52" t="str">
        <f>_xlfn.IFNA(VLOOKUP(U50,'GRPO Wiz'!AP:BT,31,FALSE),"")</f>
        <v/>
      </c>
      <c r="BJ50" s="52" t="str">
        <f>_xlfn.IFNA(VLOOKUP(U50,'GRPO Wiz'!AP:BZ,32,FALSE),"")</f>
        <v/>
      </c>
      <c r="BK50" s="52" t="str">
        <f>_xlfn.IFNA(VLOOKUP(U50,'GRPO Wiz'!AP:BZ,27,FALSE),"")</f>
        <v/>
      </c>
      <c r="BL50" s="52" t="str">
        <f>_xlfn.IFNA(VALUE(VLOOKUP(U50,'GRPO Wiz'!AP:BZ,29,FALSE)),"")</f>
        <v/>
      </c>
      <c r="BM50" s="52" t="str">
        <f>IF(OR(_xlfn.IFNA(VLOOKUP(U50,'GRPO Wiz'!AP:BZ,33,FALSE),"")="NSC",_xlfn.IFNA(VLOOKUP(U50,'GRPO Wiz'!AP:BZ,33,FALSE),"")="NSSMC"),"NSC","")</f>
        <v/>
      </c>
      <c r="BX50" s="52" t="str">
        <f t="shared" si="22"/>
        <v/>
      </c>
      <c r="BY50" s="52" t="str">
        <f>_xlfn.IFNA(VLOOKUP(BX50&amp;H50,AP!IP:IQ,2,FALSE),"")</f>
        <v/>
      </c>
      <c r="BZ50" s="53" t="str">
        <f t="shared" si="23"/>
        <v/>
      </c>
      <c r="CA50" s="53"/>
      <c r="CD50" s="52" t="str">
        <f>_xlfn.IFNA((VLOOKUP(BX50&amp;H50,AP!IP:IS,4,FALSE)),"")</f>
        <v/>
      </c>
    </row>
    <row r="51" spans="10:82" ht="26.25" customHeight="1" x14ac:dyDescent="0.25">
      <c r="J51" s="52" t="str">
        <f t="shared" si="19"/>
        <v/>
      </c>
      <c r="K51" s="52" t="str">
        <f>IF(O51="","",VLOOKUP(U51,Data!O:AC,15,FALSE)/G51)</f>
        <v/>
      </c>
      <c r="X51" s="52" t="str">
        <f t="shared" si="20"/>
        <v/>
      </c>
      <c r="Z51" s="52">
        <f t="shared" si="21"/>
        <v>0</v>
      </c>
      <c r="AG51" s="52" t="str">
        <f>_xlfn.IFNA(VLOOKUP(U51,'Incoming Material Report'!A:M,13,FALSE),"")</f>
        <v/>
      </c>
      <c r="AH51" s="52" t="str">
        <f>_xlfn.IFNA(IF(VLOOKUP(U51,'Incoming Material Report'!A:N,14,FALSE)="","",VLOOKUP(U51,'Incoming Material Report'!A:N,14,FALSE)),"")</f>
        <v/>
      </c>
      <c r="AI51" s="52" t="str">
        <f>_xlfn.IFNA(VLOOKUP(U51,'Incoming Material Report'!A:Z,24,FALSE),"")</f>
        <v/>
      </c>
      <c r="AJ51" s="52" t="str">
        <f>_xlfn.IFNA(VLOOKUP(U51,'Incoming Material Report'!A:Z,25,FALSE),"")</f>
        <v/>
      </c>
      <c r="AK51" s="52" t="str">
        <f>_xlfn.IFNA(VLOOKUP(U51,'Incoming Material Report'!A:Z,26,FALSE),"")</f>
        <v/>
      </c>
      <c r="AL51" s="52" t="str">
        <f>_xlfn.IFNA(VLOOKUP(U51,'Incoming Material Report'!A:Z,2,FALSE),"")</f>
        <v/>
      </c>
      <c r="AM51" s="52" t="str">
        <f>_xlfn.IFNA(VLOOKUP(U51,'Incoming Material Report'!A:K,11,FALSE)/1000,"")</f>
        <v/>
      </c>
      <c r="AO51" s="52" t="str">
        <f>_xlfn.IFNA(VLOOKUP(U51,'Incoming Material Report'!A:R,18,FALSE)*1000,"")</f>
        <v/>
      </c>
      <c r="AQ51" s="52" t="str">
        <f>_xlfn.IFNA(TEXT(VLOOKUP(U51,'Incoming Material Report'!A:D,4,FALSE),"dd.mm.yy"),"")</f>
        <v/>
      </c>
      <c r="AR51" s="52" t="str">
        <f>_xlfn.IFNA(VLOOKUP(U51,'Incoming Material Report'!A:Z,5,FALSE),"")</f>
        <v/>
      </c>
      <c r="AT51" s="52" t="str">
        <f>IF(OR(_xlfn.IFNA(VLOOKUP(U51,'Incoming Material Report'!A:Z,6,FALSE),"")="NSC",_xlfn.IFNA(VLOOKUP(U51,'Incoming Material Report'!A:Z,6,FALSE),"")="NSSMC"),"NSC","")</f>
        <v/>
      </c>
      <c r="AU51" s="52" t="str">
        <f>_xlfn.IFNA(VLOOKUP(U51,'Incoming Material Report'!A:Z,8,FALSE),"")</f>
        <v/>
      </c>
      <c r="AZ51" s="52" t="str">
        <f>_xlfn.IFNA(VLOOKUP(U51,'GRPO Wiz'!AP:BT,17,FALSE),"")</f>
        <v/>
      </c>
      <c r="BA51" s="52" t="str">
        <f>_xlfn.IFNA(VLOOKUP(U51,'GRPO Wiz'!AP:BT,18,FALSE),"")</f>
        <v/>
      </c>
      <c r="BB51" s="52" t="str">
        <f>_xlfn.IFNA(VLOOKUP(U51,'GRPO Wiz'!AP:BT,19,FALSE),"")</f>
        <v/>
      </c>
      <c r="BC51" s="52" t="str">
        <f>_xlfn.IFNA(VLOOKUP(U51,'GRPO Wiz'!AP:BT,20,FALSE),"")</f>
        <v/>
      </c>
      <c r="BD51" s="52" t="str">
        <f>_xlfn.IFNA(VLOOKUP(U51,'GRPO Wiz'!AP:BT,21,FALSE),"")</f>
        <v/>
      </c>
      <c r="BE51" s="52" t="str">
        <f>_xlfn.IFNA(LEFT((VLOOKUP(U51,'GRPO Wiz'!AP:BT,22,FALSE)),8),"")</f>
        <v/>
      </c>
      <c r="BF51" s="52" t="str">
        <f>_xlfn.IFNA(VLOOKUP(U51,'GRPO Wiz'!AP:BT,26,FALSE),"")</f>
        <v/>
      </c>
      <c r="BG51" s="63" t="str">
        <f>_xlfn.IFNA(VLOOKUP(U51,'GRPO Wiz'!AP:BQ,28,FALSE),"")</f>
        <v/>
      </c>
      <c r="BH51" s="52" t="str">
        <f>_xlfn.IFNA(VLOOKUP(U51,'GRPO Wiz'!AP:BN,25,FALSE),"")</f>
        <v/>
      </c>
      <c r="BI51" s="52" t="str">
        <f>_xlfn.IFNA(VLOOKUP(U51,'GRPO Wiz'!AP:BT,31,FALSE),"")</f>
        <v/>
      </c>
      <c r="BJ51" s="52" t="str">
        <f>_xlfn.IFNA(VLOOKUP(U51,'GRPO Wiz'!AP:BZ,32,FALSE),"")</f>
        <v/>
      </c>
      <c r="BK51" s="52" t="str">
        <f>_xlfn.IFNA(VLOOKUP(U51,'GRPO Wiz'!AP:BZ,27,FALSE),"")</f>
        <v/>
      </c>
      <c r="BL51" s="52" t="str">
        <f>_xlfn.IFNA(VALUE(VLOOKUP(U51,'GRPO Wiz'!AP:BZ,29,FALSE)),"")</f>
        <v/>
      </c>
      <c r="BM51" s="52" t="str">
        <f>IF(OR(_xlfn.IFNA(VLOOKUP(U51,'GRPO Wiz'!AP:BZ,33,FALSE),"")="NSC",_xlfn.IFNA(VLOOKUP(U51,'GRPO Wiz'!AP:BZ,33,FALSE),"")="NSSMC"),"NSC","")</f>
        <v/>
      </c>
      <c r="BX51" s="52" t="str">
        <f t="shared" si="22"/>
        <v/>
      </c>
      <c r="BY51" s="52" t="str">
        <f>_xlfn.IFNA(VLOOKUP(BX51&amp;H51,AP!IP:IQ,2,FALSE),"")</f>
        <v/>
      </c>
      <c r="BZ51" s="53" t="str">
        <f t="shared" si="23"/>
        <v/>
      </c>
      <c r="CA51" s="53"/>
      <c r="CD51" s="52" t="str">
        <f>_xlfn.IFNA((VLOOKUP(BX51&amp;H51,AP!IP:IS,4,FALSE)),"")</f>
        <v/>
      </c>
    </row>
    <row r="52" spans="10:82" ht="26.25" customHeight="1" x14ac:dyDescent="0.25">
      <c r="J52" s="52" t="str">
        <f t="shared" si="19"/>
        <v/>
      </c>
      <c r="K52" s="52" t="str">
        <f>IF(O52="","",VLOOKUP(U52,Data!O:AC,15,FALSE)/G52)</f>
        <v/>
      </c>
      <c r="X52" s="52" t="str">
        <f t="shared" si="20"/>
        <v/>
      </c>
      <c r="Z52" s="52">
        <f t="shared" si="21"/>
        <v>0</v>
      </c>
      <c r="AG52" s="52" t="str">
        <f>_xlfn.IFNA(VLOOKUP(U52,'Incoming Material Report'!A:M,13,FALSE),"")</f>
        <v/>
      </c>
      <c r="AH52" s="52" t="str">
        <f>_xlfn.IFNA(IF(VLOOKUP(U52,'Incoming Material Report'!A:N,14,FALSE)="","",VLOOKUP(U52,'Incoming Material Report'!A:N,14,FALSE)),"")</f>
        <v/>
      </c>
      <c r="AI52" s="52" t="str">
        <f>_xlfn.IFNA(VLOOKUP(U52,'Incoming Material Report'!A:Z,24,FALSE),"")</f>
        <v/>
      </c>
      <c r="AJ52" s="52" t="str">
        <f>_xlfn.IFNA(VLOOKUP(U52,'Incoming Material Report'!A:Z,25,FALSE),"")</f>
        <v/>
      </c>
      <c r="AK52" s="52" t="str">
        <f>_xlfn.IFNA(VLOOKUP(U52,'Incoming Material Report'!A:Z,26,FALSE),"")</f>
        <v/>
      </c>
      <c r="AL52" s="52" t="str">
        <f>_xlfn.IFNA(VLOOKUP(U52,'Incoming Material Report'!A:Z,2,FALSE),"")</f>
        <v/>
      </c>
      <c r="AM52" s="52" t="str">
        <f>_xlfn.IFNA(VLOOKUP(U52,'Incoming Material Report'!A:K,11,FALSE)/1000,"")</f>
        <v/>
      </c>
      <c r="AO52" s="52" t="str">
        <f>_xlfn.IFNA(VLOOKUP(U52,'Incoming Material Report'!A:R,18,FALSE)*1000,"")</f>
        <v/>
      </c>
      <c r="AQ52" s="52" t="str">
        <f>_xlfn.IFNA(TEXT(VLOOKUP(U52,'Incoming Material Report'!A:D,4,FALSE),"dd.mm.yy"),"")</f>
        <v/>
      </c>
      <c r="AR52" s="52" t="str">
        <f>_xlfn.IFNA(VLOOKUP(U52,'Incoming Material Report'!A:Z,5,FALSE),"")</f>
        <v/>
      </c>
      <c r="AT52" s="52" t="str">
        <f>IF(OR(_xlfn.IFNA(VLOOKUP(U52,'Incoming Material Report'!A:Z,6,FALSE),"")="NSC",_xlfn.IFNA(VLOOKUP(U52,'Incoming Material Report'!A:Z,6,FALSE),"")="NSSMC"),"NSC","")</f>
        <v/>
      </c>
      <c r="AU52" s="52" t="str">
        <f>_xlfn.IFNA(VLOOKUP(U52,'Incoming Material Report'!A:Z,8,FALSE),"")</f>
        <v/>
      </c>
      <c r="AZ52" s="52" t="str">
        <f>_xlfn.IFNA(VLOOKUP(U52,'GRPO Wiz'!AP:BT,17,FALSE),"")</f>
        <v/>
      </c>
      <c r="BA52" s="52" t="str">
        <f>_xlfn.IFNA(VLOOKUP(U52,'GRPO Wiz'!AP:BT,18,FALSE),"")</f>
        <v/>
      </c>
      <c r="BB52" s="52" t="str">
        <f>_xlfn.IFNA(VLOOKUP(U52,'GRPO Wiz'!AP:BT,19,FALSE),"")</f>
        <v/>
      </c>
      <c r="BC52" s="52" t="str">
        <f>_xlfn.IFNA(VLOOKUP(U52,'GRPO Wiz'!AP:BT,20,FALSE),"")</f>
        <v/>
      </c>
      <c r="BD52" s="52" t="str">
        <f>_xlfn.IFNA(VLOOKUP(U52,'GRPO Wiz'!AP:BT,21,FALSE),"")</f>
        <v/>
      </c>
      <c r="BE52" s="52" t="str">
        <f>_xlfn.IFNA(LEFT((VLOOKUP(U52,'GRPO Wiz'!AP:BT,22,FALSE)),8),"")</f>
        <v/>
      </c>
      <c r="BF52" s="52" t="str">
        <f>_xlfn.IFNA(VLOOKUP(U52,'GRPO Wiz'!AP:BT,26,FALSE),"")</f>
        <v/>
      </c>
      <c r="BG52" s="63" t="str">
        <f>_xlfn.IFNA(VLOOKUP(U52,'GRPO Wiz'!AP:BQ,28,FALSE),"")</f>
        <v/>
      </c>
      <c r="BH52" s="52" t="str">
        <f>_xlfn.IFNA(VLOOKUP(U52,'GRPO Wiz'!AP:BN,25,FALSE),"")</f>
        <v/>
      </c>
      <c r="BI52" s="52" t="str">
        <f>_xlfn.IFNA(VLOOKUP(U52,'GRPO Wiz'!AP:BT,31,FALSE),"")</f>
        <v/>
      </c>
      <c r="BJ52" s="52" t="str">
        <f>_xlfn.IFNA(VLOOKUP(U52,'GRPO Wiz'!AP:BZ,32,FALSE),"")</f>
        <v/>
      </c>
      <c r="BK52" s="52" t="str">
        <f>_xlfn.IFNA(VLOOKUP(U52,'GRPO Wiz'!AP:BZ,27,FALSE),"")</f>
        <v/>
      </c>
      <c r="BL52" s="52" t="str">
        <f>_xlfn.IFNA(VALUE(VLOOKUP(U52,'GRPO Wiz'!AP:BZ,29,FALSE)),"")</f>
        <v/>
      </c>
      <c r="BM52" s="52" t="str">
        <f>IF(OR(_xlfn.IFNA(VLOOKUP(U52,'GRPO Wiz'!AP:BZ,33,FALSE),"")="NSC",_xlfn.IFNA(VLOOKUP(U52,'GRPO Wiz'!AP:BZ,33,FALSE),"")="NSSMC"),"NSC","")</f>
        <v/>
      </c>
      <c r="BX52" s="52" t="str">
        <f t="shared" si="22"/>
        <v/>
      </c>
      <c r="BY52" s="52" t="str">
        <f>_xlfn.IFNA(VLOOKUP(BX52&amp;H52,AP!IP:IQ,2,FALSE),"")</f>
        <v/>
      </c>
      <c r="BZ52" s="53" t="str">
        <f t="shared" si="23"/>
        <v/>
      </c>
      <c r="CA52" s="53"/>
      <c r="CD52" s="52" t="str">
        <f>_xlfn.IFNA((VLOOKUP(BX52&amp;H52,AP!IP:IS,4,FALSE)),"")</f>
        <v/>
      </c>
    </row>
    <row r="53" spans="10:82" ht="26.25" customHeight="1" x14ac:dyDescent="0.25">
      <c r="J53" s="52" t="str">
        <f t="shared" si="19"/>
        <v/>
      </c>
      <c r="K53" s="52" t="str">
        <f>IF(O53="","",VLOOKUP(U53,Data!O:AC,15,FALSE)/G53)</f>
        <v/>
      </c>
      <c r="X53" s="52" t="str">
        <f t="shared" si="20"/>
        <v/>
      </c>
      <c r="Z53" s="52">
        <f t="shared" si="21"/>
        <v>0</v>
      </c>
      <c r="AG53" s="52" t="str">
        <f>_xlfn.IFNA(VLOOKUP(U53,'Incoming Material Report'!A:M,13,FALSE),"")</f>
        <v/>
      </c>
      <c r="AH53" s="52" t="str">
        <f>_xlfn.IFNA(IF(VLOOKUP(U53,'Incoming Material Report'!A:N,14,FALSE)="","",VLOOKUP(U53,'Incoming Material Report'!A:N,14,FALSE)),"")</f>
        <v/>
      </c>
      <c r="AI53" s="52" t="str">
        <f>_xlfn.IFNA(VLOOKUP(U53,'Incoming Material Report'!A:Z,24,FALSE),"")</f>
        <v/>
      </c>
      <c r="AJ53" s="52" t="str">
        <f>_xlfn.IFNA(VLOOKUP(U53,'Incoming Material Report'!A:Z,25,FALSE),"")</f>
        <v/>
      </c>
      <c r="AK53" s="52" t="str">
        <f>_xlfn.IFNA(VLOOKUP(U53,'Incoming Material Report'!A:Z,26,FALSE),"")</f>
        <v/>
      </c>
      <c r="AL53" s="52" t="str">
        <f>_xlfn.IFNA(VLOOKUP(U53,'Incoming Material Report'!A:Z,2,FALSE),"")</f>
        <v/>
      </c>
      <c r="AM53" s="52" t="str">
        <f>_xlfn.IFNA(VLOOKUP(U53,'Incoming Material Report'!A:K,11,FALSE)/1000,"")</f>
        <v/>
      </c>
      <c r="AO53" s="52" t="str">
        <f>_xlfn.IFNA(VLOOKUP(U53,'Incoming Material Report'!A:R,18,FALSE)*1000,"")</f>
        <v/>
      </c>
      <c r="AQ53" s="52" t="str">
        <f>_xlfn.IFNA(TEXT(VLOOKUP(U53,'Incoming Material Report'!A:D,4,FALSE),"dd.mm.yy"),"")</f>
        <v/>
      </c>
      <c r="AR53" s="52" t="str">
        <f>_xlfn.IFNA(VLOOKUP(U53,'Incoming Material Report'!A:Z,5,FALSE),"")</f>
        <v/>
      </c>
      <c r="AT53" s="52" t="str">
        <f>IF(OR(_xlfn.IFNA(VLOOKUP(U53,'Incoming Material Report'!A:Z,6,FALSE),"")="NSC",_xlfn.IFNA(VLOOKUP(U53,'Incoming Material Report'!A:Z,6,FALSE),"")="NSSMC"),"NSC","")</f>
        <v/>
      </c>
      <c r="AU53" s="52" t="str">
        <f>_xlfn.IFNA(VLOOKUP(U53,'Incoming Material Report'!A:Z,8,FALSE),"")</f>
        <v/>
      </c>
      <c r="AZ53" s="52" t="str">
        <f>_xlfn.IFNA(VLOOKUP(U53,'GRPO Wiz'!AP:BT,17,FALSE),"")</f>
        <v/>
      </c>
      <c r="BA53" s="52" t="str">
        <f>_xlfn.IFNA(VLOOKUP(U53,'GRPO Wiz'!AP:BT,18,FALSE),"")</f>
        <v/>
      </c>
      <c r="BB53" s="52" t="str">
        <f>_xlfn.IFNA(VLOOKUP(U53,'GRPO Wiz'!AP:BT,19,FALSE),"")</f>
        <v/>
      </c>
      <c r="BC53" s="52" t="str">
        <f>_xlfn.IFNA(VLOOKUP(U53,'GRPO Wiz'!AP:BT,20,FALSE),"")</f>
        <v/>
      </c>
      <c r="BD53" s="52" t="str">
        <f>_xlfn.IFNA(VLOOKUP(U53,'GRPO Wiz'!AP:BT,21,FALSE),"")</f>
        <v/>
      </c>
      <c r="BE53" s="52" t="str">
        <f>_xlfn.IFNA(LEFT((VLOOKUP(U53,'GRPO Wiz'!AP:BT,22,FALSE)),8),"")</f>
        <v/>
      </c>
      <c r="BF53" s="52" t="str">
        <f>_xlfn.IFNA(VLOOKUP(U53,'GRPO Wiz'!AP:BT,26,FALSE),"")</f>
        <v/>
      </c>
      <c r="BG53" s="63" t="str">
        <f>_xlfn.IFNA(VLOOKUP(U53,'GRPO Wiz'!AP:BQ,28,FALSE),"")</f>
        <v/>
      </c>
      <c r="BH53" s="52" t="str">
        <f>_xlfn.IFNA(VLOOKUP(U53,'GRPO Wiz'!AP:BN,25,FALSE),"")</f>
        <v/>
      </c>
      <c r="BI53" s="52" t="str">
        <f>_xlfn.IFNA(VLOOKUP(U53,'GRPO Wiz'!AP:BT,31,FALSE),"")</f>
        <v/>
      </c>
      <c r="BJ53" s="52" t="str">
        <f>_xlfn.IFNA(VLOOKUP(U53,'GRPO Wiz'!AP:BZ,32,FALSE),"")</f>
        <v/>
      </c>
      <c r="BK53" s="52" t="str">
        <f>_xlfn.IFNA(VLOOKUP(U53,'GRPO Wiz'!AP:BZ,27,FALSE),"")</f>
        <v/>
      </c>
      <c r="BL53" s="52" t="str">
        <f>_xlfn.IFNA(VALUE(VLOOKUP(U53,'GRPO Wiz'!AP:BZ,29,FALSE)),"")</f>
        <v/>
      </c>
      <c r="BM53" s="52" t="str">
        <f>IF(OR(_xlfn.IFNA(VLOOKUP(U53,'GRPO Wiz'!AP:BZ,33,FALSE),"")="NSC",_xlfn.IFNA(VLOOKUP(U53,'GRPO Wiz'!AP:BZ,33,FALSE),"")="NSSMC"),"NSC","")</f>
        <v/>
      </c>
      <c r="BX53" s="52" t="str">
        <f t="shared" si="22"/>
        <v/>
      </c>
      <c r="BY53" s="52" t="str">
        <f>_xlfn.IFNA(VLOOKUP(BX53&amp;H53,AP!IP:IQ,2,FALSE),"")</f>
        <v/>
      </c>
      <c r="BZ53" s="53" t="str">
        <f t="shared" si="23"/>
        <v/>
      </c>
      <c r="CA53" s="53"/>
      <c r="CD53" s="52" t="str">
        <f>_xlfn.IFNA((VLOOKUP(BX53&amp;H53,AP!IP:IS,4,FALSE)),"")</f>
        <v/>
      </c>
    </row>
    <row r="54" spans="10:82" ht="26.25" customHeight="1" x14ac:dyDescent="0.25">
      <c r="J54" s="52" t="str">
        <f t="shared" si="19"/>
        <v/>
      </c>
      <c r="K54" s="52" t="str">
        <f>IF(O54="","",VLOOKUP(U54,Data!O:AC,15,FALSE)/G54)</f>
        <v/>
      </c>
      <c r="X54" s="52" t="str">
        <f t="shared" si="20"/>
        <v/>
      </c>
      <c r="Z54" s="52">
        <f t="shared" si="21"/>
        <v>0</v>
      </c>
      <c r="AG54" s="52" t="str">
        <f>_xlfn.IFNA(VLOOKUP(U54,'Incoming Material Report'!A:M,13,FALSE),"")</f>
        <v/>
      </c>
      <c r="AH54" s="52" t="str">
        <f>_xlfn.IFNA(IF(VLOOKUP(U54,'Incoming Material Report'!A:N,14,FALSE)="","",VLOOKUP(U54,'Incoming Material Report'!A:N,14,FALSE)),"")</f>
        <v/>
      </c>
      <c r="AI54" s="52" t="str">
        <f>_xlfn.IFNA(VLOOKUP(U54,'Incoming Material Report'!A:Z,24,FALSE),"")</f>
        <v/>
      </c>
      <c r="AJ54" s="52" t="str">
        <f>_xlfn.IFNA(VLOOKUP(U54,'Incoming Material Report'!A:Z,25,FALSE),"")</f>
        <v/>
      </c>
      <c r="AK54" s="52" t="str">
        <f>_xlfn.IFNA(VLOOKUP(U54,'Incoming Material Report'!A:Z,26,FALSE),"")</f>
        <v/>
      </c>
      <c r="AL54" s="52" t="str">
        <f>_xlfn.IFNA(VLOOKUP(U54,'Incoming Material Report'!A:Z,2,FALSE),"")</f>
        <v/>
      </c>
      <c r="AM54" s="52" t="str">
        <f>_xlfn.IFNA(VLOOKUP(U54,'Incoming Material Report'!A:K,11,FALSE)/1000,"")</f>
        <v/>
      </c>
      <c r="AO54" s="52" t="str">
        <f>_xlfn.IFNA(VLOOKUP(U54,'Incoming Material Report'!A:R,18,FALSE)*1000,"")</f>
        <v/>
      </c>
      <c r="AQ54" s="52" t="str">
        <f>_xlfn.IFNA(TEXT(VLOOKUP(U54,'Incoming Material Report'!A:D,4,FALSE),"dd.mm.yy"),"")</f>
        <v/>
      </c>
      <c r="AR54" s="52" t="str">
        <f>_xlfn.IFNA(VLOOKUP(U54,'Incoming Material Report'!A:Z,5,FALSE),"")</f>
        <v/>
      </c>
      <c r="AT54" s="52" t="str">
        <f>IF(OR(_xlfn.IFNA(VLOOKUP(U54,'Incoming Material Report'!A:Z,6,FALSE),"")="NSC",_xlfn.IFNA(VLOOKUP(U54,'Incoming Material Report'!A:Z,6,FALSE),"")="NSSMC"),"NSC","")</f>
        <v/>
      </c>
      <c r="AU54" s="52" t="str">
        <f>_xlfn.IFNA(VLOOKUP(U54,'Incoming Material Report'!A:Z,8,FALSE),"")</f>
        <v/>
      </c>
      <c r="AZ54" s="52" t="str">
        <f>_xlfn.IFNA(VLOOKUP(U54,'GRPO Wiz'!AP:BT,17,FALSE),"")</f>
        <v/>
      </c>
      <c r="BA54" s="52" t="str">
        <f>_xlfn.IFNA(VLOOKUP(U54,'GRPO Wiz'!AP:BT,18,FALSE),"")</f>
        <v/>
      </c>
      <c r="BB54" s="52" t="str">
        <f>_xlfn.IFNA(VLOOKUP(U54,'GRPO Wiz'!AP:BT,19,FALSE),"")</f>
        <v/>
      </c>
      <c r="BC54" s="52" t="str">
        <f>_xlfn.IFNA(VLOOKUP(U54,'GRPO Wiz'!AP:BT,20,FALSE),"")</f>
        <v/>
      </c>
      <c r="BD54" s="52" t="str">
        <f>_xlfn.IFNA(VLOOKUP(U54,'GRPO Wiz'!AP:BT,21,FALSE),"")</f>
        <v/>
      </c>
      <c r="BE54" s="52" t="str">
        <f>_xlfn.IFNA(LEFT((VLOOKUP(U54,'GRPO Wiz'!AP:BT,22,FALSE)),8),"")</f>
        <v/>
      </c>
      <c r="BF54" s="52" t="str">
        <f>_xlfn.IFNA(VLOOKUP(U54,'GRPO Wiz'!AP:BT,26,FALSE),"")</f>
        <v/>
      </c>
      <c r="BG54" s="63" t="str">
        <f>_xlfn.IFNA(VLOOKUP(U54,'GRPO Wiz'!AP:BQ,28,FALSE),"")</f>
        <v/>
      </c>
      <c r="BH54" s="52" t="str">
        <f>_xlfn.IFNA(VLOOKUP(U54,'GRPO Wiz'!AP:BN,25,FALSE),"")</f>
        <v/>
      </c>
      <c r="BI54" s="52" t="str">
        <f>_xlfn.IFNA(VLOOKUP(U54,'GRPO Wiz'!AP:BT,31,FALSE),"")</f>
        <v/>
      </c>
      <c r="BJ54" s="52" t="str">
        <f>_xlfn.IFNA(VLOOKUP(U54,'GRPO Wiz'!AP:BZ,32,FALSE),"")</f>
        <v/>
      </c>
      <c r="BK54" s="52" t="str">
        <f>_xlfn.IFNA(VLOOKUP(U54,'GRPO Wiz'!AP:BZ,27,FALSE),"")</f>
        <v/>
      </c>
      <c r="BL54" s="52" t="str">
        <f>_xlfn.IFNA(VALUE(VLOOKUP(U54,'GRPO Wiz'!AP:BZ,29,FALSE)),"")</f>
        <v/>
      </c>
      <c r="BM54" s="52" t="str">
        <f>IF(OR(_xlfn.IFNA(VLOOKUP(U54,'GRPO Wiz'!AP:BZ,33,FALSE),"")="NSC",_xlfn.IFNA(VLOOKUP(U54,'GRPO Wiz'!AP:BZ,33,FALSE),"")="NSSMC"),"NSC","")</f>
        <v/>
      </c>
      <c r="BX54" s="52" t="str">
        <f t="shared" si="22"/>
        <v/>
      </c>
      <c r="BY54" s="52" t="str">
        <f>_xlfn.IFNA(VLOOKUP(BX54&amp;H54,AP!IP:IQ,2,FALSE),"")</f>
        <v/>
      </c>
      <c r="BZ54" s="53" t="str">
        <f t="shared" si="23"/>
        <v/>
      </c>
      <c r="CA54" s="53"/>
      <c r="CD54" s="52" t="str">
        <f>_xlfn.IFNA((VLOOKUP(BX54&amp;H54,AP!IP:IS,4,FALSE)),"")</f>
        <v/>
      </c>
    </row>
    <row r="55" spans="10:82" ht="26.25" customHeight="1" x14ac:dyDescent="0.25">
      <c r="J55" s="52" t="str">
        <f t="shared" si="19"/>
        <v/>
      </c>
      <c r="K55" s="52" t="str">
        <f>IF(O55="","",VLOOKUP(U55,Data!O:AC,15,FALSE)/G55)</f>
        <v/>
      </c>
      <c r="X55" s="52" t="str">
        <f t="shared" si="20"/>
        <v/>
      </c>
      <c r="Z55" s="52">
        <f t="shared" si="21"/>
        <v>0</v>
      </c>
      <c r="AG55" s="52" t="str">
        <f>_xlfn.IFNA(VLOOKUP(U55,'Incoming Material Report'!A:M,13,FALSE),"")</f>
        <v/>
      </c>
      <c r="AH55" s="52" t="str">
        <f>_xlfn.IFNA(IF(VLOOKUP(U55,'Incoming Material Report'!A:N,14,FALSE)="","",VLOOKUP(U55,'Incoming Material Report'!A:N,14,FALSE)),"")</f>
        <v/>
      </c>
      <c r="AI55" s="52" t="str">
        <f>_xlfn.IFNA(VLOOKUP(U55,'Incoming Material Report'!A:Z,24,FALSE),"")</f>
        <v/>
      </c>
      <c r="AJ55" s="52" t="str">
        <f>_xlfn.IFNA(VLOOKUP(U55,'Incoming Material Report'!A:Z,25,FALSE),"")</f>
        <v/>
      </c>
      <c r="AK55" s="52" t="str">
        <f>_xlfn.IFNA(VLOOKUP(U55,'Incoming Material Report'!A:Z,26,FALSE),"")</f>
        <v/>
      </c>
      <c r="AL55" s="52" t="str">
        <f>_xlfn.IFNA(VLOOKUP(U55,'Incoming Material Report'!A:Z,2,FALSE),"")</f>
        <v/>
      </c>
      <c r="AM55" s="52" t="str">
        <f>_xlfn.IFNA(VLOOKUP(U55,'Incoming Material Report'!A:K,11,FALSE)/1000,"")</f>
        <v/>
      </c>
      <c r="AO55" s="52" t="str">
        <f>_xlfn.IFNA(VLOOKUP(U55,'Incoming Material Report'!A:R,18,FALSE)*1000,"")</f>
        <v/>
      </c>
      <c r="AQ55" s="52" t="str">
        <f>_xlfn.IFNA(TEXT(VLOOKUP(U55,'Incoming Material Report'!A:D,4,FALSE),"dd.mm.yy"),"")</f>
        <v/>
      </c>
      <c r="AR55" s="52" t="str">
        <f>_xlfn.IFNA(VLOOKUP(U55,'Incoming Material Report'!A:Z,5,FALSE),"")</f>
        <v/>
      </c>
      <c r="AT55" s="52" t="str">
        <f>IF(OR(_xlfn.IFNA(VLOOKUP(U55,'Incoming Material Report'!A:Z,6,FALSE),"")="NSC",_xlfn.IFNA(VLOOKUP(U55,'Incoming Material Report'!A:Z,6,FALSE),"")="NSSMC"),"NSC","")</f>
        <v/>
      </c>
      <c r="AU55" s="52" t="str">
        <f>_xlfn.IFNA(VLOOKUP(U55,'Incoming Material Report'!A:Z,8,FALSE),"")</f>
        <v/>
      </c>
      <c r="AZ55" s="52" t="str">
        <f>_xlfn.IFNA(VLOOKUP(U55,'GRPO Wiz'!AP:BT,17,FALSE),"")</f>
        <v/>
      </c>
      <c r="BA55" s="52" t="str">
        <f>_xlfn.IFNA(VLOOKUP(U55,'GRPO Wiz'!AP:BT,18,FALSE),"")</f>
        <v/>
      </c>
      <c r="BB55" s="52" t="str">
        <f>_xlfn.IFNA(VLOOKUP(U55,'GRPO Wiz'!AP:BT,19,FALSE),"")</f>
        <v/>
      </c>
      <c r="BC55" s="52" t="str">
        <f>_xlfn.IFNA(VLOOKUP(U55,'GRPO Wiz'!AP:BT,20,FALSE),"")</f>
        <v/>
      </c>
      <c r="BD55" s="52" t="str">
        <f>_xlfn.IFNA(VLOOKUP(U55,'GRPO Wiz'!AP:BT,21,FALSE),"")</f>
        <v/>
      </c>
      <c r="BE55" s="52" t="str">
        <f>_xlfn.IFNA(LEFT((VLOOKUP(U55,'GRPO Wiz'!AP:BT,22,FALSE)),8),"")</f>
        <v/>
      </c>
      <c r="BF55" s="52" t="str">
        <f>_xlfn.IFNA(VLOOKUP(U55,'GRPO Wiz'!AP:BT,26,FALSE),"")</f>
        <v/>
      </c>
      <c r="BG55" s="63" t="str">
        <f>_xlfn.IFNA(VLOOKUP(U55,'GRPO Wiz'!AP:BQ,28,FALSE),"")</f>
        <v/>
      </c>
      <c r="BH55" s="52" t="str">
        <f>_xlfn.IFNA(VLOOKUP(U55,'GRPO Wiz'!AP:BN,25,FALSE),"")</f>
        <v/>
      </c>
      <c r="BI55" s="52" t="str">
        <f>_xlfn.IFNA(VLOOKUP(U55,'GRPO Wiz'!AP:BT,31,FALSE),"")</f>
        <v/>
      </c>
      <c r="BJ55" s="52" t="str">
        <f>_xlfn.IFNA(VLOOKUP(U55,'GRPO Wiz'!AP:BZ,32,FALSE),"")</f>
        <v/>
      </c>
      <c r="BK55" s="52" t="str">
        <f>_xlfn.IFNA(VLOOKUP(U55,'GRPO Wiz'!AP:BZ,27,FALSE),"")</f>
        <v/>
      </c>
      <c r="BL55" s="52" t="str">
        <f>_xlfn.IFNA(VALUE(VLOOKUP(U55,'GRPO Wiz'!AP:BZ,29,FALSE)),"")</f>
        <v/>
      </c>
      <c r="BM55" s="52" t="str">
        <f>IF(OR(_xlfn.IFNA(VLOOKUP(U55,'GRPO Wiz'!AP:BZ,33,FALSE),"")="NSC",_xlfn.IFNA(VLOOKUP(U55,'GRPO Wiz'!AP:BZ,33,FALSE),"")="NSSMC"),"NSC","")</f>
        <v/>
      </c>
      <c r="BX55" s="52" t="str">
        <f t="shared" si="22"/>
        <v/>
      </c>
      <c r="BY55" s="52" t="str">
        <f>_xlfn.IFNA(VLOOKUP(BX55&amp;H55,AP!IP:IQ,2,FALSE),"")</f>
        <v/>
      </c>
      <c r="BZ55" s="53" t="str">
        <f t="shared" si="23"/>
        <v/>
      </c>
      <c r="CA55" s="53"/>
      <c r="CD55" s="52" t="str">
        <f>_xlfn.IFNA((VLOOKUP(BX55&amp;H55,AP!IP:IS,4,FALSE)),"")</f>
        <v/>
      </c>
    </row>
    <row r="56" spans="10:82" ht="26.25" customHeight="1" x14ac:dyDescent="0.25">
      <c r="J56" s="52" t="str">
        <f t="shared" si="19"/>
        <v/>
      </c>
      <c r="K56" s="52" t="str">
        <f>IF(O56="","",VLOOKUP(U56,Data!O:AC,15,FALSE)/G56)</f>
        <v/>
      </c>
      <c r="X56" s="52" t="str">
        <f t="shared" si="20"/>
        <v/>
      </c>
      <c r="Z56" s="52">
        <f t="shared" si="21"/>
        <v>0</v>
      </c>
      <c r="AG56" s="52" t="str">
        <f>_xlfn.IFNA(VLOOKUP(U56,'Incoming Material Report'!A:M,13,FALSE),"")</f>
        <v/>
      </c>
      <c r="AH56" s="52" t="str">
        <f>_xlfn.IFNA(IF(VLOOKUP(U56,'Incoming Material Report'!A:N,14,FALSE)="","",VLOOKUP(U56,'Incoming Material Report'!A:N,14,FALSE)),"")</f>
        <v/>
      </c>
      <c r="AI56" s="52" t="str">
        <f>_xlfn.IFNA(VLOOKUP(U56,'Incoming Material Report'!A:Z,24,FALSE),"")</f>
        <v/>
      </c>
      <c r="AJ56" s="52" t="str">
        <f>_xlfn.IFNA(VLOOKUP(U56,'Incoming Material Report'!A:Z,25,FALSE),"")</f>
        <v/>
      </c>
      <c r="AK56" s="52" t="str">
        <f>_xlfn.IFNA(VLOOKUP(U56,'Incoming Material Report'!A:Z,26,FALSE),"")</f>
        <v/>
      </c>
      <c r="AL56" s="52" t="str">
        <f>_xlfn.IFNA(VLOOKUP(U56,'Incoming Material Report'!A:Z,2,FALSE),"")</f>
        <v/>
      </c>
      <c r="AM56" s="52" t="str">
        <f>_xlfn.IFNA(VLOOKUP(U56,'Incoming Material Report'!A:K,11,FALSE)/1000,"")</f>
        <v/>
      </c>
      <c r="AO56" s="52" t="str">
        <f>_xlfn.IFNA(VLOOKUP(U56,'Incoming Material Report'!A:R,18,FALSE)*1000,"")</f>
        <v/>
      </c>
      <c r="AQ56" s="52" t="str">
        <f>_xlfn.IFNA(TEXT(VLOOKUP(U56,'Incoming Material Report'!A:D,4,FALSE),"dd.mm.yy"),"")</f>
        <v/>
      </c>
      <c r="AR56" s="52" t="str">
        <f>_xlfn.IFNA(VLOOKUP(U56,'Incoming Material Report'!A:Z,5,FALSE),"")</f>
        <v/>
      </c>
      <c r="AT56" s="52" t="str">
        <f>IF(OR(_xlfn.IFNA(VLOOKUP(U56,'Incoming Material Report'!A:Z,6,FALSE),"")="NSC",_xlfn.IFNA(VLOOKUP(U56,'Incoming Material Report'!A:Z,6,FALSE),"")="NSSMC"),"NSC","")</f>
        <v/>
      </c>
      <c r="AU56" s="52" t="str">
        <f>_xlfn.IFNA(VLOOKUP(U56,'Incoming Material Report'!A:Z,8,FALSE),"")</f>
        <v/>
      </c>
      <c r="AZ56" s="52" t="str">
        <f>_xlfn.IFNA(VLOOKUP(U56,'GRPO Wiz'!AP:BT,17,FALSE),"")</f>
        <v/>
      </c>
      <c r="BA56" s="52" t="str">
        <f>_xlfn.IFNA(VLOOKUP(U56,'GRPO Wiz'!AP:BT,18,FALSE),"")</f>
        <v/>
      </c>
      <c r="BB56" s="52" t="str">
        <f>_xlfn.IFNA(VLOOKUP(U56,'GRPO Wiz'!AP:BT,19,FALSE),"")</f>
        <v/>
      </c>
      <c r="BC56" s="52" t="str">
        <f>_xlfn.IFNA(VLOOKUP(U56,'GRPO Wiz'!AP:BT,20,FALSE),"")</f>
        <v/>
      </c>
      <c r="BD56" s="52" t="str">
        <f>_xlfn.IFNA(VLOOKUP(U56,'GRPO Wiz'!AP:BT,21,FALSE),"")</f>
        <v/>
      </c>
      <c r="BE56" s="52" t="str">
        <f>_xlfn.IFNA(LEFT((VLOOKUP(U56,'GRPO Wiz'!AP:BT,22,FALSE)),8),"")</f>
        <v/>
      </c>
      <c r="BF56" s="52" t="str">
        <f>_xlfn.IFNA(VLOOKUP(U56,'GRPO Wiz'!AP:BT,26,FALSE),"")</f>
        <v/>
      </c>
      <c r="BG56" s="63" t="str">
        <f>_xlfn.IFNA(VLOOKUP(U56,'GRPO Wiz'!AP:BQ,28,FALSE),"")</f>
        <v/>
      </c>
      <c r="BH56" s="52" t="str">
        <f>_xlfn.IFNA(VLOOKUP(U56,'GRPO Wiz'!AP:BN,25,FALSE),"")</f>
        <v/>
      </c>
      <c r="BI56" s="52" t="str">
        <f>_xlfn.IFNA(VLOOKUP(U56,'GRPO Wiz'!AP:BT,31,FALSE),"")</f>
        <v/>
      </c>
      <c r="BJ56" s="52" t="str">
        <f>_xlfn.IFNA(VLOOKUP(U56,'GRPO Wiz'!AP:BZ,32,FALSE),"")</f>
        <v/>
      </c>
      <c r="BK56" s="52" t="str">
        <f>_xlfn.IFNA(VLOOKUP(U56,'GRPO Wiz'!AP:BZ,27,FALSE),"")</f>
        <v/>
      </c>
      <c r="BL56" s="52" t="str">
        <f>_xlfn.IFNA(VALUE(VLOOKUP(U56,'GRPO Wiz'!AP:BZ,29,FALSE)),"")</f>
        <v/>
      </c>
      <c r="BM56" s="52" t="str">
        <f>IF(OR(_xlfn.IFNA(VLOOKUP(U56,'GRPO Wiz'!AP:BZ,33,FALSE),"")="NSC",_xlfn.IFNA(VLOOKUP(U56,'GRPO Wiz'!AP:BZ,33,FALSE),"")="NSSMC"),"NSC","")</f>
        <v/>
      </c>
      <c r="BX56" s="52" t="str">
        <f t="shared" si="22"/>
        <v/>
      </c>
      <c r="BY56" s="52" t="str">
        <f>_xlfn.IFNA(VLOOKUP(BX56&amp;H56,AP!IP:IQ,2,FALSE),"")</f>
        <v/>
      </c>
      <c r="BZ56" s="53" t="str">
        <f t="shared" si="23"/>
        <v/>
      </c>
      <c r="CA56" s="53"/>
      <c r="CD56" s="52" t="str">
        <f>_xlfn.IFNA((VLOOKUP(BX56&amp;H56,AP!IP:IS,4,FALSE)),"")</f>
        <v/>
      </c>
    </row>
    <row r="57" spans="10:82" ht="26.25" customHeight="1" x14ac:dyDescent="0.25">
      <c r="J57" s="52" t="str">
        <f t="shared" si="19"/>
        <v/>
      </c>
      <c r="K57" s="52" t="str">
        <f>IF(O57="","",VLOOKUP(U57,Data!O:AC,15,FALSE)/G57)</f>
        <v/>
      </c>
      <c r="X57" s="52" t="str">
        <f t="shared" si="20"/>
        <v/>
      </c>
      <c r="Z57" s="52">
        <f t="shared" si="21"/>
        <v>0</v>
      </c>
      <c r="AG57" s="52" t="str">
        <f>_xlfn.IFNA(VLOOKUP(U57,'Incoming Material Report'!A:M,13,FALSE),"")</f>
        <v/>
      </c>
      <c r="AH57" s="52" t="str">
        <f>_xlfn.IFNA(IF(VLOOKUP(U57,'Incoming Material Report'!A:N,14,FALSE)="","",VLOOKUP(U57,'Incoming Material Report'!A:N,14,FALSE)),"")</f>
        <v/>
      </c>
      <c r="AI57" s="52" t="str">
        <f>_xlfn.IFNA(VLOOKUP(U57,'Incoming Material Report'!A:Z,24,FALSE),"")</f>
        <v/>
      </c>
      <c r="AJ57" s="52" t="str">
        <f>_xlfn.IFNA(VLOOKUP(U57,'Incoming Material Report'!A:Z,25,FALSE),"")</f>
        <v/>
      </c>
      <c r="AK57" s="52" t="str">
        <f>_xlfn.IFNA(VLOOKUP(U57,'Incoming Material Report'!A:Z,26,FALSE),"")</f>
        <v/>
      </c>
      <c r="AL57" s="52" t="str">
        <f>_xlfn.IFNA(VLOOKUP(U57,'Incoming Material Report'!A:Z,2,FALSE),"")</f>
        <v/>
      </c>
      <c r="AM57" s="52" t="str">
        <f>_xlfn.IFNA(VLOOKUP(U57,'Incoming Material Report'!A:K,11,FALSE)/1000,"")</f>
        <v/>
      </c>
      <c r="AO57" s="52" t="str">
        <f>_xlfn.IFNA(VLOOKUP(U57,'Incoming Material Report'!A:R,18,FALSE)*1000,"")</f>
        <v/>
      </c>
      <c r="AQ57" s="52" t="str">
        <f>_xlfn.IFNA(TEXT(VLOOKUP(U57,'Incoming Material Report'!A:D,4,FALSE),"dd.mm.yy"),"")</f>
        <v/>
      </c>
      <c r="AR57" s="52" t="str">
        <f>_xlfn.IFNA(VLOOKUP(U57,'Incoming Material Report'!A:Z,5,FALSE),"")</f>
        <v/>
      </c>
      <c r="AT57" s="52" t="str">
        <f>IF(OR(_xlfn.IFNA(VLOOKUP(U57,'Incoming Material Report'!A:Z,6,FALSE),"")="NSC",_xlfn.IFNA(VLOOKUP(U57,'Incoming Material Report'!A:Z,6,FALSE),"")="NSSMC"),"NSC","")</f>
        <v/>
      </c>
      <c r="AU57" s="52" t="str">
        <f>_xlfn.IFNA(VLOOKUP(U57,'Incoming Material Report'!A:Z,8,FALSE),"")</f>
        <v/>
      </c>
      <c r="AZ57" s="52" t="str">
        <f>_xlfn.IFNA(VLOOKUP(U57,'GRPO Wiz'!AP:BT,17,FALSE),"")</f>
        <v/>
      </c>
      <c r="BA57" s="52" t="str">
        <f>_xlfn.IFNA(VLOOKUP(U57,'GRPO Wiz'!AP:BT,18,FALSE),"")</f>
        <v/>
      </c>
      <c r="BB57" s="52" t="str">
        <f>_xlfn.IFNA(VLOOKUP(U57,'GRPO Wiz'!AP:BT,19,FALSE),"")</f>
        <v/>
      </c>
      <c r="BC57" s="52" t="str">
        <f>_xlfn.IFNA(VLOOKUP(U57,'GRPO Wiz'!AP:BT,20,FALSE),"")</f>
        <v/>
      </c>
      <c r="BD57" s="52" t="str">
        <f>_xlfn.IFNA(VLOOKUP(U57,'GRPO Wiz'!AP:BT,21,FALSE),"")</f>
        <v/>
      </c>
      <c r="BE57" s="52" t="str">
        <f>_xlfn.IFNA(LEFT((VLOOKUP(U57,'GRPO Wiz'!AP:BT,22,FALSE)),8),"")</f>
        <v/>
      </c>
      <c r="BF57" s="52" t="str">
        <f>_xlfn.IFNA(VLOOKUP(U57,'GRPO Wiz'!AP:BT,26,FALSE),"")</f>
        <v/>
      </c>
      <c r="BG57" s="63" t="str">
        <f>_xlfn.IFNA(VLOOKUP(U57,'GRPO Wiz'!AP:BQ,28,FALSE),"")</f>
        <v/>
      </c>
      <c r="BH57" s="52" t="str">
        <f>_xlfn.IFNA(VLOOKUP(U57,'GRPO Wiz'!AP:BN,25,FALSE),"")</f>
        <v/>
      </c>
      <c r="BI57" s="52" t="str">
        <f>_xlfn.IFNA(VLOOKUP(U57,'GRPO Wiz'!AP:BT,31,FALSE),"")</f>
        <v/>
      </c>
      <c r="BJ57" s="52" t="str">
        <f>_xlfn.IFNA(VLOOKUP(U57,'GRPO Wiz'!AP:BZ,32,FALSE),"")</f>
        <v/>
      </c>
      <c r="BK57" s="52" t="str">
        <f>_xlfn.IFNA(VLOOKUP(U57,'GRPO Wiz'!AP:BZ,27,FALSE),"")</f>
        <v/>
      </c>
      <c r="BL57" s="52" t="str">
        <f>_xlfn.IFNA(VALUE(VLOOKUP(U57,'GRPO Wiz'!AP:BZ,29,FALSE)),"")</f>
        <v/>
      </c>
      <c r="BM57" s="52" t="str">
        <f>IF(OR(_xlfn.IFNA(VLOOKUP(U57,'GRPO Wiz'!AP:BZ,33,FALSE),"")="NSC",_xlfn.IFNA(VLOOKUP(U57,'GRPO Wiz'!AP:BZ,33,FALSE),"")="NSSMC"),"NSC","")</f>
        <v/>
      </c>
      <c r="BX57" s="52" t="str">
        <f t="shared" si="22"/>
        <v/>
      </c>
      <c r="BY57" s="52" t="str">
        <f>_xlfn.IFNA(VLOOKUP(BX57&amp;H57,AP!IP:IQ,2,FALSE),"")</f>
        <v/>
      </c>
      <c r="BZ57" s="53" t="str">
        <f t="shared" si="23"/>
        <v/>
      </c>
      <c r="CA57" s="53"/>
      <c r="CD57" s="52" t="str">
        <f>_xlfn.IFNA((VLOOKUP(BX57&amp;H57,AP!IP:IS,4,FALSE)),"")</f>
        <v/>
      </c>
    </row>
    <row r="58" spans="10:82" ht="26.25" customHeight="1" x14ac:dyDescent="0.25">
      <c r="J58" s="52" t="str">
        <f t="shared" si="19"/>
        <v/>
      </c>
      <c r="K58" s="52" t="str">
        <f>IF(O58="","",VLOOKUP(U58,Data!O:AC,15,FALSE)/G58)</f>
        <v/>
      </c>
      <c r="X58" s="52" t="str">
        <f t="shared" si="20"/>
        <v/>
      </c>
      <c r="Z58" s="52">
        <f t="shared" si="21"/>
        <v>0</v>
      </c>
      <c r="AG58" s="52" t="str">
        <f>_xlfn.IFNA(VLOOKUP(U58,'Incoming Material Report'!A:M,13,FALSE),"")</f>
        <v/>
      </c>
      <c r="AH58" s="52" t="str">
        <f>_xlfn.IFNA(IF(VLOOKUP(U58,'Incoming Material Report'!A:N,14,FALSE)="","",VLOOKUP(U58,'Incoming Material Report'!A:N,14,FALSE)),"")</f>
        <v/>
      </c>
      <c r="AI58" s="52" t="str">
        <f>_xlfn.IFNA(VLOOKUP(U58,'Incoming Material Report'!A:Z,24,FALSE),"")</f>
        <v/>
      </c>
      <c r="AJ58" s="52" t="str">
        <f>_xlfn.IFNA(VLOOKUP(U58,'Incoming Material Report'!A:Z,25,FALSE),"")</f>
        <v/>
      </c>
      <c r="AK58" s="52" t="str">
        <f>_xlfn.IFNA(VLOOKUP(U58,'Incoming Material Report'!A:Z,26,FALSE),"")</f>
        <v/>
      </c>
      <c r="AL58" s="52" t="str">
        <f>_xlfn.IFNA(VLOOKUP(U58,'Incoming Material Report'!A:Z,2,FALSE),"")</f>
        <v/>
      </c>
      <c r="AM58" s="52" t="str">
        <f>_xlfn.IFNA(VLOOKUP(U58,'Incoming Material Report'!A:K,11,FALSE)/1000,"")</f>
        <v/>
      </c>
      <c r="AO58" s="52" t="str">
        <f>_xlfn.IFNA(VLOOKUP(U58,'Incoming Material Report'!A:R,18,FALSE)*1000,"")</f>
        <v/>
      </c>
      <c r="AQ58" s="52" t="str">
        <f>_xlfn.IFNA(TEXT(VLOOKUP(U58,'Incoming Material Report'!A:D,4,FALSE),"dd.mm.yy"),"")</f>
        <v/>
      </c>
      <c r="AR58" s="52" t="str">
        <f>_xlfn.IFNA(VLOOKUP(U58,'Incoming Material Report'!A:Z,5,FALSE),"")</f>
        <v/>
      </c>
      <c r="AT58" s="52" t="str">
        <f>IF(OR(_xlfn.IFNA(VLOOKUP(U58,'Incoming Material Report'!A:Z,6,FALSE),"")="NSC",_xlfn.IFNA(VLOOKUP(U58,'Incoming Material Report'!A:Z,6,FALSE),"")="NSSMC"),"NSC","")</f>
        <v/>
      </c>
      <c r="AU58" s="52" t="str">
        <f>_xlfn.IFNA(VLOOKUP(U58,'Incoming Material Report'!A:Z,8,FALSE),"")</f>
        <v/>
      </c>
      <c r="AZ58" s="52" t="str">
        <f>_xlfn.IFNA(VLOOKUP(U58,'GRPO Wiz'!AP:BT,17,FALSE),"")</f>
        <v/>
      </c>
      <c r="BA58" s="52" t="str">
        <f>_xlfn.IFNA(VLOOKUP(U58,'GRPO Wiz'!AP:BT,18,FALSE),"")</f>
        <v/>
      </c>
      <c r="BB58" s="52" t="str">
        <f>_xlfn.IFNA(VLOOKUP(U58,'GRPO Wiz'!AP:BT,19,FALSE),"")</f>
        <v/>
      </c>
      <c r="BC58" s="52" t="str">
        <f>_xlfn.IFNA(VLOOKUP(U58,'GRPO Wiz'!AP:BT,20,FALSE),"")</f>
        <v/>
      </c>
      <c r="BD58" s="52" t="str">
        <f>_xlfn.IFNA(VLOOKUP(U58,'GRPO Wiz'!AP:BT,21,FALSE),"")</f>
        <v/>
      </c>
      <c r="BE58" s="52" t="str">
        <f>_xlfn.IFNA(LEFT((VLOOKUP(U58,'GRPO Wiz'!AP:BT,22,FALSE)),8),"")</f>
        <v/>
      </c>
      <c r="BF58" s="52" t="str">
        <f>_xlfn.IFNA(VLOOKUP(U58,'GRPO Wiz'!AP:BT,26,FALSE),"")</f>
        <v/>
      </c>
      <c r="BG58" s="63" t="str">
        <f>_xlfn.IFNA(VLOOKUP(U58,'GRPO Wiz'!AP:BQ,28,FALSE),"")</f>
        <v/>
      </c>
      <c r="BH58" s="52" t="str">
        <f>_xlfn.IFNA(VLOOKUP(U58,'GRPO Wiz'!AP:BN,25,FALSE),"")</f>
        <v/>
      </c>
      <c r="BI58" s="52" t="str">
        <f>_xlfn.IFNA(VLOOKUP(U58,'GRPO Wiz'!AP:BT,31,FALSE),"")</f>
        <v/>
      </c>
      <c r="BJ58" s="52" t="str">
        <f>_xlfn.IFNA(VLOOKUP(U58,'GRPO Wiz'!AP:BZ,32,FALSE),"")</f>
        <v/>
      </c>
      <c r="BK58" s="52" t="str">
        <f>_xlfn.IFNA(VLOOKUP(U58,'GRPO Wiz'!AP:BZ,27,FALSE),"")</f>
        <v/>
      </c>
      <c r="BL58" s="52" t="str">
        <f>_xlfn.IFNA(VALUE(VLOOKUP(U58,'GRPO Wiz'!AP:BZ,29,FALSE)),"")</f>
        <v/>
      </c>
      <c r="BM58" s="52" t="str">
        <f>IF(OR(_xlfn.IFNA(VLOOKUP(U58,'GRPO Wiz'!AP:BZ,33,FALSE),"")="NSC",_xlfn.IFNA(VLOOKUP(U58,'GRPO Wiz'!AP:BZ,33,FALSE),"")="NSSMC"),"NSC","")</f>
        <v/>
      </c>
      <c r="BX58" s="52" t="str">
        <f t="shared" si="22"/>
        <v/>
      </c>
      <c r="BY58" s="52" t="str">
        <f>_xlfn.IFNA(VLOOKUP(BX58&amp;H58,AP!IP:IQ,2,FALSE),"")</f>
        <v/>
      </c>
      <c r="BZ58" s="53" t="str">
        <f t="shared" si="23"/>
        <v/>
      </c>
      <c r="CA58" s="53"/>
      <c r="CD58" s="52" t="str">
        <f>_xlfn.IFNA((VLOOKUP(BX58&amp;H58,AP!IP:IS,4,FALSE)),"")</f>
        <v/>
      </c>
    </row>
    <row r="59" spans="10:82" ht="26.25" customHeight="1" x14ac:dyDescent="0.25">
      <c r="J59" s="52" t="str">
        <f t="shared" si="19"/>
        <v/>
      </c>
      <c r="K59" s="52" t="str">
        <f>IF(O59="","",VLOOKUP(U59,Data!O:AC,15,FALSE)/G59)</f>
        <v/>
      </c>
      <c r="X59" s="52" t="str">
        <f t="shared" si="20"/>
        <v/>
      </c>
      <c r="Z59" s="52">
        <f t="shared" si="21"/>
        <v>0</v>
      </c>
      <c r="AG59" s="52" t="str">
        <f>_xlfn.IFNA(VLOOKUP(U59,'Incoming Material Report'!A:M,13,FALSE),"")</f>
        <v/>
      </c>
      <c r="AH59" s="52" t="str">
        <f>_xlfn.IFNA(IF(VLOOKUP(U59,'Incoming Material Report'!A:N,14,FALSE)="","",VLOOKUP(U59,'Incoming Material Report'!A:N,14,FALSE)),"")</f>
        <v/>
      </c>
      <c r="AI59" s="52" t="str">
        <f>_xlfn.IFNA(VLOOKUP(U59,'Incoming Material Report'!A:Z,24,FALSE),"")</f>
        <v/>
      </c>
      <c r="AJ59" s="52" t="str">
        <f>_xlfn.IFNA(VLOOKUP(U59,'Incoming Material Report'!A:Z,25,FALSE),"")</f>
        <v/>
      </c>
      <c r="AK59" s="52" t="str">
        <f>_xlfn.IFNA(VLOOKUP(U59,'Incoming Material Report'!A:Z,26,FALSE),"")</f>
        <v/>
      </c>
      <c r="AL59" s="52" t="str">
        <f>_xlfn.IFNA(VLOOKUP(U59,'Incoming Material Report'!A:Z,2,FALSE),"")</f>
        <v/>
      </c>
      <c r="AM59" s="52" t="str">
        <f>_xlfn.IFNA(VLOOKUP(U59,'Incoming Material Report'!A:K,11,FALSE)/1000,"")</f>
        <v/>
      </c>
      <c r="AO59" s="52" t="str">
        <f>_xlfn.IFNA(VLOOKUP(U59,'Incoming Material Report'!A:R,18,FALSE)*1000,"")</f>
        <v/>
      </c>
      <c r="AQ59" s="52" t="str">
        <f>_xlfn.IFNA(TEXT(VLOOKUP(U59,'Incoming Material Report'!A:D,4,FALSE),"dd.mm.yy"),"")</f>
        <v/>
      </c>
      <c r="AR59" s="52" t="str">
        <f>_xlfn.IFNA(VLOOKUP(U59,'Incoming Material Report'!A:Z,5,FALSE),"")</f>
        <v/>
      </c>
      <c r="AT59" s="52" t="str">
        <f>IF(OR(_xlfn.IFNA(VLOOKUP(U59,'Incoming Material Report'!A:Z,6,FALSE),"")="NSC",_xlfn.IFNA(VLOOKUP(U59,'Incoming Material Report'!A:Z,6,FALSE),"")="NSSMC"),"NSC","")</f>
        <v/>
      </c>
      <c r="AU59" s="52" t="str">
        <f>_xlfn.IFNA(VLOOKUP(U59,'Incoming Material Report'!A:Z,8,FALSE),"")</f>
        <v/>
      </c>
      <c r="AZ59" s="52" t="str">
        <f>_xlfn.IFNA(VLOOKUP(U59,'GRPO Wiz'!AP:BT,17,FALSE),"")</f>
        <v/>
      </c>
      <c r="BA59" s="52" t="str">
        <f>_xlfn.IFNA(VLOOKUP(U59,'GRPO Wiz'!AP:BT,18,FALSE),"")</f>
        <v/>
      </c>
      <c r="BB59" s="52" t="str">
        <f>_xlfn.IFNA(VLOOKUP(U59,'GRPO Wiz'!AP:BT,19,FALSE),"")</f>
        <v/>
      </c>
      <c r="BC59" s="52" t="str">
        <f>_xlfn.IFNA(VLOOKUP(U59,'GRPO Wiz'!AP:BT,20,FALSE),"")</f>
        <v/>
      </c>
      <c r="BD59" s="52" t="str">
        <f>_xlfn.IFNA(VLOOKUP(U59,'GRPO Wiz'!AP:BT,21,FALSE),"")</f>
        <v/>
      </c>
      <c r="BE59" s="52" t="str">
        <f>_xlfn.IFNA(LEFT((VLOOKUP(U59,'GRPO Wiz'!AP:BT,22,FALSE)),8),"")</f>
        <v/>
      </c>
      <c r="BF59" s="52" t="str">
        <f>_xlfn.IFNA(VLOOKUP(U59,'GRPO Wiz'!AP:BT,26,FALSE),"")</f>
        <v/>
      </c>
      <c r="BG59" s="63" t="str">
        <f>_xlfn.IFNA(VLOOKUP(U59,'GRPO Wiz'!AP:BQ,28,FALSE),"")</f>
        <v/>
      </c>
      <c r="BH59" s="52" t="str">
        <f>_xlfn.IFNA(VLOOKUP(U59,'GRPO Wiz'!AP:BN,25,FALSE),"")</f>
        <v/>
      </c>
      <c r="BI59" s="52" t="str">
        <f>_xlfn.IFNA(VLOOKUP(U59,'GRPO Wiz'!AP:BT,31,FALSE),"")</f>
        <v/>
      </c>
      <c r="BJ59" s="52" t="str">
        <f>_xlfn.IFNA(VLOOKUP(U59,'GRPO Wiz'!AP:BZ,32,FALSE),"")</f>
        <v/>
      </c>
      <c r="BK59" s="52" t="str">
        <f>_xlfn.IFNA(VLOOKUP(U59,'GRPO Wiz'!AP:BZ,27,FALSE),"")</f>
        <v/>
      </c>
      <c r="BL59" s="52" t="str">
        <f>_xlfn.IFNA(VALUE(VLOOKUP(U59,'GRPO Wiz'!AP:BZ,29,FALSE)),"")</f>
        <v/>
      </c>
      <c r="BM59" s="52" t="str">
        <f>IF(OR(_xlfn.IFNA(VLOOKUP(U59,'GRPO Wiz'!AP:BZ,33,FALSE),"")="NSC",_xlfn.IFNA(VLOOKUP(U59,'GRPO Wiz'!AP:BZ,33,FALSE),"")="NSSMC"),"NSC","")</f>
        <v/>
      </c>
      <c r="BX59" s="52" t="str">
        <f t="shared" si="22"/>
        <v/>
      </c>
      <c r="BY59" s="52" t="str">
        <f>_xlfn.IFNA(VLOOKUP(BX59&amp;H59,AP!IP:IQ,2,FALSE),"")</f>
        <v/>
      </c>
      <c r="BZ59" s="53" t="str">
        <f t="shared" si="23"/>
        <v/>
      </c>
      <c r="CA59" s="53"/>
      <c r="CD59" s="52" t="str">
        <f>_xlfn.IFNA((VLOOKUP(BX59&amp;H59,AP!IP:IS,4,FALSE)),"")</f>
        <v/>
      </c>
    </row>
    <row r="60" spans="10:82" ht="26.25" customHeight="1" x14ac:dyDescent="0.25">
      <c r="J60" s="52" t="str">
        <f t="shared" si="19"/>
        <v/>
      </c>
      <c r="K60" s="52" t="str">
        <f>IF(O60="","",VLOOKUP(U60,Data!O:AC,15,FALSE)/G60)</f>
        <v/>
      </c>
      <c r="X60" s="52" t="str">
        <f t="shared" si="20"/>
        <v/>
      </c>
      <c r="Z60" s="52">
        <f t="shared" si="21"/>
        <v>0</v>
      </c>
      <c r="AG60" s="52" t="str">
        <f>_xlfn.IFNA(VLOOKUP(U60,'Incoming Material Report'!A:M,13,FALSE),"")</f>
        <v/>
      </c>
      <c r="AH60" s="52" t="str">
        <f>_xlfn.IFNA(IF(VLOOKUP(U60,'Incoming Material Report'!A:N,14,FALSE)="","",VLOOKUP(U60,'Incoming Material Report'!A:N,14,FALSE)),"")</f>
        <v/>
      </c>
      <c r="AI60" s="52" t="str">
        <f>_xlfn.IFNA(VLOOKUP(U60,'Incoming Material Report'!A:Z,24,FALSE),"")</f>
        <v/>
      </c>
      <c r="AJ60" s="52" t="str">
        <f>_xlfn.IFNA(VLOOKUP(U60,'Incoming Material Report'!A:Z,25,FALSE),"")</f>
        <v/>
      </c>
      <c r="AK60" s="52" t="str">
        <f>_xlfn.IFNA(VLOOKUP(U60,'Incoming Material Report'!A:Z,26,FALSE),"")</f>
        <v/>
      </c>
      <c r="AL60" s="52" t="str">
        <f>_xlfn.IFNA(VLOOKUP(U60,'Incoming Material Report'!A:Z,2,FALSE),"")</f>
        <v/>
      </c>
      <c r="AM60" s="52" t="str">
        <f>_xlfn.IFNA(VLOOKUP(U60,'Incoming Material Report'!A:K,11,FALSE)/1000,"")</f>
        <v/>
      </c>
      <c r="AO60" s="52" t="str">
        <f>_xlfn.IFNA(VLOOKUP(U60,'Incoming Material Report'!A:R,18,FALSE)*1000,"")</f>
        <v/>
      </c>
      <c r="AQ60" s="52" t="str">
        <f>_xlfn.IFNA(TEXT(VLOOKUP(U60,'Incoming Material Report'!A:D,4,FALSE),"dd.mm.yy"),"")</f>
        <v/>
      </c>
      <c r="AR60" s="52" t="str">
        <f>_xlfn.IFNA(VLOOKUP(U60,'Incoming Material Report'!A:Z,5,FALSE),"")</f>
        <v/>
      </c>
      <c r="AT60" s="52" t="str">
        <f>IF(OR(_xlfn.IFNA(VLOOKUP(U60,'Incoming Material Report'!A:Z,6,FALSE),"")="NSC",_xlfn.IFNA(VLOOKUP(U60,'Incoming Material Report'!A:Z,6,FALSE),"")="NSSMC"),"NSC","")</f>
        <v/>
      </c>
      <c r="AU60" s="52" t="str">
        <f>_xlfn.IFNA(VLOOKUP(U60,'Incoming Material Report'!A:Z,8,FALSE),"")</f>
        <v/>
      </c>
      <c r="AZ60" s="52" t="str">
        <f>_xlfn.IFNA(VLOOKUP(U60,'GRPO Wiz'!AP:BT,17,FALSE),"")</f>
        <v/>
      </c>
      <c r="BA60" s="52" t="str">
        <f>_xlfn.IFNA(VLOOKUP(U60,'GRPO Wiz'!AP:BT,18,FALSE),"")</f>
        <v/>
      </c>
      <c r="BB60" s="52" t="str">
        <f>_xlfn.IFNA(VLOOKUP(U60,'GRPO Wiz'!AP:BT,19,FALSE),"")</f>
        <v/>
      </c>
      <c r="BC60" s="52" t="str">
        <f>_xlfn.IFNA(VLOOKUP(U60,'GRPO Wiz'!AP:BT,20,FALSE),"")</f>
        <v/>
      </c>
      <c r="BD60" s="52" t="str">
        <f>_xlfn.IFNA(VLOOKUP(U60,'GRPO Wiz'!AP:BT,21,FALSE),"")</f>
        <v/>
      </c>
      <c r="BE60" s="52" t="str">
        <f>_xlfn.IFNA(LEFT((VLOOKUP(U60,'GRPO Wiz'!AP:BT,22,FALSE)),8),"")</f>
        <v/>
      </c>
      <c r="BF60" s="52" t="str">
        <f>_xlfn.IFNA(VLOOKUP(U60,'GRPO Wiz'!AP:BT,26,FALSE),"")</f>
        <v/>
      </c>
      <c r="BG60" s="63" t="str">
        <f>_xlfn.IFNA(VLOOKUP(U60,'GRPO Wiz'!AP:BQ,28,FALSE),"")</f>
        <v/>
      </c>
      <c r="BH60" s="52" t="str">
        <f>_xlfn.IFNA(VLOOKUP(U60,'GRPO Wiz'!AP:BN,25,FALSE),"")</f>
        <v/>
      </c>
      <c r="BI60" s="52" t="str">
        <f>_xlfn.IFNA(VLOOKUP(U60,'GRPO Wiz'!AP:BT,31,FALSE),"")</f>
        <v/>
      </c>
      <c r="BJ60" s="52" t="str">
        <f>_xlfn.IFNA(VLOOKUP(U60,'GRPO Wiz'!AP:BZ,32,FALSE),"")</f>
        <v/>
      </c>
      <c r="BK60" s="52" t="str">
        <f>_xlfn.IFNA(VLOOKUP(U60,'GRPO Wiz'!AP:BZ,27,FALSE),"")</f>
        <v/>
      </c>
      <c r="BL60" s="52" t="str">
        <f>_xlfn.IFNA(VALUE(VLOOKUP(U60,'GRPO Wiz'!AP:BZ,29,FALSE)),"")</f>
        <v/>
      </c>
      <c r="BM60" s="52" t="str">
        <f>IF(OR(_xlfn.IFNA(VLOOKUP(U60,'GRPO Wiz'!AP:BZ,33,FALSE),"")="NSC",_xlfn.IFNA(VLOOKUP(U60,'GRPO Wiz'!AP:BZ,33,FALSE),"")="NSSMC"),"NSC","")</f>
        <v/>
      </c>
      <c r="BX60" s="52" t="str">
        <f t="shared" si="22"/>
        <v/>
      </c>
      <c r="BY60" s="52" t="str">
        <f>_xlfn.IFNA(VLOOKUP(BX60&amp;H60,AP!IP:IQ,2,FALSE),"")</f>
        <v/>
      </c>
      <c r="BZ60" s="53" t="str">
        <f t="shared" si="23"/>
        <v/>
      </c>
      <c r="CA60" s="53"/>
      <c r="CD60" s="52" t="str">
        <f>_xlfn.IFNA((VLOOKUP(BX60&amp;H60,AP!IP:IS,4,FALSE)),"")</f>
        <v/>
      </c>
    </row>
    <row r="61" spans="10:82" ht="26.25" customHeight="1" x14ac:dyDescent="0.25">
      <c r="J61" s="52" t="str">
        <f t="shared" si="19"/>
        <v/>
      </c>
      <c r="K61" s="52" t="str">
        <f>IF(O61="","",VLOOKUP(U61,Data!O:AC,15,FALSE)/G61)</f>
        <v/>
      </c>
      <c r="X61" s="52" t="str">
        <f t="shared" si="20"/>
        <v/>
      </c>
      <c r="Z61" s="52">
        <f t="shared" si="21"/>
        <v>0</v>
      </c>
      <c r="AG61" s="52" t="str">
        <f>_xlfn.IFNA(VLOOKUP(U61,'Incoming Material Report'!A:M,13,FALSE),"")</f>
        <v/>
      </c>
      <c r="AH61" s="52" t="str">
        <f>_xlfn.IFNA(IF(VLOOKUP(U61,'Incoming Material Report'!A:N,14,FALSE)="","",VLOOKUP(U61,'Incoming Material Report'!A:N,14,FALSE)),"")</f>
        <v/>
      </c>
      <c r="AI61" s="52" t="str">
        <f>_xlfn.IFNA(VLOOKUP(U61,'Incoming Material Report'!A:Z,24,FALSE),"")</f>
        <v/>
      </c>
      <c r="AJ61" s="52" t="str">
        <f>_xlfn.IFNA(VLOOKUP(U61,'Incoming Material Report'!A:Z,25,FALSE),"")</f>
        <v/>
      </c>
      <c r="AK61" s="52" t="str">
        <f>_xlfn.IFNA(VLOOKUP(U61,'Incoming Material Report'!A:Z,26,FALSE),"")</f>
        <v/>
      </c>
      <c r="AL61" s="52" t="str">
        <f>_xlfn.IFNA(VLOOKUP(U61,'Incoming Material Report'!A:Z,2,FALSE),"")</f>
        <v/>
      </c>
      <c r="AM61" s="52" t="str">
        <f>_xlfn.IFNA(VLOOKUP(U61,'Incoming Material Report'!A:K,11,FALSE)/1000,"")</f>
        <v/>
      </c>
      <c r="AO61" s="52" t="str">
        <f>_xlfn.IFNA(VLOOKUP(U61,'Incoming Material Report'!A:R,18,FALSE)*1000,"")</f>
        <v/>
      </c>
      <c r="AQ61" s="52" t="str">
        <f>_xlfn.IFNA(TEXT(VLOOKUP(U61,'Incoming Material Report'!A:D,4,FALSE),"dd.mm.yy"),"")</f>
        <v/>
      </c>
      <c r="AR61" s="52" t="str">
        <f>_xlfn.IFNA(VLOOKUP(U61,'Incoming Material Report'!A:Z,5,FALSE),"")</f>
        <v/>
      </c>
      <c r="AT61" s="52" t="str">
        <f>IF(OR(_xlfn.IFNA(VLOOKUP(U61,'Incoming Material Report'!A:Z,6,FALSE),"")="NSC",_xlfn.IFNA(VLOOKUP(U61,'Incoming Material Report'!A:Z,6,FALSE),"")="NSSMC"),"NSC","")</f>
        <v/>
      </c>
      <c r="AU61" s="52" t="str">
        <f>_xlfn.IFNA(VLOOKUP(U61,'Incoming Material Report'!A:Z,8,FALSE),"")</f>
        <v/>
      </c>
      <c r="AZ61" s="52" t="str">
        <f>_xlfn.IFNA(VLOOKUP(U61,'GRPO Wiz'!AP:BT,17,FALSE),"")</f>
        <v/>
      </c>
      <c r="BA61" s="52" t="str">
        <f>_xlfn.IFNA(VLOOKUP(U61,'GRPO Wiz'!AP:BT,18,FALSE),"")</f>
        <v/>
      </c>
      <c r="BB61" s="52" t="str">
        <f>_xlfn.IFNA(VLOOKUP(U61,'GRPO Wiz'!AP:BT,19,FALSE),"")</f>
        <v/>
      </c>
      <c r="BC61" s="52" t="str">
        <f>_xlfn.IFNA(VLOOKUP(U61,'GRPO Wiz'!AP:BT,20,FALSE),"")</f>
        <v/>
      </c>
      <c r="BD61" s="52" t="str">
        <f>_xlfn.IFNA(VLOOKUP(U61,'GRPO Wiz'!AP:BT,21,FALSE),"")</f>
        <v/>
      </c>
      <c r="BE61" s="52" t="str">
        <f>_xlfn.IFNA(LEFT((VLOOKUP(U61,'GRPO Wiz'!AP:BT,22,FALSE)),8),"")</f>
        <v/>
      </c>
      <c r="BF61" s="52" t="str">
        <f>_xlfn.IFNA(VLOOKUP(U61,'GRPO Wiz'!AP:BT,26,FALSE),"")</f>
        <v/>
      </c>
      <c r="BG61" s="63" t="str">
        <f>_xlfn.IFNA(VLOOKUP(U61,'GRPO Wiz'!AP:BQ,28,FALSE),"")</f>
        <v/>
      </c>
      <c r="BH61" s="52" t="str">
        <f>_xlfn.IFNA(VLOOKUP(U61,'GRPO Wiz'!AP:BN,25,FALSE),"")</f>
        <v/>
      </c>
      <c r="BI61" s="52" t="str">
        <f>_xlfn.IFNA(VLOOKUP(U61,'GRPO Wiz'!AP:BT,31,FALSE),"")</f>
        <v/>
      </c>
      <c r="BJ61" s="52" t="str">
        <f>_xlfn.IFNA(VLOOKUP(U61,'GRPO Wiz'!AP:BZ,32,FALSE),"")</f>
        <v/>
      </c>
      <c r="BK61" s="52" t="str">
        <f>_xlfn.IFNA(VLOOKUP(U61,'GRPO Wiz'!AP:BZ,27,FALSE),"")</f>
        <v/>
      </c>
      <c r="BL61" s="52" t="str">
        <f>_xlfn.IFNA(VALUE(VLOOKUP(U61,'GRPO Wiz'!AP:BZ,29,FALSE)),"")</f>
        <v/>
      </c>
      <c r="BM61" s="52" t="str">
        <f>IF(OR(_xlfn.IFNA(VLOOKUP(U61,'GRPO Wiz'!AP:BZ,33,FALSE),"")="NSC",_xlfn.IFNA(VLOOKUP(U61,'GRPO Wiz'!AP:BZ,33,FALSE),"")="NSSMC"),"NSC","")</f>
        <v/>
      </c>
      <c r="BX61" s="52" t="str">
        <f t="shared" si="22"/>
        <v/>
      </c>
      <c r="BY61" s="52" t="str">
        <f>_xlfn.IFNA(VLOOKUP(BX61&amp;H61,AP!IP:IQ,2,FALSE),"")</f>
        <v/>
      </c>
      <c r="BZ61" s="53" t="str">
        <f t="shared" si="23"/>
        <v/>
      </c>
      <c r="CA61" s="53"/>
      <c r="CD61" s="52" t="str">
        <f>_xlfn.IFNA((VLOOKUP(BX61&amp;H61,AP!IP:IS,4,FALSE)),"")</f>
        <v/>
      </c>
    </row>
    <row r="62" spans="10:82" ht="26.25" customHeight="1" x14ac:dyDescent="0.25">
      <c r="J62" s="52" t="str">
        <f t="shared" si="19"/>
        <v/>
      </c>
      <c r="K62" s="52" t="str">
        <f>IF(O62="","",VLOOKUP(U62,Data!O:AC,15,FALSE)/G62)</f>
        <v/>
      </c>
      <c r="X62" s="52" t="str">
        <f t="shared" si="20"/>
        <v/>
      </c>
      <c r="Z62" s="52">
        <f t="shared" si="21"/>
        <v>0</v>
      </c>
      <c r="AG62" s="52" t="str">
        <f>_xlfn.IFNA(VLOOKUP(U62,'Incoming Material Report'!A:M,13,FALSE),"")</f>
        <v/>
      </c>
      <c r="AH62" s="52" t="str">
        <f>_xlfn.IFNA(IF(VLOOKUP(U62,'Incoming Material Report'!A:N,14,FALSE)="","",VLOOKUP(U62,'Incoming Material Report'!A:N,14,FALSE)),"")</f>
        <v/>
      </c>
      <c r="AI62" s="52" t="str">
        <f>_xlfn.IFNA(VLOOKUP(U62,'Incoming Material Report'!A:Z,24,FALSE),"")</f>
        <v/>
      </c>
      <c r="AJ62" s="52" t="str">
        <f>_xlfn.IFNA(VLOOKUP(U62,'Incoming Material Report'!A:Z,25,FALSE),"")</f>
        <v/>
      </c>
      <c r="AK62" s="52" t="str">
        <f>_xlfn.IFNA(VLOOKUP(U62,'Incoming Material Report'!A:Z,26,FALSE),"")</f>
        <v/>
      </c>
      <c r="AL62" s="52" t="str">
        <f>_xlfn.IFNA(VLOOKUP(U62,'Incoming Material Report'!A:Z,2,FALSE),"")</f>
        <v/>
      </c>
      <c r="AM62" s="52" t="str">
        <f>_xlfn.IFNA(VLOOKUP(U62,'Incoming Material Report'!A:K,11,FALSE)/1000,"")</f>
        <v/>
      </c>
      <c r="AO62" s="52" t="str">
        <f>_xlfn.IFNA(VLOOKUP(U62,'Incoming Material Report'!A:R,18,FALSE)*1000,"")</f>
        <v/>
      </c>
      <c r="AQ62" s="52" t="str">
        <f>_xlfn.IFNA(TEXT(VLOOKUP(U62,'Incoming Material Report'!A:D,4,FALSE),"dd.mm.yy"),"")</f>
        <v/>
      </c>
      <c r="AR62" s="52" t="str">
        <f>_xlfn.IFNA(VLOOKUP(U62,'Incoming Material Report'!A:Z,5,FALSE),"")</f>
        <v/>
      </c>
      <c r="AT62" s="52" t="str">
        <f>IF(OR(_xlfn.IFNA(VLOOKUP(U62,'Incoming Material Report'!A:Z,6,FALSE),"")="NSC",_xlfn.IFNA(VLOOKUP(U62,'Incoming Material Report'!A:Z,6,FALSE),"")="NSSMC"),"NSC","")</f>
        <v/>
      </c>
      <c r="AU62" s="52" t="str">
        <f>_xlfn.IFNA(VLOOKUP(U62,'Incoming Material Report'!A:Z,8,FALSE),"")</f>
        <v/>
      </c>
      <c r="AZ62" s="52" t="str">
        <f>_xlfn.IFNA(VLOOKUP(U62,'GRPO Wiz'!AP:BT,17,FALSE),"")</f>
        <v/>
      </c>
      <c r="BA62" s="52" t="str">
        <f>_xlfn.IFNA(VLOOKUP(U62,'GRPO Wiz'!AP:BT,18,FALSE),"")</f>
        <v/>
      </c>
      <c r="BB62" s="52" t="str">
        <f>_xlfn.IFNA(VLOOKUP(U62,'GRPO Wiz'!AP:BT,19,FALSE),"")</f>
        <v/>
      </c>
      <c r="BC62" s="52" t="str">
        <f>_xlfn.IFNA(VLOOKUP(U62,'GRPO Wiz'!AP:BT,20,FALSE),"")</f>
        <v/>
      </c>
      <c r="BD62" s="52" t="str">
        <f>_xlfn.IFNA(VLOOKUP(U62,'GRPO Wiz'!AP:BT,21,FALSE),"")</f>
        <v/>
      </c>
      <c r="BE62" s="52" t="str">
        <f>_xlfn.IFNA(LEFT((VLOOKUP(U62,'GRPO Wiz'!AP:BT,22,FALSE)),8),"")</f>
        <v/>
      </c>
      <c r="BF62" s="52" t="str">
        <f>_xlfn.IFNA(VLOOKUP(U62,'GRPO Wiz'!AP:BT,26,FALSE),"")</f>
        <v/>
      </c>
      <c r="BG62" s="63" t="str">
        <f>_xlfn.IFNA(VLOOKUP(U62,'GRPO Wiz'!AP:BQ,28,FALSE),"")</f>
        <v/>
      </c>
      <c r="BH62" s="52" t="str">
        <f>_xlfn.IFNA(VLOOKUP(U62,'GRPO Wiz'!AP:BN,25,FALSE),"")</f>
        <v/>
      </c>
      <c r="BI62" s="52" t="str">
        <f>_xlfn.IFNA(VLOOKUP(U62,'GRPO Wiz'!AP:BT,31,FALSE),"")</f>
        <v/>
      </c>
      <c r="BJ62" s="52" t="str">
        <f>_xlfn.IFNA(VLOOKUP(U62,'GRPO Wiz'!AP:BZ,32,FALSE),"")</f>
        <v/>
      </c>
      <c r="BK62" s="52" t="str">
        <f>_xlfn.IFNA(VLOOKUP(U62,'GRPO Wiz'!AP:BZ,27,FALSE),"")</f>
        <v/>
      </c>
      <c r="BL62" s="52" t="str">
        <f>_xlfn.IFNA(VALUE(VLOOKUP(U62,'GRPO Wiz'!AP:BZ,29,FALSE)),"")</f>
        <v/>
      </c>
      <c r="BM62" s="52" t="str">
        <f>IF(OR(_xlfn.IFNA(VLOOKUP(U62,'GRPO Wiz'!AP:BZ,33,FALSE),"")="NSC",_xlfn.IFNA(VLOOKUP(U62,'GRPO Wiz'!AP:BZ,33,FALSE),"")="NSSMC"),"NSC","")</f>
        <v/>
      </c>
      <c r="BX62" s="52" t="str">
        <f t="shared" si="22"/>
        <v/>
      </c>
      <c r="BY62" s="52" t="str">
        <f>_xlfn.IFNA(VLOOKUP(BX62&amp;H62,AP!IP:IQ,2,FALSE),"")</f>
        <v/>
      </c>
      <c r="BZ62" s="53" t="str">
        <f t="shared" si="23"/>
        <v/>
      </c>
      <c r="CA62" s="53"/>
      <c r="CD62" s="52" t="str">
        <f>_xlfn.IFNA((VLOOKUP(BX62&amp;H62,AP!IP:IS,4,FALSE)),"")</f>
        <v/>
      </c>
    </row>
    <row r="63" spans="10:82" ht="26.25" customHeight="1" x14ac:dyDescent="0.25">
      <c r="J63" s="52" t="str">
        <f t="shared" si="19"/>
        <v/>
      </c>
      <c r="K63" s="52" t="str">
        <f>IF(O63="","",VLOOKUP(U63,Data!O:AC,15,FALSE)/G63)</f>
        <v/>
      </c>
      <c r="X63" s="52" t="str">
        <f t="shared" si="20"/>
        <v/>
      </c>
      <c r="Z63" s="52">
        <f t="shared" si="21"/>
        <v>0</v>
      </c>
      <c r="AG63" s="52" t="str">
        <f>_xlfn.IFNA(VLOOKUP(U63,'Incoming Material Report'!A:M,13,FALSE),"")</f>
        <v/>
      </c>
      <c r="AH63" s="52" t="str">
        <f>_xlfn.IFNA(IF(VLOOKUP(U63,'Incoming Material Report'!A:N,14,FALSE)="","",VLOOKUP(U63,'Incoming Material Report'!A:N,14,FALSE)),"")</f>
        <v/>
      </c>
      <c r="AI63" s="52" t="str">
        <f>_xlfn.IFNA(VLOOKUP(U63,'Incoming Material Report'!A:Z,24,FALSE),"")</f>
        <v/>
      </c>
      <c r="AJ63" s="52" t="str">
        <f>_xlfn.IFNA(VLOOKUP(U63,'Incoming Material Report'!A:Z,25,FALSE),"")</f>
        <v/>
      </c>
      <c r="AK63" s="52" t="str">
        <f>_xlfn.IFNA(VLOOKUP(U63,'Incoming Material Report'!A:Z,26,FALSE),"")</f>
        <v/>
      </c>
      <c r="AL63" s="52" t="str">
        <f>_xlfn.IFNA(VLOOKUP(U63,'Incoming Material Report'!A:Z,2,FALSE),"")</f>
        <v/>
      </c>
      <c r="AM63" s="52" t="str">
        <f>_xlfn.IFNA(VLOOKUP(U63,'Incoming Material Report'!A:K,11,FALSE)/1000,"")</f>
        <v/>
      </c>
      <c r="AO63" s="52" t="str">
        <f>_xlfn.IFNA(VLOOKUP(U63,'Incoming Material Report'!A:R,18,FALSE)*1000,"")</f>
        <v/>
      </c>
      <c r="AQ63" s="52" t="str">
        <f>_xlfn.IFNA(TEXT(VLOOKUP(U63,'Incoming Material Report'!A:D,4,FALSE),"dd.mm.yy"),"")</f>
        <v/>
      </c>
      <c r="AR63" s="52" t="str">
        <f>_xlfn.IFNA(VLOOKUP(U63,'Incoming Material Report'!A:Z,5,FALSE),"")</f>
        <v/>
      </c>
      <c r="AT63" s="52" t="str">
        <f>IF(OR(_xlfn.IFNA(VLOOKUP(U63,'Incoming Material Report'!A:Z,6,FALSE),"")="NSC",_xlfn.IFNA(VLOOKUP(U63,'Incoming Material Report'!A:Z,6,FALSE),"")="NSSMC"),"NSC","")</f>
        <v/>
      </c>
      <c r="AU63" s="52" t="str">
        <f>_xlfn.IFNA(VLOOKUP(U63,'Incoming Material Report'!A:Z,8,FALSE),"")</f>
        <v/>
      </c>
      <c r="AZ63" s="52" t="str">
        <f>_xlfn.IFNA(VLOOKUP(U63,'GRPO Wiz'!AP:BT,17,FALSE),"")</f>
        <v/>
      </c>
      <c r="BA63" s="52" t="str">
        <f>_xlfn.IFNA(VLOOKUP(U63,'GRPO Wiz'!AP:BT,18,FALSE),"")</f>
        <v/>
      </c>
      <c r="BB63" s="52" t="str">
        <f>_xlfn.IFNA(VLOOKUP(U63,'GRPO Wiz'!AP:BT,19,FALSE),"")</f>
        <v/>
      </c>
      <c r="BC63" s="52" t="str">
        <f>_xlfn.IFNA(VLOOKUP(U63,'GRPO Wiz'!AP:BT,20,FALSE),"")</f>
        <v/>
      </c>
      <c r="BD63" s="52" t="str">
        <f>_xlfn.IFNA(VLOOKUP(U63,'GRPO Wiz'!AP:BT,21,FALSE),"")</f>
        <v/>
      </c>
      <c r="BE63" s="52" t="str">
        <f>_xlfn.IFNA(LEFT((VLOOKUP(U63,'GRPO Wiz'!AP:BT,22,FALSE)),8),"")</f>
        <v/>
      </c>
      <c r="BF63" s="52" t="str">
        <f>_xlfn.IFNA(VLOOKUP(U63,'GRPO Wiz'!AP:BT,26,FALSE),"")</f>
        <v/>
      </c>
      <c r="BG63" s="63" t="str">
        <f>_xlfn.IFNA(VLOOKUP(U63,'GRPO Wiz'!AP:BQ,28,FALSE),"")</f>
        <v/>
      </c>
      <c r="BH63" s="52" t="str">
        <f>_xlfn.IFNA(VLOOKUP(U63,'GRPO Wiz'!AP:BN,25,FALSE),"")</f>
        <v/>
      </c>
      <c r="BI63" s="52" t="str">
        <f>_xlfn.IFNA(VLOOKUP(U63,'GRPO Wiz'!AP:BT,31,FALSE),"")</f>
        <v/>
      </c>
      <c r="BJ63" s="52" t="str">
        <f>_xlfn.IFNA(VLOOKUP(U63,'GRPO Wiz'!AP:BZ,32,FALSE),"")</f>
        <v/>
      </c>
      <c r="BK63" s="52" t="str">
        <f>_xlfn.IFNA(VLOOKUP(U63,'GRPO Wiz'!AP:BZ,27,FALSE),"")</f>
        <v/>
      </c>
      <c r="BL63" s="52" t="str">
        <f>_xlfn.IFNA(VALUE(VLOOKUP(U63,'GRPO Wiz'!AP:BZ,29,FALSE)),"")</f>
        <v/>
      </c>
      <c r="BM63" s="52" t="str">
        <f>IF(OR(_xlfn.IFNA(VLOOKUP(U63,'GRPO Wiz'!AP:BZ,33,FALSE),"")="NSC",_xlfn.IFNA(VLOOKUP(U63,'GRPO Wiz'!AP:BZ,33,FALSE),"")="NSSMC"),"NSC","")</f>
        <v/>
      </c>
      <c r="BX63" s="52" t="str">
        <f t="shared" si="22"/>
        <v/>
      </c>
      <c r="BY63" s="52" t="str">
        <f>_xlfn.IFNA(VLOOKUP(BX63&amp;H63,AP!IP:IQ,2,FALSE),"")</f>
        <v/>
      </c>
      <c r="BZ63" s="53" t="str">
        <f t="shared" si="23"/>
        <v/>
      </c>
      <c r="CA63" s="53"/>
      <c r="CD63" s="52" t="str">
        <f>_xlfn.IFNA((VLOOKUP(BX63&amp;H63,AP!IP:IS,4,FALSE)),"")</f>
        <v/>
      </c>
    </row>
    <row r="64" spans="10:82" ht="26.25" customHeight="1" x14ac:dyDescent="0.25">
      <c r="J64" s="52" t="str">
        <f t="shared" si="19"/>
        <v/>
      </c>
      <c r="K64" s="52" t="str">
        <f>IF(O64="","",VLOOKUP(U64,Data!O:AC,15,FALSE)/G64)</f>
        <v/>
      </c>
      <c r="X64" s="52" t="str">
        <f t="shared" si="20"/>
        <v/>
      </c>
      <c r="Z64" s="52">
        <f t="shared" si="21"/>
        <v>0</v>
      </c>
      <c r="AG64" s="52" t="str">
        <f>_xlfn.IFNA(VLOOKUP(U64,'Incoming Material Report'!A:M,13,FALSE),"")</f>
        <v/>
      </c>
      <c r="AH64" s="52" t="str">
        <f>_xlfn.IFNA(IF(VLOOKUP(U64,'Incoming Material Report'!A:N,14,FALSE)="","",VLOOKUP(U64,'Incoming Material Report'!A:N,14,FALSE)),"")</f>
        <v/>
      </c>
      <c r="AI64" s="52" t="str">
        <f>_xlfn.IFNA(VLOOKUP(U64,'Incoming Material Report'!A:Z,24,FALSE),"")</f>
        <v/>
      </c>
      <c r="AJ64" s="52" t="str">
        <f>_xlfn.IFNA(VLOOKUP(U64,'Incoming Material Report'!A:Z,25,FALSE),"")</f>
        <v/>
      </c>
      <c r="AK64" s="52" t="str">
        <f>_xlfn.IFNA(VLOOKUP(U64,'Incoming Material Report'!A:Z,26,FALSE),"")</f>
        <v/>
      </c>
      <c r="AL64" s="52" t="str">
        <f>_xlfn.IFNA(VLOOKUP(U64,'Incoming Material Report'!A:Z,2,FALSE),"")</f>
        <v/>
      </c>
      <c r="AM64" s="52" t="str">
        <f>_xlfn.IFNA(VLOOKUP(U64,'Incoming Material Report'!A:K,11,FALSE)/1000,"")</f>
        <v/>
      </c>
      <c r="AO64" s="52" t="str">
        <f>_xlfn.IFNA(VLOOKUP(U64,'Incoming Material Report'!A:R,18,FALSE)*1000,"")</f>
        <v/>
      </c>
      <c r="AQ64" s="52" t="str">
        <f>_xlfn.IFNA(TEXT(VLOOKUP(U64,'Incoming Material Report'!A:D,4,FALSE),"dd.mm.yy"),"")</f>
        <v/>
      </c>
      <c r="AR64" s="52" t="str">
        <f>_xlfn.IFNA(VLOOKUP(U64,'Incoming Material Report'!A:Z,5,FALSE),"")</f>
        <v/>
      </c>
      <c r="AT64" s="52" t="str">
        <f>IF(OR(_xlfn.IFNA(VLOOKUP(U64,'Incoming Material Report'!A:Z,6,FALSE),"")="NSC",_xlfn.IFNA(VLOOKUP(U64,'Incoming Material Report'!A:Z,6,FALSE),"")="NSSMC"),"NSC","")</f>
        <v/>
      </c>
      <c r="AU64" s="52" t="str">
        <f>_xlfn.IFNA(VLOOKUP(U64,'Incoming Material Report'!A:Z,8,FALSE),"")</f>
        <v/>
      </c>
      <c r="AZ64" s="52" t="str">
        <f>_xlfn.IFNA(VLOOKUP(U64,'GRPO Wiz'!AP:BT,17,FALSE),"")</f>
        <v/>
      </c>
      <c r="BA64" s="52" t="str">
        <f>_xlfn.IFNA(VLOOKUP(U64,'GRPO Wiz'!AP:BT,18,FALSE),"")</f>
        <v/>
      </c>
      <c r="BB64" s="52" t="str">
        <f>_xlfn.IFNA(VLOOKUP(U64,'GRPO Wiz'!AP:BT,19,FALSE),"")</f>
        <v/>
      </c>
      <c r="BC64" s="52" t="str">
        <f>_xlfn.IFNA(VLOOKUP(U64,'GRPO Wiz'!AP:BT,20,FALSE),"")</f>
        <v/>
      </c>
      <c r="BD64" s="52" t="str">
        <f>_xlfn.IFNA(VLOOKUP(U64,'GRPO Wiz'!AP:BT,21,FALSE),"")</f>
        <v/>
      </c>
      <c r="BE64" s="52" t="str">
        <f>_xlfn.IFNA(LEFT((VLOOKUP(U64,'GRPO Wiz'!AP:BT,22,FALSE)),8),"")</f>
        <v/>
      </c>
      <c r="BF64" s="52" t="str">
        <f>_xlfn.IFNA(VLOOKUP(U64,'GRPO Wiz'!AP:BT,26,FALSE),"")</f>
        <v/>
      </c>
      <c r="BG64" s="63" t="str">
        <f>_xlfn.IFNA(VLOOKUP(U64,'GRPO Wiz'!AP:BQ,28,FALSE),"")</f>
        <v/>
      </c>
      <c r="BH64" s="52" t="str">
        <f>_xlfn.IFNA(VLOOKUP(U64,'GRPO Wiz'!AP:BN,25,FALSE),"")</f>
        <v/>
      </c>
      <c r="BI64" s="52" t="str">
        <f>_xlfn.IFNA(VLOOKUP(U64,'GRPO Wiz'!AP:BT,31,FALSE),"")</f>
        <v/>
      </c>
      <c r="BJ64" s="52" t="str">
        <f>_xlfn.IFNA(VLOOKUP(U64,'GRPO Wiz'!AP:BZ,32,FALSE),"")</f>
        <v/>
      </c>
      <c r="BK64" s="52" t="str">
        <f>_xlfn.IFNA(VLOOKUP(U64,'GRPO Wiz'!AP:BZ,27,FALSE),"")</f>
        <v/>
      </c>
      <c r="BL64" s="52" t="str">
        <f>_xlfn.IFNA(VALUE(VLOOKUP(U64,'GRPO Wiz'!AP:BZ,29,FALSE)),"")</f>
        <v/>
      </c>
      <c r="BM64" s="52" t="str">
        <f>IF(OR(_xlfn.IFNA(VLOOKUP(U64,'GRPO Wiz'!AP:BZ,33,FALSE),"")="NSC",_xlfn.IFNA(VLOOKUP(U64,'GRPO Wiz'!AP:BZ,33,FALSE),"")="NSSMC"),"NSC","")</f>
        <v/>
      </c>
      <c r="BX64" s="52" t="str">
        <f t="shared" si="22"/>
        <v/>
      </c>
      <c r="BY64" s="52" t="str">
        <f>_xlfn.IFNA(VLOOKUP(BX64&amp;H64,AP!IP:IQ,2,FALSE),"")</f>
        <v/>
      </c>
      <c r="BZ64" s="53" t="str">
        <f t="shared" si="23"/>
        <v/>
      </c>
      <c r="CA64" s="53"/>
      <c r="CD64" s="52" t="str">
        <f>_xlfn.IFNA((VLOOKUP(BX64&amp;H64,AP!IP:IS,4,FALSE)),"")</f>
        <v/>
      </c>
    </row>
    <row r="65" spans="10:82" ht="26.25" customHeight="1" x14ac:dyDescent="0.25">
      <c r="J65" s="52" t="str">
        <f t="shared" si="19"/>
        <v/>
      </c>
      <c r="K65" s="52" t="str">
        <f>IF(O65="","",VLOOKUP(U65,Data!O:AC,15,FALSE)/G65)</f>
        <v/>
      </c>
      <c r="X65" s="52" t="str">
        <f t="shared" si="20"/>
        <v/>
      </c>
      <c r="Z65" s="52">
        <f t="shared" si="21"/>
        <v>0</v>
      </c>
      <c r="AG65" s="52" t="str">
        <f>_xlfn.IFNA(VLOOKUP(U65,'Incoming Material Report'!A:M,13,FALSE),"")</f>
        <v/>
      </c>
      <c r="AH65" s="52" t="str">
        <f>_xlfn.IFNA(IF(VLOOKUP(U65,'Incoming Material Report'!A:N,14,FALSE)="","",VLOOKUP(U65,'Incoming Material Report'!A:N,14,FALSE)),"")</f>
        <v/>
      </c>
      <c r="AI65" s="52" t="str">
        <f>_xlfn.IFNA(VLOOKUP(U65,'Incoming Material Report'!A:Z,24,FALSE),"")</f>
        <v/>
      </c>
      <c r="AJ65" s="52" t="str">
        <f>_xlfn.IFNA(VLOOKUP(U65,'Incoming Material Report'!A:Z,25,FALSE),"")</f>
        <v/>
      </c>
      <c r="AK65" s="52" t="str">
        <f>_xlfn.IFNA(VLOOKUP(U65,'Incoming Material Report'!A:Z,26,FALSE),"")</f>
        <v/>
      </c>
      <c r="AL65" s="52" t="str">
        <f>_xlfn.IFNA(VLOOKUP(U65,'Incoming Material Report'!A:Z,2,FALSE),"")</f>
        <v/>
      </c>
      <c r="AM65" s="52" t="str">
        <f>_xlfn.IFNA(VLOOKUP(U65,'Incoming Material Report'!A:K,11,FALSE)/1000,"")</f>
        <v/>
      </c>
      <c r="AO65" s="52" t="str">
        <f>_xlfn.IFNA(VLOOKUP(U65,'Incoming Material Report'!A:R,18,FALSE)*1000,"")</f>
        <v/>
      </c>
      <c r="AQ65" s="52" t="str">
        <f>_xlfn.IFNA(TEXT(VLOOKUP(U65,'Incoming Material Report'!A:D,4,FALSE),"dd.mm.yy"),"")</f>
        <v/>
      </c>
      <c r="AR65" s="52" t="str">
        <f>_xlfn.IFNA(VLOOKUP(U65,'Incoming Material Report'!A:Z,5,FALSE),"")</f>
        <v/>
      </c>
      <c r="AT65" s="52" t="str">
        <f>IF(OR(_xlfn.IFNA(VLOOKUP(U65,'Incoming Material Report'!A:Z,6,FALSE),"")="NSC",_xlfn.IFNA(VLOOKUP(U65,'Incoming Material Report'!A:Z,6,FALSE),"")="NSSMC"),"NSC","")</f>
        <v/>
      </c>
      <c r="AU65" s="52" t="str">
        <f>_xlfn.IFNA(VLOOKUP(U65,'Incoming Material Report'!A:Z,8,FALSE),"")</f>
        <v/>
      </c>
      <c r="AZ65" s="52" t="str">
        <f>_xlfn.IFNA(VLOOKUP(U65,'GRPO Wiz'!AP:BT,17,FALSE),"")</f>
        <v/>
      </c>
      <c r="BA65" s="52" t="str">
        <f>_xlfn.IFNA(VLOOKUP(U65,'GRPO Wiz'!AP:BT,18,FALSE),"")</f>
        <v/>
      </c>
      <c r="BB65" s="52" t="str">
        <f>_xlfn.IFNA(VLOOKUP(U65,'GRPO Wiz'!AP:BT,19,FALSE),"")</f>
        <v/>
      </c>
      <c r="BC65" s="52" t="str">
        <f>_xlfn.IFNA(VLOOKUP(U65,'GRPO Wiz'!AP:BT,20,FALSE),"")</f>
        <v/>
      </c>
      <c r="BD65" s="52" t="str">
        <f>_xlfn.IFNA(VLOOKUP(U65,'GRPO Wiz'!AP:BT,21,FALSE),"")</f>
        <v/>
      </c>
      <c r="BE65" s="52" t="str">
        <f>_xlfn.IFNA(LEFT((VLOOKUP(U65,'GRPO Wiz'!AP:BT,22,FALSE)),8),"")</f>
        <v/>
      </c>
      <c r="BF65" s="52" t="str">
        <f>_xlfn.IFNA(VLOOKUP(U65,'GRPO Wiz'!AP:BT,26,FALSE),"")</f>
        <v/>
      </c>
      <c r="BG65" s="63" t="str">
        <f>_xlfn.IFNA(VLOOKUP(U65,'GRPO Wiz'!AP:BQ,28,FALSE),"")</f>
        <v/>
      </c>
      <c r="BH65" s="52" t="str">
        <f>_xlfn.IFNA(VLOOKUP(U65,'GRPO Wiz'!AP:BN,25,FALSE),"")</f>
        <v/>
      </c>
      <c r="BI65" s="52" t="str">
        <f>_xlfn.IFNA(VLOOKUP(U65,'GRPO Wiz'!AP:BT,31,FALSE),"")</f>
        <v/>
      </c>
      <c r="BJ65" s="52" t="str">
        <f>_xlfn.IFNA(VLOOKUP(U65,'GRPO Wiz'!AP:BZ,32,FALSE),"")</f>
        <v/>
      </c>
      <c r="BK65" s="52" t="str">
        <f>_xlfn.IFNA(VLOOKUP(U65,'GRPO Wiz'!AP:BZ,27,FALSE),"")</f>
        <v/>
      </c>
      <c r="BL65" s="52" t="str">
        <f>_xlfn.IFNA(VALUE(VLOOKUP(U65,'GRPO Wiz'!AP:BZ,29,FALSE)),"")</f>
        <v/>
      </c>
      <c r="BM65" s="52" t="str">
        <f>IF(OR(_xlfn.IFNA(VLOOKUP(U65,'GRPO Wiz'!AP:BZ,33,FALSE),"")="NSC",_xlfn.IFNA(VLOOKUP(U65,'GRPO Wiz'!AP:BZ,33,FALSE),"")="NSSMC"),"NSC","")</f>
        <v/>
      </c>
      <c r="BX65" s="52" t="str">
        <f t="shared" si="22"/>
        <v/>
      </c>
      <c r="BY65" s="52" t="str">
        <f>_xlfn.IFNA(VLOOKUP(BX65&amp;H65,AP!IP:IQ,2,FALSE),"")</f>
        <v/>
      </c>
      <c r="BZ65" s="53" t="str">
        <f t="shared" si="23"/>
        <v/>
      </c>
      <c r="CA65" s="53"/>
      <c r="CD65" s="52" t="str">
        <f>_xlfn.IFNA((VLOOKUP(BX65&amp;H65,AP!IP:IS,4,FALSE)),"")</f>
        <v/>
      </c>
    </row>
    <row r="66" spans="10:82" ht="26.25" customHeight="1" x14ac:dyDescent="0.25">
      <c r="J66" s="52" t="str">
        <f t="shared" si="19"/>
        <v/>
      </c>
      <c r="K66" s="52" t="str">
        <f>IF(O66="","",VLOOKUP(U66,Data!O:AC,15,FALSE)/G66)</f>
        <v/>
      </c>
      <c r="X66" s="52" t="str">
        <f t="shared" si="20"/>
        <v/>
      </c>
      <c r="Z66" s="52">
        <f t="shared" si="21"/>
        <v>0</v>
      </c>
      <c r="AG66" s="52" t="str">
        <f>_xlfn.IFNA(VLOOKUP(U66,'Incoming Material Report'!A:M,13,FALSE),"")</f>
        <v/>
      </c>
      <c r="AH66" s="52" t="str">
        <f>_xlfn.IFNA(IF(VLOOKUP(U66,'Incoming Material Report'!A:N,14,FALSE)="","",VLOOKUP(U66,'Incoming Material Report'!A:N,14,FALSE)),"")</f>
        <v/>
      </c>
      <c r="AI66" s="52" t="str">
        <f>_xlfn.IFNA(VLOOKUP(U66,'Incoming Material Report'!A:Z,24,FALSE),"")</f>
        <v/>
      </c>
      <c r="AJ66" s="52" t="str">
        <f>_xlfn.IFNA(VLOOKUP(U66,'Incoming Material Report'!A:Z,25,FALSE),"")</f>
        <v/>
      </c>
      <c r="AK66" s="52" t="str">
        <f>_xlfn.IFNA(VLOOKUP(U66,'Incoming Material Report'!A:Z,26,FALSE),"")</f>
        <v/>
      </c>
      <c r="AL66" s="52" t="str">
        <f>_xlfn.IFNA(VLOOKUP(U66,'Incoming Material Report'!A:Z,2,FALSE),"")</f>
        <v/>
      </c>
      <c r="AM66" s="52" t="str">
        <f>_xlfn.IFNA(VLOOKUP(U66,'Incoming Material Report'!A:K,11,FALSE)/1000,"")</f>
        <v/>
      </c>
      <c r="AO66" s="52" t="str">
        <f>_xlfn.IFNA(VLOOKUP(U66,'Incoming Material Report'!A:R,18,FALSE)*1000,"")</f>
        <v/>
      </c>
      <c r="AQ66" s="52" t="str">
        <f>_xlfn.IFNA(TEXT(VLOOKUP(U66,'Incoming Material Report'!A:D,4,FALSE),"dd.mm.yy"),"")</f>
        <v/>
      </c>
      <c r="AR66" s="52" t="str">
        <f>_xlfn.IFNA(VLOOKUP(U66,'Incoming Material Report'!A:Z,5,FALSE),"")</f>
        <v/>
      </c>
      <c r="AT66" s="52" t="str">
        <f>IF(OR(_xlfn.IFNA(VLOOKUP(U66,'Incoming Material Report'!A:Z,6,FALSE),"")="NSC",_xlfn.IFNA(VLOOKUP(U66,'Incoming Material Report'!A:Z,6,FALSE),"")="NSSMC"),"NSC","")</f>
        <v/>
      </c>
      <c r="AU66" s="52" t="str">
        <f>_xlfn.IFNA(VLOOKUP(U66,'Incoming Material Report'!A:Z,8,FALSE),"")</f>
        <v/>
      </c>
      <c r="AZ66" s="52" t="str">
        <f>_xlfn.IFNA(VLOOKUP(U66,'GRPO Wiz'!AP:BT,17,FALSE),"")</f>
        <v/>
      </c>
      <c r="BA66" s="52" t="str">
        <f>_xlfn.IFNA(VLOOKUP(U66,'GRPO Wiz'!AP:BT,18,FALSE),"")</f>
        <v/>
      </c>
      <c r="BB66" s="52" t="str">
        <f>_xlfn.IFNA(VLOOKUP(U66,'GRPO Wiz'!AP:BT,19,FALSE),"")</f>
        <v/>
      </c>
      <c r="BC66" s="52" t="str">
        <f>_xlfn.IFNA(VLOOKUP(U66,'GRPO Wiz'!AP:BT,20,FALSE),"")</f>
        <v/>
      </c>
      <c r="BD66" s="52" t="str">
        <f>_xlfn.IFNA(VLOOKUP(U66,'GRPO Wiz'!AP:BT,21,FALSE),"")</f>
        <v/>
      </c>
      <c r="BE66" s="52" t="str">
        <f>_xlfn.IFNA(LEFT((VLOOKUP(U66,'GRPO Wiz'!AP:BT,22,FALSE)),8),"")</f>
        <v/>
      </c>
      <c r="BF66" s="52" t="str">
        <f>_xlfn.IFNA(VLOOKUP(U66,'GRPO Wiz'!AP:BT,26,FALSE),"")</f>
        <v/>
      </c>
      <c r="BG66" s="63" t="str">
        <f>_xlfn.IFNA(VLOOKUP(U66,'GRPO Wiz'!AP:BQ,28,FALSE),"")</f>
        <v/>
      </c>
      <c r="BH66" s="52" t="str">
        <f>_xlfn.IFNA(VLOOKUP(U66,'GRPO Wiz'!AP:BN,25,FALSE),"")</f>
        <v/>
      </c>
      <c r="BI66" s="52" t="str">
        <f>_xlfn.IFNA(VLOOKUP(U66,'GRPO Wiz'!AP:BT,31,FALSE),"")</f>
        <v/>
      </c>
      <c r="BJ66" s="52" t="str">
        <f>_xlfn.IFNA(VLOOKUP(U66,'GRPO Wiz'!AP:BZ,32,FALSE),"")</f>
        <v/>
      </c>
      <c r="BK66" s="52" t="str">
        <f>_xlfn.IFNA(VLOOKUP(U66,'GRPO Wiz'!AP:BZ,27,FALSE),"")</f>
        <v/>
      </c>
      <c r="BL66" s="52" t="str">
        <f>_xlfn.IFNA(VALUE(VLOOKUP(U66,'GRPO Wiz'!AP:BZ,29,FALSE)),"")</f>
        <v/>
      </c>
      <c r="BM66" s="52" t="str">
        <f>IF(OR(_xlfn.IFNA(VLOOKUP(U66,'GRPO Wiz'!AP:BZ,33,FALSE),"")="NSC",_xlfn.IFNA(VLOOKUP(U66,'GRPO Wiz'!AP:BZ,33,FALSE),"")="NSSMC"),"NSC","")</f>
        <v/>
      </c>
      <c r="BX66" s="52" t="str">
        <f t="shared" si="22"/>
        <v/>
      </c>
      <c r="BY66" s="52" t="str">
        <f>_xlfn.IFNA(VLOOKUP(BX66&amp;H66,AP!IP:IQ,2,FALSE),"")</f>
        <v/>
      </c>
      <c r="BZ66" s="53" t="str">
        <f t="shared" si="23"/>
        <v/>
      </c>
      <c r="CA66" s="53"/>
      <c r="CD66" s="52" t="str">
        <f>_xlfn.IFNA((VLOOKUP(BX66&amp;H66,AP!IP:IS,4,FALSE)),"")</f>
        <v/>
      </c>
    </row>
    <row r="67" spans="10:82" ht="26.25" customHeight="1" x14ac:dyDescent="0.25">
      <c r="J67" s="52" t="str">
        <f t="shared" si="19"/>
        <v/>
      </c>
      <c r="K67" s="52" t="str">
        <f>IF(O67="","",VLOOKUP(U67,Data!O:AC,15,FALSE)/G67)</f>
        <v/>
      </c>
      <c r="X67" s="52" t="str">
        <f t="shared" si="20"/>
        <v/>
      </c>
      <c r="Z67" s="52">
        <f t="shared" si="21"/>
        <v>0</v>
      </c>
      <c r="AG67" s="52" t="str">
        <f>_xlfn.IFNA(VLOOKUP(U67,'Incoming Material Report'!A:M,13,FALSE),"")</f>
        <v/>
      </c>
      <c r="AH67" s="52" t="str">
        <f>_xlfn.IFNA(IF(VLOOKUP(U67,'Incoming Material Report'!A:N,14,FALSE)="","",VLOOKUP(U67,'Incoming Material Report'!A:N,14,FALSE)),"")</f>
        <v/>
      </c>
      <c r="AI67" s="52" t="str">
        <f>_xlfn.IFNA(VLOOKUP(U67,'Incoming Material Report'!A:Z,24,FALSE),"")</f>
        <v/>
      </c>
      <c r="AJ67" s="52" t="str">
        <f>_xlfn.IFNA(VLOOKUP(U67,'Incoming Material Report'!A:Z,25,FALSE),"")</f>
        <v/>
      </c>
      <c r="AK67" s="52" t="str">
        <f>_xlfn.IFNA(VLOOKUP(U67,'Incoming Material Report'!A:Z,26,FALSE),"")</f>
        <v/>
      </c>
      <c r="AL67" s="52" t="str">
        <f>_xlfn.IFNA(VLOOKUP(U67,'Incoming Material Report'!A:Z,2,FALSE),"")</f>
        <v/>
      </c>
      <c r="AM67" s="52" t="str">
        <f>_xlfn.IFNA(VLOOKUP(U67,'Incoming Material Report'!A:K,11,FALSE)/1000,"")</f>
        <v/>
      </c>
      <c r="AO67" s="52" t="str">
        <f>_xlfn.IFNA(VLOOKUP(U67,'Incoming Material Report'!A:R,18,FALSE)*1000,"")</f>
        <v/>
      </c>
      <c r="AQ67" s="52" t="str">
        <f>_xlfn.IFNA(TEXT(VLOOKUP(U67,'Incoming Material Report'!A:D,4,FALSE),"dd.mm.yy"),"")</f>
        <v/>
      </c>
      <c r="AR67" s="52" t="str">
        <f>_xlfn.IFNA(VLOOKUP(U67,'Incoming Material Report'!A:Z,5,FALSE),"")</f>
        <v/>
      </c>
      <c r="AT67" s="52" t="str">
        <f>IF(OR(_xlfn.IFNA(VLOOKUP(U67,'Incoming Material Report'!A:Z,6,FALSE),"")="NSC",_xlfn.IFNA(VLOOKUP(U67,'Incoming Material Report'!A:Z,6,FALSE),"")="NSSMC"),"NSC","")</f>
        <v/>
      </c>
      <c r="AU67" s="52" t="str">
        <f>_xlfn.IFNA(VLOOKUP(U67,'Incoming Material Report'!A:Z,8,FALSE),"")</f>
        <v/>
      </c>
      <c r="AZ67" s="52" t="str">
        <f>_xlfn.IFNA(VLOOKUP(U67,'GRPO Wiz'!AP:BT,17,FALSE),"")</f>
        <v/>
      </c>
      <c r="BA67" s="52" t="str">
        <f>_xlfn.IFNA(VLOOKUP(U67,'GRPO Wiz'!AP:BT,18,FALSE),"")</f>
        <v/>
      </c>
      <c r="BB67" s="52" t="str">
        <f>_xlfn.IFNA(VLOOKUP(U67,'GRPO Wiz'!AP:BT,19,FALSE),"")</f>
        <v/>
      </c>
      <c r="BC67" s="52" t="str">
        <f>_xlfn.IFNA(VLOOKUP(U67,'GRPO Wiz'!AP:BT,20,FALSE),"")</f>
        <v/>
      </c>
      <c r="BD67" s="52" t="str">
        <f>_xlfn.IFNA(VLOOKUP(U67,'GRPO Wiz'!AP:BT,21,FALSE),"")</f>
        <v/>
      </c>
      <c r="BE67" s="52" t="str">
        <f>_xlfn.IFNA(LEFT((VLOOKUP(U67,'GRPO Wiz'!AP:BT,22,FALSE)),8),"")</f>
        <v/>
      </c>
      <c r="BF67" s="52" t="str">
        <f>_xlfn.IFNA(VLOOKUP(U67,'GRPO Wiz'!AP:BT,26,FALSE),"")</f>
        <v/>
      </c>
      <c r="BG67" s="63" t="str">
        <f>_xlfn.IFNA(VLOOKUP(U67,'GRPO Wiz'!AP:BQ,28,FALSE),"")</f>
        <v/>
      </c>
      <c r="BH67" s="52" t="str">
        <f>_xlfn.IFNA(VLOOKUP(U67,'GRPO Wiz'!AP:BN,25,FALSE),"")</f>
        <v/>
      </c>
      <c r="BI67" s="52" t="str">
        <f>_xlfn.IFNA(VLOOKUP(U67,'GRPO Wiz'!AP:BT,31,FALSE),"")</f>
        <v/>
      </c>
      <c r="BJ67" s="52" t="str">
        <f>_xlfn.IFNA(VLOOKUP(U67,'GRPO Wiz'!AP:BZ,32,FALSE),"")</f>
        <v/>
      </c>
      <c r="BK67" s="52" t="str">
        <f>_xlfn.IFNA(VLOOKUP(U67,'GRPO Wiz'!AP:BZ,27,FALSE),"")</f>
        <v/>
      </c>
      <c r="BL67" s="52" t="str">
        <f>_xlfn.IFNA(VALUE(VLOOKUP(U67,'GRPO Wiz'!AP:BZ,29,FALSE)),"")</f>
        <v/>
      </c>
      <c r="BM67" s="52" t="str">
        <f>IF(OR(_xlfn.IFNA(VLOOKUP(U67,'GRPO Wiz'!AP:BZ,33,FALSE),"")="NSC",_xlfn.IFNA(VLOOKUP(U67,'GRPO Wiz'!AP:BZ,33,FALSE),"")="NSSMC"),"NSC","")</f>
        <v/>
      </c>
      <c r="BX67" s="52" t="str">
        <f t="shared" si="22"/>
        <v/>
      </c>
      <c r="BY67" s="52" t="str">
        <f>_xlfn.IFNA(VLOOKUP(BX67&amp;H67,AP!IP:IQ,2,FALSE),"")</f>
        <v/>
      </c>
      <c r="BZ67" s="53" t="str">
        <f t="shared" si="23"/>
        <v/>
      </c>
      <c r="CA67" s="53"/>
      <c r="CD67" s="52" t="str">
        <f>_xlfn.IFNA((VLOOKUP(BX67&amp;H67,AP!IP:IS,4,FALSE)),"")</f>
        <v/>
      </c>
    </row>
    <row r="68" spans="10:82" ht="26.25" customHeight="1" x14ac:dyDescent="0.25">
      <c r="J68" s="52" t="str">
        <f t="shared" ref="J68:J99" si="24">IF(O68="","",ROUND(H68*ROUND(I68,1),2))</f>
        <v/>
      </c>
      <c r="K68" s="52" t="str">
        <f>IF(O68="","",VLOOKUP(U68,Data!O:AC,15,FALSE)/G68)</f>
        <v/>
      </c>
      <c r="X68" s="52" t="str">
        <f t="shared" ref="X68:X99" si="25">AT68</f>
        <v/>
      </c>
      <c r="Z68" s="52">
        <f t="shared" ref="Z68:Z99" si="26">IFERROR(ROUND(H68*I68,2),0)</f>
        <v>0</v>
      </c>
      <c r="AG68" s="52" t="str">
        <f>_xlfn.IFNA(VLOOKUP(U68,'Incoming Material Report'!A:M,13,FALSE),"")</f>
        <v/>
      </c>
      <c r="AH68" s="52" t="str">
        <f>_xlfn.IFNA(IF(VLOOKUP(U68,'Incoming Material Report'!A:N,14,FALSE)="","",VLOOKUP(U68,'Incoming Material Report'!A:N,14,FALSE)),"")</f>
        <v/>
      </c>
      <c r="AI68" s="52" t="str">
        <f>_xlfn.IFNA(VLOOKUP(U68,'Incoming Material Report'!A:Z,24,FALSE),"")</f>
        <v/>
      </c>
      <c r="AJ68" s="52" t="str">
        <f>_xlfn.IFNA(VLOOKUP(U68,'Incoming Material Report'!A:Z,25,FALSE),"")</f>
        <v/>
      </c>
      <c r="AK68" s="52" t="str">
        <f>_xlfn.IFNA(VLOOKUP(U68,'Incoming Material Report'!A:Z,26,FALSE),"")</f>
        <v/>
      </c>
      <c r="AL68" s="52" t="str">
        <f>_xlfn.IFNA(VLOOKUP(U68,'Incoming Material Report'!A:Z,2,FALSE),"")</f>
        <v/>
      </c>
      <c r="AM68" s="52" t="str">
        <f>_xlfn.IFNA(VLOOKUP(U68,'Incoming Material Report'!A:K,11,FALSE)/1000,"")</f>
        <v/>
      </c>
      <c r="AO68" s="52" t="str">
        <f>_xlfn.IFNA(VLOOKUP(U68,'Incoming Material Report'!A:R,18,FALSE)*1000,"")</f>
        <v/>
      </c>
      <c r="AQ68" s="52" t="str">
        <f>_xlfn.IFNA(TEXT(VLOOKUP(U68,'Incoming Material Report'!A:D,4,FALSE),"dd.mm.yy"),"")</f>
        <v/>
      </c>
      <c r="AR68" s="52" t="str">
        <f>_xlfn.IFNA(VLOOKUP(U68,'Incoming Material Report'!A:Z,5,FALSE),"")</f>
        <v/>
      </c>
      <c r="AT68" s="52" t="str">
        <f>IF(OR(_xlfn.IFNA(VLOOKUP(U68,'Incoming Material Report'!A:Z,6,FALSE),"")="NSC",_xlfn.IFNA(VLOOKUP(U68,'Incoming Material Report'!A:Z,6,FALSE),"")="NSSMC"),"NSC","")</f>
        <v/>
      </c>
      <c r="AU68" s="52" t="str">
        <f>_xlfn.IFNA(VLOOKUP(U68,'Incoming Material Report'!A:Z,8,FALSE),"")</f>
        <v/>
      </c>
      <c r="AZ68" s="52" t="str">
        <f>_xlfn.IFNA(VLOOKUP(U68,'GRPO Wiz'!AP:BT,17,FALSE),"")</f>
        <v/>
      </c>
      <c r="BA68" s="52" t="str">
        <f>_xlfn.IFNA(VLOOKUP(U68,'GRPO Wiz'!AP:BT,18,FALSE),"")</f>
        <v/>
      </c>
      <c r="BB68" s="52" t="str">
        <f>_xlfn.IFNA(VLOOKUP(U68,'GRPO Wiz'!AP:BT,19,FALSE),"")</f>
        <v/>
      </c>
      <c r="BC68" s="52" t="str">
        <f>_xlfn.IFNA(VLOOKUP(U68,'GRPO Wiz'!AP:BT,20,FALSE),"")</f>
        <v/>
      </c>
      <c r="BD68" s="52" t="str">
        <f>_xlfn.IFNA(VLOOKUP(U68,'GRPO Wiz'!AP:BT,21,FALSE),"")</f>
        <v/>
      </c>
      <c r="BE68" s="52" t="str">
        <f>_xlfn.IFNA(LEFT((VLOOKUP(U68,'GRPO Wiz'!AP:BT,22,FALSE)),8),"")</f>
        <v/>
      </c>
      <c r="BF68" s="52" t="str">
        <f>_xlfn.IFNA(VLOOKUP(U68,'GRPO Wiz'!AP:BT,26,FALSE),"")</f>
        <v/>
      </c>
      <c r="BG68" s="63" t="str">
        <f>_xlfn.IFNA(VLOOKUP(U68,'GRPO Wiz'!AP:BQ,28,FALSE),"")</f>
        <v/>
      </c>
      <c r="BH68" s="52" t="str">
        <f>_xlfn.IFNA(VLOOKUP(U68,'GRPO Wiz'!AP:BN,25,FALSE),"")</f>
        <v/>
      </c>
      <c r="BI68" s="52" t="str">
        <f>_xlfn.IFNA(VLOOKUP(U68,'GRPO Wiz'!AP:BT,31,FALSE),"")</f>
        <v/>
      </c>
      <c r="BJ68" s="52" t="str">
        <f>_xlfn.IFNA(VLOOKUP(U68,'GRPO Wiz'!AP:BZ,32,FALSE),"")</f>
        <v/>
      </c>
      <c r="BK68" s="52" t="str">
        <f>_xlfn.IFNA(VLOOKUP(U68,'GRPO Wiz'!AP:BZ,27,FALSE),"")</f>
        <v/>
      </c>
      <c r="BL68" s="52" t="str">
        <f>_xlfn.IFNA(VALUE(VLOOKUP(U68,'GRPO Wiz'!AP:BZ,29,FALSE)),"")</f>
        <v/>
      </c>
      <c r="BM68" s="52" t="str">
        <f>IF(OR(_xlfn.IFNA(VLOOKUP(U68,'GRPO Wiz'!AP:BZ,33,FALSE),"")="NSC",_xlfn.IFNA(VLOOKUP(U68,'GRPO Wiz'!AP:BZ,33,FALSE),"")="NSSMC"),"NSC","")</f>
        <v/>
      </c>
      <c r="BX68" s="52" t="str">
        <f t="shared" ref="BX68:BX99" si="27">AU68</f>
        <v/>
      </c>
      <c r="BY68" s="52" t="str">
        <f>_xlfn.IFNA(VLOOKUP(BX68&amp;H68,AP!IP:IQ,2,FALSE),"")</f>
        <v/>
      </c>
      <c r="BZ68" s="53" t="str">
        <f t="shared" ref="BZ68:BZ99" si="28">IF($BZ$1="AP IGST",IFERROR(BY68*18%,""),IFERROR(BY68*9%,""))</f>
        <v/>
      </c>
      <c r="CA68" s="53"/>
      <c r="CD68" s="52" t="str">
        <f>_xlfn.IFNA((VLOOKUP(BX68&amp;H68,AP!IP:IS,4,FALSE)),"")</f>
        <v/>
      </c>
    </row>
    <row r="69" spans="10:82" ht="26.25" customHeight="1" x14ac:dyDescent="0.25">
      <c r="J69" s="52" t="str">
        <f t="shared" si="24"/>
        <v/>
      </c>
      <c r="K69" s="52" t="str">
        <f>IF(O69="","",VLOOKUP(U69,Data!O:AC,15,FALSE)/G69)</f>
        <v/>
      </c>
      <c r="X69" s="52" t="str">
        <f t="shared" si="25"/>
        <v/>
      </c>
      <c r="Z69" s="52">
        <f t="shared" si="26"/>
        <v>0</v>
      </c>
      <c r="AG69" s="52" t="str">
        <f>_xlfn.IFNA(VLOOKUP(U69,'Incoming Material Report'!A:M,13,FALSE),"")</f>
        <v/>
      </c>
      <c r="AH69" s="52" t="str">
        <f>_xlfn.IFNA(IF(VLOOKUP(U69,'Incoming Material Report'!A:N,14,FALSE)="","",VLOOKUP(U69,'Incoming Material Report'!A:N,14,FALSE)),"")</f>
        <v/>
      </c>
      <c r="AI69" s="52" t="str">
        <f>_xlfn.IFNA(VLOOKUP(U69,'Incoming Material Report'!A:Z,24,FALSE),"")</f>
        <v/>
      </c>
      <c r="AJ69" s="52" t="str">
        <f>_xlfn.IFNA(VLOOKUP(U69,'Incoming Material Report'!A:Z,25,FALSE),"")</f>
        <v/>
      </c>
      <c r="AK69" s="52" t="str">
        <f>_xlfn.IFNA(VLOOKUP(U69,'Incoming Material Report'!A:Z,26,FALSE),"")</f>
        <v/>
      </c>
      <c r="AL69" s="52" t="str">
        <f>_xlfn.IFNA(VLOOKUP(U69,'Incoming Material Report'!A:Z,2,FALSE),"")</f>
        <v/>
      </c>
      <c r="AM69" s="52" t="str">
        <f>_xlfn.IFNA(VLOOKUP(U69,'Incoming Material Report'!A:K,11,FALSE)/1000,"")</f>
        <v/>
      </c>
      <c r="AO69" s="52" t="str">
        <f>_xlfn.IFNA(VLOOKUP(U69,'Incoming Material Report'!A:R,18,FALSE)*1000,"")</f>
        <v/>
      </c>
      <c r="AQ69" s="52" t="str">
        <f>_xlfn.IFNA(TEXT(VLOOKUP(U69,'Incoming Material Report'!A:D,4,FALSE),"dd.mm.yy"),"")</f>
        <v/>
      </c>
      <c r="AR69" s="52" t="str">
        <f>_xlfn.IFNA(VLOOKUP(U69,'Incoming Material Report'!A:Z,5,FALSE),"")</f>
        <v/>
      </c>
      <c r="AT69" s="52" t="str">
        <f>IF(OR(_xlfn.IFNA(VLOOKUP(U69,'Incoming Material Report'!A:Z,6,FALSE),"")="NSC",_xlfn.IFNA(VLOOKUP(U69,'Incoming Material Report'!A:Z,6,FALSE),"")="NSSMC"),"NSC","")</f>
        <v/>
      </c>
      <c r="AU69" s="52" t="str">
        <f>_xlfn.IFNA(VLOOKUP(U69,'Incoming Material Report'!A:Z,8,FALSE),"")</f>
        <v/>
      </c>
      <c r="AZ69" s="52" t="str">
        <f>_xlfn.IFNA(VLOOKUP(U69,'GRPO Wiz'!AP:BT,17,FALSE),"")</f>
        <v/>
      </c>
      <c r="BA69" s="52" t="str">
        <f>_xlfn.IFNA(VLOOKUP(U69,'GRPO Wiz'!AP:BT,18,FALSE),"")</f>
        <v/>
      </c>
      <c r="BB69" s="52" t="str">
        <f>_xlfn.IFNA(VLOOKUP(U69,'GRPO Wiz'!AP:BT,19,FALSE),"")</f>
        <v/>
      </c>
      <c r="BC69" s="52" t="str">
        <f>_xlfn.IFNA(VLOOKUP(U69,'GRPO Wiz'!AP:BT,20,FALSE),"")</f>
        <v/>
      </c>
      <c r="BD69" s="52" t="str">
        <f>_xlfn.IFNA(VLOOKUP(U69,'GRPO Wiz'!AP:BT,21,FALSE),"")</f>
        <v/>
      </c>
      <c r="BE69" s="52" t="str">
        <f>_xlfn.IFNA(LEFT((VLOOKUP(U69,'GRPO Wiz'!AP:BT,22,FALSE)),8),"")</f>
        <v/>
      </c>
      <c r="BF69" s="52" t="str">
        <f>_xlfn.IFNA(VLOOKUP(U69,'GRPO Wiz'!AP:BT,26,FALSE),"")</f>
        <v/>
      </c>
      <c r="BG69" s="63" t="str">
        <f>_xlfn.IFNA(VLOOKUP(U69,'GRPO Wiz'!AP:BQ,28,FALSE),"")</f>
        <v/>
      </c>
      <c r="BH69" s="52" t="str">
        <f>_xlfn.IFNA(VLOOKUP(U69,'GRPO Wiz'!AP:BN,25,FALSE),"")</f>
        <v/>
      </c>
      <c r="BI69" s="52" t="str">
        <f>_xlfn.IFNA(VLOOKUP(U69,'GRPO Wiz'!AP:BT,31,FALSE),"")</f>
        <v/>
      </c>
      <c r="BJ69" s="52" t="str">
        <f>_xlfn.IFNA(VLOOKUP(U69,'GRPO Wiz'!AP:BZ,32,FALSE),"")</f>
        <v/>
      </c>
      <c r="BK69" s="52" t="str">
        <f>_xlfn.IFNA(VLOOKUP(U69,'GRPO Wiz'!AP:BZ,27,FALSE),"")</f>
        <v/>
      </c>
      <c r="BL69" s="52" t="str">
        <f>_xlfn.IFNA(VALUE(VLOOKUP(U69,'GRPO Wiz'!AP:BZ,29,FALSE)),"")</f>
        <v/>
      </c>
      <c r="BM69" s="52" t="str">
        <f>IF(OR(_xlfn.IFNA(VLOOKUP(U69,'GRPO Wiz'!AP:BZ,33,FALSE),"")="NSC",_xlfn.IFNA(VLOOKUP(U69,'GRPO Wiz'!AP:BZ,33,FALSE),"")="NSSMC"),"NSC","")</f>
        <v/>
      </c>
      <c r="BX69" s="52" t="str">
        <f t="shared" si="27"/>
        <v/>
      </c>
      <c r="BY69" s="52" t="str">
        <f>_xlfn.IFNA(VLOOKUP(BX69&amp;H69,AP!IP:IQ,2,FALSE),"")</f>
        <v/>
      </c>
      <c r="BZ69" s="53" t="str">
        <f t="shared" si="28"/>
        <v/>
      </c>
      <c r="CA69" s="53"/>
      <c r="CD69" s="52" t="str">
        <f>_xlfn.IFNA((VLOOKUP(BX69&amp;H69,AP!IP:IS,4,FALSE)),"")</f>
        <v/>
      </c>
    </row>
    <row r="70" spans="10:82" ht="26.25" customHeight="1" x14ac:dyDescent="0.25">
      <c r="J70" s="52" t="str">
        <f t="shared" si="24"/>
        <v/>
      </c>
      <c r="K70" s="52" t="str">
        <f>IF(O70="","",VLOOKUP(U70,Data!O:AC,15,FALSE)/G70)</f>
        <v/>
      </c>
      <c r="X70" s="52" t="str">
        <f t="shared" si="25"/>
        <v/>
      </c>
      <c r="Z70" s="52">
        <f t="shared" si="26"/>
        <v>0</v>
      </c>
      <c r="AG70" s="52" t="str">
        <f>_xlfn.IFNA(VLOOKUP(U70,'Incoming Material Report'!A:M,13,FALSE),"")</f>
        <v/>
      </c>
      <c r="AH70" s="52" t="str">
        <f>_xlfn.IFNA(IF(VLOOKUP(U70,'Incoming Material Report'!A:N,14,FALSE)="","",VLOOKUP(U70,'Incoming Material Report'!A:N,14,FALSE)),"")</f>
        <v/>
      </c>
      <c r="AI70" s="52" t="str">
        <f>_xlfn.IFNA(VLOOKUP(U70,'Incoming Material Report'!A:Z,24,FALSE),"")</f>
        <v/>
      </c>
      <c r="AJ70" s="52" t="str">
        <f>_xlfn.IFNA(VLOOKUP(U70,'Incoming Material Report'!A:Z,25,FALSE),"")</f>
        <v/>
      </c>
      <c r="AK70" s="52" t="str">
        <f>_xlfn.IFNA(VLOOKUP(U70,'Incoming Material Report'!A:Z,26,FALSE),"")</f>
        <v/>
      </c>
      <c r="AL70" s="52" t="str">
        <f>_xlfn.IFNA(VLOOKUP(U70,'Incoming Material Report'!A:Z,2,FALSE),"")</f>
        <v/>
      </c>
      <c r="AM70" s="52" t="str">
        <f>_xlfn.IFNA(VLOOKUP(U70,'Incoming Material Report'!A:K,11,FALSE)/1000,"")</f>
        <v/>
      </c>
      <c r="AO70" s="52" t="str">
        <f>_xlfn.IFNA(VLOOKUP(U70,'Incoming Material Report'!A:R,18,FALSE)*1000,"")</f>
        <v/>
      </c>
      <c r="AQ70" s="52" t="str">
        <f>_xlfn.IFNA(TEXT(VLOOKUP(U70,'Incoming Material Report'!A:D,4,FALSE),"dd.mm.yy"),"")</f>
        <v/>
      </c>
      <c r="AR70" s="52" t="str">
        <f>_xlfn.IFNA(VLOOKUP(U70,'Incoming Material Report'!A:Z,5,FALSE),"")</f>
        <v/>
      </c>
      <c r="AT70" s="52" t="str">
        <f>IF(OR(_xlfn.IFNA(VLOOKUP(U70,'Incoming Material Report'!A:Z,6,FALSE),"")="NSC",_xlfn.IFNA(VLOOKUP(U70,'Incoming Material Report'!A:Z,6,FALSE),"")="NSSMC"),"NSC","")</f>
        <v/>
      </c>
      <c r="AU70" s="52" t="str">
        <f>_xlfn.IFNA(VLOOKUP(U70,'Incoming Material Report'!A:Z,8,FALSE),"")</f>
        <v/>
      </c>
      <c r="AZ70" s="52" t="str">
        <f>_xlfn.IFNA(VLOOKUP(U70,'GRPO Wiz'!AP:BT,17,FALSE),"")</f>
        <v/>
      </c>
      <c r="BA70" s="52" t="str">
        <f>_xlfn.IFNA(VLOOKUP(U70,'GRPO Wiz'!AP:BT,18,FALSE),"")</f>
        <v/>
      </c>
      <c r="BB70" s="52" t="str">
        <f>_xlfn.IFNA(VLOOKUP(U70,'GRPO Wiz'!AP:BT,19,FALSE),"")</f>
        <v/>
      </c>
      <c r="BC70" s="52" t="str">
        <f>_xlfn.IFNA(VLOOKUP(U70,'GRPO Wiz'!AP:BT,20,FALSE),"")</f>
        <v/>
      </c>
      <c r="BD70" s="52" t="str">
        <f>_xlfn.IFNA(VLOOKUP(U70,'GRPO Wiz'!AP:BT,21,FALSE),"")</f>
        <v/>
      </c>
      <c r="BE70" s="52" t="str">
        <f>_xlfn.IFNA(LEFT((VLOOKUP(U70,'GRPO Wiz'!AP:BT,22,FALSE)),8),"")</f>
        <v/>
      </c>
      <c r="BF70" s="52" t="str">
        <f>_xlfn.IFNA(VLOOKUP(U70,'GRPO Wiz'!AP:BT,26,FALSE),"")</f>
        <v/>
      </c>
      <c r="BG70" s="63" t="str">
        <f>_xlfn.IFNA(VLOOKUP(U70,'GRPO Wiz'!AP:BQ,28,FALSE),"")</f>
        <v/>
      </c>
      <c r="BH70" s="52" t="str">
        <f>_xlfn.IFNA(VLOOKUP(U70,'GRPO Wiz'!AP:BN,25,FALSE),"")</f>
        <v/>
      </c>
      <c r="BI70" s="52" t="str">
        <f>_xlfn.IFNA(VLOOKUP(U70,'GRPO Wiz'!AP:BT,31,FALSE),"")</f>
        <v/>
      </c>
      <c r="BJ70" s="52" t="str">
        <f>_xlfn.IFNA(VLOOKUP(U70,'GRPO Wiz'!AP:BZ,32,FALSE),"")</f>
        <v/>
      </c>
      <c r="BK70" s="52" t="str">
        <f>_xlfn.IFNA(VLOOKUP(U70,'GRPO Wiz'!AP:BZ,27,FALSE),"")</f>
        <v/>
      </c>
      <c r="BL70" s="52" t="str">
        <f>_xlfn.IFNA(VALUE(VLOOKUP(U70,'GRPO Wiz'!AP:BZ,29,FALSE)),"")</f>
        <v/>
      </c>
      <c r="BM70" s="52" t="str">
        <f>IF(OR(_xlfn.IFNA(VLOOKUP(U70,'GRPO Wiz'!AP:BZ,33,FALSE),"")="NSC",_xlfn.IFNA(VLOOKUP(U70,'GRPO Wiz'!AP:BZ,33,FALSE),"")="NSSMC"),"NSC","")</f>
        <v/>
      </c>
      <c r="BX70" s="52" t="str">
        <f t="shared" si="27"/>
        <v/>
      </c>
      <c r="BY70" s="52" t="str">
        <f>_xlfn.IFNA(VLOOKUP(BX70&amp;H70,AP!IP:IQ,2,FALSE),"")</f>
        <v/>
      </c>
      <c r="BZ70" s="53" t="str">
        <f t="shared" si="28"/>
        <v/>
      </c>
      <c r="CA70" s="53"/>
      <c r="CD70" s="52" t="str">
        <f>_xlfn.IFNA((VLOOKUP(BX70&amp;H70,AP!IP:IS,4,FALSE)),"")</f>
        <v/>
      </c>
    </row>
    <row r="71" spans="10:82" ht="26.25" customHeight="1" x14ac:dyDescent="0.25">
      <c r="J71" s="52" t="str">
        <f t="shared" si="24"/>
        <v/>
      </c>
      <c r="K71" s="52" t="str">
        <f>IF(O71="","",VLOOKUP(U71,Data!O:AC,15,FALSE)/G71)</f>
        <v/>
      </c>
      <c r="X71" s="52" t="str">
        <f t="shared" si="25"/>
        <v/>
      </c>
      <c r="Z71" s="52">
        <f t="shared" si="26"/>
        <v>0</v>
      </c>
      <c r="AG71" s="52" t="str">
        <f>_xlfn.IFNA(VLOOKUP(U71,'Incoming Material Report'!A:M,13,FALSE),"")</f>
        <v/>
      </c>
      <c r="AH71" s="52" t="str">
        <f>_xlfn.IFNA(IF(VLOOKUP(U71,'Incoming Material Report'!A:N,14,FALSE)="","",VLOOKUP(U71,'Incoming Material Report'!A:N,14,FALSE)),"")</f>
        <v/>
      </c>
      <c r="AI71" s="52" t="str">
        <f>_xlfn.IFNA(VLOOKUP(U71,'Incoming Material Report'!A:Z,24,FALSE),"")</f>
        <v/>
      </c>
      <c r="AJ71" s="52" t="str">
        <f>_xlfn.IFNA(VLOOKUP(U71,'Incoming Material Report'!A:Z,25,FALSE),"")</f>
        <v/>
      </c>
      <c r="AK71" s="52" t="str">
        <f>_xlfn.IFNA(VLOOKUP(U71,'Incoming Material Report'!A:Z,26,FALSE),"")</f>
        <v/>
      </c>
      <c r="AL71" s="52" t="str">
        <f>_xlfn.IFNA(VLOOKUP(U71,'Incoming Material Report'!A:Z,2,FALSE),"")</f>
        <v/>
      </c>
      <c r="AM71" s="52" t="str">
        <f>_xlfn.IFNA(VLOOKUP(U71,'Incoming Material Report'!A:K,11,FALSE)/1000,"")</f>
        <v/>
      </c>
      <c r="AO71" s="52" t="str">
        <f>_xlfn.IFNA(VLOOKUP(U71,'Incoming Material Report'!A:R,18,FALSE)*1000,"")</f>
        <v/>
      </c>
      <c r="AQ71" s="52" t="str">
        <f>_xlfn.IFNA(TEXT(VLOOKUP(U71,'Incoming Material Report'!A:D,4,FALSE),"dd.mm.yy"),"")</f>
        <v/>
      </c>
      <c r="AR71" s="52" t="str">
        <f>_xlfn.IFNA(VLOOKUP(U71,'Incoming Material Report'!A:Z,5,FALSE),"")</f>
        <v/>
      </c>
      <c r="AT71" s="52" t="str">
        <f>IF(OR(_xlfn.IFNA(VLOOKUP(U71,'Incoming Material Report'!A:Z,6,FALSE),"")="NSC",_xlfn.IFNA(VLOOKUP(U71,'Incoming Material Report'!A:Z,6,FALSE),"")="NSSMC"),"NSC","")</f>
        <v/>
      </c>
      <c r="AU71" s="52" t="str">
        <f>_xlfn.IFNA(VLOOKUP(U71,'Incoming Material Report'!A:Z,8,FALSE),"")</f>
        <v/>
      </c>
      <c r="AZ71" s="52" t="str">
        <f>_xlfn.IFNA(VLOOKUP(U71,'GRPO Wiz'!AP:BT,17,FALSE),"")</f>
        <v/>
      </c>
      <c r="BA71" s="52" t="str">
        <f>_xlfn.IFNA(VLOOKUP(U71,'GRPO Wiz'!AP:BT,18,FALSE),"")</f>
        <v/>
      </c>
      <c r="BB71" s="52" t="str">
        <f>_xlfn.IFNA(VLOOKUP(U71,'GRPO Wiz'!AP:BT,19,FALSE),"")</f>
        <v/>
      </c>
      <c r="BC71" s="52" t="str">
        <f>_xlfn.IFNA(VLOOKUP(U71,'GRPO Wiz'!AP:BT,20,FALSE),"")</f>
        <v/>
      </c>
      <c r="BD71" s="52" t="str">
        <f>_xlfn.IFNA(VLOOKUP(U71,'GRPO Wiz'!AP:BT,21,FALSE),"")</f>
        <v/>
      </c>
      <c r="BE71" s="52" t="str">
        <f>_xlfn.IFNA(LEFT((VLOOKUP(U71,'GRPO Wiz'!AP:BT,22,FALSE)),8),"")</f>
        <v/>
      </c>
      <c r="BF71" s="52" t="str">
        <f>_xlfn.IFNA(VLOOKUP(U71,'GRPO Wiz'!AP:BT,26,FALSE),"")</f>
        <v/>
      </c>
      <c r="BG71" s="63" t="str">
        <f>_xlfn.IFNA(VLOOKUP(U71,'GRPO Wiz'!AP:BQ,28,FALSE),"")</f>
        <v/>
      </c>
      <c r="BH71" s="52" t="str">
        <f>_xlfn.IFNA(VLOOKUP(U71,'GRPO Wiz'!AP:BN,25,FALSE),"")</f>
        <v/>
      </c>
      <c r="BI71" s="52" t="str">
        <f>_xlfn.IFNA(VLOOKUP(U71,'GRPO Wiz'!AP:BT,31,FALSE),"")</f>
        <v/>
      </c>
      <c r="BJ71" s="52" t="str">
        <f>_xlfn.IFNA(VLOOKUP(U71,'GRPO Wiz'!AP:BZ,32,FALSE),"")</f>
        <v/>
      </c>
      <c r="BK71" s="52" t="str">
        <f>_xlfn.IFNA(VLOOKUP(U71,'GRPO Wiz'!AP:BZ,27,FALSE),"")</f>
        <v/>
      </c>
      <c r="BL71" s="52" t="str">
        <f>_xlfn.IFNA(VALUE(VLOOKUP(U71,'GRPO Wiz'!AP:BZ,29,FALSE)),"")</f>
        <v/>
      </c>
      <c r="BM71" s="52" t="str">
        <f>IF(OR(_xlfn.IFNA(VLOOKUP(U71,'GRPO Wiz'!AP:BZ,33,FALSE),"")="NSC",_xlfn.IFNA(VLOOKUP(U71,'GRPO Wiz'!AP:BZ,33,FALSE),"")="NSSMC"),"NSC","")</f>
        <v/>
      </c>
      <c r="BX71" s="52" t="str">
        <f t="shared" si="27"/>
        <v/>
      </c>
      <c r="BY71" s="52" t="str">
        <f>_xlfn.IFNA(VLOOKUP(BX71&amp;H71,AP!IP:IQ,2,FALSE),"")</f>
        <v/>
      </c>
      <c r="BZ71" s="53" t="str">
        <f t="shared" si="28"/>
        <v/>
      </c>
      <c r="CA71" s="53"/>
      <c r="CD71" s="52" t="str">
        <f>_xlfn.IFNA((VLOOKUP(BX71&amp;H71,AP!IP:IS,4,FALSE)),"")</f>
        <v/>
      </c>
    </row>
    <row r="72" spans="10:82" ht="26.25" customHeight="1" x14ac:dyDescent="0.25">
      <c r="J72" s="52" t="str">
        <f t="shared" si="24"/>
        <v/>
      </c>
      <c r="K72" s="52" t="str">
        <f>IF(O72="","",VLOOKUP(U72,Data!O:AC,15,FALSE)/G72)</f>
        <v/>
      </c>
      <c r="X72" s="52" t="str">
        <f t="shared" si="25"/>
        <v/>
      </c>
      <c r="Z72" s="52">
        <f t="shared" si="26"/>
        <v>0</v>
      </c>
      <c r="AG72" s="52" t="str">
        <f>_xlfn.IFNA(VLOOKUP(U72,'Incoming Material Report'!A:M,13,FALSE),"")</f>
        <v/>
      </c>
      <c r="AH72" s="52" t="str">
        <f>_xlfn.IFNA(IF(VLOOKUP(U72,'Incoming Material Report'!A:N,14,FALSE)="","",VLOOKUP(U72,'Incoming Material Report'!A:N,14,FALSE)),"")</f>
        <v/>
      </c>
      <c r="AI72" s="52" t="str">
        <f>_xlfn.IFNA(VLOOKUP(U72,'Incoming Material Report'!A:Z,24,FALSE),"")</f>
        <v/>
      </c>
      <c r="AJ72" s="52" t="str">
        <f>_xlfn.IFNA(VLOOKUP(U72,'Incoming Material Report'!A:Z,25,FALSE),"")</f>
        <v/>
      </c>
      <c r="AK72" s="52" t="str">
        <f>_xlfn.IFNA(VLOOKUP(U72,'Incoming Material Report'!A:Z,26,FALSE),"")</f>
        <v/>
      </c>
      <c r="AL72" s="52" t="str">
        <f>_xlfn.IFNA(VLOOKUP(U72,'Incoming Material Report'!A:Z,2,FALSE),"")</f>
        <v/>
      </c>
      <c r="AM72" s="52" t="str">
        <f>_xlfn.IFNA(VLOOKUP(U72,'Incoming Material Report'!A:K,11,FALSE)/1000,"")</f>
        <v/>
      </c>
      <c r="AO72" s="52" t="str">
        <f>_xlfn.IFNA(VLOOKUP(U72,'Incoming Material Report'!A:R,18,FALSE)*1000,"")</f>
        <v/>
      </c>
      <c r="AQ72" s="52" t="str">
        <f>_xlfn.IFNA(TEXT(VLOOKUP(U72,'Incoming Material Report'!A:D,4,FALSE),"dd.mm.yy"),"")</f>
        <v/>
      </c>
      <c r="AR72" s="52" t="str">
        <f>_xlfn.IFNA(VLOOKUP(U72,'Incoming Material Report'!A:Z,5,FALSE),"")</f>
        <v/>
      </c>
      <c r="AT72" s="52" t="str">
        <f>IF(OR(_xlfn.IFNA(VLOOKUP(U72,'Incoming Material Report'!A:Z,6,FALSE),"")="NSC",_xlfn.IFNA(VLOOKUP(U72,'Incoming Material Report'!A:Z,6,FALSE),"")="NSSMC"),"NSC","")</f>
        <v/>
      </c>
      <c r="AU72" s="52" t="str">
        <f>_xlfn.IFNA(VLOOKUP(U72,'Incoming Material Report'!A:Z,8,FALSE),"")</f>
        <v/>
      </c>
      <c r="AZ72" s="52" t="str">
        <f>_xlfn.IFNA(VLOOKUP(U72,'GRPO Wiz'!AP:BT,17,FALSE),"")</f>
        <v/>
      </c>
      <c r="BA72" s="52" t="str">
        <f>_xlfn.IFNA(VLOOKUP(U72,'GRPO Wiz'!AP:BT,18,FALSE),"")</f>
        <v/>
      </c>
      <c r="BB72" s="52" t="str">
        <f>_xlfn.IFNA(VLOOKUP(U72,'GRPO Wiz'!AP:BT,19,FALSE),"")</f>
        <v/>
      </c>
      <c r="BC72" s="52" t="str">
        <f>_xlfn.IFNA(VLOOKUP(U72,'GRPO Wiz'!AP:BT,20,FALSE),"")</f>
        <v/>
      </c>
      <c r="BD72" s="52" t="str">
        <f>_xlfn.IFNA(VLOOKUP(U72,'GRPO Wiz'!AP:BT,21,FALSE),"")</f>
        <v/>
      </c>
      <c r="BE72" s="52" t="str">
        <f>_xlfn.IFNA(LEFT((VLOOKUP(U72,'GRPO Wiz'!AP:BT,22,FALSE)),8),"")</f>
        <v/>
      </c>
      <c r="BF72" s="52" t="str">
        <f>_xlfn.IFNA(VLOOKUP(U72,'GRPO Wiz'!AP:BT,26,FALSE),"")</f>
        <v/>
      </c>
      <c r="BG72" s="63" t="str">
        <f>_xlfn.IFNA(VLOOKUP(U72,'GRPO Wiz'!AP:BQ,28,FALSE),"")</f>
        <v/>
      </c>
      <c r="BH72" s="52" t="str">
        <f>_xlfn.IFNA(VLOOKUP(U72,'GRPO Wiz'!AP:BN,25,FALSE),"")</f>
        <v/>
      </c>
      <c r="BI72" s="52" t="str">
        <f>_xlfn.IFNA(VLOOKUP(U72,'GRPO Wiz'!AP:BT,31,FALSE),"")</f>
        <v/>
      </c>
      <c r="BJ72" s="52" t="str">
        <f>_xlfn.IFNA(VLOOKUP(U72,'GRPO Wiz'!AP:BZ,32,FALSE),"")</f>
        <v/>
      </c>
      <c r="BK72" s="52" t="str">
        <f>_xlfn.IFNA(VLOOKUP(U72,'GRPO Wiz'!AP:BZ,27,FALSE),"")</f>
        <v/>
      </c>
      <c r="BL72" s="52" t="str">
        <f>_xlfn.IFNA(VALUE(VLOOKUP(U72,'GRPO Wiz'!AP:BZ,29,FALSE)),"")</f>
        <v/>
      </c>
      <c r="BM72" s="52" t="str">
        <f>IF(OR(_xlfn.IFNA(VLOOKUP(U72,'GRPO Wiz'!AP:BZ,33,FALSE),"")="NSC",_xlfn.IFNA(VLOOKUP(U72,'GRPO Wiz'!AP:BZ,33,FALSE),"")="NSSMC"),"NSC","")</f>
        <v/>
      </c>
      <c r="BX72" s="52" t="str">
        <f t="shared" si="27"/>
        <v/>
      </c>
      <c r="BY72" s="52" t="str">
        <f>_xlfn.IFNA(VLOOKUP(BX72&amp;H72,AP!IP:IQ,2,FALSE),"")</f>
        <v/>
      </c>
      <c r="BZ72" s="53" t="str">
        <f t="shared" si="28"/>
        <v/>
      </c>
      <c r="CA72" s="53"/>
      <c r="CD72" s="52" t="str">
        <f>_xlfn.IFNA((VLOOKUP(BX72&amp;H72,AP!IP:IS,4,FALSE)),"")</f>
        <v/>
      </c>
    </row>
    <row r="73" spans="10:82" ht="26.25" customHeight="1" x14ac:dyDescent="0.25">
      <c r="J73" s="52" t="str">
        <f t="shared" si="24"/>
        <v/>
      </c>
      <c r="K73" s="52" t="str">
        <f>IF(O73="","",VLOOKUP(U73,Data!O:AC,15,FALSE)/G73)</f>
        <v/>
      </c>
      <c r="X73" s="52" t="str">
        <f t="shared" si="25"/>
        <v/>
      </c>
      <c r="Z73" s="52">
        <f t="shared" si="26"/>
        <v>0</v>
      </c>
      <c r="AG73" s="52" t="str">
        <f>_xlfn.IFNA(VLOOKUP(U73,'Incoming Material Report'!A:M,13,FALSE),"")</f>
        <v/>
      </c>
      <c r="AH73" s="52" t="str">
        <f>_xlfn.IFNA(IF(VLOOKUP(U73,'Incoming Material Report'!A:N,14,FALSE)="","",VLOOKUP(U73,'Incoming Material Report'!A:N,14,FALSE)),"")</f>
        <v/>
      </c>
      <c r="AI73" s="52" t="str">
        <f>_xlfn.IFNA(VLOOKUP(U73,'Incoming Material Report'!A:Z,24,FALSE),"")</f>
        <v/>
      </c>
      <c r="AJ73" s="52" t="str">
        <f>_xlfn.IFNA(VLOOKUP(U73,'Incoming Material Report'!A:Z,25,FALSE),"")</f>
        <v/>
      </c>
      <c r="AK73" s="52" t="str">
        <f>_xlfn.IFNA(VLOOKUP(U73,'Incoming Material Report'!A:Z,26,FALSE),"")</f>
        <v/>
      </c>
      <c r="AL73" s="52" t="str">
        <f>_xlfn.IFNA(VLOOKUP(U73,'Incoming Material Report'!A:Z,2,FALSE),"")</f>
        <v/>
      </c>
      <c r="AM73" s="52" t="str">
        <f>_xlfn.IFNA(VLOOKUP(U73,'Incoming Material Report'!A:K,11,FALSE)/1000,"")</f>
        <v/>
      </c>
      <c r="AO73" s="52" t="str">
        <f>_xlfn.IFNA(VLOOKUP(U73,'Incoming Material Report'!A:R,18,FALSE)*1000,"")</f>
        <v/>
      </c>
      <c r="AQ73" s="52" t="str">
        <f>_xlfn.IFNA(TEXT(VLOOKUP(U73,'Incoming Material Report'!A:D,4,FALSE),"dd.mm.yy"),"")</f>
        <v/>
      </c>
      <c r="AR73" s="52" t="str">
        <f>_xlfn.IFNA(VLOOKUP(U73,'Incoming Material Report'!A:Z,5,FALSE),"")</f>
        <v/>
      </c>
      <c r="AT73" s="52" t="str">
        <f>IF(OR(_xlfn.IFNA(VLOOKUP(U73,'Incoming Material Report'!A:Z,6,FALSE),"")="NSC",_xlfn.IFNA(VLOOKUP(U73,'Incoming Material Report'!A:Z,6,FALSE),"")="NSSMC"),"NSC","")</f>
        <v/>
      </c>
      <c r="AU73" s="52" t="str">
        <f>_xlfn.IFNA(VLOOKUP(U73,'Incoming Material Report'!A:Z,8,FALSE),"")</f>
        <v/>
      </c>
      <c r="AZ73" s="52" t="str">
        <f>_xlfn.IFNA(VLOOKUP(U73,'GRPO Wiz'!AP:BT,17,FALSE),"")</f>
        <v/>
      </c>
      <c r="BA73" s="52" t="str">
        <f>_xlfn.IFNA(VLOOKUP(U73,'GRPO Wiz'!AP:BT,18,FALSE),"")</f>
        <v/>
      </c>
      <c r="BB73" s="52" t="str">
        <f>_xlfn.IFNA(VLOOKUP(U73,'GRPO Wiz'!AP:BT,19,FALSE),"")</f>
        <v/>
      </c>
      <c r="BC73" s="52" t="str">
        <f>_xlfn.IFNA(VLOOKUP(U73,'GRPO Wiz'!AP:BT,20,FALSE),"")</f>
        <v/>
      </c>
      <c r="BD73" s="52" t="str">
        <f>_xlfn.IFNA(VLOOKUP(U73,'GRPO Wiz'!AP:BT,21,FALSE),"")</f>
        <v/>
      </c>
      <c r="BE73" s="52" t="str">
        <f>_xlfn.IFNA(LEFT((VLOOKUP(U73,'GRPO Wiz'!AP:BT,22,FALSE)),8),"")</f>
        <v/>
      </c>
      <c r="BF73" s="52" t="str">
        <f>_xlfn.IFNA(VLOOKUP(U73,'GRPO Wiz'!AP:BT,26,FALSE),"")</f>
        <v/>
      </c>
      <c r="BG73" s="63" t="str">
        <f>_xlfn.IFNA(VLOOKUP(U73,'GRPO Wiz'!AP:BQ,28,FALSE),"")</f>
        <v/>
      </c>
      <c r="BH73" s="52" t="str">
        <f>_xlfn.IFNA(VLOOKUP(U73,'GRPO Wiz'!AP:BN,25,FALSE),"")</f>
        <v/>
      </c>
      <c r="BI73" s="52" t="str">
        <f>_xlfn.IFNA(VLOOKUP(U73,'GRPO Wiz'!AP:BT,31,FALSE),"")</f>
        <v/>
      </c>
      <c r="BJ73" s="52" t="str">
        <f>_xlfn.IFNA(VLOOKUP(U73,'GRPO Wiz'!AP:BZ,32,FALSE),"")</f>
        <v/>
      </c>
      <c r="BK73" s="52" t="str">
        <f>_xlfn.IFNA(VLOOKUP(U73,'GRPO Wiz'!AP:BZ,27,FALSE),"")</f>
        <v/>
      </c>
      <c r="BL73" s="52" t="str">
        <f>_xlfn.IFNA(VALUE(VLOOKUP(U73,'GRPO Wiz'!AP:BZ,29,FALSE)),"")</f>
        <v/>
      </c>
      <c r="BM73" s="52" t="str">
        <f>IF(OR(_xlfn.IFNA(VLOOKUP(U73,'GRPO Wiz'!AP:BZ,33,FALSE),"")="NSC",_xlfn.IFNA(VLOOKUP(U73,'GRPO Wiz'!AP:BZ,33,FALSE),"")="NSSMC"),"NSC","")</f>
        <v/>
      </c>
      <c r="BX73" s="52" t="str">
        <f t="shared" si="27"/>
        <v/>
      </c>
      <c r="BY73" s="52" t="str">
        <f>_xlfn.IFNA(VLOOKUP(BX73&amp;H73,AP!IP:IQ,2,FALSE),"")</f>
        <v/>
      </c>
      <c r="BZ73" s="53" t="str">
        <f t="shared" si="28"/>
        <v/>
      </c>
      <c r="CA73" s="53"/>
      <c r="CD73" s="52" t="str">
        <f>_xlfn.IFNA((VLOOKUP(BX73&amp;H73,AP!IP:IS,4,FALSE)),"")</f>
        <v/>
      </c>
    </row>
    <row r="74" spans="10:82" ht="26.25" customHeight="1" x14ac:dyDescent="0.25">
      <c r="J74" s="52" t="str">
        <f t="shared" si="24"/>
        <v/>
      </c>
      <c r="K74" s="52" t="str">
        <f>IF(O74="","",VLOOKUP(U74,Data!O:AC,15,FALSE)/G74)</f>
        <v/>
      </c>
      <c r="X74" s="52" t="str">
        <f t="shared" si="25"/>
        <v/>
      </c>
      <c r="Z74" s="52">
        <f t="shared" si="26"/>
        <v>0</v>
      </c>
      <c r="AG74" s="52" t="str">
        <f>_xlfn.IFNA(VLOOKUP(U74,'Incoming Material Report'!A:M,13,FALSE),"")</f>
        <v/>
      </c>
      <c r="AH74" s="52" t="str">
        <f>_xlfn.IFNA(IF(VLOOKUP(U74,'Incoming Material Report'!A:N,14,FALSE)="","",VLOOKUP(U74,'Incoming Material Report'!A:N,14,FALSE)),"")</f>
        <v/>
      </c>
      <c r="AI74" s="52" t="str">
        <f>_xlfn.IFNA(VLOOKUP(U74,'Incoming Material Report'!A:Z,24,FALSE),"")</f>
        <v/>
      </c>
      <c r="AJ74" s="52" t="str">
        <f>_xlfn.IFNA(VLOOKUP(U74,'Incoming Material Report'!A:Z,25,FALSE),"")</f>
        <v/>
      </c>
      <c r="AK74" s="52" t="str">
        <f>_xlfn.IFNA(VLOOKUP(U74,'Incoming Material Report'!A:Z,26,FALSE),"")</f>
        <v/>
      </c>
      <c r="AL74" s="52" t="str">
        <f>_xlfn.IFNA(VLOOKUP(U74,'Incoming Material Report'!A:Z,2,FALSE),"")</f>
        <v/>
      </c>
      <c r="AM74" s="52" t="str">
        <f>_xlfn.IFNA(VLOOKUP(U74,'Incoming Material Report'!A:K,11,FALSE)/1000,"")</f>
        <v/>
      </c>
      <c r="AO74" s="52" t="str">
        <f>_xlfn.IFNA(VLOOKUP(U74,'Incoming Material Report'!A:R,18,FALSE)*1000,"")</f>
        <v/>
      </c>
      <c r="AQ74" s="52" t="str">
        <f>_xlfn.IFNA(TEXT(VLOOKUP(U74,'Incoming Material Report'!A:D,4,FALSE),"dd.mm.yy"),"")</f>
        <v/>
      </c>
      <c r="AR74" s="52" t="str">
        <f>_xlfn.IFNA(VLOOKUP(U74,'Incoming Material Report'!A:Z,5,FALSE),"")</f>
        <v/>
      </c>
      <c r="AT74" s="52" t="str">
        <f>IF(OR(_xlfn.IFNA(VLOOKUP(U74,'Incoming Material Report'!A:Z,6,FALSE),"")="NSC",_xlfn.IFNA(VLOOKUP(U74,'Incoming Material Report'!A:Z,6,FALSE),"")="NSSMC"),"NSC","")</f>
        <v/>
      </c>
      <c r="AU74" s="52" t="str">
        <f>_xlfn.IFNA(VLOOKUP(U74,'Incoming Material Report'!A:Z,8,FALSE),"")</f>
        <v/>
      </c>
      <c r="AZ74" s="52" t="str">
        <f>_xlfn.IFNA(VLOOKUP(U74,'GRPO Wiz'!AP:BT,17,FALSE),"")</f>
        <v/>
      </c>
      <c r="BA74" s="52" t="str">
        <f>_xlfn.IFNA(VLOOKUP(U74,'GRPO Wiz'!AP:BT,18,FALSE),"")</f>
        <v/>
      </c>
      <c r="BB74" s="52" t="str">
        <f>_xlfn.IFNA(VLOOKUP(U74,'GRPO Wiz'!AP:BT,19,FALSE),"")</f>
        <v/>
      </c>
      <c r="BC74" s="52" t="str">
        <f>_xlfn.IFNA(VLOOKUP(U74,'GRPO Wiz'!AP:BT,20,FALSE),"")</f>
        <v/>
      </c>
      <c r="BD74" s="52" t="str">
        <f>_xlfn.IFNA(VLOOKUP(U74,'GRPO Wiz'!AP:BT,21,FALSE),"")</f>
        <v/>
      </c>
      <c r="BE74" s="52" t="str">
        <f>_xlfn.IFNA(LEFT((VLOOKUP(U74,'GRPO Wiz'!AP:BT,22,FALSE)),8),"")</f>
        <v/>
      </c>
      <c r="BF74" s="52" t="str">
        <f>_xlfn.IFNA(VLOOKUP(U74,'GRPO Wiz'!AP:BT,26,FALSE),"")</f>
        <v/>
      </c>
      <c r="BG74" s="63" t="str">
        <f>_xlfn.IFNA(VLOOKUP(U74,'GRPO Wiz'!AP:BQ,28,FALSE),"")</f>
        <v/>
      </c>
      <c r="BH74" s="52" t="str">
        <f>_xlfn.IFNA(VLOOKUP(U74,'GRPO Wiz'!AP:BN,25,FALSE),"")</f>
        <v/>
      </c>
      <c r="BI74" s="52" t="str">
        <f>_xlfn.IFNA(VLOOKUP(U74,'GRPO Wiz'!AP:BT,31,FALSE),"")</f>
        <v/>
      </c>
      <c r="BJ74" s="52" t="str">
        <f>_xlfn.IFNA(VLOOKUP(U74,'GRPO Wiz'!AP:BZ,32,FALSE),"")</f>
        <v/>
      </c>
      <c r="BK74" s="52" t="str">
        <f>_xlfn.IFNA(VLOOKUP(U74,'GRPO Wiz'!AP:BZ,27,FALSE),"")</f>
        <v/>
      </c>
      <c r="BL74" s="52" t="str">
        <f>_xlfn.IFNA(VALUE(VLOOKUP(U74,'GRPO Wiz'!AP:BZ,29,FALSE)),"")</f>
        <v/>
      </c>
      <c r="BM74" s="52" t="str">
        <f>IF(OR(_xlfn.IFNA(VLOOKUP(U74,'GRPO Wiz'!AP:BZ,33,FALSE),"")="NSC",_xlfn.IFNA(VLOOKUP(U74,'GRPO Wiz'!AP:BZ,33,FALSE),"")="NSSMC"),"NSC","")</f>
        <v/>
      </c>
      <c r="BX74" s="52" t="str">
        <f t="shared" si="27"/>
        <v/>
      </c>
      <c r="BY74" s="52" t="str">
        <f>_xlfn.IFNA(VLOOKUP(BX74&amp;H74,AP!IP:IQ,2,FALSE),"")</f>
        <v/>
      </c>
      <c r="BZ74" s="53" t="str">
        <f t="shared" si="28"/>
        <v/>
      </c>
      <c r="CA74" s="53"/>
      <c r="CD74" s="52" t="str">
        <f>_xlfn.IFNA((VLOOKUP(BX74&amp;H74,AP!IP:IS,4,FALSE)),"")</f>
        <v/>
      </c>
    </row>
    <row r="75" spans="10:82" ht="26.25" customHeight="1" x14ac:dyDescent="0.25">
      <c r="J75" s="52" t="str">
        <f t="shared" si="24"/>
        <v/>
      </c>
      <c r="K75" s="52" t="str">
        <f>IF(O75="","",VLOOKUP(U75,Data!O:AC,15,FALSE)/G75)</f>
        <v/>
      </c>
      <c r="X75" s="52" t="str">
        <f t="shared" si="25"/>
        <v/>
      </c>
      <c r="Z75" s="52">
        <f t="shared" si="26"/>
        <v>0</v>
      </c>
      <c r="AG75" s="52" t="str">
        <f>_xlfn.IFNA(VLOOKUP(U75,'Incoming Material Report'!A:M,13,FALSE),"")</f>
        <v/>
      </c>
      <c r="AH75" s="52" t="str">
        <f>_xlfn.IFNA(IF(VLOOKUP(U75,'Incoming Material Report'!A:N,14,FALSE)="","",VLOOKUP(U75,'Incoming Material Report'!A:N,14,FALSE)),"")</f>
        <v/>
      </c>
      <c r="AI75" s="52" t="str">
        <f>_xlfn.IFNA(VLOOKUP(U75,'Incoming Material Report'!A:Z,24,FALSE),"")</f>
        <v/>
      </c>
      <c r="AJ75" s="52" t="str">
        <f>_xlfn.IFNA(VLOOKUP(U75,'Incoming Material Report'!A:Z,25,FALSE),"")</f>
        <v/>
      </c>
      <c r="AK75" s="52" t="str">
        <f>_xlfn.IFNA(VLOOKUP(U75,'Incoming Material Report'!A:Z,26,FALSE),"")</f>
        <v/>
      </c>
      <c r="AL75" s="52" t="str">
        <f>_xlfn.IFNA(VLOOKUP(U75,'Incoming Material Report'!A:Z,2,FALSE),"")</f>
        <v/>
      </c>
      <c r="AM75" s="52" t="str">
        <f>_xlfn.IFNA(VLOOKUP(U75,'Incoming Material Report'!A:K,11,FALSE)/1000,"")</f>
        <v/>
      </c>
      <c r="AO75" s="52" t="str">
        <f>_xlfn.IFNA(VLOOKUP(U75,'Incoming Material Report'!A:R,18,FALSE)*1000,"")</f>
        <v/>
      </c>
      <c r="AQ75" s="52" t="str">
        <f>_xlfn.IFNA(TEXT(VLOOKUP(U75,'Incoming Material Report'!A:D,4,FALSE),"dd.mm.yy"),"")</f>
        <v/>
      </c>
      <c r="AR75" s="52" t="str">
        <f>_xlfn.IFNA(VLOOKUP(U75,'Incoming Material Report'!A:Z,5,FALSE),"")</f>
        <v/>
      </c>
      <c r="AT75" s="52" t="str">
        <f>IF(OR(_xlfn.IFNA(VLOOKUP(U75,'Incoming Material Report'!A:Z,6,FALSE),"")="NSC",_xlfn.IFNA(VLOOKUP(U75,'Incoming Material Report'!A:Z,6,FALSE),"")="NSSMC"),"NSC","")</f>
        <v/>
      </c>
      <c r="AU75" s="52" t="str">
        <f>_xlfn.IFNA(VLOOKUP(U75,'Incoming Material Report'!A:Z,8,FALSE),"")</f>
        <v/>
      </c>
      <c r="AZ75" s="52" t="str">
        <f>_xlfn.IFNA(VLOOKUP(U75,'GRPO Wiz'!AP:BT,17,FALSE),"")</f>
        <v/>
      </c>
      <c r="BA75" s="52" t="str">
        <f>_xlfn.IFNA(VLOOKUP(U75,'GRPO Wiz'!AP:BT,18,FALSE),"")</f>
        <v/>
      </c>
      <c r="BB75" s="52" t="str">
        <f>_xlfn.IFNA(VLOOKUP(U75,'GRPO Wiz'!AP:BT,19,FALSE),"")</f>
        <v/>
      </c>
      <c r="BC75" s="52" t="str">
        <f>_xlfn.IFNA(VLOOKUP(U75,'GRPO Wiz'!AP:BT,20,FALSE),"")</f>
        <v/>
      </c>
      <c r="BD75" s="52" t="str">
        <f>_xlfn.IFNA(VLOOKUP(U75,'GRPO Wiz'!AP:BT,21,FALSE),"")</f>
        <v/>
      </c>
      <c r="BE75" s="52" t="str">
        <f>_xlfn.IFNA(LEFT((VLOOKUP(U75,'GRPO Wiz'!AP:BT,22,FALSE)),8),"")</f>
        <v/>
      </c>
      <c r="BF75" s="52" t="str">
        <f>_xlfn.IFNA(VLOOKUP(U75,'GRPO Wiz'!AP:BT,26,FALSE),"")</f>
        <v/>
      </c>
      <c r="BG75" s="63" t="str">
        <f>_xlfn.IFNA(VLOOKUP(U75,'GRPO Wiz'!AP:BQ,28,FALSE),"")</f>
        <v/>
      </c>
      <c r="BH75" s="52" t="str">
        <f>_xlfn.IFNA(VLOOKUP(U75,'GRPO Wiz'!AP:BN,25,FALSE),"")</f>
        <v/>
      </c>
      <c r="BI75" s="52" t="str">
        <f>_xlfn.IFNA(VLOOKUP(U75,'GRPO Wiz'!AP:BT,31,FALSE),"")</f>
        <v/>
      </c>
      <c r="BJ75" s="52" t="str">
        <f>_xlfn.IFNA(VLOOKUP(U75,'GRPO Wiz'!AP:BZ,32,FALSE),"")</f>
        <v/>
      </c>
      <c r="BK75" s="52" t="str">
        <f>_xlfn.IFNA(VLOOKUP(U75,'GRPO Wiz'!AP:BZ,27,FALSE),"")</f>
        <v/>
      </c>
      <c r="BL75" s="52" t="str">
        <f>_xlfn.IFNA(VALUE(VLOOKUP(U75,'GRPO Wiz'!AP:BZ,29,FALSE)),"")</f>
        <v/>
      </c>
      <c r="BM75" s="52" t="str">
        <f>IF(OR(_xlfn.IFNA(VLOOKUP(U75,'GRPO Wiz'!AP:BZ,33,FALSE),"")="NSC",_xlfn.IFNA(VLOOKUP(U75,'GRPO Wiz'!AP:BZ,33,FALSE),"")="NSSMC"),"NSC","")</f>
        <v/>
      </c>
      <c r="BX75" s="52" t="str">
        <f t="shared" si="27"/>
        <v/>
      </c>
      <c r="BY75" s="52" t="str">
        <f>_xlfn.IFNA(VLOOKUP(BX75&amp;H75,AP!IP:IQ,2,FALSE),"")</f>
        <v/>
      </c>
      <c r="BZ75" s="53" t="str">
        <f t="shared" si="28"/>
        <v/>
      </c>
      <c r="CA75" s="53"/>
      <c r="CD75" s="52" t="str">
        <f>_xlfn.IFNA((VLOOKUP(BX75&amp;H75,AP!IP:IS,4,FALSE)),"")</f>
        <v/>
      </c>
    </row>
    <row r="76" spans="10:82" ht="26.25" customHeight="1" x14ac:dyDescent="0.25">
      <c r="J76" s="52" t="str">
        <f t="shared" si="24"/>
        <v/>
      </c>
      <c r="K76" s="52" t="str">
        <f>IF(O76="","",VLOOKUP(U76,Data!O:AC,15,FALSE)/G76)</f>
        <v/>
      </c>
      <c r="X76" s="52" t="str">
        <f t="shared" si="25"/>
        <v/>
      </c>
      <c r="Z76" s="52">
        <f t="shared" si="26"/>
        <v>0</v>
      </c>
      <c r="AG76" s="52" t="str">
        <f>_xlfn.IFNA(VLOOKUP(U76,'Incoming Material Report'!A:M,13,FALSE),"")</f>
        <v/>
      </c>
      <c r="AH76" s="52" t="str">
        <f>_xlfn.IFNA(IF(VLOOKUP(U76,'Incoming Material Report'!A:N,14,FALSE)="","",VLOOKUP(U76,'Incoming Material Report'!A:N,14,FALSE)),"")</f>
        <v/>
      </c>
      <c r="AI76" s="52" t="str">
        <f>_xlfn.IFNA(VLOOKUP(U76,'Incoming Material Report'!A:Z,24,FALSE),"")</f>
        <v/>
      </c>
      <c r="AJ76" s="52" t="str">
        <f>_xlfn.IFNA(VLOOKUP(U76,'Incoming Material Report'!A:Z,25,FALSE),"")</f>
        <v/>
      </c>
      <c r="AK76" s="52" t="str">
        <f>_xlfn.IFNA(VLOOKUP(U76,'Incoming Material Report'!A:Z,26,FALSE),"")</f>
        <v/>
      </c>
      <c r="AL76" s="52" t="str">
        <f>_xlfn.IFNA(VLOOKUP(U76,'Incoming Material Report'!A:Z,2,FALSE),"")</f>
        <v/>
      </c>
      <c r="AM76" s="52" t="str">
        <f>_xlfn.IFNA(VLOOKUP(U76,'Incoming Material Report'!A:K,11,FALSE)/1000,"")</f>
        <v/>
      </c>
      <c r="AO76" s="52" t="str">
        <f>_xlfn.IFNA(VLOOKUP(U76,'Incoming Material Report'!A:R,18,FALSE)*1000,"")</f>
        <v/>
      </c>
      <c r="AQ76" s="52" t="str">
        <f>_xlfn.IFNA(TEXT(VLOOKUP(U76,'Incoming Material Report'!A:D,4,FALSE),"dd.mm.yy"),"")</f>
        <v/>
      </c>
      <c r="AR76" s="52" t="str">
        <f>_xlfn.IFNA(VLOOKUP(U76,'Incoming Material Report'!A:Z,5,FALSE),"")</f>
        <v/>
      </c>
      <c r="AT76" s="52" t="str">
        <f>IF(OR(_xlfn.IFNA(VLOOKUP(U76,'Incoming Material Report'!A:Z,6,FALSE),"")="NSC",_xlfn.IFNA(VLOOKUP(U76,'Incoming Material Report'!A:Z,6,FALSE),"")="NSSMC"),"NSC","")</f>
        <v/>
      </c>
      <c r="AU76" s="52" t="str">
        <f>_xlfn.IFNA(VLOOKUP(U76,'Incoming Material Report'!A:Z,8,FALSE),"")</f>
        <v/>
      </c>
      <c r="AZ76" s="52" t="str">
        <f>_xlfn.IFNA(VLOOKUP(U76,'GRPO Wiz'!AP:BT,17,FALSE),"")</f>
        <v/>
      </c>
      <c r="BA76" s="52" t="str">
        <f>_xlfn.IFNA(VLOOKUP(U76,'GRPO Wiz'!AP:BT,18,FALSE),"")</f>
        <v/>
      </c>
      <c r="BB76" s="52" t="str">
        <f>_xlfn.IFNA(VLOOKUP(U76,'GRPO Wiz'!AP:BT,19,FALSE),"")</f>
        <v/>
      </c>
      <c r="BC76" s="52" t="str">
        <f>_xlfn.IFNA(VLOOKUP(U76,'GRPO Wiz'!AP:BT,20,FALSE),"")</f>
        <v/>
      </c>
      <c r="BD76" s="52" t="str">
        <f>_xlfn.IFNA(VLOOKUP(U76,'GRPO Wiz'!AP:BT,21,FALSE),"")</f>
        <v/>
      </c>
      <c r="BE76" s="52" t="str">
        <f>_xlfn.IFNA(LEFT((VLOOKUP(U76,'GRPO Wiz'!AP:BT,22,FALSE)),8),"")</f>
        <v/>
      </c>
      <c r="BF76" s="52" t="str">
        <f>_xlfn.IFNA(VLOOKUP(U76,'GRPO Wiz'!AP:BT,26,FALSE),"")</f>
        <v/>
      </c>
      <c r="BG76" s="63" t="str">
        <f>_xlfn.IFNA(VLOOKUP(U76,'GRPO Wiz'!AP:BQ,28,FALSE),"")</f>
        <v/>
      </c>
      <c r="BH76" s="52" t="str">
        <f>_xlfn.IFNA(VLOOKUP(U76,'GRPO Wiz'!AP:BN,25,FALSE),"")</f>
        <v/>
      </c>
      <c r="BI76" s="52" t="str">
        <f>_xlfn.IFNA(VLOOKUP(U76,'GRPO Wiz'!AP:BT,31,FALSE),"")</f>
        <v/>
      </c>
      <c r="BJ76" s="52" t="str">
        <f>_xlfn.IFNA(VLOOKUP(U76,'GRPO Wiz'!AP:BZ,32,FALSE),"")</f>
        <v/>
      </c>
      <c r="BK76" s="52" t="str">
        <f>_xlfn.IFNA(VLOOKUP(U76,'GRPO Wiz'!AP:BZ,27,FALSE),"")</f>
        <v/>
      </c>
      <c r="BL76" s="52" t="str">
        <f>_xlfn.IFNA(VALUE(VLOOKUP(U76,'GRPO Wiz'!AP:BZ,29,FALSE)),"")</f>
        <v/>
      </c>
      <c r="BM76" s="52" t="str">
        <f>IF(OR(_xlfn.IFNA(VLOOKUP(U76,'GRPO Wiz'!AP:BZ,33,FALSE),"")="NSC",_xlfn.IFNA(VLOOKUP(U76,'GRPO Wiz'!AP:BZ,33,FALSE),"")="NSSMC"),"NSC","")</f>
        <v/>
      </c>
      <c r="BX76" s="52" t="str">
        <f t="shared" si="27"/>
        <v/>
      </c>
      <c r="BY76" s="52" t="str">
        <f>_xlfn.IFNA(VLOOKUP(BX76&amp;H76,AP!IP:IQ,2,FALSE),"")</f>
        <v/>
      </c>
      <c r="BZ76" s="53" t="str">
        <f t="shared" si="28"/>
        <v/>
      </c>
      <c r="CA76" s="53"/>
      <c r="CD76" s="52" t="str">
        <f>_xlfn.IFNA((VLOOKUP(BX76&amp;H76,AP!IP:IS,4,FALSE)),"")</f>
        <v/>
      </c>
    </row>
    <row r="77" spans="10:82" ht="26.25" customHeight="1" x14ac:dyDescent="0.25">
      <c r="J77" s="52" t="str">
        <f t="shared" si="24"/>
        <v/>
      </c>
      <c r="K77" s="52" t="str">
        <f>IF(O77="","",VLOOKUP(U77,Data!O:AC,15,FALSE)/G77)</f>
        <v/>
      </c>
      <c r="X77" s="52" t="str">
        <f t="shared" si="25"/>
        <v/>
      </c>
      <c r="Z77" s="52">
        <f t="shared" si="26"/>
        <v>0</v>
      </c>
      <c r="AG77" s="52" t="str">
        <f>_xlfn.IFNA(VLOOKUP(U77,'Incoming Material Report'!A:M,13,FALSE),"")</f>
        <v/>
      </c>
      <c r="AH77" s="52" t="str">
        <f>_xlfn.IFNA(IF(VLOOKUP(U77,'Incoming Material Report'!A:N,14,FALSE)="","",VLOOKUP(U77,'Incoming Material Report'!A:N,14,FALSE)),"")</f>
        <v/>
      </c>
      <c r="AI77" s="52" t="str">
        <f>_xlfn.IFNA(VLOOKUP(U77,'Incoming Material Report'!A:Z,24,FALSE),"")</f>
        <v/>
      </c>
      <c r="AJ77" s="52" t="str">
        <f>_xlfn.IFNA(VLOOKUP(U77,'Incoming Material Report'!A:Z,25,FALSE),"")</f>
        <v/>
      </c>
      <c r="AK77" s="52" t="str">
        <f>_xlfn.IFNA(VLOOKUP(U77,'Incoming Material Report'!A:Z,26,FALSE),"")</f>
        <v/>
      </c>
      <c r="AL77" s="52" t="str">
        <f>_xlfn.IFNA(VLOOKUP(U77,'Incoming Material Report'!A:Z,2,FALSE),"")</f>
        <v/>
      </c>
      <c r="AM77" s="52" t="str">
        <f>_xlfn.IFNA(VLOOKUP(U77,'Incoming Material Report'!A:K,11,FALSE)/1000,"")</f>
        <v/>
      </c>
      <c r="AO77" s="52" t="str">
        <f>_xlfn.IFNA(VLOOKUP(U77,'Incoming Material Report'!A:R,18,FALSE)*1000,"")</f>
        <v/>
      </c>
      <c r="AQ77" s="52" t="str">
        <f>_xlfn.IFNA(TEXT(VLOOKUP(U77,'Incoming Material Report'!A:D,4,FALSE),"dd.mm.yy"),"")</f>
        <v/>
      </c>
      <c r="AR77" s="52" t="str">
        <f>_xlfn.IFNA(VLOOKUP(U77,'Incoming Material Report'!A:Z,5,FALSE),"")</f>
        <v/>
      </c>
      <c r="AT77" s="52" t="str">
        <f>IF(OR(_xlfn.IFNA(VLOOKUP(U77,'Incoming Material Report'!A:Z,6,FALSE),"")="NSC",_xlfn.IFNA(VLOOKUP(U77,'Incoming Material Report'!A:Z,6,FALSE),"")="NSSMC"),"NSC","")</f>
        <v/>
      </c>
      <c r="AU77" s="52" t="str">
        <f>_xlfn.IFNA(VLOOKUP(U77,'Incoming Material Report'!A:Z,8,FALSE),"")</f>
        <v/>
      </c>
      <c r="AZ77" s="52" t="str">
        <f>_xlfn.IFNA(VLOOKUP(U77,'GRPO Wiz'!AP:BT,17,FALSE),"")</f>
        <v/>
      </c>
      <c r="BA77" s="52" t="str">
        <f>_xlfn.IFNA(VLOOKUP(U77,'GRPO Wiz'!AP:BT,18,FALSE),"")</f>
        <v/>
      </c>
      <c r="BB77" s="52" t="str">
        <f>_xlfn.IFNA(VLOOKUP(U77,'GRPO Wiz'!AP:BT,19,FALSE),"")</f>
        <v/>
      </c>
      <c r="BC77" s="52" t="str">
        <f>_xlfn.IFNA(VLOOKUP(U77,'GRPO Wiz'!AP:BT,20,FALSE),"")</f>
        <v/>
      </c>
      <c r="BD77" s="52" t="str">
        <f>_xlfn.IFNA(VLOOKUP(U77,'GRPO Wiz'!AP:BT,21,FALSE),"")</f>
        <v/>
      </c>
      <c r="BE77" s="52" t="str">
        <f>_xlfn.IFNA(LEFT((VLOOKUP(U77,'GRPO Wiz'!AP:BT,22,FALSE)),8),"")</f>
        <v/>
      </c>
      <c r="BF77" s="52" t="str">
        <f>_xlfn.IFNA(VLOOKUP(U77,'GRPO Wiz'!AP:BT,26,FALSE),"")</f>
        <v/>
      </c>
      <c r="BG77" s="63" t="str">
        <f>_xlfn.IFNA(VLOOKUP(U77,'GRPO Wiz'!AP:BQ,28,FALSE),"")</f>
        <v/>
      </c>
      <c r="BH77" s="52" t="str">
        <f>_xlfn.IFNA(VLOOKUP(U77,'GRPO Wiz'!AP:BN,25,FALSE),"")</f>
        <v/>
      </c>
      <c r="BI77" s="52" t="str">
        <f>_xlfn.IFNA(VLOOKUP(U77,'GRPO Wiz'!AP:BT,31,FALSE),"")</f>
        <v/>
      </c>
      <c r="BJ77" s="52" t="str">
        <f>_xlfn.IFNA(VLOOKUP(U77,'GRPO Wiz'!AP:BZ,32,FALSE),"")</f>
        <v/>
      </c>
      <c r="BK77" s="52" t="str">
        <f>_xlfn.IFNA(VLOOKUP(U77,'GRPO Wiz'!AP:BZ,27,FALSE),"")</f>
        <v/>
      </c>
      <c r="BL77" s="52" t="str">
        <f>_xlfn.IFNA(VALUE(VLOOKUP(U77,'GRPO Wiz'!AP:BZ,29,FALSE)),"")</f>
        <v/>
      </c>
      <c r="BM77" s="52" t="str">
        <f>IF(OR(_xlfn.IFNA(VLOOKUP(U77,'GRPO Wiz'!AP:BZ,33,FALSE),"")="NSC",_xlfn.IFNA(VLOOKUP(U77,'GRPO Wiz'!AP:BZ,33,FALSE),"")="NSSMC"),"NSC","")</f>
        <v/>
      </c>
      <c r="BX77" s="52" t="str">
        <f t="shared" si="27"/>
        <v/>
      </c>
      <c r="BY77" s="52" t="str">
        <f>_xlfn.IFNA(VLOOKUP(BX77&amp;H77,AP!IP:IQ,2,FALSE),"")</f>
        <v/>
      </c>
      <c r="BZ77" s="53" t="str">
        <f t="shared" si="28"/>
        <v/>
      </c>
      <c r="CA77" s="53"/>
      <c r="CD77" s="52" t="str">
        <f>_xlfn.IFNA((VLOOKUP(BX77&amp;H77,AP!IP:IS,4,FALSE)),"")</f>
        <v/>
      </c>
    </row>
    <row r="78" spans="10:82" ht="26.25" customHeight="1" x14ac:dyDescent="0.25">
      <c r="J78" s="52" t="str">
        <f t="shared" si="24"/>
        <v/>
      </c>
      <c r="K78" s="52" t="str">
        <f>IF(O78="","",VLOOKUP(U78,Data!O:AC,15,FALSE)/G78)</f>
        <v/>
      </c>
      <c r="X78" s="52" t="str">
        <f t="shared" si="25"/>
        <v/>
      </c>
      <c r="Z78" s="52">
        <f t="shared" si="26"/>
        <v>0</v>
      </c>
      <c r="AG78" s="52" t="str">
        <f>_xlfn.IFNA(VLOOKUP(U78,'Incoming Material Report'!A:M,13,FALSE),"")</f>
        <v/>
      </c>
      <c r="AH78" s="52" t="str">
        <f>_xlfn.IFNA(IF(VLOOKUP(U78,'Incoming Material Report'!A:N,14,FALSE)="","",VLOOKUP(U78,'Incoming Material Report'!A:N,14,FALSE)),"")</f>
        <v/>
      </c>
      <c r="AI78" s="52" t="str">
        <f>_xlfn.IFNA(VLOOKUP(U78,'Incoming Material Report'!A:Z,24,FALSE),"")</f>
        <v/>
      </c>
      <c r="AJ78" s="52" t="str">
        <f>_xlfn.IFNA(VLOOKUP(U78,'Incoming Material Report'!A:Z,25,FALSE),"")</f>
        <v/>
      </c>
      <c r="AK78" s="52" t="str">
        <f>_xlfn.IFNA(VLOOKUP(U78,'Incoming Material Report'!A:Z,26,FALSE),"")</f>
        <v/>
      </c>
      <c r="AL78" s="52" t="str">
        <f>_xlfn.IFNA(VLOOKUP(U78,'Incoming Material Report'!A:Z,2,FALSE),"")</f>
        <v/>
      </c>
      <c r="AM78" s="52" t="str">
        <f>_xlfn.IFNA(VLOOKUP(U78,'Incoming Material Report'!A:K,11,FALSE)/1000,"")</f>
        <v/>
      </c>
      <c r="AO78" s="52" t="str">
        <f>_xlfn.IFNA(VLOOKUP(U78,'Incoming Material Report'!A:R,18,FALSE)*1000,"")</f>
        <v/>
      </c>
      <c r="AQ78" s="52" t="str">
        <f>_xlfn.IFNA(TEXT(VLOOKUP(U78,'Incoming Material Report'!A:D,4,FALSE),"dd.mm.yy"),"")</f>
        <v/>
      </c>
      <c r="AR78" s="52" t="str">
        <f>_xlfn.IFNA(VLOOKUP(U78,'Incoming Material Report'!A:Z,5,FALSE),"")</f>
        <v/>
      </c>
      <c r="AT78" s="52" t="str">
        <f>IF(OR(_xlfn.IFNA(VLOOKUP(U78,'Incoming Material Report'!A:Z,6,FALSE),"")="NSC",_xlfn.IFNA(VLOOKUP(U78,'Incoming Material Report'!A:Z,6,FALSE),"")="NSSMC"),"NSC","")</f>
        <v/>
      </c>
      <c r="AU78" s="52" t="str">
        <f>_xlfn.IFNA(VLOOKUP(U78,'Incoming Material Report'!A:Z,8,FALSE),"")</f>
        <v/>
      </c>
      <c r="AZ78" s="52" t="str">
        <f>_xlfn.IFNA(VLOOKUP(U78,'GRPO Wiz'!AP:BT,17,FALSE),"")</f>
        <v/>
      </c>
      <c r="BA78" s="52" t="str">
        <f>_xlfn.IFNA(VLOOKUP(U78,'GRPO Wiz'!AP:BT,18,FALSE),"")</f>
        <v/>
      </c>
      <c r="BB78" s="52" t="str">
        <f>_xlfn.IFNA(VLOOKUP(U78,'GRPO Wiz'!AP:BT,19,FALSE),"")</f>
        <v/>
      </c>
      <c r="BC78" s="52" t="str">
        <f>_xlfn.IFNA(VLOOKUP(U78,'GRPO Wiz'!AP:BT,20,FALSE),"")</f>
        <v/>
      </c>
      <c r="BD78" s="52" t="str">
        <f>_xlfn.IFNA(VLOOKUP(U78,'GRPO Wiz'!AP:BT,21,FALSE),"")</f>
        <v/>
      </c>
      <c r="BE78" s="52" t="str">
        <f>_xlfn.IFNA(LEFT((VLOOKUP(U78,'GRPO Wiz'!AP:BT,22,FALSE)),8),"")</f>
        <v/>
      </c>
      <c r="BF78" s="52" t="str">
        <f>_xlfn.IFNA(VLOOKUP(U78,'GRPO Wiz'!AP:BT,26,FALSE),"")</f>
        <v/>
      </c>
      <c r="BG78" s="63" t="str">
        <f>_xlfn.IFNA(VLOOKUP(U78,'GRPO Wiz'!AP:BQ,28,FALSE),"")</f>
        <v/>
      </c>
      <c r="BH78" s="52" t="str">
        <f>_xlfn.IFNA(VLOOKUP(U78,'GRPO Wiz'!AP:BN,25,FALSE),"")</f>
        <v/>
      </c>
      <c r="BI78" s="52" t="str">
        <f>_xlfn.IFNA(VLOOKUP(U78,'GRPO Wiz'!AP:BT,31,FALSE),"")</f>
        <v/>
      </c>
      <c r="BJ78" s="52" t="str">
        <f>_xlfn.IFNA(VLOOKUP(U78,'GRPO Wiz'!AP:BZ,32,FALSE),"")</f>
        <v/>
      </c>
      <c r="BK78" s="52" t="str">
        <f>_xlfn.IFNA(VLOOKUP(U78,'GRPO Wiz'!AP:BZ,27,FALSE),"")</f>
        <v/>
      </c>
      <c r="BL78" s="52" t="str">
        <f>_xlfn.IFNA(VALUE(VLOOKUP(U78,'GRPO Wiz'!AP:BZ,29,FALSE)),"")</f>
        <v/>
      </c>
      <c r="BM78" s="52" t="str">
        <f>IF(OR(_xlfn.IFNA(VLOOKUP(U78,'GRPO Wiz'!AP:BZ,33,FALSE),"")="NSC",_xlfn.IFNA(VLOOKUP(U78,'GRPO Wiz'!AP:BZ,33,FALSE),"")="NSSMC"),"NSC","")</f>
        <v/>
      </c>
      <c r="BX78" s="52" t="str">
        <f t="shared" si="27"/>
        <v/>
      </c>
      <c r="BY78" s="52" t="str">
        <f>_xlfn.IFNA(VLOOKUP(BX78&amp;H78,AP!IP:IQ,2,FALSE),"")</f>
        <v/>
      </c>
      <c r="BZ78" s="53" t="str">
        <f t="shared" si="28"/>
        <v/>
      </c>
      <c r="CA78" s="53"/>
      <c r="CD78" s="52" t="str">
        <f>_xlfn.IFNA((VLOOKUP(BX78&amp;H78,AP!IP:IS,4,FALSE)),"")</f>
        <v/>
      </c>
    </row>
    <row r="79" spans="10:82" ht="26.25" customHeight="1" x14ac:dyDescent="0.25">
      <c r="J79" s="52" t="str">
        <f t="shared" si="24"/>
        <v/>
      </c>
      <c r="K79" s="52" t="str">
        <f>IF(O79="","",VLOOKUP(U79,Data!O:AC,15,FALSE)/G79)</f>
        <v/>
      </c>
      <c r="X79" s="52" t="str">
        <f t="shared" si="25"/>
        <v/>
      </c>
      <c r="Z79" s="52">
        <f t="shared" si="26"/>
        <v>0</v>
      </c>
      <c r="AG79" s="52" t="str">
        <f>_xlfn.IFNA(VLOOKUP(U79,'Incoming Material Report'!A:M,13,FALSE),"")</f>
        <v/>
      </c>
      <c r="AH79" s="52" t="str">
        <f>_xlfn.IFNA(IF(VLOOKUP(U79,'Incoming Material Report'!A:N,14,FALSE)="","",VLOOKUP(U79,'Incoming Material Report'!A:N,14,FALSE)),"")</f>
        <v/>
      </c>
      <c r="AI79" s="52" t="str">
        <f>_xlfn.IFNA(VLOOKUP(U79,'Incoming Material Report'!A:Z,24,FALSE),"")</f>
        <v/>
      </c>
      <c r="AJ79" s="52" t="str">
        <f>_xlfn.IFNA(VLOOKUP(U79,'Incoming Material Report'!A:Z,25,FALSE),"")</f>
        <v/>
      </c>
      <c r="AK79" s="52" t="str">
        <f>_xlfn.IFNA(VLOOKUP(U79,'Incoming Material Report'!A:Z,26,FALSE),"")</f>
        <v/>
      </c>
      <c r="AL79" s="52" t="str">
        <f>_xlfn.IFNA(VLOOKUP(U79,'Incoming Material Report'!A:Z,2,FALSE),"")</f>
        <v/>
      </c>
      <c r="AM79" s="52" t="str">
        <f>_xlfn.IFNA(VLOOKUP(U79,'Incoming Material Report'!A:K,11,FALSE)/1000,"")</f>
        <v/>
      </c>
      <c r="AO79" s="52" t="str">
        <f>_xlfn.IFNA(VLOOKUP(U79,'Incoming Material Report'!A:R,18,FALSE)*1000,"")</f>
        <v/>
      </c>
      <c r="AQ79" s="52" t="str">
        <f>_xlfn.IFNA(TEXT(VLOOKUP(U79,'Incoming Material Report'!A:D,4,FALSE),"dd.mm.yy"),"")</f>
        <v/>
      </c>
      <c r="AR79" s="52" t="str">
        <f>_xlfn.IFNA(VLOOKUP(U79,'Incoming Material Report'!A:Z,5,FALSE),"")</f>
        <v/>
      </c>
      <c r="AT79" s="52" t="str">
        <f>IF(OR(_xlfn.IFNA(VLOOKUP(U79,'Incoming Material Report'!A:Z,6,FALSE),"")="NSC",_xlfn.IFNA(VLOOKUP(U79,'Incoming Material Report'!A:Z,6,FALSE),"")="NSSMC"),"NSC","")</f>
        <v/>
      </c>
      <c r="AU79" s="52" t="str">
        <f>_xlfn.IFNA(VLOOKUP(U79,'Incoming Material Report'!A:Z,8,FALSE),"")</f>
        <v/>
      </c>
      <c r="AZ79" s="52" t="str">
        <f>_xlfn.IFNA(VLOOKUP(U79,'GRPO Wiz'!AP:BT,17,FALSE),"")</f>
        <v/>
      </c>
      <c r="BA79" s="52" t="str">
        <f>_xlfn.IFNA(VLOOKUP(U79,'GRPO Wiz'!AP:BT,18,FALSE),"")</f>
        <v/>
      </c>
      <c r="BB79" s="52" t="str">
        <f>_xlfn.IFNA(VLOOKUP(U79,'GRPO Wiz'!AP:BT,19,FALSE),"")</f>
        <v/>
      </c>
      <c r="BC79" s="52" t="str">
        <f>_xlfn.IFNA(VLOOKUP(U79,'GRPO Wiz'!AP:BT,20,FALSE),"")</f>
        <v/>
      </c>
      <c r="BD79" s="52" t="str">
        <f>_xlfn.IFNA(VLOOKUP(U79,'GRPO Wiz'!AP:BT,21,FALSE),"")</f>
        <v/>
      </c>
      <c r="BE79" s="52" t="str">
        <f>_xlfn.IFNA(LEFT((VLOOKUP(U79,'GRPO Wiz'!AP:BT,22,FALSE)),8),"")</f>
        <v/>
      </c>
      <c r="BF79" s="52" t="str">
        <f>_xlfn.IFNA(VLOOKUP(U79,'GRPO Wiz'!AP:BT,26,FALSE),"")</f>
        <v/>
      </c>
      <c r="BG79" s="63" t="str">
        <f>_xlfn.IFNA(VLOOKUP(U79,'GRPO Wiz'!AP:BQ,28,FALSE),"")</f>
        <v/>
      </c>
      <c r="BH79" s="52" t="str">
        <f>_xlfn.IFNA(VLOOKUP(U79,'GRPO Wiz'!AP:BN,25,FALSE),"")</f>
        <v/>
      </c>
      <c r="BI79" s="52" t="str">
        <f>_xlfn.IFNA(VLOOKUP(U79,'GRPO Wiz'!AP:BT,31,FALSE),"")</f>
        <v/>
      </c>
      <c r="BJ79" s="52" t="str">
        <f>_xlfn.IFNA(VLOOKUP(U79,'GRPO Wiz'!AP:BZ,32,FALSE),"")</f>
        <v/>
      </c>
      <c r="BK79" s="52" t="str">
        <f>_xlfn.IFNA(VLOOKUP(U79,'GRPO Wiz'!AP:BZ,27,FALSE),"")</f>
        <v/>
      </c>
      <c r="BL79" s="52" t="str">
        <f>_xlfn.IFNA(VALUE(VLOOKUP(U79,'GRPO Wiz'!AP:BZ,29,FALSE)),"")</f>
        <v/>
      </c>
      <c r="BM79" s="52" t="str">
        <f>IF(OR(_xlfn.IFNA(VLOOKUP(U79,'GRPO Wiz'!AP:BZ,33,FALSE),"")="NSC",_xlfn.IFNA(VLOOKUP(U79,'GRPO Wiz'!AP:BZ,33,FALSE),"")="NSSMC"),"NSC","")</f>
        <v/>
      </c>
      <c r="BX79" s="52" t="str">
        <f t="shared" si="27"/>
        <v/>
      </c>
      <c r="BY79" s="52" t="str">
        <f>_xlfn.IFNA(VLOOKUP(BX79&amp;H79,AP!IP:IQ,2,FALSE),"")</f>
        <v/>
      </c>
      <c r="BZ79" s="53" t="str">
        <f t="shared" si="28"/>
        <v/>
      </c>
      <c r="CA79" s="53"/>
      <c r="CD79" s="52" t="str">
        <f>_xlfn.IFNA((VLOOKUP(BX79&amp;H79,AP!IP:IS,4,FALSE)),"")</f>
        <v/>
      </c>
    </row>
    <row r="80" spans="10:82" ht="26.25" customHeight="1" x14ac:dyDescent="0.25">
      <c r="J80" s="52" t="str">
        <f t="shared" si="24"/>
        <v/>
      </c>
      <c r="K80" s="52" t="str">
        <f>IF(O80="","",VLOOKUP(U80,Data!O:AC,15,FALSE)/G80)</f>
        <v/>
      </c>
      <c r="X80" s="52" t="str">
        <f t="shared" si="25"/>
        <v/>
      </c>
      <c r="Z80" s="52">
        <f t="shared" si="26"/>
        <v>0</v>
      </c>
      <c r="AG80" s="52" t="str">
        <f>_xlfn.IFNA(VLOOKUP(U80,'Incoming Material Report'!A:M,13,FALSE),"")</f>
        <v/>
      </c>
      <c r="AH80" s="52" t="str">
        <f>_xlfn.IFNA(IF(VLOOKUP(U80,'Incoming Material Report'!A:N,14,FALSE)="","",VLOOKUP(U80,'Incoming Material Report'!A:N,14,FALSE)),"")</f>
        <v/>
      </c>
      <c r="AI80" s="52" t="str">
        <f>_xlfn.IFNA(VLOOKUP(U80,'Incoming Material Report'!A:Z,24,FALSE),"")</f>
        <v/>
      </c>
      <c r="AJ80" s="52" t="str">
        <f>_xlfn.IFNA(VLOOKUP(U80,'Incoming Material Report'!A:Z,25,FALSE),"")</f>
        <v/>
      </c>
      <c r="AK80" s="52" t="str">
        <f>_xlfn.IFNA(VLOOKUP(U80,'Incoming Material Report'!A:Z,26,FALSE),"")</f>
        <v/>
      </c>
      <c r="AL80" s="52" t="str">
        <f>_xlfn.IFNA(VLOOKUP(U80,'Incoming Material Report'!A:Z,2,FALSE),"")</f>
        <v/>
      </c>
      <c r="AM80" s="52" t="str">
        <f>_xlfn.IFNA(VLOOKUP(U80,'Incoming Material Report'!A:K,11,FALSE)/1000,"")</f>
        <v/>
      </c>
      <c r="AO80" s="52" t="str">
        <f>_xlfn.IFNA(VLOOKUP(U80,'Incoming Material Report'!A:R,18,FALSE)*1000,"")</f>
        <v/>
      </c>
      <c r="AQ80" s="52" t="str">
        <f>_xlfn.IFNA(TEXT(VLOOKUP(U80,'Incoming Material Report'!A:D,4,FALSE),"dd.mm.yy"),"")</f>
        <v/>
      </c>
      <c r="AR80" s="52" t="str">
        <f>_xlfn.IFNA(VLOOKUP(U80,'Incoming Material Report'!A:Z,5,FALSE),"")</f>
        <v/>
      </c>
      <c r="AT80" s="52" t="str">
        <f>IF(OR(_xlfn.IFNA(VLOOKUP(U80,'Incoming Material Report'!A:Z,6,FALSE),"")="NSC",_xlfn.IFNA(VLOOKUP(U80,'Incoming Material Report'!A:Z,6,FALSE),"")="NSSMC"),"NSC","")</f>
        <v/>
      </c>
      <c r="AU80" s="52" t="str">
        <f>_xlfn.IFNA(VLOOKUP(U80,'Incoming Material Report'!A:Z,8,FALSE),"")</f>
        <v/>
      </c>
      <c r="AZ80" s="52" t="str">
        <f>_xlfn.IFNA(VLOOKUP(U80,'GRPO Wiz'!AP:BT,17,FALSE),"")</f>
        <v/>
      </c>
      <c r="BA80" s="52" t="str">
        <f>_xlfn.IFNA(VLOOKUP(U80,'GRPO Wiz'!AP:BT,18,FALSE),"")</f>
        <v/>
      </c>
      <c r="BB80" s="52" t="str">
        <f>_xlfn.IFNA(VLOOKUP(U80,'GRPO Wiz'!AP:BT,19,FALSE),"")</f>
        <v/>
      </c>
      <c r="BC80" s="52" t="str">
        <f>_xlfn.IFNA(VLOOKUP(U80,'GRPO Wiz'!AP:BT,20,FALSE),"")</f>
        <v/>
      </c>
      <c r="BD80" s="52" t="str">
        <f>_xlfn.IFNA(VLOOKUP(U80,'GRPO Wiz'!AP:BT,21,FALSE),"")</f>
        <v/>
      </c>
      <c r="BE80" s="52" t="str">
        <f>_xlfn.IFNA(LEFT((VLOOKUP(U80,'GRPO Wiz'!AP:BT,22,FALSE)),8),"")</f>
        <v/>
      </c>
      <c r="BF80" s="52" t="str">
        <f>_xlfn.IFNA(VLOOKUP(U80,'GRPO Wiz'!AP:BT,26,FALSE),"")</f>
        <v/>
      </c>
      <c r="BG80" s="63" t="str">
        <f>_xlfn.IFNA(VLOOKUP(U80,'GRPO Wiz'!AP:BQ,28,FALSE),"")</f>
        <v/>
      </c>
      <c r="BH80" s="52" t="str">
        <f>_xlfn.IFNA(VLOOKUP(U80,'GRPO Wiz'!AP:BN,25,FALSE),"")</f>
        <v/>
      </c>
      <c r="BI80" s="52" t="str">
        <f>_xlfn.IFNA(VLOOKUP(U80,'GRPO Wiz'!AP:BT,31,FALSE),"")</f>
        <v/>
      </c>
      <c r="BJ80" s="52" t="str">
        <f>_xlfn.IFNA(VLOOKUP(U80,'GRPO Wiz'!AP:BZ,32,FALSE),"")</f>
        <v/>
      </c>
      <c r="BK80" s="52" t="str">
        <f>_xlfn.IFNA(VLOOKUP(U80,'GRPO Wiz'!AP:BZ,27,FALSE),"")</f>
        <v/>
      </c>
      <c r="BL80" s="52" t="str">
        <f>_xlfn.IFNA(VALUE(VLOOKUP(U80,'GRPO Wiz'!AP:BZ,29,FALSE)),"")</f>
        <v/>
      </c>
      <c r="BM80" s="52" t="str">
        <f>IF(OR(_xlfn.IFNA(VLOOKUP(U80,'GRPO Wiz'!AP:BZ,33,FALSE),"")="NSC",_xlfn.IFNA(VLOOKUP(U80,'GRPO Wiz'!AP:BZ,33,FALSE),"")="NSSMC"),"NSC","")</f>
        <v/>
      </c>
      <c r="BX80" s="52" t="str">
        <f t="shared" si="27"/>
        <v/>
      </c>
      <c r="BY80" s="52" t="str">
        <f>_xlfn.IFNA(VLOOKUP(BX80&amp;H80,AP!IP:IQ,2,FALSE),"")</f>
        <v/>
      </c>
      <c r="BZ80" s="53" t="str">
        <f t="shared" si="28"/>
        <v/>
      </c>
      <c r="CA80" s="53"/>
      <c r="CD80" s="52" t="str">
        <f>_xlfn.IFNA((VLOOKUP(BX80&amp;H80,AP!IP:IS,4,FALSE)),"")</f>
        <v/>
      </c>
    </row>
    <row r="81" spans="10:82" ht="26.25" customHeight="1" x14ac:dyDescent="0.25">
      <c r="J81" s="52" t="str">
        <f t="shared" si="24"/>
        <v/>
      </c>
      <c r="K81" s="52" t="str">
        <f>IF(O81="","",VLOOKUP(U81,Data!O:AC,15,FALSE)/G81)</f>
        <v/>
      </c>
      <c r="X81" s="52" t="str">
        <f t="shared" si="25"/>
        <v/>
      </c>
      <c r="Z81" s="52">
        <f t="shared" si="26"/>
        <v>0</v>
      </c>
      <c r="AG81" s="52" t="str">
        <f>_xlfn.IFNA(VLOOKUP(U81,'Incoming Material Report'!A:M,13,FALSE),"")</f>
        <v/>
      </c>
      <c r="AH81" s="52" t="str">
        <f>_xlfn.IFNA(IF(VLOOKUP(U81,'Incoming Material Report'!A:N,14,FALSE)="","",VLOOKUP(U81,'Incoming Material Report'!A:N,14,FALSE)),"")</f>
        <v/>
      </c>
      <c r="AI81" s="52" t="str">
        <f>_xlfn.IFNA(VLOOKUP(U81,'Incoming Material Report'!A:Z,24,FALSE),"")</f>
        <v/>
      </c>
      <c r="AJ81" s="52" t="str">
        <f>_xlfn.IFNA(VLOOKUP(U81,'Incoming Material Report'!A:Z,25,FALSE),"")</f>
        <v/>
      </c>
      <c r="AK81" s="52" t="str">
        <f>_xlfn.IFNA(VLOOKUP(U81,'Incoming Material Report'!A:Z,26,FALSE),"")</f>
        <v/>
      </c>
      <c r="AL81" s="52" t="str">
        <f>_xlfn.IFNA(VLOOKUP(U81,'Incoming Material Report'!A:Z,2,FALSE),"")</f>
        <v/>
      </c>
      <c r="AM81" s="52" t="str">
        <f>_xlfn.IFNA(VLOOKUP(U81,'Incoming Material Report'!A:K,11,FALSE)/1000,"")</f>
        <v/>
      </c>
      <c r="AO81" s="52" t="str">
        <f>_xlfn.IFNA(VLOOKUP(U81,'Incoming Material Report'!A:R,18,FALSE)*1000,"")</f>
        <v/>
      </c>
      <c r="AQ81" s="52" t="str">
        <f>_xlfn.IFNA(TEXT(VLOOKUP(U81,'Incoming Material Report'!A:D,4,FALSE),"dd.mm.yy"),"")</f>
        <v/>
      </c>
      <c r="AR81" s="52" t="str">
        <f>_xlfn.IFNA(VLOOKUP(U81,'Incoming Material Report'!A:Z,5,FALSE),"")</f>
        <v/>
      </c>
      <c r="AT81" s="52" t="str">
        <f>IF(OR(_xlfn.IFNA(VLOOKUP(U81,'Incoming Material Report'!A:Z,6,FALSE),"")="NSC",_xlfn.IFNA(VLOOKUP(U81,'Incoming Material Report'!A:Z,6,FALSE),"")="NSSMC"),"NSC","")</f>
        <v/>
      </c>
      <c r="AU81" s="52" t="str">
        <f>_xlfn.IFNA(VLOOKUP(U81,'Incoming Material Report'!A:Z,8,FALSE),"")</f>
        <v/>
      </c>
      <c r="AZ81" s="52" t="str">
        <f>_xlfn.IFNA(VLOOKUP(U81,'GRPO Wiz'!AP:BT,17,FALSE),"")</f>
        <v/>
      </c>
      <c r="BA81" s="52" t="str">
        <f>_xlfn.IFNA(VLOOKUP(U81,'GRPO Wiz'!AP:BT,18,FALSE),"")</f>
        <v/>
      </c>
      <c r="BB81" s="52" t="str">
        <f>_xlfn.IFNA(VLOOKUP(U81,'GRPO Wiz'!AP:BT,19,FALSE),"")</f>
        <v/>
      </c>
      <c r="BC81" s="52" t="str">
        <f>_xlfn.IFNA(VLOOKUP(U81,'GRPO Wiz'!AP:BT,20,FALSE),"")</f>
        <v/>
      </c>
      <c r="BD81" s="52" t="str">
        <f>_xlfn.IFNA(VLOOKUP(U81,'GRPO Wiz'!AP:BT,21,FALSE),"")</f>
        <v/>
      </c>
      <c r="BE81" s="52" t="str">
        <f>_xlfn.IFNA(LEFT((VLOOKUP(U81,'GRPO Wiz'!AP:BT,22,FALSE)),8),"")</f>
        <v/>
      </c>
      <c r="BF81" s="52" t="str">
        <f>_xlfn.IFNA(VLOOKUP(U81,'GRPO Wiz'!AP:BT,26,FALSE),"")</f>
        <v/>
      </c>
      <c r="BG81" s="63" t="str">
        <f>_xlfn.IFNA(VLOOKUP(U81,'GRPO Wiz'!AP:BQ,28,FALSE),"")</f>
        <v/>
      </c>
      <c r="BH81" s="52" t="str">
        <f>_xlfn.IFNA(VLOOKUP(U81,'GRPO Wiz'!AP:BN,25,FALSE),"")</f>
        <v/>
      </c>
      <c r="BI81" s="52" t="str">
        <f>_xlfn.IFNA(VLOOKUP(U81,'GRPO Wiz'!AP:BT,31,FALSE),"")</f>
        <v/>
      </c>
      <c r="BJ81" s="52" t="str">
        <f>_xlfn.IFNA(VLOOKUP(U81,'GRPO Wiz'!AP:BZ,32,FALSE),"")</f>
        <v/>
      </c>
      <c r="BK81" s="52" t="str">
        <f>_xlfn.IFNA(VLOOKUP(U81,'GRPO Wiz'!AP:BZ,27,FALSE),"")</f>
        <v/>
      </c>
      <c r="BL81" s="52" t="str">
        <f>_xlfn.IFNA(VALUE(VLOOKUP(U81,'GRPO Wiz'!AP:BZ,29,FALSE)),"")</f>
        <v/>
      </c>
      <c r="BM81" s="52" t="str">
        <f>IF(OR(_xlfn.IFNA(VLOOKUP(U81,'GRPO Wiz'!AP:BZ,33,FALSE),"")="NSC",_xlfn.IFNA(VLOOKUP(U81,'GRPO Wiz'!AP:BZ,33,FALSE),"")="NSSMC"),"NSC","")</f>
        <v/>
      </c>
      <c r="BX81" s="52" t="str">
        <f t="shared" si="27"/>
        <v/>
      </c>
      <c r="BY81" s="52" t="str">
        <f>_xlfn.IFNA(VLOOKUP(BX81&amp;H81,AP!IP:IQ,2,FALSE),"")</f>
        <v/>
      </c>
      <c r="BZ81" s="53" t="str">
        <f t="shared" si="28"/>
        <v/>
      </c>
      <c r="CA81" s="53"/>
      <c r="CD81" s="52" t="str">
        <f>_xlfn.IFNA((VLOOKUP(BX81&amp;H81,AP!IP:IS,4,FALSE)),"")</f>
        <v/>
      </c>
    </row>
    <row r="82" spans="10:82" ht="26.25" customHeight="1" x14ac:dyDescent="0.25">
      <c r="J82" s="52" t="str">
        <f t="shared" si="24"/>
        <v/>
      </c>
      <c r="K82" s="52" t="str">
        <f>IF(O82="","",VLOOKUP(U82,Data!O:AC,15,FALSE)/G82)</f>
        <v/>
      </c>
      <c r="X82" s="52" t="str">
        <f t="shared" si="25"/>
        <v/>
      </c>
      <c r="Z82" s="52">
        <f t="shared" si="26"/>
        <v>0</v>
      </c>
      <c r="AG82" s="52" t="str">
        <f>_xlfn.IFNA(VLOOKUP(U82,'Incoming Material Report'!A:M,13,FALSE),"")</f>
        <v/>
      </c>
      <c r="AH82" s="52" t="str">
        <f>_xlfn.IFNA(IF(VLOOKUP(U82,'Incoming Material Report'!A:N,14,FALSE)="","",VLOOKUP(U82,'Incoming Material Report'!A:N,14,FALSE)),"")</f>
        <v/>
      </c>
      <c r="AI82" s="52" t="str">
        <f>_xlfn.IFNA(VLOOKUP(U82,'Incoming Material Report'!A:Z,24,FALSE),"")</f>
        <v/>
      </c>
      <c r="AJ82" s="52" t="str">
        <f>_xlfn.IFNA(VLOOKUP(U82,'Incoming Material Report'!A:Z,25,FALSE),"")</f>
        <v/>
      </c>
      <c r="AK82" s="52" t="str">
        <f>_xlfn.IFNA(VLOOKUP(U82,'Incoming Material Report'!A:Z,26,FALSE),"")</f>
        <v/>
      </c>
      <c r="AL82" s="52" t="str">
        <f>_xlfn.IFNA(VLOOKUP(U82,'Incoming Material Report'!A:Z,2,FALSE),"")</f>
        <v/>
      </c>
      <c r="AM82" s="52" t="str">
        <f>_xlfn.IFNA(VLOOKUP(U82,'Incoming Material Report'!A:K,11,FALSE)/1000,"")</f>
        <v/>
      </c>
      <c r="AO82" s="52" t="str">
        <f>_xlfn.IFNA(VLOOKUP(U82,'Incoming Material Report'!A:R,18,FALSE)*1000,"")</f>
        <v/>
      </c>
      <c r="AQ82" s="52" t="str">
        <f>_xlfn.IFNA(TEXT(VLOOKUP(U82,'Incoming Material Report'!A:D,4,FALSE),"dd.mm.yy"),"")</f>
        <v/>
      </c>
      <c r="AR82" s="52" t="str">
        <f>_xlfn.IFNA(VLOOKUP(U82,'Incoming Material Report'!A:Z,5,FALSE),"")</f>
        <v/>
      </c>
      <c r="AT82" s="52" t="str">
        <f>IF(OR(_xlfn.IFNA(VLOOKUP(U82,'Incoming Material Report'!A:Z,6,FALSE),"")="NSC",_xlfn.IFNA(VLOOKUP(U82,'Incoming Material Report'!A:Z,6,FALSE),"")="NSSMC"),"NSC","")</f>
        <v/>
      </c>
      <c r="AU82" s="52" t="str">
        <f>_xlfn.IFNA(VLOOKUP(U82,'Incoming Material Report'!A:Z,8,FALSE),"")</f>
        <v/>
      </c>
      <c r="AZ82" s="52" t="str">
        <f>_xlfn.IFNA(VLOOKUP(U82,'GRPO Wiz'!AP:BT,17,FALSE),"")</f>
        <v/>
      </c>
      <c r="BA82" s="52" t="str">
        <f>_xlfn.IFNA(VLOOKUP(U82,'GRPO Wiz'!AP:BT,18,FALSE),"")</f>
        <v/>
      </c>
      <c r="BB82" s="52" t="str">
        <f>_xlfn.IFNA(VLOOKUP(U82,'GRPO Wiz'!AP:BT,19,FALSE),"")</f>
        <v/>
      </c>
      <c r="BC82" s="52" t="str">
        <f>_xlfn.IFNA(VLOOKUP(U82,'GRPO Wiz'!AP:BT,20,FALSE),"")</f>
        <v/>
      </c>
      <c r="BD82" s="52" t="str">
        <f>_xlfn.IFNA(VLOOKUP(U82,'GRPO Wiz'!AP:BT,21,FALSE),"")</f>
        <v/>
      </c>
      <c r="BE82" s="52" t="str">
        <f>_xlfn.IFNA(LEFT((VLOOKUP(U82,'GRPO Wiz'!AP:BT,22,FALSE)),8),"")</f>
        <v/>
      </c>
      <c r="BF82" s="52" t="str">
        <f>_xlfn.IFNA(VLOOKUP(U82,'GRPO Wiz'!AP:BT,26,FALSE),"")</f>
        <v/>
      </c>
      <c r="BG82" s="63" t="str">
        <f>_xlfn.IFNA(VLOOKUP(U82,'GRPO Wiz'!AP:BQ,28,FALSE),"")</f>
        <v/>
      </c>
      <c r="BH82" s="52" t="str">
        <f>_xlfn.IFNA(VLOOKUP(U82,'GRPO Wiz'!AP:BN,25,FALSE),"")</f>
        <v/>
      </c>
      <c r="BI82" s="52" t="str">
        <f>_xlfn.IFNA(VLOOKUP(U82,'GRPO Wiz'!AP:BT,31,FALSE),"")</f>
        <v/>
      </c>
      <c r="BJ82" s="52" t="str">
        <f>_xlfn.IFNA(VLOOKUP(U82,'GRPO Wiz'!AP:BZ,32,FALSE),"")</f>
        <v/>
      </c>
      <c r="BK82" s="52" t="str">
        <f>_xlfn.IFNA(VLOOKUP(U82,'GRPO Wiz'!AP:BZ,27,FALSE),"")</f>
        <v/>
      </c>
      <c r="BL82" s="52" t="str">
        <f>_xlfn.IFNA(VALUE(VLOOKUP(U82,'GRPO Wiz'!AP:BZ,29,FALSE)),"")</f>
        <v/>
      </c>
      <c r="BM82" s="52" t="str">
        <f>IF(OR(_xlfn.IFNA(VLOOKUP(U82,'GRPO Wiz'!AP:BZ,33,FALSE),"")="NSC",_xlfn.IFNA(VLOOKUP(U82,'GRPO Wiz'!AP:BZ,33,FALSE),"")="NSSMC"),"NSC","")</f>
        <v/>
      </c>
      <c r="BX82" s="52" t="str">
        <f t="shared" si="27"/>
        <v/>
      </c>
      <c r="BY82" s="52" t="str">
        <f>_xlfn.IFNA(VLOOKUP(BX82&amp;H82,AP!IP:IQ,2,FALSE),"")</f>
        <v/>
      </c>
      <c r="BZ82" s="53" t="str">
        <f t="shared" si="28"/>
        <v/>
      </c>
      <c r="CA82" s="53"/>
      <c r="CD82" s="52" t="str">
        <f>_xlfn.IFNA((VLOOKUP(BX82&amp;H82,AP!IP:IS,4,FALSE)),"")</f>
        <v/>
      </c>
    </row>
    <row r="83" spans="10:82" ht="26.25" customHeight="1" x14ac:dyDescent="0.25">
      <c r="J83" s="52" t="str">
        <f t="shared" si="24"/>
        <v/>
      </c>
      <c r="K83" s="52" t="str">
        <f>IF(O83="","",VLOOKUP(U83,Data!O:AC,15,FALSE)/G83)</f>
        <v/>
      </c>
      <c r="X83" s="52" t="str">
        <f t="shared" si="25"/>
        <v/>
      </c>
      <c r="Z83" s="52">
        <f t="shared" si="26"/>
        <v>0</v>
      </c>
      <c r="AG83" s="52" t="str">
        <f>_xlfn.IFNA(VLOOKUP(U83,'Incoming Material Report'!A:M,13,FALSE),"")</f>
        <v/>
      </c>
      <c r="AH83" s="52" t="str">
        <f>_xlfn.IFNA(IF(VLOOKUP(U83,'Incoming Material Report'!A:N,14,FALSE)="","",VLOOKUP(U83,'Incoming Material Report'!A:N,14,FALSE)),"")</f>
        <v/>
      </c>
      <c r="AI83" s="52" t="str">
        <f>_xlfn.IFNA(VLOOKUP(U83,'Incoming Material Report'!A:Z,24,FALSE),"")</f>
        <v/>
      </c>
      <c r="AJ83" s="52" t="str">
        <f>_xlfn.IFNA(VLOOKUP(U83,'Incoming Material Report'!A:Z,25,FALSE),"")</f>
        <v/>
      </c>
      <c r="AK83" s="52" t="str">
        <f>_xlfn.IFNA(VLOOKUP(U83,'Incoming Material Report'!A:Z,26,FALSE),"")</f>
        <v/>
      </c>
      <c r="AL83" s="52" t="str">
        <f>_xlfn.IFNA(VLOOKUP(U83,'Incoming Material Report'!A:Z,2,FALSE),"")</f>
        <v/>
      </c>
      <c r="AM83" s="52" t="str">
        <f>_xlfn.IFNA(VLOOKUP(U83,'Incoming Material Report'!A:K,11,FALSE)/1000,"")</f>
        <v/>
      </c>
      <c r="AO83" s="52" t="str">
        <f>_xlfn.IFNA(VLOOKUP(U83,'Incoming Material Report'!A:R,18,FALSE)*1000,"")</f>
        <v/>
      </c>
      <c r="AQ83" s="52" t="str">
        <f>_xlfn.IFNA(TEXT(VLOOKUP(U83,'Incoming Material Report'!A:D,4,FALSE),"dd.mm.yy"),"")</f>
        <v/>
      </c>
      <c r="AR83" s="52" t="str">
        <f>_xlfn.IFNA(VLOOKUP(U83,'Incoming Material Report'!A:Z,5,FALSE),"")</f>
        <v/>
      </c>
      <c r="AT83" s="52" t="str">
        <f>IF(OR(_xlfn.IFNA(VLOOKUP(U83,'Incoming Material Report'!A:Z,6,FALSE),"")="NSC",_xlfn.IFNA(VLOOKUP(U83,'Incoming Material Report'!A:Z,6,FALSE),"")="NSSMC"),"NSC","")</f>
        <v/>
      </c>
      <c r="AU83" s="52" t="str">
        <f>_xlfn.IFNA(VLOOKUP(U83,'Incoming Material Report'!A:Z,8,FALSE),"")</f>
        <v/>
      </c>
      <c r="AZ83" s="52" t="str">
        <f>_xlfn.IFNA(VLOOKUP(U83,'GRPO Wiz'!AP:BT,17,FALSE),"")</f>
        <v/>
      </c>
      <c r="BA83" s="52" t="str">
        <f>_xlfn.IFNA(VLOOKUP(U83,'GRPO Wiz'!AP:BT,18,FALSE),"")</f>
        <v/>
      </c>
      <c r="BB83" s="52" t="str">
        <f>_xlfn.IFNA(VLOOKUP(U83,'GRPO Wiz'!AP:BT,19,FALSE),"")</f>
        <v/>
      </c>
      <c r="BC83" s="52" t="str">
        <f>_xlfn.IFNA(VLOOKUP(U83,'GRPO Wiz'!AP:BT,20,FALSE),"")</f>
        <v/>
      </c>
      <c r="BD83" s="52" t="str">
        <f>_xlfn.IFNA(VLOOKUP(U83,'GRPO Wiz'!AP:BT,21,FALSE),"")</f>
        <v/>
      </c>
      <c r="BE83" s="52" t="str">
        <f>_xlfn.IFNA(LEFT((VLOOKUP(U83,'GRPO Wiz'!AP:BT,22,FALSE)),8),"")</f>
        <v/>
      </c>
      <c r="BF83" s="52" t="str">
        <f>_xlfn.IFNA(VLOOKUP(U83,'GRPO Wiz'!AP:BT,26,FALSE),"")</f>
        <v/>
      </c>
      <c r="BG83" s="63" t="str">
        <f>_xlfn.IFNA(VLOOKUP(U83,'GRPO Wiz'!AP:BQ,28,FALSE),"")</f>
        <v/>
      </c>
      <c r="BH83" s="52" t="str">
        <f>_xlfn.IFNA(VLOOKUP(U83,'GRPO Wiz'!AP:BN,25,FALSE),"")</f>
        <v/>
      </c>
      <c r="BI83" s="52" t="str">
        <f>_xlfn.IFNA(VLOOKUP(U83,'GRPO Wiz'!AP:BT,31,FALSE),"")</f>
        <v/>
      </c>
      <c r="BJ83" s="52" t="str">
        <f>_xlfn.IFNA(VLOOKUP(U83,'GRPO Wiz'!AP:BZ,32,FALSE),"")</f>
        <v/>
      </c>
      <c r="BK83" s="52" t="str">
        <f>_xlfn.IFNA(VLOOKUP(U83,'GRPO Wiz'!AP:BZ,27,FALSE),"")</f>
        <v/>
      </c>
      <c r="BL83" s="52" t="str">
        <f>_xlfn.IFNA(VALUE(VLOOKUP(U83,'GRPO Wiz'!AP:BZ,29,FALSE)),"")</f>
        <v/>
      </c>
      <c r="BM83" s="52" t="str">
        <f>IF(OR(_xlfn.IFNA(VLOOKUP(U83,'GRPO Wiz'!AP:BZ,33,FALSE),"")="NSC",_xlfn.IFNA(VLOOKUP(U83,'GRPO Wiz'!AP:BZ,33,FALSE),"")="NSSMC"),"NSC","")</f>
        <v/>
      </c>
      <c r="BX83" s="52" t="str">
        <f t="shared" si="27"/>
        <v/>
      </c>
      <c r="BY83" s="52" t="str">
        <f>_xlfn.IFNA(VLOOKUP(BX83&amp;H83,AP!IP:IQ,2,FALSE),"")</f>
        <v/>
      </c>
      <c r="BZ83" s="53" t="str">
        <f t="shared" si="28"/>
        <v/>
      </c>
      <c r="CA83" s="53"/>
      <c r="CD83" s="52" t="str">
        <f>_xlfn.IFNA((VLOOKUP(BX83&amp;H83,AP!IP:IS,4,FALSE)),"")</f>
        <v/>
      </c>
    </row>
    <row r="84" spans="10:82" ht="26.25" customHeight="1" x14ac:dyDescent="0.25">
      <c r="J84" s="52" t="str">
        <f t="shared" si="24"/>
        <v/>
      </c>
      <c r="K84" s="52" t="str">
        <f>IF(O84="","",VLOOKUP(U84,Data!O:AC,15,FALSE)/G84)</f>
        <v/>
      </c>
      <c r="X84" s="52" t="str">
        <f t="shared" si="25"/>
        <v/>
      </c>
      <c r="Z84" s="52">
        <f t="shared" si="26"/>
        <v>0</v>
      </c>
      <c r="AG84" s="52" t="str">
        <f>_xlfn.IFNA(VLOOKUP(U84,'Incoming Material Report'!A:M,13,FALSE),"")</f>
        <v/>
      </c>
      <c r="AH84" s="52" t="str">
        <f>_xlfn.IFNA(IF(VLOOKUP(U84,'Incoming Material Report'!A:N,14,FALSE)="","",VLOOKUP(U84,'Incoming Material Report'!A:N,14,FALSE)),"")</f>
        <v/>
      </c>
      <c r="AI84" s="52" t="str">
        <f>_xlfn.IFNA(VLOOKUP(U84,'Incoming Material Report'!A:Z,24,FALSE),"")</f>
        <v/>
      </c>
      <c r="AJ84" s="52" t="str">
        <f>_xlfn.IFNA(VLOOKUP(U84,'Incoming Material Report'!A:Z,25,FALSE),"")</f>
        <v/>
      </c>
      <c r="AK84" s="52" t="str">
        <f>_xlfn.IFNA(VLOOKUP(U84,'Incoming Material Report'!A:Z,26,FALSE),"")</f>
        <v/>
      </c>
      <c r="AL84" s="52" t="str">
        <f>_xlfn.IFNA(VLOOKUP(U84,'Incoming Material Report'!A:Z,2,FALSE),"")</f>
        <v/>
      </c>
      <c r="AM84" s="52" t="str">
        <f>_xlfn.IFNA(VLOOKUP(U84,'Incoming Material Report'!A:K,11,FALSE)/1000,"")</f>
        <v/>
      </c>
      <c r="AO84" s="52" t="str">
        <f>_xlfn.IFNA(VLOOKUP(U84,'Incoming Material Report'!A:R,18,FALSE)*1000,"")</f>
        <v/>
      </c>
      <c r="AQ84" s="52" t="str">
        <f>_xlfn.IFNA(TEXT(VLOOKUP(U84,'Incoming Material Report'!A:D,4,FALSE),"dd.mm.yy"),"")</f>
        <v/>
      </c>
      <c r="AR84" s="52" t="str">
        <f>_xlfn.IFNA(VLOOKUP(U84,'Incoming Material Report'!A:Z,5,FALSE),"")</f>
        <v/>
      </c>
      <c r="AT84" s="52" t="str">
        <f>IF(OR(_xlfn.IFNA(VLOOKUP(U84,'Incoming Material Report'!A:Z,6,FALSE),"")="NSC",_xlfn.IFNA(VLOOKUP(U84,'Incoming Material Report'!A:Z,6,FALSE),"")="NSSMC"),"NSC","")</f>
        <v/>
      </c>
      <c r="AU84" s="52" t="str">
        <f>_xlfn.IFNA(VLOOKUP(U84,'Incoming Material Report'!A:Z,8,FALSE),"")</f>
        <v/>
      </c>
      <c r="AZ84" s="52" t="str">
        <f>_xlfn.IFNA(VLOOKUP(U84,'GRPO Wiz'!AP:BT,17,FALSE),"")</f>
        <v/>
      </c>
      <c r="BA84" s="52" t="str">
        <f>_xlfn.IFNA(VLOOKUP(U84,'GRPO Wiz'!AP:BT,18,FALSE),"")</f>
        <v/>
      </c>
      <c r="BB84" s="52" t="str">
        <f>_xlfn.IFNA(VLOOKUP(U84,'GRPO Wiz'!AP:BT,19,FALSE),"")</f>
        <v/>
      </c>
      <c r="BC84" s="52" t="str">
        <f>_xlfn.IFNA(VLOOKUP(U84,'GRPO Wiz'!AP:BT,20,FALSE),"")</f>
        <v/>
      </c>
      <c r="BD84" s="52" t="str">
        <f>_xlfn.IFNA(VLOOKUP(U84,'GRPO Wiz'!AP:BT,21,FALSE),"")</f>
        <v/>
      </c>
      <c r="BE84" s="52" t="str">
        <f>_xlfn.IFNA(LEFT((VLOOKUP(U84,'GRPO Wiz'!AP:BT,22,FALSE)),8),"")</f>
        <v/>
      </c>
      <c r="BF84" s="52" t="str">
        <f>_xlfn.IFNA(VLOOKUP(U84,'GRPO Wiz'!AP:BT,26,FALSE),"")</f>
        <v/>
      </c>
      <c r="BG84" s="63" t="str">
        <f>_xlfn.IFNA(VLOOKUP(U84,'GRPO Wiz'!AP:BQ,28,FALSE),"")</f>
        <v/>
      </c>
      <c r="BH84" s="52" t="str">
        <f>_xlfn.IFNA(VLOOKUP(U84,'GRPO Wiz'!AP:BN,25,FALSE),"")</f>
        <v/>
      </c>
      <c r="BI84" s="52" t="str">
        <f>_xlfn.IFNA(VLOOKUP(U84,'GRPO Wiz'!AP:BT,31,FALSE),"")</f>
        <v/>
      </c>
      <c r="BJ84" s="52" t="str">
        <f>_xlfn.IFNA(VLOOKUP(U84,'GRPO Wiz'!AP:BZ,32,FALSE),"")</f>
        <v/>
      </c>
      <c r="BK84" s="52" t="str">
        <f>_xlfn.IFNA(VLOOKUP(U84,'GRPO Wiz'!AP:BZ,27,FALSE),"")</f>
        <v/>
      </c>
      <c r="BL84" s="52" t="str">
        <f>_xlfn.IFNA(VALUE(VLOOKUP(U84,'GRPO Wiz'!AP:BZ,29,FALSE)),"")</f>
        <v/>
      </c>
      <c r="BM84" s="52" t="str">
        <f>IF(OR(_xlfn.IFNA(VLOOKUP(U84,'GRPO Wiz'!AP:BZ,33,FALSE),"")="NSC",_xlfn.IFNA(VLOOKUP(U84,'GRPO Wiz'!AP:BZ,33,FALSE),"")="NSSMC"),"NSC","")</f>
        <v/>
      </c>
      <c r="BX84" s="52" t="str">
        <f t="shared" si="27"/>
        <v/>
      </c>
      <c r="BY84" s="52" t="str">
        <f>_xlfn.IFNA(VLOOKUP(BX84&amp;H84,AP!IP:IQ,2,FALSE),"")</f>
        <v/>
      </c>
      <c r="BZ84" s="53" t="str">
        <f t="shared" si="28"/>
        <v/>
      </c>
      <c r="CA84" s="53"/>
      <c r="CD84" s="52" t="str">
        <f>_xlfn.IFNA((VLOOKUP(BX84&amp;H84,AP!IP:IS,4,FALSE)),"")</f>
        <v/>
      </c>
    </row>
    <row r="85" spans="10:82" ht="26.25" customHeight="1" x14ac:dyDescent="0.25">
      <c r="J85" s="52" t="str">
        <f t="shared" si="24"/>
        <v/>
      </c>
      <c r="K85" s="52" t="str">
        <f>IF(O85="","",VLOOKUP(U85,Data!O:AC,15,FALSE)/G85)</f>
        <v/>
      </c>
      <c r="X85" s="52" t="str">
        <f t="shared" si="25"/>
        <v/>
      </c>
      <c r="Z85" s="52">
        <f t="shared" si="26"/>
        <v>0</v>
      </c>
      <c r="AG85" s="52" t="str">
        <f>_xlfn.IFNA(VLOOKUP(U85,'Incoming Material Report'!A:M,13,FALSE),"")</f>
        <v/>
      </c>
      <c r="AH85" s="52" t="str">
        <f>_xlfn.IFNA(IF(VLOOKUP(U85,'Incoming Material Report'!A:N,14,FALSE)="","",VLOOKUP(U85,'Incoming Material Report'!A:N,14,FALSE)),"")</f>
        <v/>
      </c>
      <c r="AI85" s="52" t="str">
        <f>_xlfn.IFNA(VLOOKUP(U85,'Incoming Material Report'!A:Z,24,FALSE),"")</f>
        <v/>
      </c>
      <c r="AJ85" s="52" t="str">
        <f>_xlfn.IFNA(VLOOKUP(U85,'Incoming Material Report'!A:Z,25,FALSE),"")</f>
        <v/>
      </c>
      <c r="AK85" s="52" t="str">
        <f>_xlfn.IFNA(VLOOKUP(U85,'Incoming Material Report'!A:Z,26,FALSE),"")</f>
        <v/>
      </c>
      <c r="AL85" s="52" t="str">
        <f>_xlfn.IFNA(VLOOKUP(U85,'Incoming Material Report'!A:Z,2,FALSE),"")</f>
        <v/>
      </c>
      <c r="AM85" s="52" t="str">
        <f>_xlfn.IFNA(VLOOKUP(U85,'Incoming Material Report'!A:K,11,FALSE)/1000,"")</f>
        <v/>
      </c>
      <c r="AO85" s="52" t="str">
        <f>_xlfn.IFNA(VLOOKUP(U85,'Incoming Material Report'!A:R,18,FALSE)*1000,"")</f>
        <v/>
      </c>
      <c r="AQ85" s="52" t="str">
        <f>_xlfn.IFNA(TEXT(VLOOKUP(U85,'Incoming Material Report'!A:D,4,FALSE),"dd.mm.yy"),"")</f>
        <v/>
      </c>
      <c r="AR85" s="52" t="str">
        <f>_xlfn.IFNA(VLOOKUP(U85,'Incoming Material Report'!A:Z,5,FALSE),"")</f>
        <v/>
      </c>
      <c r="AT85" s="52" t="str">
        <f>IF(OR(_xlfn.IFNA(VLOOKUP(U85,'Incoming Material Report'!A:Z,6,FALSE),"")="NSC",_xlfn.IFNA(VLOOKUP(U85,'Incoming Material Report'!A:Z,6,FALSE),"")="NSSMC"),"NSC","")</f>
        <v/>
      </c>
      <c r="AU85" s="52" t="str">
        <f>_xlfn.IFNA(VLOOKUP(U85,'Incoming Material Report'!A:Z,8,FALSE),"")</f>
        <v/>
      </c>
      <c r="AZ85" s="52" t="str">
        <f>_xlfn.IFNA(VLOOKUP(U85,'GRPO Wiz'!AP:BT,17,FALSE),"")</f>
        <v/>
      </c>
      <c r="BA85" s="52" t="str">
        <f>_xlfn.IFNA(VLOOKUP(U85,'GRPO Wiz'!AP:BT,18,FALSE),"")</f>
        <v/>
      </c>
      <c r="BB85" s="52" t="str">
        <f>_xlfn.IFNA(VLOOKUP(U85,'GRPO Wiz'!AP:BT,19,FALSE),"")</f>
        <v/>
      </c>
      <c r="BC85" s="52" t="str">
        <f>_xlfn.IFNA(VLOOKUP(U85,'GRPO Wiz'!AP:BT,20,FALSE),"")</f>
        <v/>
      </c>
      <c r="BD85" s="52" t="str">
        <f>_xlfn.IFNA(VLOOKUP(U85,'GRPO Wiz'!AP:BT,21,FALSE),"")</f>
        <v/>
      </c>
      <c r="BE85" s="52" t="str">
        <f>_xlfn.IFNA(LEFT((VLOOKUP(U85,'GRPO Wiz'!AP:BT,22,FALSE)),8),"")</f>
        <v/>
      </c>
      <c r="BF85" s="52" t="str">
        <f>_xlfn.IFNA(VLOOKUP(U85,'GRPO Wiz'!AP:BT,26,FALSE),"")</f>
        <v/>
      </c>
      <c r="BG85" s="63" t="str">
        <f>_xlfn.IFNA(VLOOKUP(U85,'GRPO Wiz'!AP:BQ,28,FALSE),"")</f>
        <v/>
      </c>
      <c r="BH85" s="52" t="str">
        <f>_xlfn.IFNA(VLOOKUP(U85,'GRPO Wiz'!AP:BN,25,FALSE),"")</f>
        <v/>
      </c>
      <c r="BI85" s="52" t="str">
        <f>_xlfn.IFNA(VLOOKUP(U85,'GRPO Wiz'!AP:BT,31,FALSE),"")</f>
        <v/>
      </c>
      <c r="BJ85" s="52" t="str">
        <f>_xlfn.IFNA(VLOOKUP(U85,'GRPO Wiz'!AP:BZ,32,FALSE),"")</f>
        <v/>
      </c>
      <c r="BK85" s="52" t="str">
        <f>_xlfn.IFNA(VLOOKUP(U85,'GRPO Wiz'!AP:BZ,27,FALSE),"")</f>
        <v/>
      </c>
      <c r="BL85" s="52" t="str">
        <f>_xlfn.IFNA(VALUE(VLOOKUP(U85,'GRPO Wiz'!AP:BZ,29,FALSE)),"")</f>
        <v/>
      </c>
      <c r="BM85" s="52" t="str">
        <f>IF(OR(_xlfn.IFNA(VLOOKUP(U85,'GRPO Wiz'!AP:BZ,33,FALSE),"")="NSC",_xlfn.IFNA(VLOOKUP(U85,'GRPO Wiz'!AP:BZ,33,FALSE),"")="NSSMC"),"NSC","")</f>
        <v/>
      </c>
      <c r="BX85" s="52" t="str">
        <f t="shared" si="27"/>
        <v/>
      </c>
      <c r="BY85" s="52" t="str">
        <f>_xlfn.IFNA(VLOOKUP(BX85&amp;H85,AP!IP:IQ,2,FALSE),"")</f>
        <v/>
      </c>
      <c r="BZ85" s="53" t="str">
        <f t="shared" si="28"/>
        <v/>
      </c>
      <c r="CA85" s="53"/>
      <c r="CD85" s="52" t="str">
        <f>_xlfn.IFNA((VLOOKUP(BX85&amp;H85,AP!IP:IS,4,FALSE)),"")</f>
        <v/>
      </c>
    </row>
    <row r="86" spans="10:82" ht="26.25" customHeight="1" x14ac:dyDescent="0.25">
      <c r="J86" s="52" t="str">
        <f t="shared" si="24"/>
        <v/>
      </c>
      <c r="K86" s="52" t="str">
        <f>IF(O86="","",VLOOKUP(U86,Data!O:AC,15,FALSE)/G86)</f>
        <v/>
      </c>
      <c r="X86" s="52" t="str">
        <f t="shared" si="25"/>
        <v/>
      </c>
      <c r="Z86" s="52">
        <f t="shared" si="26"/>
        <v>0</v>
      </c>
      <c r="AG86" s="52" t="str">
        <f>_xlfn.IFNA(VLOOKUP(U86,'Incoming Material Report'!A:M,13,FALSE),"")</f>
        <v/>
      </c>
      <c r="AH86" s="52" t="str">
        <f>_xlfn.IFNA(IF(VLOOKUP(U86,'Incoming Material Report'!A:N,14,FALSE)="","",VLOOKUP(U86,'Incoming Material Report'!A:N,14,FALSE)),"")</f>
        <v/>
      </c>
      <c r="AI86" s="52" t="str">
        <f>_xlfn.IFNA(VLOOKUP(U86,'Incoming Material Report'!A:Z,24,FALSE),"")</f>
        <v/>
      </c>
      <c r="AJ86" s="52" t="str">
        <f>_xlfn.IFNA(VLOOKUP(U86,'Incoming Material Report'!A:Z,25,FALSE),"")</f>
        <v/>
      </c>
      <c r="AK86" s="52" t="str">
        <f>_xlfn.IFNA(VLOOKUP(U86,'Incoming Material Report'!A:Z,26,FALSE),"")</f>
        <v/>
      </c>
      <c r="AL86" s="52" t="str">
        <f>_xlfn.IFNA(VLOOKUP(U86,'Incoming Material Report'!A:Z,2,FALSE),"")</f>
        <v/>
      </c>
      <c r="AM86" s="52" t="str">
        <f>_xlfn.IFNA(VLOOKUP(U86,'Incoming Material Report'!A:K,11,FALSE)/1000,"")</f>
        <v/>
      </c>
      <c r="AO86" s="52" t="str">
        <f>_xlfn.IFNA(VLOOKUP(U86,'Incoming Material Report'!A:R,18,FALSE)*1000,"")</f>
        <v/>
      </c>
      <c r="AQ86" s="52" t="str">
        <f>_xlfn.IFNA(TEXT(VLOOKUP(U86,'Incoming Material Report'!A:D,4,FALSE),"dd.mm.yy"),"")</f>
        <v/>
      </c>
      <c r="AR86" s="52" t="str">
        <f>_xlfn.IFNA(VLOOKUP(U86,'Incoming Material Report'!A:Z,5,FALSE),"")</f>
        <v/>
      </c>
      <c r="AT86" s="52" t="str">
        <f>IF(OR(_xlfn.IFNA(VLOOKUP(U86,'Incoming Material Report'!A:Z,6,FALSE),"")="NSC",_xlfn.IFNA(VLOOKUP(U86,'Incoming Material Report'!A:Z,6,FALSE),"")="NSSMC"),"NSC","")</f>
        <v/>
      </c>
      <c r="AU86" s="52" t="str">
        <f>_xlfn.IFNA(VLOOKUP(U86,'Incoming Material Report'!A:Z,8,FALSE),"")</f>
        <v/>
      </c>
      <c r="AZ86" s="52" t="str">
        <f>_xlfn.IFNA(VLOOKUP(U86,'GRPO Wiz'!AP:BT,17,FALSE),"")</f>
        <v/>
      </c>
      <c r="BA86" s="52" t="str">
        <f>_xlfn.IFNA(VLOOKUP(U86,'GRPO Wiz'!AP:BT,18,FALSE),"")</f>
        <v/>
      </c>
      <c r="BB86" s="52" t="str">
        <f>_xlfn.IFNA(VLOOKUP(U86,'GRPO Wiz'!AP:BT,19,FALSE),"")</f>
        <v/>
      </c>
      <c r="BC86" s="52" t="str">
        <f>_xlfn.IFNA(VLOOKUP(U86,'GRPO Wiz'!AP:BT,20,FALSE),"")</f>
        <v/>
      </c>
      <c r="BD86" s="52" t="str">
        <f>_xlfn.IFNA(VLOOKUP(U86,'GRPO Wiz'!AP:BT,21,FALSE),"")</f>
        <v/>
      </c>
      <c r="BE86" s="52" t="str">
        <f>_xlfn.IFNA(LEFT((VLOOKUP(U86,'GRPO Wiz'!AP:BT,22,FALSE)),8),"")</f>
        <v/>
      </c>
      <c r="BF86" s="52" t="str">
        <f>_xlfn.IFNA(VLOOKUP(U86,'GRPO Wiz'!AP:BT,26,FALSE),"")</f>
        <v/>
      </c>
      <c r="BG86" s="63" t="str">
        <f>_xlfn.IFNA(VLOOKUP(U86,'GRPO Wiz'!AP:BQ,28,FALSE),"")</f>
        <v/>
      </c>
      <c r="BH86" s="52" t="str">
        <f>_xlfn.IFNA(VLOOKUP(U86,'GRPO Wiz'!AP:BN,25,FALSE),"")</f>
        <v/>
      </c>
      <c r="BI86" s="52" t="str">
        <f>_xlfn.IFNA(VLOOKUP(U86,'GRPO Wiz'!AP:BT,31,FALSE),"")</f>
        <v/>
      </c>
      <c r="BJ86" s="52" t="str">
        <f>_xlfn.IFNA(VLOOKUP(U86,'GRPO Wiz'!AP:BZ,32,FALSE),"")</f>
        <v/>
      </c>
      <c r="BK86" s="52" t="str">
        <f>_xlfn.IFNA(VLOOKUP(U86,'GRPO Wiz'!AP:BZ,27,FALSE),"")</f>
        <v/>
      </c>
      <c r="BL86" s="52" t="str">
        <f>_xlfn.IFNA(VALUE(VLOOKUP(U86,'GRPO Wiz'!AP:BZ,29,FALSE)),"")</f>
        <v/>
      </c>
      <c r="BM86" s="52" t="str">
        <f>IF(OR(_xlfn.IFNA(VLOOKUP(U86,'GRPO Wiz'!AP:BZ,33,FALSE),"")="NSC",_xlfn.IFNA(VLOOKUP(U86,'GRPO Wiz'!AP:BZ,33,FALSE),"")="NSSMC"),"NSC","")</f>
        <v/>
      </c>
      <c r="BX86" s="52" t="str">
        <f t="shared" si="27"/>
        <v/>
      </c>
      <c r="BY86" s="52" t="str">
        <f>_xlfn.IFNA(VLOOKUP(BX86&amp;H86,AP!IP:IQ,2,FALSE),"")</f>
        <v/>
      </c>
      <c r="BZ86" s="53" t="str">
        <f t="shared" si="28"/>
        <v/>
      </c>
      <c r="CA86" s="53"/>
      <c r="CD86" s="52" t="str">
        <f>_xlfn.IFNA((VLOOKUP(BX86&amp;H86,AP!IP:IS,4,FALSE)),"")</f>
        <v/>
      </c>
    </row>
    <row r="87" spans="10:82" ht="26.25" customHeight="1" x14ac:dyDescent="0.25">
      <c r="J87" s="52" t="str">
        <f t="shared" si="24"/>
        <v/>
      </c>
      <c r="K87" s="52" t="str">
        <f>IF(O87="","",VLOOKUP(U87,Data!O:AC,15,FALSE)/G87)</f>
        <v/>
      </c>
      <c r="X87" s="52" t="str">
        <f t="shared" si="25"/>
        <v/>
      </c>
      <c r="Z87" s="52">
        <f t="shared" si="26"/>
        <v>0</v>
      </c>
      <c r="AG87" s="52" t="str">
        <f>_xlfn.IFNA(VLOOKUP(U87,'Incoming Material Report'!A:M,13,FALSE),"")</f>
        <v/>
      </c>
      <c r="AH87" s="52" t="str">
        <f>_xlfn.IFNA(IF(VLOOKUP(U87,'Incoming Material Report'!A:N,14,FALSE)="","",VLOOKUP(U87,'Incoming Material Report'!A:N,14,FALSE)),"")</f>
        <v/>
      </c>
      <c r="AI87" s="52" t="str">
        <f>_xlfn.IFNA(VLOOKUP(U87,'Incoming Material Report'!A:Z,24,FALSE),"")</f>
        <v/>
      </c>
      <c r="AJ87" s="52" t="str">
        <f>_xlfn.IFNA(VLOOKUP(U87,'Incoming Material Report'!A:Z,25,FALSE),"")</f>
        <v/>
      </c>
      <c r="AK87" s="52" t="str">
        <f>_xlfn.IFNA(VLOOKUP(U87,'Incoming Material Report'!A:Z,26,FALSE),"")</f>
        <v/>
      </c>
      <c r="AL87" s="52" t="str">
        <f>_xlfn.IFNA(VLOOKUP(U87,'Incoming Material Report'!A:Z,2,FALSE),"")</f>
        <v/>
      </c>
      <c r="AM87" s="52" t="str">
        <f>_xlfn.IFNA(VLOOKUP(U87,'Incoming Material Report'!A:K,11,FALSE)/1000,"")</f>
        <v/>
      </c>
      <c r="AO87" s="52" t="str">
        <f>_xlfn.IFNA(VLOOKUP(U87,'Incoming Material Report'!A:R,18,FALSE)*1000,"")</f>
        <v/>
      </c>
      <c r="AQ87" s="52" t="str">
        <f>_xlfn.IFNA(TEXT(VLOOKUP(U87,'Incoming Material Report'!A:D,4,FALSE),"dd.mm.yy"),"")</f>
        <v/>
      </c>
      <c r="AR87" s="52" t="str">
        <f>_xlfn.IFNA(VLOOKUP(U87,'Incoming Material Report'!A:Z,5,FALSE),"")</f>
        <v/>
      </c>
      <c r="AT87" s="52" t="str">
        <f>IF(OR(_xlfn.IFNA(VLOOKUP(U87,'Incoming Material Report'!A:Z,6,FALSE),"")="NSC",_xlfn.IFNA(VLOOKUP(U87,'Incoming Material Report'!A:Z,6,FALSE),"")="NSSMC"),"NSC","")</f>
        <v/>
      </c>
      <c r="AU87" s="52" t="str">
        <f>_xlfn.IFNA(VLOOKUP(U87,'Incoming Material Report'!A:Z,8,FALSE),"")</f>
        <v/>
      </c>
      <c r="AZ87" s="52" t="str">
        <f>_xlfn.IFNA(VLOOKUP(U87,'GRPO Wiz'!AP:BT,17,FALSE),"")</f>
        <v/>
      </c>
      <c r="BA87" s="52" t="str">
        <f>_xlfn.IFNA(VLOOKUP(U87,'GRPO Wiz'!AP:BT,18,FALSE),"")</f>
        <v/>
      </c>
      <c r="BB87" s="52" t="str">
        <f>_xlfn.IFNA(VLOOKUP(U87,'GRPO Wiz'!AP:BT,19,FALSE),"")</f>
        <v/>
      </c>
      <c r="BC87" s="52" t="str">
        <f>_xlfn.IFNA(VLOOKUP(U87,'GRPO Wiz'!AP:BT,20,FALSE),"")</f>
        <v/>
      </c>
      <c r="BD87" s="52" t="str">
        <f>_xlfn.IFNA(VLOOKUP(U87,'GRPO Wiz'!AP:BT,21,FALSE),"")</f>
        <v/>
      </c>
      <c r="BE87" s="52" t="str">
        <f>_xlfn.IFNA(LEFT((VLOOKUP(U87,'GRPO Wiz'!AP:BT,22,FALSE)),8),"")</f>
        <v/>
      </c>
      <c r="BF87" s="52" t="str">
        <f>_xlfn.IFNA(VLOOKUP(U87,'GRPO Wiz'!AP:BT,26,FALSE),"")</f>
        <v/>
      </c>
      <c r="BG87" s="63" t="str">
        <f>_xlfn.IFNA(VLOOKUP(U87,'GRPO Wiz'!AP:BQ,28,FALSE),"")</f>
        <v/>
      </c>
      <c r="BH87" s="52" t="str">
        <f>_xlfn.IFNA(VLOOKUP(U87,'GRPO Wiz'!AP:BN,25,FALSE),"")</f>
        <v/>
      </c>
      <c r="BI87" s="52" t="str">
        <f>_xlfn.IFNA(VLOOKUP(U87,'GRPO Wiz'!AP:BT,31,FALSE),"")</f>
        <v/>
      </c>
      <c r="BJ87" s="52" t="str">
        <f>_xlfn.IFNA(VLOOKUP(U87,'GRPO Wiz'!AP:BZ,32,FALSE),"")</f>
        <v/>
      </c>
      <c r="BK87" s="52" t="str">
        <f>_xlfn.IFNA(VLOOKUP(U87,'GRPO Wiz'!AP:BZ,27,FALSE),"")</f>
        <v/>
      </c>
      <c r="BL87" s="52" t="str">
        <f>_xlfn.IFNA(VALUE(VLOOKUP(U87,'GRPO Wiz'!AP:BZ,29,FALSE)),"")</f>
        <v/>
      </c>
      <c r="BM87" s="52" t="str">
        <f>IF(OR(_xlfn.IFNA(VLOOKUP(U87,'GRPO Wiz'!AP:BZ,33,FALSE),"")="NSC",_xlfn.IFNA(VLOOKUP(U87,'GRPO Wiz'!AP:BZ,33,FALSE),"")="NSSMC"),"NSC","")</f>
        <v/>
      </c>
      <c r="BX87" s="52" t="str">
        <f t="shared" si="27"/>
        <v/>
      </c>
      <c r="BY87" s="52" t="str">
        <f>_xlfn.IFNA(VLOOKUP(BX87&amp;H87,AP!IP:IQ,2,FALSE),"")</f>
        <v/>
      </c>
      <c r="BZ87" s="53" t="str">
        <f t="shared" si="28"/>
        <v/>
      </c>
      <c r="CA87" s="53"/>
      <c r="CD87" s="52" t="str">
        <f>_xlfn.IFNA((VLOOKUP(BX87&amp;H87,AP!IP:IS,4,FALSE)),"")</f>
        <v/>
      </c>
    </row>
    <row r="88" spans="10:82" ht="26.25" customHeight="1" x14ac:dyDescent="0.25">
      <c r="J88" s="52" t="str">
        <f t="shared" si="24"/>
        <v/>
      </c>
      <c r="K88" s="52" t="str">
        <f>IF(O88="","",VLOOKUP(U88,Data!O:AC,15,FALSE)/G88)</f>
        <v/>
      </c>
      <c r="X88" s="52" t="str">
        <f t="shared" si="25"/>
        <v/>
      </c>
      <c r="Z88" s="52">
        <f t="shared" si="26"/>
        <v>0</v>
      </c>
      <c r="AG88" s="52" t="str">
        <f>_xlfn.IFNA(VLOOKUP(U88,'Incoming Material Report'!A:M,13,FALSE),"")</f>
        <v/>
      </c>
      <c r="AH88" s="52" t="str">
        <f>_xlfn.IFNA(IF(VLOOKUP(U88,'Incoming Material Report'!A:N,14,FALSE)="","",VLOOKUP(U88,'Incoming Material Report'!A:N,14,FALSE)),"")</f>
        <v/>
      </c>
      <c r="AI88" s="52" t="str">
        <f>_xlfn.IFNA(VLOOKUP(U88,'Incoming Material Report'!A:Z,24,FALSE),"")</f>
        <v/>
      </c>
      <c r="AJ88" s="52" t="str">
        <f>_xlfn.IFNA(VLOOKUP(U88,'Incoming Material Report'!A:Z,25,FALSE),"")</f>
        <v/>
      </c>
      <c r="AK88" s="52" t="str">
        <f>_xlfn.IFNA(VLOOKUP(U88,'Incoming Material Report'!A:Z,26,FALSE),"")</f>
        <v/>
      </c>
      <c r="AL88" s="52" t="str">
        <f>_xlfn.IFNA(VLOOKUP(U88,'Incoming Material Report'!A:Z,2,FALSE),"")</f>
        <v/>
      </c>
      <c r="AM88" s="52" t="str">
        <f>_xlfn.IFNA(VLOOKUP(U88,'Incoming Material Report'!A:K,11,FALSE)/1000,"")</f>
        <v/>
      </c>
      <c r="AO88" s="52" t="str">
        <f>_xlfn.IFNA(VLOOKUP(U88,'Incoming Material Report'!A:R,18,FALSE)*1000,"")</f>
        <v/>
      </c>
      <c r="AQ88" s="52" t="str">
        <f>_xlfn.IFNA(TEXT(VLOOKUP(U88,'Incoming Material Report'!A:D,4,FALSE),"dd.mm.yy"),"")</f>
        <v/>
      </c>
      <c r="AR88" s="52" t="str">
        <f>_xlfn.IFNA(VLOOKUP(U88,'Incoming Material Report'!A:Z,5,FALSE),"")</f>
        <v/>
      </c>
      <c r="AT88" s="52" t="str">
        <f>IF(OR(_xlfn.IFNA(VLOOKUP(U88,'Incoming Material Report'!A:Z,6,FALSE),"")="NSC",_xlfn.IFNA(VLOOKUP(U88,'Incoming Material Report'!A:Z,6,FALSE),"")="NSSMC"),"NSC","")</f>
        <v/>
      </c>
      <c r="AU88" s="52" t="str">
        <f>_xlfn.IFNA(VLOOKUP(U88,'Incoming Material Report'!A:Z,8,FALSE),"")</f>
        <v/>
      </c>
      <c r="AZ88" s="52" t="str">
        <f>_xlfn.IFNA(VLOOKUP(U88,'GRPO Wiz'!AP:BT,17,FALSE),"")</f>
        <v/>
      </c>
      <c r="BA88" s="52" t="str">
        <f>_xlfn.IFNA(VLOOKUP(U88,'GRPO Wiz'!AP:BT,18,FALSE),"")</f>
        <v/>
      </c>
      <c r="BB88" s="52" t="str">
        <f>_xlfn.IFNA(VLOOKUP(U88,'GRPO Wiz'!AP:BT,19,FALSE),"")</f>
        <v/>
      </c>
      <c r="BC88" s="52" t="str">
        <f>_xlfn.IFNA(VLOOKUP(U88,'GRPO Wiz'!AP:BT,20,FALSE),"")</f>
        <v/>
      </c>
      <c r="BD88" s="52" t="str">
        <f>_xlfn.IFNA(VLOOKUP(U88,'GRPO Wiz'!AP:BT,21,FALSE),"")</f>
        <v/>
      </c>
      <c r="BE88" s="52" t="str">
        <f>_xlfn.IFNA(LEFT((VLOOKUP(U88,'GRPO Wiz'!AP:BT,22,FALSE)),8),"")</f>
        <v/>
      </c>
      <c r="BF88" s="52" t="str">
        <f>_xlfn.IFNA(VLOOKUP(U88,'GRPO Wiz'!AP:BT,26,FALSE),"")</f>
        <v/>
      </c>
      <c r="BG88" s="63" t="str">
        <f>_xlfn.IFNA(VLOOKUP(U88,'GRPO Wiz'!AP:BQ,28,FALSE),"")</f>
        <v/>
      </c>
      <c r="BH88" s="52" t="str">
        <f>_xlfn.IFNA(VLOOKUP(U88,'GRPO Wiz'!AP:BN,25,FALSE),"")</f>
        <v/>
      </c>
      <c r="BI88" s="52" t="str">
        <f>_xlfn.IFNA(VLOOKUP(U88,'GRPO Wiz'!AP:BT,31,FALSE),"")</f>
        <v/>
      </c>
      <c r="BJ88" s="52" t="str">
        <f>_xlfn.IFNA(VLOOKUP(U88,'GRPO Wiz'!AP:BZ,32,FALSE),"")</f>
        <v/>
      </c>
      <c r="BK88" s="52" t="str">
        <f>_xlfn.IFNA(VLOOKUP(U88,'GRPO Wiz'!AP:BZ,27,FALSE),"")</f>
        <v/>
      </c>
      <c r="BL88" s="52" t="str">
        <f>_xlfn.IFNA(VALUE(VLOOKUP(U88,'GRPO Wiz'!AP:BZ,29,FALSE)),"")</f>
        <v/>
      </c>
      <c r="BM88" s="52" t="str">
        <f>IF(OR(_xlfn.IFNA(VLOOKUP(U88,'GRPO Wiz'!AP:BZ,33,FALSE),"")="NSC",_xlfn.IFNA(VLOOKUP(U88,'GRPO Wiz'!AP:BZ,33,FALSE),"")="NSSMC"),"NSC","")</f>
        <v/>
      </c>
      <c r="BX88" s="52" t="str">
        <f t="shared" si="27"/>
        <v/>
      </c>
      <c r="BY88" s="52" t="str">
        <f>_xlfn.IFNA(VLOOKUP(BX88&amp;H88,AP!IP:IQ,2,FALSE),"")</f>
        <v/>
      </c>
      <c r="BZ88" s="53" t="str">
        <f t="shared" si="28"/>
        <v/>
      </c>
      <c r="CA88" s="53"/>
      <c r="CD88" s="52" t="str">
        <f>_xlfn.IFNA((VLOOKUP(BX88&amp;H88,AP!IP:IS,4,FALSE)),"")</f>
        <v/>
      </c>
    </row>
    <row r="89" spans="10:82" ht="26.25" customHeight="1" x14ac:dyDescent="0.25">
      <c r="J89" s="52" t="str">
        <f t="shared" si="24"/>
        <v/>
      </c>
      <c r="K89" s="52" t="str">
        <f>IF(O89="","",VLOOKUP(U89,Data!O:AC,15,FALSE)/G89)</f>
        <v/>
      </c>
      <c r="X89" s="52" t="str">
        <f t="shared" si="25"/>
        <v/>
      </c>
      <c r="Z89" s="52">
        <f t="shared" si="26"/>
        <v>0</v>
      </c>
      <c r="AG89" s="52" t="str">
        <f>_xlfn.IFNA(VLOOKUP(U89,'Incoming Material Report'!A:M,13,FALSE),"")</f>
        <v/>
      </c>
      <c r="AH89" s="52" t="str">
        <f>_xlfn.IFNA(IF(VLOOKUP(U89,'Incoming Material Report'!A:N,14,FALSE)="","",VLOOKUP(U89,'Incoming Material Report'!A:N,14,FALSE)),"")</f>
        <v/>
      </c>
      <c r="AI89" s="52" t="str">
        <f>_xlfn.IFNA(VLOOKUP(U89,'Incoming Material Report'!A:Z,24,FALSE),"")</f>
        <v/>
      </c>
      <c r="AJ89" s="52" t="str">
        <f>_xlfn.IFNA(VLOOKUP(U89,'Incoming Material Report'!A:Z,25,FALSE),"")</f>
        <v/>
      </c>
      <c r="AK89" s="52" t="str">
        <f>_xlfn.IFNA(VLOOKUP(U89,'Incoming Material Report'!A:Z,26,FALSE),"")</f>
        <v/>
      </c>
      <c r="AL89" s="52" t="str">
        <f>_xlfn.IFNA(VLOOKUP(U89,'Incoming Material Report'!A:Z,2,FALSE),"")</f>
        <v/>
      </c>
      <c r="AM89" s="52" t="str">
        <f>_xlfn.IFNA(VLOOKUP(U89,'Incoming Material Report'!A:K,11,FALSE)/1000,"")</f>
        <v/>
      </c>
      <c r="AO89" s="52" t="str">
        <f>_xlfn.IFNA(VLOOKUP(U89,'Incoming Material Report'!A:R,18,FALSE)*1000,"")</f>
        <v/>
      </c>
      <c r="AQ89" s="52" t="str">
        <f>_xlfn.IFNA(TEXT(VLOOKUP(U89,'Incoming Material Report'!A:D,4,FALSE),"dd.mm.yy"),"")</f>
        <v/>
      </c>
      <c r="AR89" s="52" t="str">
        <f>_xlfn.IFNA(VLOOKUP(U89,'Incoming Material Report'!A:Z,5,FALSE),"")</f>
        <v/>
      </c>
      <c r="AT89" s="52" t="str">
        <f>IF(OR(_xlfn.IFNA(VLOOKUP(U89,'Incoming Material Report'!A:Z,6,FALSE),"")="NSC",_xlfn.IFNA(VLOOKUP(U89,'Incoming Material Report'!A:Z,6,FALSE),"")="NSSMC"),"NSC","")</f>
        <v/>
      </c>
      <c r="AU89" s="52" t="str">
        <f>_xlfn.IFNA(VLOOKUP(U89,'Incoming Material Report'!A:Z,8,FALSE),"")</f>
        <v/>
      </c>
      <c r="AZ89" s="52" t="str">
        <f>_xlfn.IFNA(VLOOKUP(U89,'GRPO Wiz'!AP:BT,17,FALSE),"")</f>
        <v/>
      </c>
      <c r="BA89" s="52" t="str">
        <f>_xlfn.IFNA(VLOOKUP(U89,'GRPO Wiz'!AP:BT,18,FALSE),"")</f>
        <v/>
      </c>
      <c r="BB89" s="52" t="str">
        <f>_xlfn.IFNA(VLOOKUP(U89,'GRPO Wiz'!AP:BT,19,FALSE),"")</f>
        <v/>
      </c>
      <c r="BC89" s="52" t="str">
        <f>_xlfn.IFNA(VLOOKUP(U89,'GRPO Wiz'!AP:BT,20,FALSE),"")</f>
        <v/>
      </c>
      <c r="BD89" s="52" t="str">
        <f>_xlfn.IFNA(VLOOKUP(U89,'GRPO Wiz'!AP:BT,21,FALSE),"")</f>
        <v/>
      </c>
      <c r="BE89" s="52" t="str">
        <f>_xlfn.IFNA(LEFT((VLOOKUP(U89,'GRPO Wiz'!AP:BT,22,FALSE)),8),"")</f>
        <v/>
      </c>
      <c r="BF89" s="52" t="str">
        <f>_xlfn.IFNA(VLOOKUP(U89,'GRPO Wiz'!AP:BT,26,FALSE),"")</f>
        <v/>
      </c>
      <c r="BG89" s="63" t="str">
        <f>_xlfn.IFNA(VLOOKUP(U89,'GRPO Wiz'!AP:BQ,28,FALSE),"")</f>
        <v/>
      </c>
      <c r="BH89" s="52" t="str">
        <f>_xlfn.IFNA(VLOOKUP(U89,'GRPO Wiz'!AP:BN,25,FALSE),"")</f>
        <v/>
      </c>
      <c r="BI89" s="52" t="str">
        <f>_xlfn.IFNA(VLOOKUP(U89,'GRPO Wiz'!AP:BT,31,FALSE),"")</f>
        <v/>
      </c>
      <c r="BJ89" s="52" t="str">
        <f>_xlfn.IFNA(VLOOKUP(U89,'GRPO Wiz'!AP:BZ,32,FALSE),"")</f>
        <v/>
      </c>
      <c r="BK89" s="52" t="str">
        <f>_xlfn.IFNA(VLOOKUP(U89,'GRPO Wiz'!AP:BZ,27,FALSE),"")</f>
        <v/>
      </c>
      <c r="BL89" s="52" t="str">
        <f>_xlfn.IFNA(VALUE(VLOOKUP(U89,'GRPO Wiz'!AP:BZ,29,FALSE)),"")</f>
        <v/>
      </c>
      <c r="BM89" s="52" t="str">
        <f>IF(OR(_xlfn.IFNA(VLOOKUP(U89,'GRPO Wiz'!AP:BZ,33,FALSE),"")="NSC",_xlfn.IFNA(VLOOKUP(U89,'GRPO Wiz'!AP:BZ,33,FALSE),"")="NSSMC"),"NSC","")</f>
        <v/>
      </c>
      <c r="BX89" s="52" t="str">
        <f t="shared" si="27"/>
        <v/>
      </c>
      <c r="BY89" s="52" t="str">
        <f>_xlfn.IFNA(VLOOKUP(BX89&amp;H89,AP!IP:IQ,2,FALSE),"")</f>
        <v/>
      </c>
      <c r="BZ89" s="53" t="str">
        <f t="shared" si="28"/>
        <v/>
      </c>
      <c r="CA89" s="53"/>
      <c r="CD89" s="52" t="str">
        <f>_xlfn.IFNA((VLOOKUP(BX89&amp;H89,AP!IP:IS,4,FALSE)),"")</f>
        <v/>
      </c>
    </row>
    <row r="90" spans="10:82" ht="26.25" customHeight="1" x14ac:dyDescent="0.25">
      <c r="J90" s="52" t="str">
        <f t="shared" si="24"/>
        <v/>
      </c>
      <c r="K90" s="52" t="str">
        <f>IF(O90="","",VLOOKUP(U90,Data!O:AC,15,FALSE)/G90)</f>
        <v/>
      </c>
      <c r="X90" s="52" t="str">
        <f t="shared" si="25"/>
        <v/>
      </c>
      <c r="Z90" s="52">
        <f t="shared" si="26"/>
        <v>0</v>
      </c>
      <c r="AG90" s="52" t="str">
        <f>_xlfn.IFNA(VLOOKUP(U90,'Incoming Material Report'!A:M,13,FALSE),"")</f>
        <v/>
      </c>
      <c r="AH90" s="52" t="str">
        <f>_xlfn.IFNA(IF(VLOOKUP(U90,'Incoming Material Report'!A:N,14,FALSE)="","",VLOOKUP(U90,'Incoming Material Report'!A:N,14,FALSE)),"")</f>
        <v/>
      </c>
      <c r="AI90" s="52" t="str">
        <f>_xlfn.IFNA(VLOOKUP(U90,'Incoming Material Report'!A:Z,24,FALSE),"")</f>
        <v/>
      </c>
      <c r="AJ90" s="52" t="str">
        <f>_xlfn.IFNA(VLOOKUP(U90,'Incoming Material Report'!A:Z,25,FALSE),"")</f>
        <v/>
      </c>
      <c r="AK90" s="52" t="str">
        <f>_xlfn.IFNA(VLOOKUP(U90,'Incoming Material Report'!A:Z,26,FALSE),"")</f>
        <v/>
      </c>
      <c r="AL90" s="52" t="str">
        <f>_xlfn.IFNA(VLOOKUP(U90,'Incoming Material Report'!A:Z,2,FALSE),"")</f>
        <v/>
      </c>
      <c r="AM90" s="52" t="str">
        <f>_xlfn.IFNA(VLOOKUP(U90,'Incoming Material Report'!A:K,11,FALSE)/1000,"")</f>
        <v/>
      </c>
      <c r="AO90" s="52" t="str">
        <f>_xlfn.IFNA(VLOOKUP(U90,'Incoming Material Report'!A:R,18,FALSE)*1000,"")</f>
        <v/>
      </c>
      <c r="AQ90" s="52" t="str">
        <f>_xlfn.IFNA(TEXT(VLOOKUP(U90,'Incoming Material Report'!A:D,4,FALSE),"dd.mm.yy"),"")</f>
        <v/>
      </c>
      <c r="AR90" s="52" t="str">
        <f>_xlfn.IFNA(VLOOKUP(U90,'Incoming Material Report'!A:Z,5,FALSE),"")</f>
        <v/>
      </c>
      <c r="AT90" s="52" t="str">
        <f>IF(OR(_xlfn.IFNA(VLOOKUP(U90,'Incoming Material Report'!A:Z,6,FALSE),"")="NSC",_xlfn.IFNA(VLOOKUP(U90,'Incoming Material Report'!A:Z,6,FALSE),"")="NSSMC"),"NSC","")</f>
        <v/>
      </c>
      <c r="AU90" s="52" t="str">
        <f>_xlfn.IFNA(VLOOKUP(U90,'Incoming Material Report'!A:Z,8,FALSE),"")</f>
        <v/>
      </c>
      <c r="AZ90" s="52" t="str">
        <f>_xlfn.IFNA(VLOOKUP(U90,'GRPO Wiz'!AP:BT,17,FALSE),"")</f>
        <v/>
      </c>
      <c r="BA90" s="52" t="str">
        <f>_xlfn.IFNA(VLOOKUP(U90,'GRPO Wiz'!AP:BT,18,FALSE),"")</f>
        <v/>
      </c>
      <c r="BB90" s="52" t="str">
        <f>_xlfn.IFNA(VLOOKUP(U90,'GRPO Wiz'!AP:BT,19,FALSE),"")</f>
        <v/>
      </c>
      <c r="BC90" s="52" t="str">
        <f>_xlfn.IFNA(VLOOKUP(U90,'GRPO Wiz'!AP:BT,20,FALSE),"")</f>
        <v/>
      </c>
      <c r="BD90" s="52" t="str">
        <f>_xlfn.IFNA(VLOOKUP(U90,'GRPO Wiz'!AP:BT,21,FALSE),"")</f>
        <v/>
      </c>
      <c r="BE90" s="52" t="str">
        <f>_xlfn.IFNA(LEFT((VLOOKUP(U90,'GRPO Wiz'!AP:BT,22,FALSE)),8),"")</f>
        <v/>
      </c>
      <c r="BF90" s="52" t="str">
        <f>_xlfn.IFNA(VLOOKUP(U90,'GRPO Wiz'!AP:BT,26,FALSE),"")</f>
        <v/>
      </c>
      <c r="BG90" s="63" t="str">
        <f>_xlfn.IFNA(VLOOKUP(U90,'GRPO Wiz'!AP:BQ,28,FALSE),"")</f>
        <v/>
      </c>
      <c r="BH90" s="52" t="str">
        <f>_xlfn.IFNA(VLOOKUP(U90,'GRPO Wiz'!AP:BN,25,FALSE),"")</f>
        <v/>
      </c>
      <c r="BI90" s="52" t="str">
        <f>_xlfn.IFNA(VLOOKUP(U90,'GRPO Wiz'!AP:BT,31,FALSE),"")</f>
        <v/>
      </c>
      <c r="BJ90" s="52" t="str">
        <f>_xlfn.IFNA(VLOOKUP(U90,'GRPO Wiz'!AP:BZ,32,FALSE),"")</f>
        <v/>
      </c>
      <c r="BK90" s="52" t="str">
        <f>_xlfn.IFNA(VLOOKUP(U90,'GRPO Wiz'!AP:BZ,27,FALSE),"")</f>
        <v/>
      </c>
      <c r="BL90" s="52" t="str">
        <f>_xlfn.IFNA(VALUE(VLOOKUP(U90,'GRPO Wiz'!AP:BZ,29,FALSE)),"")</f>
        <v/>
      </c>
      <c r="BM90" s="52" t="str">
        <f>IF(OR(_xlfn.IFNA(VLOOKUP(U90,'GRPO Wiz'!AP:BZ,33,FALSE),"")="NSC",_xlfn.IFNA(VLOOKUP(U90,'GRPO Wiz'!AP:BZ,33,FALSE),"")="NSSMC"),"NSC","")</f>
        <v/>
      </c>
      <c r="BX90" s="52" t="str">
        <f t="shared" si="27"/>
        <v/>
      </c>
      <c r="BY90" s="52" t="str">
        <f>_xlfn.IFNA(VLOOKUP(BX90&amp;H90,AP!IP:IQ,2,FALSE),"")</f>
        <v/>
      </c>
      <c r="BZ90" s="53" t="str">
        <f t="shared" si="28"/>
        <v/>
      </c>
      <c r="CA90" s="53"/>
      <c r="CD90" s="52" t="str">
        <f>_xlfn.IFNA((VLOOKUP(BX90&amp;H90,AP!IP:IS,4,FALSE)),"")</f>
        <v/>
      </c>
    </row>
    <row r="91" spans="10:82" ht="26.25" customHeight="1" x14ac:dyDescent="0.25">
      <c r="J91" s="52" t="str">
        <f t="shared" si="24"/>
        <v/>
      </c>
      <c r="K91" s="52" t="str">
        <f>IF(O91="","",VLOOKUP(U91,Data!O:AC,15,FALSE)/G91)</f>
        <v/>
      </c>
      <c r="X91" s="52" t="str">
        <f t="shared" si="25"/>
        <v/>
      </c>
      <c r="Z91" s="52">
        <f t="shared" si="26"/>
        <v>0</v>
      </c>
      <c r="AG91" s="52" t="str">
        <f>_xlfn.IFNA(VLOOKUP(U91,'Incoming Material Report'!A:M,13,FALSE),"")</f>
        <v/>
      </c>
      <c r="AH91" s="52" t="str">
        <f>_xlfn.IFNA(IF(VLOOKUP(U91,'Incoming Material Report'!A:N,14,FALSE)="","",VLOOKUP(U91,'Incoming Material Report'!A:N,14,FALSE)),"")</f>
        <v/>
      </c>
      <c r="AI91" s="52" t="str">
        <f>_xlfn.IFNA(VLOOKUP(U91,'Incoming Material Report'!A:Z,24,FALSE),"")</f>
        <v/>
      </c>
      <c r="AJ91" s="52" t="str">
        <f>_xlfn.IFNA(VLOOKUP(U91,'Incoming Material Report'!A:Z,25,FALSE),"")</f>
        <v/>
      </c>
      <c r="AK91" s="52" t="str">
        <f>_xlfn.IFNA(VLOOKUP(U91,'Incoming Material Report'!A:Z,26,FALSE),"")</f>
        <v/>
      </c>
      <c r="AL91" s="52" t="str">
        <f>_xlfn.IFNA(VLOOKUP(U91,'Incoming Material Report'!A:Z,2,FALSE),"")</f>
        <v/>
      </c>
      <c r="AM91" s="52" t="str">
        <f>_xlfn.IFNA(VLOOKUP(U91,'Incoming Material Report'!A:K,11,FALSE)/1000,"")</f>
        <v/>
      </c>
      <c r="AO91" s="52" t="str">
        <f>_xlfn.IFNA(VLOOKUP(U91,'Incoming Material Report'!A:R,18,FALSE)*1000,"")</f>
        <v/>
      </c>
      <c r="AQ91" s="52" t="str">
        <f>_xlfn.IFNA(TEXT(VLOOKUP(U91,'Incoming Material Report'!A:D,4,FALSE),"dd.mm.yy"),"")</f>
        <v/>
      </c>
      <c r="AR91" s="52" t="str">
        <f>_xlfn.IFNA(VLOOKUP(U91,'Incoming Material Report'!A:Z,5,FALSE),"")</f>
        <v/>
      </c>
      <c r="AT91" s="52" t="str">
        <f>IF(OR(_xlfn.IFNA(VLOOKUP(U91,'Incoming Material Report'!A:Z,6,FALSE),"")="NSC",_xlfn.IFNA(VLOOKUP(U91,'Incoming Material Report'!A:Z,6,FALSE),"")="NSSMC"),"NSC","")</f>
        <v/>
      </c>
      <c r="AU91" s="52" t="str">
        <f>_xlfn.IFNA(VLOOKUP(U91,'Incoming Material Report'!A:Z,8,FALSE),"")</f>
        <v/>
      </c>
      <c r="AZ91" s="52" t="str">
        <f>_xlfn.IFNA(VLOOKUP(U91,'GRPO Wiz'!AP:BT,17,FALSE),"")</f>
        <v/>
      </c>
      <c r="BA91" s="52" t="str">
        <f>_xlfn.IFNA(VLOOKUP(U91,'GRPO Wiz'!AP:BT,18,FALSE),"")</f>
        <v/>
      </c>
      <c r="BB91" s="52" t="str">
        <f>_xlfn.IFNA(VLOOKUP(U91,'GRPO Wiz'!AP:BT,19,FALSE),"")</f>
        <v/>
      </c>
      <c r="BC91" s="52" t="str">
        <f>_xlfn.IFNA(VLOOKUP(U91,'GRPO Wiz'!AP:BT,20,FALSE),"")</f>
        <v/>
      </c>
      <c r="BD91" s="52" t="str">
        <f>_xlfn.IFNA(VLOOKUP(U91,'GRPO Wiz'!AP:BT,21,FALSE),"")</f>
        <v/>
      </c>
      <c r="BE91" s="52" t="str">
        <f>_xlfn.IFNA(LEFT((VLOOKUP(U91,'GRPO Wiz'!AP:BT,22,FALSE)),8),"")</f>
        <v/>
      </c>
      <c r="BF91" s="52" t="str">
        <f>_xlfn.IFNA(VLOOKUP(U91,'GRPO Wiz'!AP:BT,26,FALSE),"")</f>
        <v/>
      </c>
      <c r="BG91" s="63" t="str">
        <f>_xlfn.IFNA(VLOOKUP(U91,'GRPO Wiz'!AP:BQ,28,FALSE),"")</f>
        <v/>
      </c>
      <c r="BH91" s="52" t="str">
        <f>_xlfn.IFNA(VLOOKUP(U91,'GRPO Wiz'!AP:BN,25,FALSE),"")</f>
        <v/>
      </c>
      <c r="BI91" s="52" t="str">
        <f>_xlfn.IFNA(VLOOKUP(U91,'GRPO Wiz'!AP:BT,31,FALSE),"")</f>
        <v/>
      </c>
      <c r="BJ91" s="52" t="str">
        <f>_xlfn.IFNA(VLOOKUP(U91,'GRPO Wiz'!AP:BZ,32,FALSE),"")</f>
        <v/>
      </c>
      <c r="BK91" s="52" t="str">
        <f>_xlfn.IFNA(VLOOKUP(U91,'GRPO Wiz'!AP:BZ,27,FALSE),"")</f>
        <v/>
      </c>
      <c r="BL91" s="52" t="str">
        <f>_xlfn.IFNA(VALUE(VLOOKUP(U91,'GRPO Wiz'!AP:BZ,29,FALSE)),"")</f>
        <v/>
      </c>
      <c r="BM91" s="52" t="str">
        <f>IF(OR(_xlfn.IFNA(VLOOKUP(U91,'GRPO Wiz'!AP:BZ,33,FALSE),"")="NSC",_xlfn.IFNA(VLOOKUP(U91,'GRPO Wiz'!AP:BZ,33,FALSE),"")="NSSMC"),"NSC","")</f>
        <v/>
      </c>
      <c r="BX91" s="52" t="str">
        <f t="shared" si="27"/>
        <v/>
      </c>
      <c r="BY91" s="52" t="str">
        <f>_xlfn.IFNA(VLOOKUP(BX91&amp;H91,AP!IP:IQ,2,FALSE),"")</f>
        <v/>
      </c>
      <c r="BZ91" s="53" t="str">
        <f t="shared" si="28"/>
        <v/>
      </c>
      <c r="CA91" s="53"/>
      <c r="CD91" s="52" t="str">
        <f>_xlfn.IFNA((VLOOKUP(BX91&amp;H91,AP!IP:IS,4,FALSE)),"")</f>
        <v/>
      </c>
    </row>
    <row r="92" spans="10:82" ht="26.25" customHeight="1" x14ac:dyDescent="0.25">
      <c r="J92" s="52" t="str">
        <f t="shared" si="24"/>
        <v/>
      </c>
      <c r="K92" s="52" t="str">
        <f>IF(O92="","",VLOOKUP(U92,Data!O:AC,15,FALSE)/G92)</f>
        <v/>
      </c>
      <c r="X92" s="52" t="str">
        <f t="shared" si="25"/>
        <v/>
      </c>
      <c r="Z92" s="52">
        <f t="shared" si="26"/>
        <v>0</v>
      </c>
      <c r="AG92" s="52" t="str">
        <f>_xlfn.IFNA(VLOOKUP(U92,'Incoming Material Report'!A:M,13,FALSE),"")</f>
        <v/>
      </c>
      <c r="AH92" s="52" t="str">
        <f>_xlfn.IFNA(IF(VLOOKUP(U92,'Incoming Material Report'!A:N,14,FALSE)="","",VLOOKUP(U92,'Incoming Material Report'!A:N,14,FALSE)),"")</f>
        <v/>
      </c>
      <c r="AI92" s="52" t="str">
        <f>_xlfn.IFNA(VLOOKUP(U92,'Incoming Material Report'!A:Z,24,FALSE),"")</f>
        <v/>
      </c>
      <c r="AJ92" s="52" t="str">
        <f>_xlfn.IFNA(VLOOKUP(U92,'Incoming Material Report'!A:Z,25,FALSE),"")</f>
        <v/>
      </c>
      <c r="AK92" s="52" t="str">
        <f>_xlfn.IFNA(VLOOKUP(U92,'Incoming Material Report'!A:Z,26,FALSE),"")</f>
        <v/>
      </c>
      <c r="AL92" s="52" t="str">
        <f>_xlfn.IFNA(VLOOKUP(U92,'Incoming Material Report'!A:Z,2,FALSE),"")</f>
        <v/>
      </c>
      <c r="AM92" s="52" t="str">
        <f>_xlfn.IFNA(VLOOKUP(U92,'Incoming Material Report'!A:K,11,FALSE)/1000,"")</f>
        <v/>
      </c>
      <c r="AO92" s="52" t="str">
        <f>_xlfn.IFNA(VLOOKUP(U92,'Incoming Material Report'!A:R,18,FALSE)*1000,"")</f>
        <v/>
      </c>
      <c r="AQ92" s="52" t="str">
        <f>_xlfn.IFNA(TEXT(VLOOKUP(U92,'Incoming Material Report'!A:D,4,FALSE),"dd.mm.yy"),"")</f>
        <v/>
      </c>
      <c r="AR92" s="52" t="str">
        <f>_xlfn.IFNA(VLOOKUP(U92,'Incoming Material Report'!A:Z,5,FALSE),"")</f>
        <v/>
      </c>
      <c r="AT92" s="52" t="str">
        <f>IF(OR(_xlfn.IFNA(VLOOKUP(U92,'Incoming Material Report'!A:Z,6,FALSE),"")="NSC",_xlfn.IFNA(VLOOKUP(U92,'Incoming Material Report'!A:Z,6,FALSE),"")="NSSMC"),"NSC","")</f>
        <v/>
      </c>
      <c r="AU92" s="52" t="str">
        <f>_xlfn.IFNA(VLOOKUP(U92,'Incoming Material Report'!A:Z,8,FALSE),"")</f>
        <v/>
      </c>
      <c r="AZ92" s="52" t="str">
        <f>_xlfn.IFNA(VLOOKUP(U92,'GRPO Wiz'!AP:BT,17,FALSE),"")</f>
        <v/>
      </c>
      <c r="BA92" s="52" t="str">
        <f>_xlfn.IFNA(VLOOKUP(U92,'GRPO Wiz'!AP:BT,18,FALSE),"")</f>
        <v/>
      </c>
      <c r="BB92" s="52" t="str">
        <f>_xlfn.IFNA(VLOOKUP(U92,'GRPO Wiz'!AP:BT,19,FALSE),"")</f>
        <v/>
      </c>
      <c r="BC92" s="52" t="str">
        <f>_xlfn.IFNA(VLOOKUP(U92,'GRPO Wiz'!AP:BT,20,FALSE),"")</f>
        <v/>
      </c>
      <c r="BD92" s="52" t="str">
        <f>_xlfn.IFNA(VLOOKUP(U92,'GRPO Wiz'!AP:BT,21,FALSE),"")</f>
        <v/>
      </c>
      <c r="BE92" s="52" t="str">
        <f>_xlfn.IFNA(LEFT((VLOOKUP(U92,'GRPO Wiz'!AP:BT,22,FALSE)),8),"")</f>
        <v/>
      </c>
      <c r="BF92" s="52" t="str">
        <f>_xlfn.IFNA(VLOOKUP(U92,'GRPO Wiz'!AP:BT,26,FALSE),"")</f>
        <v/>
      </c>
      <c r="BG92" s="63" t="str">
        <f>_xlfn.IFNA(VLOOKUP(U92,'GRPO Wiz'!AP:BQ,28,FALSE),"")</f>
        <v/>
      </c>
      <c r="BH92" s="52" t="str">
        <f>_xlfn.IFNA(VLOOKUP(U92,'GRPO Wiz'!AP:BN,25,FALSE),"")</f>
        <v/>
      </c>
      <c r="BI92" s="52" t="str">
        <f>_xlfn.IFNA(VLOOKUP(U92,'GRPO Wiz'!AP:BT,31,FALSE),"")</f>
        <v/>
      </c>
      <c r="BJ92" s="52" t="str">
        <f>_xlfn.IFNA(VLOOKUP(U92,'GRPO Wiz'!AP:BZ,32,FALSE),"")</f>
        <v/>
      </c>
      <c r="BK92" s="52" t="str">
        <f>_xlfn.IFNA(VLOOKUP(U92,'GRPO Wiz'!AP:BZ,27,FALSE),"")</f>
        <v/>
      </c>
      <c r="BL92" s="52" t="str">
        <f>_xlfn.IFNA(VALUE(VLOOKUP(U92,'GRPO Wiz'!AP:BZ,29,FALSE)),"")</f>
        <v/>
      </c>
      <c r="BM92" s="52" t="str">
        <f>IF(OR(_xlfn.IFNA(VLOOKUP(U92,'GRPO Wiz'!AP:BZ,33,FALSE),"")="NSC",_xlfn.IFNA(VLOOKUP(U92,'GRPO Wiz'!AP:BZ,33,FALSE),"")="NSSMC"),"NSC","")</f>
        <v/>
      </c>
      <c r="BX92" s="52" t="str">
        <f t="shared" si="27"/>
        <v/>
      </c>
      <c r="BY92" s="52" t="str">
        <f>_xlfn.IFNA(VLOOKUP(BX92&amp;H92,AP!IP:IQ,2,FALSE),"")</f>
        <v/>
      </c>
      <c r="BZ92" s="53" t="str">
        <f t="shared" si="28"/>
        <v/>
      </c>
      <c r="CA92" s="53"/>
      <c r="CD92" s="52" t="str">
        <f>_xlfn.IFNA((VLOOKUP(BX92&amp;H92,AP!IP:IS,4,FALSE)),"")</f>
        <v/>
      </c>
    </row>
    <row r="93" spans="10:82" ht="26.25" customHeight="1" x14ac:dyDescent="0.25">
      <c r="J93" s="52" t="str">
        <f t="shared" si="24"/>
        <v/>
      </c>
      <c r="K93" s="52" t="str">
        <f>IF(O93="","",VLOOKUP(U93,Data!O:AC,15,FALSE)/G93)</f>
        <v/>
      </c>
      <c r="X93" s="52" t="str">
        <f t="shared" si="25"/>
        <v/>
      </c>
      <c r="Z93" s="52">
        <f t="shared" si="26"/>
        <v>0</v>
      </c>
      <c r="AG93" s="52" t="str">
        <f>_xlfn.IFNA(VLOOKUP(U93,'Incoming Material Report'!A:M,13,FALSE),"")</f>
        <v/>
      </c>
      <c r="AH93" s="52" t="str">
        <f>_xlfn.IFNA(IF(VLOOKUP(U93,'Incoming Material Report'!A:N,14,FALSE)="","",VLOOKUP(U93,'Incoming Material Report'!A:N,14,FALSE)),"")</f>
        <v/>
      </c>
      <c r="AI93" s="52" t="str">
        <f>_xlfn.IFNA(VLOOKUP(U93,'Incoming Material Report'!A:Z,24,FALSE),"")</f>
        <v/>
      </c>
      <c r="AJ93" s="52" t="str">
        <f>_xlfn.IFNA(VLOOKUP(U93,'Incoming Material Report'!A:Z,25,FALSE),"")</f>
        <v/>
      </c>
      <c r="AK93" s="52" t="str">
        <f>_xlfn.IFNA(VLOOKUP(U93,'Incoming Material Report'!A:Z,26,FALSE),"")</f>
        <v/>
      </c>
      <c r="AL93" s="52" t="str">
        <f>_xlfn.IFNA(VLOOKUP(U93,'Incoming Material Report'!A:Z,2,FALSE),"")</f>
        <v/>
      </c>
      <c r="AM93" s="52" t="str">
        <f>_xlfn.IFNA(VLOOKUP(U93,'Incoming Material Report'!A:K,11,FALSE)/1000,"")</f>
        <v/>
      </c>
      <c r="AO93" s="52" t="str">
        <f>_xlfn.IFNA(VLOOKUP(U93,'Incoming Material Report'!A:R,18,FALSE)*1000,"")</f>
        <v/>
      </c>
      <c r="AQ93" s="52" t="str">
        <f>_xlfn.IFNA(TEXT(VLOOKUP(U93,'Incoming Material Report'!A:D,4,FALSE),"dd.mm.yy"),"")</f>
        <v/>
      </c>
      <c r="AR93" s="52" t="str">
        <f>_xlfn.IFNA(VLOOKUP(U93,'Incoming Material Report'!A:Z,5,FALSE),"")</f>
        <v/>
      </c>
      <c r="AT93" s="52" t="str">
        <f>IF(OR(_xlfn.IFNA(VLOOKUP(U93,'Incoming Material Report'!A:Z,6,FALSE),"")="NSC",_xlfn.IFNA(VLOOKUP(U93,'Incoming Material Report'!A:Z,6,FALSE),"")="NSSMC"),"NSC","")</f>
        <v/>
      </c>
      <c r="AU93" s="52" t="str">
        <f>_xlfn.IFNA(VLOOKUP(U93,'Incoming Material Report'!A:Z,8,FALSE),"")</f>
        <v/>
      </c>
      <c r="AZ93" s="52" t="str">
        <f>_xlfn.IFNA(VLOOKUP(U93,'GRPO Wiz'!AP:BT,17,FALSE),"")</f>
        <v/>
      </c>
      <c r="BA93" s="52" t="str">
        <f>_xlfn.IFNA(VLOOKUP(U93,'GRPO Wiz'!AP:BT,18,FALSE),"")</f>
        <v/>
      </c>
      <c r="BB93" s="52" t="str">
        <f>_xlfn.IFNA(VLOOKUP(U93,'GRPO Wiz'!AP:BT,19,FALSE),"")</f>
        <v/>
      </c>
      <c r="BC93" s="52" t="str">
        <f>_xlfn.IFNA(VLOOKUP(U93,'GRPO Wiz'!AP:BT,20,FALSE),"")</f>
        <v/>
      </c>
      <c r="BD93" s="52" t="str">
        <f>_xlfn.IFNA(VLOOKUP(U93,'GRPO Wiz'!AP:BT,21,FALSE),"")</f>
        <v/>
      </c>
      <c r="BE93" s="52" t="str">
        <f>_xlfn.IFNA(LEFT((VLOOKUP(U93,'GRPO Wiz'!AP:BT,22,FALSE)),8),"")</f>
        <v/>
      </c>
      <c r="BF93" s="52" t="str">
        <f>_xlfn.IFNA(VLOOKUP(U93,'GRPO Wiz'!AP:BT,26,FALSE),"")</f>
        <v/>
      </c>
      <c r="BG93" s="63" t="str">
        <f>_xlfn.IFNA(VLOOKUP(U93,'GRPO Wiz'!AP:BQ,28,FALSE),"")</f>
        <v/>
      </c>
      <c r="BH93" s="52" t="str">
        <f>_xlfn.IFNA(VLOOKUP(U93,'GRPO Wiz'!AP:BN,25,FALSE),"")</f>
        <v/>
      </c>
      <c r="BI93" s="52" t="str">
        <f>_xlfn.IFNA(VLOOKUP(U93,'GRPO Wiz'!AP:BT,31,FALSE),"")</f>
        <v/>
      </c>
      <c r="BJ93" s="52" t="str">
        <f>_xlfn.IFNA(VLOOKUP(U93,'GRPO Wiz'!AP:BZ,32,FALSE),"")</f>
        <v/>
      </c>
      <c r="BK93" s="52" t="str">
        <f>_xlfn.IFNA(VLOOKUP(U93,'GRPO Wiz'!AP:BZ,27,FALSE),"")</f>
        <v/>
      </c>
      <c r="BL93" s="52" t="str">
        <f>_xlfn.IFNA(VALUE(VLOOKUP(U93,'GRPO Wiz'!AP:BZ,29,FALSE)),"")</f>
        <v/>
      </c>
      <c r="BM93" s="52" t="str">
        <f>IF(OR(_xlfn.IFNA(VLOOKUP(U93,'GRPO Wiz'!AP:BZ,33,FALSE),"")="NSC",_xlfn.IFNA(VLOOKUP(U93,'GRPO Wiz'!AP:BZ,33,FALSE),"")="NSSMC"),"NSC","")</f>
        <v/>
      </c>
      <c r="BX93" s="52" t="str">
        <f t="shared" si="27"/>
        <v/>
      </c>
      <c r="BY93" s="52" t="str">
        <f>_xlfn.IFNA(VLOOKUP(BX93&amp;H93,AP!IP:IQ,2,FALSE),"")</f>
        <v/>
      </c>
      <c r="BZ93" s="53" t="str">
        <f t="shared" si="28"/>
        <v/>
      </c>
      <c r="CA93" s="53"/>
      <c r="CD93" s="52" t="str">
        <f>_xlfn.IFNA((VLOOKUP(BX93&amp;H93,AP!IP:IS,4,FALSE)),"")</f>
        <v/>
      </c>
    </row>
    <row r="94" spans="10:82" ht="26.25" customHeight="1" x14ac:dyDescent="0.25">
      <c r="J94" s="52" t="str">
        <f t="shared" si="24"/>
        <v/>
      </c>
      <c r="K94" s="52" t="str">
        <f>IF(O94="","",VLOOKUP(U94,Data!O:AC,15,FALSE)/G94)</f>
        <v/>
      </c>
      <c r="X94" s="52" t="str">
        <f t="shared" si="25"/>
        <v/>
      </c>
      <c r="Z94" s="52">
        <f t="shared" si="26"/>
        <v>0</v>
      </c>
      <c r="AG94" s="52" t="str">
        <f>_xlfn.IFNA(VLOOKUP(U94,'Incoming Material Report'!A:M,13,FALSE),"")</f>
        <v/>
      </c>
      <c r="AH94" s="52" t="str">
        <f>_xlfn.IFNA(IF(VLOOKUP(U94,'Incoming Material Report'!A:N,14,FALSE)="","",VLOOKUP(U94,'Incoming Material Report'!A:N,14,FALSE)),"")</f>
        <v/>
      </c>
      <c r="AI94" s="52" t="str">
        <f>_xlfn.IFNA(VLOOKUP(U94,'Incoming Material Report'!A:Z,24,FALSE),"")</f>
        <v/>
      </c>
      <c r="AJ94" s="52" t="str">
        <f>_xlfn.IFNA(VLOOKUP(U94,'Incoming Material Report'!A:Z,25,FALSE),"")</f>
        <v/>
      </c>
      <c r="AK94" s="52" t="str">
        <f>_xlfn.IFNA(VLOOKUP(U94,'Incoming Material Report'!A:Z,26,FALSE),"")</f>
        <v/>
      </c>
      <c r="AL94" s="52" t="str">
        <f>_xlfn.IFNA(VLOOKUP(U94,'Incoming Material Report'!A:Z,2,FALSE),"")</f>
        <v/>
      </c>
      <c r="AM94" s="52" t="str">
        <f>_xlfn.IFNA(VLOOKUP(U94,'Incoming Material Report'!A:K,11,FALSE)/1000,"")</f>
        <v/>
      </c>
      <c r="AO94" s="52" t="str">
        <f>_xlfn.IFNA(VLOOKUP(U94,'Incoming Material Report'!A:R,18,FALSE)*1000,"")</f>
        <v/>
      </c>
      <c r="AQ94" s="52" t="str">
        <f>_xlfn.IFNA(TEXT(VLOOKUP(U94,'Incoming Material Report'!A:D,4,FALSE),"dd.mm.yy"),"")</f>
        <v/>
      </c>
      <c r="AR94" s="52" t="str">
        <f>_xlfn.IFNA(VLOOKUP(U94,'Incoming Material Report'!A:Z,5,FALSE),"")</f>
        <v/>
      </c>
      <c r="AT94" s="52" t="str">
        <f>IF(OR(_xlfn.IFNA(VLOOKUP(U94,'Incoming Material Report'!A:Z,6,FALSE),"")="NSC",_xlfn.IFNA(VLOOKUP(U94,'Incoming Material Report'!A:Z,6,FALSE),"")="NSSMC"),"NSC","")</f>
        <v/>
      </c>
      <c r="AU94" s="52" t="str">
        <f>_xlfn.IFNA(VLOOKUP(U94,'Incoming Material Report'!A:Z,8,FALSE),"")</f>
        <v/>
      </c>
      <c r="AZ94" s="52" t="str">
        <f>_xlfn.IFNA(VLOOKUP(U94,'GRPO Wiz'!AP:BT,17,FALSE),"")</f>
        <v/>
      </c>
      <c r="BA94" s="52" t="str">
        <f>_xlfn.IFNA(VLOOKUP(U94,'GRPO Wiz'!AP:BT,18,FALSE),"")</f>
        <v/>
      </c>
      <c r="BB94" s="52" t="str">
        <f>_xlfn.IFNA(VLOOKUP(U94,'GRPO Wiz'!AP:BT,19,FALSE),"")</f>
        <v/>
      </c>
      <c r="BC94" s="52" t="str">
        <f>_xlfn.IFNA(VLOOKUP(U94,'GRPO Wiz'!AP:BT,20,FALSE),"")</f>
        <v/>
      </c>
      <c r="BD94" s="52" t="str">
        <f>_xlfn.IFNA(VLOOKUP(U94,'GRPO Wiz'!AP:BT,21,FALSE),"")</f>
        <v/>
      </c>
      <c r="BE94" s="52" t="str">
        <f>_xlfn.IFNA(LEFT((VLOOKUP(U94,'GRPO Wiz'!AP:BT,22,FALSE)),8),"")</f>
        <v/>
      </c>
      <c r="BF94" s="52" t="str">
        <f>_xlfn.IFNA(VLOOKUP(U94,'GRPO Wiz'!AP:BT,26,FALSE),"")</f>
        <v/>
      </c>
      <c r="BG94" s="63" t="str">
        <f>_xlfn.IFNA(VLOOKUP(U94,'GRPO Wiz'!AP:BQ,28,FALSE),"")</f>
        <v/>
      </c>
      <c r="BH94" s="52" t="str">
        <f>_xlfn.IFNA(VLOOKUP(U94,'GRPO Wiz'!AP:BN,25,FALSE),"")</f>
        <v/>
      </c>
      <c r="BI94" s="52" t="str">
        <f>_xlfn.IFNA(VLOOKUP(U94,'GRPO Wiz'!AP:BT,31,FALSE),"")</f>
        <v/>
      </c>
      <c r="BJ94" s="52" t="str">
        <f>_xlfn.IFNA(VLOOKUP(U94,'GRPO Wiz'!AP:BZ,32,FALSE),"")</f>
        <v/>
      </c>
      <c r="BK94" s="52" t="str">
        <f>_xlfn.IFNA(VLOOKUP(U94,'GRPO Wiz'!AP:BZ,27,FALSE),"")</f>
        <v/>
      </c>
      <c r="BL94" s="52" t="str">
        <f>_xlfn.IFNA(VALUE(VLOOKUP(U94,'GRPO Wiz'!AP:BZ,29,FALSE)),"")</f>
        <v/>
      </c>
      <c r="BM94" s="52" t="str">
        <f>IF(OR(_xlfn.IFNA(VLOOKUP(U94,'GRPO Wiz'!AP:BZ,33,FALSE),"")="NSC",_xlfn.IFNA(VLOOKUP(U94,'GRPO Wiz'!AP:BZ,33,FALSE),"")="NSSMC"),"NSC","")</f>
        <v/>
      </c>
      <c r="BX94" s="52" t="str">
        <f t="shared" si="27"/>
        <v/>
      </c>
      <c r="BY94" s="52" t="str">
        <f>_xlfn.IFNA(VLOOKUP(BX94&amp;H94,AP!IP:IQ,2,FALSE),"")</f>
        <v/>
      </c>
      <c r="BZ94" s="53" t="str">
        <f t="shared" si="28"/>
        <v/>
      </c>
      <c r="CA94" s="53"/>
      <c r="CD94" s="52" t="str">
        <f>_xlfn.IFNA((VLOOKUP(BX94&amp;H94,AP!IP:IS,4,FALSE)),"")</f>
        <v/>
      </c>
    </row>
    <row r="95" spans="10:82" ht="26.25" customHeight="1" x14ac:dyDescent="0.25">
      <c r="J95" s="52" t="str">
        <f t="shared" si="24"/>
        <v/>
      </c>
      <c r="K95" s="52" t="str">
        <f>IF(O95="","",VLOOKUP(U95,Data!O:AC,15,FALSE)/G95)</f>
        <v/>
      </c>
      <c r="X95" s="52" t="str">
        <f t="shared" si="25"/>
        <v/>
      </c>
      <c r="Z95" s="52">
        <f t="shared" si="26"/>
        <v>0</v>
      </c>
      <c r="AG95" s="52" t="str">
        <f>_xlfn.IFNA(VLOOKUP(U95,'Incoming Material Report'!A:M,13,FALSE),"")</f>
        <v/>
      </c>
      <c r="AH95" s="52" t="str">
        <f>_xlfn.IFNA(IF(VLOOKUP(U95,'Incoming Material Report'!A:N,14,FALSE)="","",VLOOKUP(U95,'Incoming Material Report'!A:N,14,FALSE)),"")</f>
        <v/>
      </c>
      <c r="AI95" s="52" t="str">
        <f>_xlfn.IFNA(VLOOKUP(U95,'Incoming Material Report'!A:Z,24,FALSE),"")</f>
        <v/>
      </c>
      <c r="AJ95" s="52" t="str">
        <f>_xlfn.IFNA(VLOOKUP(U95,'Incoming Material Report'!A:Z,25,FALSE),"")</f>
        <v/>
      </c>
      <c r="AK95" s="52" t="str">
        <f>_xlfn.IFNA(VLOOKUP(U95,'Incoming Material Report'!A:Z,26,FALSE),"")</f>
        <v/>
      </c>
      <c r="AL95" s="52" t="str">
        <f>_xlfn.IFNA(VLOOKUP(U95,'Incoming Material Report'!A:Z,2,FALSE),"")</f>
        <v/>
      </c>
      <c r="AM95" s="52" t="str">
        <f>_xlfn.IFNA(VLOOKUP(U95,'Incoming Material Report'!A:K,11,FALSE)/1000,"")</f>
        <v/>
      </c>
      <c r="AO95" s="52" t="str">
        <f>_xlfn.IFNA(VLOOKUP(U95,'Incoming Material Report'!A:R,18,FALSE)*1000,"")</f>
        <v/>
      </c>
      <c r="AQ95" s="52" t="str">
        <f>_xlfn.IFNA(TEXT(VLOOKUP(U95,'Incoming Material Report'!A:D,4,FALSE),"dd.mm.yy"),"")</f>
        <v/>
      </c>
      <c r="AR95" s="52" t="str">
        <f>_xlfn.IFNA(VLOOKUP(U95,'Incoming Material Report'!A:Z,5,FALSE),"")</f>
        <v/>
      </c>
      <c r="AT95" s="52" t="str">
        <f>IF(OR(_xlfn.IFNA(VLOOKUP(U95,'Incoming Material Report'!A:Z,6,FALSE),"")="NSC",_xlfn.IFNA(VLOOKUP(U95,'Incoming Material Report'!A:Z,6,FALSE),"")="NSSMC"),"NSC","")</f>
        <v/>
      </c>
      <c r="AU95" s="52" t="str">
        <f>_xlfn.IFNA(VLOOKUP(U95,'Incoming Material Report'!A:Z,8,FALSE),"")</f>
        <v/>
      </c>
      <c r="AZ95" s="52" t="str">
        <f>_xlfn.IFNA(VLOOKUP(U95,'GRPO Wiz'!AP:BT,17,FALSE),"")</f>
        <v/>
      </c>
      <c r="BA95" s="52" t="str">
        <f>_xlfn.IFNA(VLOOKUP(U95,'GRPO Wiz'!AP:BT,18,FALSE),"")</f>
        <v/>
      </c>
      <c r="BB95" s="52" t="str">
        <f>_xlfn.IFNA(VLOOKUP(U95,'GRPO Wiz'!AP:BT,19,FALSE),"")</f>
        <v/>
      </c>
      <c r="BC95" s="52" t="str">
        <f>_xlfn.IFNA(VLOOKUP(U95,'GRPO Wiz'!AP:BT,20,FALSE),"")</f>
        <v/>
      </c>
      <c r="BD95" s="52" t="str">
        <f>_xlfn.IFNA(VLOOKUP(U95,'GRPO Wiz'!AP:BT,21,FALSE),"")</f>
        <v/>
      </c>
      <c r="BE95" s="52" t="str">
        <f>_xlfn.IFNA(LEFT((VLOOKUP(U95,'GRPO Wiz'!AP:BT,22,FALSE)),8),"")</f>
        <v/>
      </c>
      <c r="BF95" s="52" t="str">
        <f>_xlfn.IFNA(VLOOKUP(U95,'GRPO Wiz'!AP:BT,26,FALSE),"")</f>
        <v/>
      </c>
      <c r="BG95" s="63" t="str">
        <f>_xlfn.IFNA(VLOOKUP(U95,'GRPO Wiz'!AP:BQ,28,FALSE),"")</f>
        <v/>
      </c>
      <c r="BH95" s="52" t="str">
        <f>_xlfn.IFNA(VLOOKUP(U95,'GRPO Wiz'!AP:BN,25,FALSE),"")</f>
        <v/>
      </c>
      <c r="BI95" s="52" t="str">
        <f>_xlfn.IFNA(VLOOKUP(U95,'GRPO Wiz'!AP:BT,31,FALSE),"")</f>
        <v/>
      </c>
      <c r="BJ95" s="52" t="str">
        <f>_xlfn.IFNA(VLOOKUP(U95,'GRPO Wiz'!AP:BZ,32,FALSE),"")</f>
        <v/>
      </c>
      <c r="BK95" s="52" t="str">
        <f>_xlfn.IFNA(VLOOKUP(U95,'GRPO Wiz'!AP:BZ,27,FALSE),"")</f>
        <v/>
      </c>
      <c r="BL95" s="52" t="str">
        <f>_xlfn.IFNA(VALUE(VLOOKUP(U95,'GRPO Wiz'!AP:BZ,29,FALSE)),"")</f>
        <v/>
      </c>
      <c r="BM95" s="52" t="str">
        <f>IF(OR(_xlfn.IFNA(VLOOKUP(U95,'GRPO Wiz'!AP:BZ,33,FALSE),"")="NSC",_xlfn.IFNA(VLOOKUP(U95,'GRPO Wiz'!AP:BZ,33,FALSE),"")="NSSMC"),"NSC","")</f>
        <v/>
      </c>
      <c r="BX95" s="52" t="str">
        <f t="shared" si="27"/>
        <v/>
      </c>
      <c r="BY95" s="52" t="str">
        <f>_xlfn.IFNA(VLOOKUP(BX95&amp;H95,AP!IP:IQ,2,FALSE),"")</f>
        <v/>
      </c>
      <c r="BZ95" s="53" t="str">
        <f t="shared" si="28"/>
        <v/>
      </c>
      <c r="CA95" s="53"/>
      <c r="CD95" s="52" t="str">
        <f>_xlfn.IFNA((VLOOKUP(BX95&amp;H95,AP!IP:IS,4,FALSE)),"")</f>
        <v/>
      </c>
    </row>
    <row r="96" spans="10:82" ht="26.25" customHeight="1" x14ac:dyDescent="0.25">
      <c r="J96" s="52" t="str">
        <f t="shared" si="24"/>
        <v/>
      </c>
      <c r="K96" s="52" t="str">
        <f>IF(O96="","",VLOOKUP(U96,Data!O:AC,15,FALSE)/G96)</f>
        <v/>
      </c>
      <c r="X96" s="52" t="str">
        <f t="shared" si="25"/>
        <v/>
      </c>
      <c r="Z96" s="52">
        <f t="shared" si="26"/>
        <v>0</v>
      </c>
      <c r="AG96" s="52" t="str">
        <f>_xlfn.IFNA(VLOOKUP(U96,'Incoming Material Report'!A:M,13,FALSE),"")</f>
        <v/>
      </c>
      <c r="AH96" s="52" t="str">
        <f>_xlfn.IFNA(IF(VLOOKUP(U96,'Incoming Material Report'!A:N,14,FALSE)="","",VLOOKUP(U96,'Incoming Material Report'!A:N,14,FALSE)),"")</f>
        <v/>
      </c>
      <c r="AI96" s="52" t="str">
        <f>_xlfn.IFNA(VLOOKUP(U96,'Incoming Material Report'!A:Z,24,FALSE),"")</f>
        <v/>
      </c>
      <c r="AJ96" s="52" t="str">
        <f>_xlfn.IFNA(VLOOKUP(U96,'Incoming Material Report'!A:Z,25,FALSE),"")</f>
        <v/>
      </c>
      <c r="AK96" s="52" t="str">
        <f>_xlfn.IFNA(VLOOKUP(U96,'Incoming Material Report'!A:Z,26,FALSE),"")</f>
        <v/>
      </c>
      <c r="AL96" s="52" t="str">
        <f>_xlfn.IFNA(VLOOKUP(U96,'Incoming Material Report'!A:Z,2,FALSE),"")</f>
        <v/>
      </c>
      <c r="AM96" s="52" t="str">
        <f>_xlfn.IFNA(VLOOKUP(U96,'Incoming Material Report'!A:K,11,FALSE)/1000,"")</f>
        <v/>
      </c>
      <c r="AO96" s="52" t="str">
        <f>_xlfn.IFNA(VLOOKUP(U96,'Incoming Material Report'!A:R,18,FALSE)*1000,"")</f>
        <v/>
      </c>
      <c r="AQ96" s="52" t="str">
        <f>_xlfn.IFNA(TEXT(VLOOKUP(U96,'Incoming Material Report'!A:D,4,FALSE),"dd.mm.yy"),"")</f>
        <v/>
      </c>
      <c r="AR96" s="52" t="str">
        <f>_xlfn.IFNA(VLOOKUP(U96,'Incoming Material Report'!A:Z,5,FALSE),"")</f>
        <v/>
      </c>
      <c r="AT96" s="52" t="str">
        <f>IF(OR(_xlfn.IFNA(VLOOKUP(U96,'Incoming Material Report'!A:Z,6,FALSE),"")="NSC",_xlfn.IFNA(VLOOKUP(U96,'Incoming Material Report'!A:Z,6,FALSE),"")="NSSMC"),"NSC","")</f>
        <v/>
      </c>
      <c r="AU96" s="52" t="str">
        <f>_xlfn.IFNA(VLOOKUP(U96,'Incoming Material Report'!A:Z,8,FALSE),"")</f>
        <v/>
      </c>
      <c r="AZ96" s="52" t="str">
        <f>_xlfn.IFNA(VLOOKUP(U96,'GRPO Wiz'!AP:BT,17,FALSE),"")</f>
        <v/>
      </c>
      <c r="BA96" s="52" t="str">
        <f>_xlfn.IFNA(VLOOKUP(U96,'GRPO Wiz'!AP:BT,18,FALSE),"")</f>
        <v/>
      </c>
      <c r="BB96" s="52" t="str">
        <f>_xlfn.IFNA(VLOOKUP(U96,'GRPO Wiz'!AP:BT,19,FALSE),"")</f>
        <v/>
      </c>
      <c r="BC96" s="52" t="str">
        <f>_xlfn.IFNA(VLOOKUP(U96,'GRPO Wiz'!AP:BT,20,FALSE),"")</f>
        <v/>
      </c>
      <c r="BD96" s="52" t="str">
        <f>_xlfn.IFNA(VLOOKUP(U96,'GRPO Wiz'!AP:BT,21,FALSE),"")</f>
        <v/>
      </c>
      <c r="BE96" s="52" t="str">
        <f>_xlfn.IFNA(LEFT((VLOOKUP(U96,'GRPO Wiz'!AP:BT,22,FALSE)),8),"")</f>
        <v/>
      </c>
      <c r="BF96" s="52" t="str">
        <f>_xlfn.IFNA(VLOOKUP(U96,'GRPO Wiz'!AP:BT,26,FALSE),"")</f>
        <v/>
      </c>
      <c r="BG96" s="63" t="str">
        <f>_xlfn.IFNA(VLOOKUP(U96,'GRPO Wiz'!AP:BQ,28,FALSE),"")</f>
        <v/>
      </c>
      <c r="BH96" s="52" t="str">
        <f>_xlfn.IFNA(VLOOKUP(U96,'GRPO Wiz'!AP:BN,25,FALSE),"")</f>
        <v/>
      </c>
      <c r="BI96" s="52" t="str">
        <f>_xlfn.IFNA(VLOOKUP(U96,'GRPO Wiz'!AP:BT,31,FALSE),"")</f>
        <v/>
      </c>
      <c r="BJ96" s="52" t="str">
        <f>_xlfn.IFNA(VLOOKUP(U96,'GRPO Wiz'!AP:BZ,32,FALSE),"")</f>
        <v/>
      </c>
      <c r="BK96" s="52" t="str">
        <f>_xlfn.IFNA(VLOOKUP(U96,'GRPO Wiz'!AP:BZ,27,FALSE),"")</f>
        <v/>
      </c>
      <c r="BL96" s="52" t="str">
        <f>_xlfn.IFNA(VALUE(VLOOKUP(U96,'GRPO Wiz'!AP:BZ,29,FALSE)),"")</f>
        <v/>
      </c>
      <c r="BM96" s="52" t="str">
        <f>IF(OR(_xlfn.IFNA(VLOOKUP(U96,'GRPO Wiz'!AP:BZ,33,FALSE),"")="NSC",_xlfn.IFNA(VLOOKUP(U96,'GRPO Wiz'!AP:BZ,33,FALSE),"")="NSSMC"),"NSC","")</f>
        <v/>
      </c>
      <c r="BX96" s="52" t="str">
        <f t="shared" si="27"/>
        <v/>
      </c>
      <c r="BY96" s="52" t="str">
        <f>_xlfn.IFNA(VLOOKUP(BX96&amp;H96,AP!IP:IQ,2,FALSE),"")</f>
        <v/>
      </c>
      <c r="BZ96" s="53" t="str">
        <f t="shared" si="28"/>
        <v/>
      </c>
      <c r="CA96" s="53"/>
      <c r="CD96" s="52" t="str">
        <f>_xlfn.IFNA((VLOOKUP(BX96&amp;H96,AP!IP:IS,4,FALSE)),"")</f>
        <v/>
      </c>
    </row>
    <row r="97" spans="10:82" ht="26.25" customHeight="1" x14ac:dyDescent="0.25">
      <c r="J97" s="52" t="str">
        <f t="shared" si="24"/>
        <v/>
      </c>
      <c r="K97" s="52" t="str">
        <f>IF(O97="","",VLOOKUP(U97,Data!O:AC,15,FALSE)/G97)</f>
        <v/>
      </c>
      <c r="X97" s="52" t="str">
        <f t="shared" si="25"/>
        <v/>
      </c>
      <c r="Z97" s="52">
        <f t="shared" si="26"/>
        <v>0</v>
      </c>
      <c r="AG97" s="52" t="str">
        <f>_xlfn.IFNA(VLOOKUP(U97,'Incoming Material Report'!A:M,13,FALSE),"")</f>
        <v/>
      </c>
      <c r="AH97" s="52" t="str">
        <f>_xlfn.IFNA(IF(VLOOKUP(U97,'Incoming Material Report'!A:N,14,FALSE)="","",VLOOKUP(U97,'Incoming Material Report'!A:N,14,FALSE)),"")</f>
        <v/>
      </c>
      <c r="AI97" s="52" t="str">
        <f>_xlfn.IFNA(VLOOKUP(U97,'Incoming Material Report'!A:Z,24,FALSE),"")</f>
        <v/>
      </c>
      <c r="AJ97" s="52" t="str">
        <f>_xlfn.IFNA(VLOOKUP(U97,'Incoming Material Report'!A:Z,25,FALSE),"")</f>
        <v/>
      </c>
      <c r="AK97" s="52" t="str">
        <f>_xlfn.IFNA(VLOOKUP(U97,'Incoming Material Report'!A:Z,26,FALSE),"")</f>
        <v/>
      </c>
      <c r="AL97" s="52" t="str">
        <f>_xlfn.IFNA(VLOOKUP(U97,'Incoming Material Report'!A:Z,2,FALSE),"")</f>
        <v/>
      </c>
      <c r="AM97" s="52" t="str">
        <f>_xlfn.IFNA(VLOOKUP(U97,'Incoming Material Report'!A:K,11,FALSE)/1000,"")</f>
        <v/>
      </c>
      <c r="AO97" s="52" t="str">
        <f>_xlfn.IFNA(VLOOKUP(U97,'Incoming Material Report'!A:R,18,FALSE)*1000,"")</f>
        <v/>
      </c>
      <c r="AQ97" s="52" t="str">
        <f>_xlfn.IFNA(TEXT(VLOOKUP(U97,'Incoming Material Report'!A:D,4,FALSE),"dd.mm.yy"),"")</f>
        <v/>
      </c>
      <c r="AR97" s="52" t="str">
        <f>_xlfn.IFNA(VLOOKUP(U97,'Incoming Material Report'!A:Z,5,FALSE),"")</f>
        <v/>
      </c>
      <c r="AT97" s="52" t="str">
        <f>IF(OR(_xlfn.IFNA(VLOOKUP(U97,'Incoming Material Report'!A:Z,6,FALSE),"")="NSC",_xlfn.IFNA(VLOOKUP(U97,'Incoming Material Report'!A:Z,6,FALSE),"")="NSSMC"),"NSC","")</f>
        <v/>
      </c>
      <c r="AU97" s="52" t="str">
        <f>_xlfn.IFNA(VLOOKUP(U97,'Incoming Material Report'!A:Z,8,FALSE),"")</f>
        <v/>
      </c>
      <c r="AZ97" s="52" t="str">
        <f>_xlfn.IFNA(VLOOKUP(U97,'GRPO Wiz'!AP:BT,17,FALSE),"")</f>
        <v/>
      </c>
      <c r="BA97" s="52" t="str">
        <f>_xlfn.IFNA(VLOOKUP(U97,'GRPO Wiz'!AP:BT,18,FALSE),"")</f>
        <v/>
      </c>
      <c r="BB97" s="52" t="str">
        <f>_xlfn.IFNA(VLOOKUP(U97,'GRPO Wiz'!AP:BT,19,FALSE),"")</f>
        <v/>
      </c>
      <c r="BC97" s="52" t="str">
        <f>_xlfn.IFNA(VLOOKUP(U97,'GRPO Wiz'!AP:BT,20,FALSE),"")</f>
        <v/>
      </c>
      <c r="BD97" s="52" t="str">
        <f>_xlfn.IFNA(VLOOKUP(U97,'GRPO Wiz'!AP:BT,21,FALSE),"")</f>
        <v/>
      </c>
      <c r="BE97" s="52" t="str">
        <f>_xlfn.IFNA(LEFT((VLOOKUP(U97,'GRPO Wiz'!AP:BT,22,FALSE)),8),"")</f>
        <v/>
      </c>
      <c r="BF97" s="52" t="str">
        <f>_xlfn.IFNA(VLOOKUP(U97,'GRPO Wiz'!AP:BT,26,FALSE),"")</f>
        <v/>
      </c>
      <c r="BG97" s="63" t="str">
        <f>_xlfn.IFNA(VLOOKUP(U97,'GRPO Wiz'!AP:BQ,28,FALSE),"")</f>
        <v/>
      </c>
      <c r="BH97" s="52" t="str">
        <f>_xlfn.IFNA(VLOOKUP(U97,'GRPO Wiz'!AP:BN,25,FALSE),"")</f>
        <v/>
      </c>
      <c r="BI97" s="52" t="str">
        <f>_xlfn.IFNA(VLOOKUP(U97,'GRPO Wiz'!AP:BT,31,FALSE),"")</f>
        <v/>
      </c>
      <c r="BJ97" s="52" t="str">
        <f>_xlfn.IFNA(VLOOKUP(U97,'GRPO Wiz'!AP:BZ,32,FALSE),"")</f>
        <v/>
      </c>
      <c r="BK97" s="52" t="str">
        <f>_xlfn.IFNA(VLOOKUP(U97,'GRPO Wiz'!AP:BZ,27,FALSE),"")</f>
        <v/>
      </c>
      <c r="BL97" s="52" t="str">
        <f>_xlfn.IFNA(VALUE(VLOOKUP(U97,'GRPO Wiz'!AP:BZ,29,FALSE)),"")</f>
        <v/>
      </c>
      <c r="BM97" s="52" t="str">
        <f>IF(OR(_xlfn.IFNA(VLOOKUP(U97,'GRPO Wiz'!AP:BZ,33,FALSE),"")="NSC",_xlfn.IFNA(VLOOKUP(U97,'GRPO Wiz'!AP:BZ,33,FALSE),"")="NSSMC"),"NSC","")</f>
        <v/>
      </c>
      <c r="BX97" s="52" t="str">
        <f t="shared" si="27"/>
        <v/>
      </c>
      <c r="BY97" s="52" t="str">
        <f>_xlfn.IFNA(VLOOKUP(BX97&amp;H97,AP!IP:IQ,2,FALSE),"")</f>
        <v/>
      </c>
      <c r="BZ97" s="53" t="str">
        <f t="shared" si="28"/>
        <v/>
      </c>
      <c r="CA97" s="53"/>
      <c r="CD97" s="52" t="str">
        <f>_xlfn.IFNA((VLOOKUP(BX97&amp;H97,AP!IP:IS,4,FALSE)),"")</f>
        <v/>
      </c>
    </row>
    <row r="98" spans="10:82" ht="26.25" customHeight="1" x14ac:dyDescent="0.25">
      <c r="J98" s="52" t="str">
        <f t="shared" si="24"/>
        <v/>
      </c>
      <c r="K98" s="52" t="str">
        <f>IF(O98="","",VLOOKUP(U98,Data!O:AC,15,FALSE)/G98)</f>
        <v/>
      </c>
      <c r="X98" s="52" t="str">
        <f t="shared" si="25"/>
        <v/>
      </c>
      <c r="Z98" s="52">
        <f t="shared" si="26"/>
        <v>0</v>
      </c>
      <c r="AG98" s="52" t="str">
        <f>_xlfn.IFNA(VLOOKUP(U98,'Incoming Material Report'!A:M,13,FALSE),"")</f>
        <v/>
      </c>
      <c r="AH98" s="52" t="str">
        <f>_xlfn.IFNA(IF(VLOOKUP(U98,'Incoming Material Report'!A:N,14,FALSE)="","",VLOOKUP(U98,'Incoming Material Report'!A:N,14,FALSE)),"")</f>
        <v/>
      </c>
      <c r="AI98" s="52" t="str">
        <f>_xlfn.IFNA(VLOOKUP(U98,'Incoming Material Report'!A:Z,24,FALSE),"")</f>
        <v/>
      </c>
      <c r="AJ98" s="52" t="str">
        <f>_xlfn.IFNA(VLOOKUP(U98,'Incoming Material Report'!A:Z,25,FALSE),"")</f>
        <v/>
      </c>
      <c r="AK98" s="52" t="str">
        <f>_xlfn.IFNA(VLOOKUP(U98,'Incoming Material Report'!A:Z,26,FALSE),"")</f>
        <v/>
      </c>
      <c r="AL98" s="52" t="str">
        <f>_xlfn.IFNA(VLOOKUP(U98,'Incoming Material Report'!A:Z,2,FALSE),"")</f>
        <v/>
      </c>
      <c r="AM98" s="52" t="str">
        <f>_xlfn.IFNA(VLOOKUP(U98,'Incoming Material Report'!A:K,11,FALSE)/1000,"")</f>
        <v/>
      </c>
      <c r="AO98" s="52" t="str">
        <f>_xlfn.IFNA(VLOOKUP(U98,'Incoming Material Report'!A:R,18,FALSE)*1000,"")</f>
        <v/>
      </c>
      <c r="AQ98" s="52" t="str">
        <f>_xlfn.IFNA(TEXT(VLOOKUP(U98,'Incoming Material Report'!A:D,4,FALSE),"dd.mm.yy"),"")</f>
        <v/>
      </c>
      <c r="AR98" s="52" t="str">
        <f>_xlfn.IFNA(VLOOKUP(U98,'Incoming Material Report'!A:Z,5,FALSE),"")</f>
        <v/>
      </c>
      <c r="AT98" s="52" t="str">
        <f>IF(OR(_xlfn.IFNA(VLOOKUP(U98,'Incoming Material Report'!A:Z,6,FALSE),"")="NSC",_xlfn.IFNA(VLOOKUP(U98,'Incoming Material Report'!A:Z,6,FALSE),"")="NSSMC"),"NSC","")</f>
        <v/>
      </c>
      <c r="AU98" s="52" t="str">
        <f>_xlfn.IFNA(VLOOKUP(U98,'Incoming Material Report'!A:Z,8,FALSE),"")</f>
        <v/>
      </c>
      <c r="AZ98" s="52" t="str">
        <f>_xlfn.IFNA(VLOOKUP(U98,'GRPO Wiz'!AP:BT,17,FALSE),"")</f>
        <v/>
      </c>
      <c r="BA98" s="52" t="str">
        <f>_xlfn.IFNA(VLOOKUP(U98,'GRPO Wiz'!AP:BT,18,FALSE),"")</f>
        <v/>
      </c>
      <c r="BB98" s="52" t="str">
        <f>_xlfn.IFNA(VLOOKUP(U98,'GRPO Wiz'!AP:BT,19,FALSE),"")</f>
        <v/>
      </c>
      <c r="BC98" s="52" t="str">
        <f>_xlfn.IFNA(VLOOKUP(U98,'GRPO Wiz'!AP:BT,20,FALSE),"")</f>
        <v/>
      </c>
      <c r="BD98" s="52" t="str">
        <f>_xlfn.IFNA(VLOOKUP(U98,'GRPO Wiz'!AP:BT,21,FALSE),"")</f>
        <v/>
      </c>
      <c r="BE98" s="52" t="str">
        <f>_xlfn.IFNA(LEFT((VLOOKUP(U98,'GRPO Wiz'!AP:BT,22,FALSE)),8),"")</f>
        <v/>
      </c>
      <c r="BF98" s="52" t="str">
        <f>_xlfn.IFNA(VLOOKUP(U98,'GRPO Wiz'!AP:BT,26,FALSE),"")</f>
        <v/>
      </c>
      <c r="BG98" s="63" t="str">
        <f>_xlfn.IFNA(VLOOKUP(U98,'GRPO Wiz'!AP:BQ,28,FALSE),"")</f>
        <v/>
      </c>
      <c r="BH98" s="52" t="str">
        <f>_xlfn.IFNA(VLOOKUP(U98,'GRPO Wiz'!AP:BN,25,FALSE),"")</f>
        <v/>
      </c>
      <c r="BI98" s="52" t="str">
        <f>_xlfn.IFNA(VLOOKUP(U98,'GRPO Wiz'!AP:BT,31,FALSE),"")</f>
        <v/>
      </c>
      <c r="BJ98" s="52" t="str">
        <f>_xlfn.IFNA(VLOOKUP(U98,'GRPO Wiz'!AP:BZ,32,FALSE),"")</f>
        <v/>
      </c>
      <c r="BK98" s="52" t="str">
        <f>_xlfn.IFNA(VLOOKUP(U98,'GRPO Wiz'!AP:BZ,27,FALSE),"")</f>
        <v/>
      </c>
      <c r="BL98" s="52" t="str">
        <f>_xlfn.IFNA(VALUE(VLOOKUP(U98,'GRPO Wiz'!AP:BZ,29,FALSE)),"")</f>
        <v/>
      </c>
      <c r="BM98" s="52" t="str">
        <f>IF(OR(_xlfn.IFNA(VLOOKUP(U98,'GRPO Wiz'!AP:BZ,33,FALSE),"")="NSC",_xlfn.IFNA(VLOOKUP(U98,'GRPO Wiz'!AP:BZ,33,FALSE),"")="NSSMC"),"NSC","")</f>
        <v/>
      </c>
      <c r="BX98" s="52" t="str">
        <f t="shared" si="27"/>
        <v/>
      </c>
      <c r="BY98" s="52" t="str">
        <f>_xlfn.IFNA(VLOOKUP(BX98&amp;H98,AP!IP:IQ,2,FALSE),"")</f>
        <v/>
      </c>
      <c r="BZ98" s="53" t="str">
        <f t="shared" si="28"/>
        <v/>
      </c>
      <c r="CA98" s="53"/>
      <c r="CD98" s="52" t="str">
        <f>_xlfn.IFNA((VLOOKUP(BX98&amp;H98,AP!IP:IS,4,FALSE)),"")</f>
        <v/>
      </c>
    </row>
    <row r="99" spans="10:82" ht="26.25" customHeight="1" x14ac:dyDescent="0.25">
      <c r="J99" s="52" t="str">
        <f t="shared" si="24"/>
        <v/>
      </c>
      <c r="K99" s="52" t="str">
        <f>IF(O99="","",VLOOKUP(U99,Data!O:AC,15,FALSE)/G99)</f>
        <v/>
      </c>
      <c r="X99" s="52" t="str">
        <f t="shared" si="25"/>
        <v/>
      </c>
      <c r="Z99" s="52">
        <f t="shared" si="26"/>
        <v>0</v>
      </c>
      <c r="AG99" s="52" t="str">
        <f>_xlfn.IFNA(VLOOKUP(U99,'Incoming Material Report'!A:M,13,FALSE),"")</f>
        <v/>
      </c>
      <c r="AH99" s="52" t="str">
        <f>_xlfn.IFNA(IF(VLOOKUP(U99,'Incoming Material Report'!A:N,14,FALSE)="","",VLOOKUP(U99,'Incoming Material Report'!A:N,14,FALSE)),"")</f>
        <v/>
      </c>
      <c r="AI99" s="52" t="str">
        <f>_xlfn.IFNA(VLOOKUP(U99,'Incoming Material Report'!A:Z,24,FALSE),"")</f>
        <v/>
      </c>
      <c r="AJ99" s="52" t="str">
        <f>_xlfn.IFNA(VLOOKUP(U99,'Incoming Material Report'!A:Z,25,FALSE),"")</f>
        <v/>
      </c>
      <c r="AK99" s="52" t="str">
        <f>_xlfn.IFNA(VLOOKUP(U99,'Incoming Material Report'!A:Z,26,FALSE),"")</f>
        <v/>
      </c>
      <c r="AL99" s="52" t="str">
        <f>_xlfn.IFNA(VLOOKUP(U99,'Incoming Material Report'!A:Z,2,FALSE),"")</f>
        <v/>
      </c>
      <c r="AM99" s="52" t="str">
        <f>_xlfn.IFNA(VLOOKUP(U99,'Incoming Material Report'!A:K,11,FALSE)/1000,"")</f>
        <v/>
      </c>
      <c r="AO99" s="52" t="str">
        <f>_xlfn.IFNA(VLOOKUP(U99,'Incoming Material Report'!A:R,18,FALSE)*1000,"")</f>
        <v/>
      </c>
      <c r="AQ99" s="52" t="str">
        <f>_xlfn.IFNA(TEXT(VLOOKUP(U99,'Incoming Material Report'!A:D,4,FALSE),"dd.mm.yy"),"")</f>
        <v/>
      </c>
      <c r="AR99" s="52" t="str">
        <f>_xlfn.IFNA(VLOOKUP(U99,'Incoming Material Report'!A:Z,5,FALSE),"")</f>
        <v/>
      </c>
      <c r="AT99" s="52" t="str">
        <f>IF(OR(_xlfn.IFNA(VLOOKUP(U99,'Incoming Material Report'!A:Z,6,FALSE),"")="NSC",_xlfn.IFNA(VLOOKUP(U99,'Incoming Material Report'!A:Z,6,FALSE),"")="NSSMC"),"NSC","")</f>
        <v/>
      </c>
      <c r="AU99" s="52" t="str">
        <f>_xlfn.IFNA(VLOOKUP(U99,'Incoming Material Report'!A:Z,8,FALSE),"")</f>
        <v/>
      </c>
      <c r="AZ99" s="52" t="str">
        <f>_xlfn.IFNA(VLOOKUP(U99,'GRPO Wiz'!AP:BT,17,FALSE),"")</f>
        <v/>
      </c>
      <c r="BA99" s="52" t="str">
        <f>_xlfn.IFNA(VLOOKUP(U99,'GRPO Wiz'!AP:BT,18,FALSE),"")</f>
        <v/>
      </c>
      <c r="BB99" s="52" t="str">
        <f>_xlfn.IFNA(VLOOKUP(U99,'GRPO Wiz'!AP:BT,19,FALSE),"")</f>
        <v/>
      </c>
      <c r="BC99" s="52" t="str">
        <f>_xlfn.IFNA(VLOOKUP(U99,'GRPO Wiz'!AP:BT,20,FALSE),"")</f>
        <v/>
      </c>
      <c r="BD99" s="52" t="str">
        <f>_xlfn.IFNA(VLOOKUP(U99,'GRPO Wiz'!AP:BT,21,FALSE),"")</f>
        <v/>
      </c>
      <c r="BE99" s="52" t="str">
        <f>_xlfn.IFNA(LEFT((VLOOKUP(U99,'GRPO Wiz'!AP:BT,22,FALSE)),8),"")</f>
        <v/>
      </c>
      <c r="BF99" s="52" t="str">
        <f>_xlfn.IFNA(VLOOKUP(U99,'GRPO Wiz'!AP:BT,26,FALSE),"")</f>
        <v/>
      </c>
      <c r="BG99" s="63" t="str">
        <f>_xlfn.IFNA(VLOOKUP(U99,'GRPO Wiz'!AP:BQ,28,FALSE),"")</f>
        <v/>
      </c>
      <c r="BH99" s="52" t="str">
        <f>_xlfn.IFNA(VLOOKUP(U99,'GRPO Wiz'!AP:BN,25,FALSE),"")</f>
        <v/>
      </c>
      <c r="BI99" s="52" t="str">
        <f>_xlfn.IFNA(VLOOKUP(U99,'GRPO Wiz'!AP:BT,31,FALSE),"")</f>
        <v/>
      </c>
      <c r="BJ99" s="52" t="str">
        <f>_xlfn.IFNA(VLOOKUP(U99,'GRPO Wiz'!AP:BZ,32,FALSE),"")</f>
        <v/>
      </c>
      <c r="BK99" s="52" t="str">
        <f>_xlfn.IFNA(VLOOKUP(U99,'GRPO Wiz'!AP:BZ,27,FALSE),"")</f>
        <v/>
      </c>
      <c r="BL99" s="52" t="str">
        <f>_xlfn.IFNA(VALUE(VLOOKUP(U99,'GRPO Wiz'!AP:BZ,29,FALSE)),"")</f>
        <v/>
      </c>
      <c r="BM99" s="52" t="str">
        <f>IF(OR(_xlfn.IFNA(VLOOKUP(U99,'GRPO Wiz'!AP:BZ,33,FALSE),"")="NSC",_xlfn.IFNA(VLOOKUP(U99,'GRPO Wiz'!AP:BZ,33,FALSE),"")="NSSMC"),"NSC","")</f>
        <v/>
      </c>
      <c r="BX99" s="52" t="str">
        <f t="shared" si="27"/>
        <v/>
      </c>
      <c r="BY99" s="52" t="str">
        <f>_xlfn.IFNA(VLOOKUP(BX99&amp;H99,AP!IP:IQ,2,FALSE),"")</f>
        <v/>
      </c>
      <c r="BZ99" s="53" t="str">
        <f t="shared" si="28"/>
        <v/>
      </c>
      <c r="CA99" s="53"/>
      <c r="CD99" s="52" t="str">
        <f>_xlfn.IFNA((VLOOKUP(BX99&amp;H99,AP!IP:IS,4,FALSE)),"")</f>
        <v/>
      </c>
    </row>
    <row r="100" spans="10:82" ht="26.25" customHeight="1" x14ac:dyDescent="0.25">
      <c r="J100" s="52" t="str">
        <f t="shared" ref="J100:J130" si="29">IF(O100="","",ROUND(H100*ROUND(I100,1),2))</f>
        <v/>
      </c>
      <c r="K100" s="52" t="str">
        <f>IF(O100="","",VLOOKUP(U100,Data!O:AC,15,FALSE)/G100)</f>
        <v/>
      </c>
      <c r="X100" s="52" t="str">
        <f t="shared" ref="X100:X130" si="30">AT100</f>
        <v/>
      </c>
      <c r="Z100" s="52">
        <f t="shared" ref="Z100:Z130" si="31">IFERROR(ROUND(H100*I100,2),0)</f>
        <v>0</v>
      </c>
      <c r="AG100" s="52" t="str">
        <f>_xlfn.IFNA(VLOOKUP(U100,'Incoming Material Report'!A:M,13,FALSE),"")</f>
        <v/>
      </c>
      <c r="AH100" s="52" t="str">
        <f>_xlfn.IFNA(IF(VLOOKUP(U100,'Incoming Material Report'!A:N,14,FALSE)="","",VLOOKUP(U100,'Incoming Material Report'!A:N,14,FALSE)),"")</f>
        <v/>
      </c>
      <c r="AI100" s="52" t="str">
        <f>_xlfn.IFNA(VLOOKUP(U100,'Incoming Material Report'!A:Z,24,FALSE),"")</f>
        <v/>
      </c>
      <c r="AJ100" s="52" t="str">
        <f>_xlfn.IFNA(VLOOKUP(U100,'Incoming Material Report'!A:Z,25,FALSE),"")</f>
        <v/>
      </c>
      <c r="AK100" s="52" t="str">
        <f>_xlfn.IFNA(VLOOKUP(U100,'Incoming Material Report'!A:Z,26,FALSE),"")</f>
        <v/>
      </c>
      <c r="AL100" s="52" t="str">
        <f>_xlfn.IFNA(VLOOKUP(U100,'Incoming Material Report'!A:Z,2,FALSE),"")</f>
        <v/>
      </c>
      <c r="AM100" s="52" t="str">
        <f>_xlfn.IFNA(VLOOKUP(U100,'Incoming Material Report'!A:K,11,FALSE)/1000,"")</f>
        <v/>
      </c>
      <c r="AO100" s="52" t="str">
        <f>_xlfn.IFNA(VLOOKUP(U100,'Incoming Material Report'!A:R,18,FALSE)*1000,"")</f>
        <v/>
      </c>
      <c r="AQ100" s="52" t="str">
        <f>_xlfn.IFNA(TEXT(VLOOKUP(U100,'Incoming Material Report'!A:D,4,FALSE),"dd.mm.yy"),"")</f>
        <v/>
      </c>
      <c r="AR100" s="52" t="str">
        <f>_xlfn.IFNA(VLOOKUP(U100,'Incoming Material Report'!A:Z,5,FALSE),"")</f>
        <v/>
      </c>
      <c r="AT100" s="52" t="str">
        <f>IF(OR(_xlfn.IFNA(VLOOKUP(U100,'Incoming Material Report'!A:Z,6,FALSE),"")="NSC",_xlfn.IFNA(VLOOKUP(U100,'Incoming Material Report'!A:Z,6,FALSE),"")="NSSMC"),"NSC","")</f>
        <v/>
      </c>
      <c r="AU100" s="52" t="str">
        <f>_xlfn.IFNA(VLOOKUP(U100,'Incoming Material Report'!A:Z,8,FALSE),"")</f>
        <v/>
      </c>
      <c r="AZ100" s="52" t="str">
        <f>_xlfn.IFNA(VLOOKUP(U100,'GRPO Wiz'!AP:BT,17,FALSE),"")</f>
        <v/>
      </c>
      <c r="BA100" s="52" t="str">
        <f>_xlfn.IFNA(VLOOKUP(U100,'GRPO Wiz'!AP:BT,18,FALSE),"")</f>
        <v/>
      </c>
      <c r="BB100" s="52" t="str">
        <f>_xlfn.IFNA(VLOOKUP(U100,'GRPO Wiz'!AP:BT,19,FALSE),"")</f>
        <v/>
      </c>
      <c r="BC100" s="52" t="str">
        <f>_xlfn.IFNA(VLOOKUP(U100,'GRPO Wiz'!AP:BT,20,FALSE),"")</f>
        <v/>
      </c>
      <c r="BD100" s="52" t="str">
        <f>_xlfn.IFNA(VLOOKUP(U100,'GRPO Wiz'!AP:BT,21,FALSE),"")</f>
        <v/>
      </c>
      <c r="BE100" s="52" t="str">
        <f>_xlfn.IFNA(LEFT((VLOOKUP(U100,'GRPO Wiz'!AP:BT,22,FALSE)),8),"")</f>
        <v/>
      </c>
      <c r="BF100" s="52" t="str">
        <f>_xlfn.IFNA(VLOOKUP(U100,'GRPO Wiz'!AP:BT,26,FALSE),"")</f>
        <v/>
      </c>
      <c r="BG100" s="57" t="str">
        <f>_xlfn.IFNA(VLOOKUP(U100,'GRPO Wiz'!AP:BQ,28,FALSE),"")</f>
        <v/>
      </c>
      <c r="BH100" s="52" t="str">
        <f>_xlfn.IFNA(VLOOKUP(U100,'GRPO Wiz'!AP:BN,25,FALSE),"")</f>
        <v/>
      </c>
      <c r="BI100" s="52" t="str">
        <f>_xlfn.IFNA(VLOOKUP(U100,'GRPO Wiz'!AP:BT,31,FALSE),"")</f>
        <v/>
      </c>
      <c r="BJ100" s="52" t="str">
        <f>_xlfn.IFNA(VLOOKUP(U100,'GRPO Wiz'!AP:BZ,32,FALSE),"")</f>
        <v/>
      </c>
      <c r="BK100" s="52" t="str">
        <f>_xlfn.IFNA(VLOOKUP(U100,'GRPO Wiz'!AP:BZ,27,FALSE),"")</f>
        <v/>
      </c>
      <c r="BL100" s="52" t="str">
        <f>_xlfn.IFNA(VALUE(VLOOKUP(U100,'GRPO Wiz'!AP:BZ,29,FALSE)),"")</f>
        <v/>
      </c>
      <c r="BM100" s="52" t="str">
        <f>IF(OR(_xlfn.IFNA(VLOOKUP(U100,'GRPO Wiz'!AP:BZ,33,FALSE),"")="NSC",_xlfn.IFNA(VLOOKUP(U100,'GRPO Wiz'!AP:BZ,33,FALSE),"")="NSSMC"),"NSC","")</f>
        <v/>
      </c>
    </row>
    <row r="101" spans="10:82" ht="26.25" customHeight="1" x14ac:dyDescent="0.25">
      <c r="J101" s="52" t="str">
        <f t="shared" si="29"/>
        <v/>
      </c>
      <c r="K101" s="52" t="str">
        <f>IF(O101="","",VLOOKUP(U101,Data!O:AC,15,FALSE)/G101)</f>
        <v/>
      </c>
      <c r="X101" s="52" t="str">
        <f t="shared" si="30"/>
        <v/>
      </c>
      <c r="Z101" s="52">
        <f t="shared" si="31"/>
        <v>0</v>
      </c>
      <c r="AG101" s="52" t="str">
        <f>_xlfn.IFNA(VLOOKUP(U101,'Incoming Material Report'!A:M,13,FALSE),"")</f>
        <v/>
      </c>
      <c r="AH101" s="52" t="str">
        <f>_xlfn.IFNA(IF(VLOOKUP(U101,'Incoming Material Report'!A:N,14,FALSE)="","",VLOOKUP(U101,'Incoming Material Report'!A:N,14,FALSE)),"")</f>
        <v/>
      </c>
      <c r="AI101" s="52" t="str">
        <f>_xlfn.IFNA(VLOOKUP(U101,'Incoming Material Report'!A:Z,24,FALSE),"")</f>
        <v/>
      </c>
      <c r="AJ101" s="52" t="str">
        <f>_xlfn.IFNA(VLOOKUP(U101,'Incoming Material Report'!A:Z,25,FALSE),"")</f>
        <v/>
      </c>
      <c r="AK101" s="52" t="str">
        <f>_xlfn.IFNA(VLOOKUP(U101,'Incoming Material Report'!A:Z,26,FALSE),"")</f>
        <v/>
      </c>
      <c r="AL101" s="52" t="str">
        <f>_xlfn.IFNA(VLOOKUP(U101,'Incoming Material Report'!A:Z,2,FALSE),"")</f>
        <v/>
      </c>
      <c r="AM101" s="52" t="str">
        <f>_xlfn.IFNA(VLOOKUP(U101,'Incoming Material Report'!A:K,11,FALSE)/1000,"")</f>
        <v/>
      </c>
      <c r="AO101" s="52" t="str">
        <f>_xlfn.IFNA(VLOOKUP(U101,'Incoming Material Report'!A:R,18,FALSE)*1000,"")</f>
        <v/>
      </c>
      <c r="AQ101" s="52" t="str">
        <f>_xlfn.IFNA(TEXT(VLOOKUP(U101,'Incoming Material Report'!A:D,4,FALSE),"dd.mm.yy"),"")</f>
        <v/>
      </c>
      <c r="AR101" s="52" t="str">
        <f>_xlfn.IFNA(VLOOKUP(U101,'Incoming Material Report'!A:Z,5,FALSE),"")</f>
        <v/>
      </c>
      <c r="AT101" s="52" t="str">
        <f>IF(OR(_xlfn.IFNA(VLOOKUP(U101,'Incoming Material Report'!A:Z,6,FALSE),"")="NSC",_xlfn.IFNA(VLOOKUP(U101,'Incoming Material Report'!A:Z,6,FALSE),"")="NSSMC"),"NSC","")</f>
        <v/>
      </c>
      <c r="AU101" s="52" t="str">
        <f>_xlfn.IFNA(VLOOKUP(U101,'Incoming Material Report'!A:Z,8,FALSE),"")</f>
        <v/>
      </c>
      <c r="AZ101" s="52" t="str">
        <f>_xlfn.IFNA(VLOOKUP(U101,'GRPO Wiz'!AP:BT,17,FALSE),"")</f>
        <v/>
      </c>
      <c r="BA101" s="52" t="str">
        <f>_xlfn.IFNA(VLOOKUP(U101,'GRPO Wiz'!AP:BT,18,FALSE),"")</f>
        <v/>
      </c>
      <c r="BB101" s="52" t="str">
        <f>_xlfn.IFNA(VLOOKUP(U101,'GRPO Wiz'!AP:BT,19,FALSE),"")</f>
        <v/>
      </c>
      <c r="BC101" s="52" t="str">
        <f>_xlfn.IFNA(VLOOKUP(U101,'GRPO Wiz'!AP:BT,20,FALSE),"")</f>
        <v/>
      </c>
      <c r="BD101" s="52" t="str">
        <f>_xlfn.IFNA(VLOOKUP(U101,'GRPO Wiz'!AP:BT,21,FALSE),"")</f>
        <v/>
      </c>
      <c r="BE101" s="52" t="str">
        <f>_xlfn.IFNA(LEFT((VLOOKUP(U101,'GRPO Wiz'!AP:BT,22,FALSE)),8),"")</f>
        <v/>
      </c>
      <c r="BF101" s="52" t="str">
        <f>_xlfn.IFNA(VLOOKUP(U101,'GRPO Wiz'!AP:BT,26,FALSE),"")</f>
        <v/>
      </c>
      <c r="BG101" s="57" t="str">
        <f>_xlfn.IFNA(VLOOKUP(U101,'GRPO Wiz'!AP:BQ,28,FALSE),"")</f>
        <v/>
      </c>
      <c r="BH101" s="52" t="str">
        <f>_xlfn.IFNA(VLOOKUP(U101,'GRPO Wiz'!AP:BN,25,FALSE),"")</f>
        <v/>
      </c>
      <c r="BI101" s="52" t="str">
        <f>_xlfn.IFNA(VLOOKUP(U101,'GRPO Wiz'!AP:BT,31,FALSE),"")</f>
        <v/>
      </c>
      <c r="BJ101" s="52" t="str">
        <f>_xlfn.IFNA(VLOOKUP(U101,'GRPO Wiz'!AP:BZ,32,FALSE),"")</f>
        <v/>
      </c>
      <c r="BK101" s="52" t="str">
        <f>_xlfn.IFNA(VLOOKUP(U101,'GRPO Wiz'!AP:BZ,27,FALSE),"")</f>
        <v/>
      </c>
      <c r="BL101" s="52" t="str">
        <f>_xlfn.IFNA(VALUE(VLOOKUP(U101,'GRPO Wiz'!AP:BZ,29,FALSE)),"")</f>
        <v/>
      </c>
      <c r="BM101" s="52" t="str">
        <f>IF(OR(_xlfn.IFNA(VLOOKUP(U101,'GRPO Wiz'!AP:BZ,33,FALSE),"")="NSC",_xlfn.IFNA(VLOOKUP(U101,'GRPO Wiz'!AP:BZ,33,FALSE),"")="NSSMC"),"NSC","")</f>
        <v/>
      </c>
    </row>
    <row r="102" spans="10:82" ht="26.25" customHeight="1" x14ac:dyDescent="0.25">
      <c r="J102" s="52" t="str">
        <f t="shared" si="29"/>
        <v/>
      </c>
      <c r="K102" s="52" t="str">
        <f>IF(O102="","",VLOOKUP(U102,Data!O:AC,15,FALSE)/G102)</f>
        <v/>
      </c>
      <c r="X102" s="52" t="str">
        <f t="shared" si="30"/>
        <v/>
      </c>
      <c r="Z102" s="52">
        <f t="shared" si="31"/>
        <v>0</v>
      </c>
      <c r="AG102" s="52" t="str">
        <f>_xlfn.IFNA(VLOOKUP(U102,'Incoming Material Report'!A:M,13,FALSE),"")</f>
        <v/>
      </c>
      <c r="AH102" s="52" t="str">
        <f>_xlfn.IFNA(IF(VLOOKUP(U102,'Incoming Material Report'!A:N,14,FALSE)="","",VLOOKUP(U102,'Incoming Material Report'!A:N,14,FALSE)),"")</f>
        <v/>
      </c>
      <c r="AI102" s="52" t="str">
        <f>_xlfn.IFNA(VLOOKUP(U102,'Incoming Material Report'!A:Z,24,FALSE),"")</f>
        <v/>
      </c>
      <c r="AJ102" s="52" t="str">
        <f>_xlfn.IFNA(VLOOKUP(U102,'Incoming Material Report'!A:Z,25,FALSE),"")</f>
        <v/>
      </c>
      <c r="AK102" s="52" t="str">
        <f>_xlfn.IFNA(VLOOKUP(U102,'Incoming Material Report'!A:Z,26,FALSE),"")</f>
        <v/>
      </c>
      <c r="AL102" s="52" t="str">
        <f>_xlfn.IFNA(VLOOKUP(U102,'Incoming Material Report'!A:Z,2,FALSE),"")</f>
        <v/>
      </c>
      <c r="AM102" s="52" t="str">
        <f>_xlfn.IFNA(VLOOKUP(U102,'Incoming Material Report'!A:K,11,FALSE)/1000,"")</f>
        <v/>
      </c>
      <c r="AO102" s="52" t="str">
        <f>_xlfn.IFNA(VLOOKUP(U102,'Incoming Material Report'!A:R,18,FALSE)*1000,"")</f>
        <v/>
      </c>
      <c r="AQ102" s="52" t="str">
        <f>_xlfn.IFNA(TEXT(VLOOKUP(U102,'Incoming Material Report'!A:D,4,FALSE),"dd.mm.yy"),"")</f>
        <v/>
      </c>
      <c r="AR102" s="52" t="str">
        <f>_xlfn.IFNA(VLOOKUP(U102,'Incoming Material Report'!A:Z,5,FALSE),"")</f>
        <v/>
      </c>
      <c r="AT102" s="52" t="str">
        <f>IF(OR(_xlfn.IFNA(VLOOKUP(U102,'Incoming Material Report'!A:Z,6,FALSE),"")="NSC",_xlfn.IFNA(VLOOKUP(U102,'Incoming Material Report'!A:Z,6,FALSE),"")="NSSMC"),"NSC","")</f>
        <v/>
      </c>
      <c r="AU102" s="52" t="str">
        <f>_xlfn.IFNA(VLOOKUP(U102,'Incoming Material Report'!A:Z,8,FALSE),"")</f>
        <v/>
      </c>
      <c r="AZ102" s="52" t="str">
        <f>_xlfn.IFNA(VLOOKUP(U102,'GRPO Wiz'!AP:BT,17,FALSE),"")</f>
        <v/>
      </c>
      <c r="BA102" s="52" t="str">
        <f>_xlfn.IFNA(VLOOKUP(U102,'GRPO Wiz'!AP:BT,18,FALSE),"")</f>
        <v/>
      </c>
      <c r="BB102" s="52" t="str">
        <f>_xlfn.IFNA(VLOOKUP(U102,'GRPO Wiz'!AP:BT,19,FALSE),"")</f>
        <v/>
      </c>
      <c r="BC102" s="52" t="str">
        <f>_xlfn.IFNA(VLOOKUP(U102,'GRPO Wiz'!AP:BT,20,FALSE),"")</f>
        <v/>
      </c>
      <c r="BD102" s="52" t="str">
        <f>_xlfn.IFNA(VLOOKUP(U102,'GRPO Wiz'!AP:BT,21,FALSE),"")</f>
        <v/>
      </c>
      <c r="BE102" s="52" t="str">
        <f>_xlfn.IFNA(LEFT((VLOOKUP(U102,'GRPO Wiz'!AP:BT,22,FALSE)),8),"")</f>
        <v/>
      </c>
      <c r="BF102" s="52" t="str">
        <f>_xlfn.IFNA(VLOOKUP(U102,'GRPO Wiz'!AP:BT,26,FALSE),"")</f>
        <v/>
      </c>
      <c r="BG102" s="57" t="str">
        <f>_xlfn.IFNA(VLOOKUP(U102,'GRPO Wiz'!AP:BQ,28,FALSE),"")</f>
        <v/>
      </c>
      <c r="BH102" s="52" t="str">
        <f>_xlfn.IFNA(VLOOKUP(U102,'GRPO Wiz'!AP:BN,25,FALSE),"")</f>
        <v/>
      </c>
      <c r="BI102" s="52" t="str">
        <f>_xlfn.IFNA(VLOOKUP(U102,'GRPO Wiz'!AP:BT,31,FALSE),"")</f>
        <v/>
      </c>
      <c r="BJ102" s="52" t="str">
        <f>_xlfn.IFNA(VLOOKUP(U102,'GRPO Wiz'!AP:BZ,32,FALSE),"")</f>
        <v/>
      </c>
      <c r="BK102" s="52" t="str">
        <f>_xlfn.IFNA(VLOOKUP(U102,'GRPO Wiz'!AP:BZ,27,FALSE),"")</f>
        <v/>
      </c>
      <c r="BL102" s="52" t="str">
        <f>_xlfn.IFNA(VALUE(VLOOKUP(U102,'GRPO Wiz'!AP:BZ,29,FALSE)),"")</f>
        <v/>
      </c>
      <c r="BM102" s="52" t="str">
        <f>IF(OR(_xlfn.IFNA(VLOOKUP(U102,'GRPO Wiz'!AP:BZ,33,FALSE),"")="NSC",_xlfn.IFNA(VLOOKUP(U102,'GRPO Wiz'!AP:BZ,33,FALSE),"")="NSSMC"),"NSC","")</f>
        <v/>
      </c>
    </row>
    <row r="103" spans="10:82" ht="26.25" customHeight="1" x14ac:dyDescent="0.25">
      <c r="J103" s="52" t="str">
        <f t="shared" si="29"/>
        <v/>
      </c>
      <c r="K103" s="52" t="str">
        <f>IF(O103="","",VLOOKUP(U103,Data!O:AC,15,FALSE)/G103)</f>
        <v/>
      </c>
      <c r="X103" s="52" t="str">
        <f t="shared" si="30"/>
        <v/>
      </c>
      <c r="Z103" s="52">
        <f t="shared" si="31"/>
        <v>0</v>
      </c>
      <c r="AG103" s="52" t="str">
        <f>_xlfn.IFNA(VLOOKUP(U103,'Incoming Material Report'!A:M,13,FALSE),"")</f>
        <v/>
      </c>
      <c r="AH103" s="52" t="str">
        <f>_xlfn.IFNA(IF(VLOOKUP(U103,'Incoming Material Report'!A:N,14,FALSE)="","",VLOOKUP(U103,'Incoming Material Report'!A:N,14,FALSE)),"")</f>
        <v/>
      </c>
      <c r="AI103" s="52" t="str">
        <f>_xlfn.IFNA(VLOOKUP(U103,'Incoming Material Report'!A:Z,24,FALSE),"")</f>
        <v/>
      </c>
      <c r="AJ103" s="52" t="str">
        <f>_xlfn.IFNA(VLOOKUP(U103,'Incoming Material Report'!A:Z,25,FALSE),"")</f>
        <v/>
      </c>
      <c r="AK103" s="52" t="str">
        <f>_xlfn.IFNA(VLOOKUP(U103,'Incoming Material Report'!A:Z,26,FALSE),"")</f>
        <v/>
      </c>
      <c r="AL103" s="52" t="str">
        <f>_xlfn.IFNA(VLOOKUP(U103,'Incoming Material Report'!A:Z,2,FALSE),"")</f>
        <v/>
      </c>
      <c r="AM103" s="52" t="str">
        <f>_xlfn.IFNA(VLOOKUP(U103,'Incoming Material Report'!A:K,11,FALSE)/1000,"")</f>
        <v/>
      </c>
      <c r="AO103" s="52" t="str">
        <f>_xlfn.IFNA(VLOOKUP(U103,'Incoming Material Report'!A:R,18,FALSE)*1000,"")</f>
        <v/>
      </c>
      <c r="AQ103" s="52" t="str">
        <f>_xlfn.IFNA(TEXT(VLOOKUP(U103,'Incoming Material Report'!A:D,4,FALSE),"dd.mm.yy"),"")</f>
        <v/>
      </c>
      <c r="AR103" s="52" t="str">
        <f>_xlfn.IFNA(VLOOKUP(U103,'Incoming Material Report'!A:Z,5,FALSE),"")</f>
        <v/>
      </c>
      <c r="AT103" s="52" t="str">
        <f>IF(OR(_xlfn.IFNA(VLOOKUP(U103,'Incoming Material Report'!A:Z,6,FALSE),"")="NSC",_xlfn.IFNA(VLOOKUP(U103,'Incoming Material Report'!A:Z,6,FALSE),"")="NSSMC"),"NSC","")</f>
        <v/>
      </c>
      <c r="AU103" s="52" t="str">
        <f>_xlfn.IFNA(VLOOKUP(U103,'Incoming Material Report'!A:Z,8,FALSE),"")</f>
        <v/>
      </c>
      <c r="AZ103" s="52" t="str">
        <f>_xlfn.IFNA(VLOOKUP(U103,'GRPO Wiz'!AP:BT,17,FALSE),"")</f>
        <v/>
      </c>
      <c r="BA103" s="52" t="str">
        <f>_xlfn.IFNA(VLOOKUP(U103,'GRPO Wiz'!AP:BT,18,FALSE),"")</f>
        <v/>
      </c>
      <c r="BB103" s="52" t="str">
        <f>_xlfn.IFNA(VLOOKUP(U103,'GRPO Wiz'!AP:BT,19,FALSE),"")</f>
        <v/>
      </c>
      <c r="BC103" s="52" t="str">
        <f>_xlfn.IFNA(VLOOKUP(U103,'GRPO Wiz'!AP:BT,20,FALSE),"")</f>
        <v/>
      </c>
      <c r="BD103" s="52" t="str">
        <f>_xlfn.IFNA(VLOOKUP(U103,'GRPO Wiz'!AP:BT,21,FALSE),"")</f>
        <v/>
      </c>
      <c r="BE103" s="52" t="str">
        <f>_xlfn.IFNA(LEFT((VLOOKUP(U103,'GRPO Wiz'!AP:BT,22,FALSE)),8),"")</f>
        <v/>
      </c>
      <c r="BF103" s="52" t="str">
        <f>_xlfn.IFNA(VLOOKUP(U103,'GRPO Wiz'!AP:BT,26,FALSE),"")</f>
        <v/>
      </c>
      <c r="BG103" s="57" t="str">
        <f>_xlfn.IFNA(VLOOKUP(U103,'GRPO Wiz'!AP:BQ,28,FALSE),"")</f>
        <v/>
      </c>
      <c r="BH103" s="52" t="str">
        <f>_xlfn.IFNA(VLOOKUP(U103,'GRPO Wiz'!AP:BN,25,FALSE),"")</f>
        <v/>
      </c>
      <c r="BI103" s="52" t="str">
        <f>_xlfn.IFNA(VLOOKUP(U103,'GRPO Wiz'!AP:BT,31,FALSE),"")</f>
        <v/>
      </c>
      <c r="BJ103" s="52" t="str">
        <f>_xlfn.IFNA(VLOOKUP(U103,'GRPO Wiz'!AP:BZ,32,FALSE),"")</f>
        <v/>
      </c>
      <c r="BK103" s="52" t="str">
        <f>_xlfn.IFNA(VLOOKUP(U103,'GRPO Wiz'!AP:BZ,27,FALSE),"")</f>
        <v/>
      </c>
      <c r="BL103" s="52" t="str">
        <f>_xlfn.IFNA(VALUE(VLOOKUP(U103,'GRPO Wiz'!AP:BZ,29,FALSE)),"")</f>
        <v/>
      </c>
      <c r="BM103" s="52" t="str">
        <f>IF(OR(_xlfn.IFNA(VLOOKUP(U103,'GRPO Wiz'!AP:BZ,33,FALSE),"")="NSC",_xlfn.IFNA(VLOOKUP(U103,'GRPO Wiz'!AP:BZ,33,FALSE),"")="NSSMC"),"NSC","")</f>
        <v/>
      </c>
    </row>
    <row r="104" spans="10:82" ht="26.25" customHeight="1" x14ac:dyDescent="0.25">
      <c r="J104" s="52" t="str">
        <f t="shared" si="29"/>
        <v/>
      </c>
      <c r="K104" s="52" t="str">
        <f>IF(O104="","",VLOOKUP(U104,Data!O:AC,15,FALSE)/G104)</f>
        <v/>
      </c>
      <c r="X104" s="52" t="str">
        <f t="shared" si="30"/>
        <v/>
      </c>
      <c r="Z104" s="52">
        <f t="shared" si="31"/>
        <v>0</v>
      </c>
      <c r="AG104" s="52" t="str">
        <f>_xlfn.IFNA(VLOOKUP(U104,'Incoming Material Report'!A:M,13,FALSE),"")</f>
        <v/>
      </c>
      <c r="AH104" s="52" t="str">
        <f>_xlfn.IFNA(IF(VLOOKUP(U104,'Incoming Material Report'!A:N,14,FALSE)="","",VLOOKUP(U104,'Incoming Material Report'!A:N,14,FALSE)),"")</f>
        <v/>
      </c>
      <c r="AI104" s="52" t="str">
        <f>_xlfn.IFNA(VLOOKUP(U104,'Incoming Material Report'!A:Z,24,FALSE),"")</f>
        <v/>
      </c>
      <c r="AJ104" s="52" t="str">
        <f>_xlfn.IFNA(VLOOKUP(U104,'Incoming Material Report'!A:Z,25,FALSE),"")</f>
        <v/>
      </c>
      <c r="AK104" s="52" t="str">
        <f>_xlfn.IFNA(VLOOKUP(U104,'Incoming Material Report'!A:Z,26,FALSE),"")</f>
        <v/>
      </c>
      <c r="AL104" s="52" t="str">
        <f>_xlfn.IFNA(VLOOKUP(U104,'Incoming Material Report'!A:Z,2,FALSE),"")</f>
        <v/>
      </c>
      <c r="AM104" s="52" t="str">
        <f>_xlfn.IFNA(VLOOKUP(U104,'Incoming Material Report'!A:K,11,FALSE)/1000,"")</f>
        <v/>
      </c>
      <c r="AO104" s="52" t="str">
        <f>_xlfn.IFNA(VLOOKUP(U104,'Incoming Material Report'!A:R,18,FALSE)*1000,"")</f>
        <v/>
      </c>
      <c r="AQ104" s="52" t="str">
        <f>_xlfn.IFNA(TEXT(VLOOKUP(U104,'Incoming Material Report'!A:D,4,FALSE),"dd.mm.yy"),"")</f>
        <v/>
      </c>
      <c r="AR104" s="52" t="str">
        <f>_xlfn.IFNA(VLOOKUP(U104,'Incoming Material Report'!A:Z,5,FALSE),"")</f>
        <v/>
      </c>
      <c r="AT104" s="52" t="str">
        <f>IF(OR(_xlfn.IFNA(VLOOKUP(U104,'Incoming Material Report'!A:Z,6,FALSE),"")="NSC",_xlfn.IFNA(VLOOKUP(U104,'Incoming Material Report'!A:Z,6,FALSE),"")="NSSMC"),"NSC","")</f>
        <v/>
      </c>
      <c r="AU104" s="52" t="str">
        <f>_xlfn.IFNA(VLOOKUP(U104,'Incoming Material Report'!A:Z,8,FALSE),"")</f>
        <v/>
      </c>
      <c r="AZ104" s="52" t="str">
        <f>_xlfn.IFNA(VLOOKUP(U104,'GRPO Wiz'!AP:BT,17,FALSE),"")</f>
        <v/>
      </c>
      <c r="BA104" s="52" t="str">
        <f>_xlfn.IFNA(VLOOKUP(U104,'GRPO Wiz'!AP:BT,18,FALSE),"")</f>
        <v/>
      </c>
      <c r="BB104" s="52" t="str">
        <f>_xlfn.IFNA(VLOOKUP(U104,'GRPO Wiz'!AP:BT,19,FALSE),"")</f>
        <v/>
      </c>
      <c r="BC104" s="52" t="str">
        <f>_xlfn.IFNA(VLOOKUP(U104,'GRPO Wiz'!AP:BT,20,FALSE),"")</f>
        <v/>
      </c>
      <c r="BD104" s="52" t="str">
        <f>_xlfn.IFNA(VLOOKUP(U104,'GRPO Wiz'!AP:BT,21,FALSE),"")</f>
        <v/>
      </c>
      <c r="BE104" s="52" t="str">
        <f>_xlfn.IFNA(LEFT((VLOOKUP(U104,'GRPO Wiz'!AP:BT,22,FALSE)),8),"")</f>
        <v/>
      </c>
      <c r="BF104" s="52" t="str">
        <f>_xlfn.IFNA(VLOOKUP(U104,'GRPO Wiz'!AP:BT,26,FALSE),"")</f>
        <v/>
      </c>
      <c r="BG104" s="57" t="str">
        <f>_xlfn.IFNA(VLOOKUP(U104,'GRPO Wiz'!AP:BQ,28,FALSE),"")</f>
        <v/>
      </c>
      <c r="BH104" s="52" t="str">
        <f>_xlfn.IFNA(VLOOKUP(U104,'GRPO Wiz'!AP:BN,25,FALSE),"")</f>
        <v/>
      </c>
      <c r="BI104" s="52" t="str">
        <f>_xlfn.IFNA(VLOOKUP(U104,'GRPO Wiz'!AP:BT,31,FALSE),"")</f>
        <v/>
      </c>
      <c r="BJ104" s="52" t="str">
        <f>_xlfn.IFNA(VLOOKUP(U104,'GRPO Wiz'!AP:BZ,32,FALSE),"")</f>
        <v/>
      </c>
      <c r="BK104" s="52" t="str">
        <f>_xlfn.IFNA(VLOOKUP(U104,'GRPO Wiz'!AP:BZ,27,FALSE),"")</f>
        <v/>
      </c>
      <c r="BL104" s="52" t="str">
        <f>_xlfn.IFNA(VALUE(VLOOKUP(U104,'GRPO Wiz'!AP:BZ,29,FALSE)),"")</f>
        <v/>
      </c>
      <c r="BM104" s="52" t="str">
        <f>IF(OR(_xlfn.IFNA(VLOOKUP(U104,'GRPO Wiz'!AP:BZ,33,FALSE),"")="NSC",_xlfn.IFNA(VLOOKUP(U104,'GRPO Wiz'!AP:BZ,33,FALSE),"")="NSSMC"),"NSC","")</f>
        <v/>
      </c>
    </row>
    <row r="105" spans="10:82" ht="26.25" customHeight="1" x14ac:dyDescent="0.25">
      <c r="J105" s="52" t="str">
        <f t="shared" si="29"/>
        <v/>
      </c>
      <c r="K105" s="52" t="str">
        <f>IF(O105="","",VLOOKUP(U105,Data!O:AC,15,FALSE)/G105)</f>
        <v/>
      </c>
      <c r="X105" s="52" t="str">
        <f t="shared" si="30"/>
        <v/>
      </c>
      <c r="Z105" s="52">
        <f t="shared" si="31"/>
        <v>0</v>
      </c>
      <c r="AG105" s="52" t="str">
        <f>_xlfn.IFNA(VLOOKUP(U105,'Incoming Material Report'!A:M,13,FALSE),"")</f>
        <v/>
      </c>
      <c r="AH105" s="52" t="str">
        <f>_xlfn.IFNA(IF(VLOOKUP(U105,'Incoming Material Report'!A:N,14,FALSE)="","",VLOOKUP(U105,'Incoming Material Report'!A:N,14,FALSE)),"")</f>
        <v/>
      </c>
      <c r="AI105" s="52" t="str">
        <f>_xlfn.IFNA(VLOOKUP(U105,'Incoming Material Report'!A:Z,24,FALSE),"")</f>
        <v/>
      </c>
      <c r="AJ105" s="52" t="str">
        <f>_xlfn.IFNA(VLOOKUP(U105,'Incoming Material Report'!A:Z,25,FALSE),"")</f>
        <v/>
      </c>
      <c r="AK105" s="52" t="str">
        <f>_xlfn.IFNA(VLOOKUP(U105,'Incoming Material Report'!A:Z,26,FALSE),"")</f>
        <v/>
      </c>
      <c r="AL105" s="52" t="str">
        <f>_xlfn.IFNA(VLOOKUP(U105,'Incoming Material Report'!A:Z,2,FALSE),"")</f>
        <v/>
      </c>
      <c r="AM105" s="52" t="str">
        <f>_xlfn.IFNA(VLOOKUP(U105,'Incoming Material Report'!A:K,11,FALSE)/1000,"")</f>
        <v/>
      </c>
      <c r="AO105" s="52" t="str">
        <f>_xlfn.IFNA(VLOOKUP(U105,'Incoming Material Report'!A:R,18,FALSE)*1000,"")</f>
        <v/>
      </c>
      <c r="AQ105" s="52" t="str">
        <f>_xlfn.IFNA(TEXT(VLOOKUP(U105,'Incoming Material Report'!A:D,4,FALSE),"dd.mm.yy"),"")</f>
        <v/>
      </c>
      <c r="AR105" s="52" t="str">
        <f>_xlfn.IFNA(VLOOKUP(U105,'Incoming Material Report'!A:Z,5,FALSE),"")</f>
        <v/>
      </c>
      <c r="AT105" s="52" t="str">
        <f>IF(OR(_xlfn.IFNA(VLOOKUP(U105,'Incoming Material Report'!A:Z,6,FALSE),"")="NSC",_xlfn.IFNA(VLOOKUP(U105,'Incoming Material Report'!A:Z,6,FALSE),"")="NSSMC"),"NSC","")</f>
        <v/>
      </c>
      <c r="AU105" s="52" t="str">
        <f>_xlfn.IFNA(VLOOKUP(U105,'Incoming Material Report'!A:Z,8,FALSE),"")</f>
        <v/>
      </c>
      <c r="AZ105" s="52" t="str">
        <f>_xlfn.IFNA(VLOOKUP(U105,'GRPO Wiz'!AP:BT,17,FALSE),"")</f>
        <v/>
      </c>
      <c r="BA105" s="52" t="str">
        <f>_xlfn.IFNA(VLOOKUP(U105,'GRPO Wiz'!AP:BT,18,FALSE),"")</f>
        <v/>
      </c>
      <c r="BB105" s="52" t="str">
        <f>_xlfn.IFNA(VLOOKUP(U105,'GRPO Wiz'!AP:BT,19,FALSE),"")</f>
        <v/>
      </c>
      <c r="BC105" s="52" t="str">
        <f>_xlfn.IFNA(VLOOKUP(U105,'GRPO Wiz'!AP:BT,20,FALSE),"")</f>
        <v/>
      </c>
      <c r="BD105" s="52" t="str">
        <f>_xlfn.IFNA(VLOOKUP(U105,'GRPO Wiz'!AP:BT,21,FALSE),"")</f>
        <v/>
      </c>
      <c r="BE105" s="52" t="str">
        <f>_xlfn.IFNA(LEFT((VLOOKUP(U105,'GRPO Wiz'!AP:BT,22,FALSE)),8),"")</f>
        <v/>
      </c>
      <c r="BF105" s="52" t="str">
        <f>_xlfn.IFNA(VLOOKUP(U105,'GRPO Wiz'!AP:BT,26,FALSE),"")</f>
        <v/>
      </c>
      <c r="BG105" s="57" t="str">
        <f>_xlfn.IFNA(VLOOKUP(U105,'GRPO Wiz'!AP:BQ,28,FALSE),"")</f>
        <v/>
      </c>
      <c r="BH105" s="52" t="str">
        <f>_xlfn.IFNA(VLOOKUP(U105,'GRPO Wiz'!AP:BN,25,FALSE),"")</f>
        <v/>
      </c>
      <c r="BI105" s="52" t="str">
        <f>_xlfn.IFNA(VLOOKUP(U105,'GRPO Wiz'!AP:BT,31,FALSE),"")</f>
        <v/>
      </c>
      <c r="BJ105" s="52" t="str">
        <f>_xlfn.IFNA(VLOOKUP(U105,'GRPO Wiz'!AP:BZ,32,FALSE),"")</f>
        <v/>
      </c>
      <c r="BK105" s="52" t="str">
        <f>_xlfn.IFNA(VLOOKUP(U105,'GRPO Wiz'!AP:BZ,27,FALSE),"")</f>
        <v/>
      </c>
      <c r="BL105" s="52" t="str">
        <f>_xlfn.IFNA(VALUE(VLOOKUP(U105,'GRPO Wiz'!AP:BZ,29,FALSE)),"")</f>
        <v/>
      </c>
      <c r="BM105" s="52" t="str">
        <f>IF(OR(_xlfn.IFNA(VLOOKUP(U105,'GRPO Wiz'!AP:BZ,33,FALSE),"")="NSC",_xlfn.IFNA(VLOOKUP(U105,'GRPO Wiz'!AP:BZ,33,FALSE),"")="NSSMC"),"NSC","")</f>
        <v/>
      </c>
    </row>
    <row r="106" spans="10:82" ht="26.25" customHeight="1" x14ac:dyDescent="0.25">
      <c r="J106" s="52" t="str">
        <f t="shared" si="29"/>
        <v/>
      </c>
      <c r="K106" s="52" t="str">
        <f>IF(O106="","",VLOOKUP(U106,Data!O:AC,15,FALSE)/G106)</f>
        <v/>
      </c>
      <c r="X106" s="52" t="str">
        <f t="shared" si="30"/>
        <v/>
      </c>
      <c r="Z106" s="52">
        <f t="shared" si="31"/>
        <v>0</v>
      </c>
      <c r="AG106" s="52" t="str">
        <f>_xlfn.IFNA(VLOOKUP(U106,'Incoming Material Report'!A:M,13,FALSE),"")</f>
        <v/>
      </c>
      <c r="AH106" s="52" t="str">
        <f>_xlfn.IFNA(IF(VLOOKUP(U106,'Incoming Material Report'!A:N,14,FALSE)="","",VLOOKUP(U106,'Incoming Material Report'!A:N,14,FALSE)),"")</f>
        <v/>
      </c>
      <c r="AI106" s="52" t="str">
        <f>_xlfn.IFNA(VLOOKUP(U106,'Incoming Material Report'!A:Z,24,FALSE),"")</f>
        <v/>
      </c>
      <c r="AJ106" s="52" t="str">
        <f>_xlfn.IFNA(VLOOKUP(U106,'Incoming Material Report'!A:Z,25,FALSE),"")</f>
        <v/>
      </c>
      <c r="AK106" s="52" t="str">
        <f>_xlfn.IFNA(VLOOKUP(U106,'Incoming Material Report'!A:Z,26,FALSE),"")</f>
        <v/>
      </c>
      <c r="AL106" s="52" t="str">
        <f>_xlfn.IFNA(VLOOKUP(U106,'Incoming Material Report'!A:Z,2,FALSE),"")</f>
        <v/>
      </c>
      <c r="AM106" s="52" t="str">
        <f>_xlfn.IFNA(VLOOKUP(U106,'Incoming Material Report'!A:K,11,FALSE)/1000,"")</f>
        <v/>
      </c>
      <c r="AO106" s="52" t="str">
        <f>_xlfn.IFNA(VLOOKUP(U106,'Incoming Material Report'!A:R,18,FALSE)*1000,"")</f>
        <v/>
      </c>
      <c r="AQ106" s="52" t="str">
        <f>_xlfn.IFNA(TEXT(VLOOKUP(U106,'Incoming Material Report'!A:D,4,FALSE),"dd.mm.yy"),"")</f>
        <v/>
      </c>
      <c r="AR106" s="52" t="str">
        <f>_xlfn.IFNA(VLOOKUP(U106,'Incoming Material Report'!A:Z,5,FALSE),"")</f>
        <v/>
      </c>
      <c r="AT106" s="52" t="str">
        <f>IF(OR(_xlfn.IFNA(VLOOKUP(U106,'Incoming Material Report'!A:Z,6,FALSE),"")="NSC",_xlfn.IFNA(VLOOKUP(U106,'Incoming Material Report'!A:Z,6,FALSE),"")="NSSMC"),"NSC","")</f>
        <v/>
      </c>
      <c r="AU106" s="52" t="str">
        <f>_xlfn.IFNA(VLOOKUP(U106,'Incoming Material Report'!A:Z,8,FALSE),"")</f>
        <v/>
      </c>
      <c r="AZ106" s="52" t="str">
        <f>_xlfn.IFNA(VLOOKUP(U106,'GRPO Wiz'!AP:BT,17,FALSE),"")</f>
        <v/>
      </c>
      <c r="BA106" s="52" t="str">
        <f>_xlfn.IFNA(VLOOKUP(U106,'GRPO Wiz'!AP:BT,18,FALSE),"")</f>
        <v/>
      </c>
      <c r="BB106" s="52" t="str">
        <f>_xlfn.IFNA(VLOOKUP(U106,'GRPO Wiz'!AP:BT,19,FALSE),"")</f>
        <v/>
      </c>
      <c r="BC106" s="52" t="str">
        <f>_xlfn.IFNA(VLOOKUP(U106,'GRPO Wiz'!AP:BT,20,FALSE),"")</f>
        <v/>
      </c>
      <c r="BD106" s="52" t="str">
        <f>_xlfn.IFNA(VLOOKUP(U106,'GRPO Wiz'!AP:BT,21,FALSE),"")</f>
        <v/>
      </c>
      <c r="BE106" s="52" t="str">
        <f>_xlfn.IFNA(LEFT((VLOOKUP(U106,'GRPO Wiz'!AP:BT,22,FALSE)),8),"")</f>
        <v/>
      </c>
      <c r="BF106" s="52" t="str">
        <f>_xlfn.IFNA(VLOOKUP(U106,'GRPO Wiz'!AP:BT,26,FALSE),"")</f>
        <v/>
      </c>
      <c r="BG106" s="57" t="str">
        <f>_xlfn.IFNA(VLOOKUP(U106,'GRPO Wiz'!AP:BQ,28,FALSE),"")</f>
        <v/>
      </c>
      <c r="BH106" s="52" t="str">
        <f>_xlfn.IFNA(VLOOKUP(U106,'GRPO Wiz'!AP:BN,25,FALSE),"")</f>
        <v/>
      </c>
      <c r="BI106" s="52" t="str">
        <f>_xlfn.IFNA(VLOOKUP(U106,'GRPO Wiz'!AP:BT,31,FALSE),"")</f>
        <v/>
      </c>
      <c r="BJ106" s="52" t="str">
        <f>_xlfn.IFNA(VLOOKUP(U106,'GRPO Wiz'!AP:BZ,32,FALSE),"")</f>
        <v/>
      </c>
      <c r="BK106" s="52" t="str">
        <f>_xlfn.IFNA(VLOOKUP(U106,'GRPO Wiz'!AP:BZ,27,FALSE),"")</f>
        <v/>
      </c>
      <c r="BL106" s="52" t="str">
        <f>_xlfn.IFNA(VALUE(VLOOKUP(U106,'GRPO Wiz'!AP:BZ,29,FALSE)),"")</f>
        <v/>
      </c>
      <c r="BM106" s="52" t="str">
        <f>IF(OR(_xlfn.IFNA(VLOOKUP(U106,'GRPO Wiz'!AP:BZ,33,FALSE),"")="NSC",_xlfn.IFNA(VLOOKUP(U106,'GRPO Wiz'!AP:BZ,33,FALSE),"")="NSSMC"),"NSC","")</f>
        <v/>
      </c>
    </row>
    <row r="107" spans="10:82" ht="26.25" customHeight="1" x14ac:dyDescent="0.25">
      <c r="J107" s="52" t="str">
        <f t="shared" si="29"/>
        <v/>
      </c>
      <c r="K107" s="52" t="str">
        <f>IF(O107="","",VLOOKUP(U107,Data!O:AC,15,FALSE)/G107)</f>
        <v/>
      </c>
      <c r="X107" s="52" t="str">
        <f t="shared" si="30"/>
        <v/>
      </c>
      <c r="Z107" s="52">
        <f t="shared" si="31"/>
        <v>0</v>
      </c>
      <c r="AG107" s="52" t="str">
        <f>_xlfn.IFNA(VLOOKUP(U107,'Incoming Material Report'!A:M,13,FALSE),"")</f>
        <v/>
      </c>
      <c r="AH107" s="52" t="str">
        <f>_xlfn.IFNA(IF(VLOOKUP(U107,'Incoming Material Report'!A:N,14,FALSE)="","",VLOOKUP(U107,'Incoming Material Report'!A:N,14,FALSE)),"")</f>
        <v/>
      </c>
      <c r="AI107" s="52" t="str">
        <f>_xlfn.IFNA(VLOOKUP(U107,'Incoming Material Report'!A:Z,24,FALSE),"")</f>
        <v/>
      </c>
      <c r="AJ107" s="52" t="str">
        <f>_xlfn.IFNA(VLOOKUP(U107,'Incoming Material Report'!A:Z,25,FALSE),"")</f>
        <v/>
      </c>
      <c r="AK107" s="52" t="str">
        <f>_xlfn.IFNA(VLOOKUP(U107,'Incoming Material Report'!A:Z,26,FALSE),"")</f>
        <v/>
      </c>
      <c r="AL107" s="52" t="str">
        <f>_xlfn.IFNA(VLOOKUP(U107,'Incoming Material Report'!A:Z,2,FALSE),"")</f>
        <v/>
      </c>
      <c r="AM107" s="52" t="str">
        <f>_xlfn.IFNA(VLOOKUP(U107,'Incoming Material Report'!A:K,11,FALSE)/1000,"")</f>
        <v/>
      </c>
      <c r="AO107" s="52" t="str">
        <f>_xlfn.IFNA(VLOOKUP(U107,'Incoming Material Report'!A:R,18,FALSE)*1000,"")</f>
        <v/>
      </c>
      <c r="AQ107" s="52" t="str">
        <f>_xlfn.IFNA(TEXT(VLOOKUP(U107,'Incoming Material Report'!A:D,4,FALSE),"dd.mm.yy"),"")</f>
        <v/>
      </c>
      <c r="AR107" s="52" t="str">
        <f>_xlfn.IFNA(VLOOKUP(U107,'Incoming Material Report'!A:Z,5,FALSE),"")</f>
        <v/>
      </c>
      <c r="AT107" s="52" t="str">
        <f>IF(OR(_xlfn.IFNA(VLOOKUP(U107,'Incoming Material Report'!A:Z,6,FALSE),"")="NSC",_xlfn.IFNA(VLOOKUP(U107,'Incoming Material Report'!A:Z,6,FALSE),"")="NSSMC"),"NSC","")</f>
        <v/>
      </c>
      <c r="AU107" s="52" t="str">
        <f>_xlfn.IFNA(VLOOKUP(U107,'Incoming Material Report'!A:Z,8,FALSE),"")</f>
        <v/>
      </c>
      <c r="AZ107" s="52" t="str">
        <f>_xlfn.IFNA(VLOOKUP(U107,'GRPO Wiz'!AP:BT,17,FALSE),"")</f>
        <v/>
      </c>
      <c r="BA107" s="52" t="str">
        <f>_xlfn.IFNA(VLOOKUP(U107,'GRPO Wiz'!AP:BT,18,FALSE),"")</f>
        <v/>
      </c>
      <c r="BB107" s="52" t="str">
        <f>_xlfn.IFNA(VLOOKUP(U107,'GRPO Wiz'!AP:BT,19,FALSE),"")</f>
        <v/>
      </c>
      <c r="BC107" s="52" t="str">
        <f>_xlfn.IFNA(VLOOKUP(U107,'GRPO Wiz'!AP:BT,20,FALSE),"")</f>
        <v/>
      </c>
      <c r="BD107" s="52" t="str">
        <f>_xlfn.IFNA(VLOOKUP(U107,'GRPO Wiz'!AP:BT,21,FALSE),"")</f>
        <v/>
      </c>
      <c r="BE107" s="52" t="str">
        <f>_xlfn.IFNA(LEFT((VLOOKUP(U107,'GRPO Wiz'!AP:BT,22,FALSE)),8),"")</f>
        <v/>
      </c>
      <c r="BF107" s="52" t="str">
        <f>_xlfn.IFNA(VLOOKUP(U107,'GRPO Wiz'!AP:BT,26,FALSE),"")</f>
        <v/>
      </c>
      <c r="BG107" s="57" t="str">
        <f>_xlfn.IFNA(VLOOKUP(U107,'GRPO Wiz'!AP:BQ,28,FALSE),"")</f>
        <v/>
      </c>
      <c r="BH107" s="52" t="str">
        <f>_xlfn.IFNA(VLOOKUP(U107,'GRPO Wiz'!AP:BN,25,FALSE),"")</f>
        <v/>
      </c>
      <c r="BI107" s="52" t="str">
        <f>_xlfn.IFNA(VLOOKUP(U107,'GRPO Wiz'!AP:BT,31,FALSE),"")</f>
        <v/>
      </c>
      <c r="BJ107" s="52" t="str">
        <f>_xlfn.IFNA(VLOOKUP(U107,'GRPO Wiz'!AP:BZ,32,FALSE),"")</f>
        <v/>
      </c>
      <c r="BK107" s="52" t="str">
        <f>_xlfn.IFNA(VLOOKUP(U107,'GRPO Wiz'!AP:BZ,27,FALSE),"")</f>
        <v/>
      </c>
      <c r="BL107" s="52" t="str">
        <f>_xlfn.IFNA(VALUE(VLOOKUP(U107,'GRPO Wiz'!AP:BZ,29,FALSE)),"")</f>
        <v/>
      </c>
      <c r="BM107" s="52" t="str">
        <f>IF(OR(_xlfn.IFNA(VLOOKUP(U107,'GRPO Wiz'!AP:BZ,33,FALSE),"")="NSC",_xlfn.IFNA(VLOOKUP(U107,'GRPO Wiz'!AP:BZ,33,FALSE),"")="NSSMC"),"NSC","")</f>
        <v/>
      </c>
    </row>
    <row r="108" spans="10:82" ht="26.25" customHeight="1" x14ac:dyDescent="0.25">
      <c r="J108" s="52" t="str">
        <f t="shared" si="29"/>
        <v/>
      </c>
      <c r="K108" s="52" t="str">
        <f>IF(O108="","",VLOOKUP(U108,Data!O:AC,15,FALSE)/G108)</f>
        <v/>
      </c>
      <c r="X108" s="52" t="str">
        <f t="shared" si="30"/>
        <v/>
      </c>
      <c r="Z108" s="52">
        <f t="shared" si="31"/>
        <v>0</v>
      </c>
      <c r="AG108" s="52" t="str">
        <f>_xlfn.IFNA(VLOOKUP(U108,'Incoming Material Report'!A:M,13,FALSE),"")</f>
        <v/>
      </c>
      <c r="AH108" s="52" t="str">
        <f>_xlfn.IFNA(IF(VLOOKUP(U108,'Incoming Material Report'!A:N,14,FALSE)="","",VLOOKUP(U108,'Incoming Material Report'!A:N,14,FALSE)),"")</f>
        <v/>
      </c>
      <c r="AI108" s="52" t="str">
        <f>_xlfn.IFNA(VLOOKUP(U108,'Incoming Material Report'!A:Z,24,FALSE),"")</f>
        <v/>
      </c>
      <c r="AJ108" s="52" t="str">
        <f>_xlfn.IFNA(VLOOKUP(U108,'Incoming Material Report'!A:Z,25,FALSE),"")</f>
        <v/>
      </c>
      <c r="AK108" s="52" t="str">
        <f>_xlfn.IFNA(VLOOKUP(U108,'Incoming Material Report'!A:Z,26,FALSE),"")</f>
        <v/>
      </c>
      <c r="AL108" s="52" t="str">
        <f>_xlfn.IFNA(VLOOKUP(U108,'Incoming Material Report'!A:Z,2,FALSE),"")</f>
        <v/>
      </c>
      <c r="AM108" s="52" t="str">
        <f>_xlfn.IFNA(VLOOKUP(U108,'Incoming Material Report'!A:K,11,FALSE)/1000,"")</f>
        <v/>
      </c>
      <c r="AO108" s="52" t="str">
        <f>_xlfn.IFNA(VLOOKUP(U108,'Incoming Material Report'!A:R,18,FALSE)*1000,"")</f>
        <v/>
      </c>
      <c r="AQ108" s="52" t="str">
        <f>_xlfn.IFNA(TEXT(VLOOKUP(U108,'Incoming Material Report'!A:D,4,FALSE),"dd.mm.yy"),"")</f>
        <v/>
      </c>
      <c r="AR108" s="52" t="str">
        <f>_xlfn.IFNA(VLOOKUP(U108,'Incoming Material Report'!A:Z,5,FALSE),"")</f>
        <v/>
      </c>
      <c r="AT108" s="52" t="str">
        <f>IF(OR(_xlfn.IFNA(VLOOKUP(U108,'Incoming Material Report'!A:Z,6,FALSE),"")="NSC",_xlfn.IFNA(VLOOKUP(U108,'Incoming Material Report'!A:Z,6,FALSE),"")="NSSMC"),"NSC","")</f>
        <v/>
      </c>
      <c r="AU108" s="52" t="str">
        <f>_xlfn.IFNA(VLOOKUP(U108,'Incoming Material Report'!A:Z,8,FALSE),"")</f>
        <v/>
      </c>
      <c r="AZ108" s="52" t="str">
        <f>_xlfn.IFNA(VLOOKUP(U108,'GRPO Wiz'!AP:BT,17,FALSE),"")</f>
        <v/>
      </c>
      <c r="BA108" s="52" t="str">
        <f>_xlfn.IFNA(VLOOKUP(U108,'GRPO Wiz'!AP:BT,18,FALSE),"")</f>
        <v/>
      </c>
      <c r="BB108" s="52" t="str">
        <f>_xlfn.IFNA(VLOOKUP(U108,'GRPO Wiz'!AP:BT,19,FALSE),"")</f>
        <v/>
      </c>
      <c r="BC108" s="52" t="str">
        <f>_xlfn.IFNA(VLOOKUP(U108,'GRPO Wiz'!AP:BT,20,FALSE),"")</f>
        <v/>
      </c>
      <c r="BD108" s="52" t="str">
        <f>_xlfn.IFNA(VLOOKUP(U108,'GRPO Wiz'!AP:BT,21,FALSE),"")</f>
        <v/>
      </c>
      <c r="BE108" s="52" t="str">
        <f>_xlfn.IFNA(LEFT((VLOOKUP(U108,'GRPO Wiz'!AP:BT,22,FALSE)),8),"")</f>
        <v/>
      </c>
      <c r="BF108" s="52" t="str">
        <f>_xlfn.IFNA(VLOOKUP(U108,'GRPO Wiz'!AP:BT,26,FALSE),"")</f>
        <v/>
      </c>
      <c r="BG108" s="57" t="str">
        <f>_xlfn.IFNA(VLOOKUP(U108,'GRPO Wiz'!AP:BQ,28,FALSE),"")</f>
        <v/>
      </c>
      <c r="BH108" s="52" t="str">
        <f>_xlfn.IFNA(VLOOKUP(U108,'GRPO Wiz'!AP:BN,25,FALSE),"")</f>
        <v/>
      </c>
      <c r="BI108" s="52" t="str">
        <f>_xlfn.IFNA(VLOOKUP(U108,'GRPO Wiz'!AP:BT,31,FALSE),"")</f>
        <v/>
      </c>
      <c r="BJ108" s="52" t="str">
        <f>_xlfn.IFNA(VLOOKUP(U108,'GRPO Wiz'!AP:BZ,32,FALSE),"")</f>
        <v/>
      </c>
      <c r="BK108" s="52" t="str">
        <f>_xlfn.IFNA(VLOOKUP(U108,'GRPO Wiz'!AP:BZ,27,FALSE),"")</f>
        <v/>
      </c>
      <c r="BL108" s="52" t="str">
        <f>_xlfn.IFNA(VALUE(VLOOKUP(U108,'GRPO Wiz'!AP:BZ,29,FALSE)),"")</f>
        <v/>
      </c>
      <c r="BM108" s="52" t="str">
        <f>IF(OR(_xlfn.IFNA(VLOOKUP(U108,'GRPO Wiz'!AP:BZ,33,FALSE),"")="NSC",_xlfn.IFNA(VLOOKUP(U108,'GRPO Wiz'!AP:BZ,33,FALSE),"")="NSSMC"),"NSC","")</f>
        <v/>
      </c>
    </row>
    <row r="109" spans="10:82" ht="26.25" customHeight="1" x14ac:dyDescent="0.25">
      <c r="J109" s="52" t="str">
        <f t="shared" si="29"/>
        <v/>
      </c>
      <c r="K109" s="52" t="str">
        <f>IF(O109="","",VLOOKUP(U109,Data!O:AC,15,FALSE)/G109)</f>
        <v/>
      </c>
      <c r="X109" s="52" t="str">
        <f t="shared" si="30"/>
        <v/>
      </c>
      <c r="Z109" s="52">
        <f t="shared" si="31"/>
        <v>0</v>
      </c>
      <c r="AG109" s="52" t="str">
        <f>_xlfn.IFNA(VLOOKUP(U109,'Incoming Material Report'!A:M,13,FALSE),"")</f>
        <v/>
      </c>
      <c r="AH109" s="52" t="str">
        <f>_xlfn.IFNA(IF(VLOOKUP(U109,'Incoming Material Report'!A:N,14,FALSE)="","",VLOOKUP(U109,'Incoming Material Report'!A:N,14,FALSE)),"")</f>
        <v/>
      </c>
      <c r="AI109" s="52" t="str">
        <f>_xlfn.IFNA(VLOOKUP(U109,'Incoming Material Report'!A:Z,24,FALSE),"")</f>
        <v/>
      </c>
      <c r="AJ109" s="52" t="str">
        <f>_xlfn.IFNA(VLOOKUP(U109,'Incoming Material Report'!A:Z,25,FALSE),"")</f>
        <v/>
      </c>
      <c r="AK109" s="52" t="str">
        <f>_xlfn.IFNA(VLOOKUP(U109,'Incoming Material Report'!A:Z,26,FALSE),"")</f>
        <v/>
      </c>
      <c r="AL109" s="52" t="str">
        <f>_xlfn.IFNA(VLOOKUP(U109,'Incoming Material Report'!A:Z,2,FALSE),"")</f>
        <v/>
      </c>
      <c r="AM109" s="52" t="str">
        <f>_xlfn.IFNA(VLOOKUP(U109,'Incoming Material Report'!A:K,11,FALSE)/1000,"")</f>
        <v/>
      </c>
      <c r="AO109" s="52" t="str">
        <f>_xlfn.IFNA(VLOOKUP(U109,'Incoming Material Report'!A:R,18,FALSE)*1000,"")</f>
        <v/>
      </c>
      <c r="AQ109" s="52" t="str">
        <f>_xlfn.IFNA(TEXT(VLOOKUP(U109,'Incoming Material Report'!A:D,4,FALSE),"dd.mm.yy"),"")</f>
        <v/>
      </c>
      <c r="AR109" s="52" t="str">
        <f>_xlfn.IFNA(VLOOKUP(U109,'Incoming Material Report'!A:Z,5,FALSE),"")</f>
        <v/>
      </c>
      <c r="AT109" s="52" t="str">
        <f>IF(OR(_xlfn.IFNA(VLOOKUP(U109,'Incoming Material Report'!A:Z,6,FALSE),"")="NSC",_xlfn.IFNA(VLOOKUP(U109,'Incoming Material Report'!A:Z,6,FALSE),"")="NSSMC"),"NSC","")</f>
        <v/>
      </c>
      <c r="AU109" s="52" t="str">
        <f>_xlfn.IFNA(VLOOKUP(U109,'Incoming Material Report'!A:Z,8,FALSE),"")</f>
        <v/>
      </c>
      <c r="AZ109" s="52" t="str">
        <f>_xlfn.IFNA(VLOOKUP(U109,'GRPO Wiz'!AP:BT,17,FALSE),"")</f>
        <v/>
      </c>
      <c r="BA109" s="52" t="str">
        <f>_xlfn.IFNA(VLOOKUP(U109,'GRPO Wiz'!AP:BT,18,FALSE),"")</f>
        <v/>
      </c>
      <c r="BB109" s="52" t="str">
        <f>_xlfn.IFNA(VLOOKUP(U109,'GRPO Wiz'!AP:BT,19,FALSE),"")</f>
        <v/>
      </c>
      <c r="BC109" s="52" t="str">
        <f>_xlfn.IFNA(VLOOKUP(U109,'GRPO Wiz'!AP:BT,20,FALSE),"")</f>
        <v/>
      </c>
      <c r="BD109" s="52" t="str">
        <f>_xlfn.IFNA(VLOOKUP(U109,'GRPO Wiz'!AP:BT,21,FALSE),"")</f>
        <v/>
      </c>
      <c r="BE109" s="52" t="str">
        <f>_xlfn.IFNA(LEFT((VLOOKUP(U109,'GRPO Wiz'!AP:BT,22,FALSE)),8),"")</f>
        <v/>
      </c>
      <c r="BF109" s="52" t="str">
        <f>_xlfn.IFNA(VLOOKUP(U109,'GRPO Wiz'!AP:BT,26,FALSE),"")</f>
        <v/>
      </c>
      <c r="BG109" s="57" t="str">
        <f>_xlfn.IFNA(VLOOKUP(U109,'GRPO Wiz'!AP:BQ,28,FALSE),"")</f>
        <v/>
      </c>
      <c r="BH109" s="52" t="str">
        <f>_xlfn.IFNA(VLOOKUP(U109,'GRPO Wiz'!AP:BN,25,FALSE),"")</f>
        <v/>
      </c>
      <c r="BI109" s="52" t="str">
        <f>_xlfn.IFNA(VLOOKUP(U109,'GRPO Wiz'!AP:BT,31,FALSE),"")</f>
        <v/>
      </c>
      <c r="BJ109" s="52" t="str">
        <f>_xlfn.IFNA(VLOOKUP(U109,'GRPO Wiz'!AP:BZ,32,FALSE),"")</f>
        <v/>
      </c>
      <c r="BK109" s="52" t="str">
        <f>_xlfn.IFNA(VLOOKUP(U109,'GRPO Wiz'!AP:BZ,27,FALSE),"")</f>
        <v/>
      </c>
      <c r="BL109" s="52" t="str">
        <f>_xlfn.IFNA(VALUE(VLOOKUP(U109,'GRPO Wiz'!AP:BZ,29,FALSE)),"")</f>
        <v/>
      </c>
      <c r="BM109" s="52" t="str">
        <f>IF(OR(_xlfn.IFNA(VLOOKUP(U109,'GRPO Wiz'!AP:BZ,33,FALSE),"")="NSC",_xlfn.IFNA(VLOOKUP(U109,'GRPO Wiz'!AP:BZ,33,FALSE),"")="NSSMC"),"NSC","")</f>
        <v/>
      </c>
    </row>
    <row r="110" spans="10:82" ht="26.25" customHeight="1" x14ac:dyDescent="0.25">
      <c r="J110" s="52" t="str">
        <f t="shared" si="29"/>
        <v/>
      </c>
      <c r="K110" s="52" t="str">
        <f>IF(O110="","",VLOOKUP(U110,Data!O:AC,15,FALSE)/G110)</f>
        <v/>
      </c>
      <c r="X110" s="52" t="str">
        <f t="shared" si="30"/>
        <v/>
      </c>
      <c r="Z110" s="52">
        <f t="shared" si="31"/>
        <v>0</v>
      </c>
      <c r="AG110" s="52" t="str">
        <f>_xlfn.IFNA(VLOOKUP(U110,'Incoming Material Report'!A:M,13,FALSE),"")</f>
        <v/>
      </c>
      <c r="AH110" s="52" t="str">
        <f>_xlfn.IFNA(IF(VLOOKUP(U110,'Incoming Material Report'!A:N,14,FALSE)="","",VLOOKUP(U110,'Incoming Material Report'!A:N,14,FALSE)),"")</f>
        <v/>
      </c>
      <c r="AI110" s="52" t="str">
        <f>_xlfn.IFNA(VLOOKUP(U110,'Incoming Material Report'!A:Z,24,FALSE),"")</f>
        <v/>
      </c>
      <c r="AJ110" s="52" t="str">
        <f>_xlfn.IFNA(VLOOKUP(U110,'Incoming Material Report'!A:Z,25,FALSE),"")</f>
        <v/>
      </c>
      <c r="AK110" s="52" t="str">
        <f>_xlfn.IFNA(VLOOKUP(U110,'Incoming Material Report'!A:Z,26,FALSE),"")</f>
        <v/>
      </c>
      <c r="AL110" s="52" t="str">
        <f>_xlfn.IFNA(VLOOKUP(U110,'Incoming Material Report'!A:Z,2,FALSE),"")</f>
        <v/>
      </c>
      <c r="AM110" s="52" t="str">
        <f>_xlfn.IFNA(VLOOKUP(U110,'Incoming Material Report'!A:K,11,FALSE)/1000,"")</f>
        <v/>
      </c>
      <c r="AO110" s="52" t="str">
        <f>_xlfn.IFNA(VLOOKUP(U110,'Incoming Material Report'!A:R,18,FALSE)*1000,"")</f>
        <v/>
      </c>
      <c r="AQ110" s="52" t="str">
        <f>_xlfn.IFNA(TEXT(VLOOKUP(U110,'Incoming Material Report'!A:D,4,FALSE),"dd.mm.yy"),"")</f>
        <v/>
      </c>
      <c r="AR110" s="52" t="str">
        <f>_xlfn.IFNA(VLOOKUP(U110,'Incoming Material Report'!A:Z,5,FALSE),"")</f>
        <v/>
      </c>
      <c r="AT110" s="52" t="str">
        <f>IF(OR(_xlfn.IFNA(VLOOKUP(U110,'Incoming Material Report'!A:Z,6,FALSE),"")="NSC",_xlfn.IFNA(VLOOKUP(U110,'Incoming Material Report'!A:Z,6,FALSE),"")="NSSMC"),"NSC","")</f>
        <v/>
      </c>
      <c r="AU110" s="52" t="str">
        <f>_xlfn.IFNA(VLOOKUP(U110,'Incoming Material Report'!A:Z,8,FALSE),"")</f>
        <v/>
      </c>
      <c r="AZ110" s="52" t="str">
        <f>_xlfn.IFNA(VLOOKUP(U110,'GRPO Wiz'!AP:BT,17,FALSE),"")</f>
        <v/>
      </c>
      <c r="BA110" s="52" t="str">
        <f>_xlfn.IFNA(VLOOKUP(U110,'GRPO Wiz'!AP:BT,18,FALSE),"")</f>
        <v/>
      </c>
      <c r="BB110" s="52" t="str">
        <f>_xlfn.IFNA(VLOOKUP(U110,'GRPO Wiz'!AP:BT,19,FALSE),"")</f>
        <v/>
      </c>
      <c r="BC110" s="52" t="str">
        <f>_xlfn.IFNA(VLOOKUP(U110,'GRPO Wiz'!AP:BT,20,FALSE),"")</f>
        <v/>
      </c>
      <c r="BD110" s="52" t="str">
        <f>_xlfn.IFNA(VLOOKUP(U110,'GRPO Wiz'!AP:BT,21,FALSE),"")</f>
        <v/>
      </c>
      <c r="BE110" s="52" t="str">
        <f>_xlfn.IFNA(LEFT((VLOOKUP(U110,'GRPO Wiz'!AP:BT,22,FALSE)),8),"")</f>
        <v/>
      </c>
      <c r="BF110" s="52" t="str">
        <f>_xlfn.IFNA(VLOOKUP(U110,'GRPO Wiz'!AP:BT,26,FALSE),"")</f>
        <v/>
      </c>
      <c r="BG110" s="57" t="str">
        <f>_xlfn.IFNA(VLOOKUP(U110,'GRPO Wiz'!AP:BQ,28,FALSE),"")</f>
        <v/>
      </c>
      <c r="BH110" s="52" t="str">
        <f>_xlfn.IFNA(VLOOKUP(U110,'GRPO Wiz'!AP:BN,25,FALSE),"")</f>
        <v/>
      </c>
      <c r="BI110" s="52" t="str">
        <f>_xlfn.IFNA(VLOOKUP(U110,'GRPO Wiz'!AP:BT,31,FALSE),"")</f>
        <v/>
      </c>
      <c r="BJ110" s="52" t="str">
        <f>_xlfn.IFNA(VLOOKUP(U110,'GRPO Wiz'!AP:BZ,32,FALSE),"")</f>
        <v/>
      </c>
      <c r="BK110" s="52" t="str">
        <f>_xlfn.IFNA(VLOOKUP(U110,'GRPO Wiz'!AP:BZ,27,FALSE),"")</f>
        <v/>
      </c>
      <c r="BL110" s="52" t="str">
        <f>_xlfn.IFNA(VALUE(VLOOKUP(U110,'GRPO Wiz'!AP:BZ,29,FALSE)),"")</f>
        <v/>
      </c>
      <c r="BM110" s="52" t="str">
        <f>IF(OR(_xlfn.IFNA(VLOOKUP(U110,'GRPO Wiz'!AP:BZ,33,FALSE),"")="NSC",_xlfn.IFNA(VLOOKUP(U110,'GRPO Wiz'!AP:BZ,33,FALSE),"")="NSSMC"),"NSC","")</f>
        <v/>
      </c>
    </row>
    <row r="111" spans="10:82" ht="26.25" customHeight="1" x14ac:dyDescent="0.25">
      <c r="J111" s="52" t="str">
        <f t="shared" si="29"/>
        <v/>
      </c>
      <c r="K111" s="52" t="str">
        <f>IF(O111="","",VLOOKUP(U111,Data!O:AC,15,FALSE)/G111)</f>
        <v/>
      </c>
      <c r="X111" s="52" t="str">
        <f t="shared" si="30"/>
        <v/>
      </c>
      <c r="Z111" s="52">
        <f t="shared" si="31"/>
        <v>0</v>
      </c>
      <c r="AG111" s="52" t="str">
        <f>_xlfn.IFNA(VLOOKUP(U111,'Incoming Material Report'!A:M,13,FALSE),"")</f>
        <v/>
      </c>
      <c r="AH111" s="52" t="str">
        <f>_xlfn.IFNA(IF(VLOOKUP(U111,'Incoming Material Report'!A:N,14,FALSE)="","",VLOOKUP(U111,'Incoming Material Report'!A:N,14,FALSE)),"")</f>
        <v/>
      </c>
      <c r="AI111" s="52" t="str">
        <f>_xlfn.IFNA(VLOOKUP(U111,'Incoming Material Report'!A:Z,24,FALSE),"")</f>
        <v/>
      </c>
      <c r="AJ111" s="52" t="str">
        <f>_xlfn.IFNA(VLOOKUP(U111,'Incoming Material Report'!A:Z,25,FALSE),"")</f>
        <v/>
      </c>
      <c r="AK111" s="52" t="str">
        <f>_xlfn.IFNA(VLOOKUP(U111,'Incoming Material Report'!A:Z,26,FALSE),"")</f>
        <v/>
      </c>
      <c r="AL111" s="52" t="str">
        <f>_xlfn.IFNA(VLOOKUP(U111,'Incoming Material Report'!A:Z,2,FALSE),"")</f>
        <v/>
      </c>
      <c r="AM111" s="52" t="str">
        <f>_xlfn.IFNA(VLOOKUP(U111,'Incoming Material Report'!A:K,11,FALSE)/1000,"")</f>
        <v/>
      </c>
      <c r="AO111" s="52" t="str">
        <f>_xlfn.IFNA(VLOOKUP(U111,'Incoming Material Report'!A:R,18,FALSE)*1000,"")</f>
        <v/>
      </c>
      <c r="AQ111" s="52" t="str">
        <f>_xlfn.IFNA(TEXT(VLOOKUP(U111,'Incoming Material Report'!A:D,4,FALSE),"dd.mm.yy"),"")</f>
        <v/>
      </c>
      <c r="AR111" s="52" t="str">
        <f>_xlfn.IFNA(VLOOKUP(U111,'Incoming Material Report'!A:Z,5,FALSE),"")</f>
        <v/>
      </c>
      <c r="AT111" s="52" t="str">
        <f>IF(OR(_xlfn.IFNA(VLOOKUP(U111,'Incoming Material Report'!A:Z,6,FALSE),"")="NSC",_xlfn.IFNA(VLOOKUP(U111,'Incoming Material Report'!A:Z,6,FALSE),"")="NSSMC"),"NSC","")</f>
        <v/>
      </c>
      <c r="AU111" s="52" t="str">
        <f>_xlfn.IFNA(VLOOKUP(U111,'Incoming Material Report'!A:Z,8,FALSE),"")</f>
        <v/>
      </c>
      <c r="AZ111" s="52" t="str">
        <f>_xlfn.IFNA(VLOOKUP(U111,'GRPO Wiz'!AP:BT,17,FALSE),"")</f>
        <v/>
      </c>
      <c r="BA111" s="52" t="str">
        <f>_xlfn.IFNA(VLOOKUP(U111,'GRPO Wiz'!AP:BT,18,FALSE),"")</f>
        <v/>
      </c>
      <c r="BB111" s="52" t="str">
        <f>_xlfn.IFNA(VLOOKUP(U111,'GRPO Wiz'!AP:BT,19,FALSE),"")</f>
        <v/>
      </c>
      <c r="BC111" s="52" t="str">
        <f>_xlfn.IFNA(VLOOKUP(U111,'GRPO Wiz'!AP:BT,20,FALSE),"")</f>
        <v/>
      </c>
      <c r="BD111" s="52" t="str">
        <f>_xlfn.IFNA(VLOOKUP(U111,'GRPO Wiz'!AP:BT,21,FALSE),"")</f>
        <v/>
      </c>
      <c r="BE111" s="52" t="str">
        <f>_xlfn.IFNA(LEFT((VLOOKUP(U111,'GRPO Wiz'!AP:BT,22,FALSE)),8),"")</f>
        <v/>
      </c>
      <c r="BF111" s="52" t="str">
        <f>_xlfn.IFNA(VLOOKUP(U111,'GRPO Wiz'!AP:BT,26,FALSE),"")</f>
        <v/>
      </c>
      <c r="BG111" s="57" t="str">
        <f>_xlfn.IFNA(VLOOKUP(U111,'GRPO Wiz'!AP:BQ,28,FALSE),"")</f>
        <v/>
      </c>
      <c r="BH111" s="52" t="str">
        <f>_xlfn.IFNA(VLOOKUP(U111,'GRPO Wiz'!AP:BN,25,FALSE),"")</f>
        <v/>
      </c>
      <c r="BI111" s="52" t="str">
        <f>_xlfn.IFNA(VLOOKUP(U111,'GRPO Wiz'!AP:BT,31,FALSE),"")</f>
        <v/>
      </c>
      <c r="BJ111" s="52" t="str">
        <f>_xlfn.IFNA(VLOOKUP(U111,'GRPO Wiz'!AP:BZ,32,FALSE),"")</f>
        <v/>
      </c>
      <c r="BK111" s="52" t="str">
        <f>_xlfn.IFNA(VLOOKUP(U111,'GRPO Wiz'!AP:BZ,27,FALSE),"")</f>
        <v/>
      </c>
      <c r="BL111" s="52" t="str">
        <f>_xlfn.IFNA(VALUE(VLOOKUP(U111,'GRPO Wiz'!AP:BZ,29,FALSE)),"")</f>
        <v/>
      </c>
      <c r="BM111" s="52" t="str">
        <f>IF(OR(_xlfn.IFNA(VLOOKUP(U111,'GRPO Wiz'!AP:BZ,33,FALSE),"")="NSC",_xlfn.IFNA(VLOOKUP(U111,'GRPO Wiz'!AP:BZ,33,FALSE),"")="NSSMC"),"NSC","")</f>
        <v/>
      </c>
    </row>
    <row r="112" spans="10:82" ht="26.25" customHeight="1" x14ac:dyDescent="0.25">
      <c r="J112" s="52" t="str">
        <f t="shared" si="29"/>
        <v/>
      </c>
      <c r="K112" s="52" t="str">
        <f>IF(O112="","",VLOOKUP(U112,Data!O:AC,15,FALSE)/G112)</f>
        <v/>
      </c>
      <c r="X112" s="52" t="str">
        <f t="shared" si="30"/>
        <v/>
      </c>
      <c r="Z112" s="52">
        <f t="shared" si="31"/>
        <v>0</v>
      </c>
      <c r="AG112" s="52" t="str">
        <f>_xlfn.IFNA(VLOOKUP(U112,'Incoming Material Report'!A:M,13,FALSE),"")</f>
        <v/>
      </c>
      <c r="AH112" s="52" t="str">
        <f>_xlfn.IFNA(IF(VLOOKUP(U112,'Incoming Material Report'!A:N,14,FALSE)="","",VLOOKUP(U112,'Incoming Material Report'!A:N,14,FALSE)),"")</f>
        <v/>
      </c>
      <c r="AI112" s="52" t="str">
        <f>_xlfn.IFNA(VLOOKUP(U112,'Incoming Material Report'!A:Z,24,FALSE),"")</f>
        <v/>
      </c>
      <c r="AJ112" s="52" t="str">
        <f>_xlfn.IFNA(VLOOKUP(U112,'Incoming Material Report'!A:Z,25,FALSE),"")</f>
        <v/>
      </c>
      <c r="AK112" s="52" t="str">
        <f>_xlfn.IFNA(VLOOKUP(U112,'Incoming Material Report'!A:Z,26,FALSE),"")</f>
        <v/>
      </c>
      <c r="AL112" s="52" t="str">
        <f>_xlfn.IFNA(VLOOKUP(U112,'Incoming Material Report'!A:Z,2,FALSE),"")</f>
        <v/>
      </c>
      <c r="AM112" s="52" t="str">
        <f>_xlfn.IFNA(VLOOKUP(U112,'Incoming Material Report'!A:K,11,FALSE)/1000,"")</f>
        <v/>
      </c>
      <c r="AO112" s="52" t="str">
        <f>_xlfn.IFNA(VLOOKUP(U112,'Incoming Material Report'!A:R,18,FALSE)*1000,"")</f>
        <v/>
      </c>
      <c r="AQ112" s="52" t="str">
        <f>_xlfn.IFNA(TEXT(VLOOKUP(U112,'Incoming Material Report'!A:D,4,FALSE),"dd.mm.yy"),"")</f>
        <v/>
      </c>
      <c r="AR112" s="52" t="str">
        <f>_xlfn.IFNA(VLOOKUP(U112,'Incoming Material Report'!A:Z,5,FALSE),"")</f>
        <v/>
      </c>
      <c r="AT112" s="52" t="str">
        <f>IF(OR(_xlfn.IFNA(VLOOKUP(U112,'Incoming Material Report'!A:Z,6,FALSE),"")="NSC",_xlfn.IFNA(VLOOKUP(U112,'Incoming Material Report'!A:Z,6,FALSE),"")="NSSMC"),"NSC","")</f>
        <v/>
      </c>
      <c r="AU112" s="52" t="str">
        <f>_xlfn.IFNA(VLOOKUP(U112,'Incoming Material Report'!A:Z,8,FALSE),"")</f>
        <v/>
      </c>
      <c r="AZ112" s="52" t="str">
        <f>_xlfn.IFNA(VLOOKUP(U112,'GRPO Wiz'!AP:BT,17,FALSE),"")</f>
        <v/>
      </c>
      <c r="BA112" s="52" t="str">
        <f>_xlfn.IFNA(VLOOKUP(U112,'GRPO Wiz'!AP:BT,18,FALSE),"")</f>
        <v/>
      </c>
      <c r="BB112" s="52" t="str">
        <f>_xlfn.IFNA(VLOOKUP(U112,'GRPO Wiz'!AP:BT,19,FALSE),"")</f>
        <v/>
      </c>
      <c r="BC112" s="52" t="str">
        <f>_xlfn.IFNA(VLOOKUP(U112,'GRPO Wiz'!AP:BT,20,FALSE),"")</f>
        <v/>
      </c>
      <c r="BD112" s="52" t="str">
        <f>_xlfn.IFNA(VLOOKUP(U112,'GRPO Wiz'!AP:BT,21,FALSE),"")</f>
        <v/>
      </c>
      <c r="BE112" s="52" t="str">
        <f>_xlfn.IFNA(LEFT((VLOOKUP(U112,'GRPO Wiz'!AP:BT,22,FALSE)),8),"")</f>
        <v/>
      </c>
      <c r="BF112" s="52" t="str">
        <f>_xlfn.IFNA(VLOOKUP(U112,'GRPO Wiz'!AP:BT,26,FALSE),"")</f>
        <v/>
      </c>
      <c r="BG112" s="57" t="str">
        <f>_xlfn.IFNA(VLOOKUP(U112,'GRPO Wiz'!AP:BQ,28,FALSE),"")</f>
        <v/>
      </c>
      <c r="BH112" s="52" t="str">
        <f>_xlfn.IFNA(VLOOKUP(U112,'GRPO Wiz'!AP:BN,25,FALSE),"")</f>
        <v/>
      </c>
      <c r="BI112" s="52" t="str">
        <f>_xlfn.IFNA(VLOOKUP(U112,'GRPO Wiz'!AP:BT,31,FALSE),"")</f>
        <v/>
      </c>
      <c r="BJ112" s="52" t="str">
        <f>_xlfn.IFNA(VLOOKUP(U112,'GRPO Wiz'!AP:BZ,32,FALSE),"")</f>
        <v/>
      </c>
      <c r="BK112" s="52" t="str">
        <f>_xlfn.IFNA(VLOOKUP(U112,'GRPO Wiz'!AP:BZ,27,FALSE),"")</f>
        <v/>
      </c>
      <c r="BL112" s="52" t="str">
        <f>_xlfn.IFNA(VALUE(VLOOKUP(U112,'GRPO Wiz'!AP:BZ,29,FALSE)),"")</f>
        <v/>
      </c>
      <c r="BM112" s="52" t="str">
        <f>IF(OR(_xlfn.IFNA(VLOOKUP(U112,'GRPO Wiz'!AP:BZ,33,FALSE),"")="NSC",_xlfn.IFNA(VLOOKUP(U112,'GRPO Wiz'!AP:BZ,33,FALSE),"")="NSSMC"),"NSC","")</f>
        <v/>
      </c>
    </row>
    <row r="113" spans="10:65" ht="26.25" customHeight="1" x14ac:dyDescent="0.25">
      <c r="J113" s="52" t="str">
        <f t="shared" si="29"/>
        <v/>
      </c>
      <c r="K113" s="52" t="str">
        <f>IF(O113="","",VLOOKUP(U113,Data!O:AC,15,FALSE)/G113)</f>
        <v/>
      </c>
      <c r="X113" s="52" t="str">
        <f t="shared" si="30"/>
        <v/>
      </c>
      <c r="Z113" s="52">
        <f t="shared" si="31"/>
        <v>0</v>
      </c>
      <c r="AG113" s="52" t="str">
        <f>_xlfn.IFNA(VLOOKUP(U113,'Incoming Material Report'!A:M,13,FALSE),"")</f>
        <v/>
      </c>
      <c r="AH113" s="52" t="str">
        <f>_xlfn.IFNA(IF(VLOOKUP(U113,'Incoming Material Report'!A:N,14,FALSE)="","",VLOOKUP(U113,'Incoming Material Report'!A:N,14,FALSE)),"")</f>
        <v/>
      </c>
      <c r="AI113" s="52" t="str">
        <f>_xlfn.IFNA(VLOOKUP(U113,'Incoming Material Report'!A:Z,24,FALSE),"")</f>
        <v/>
      </c>
      <c r="AJ113" s="52" t="str">
        <f>_xlfn.IFNA(VLOOKUP(U113,'Incoming Material Report'!A:Z,25,FALSE),"")</f>
        <v/>
      </c>
      <c r="AK113" s="52" t="str">
        <f>_xlfn.IFNA(VLOOKUP(U113,'Incoming Material Report'!A:Z,26,FALSE),"")</f>
        <v/>
      </c>
      <c r="AL113" s="52" t="str">
        <f>_xlfn.IFNA(VLOOKUP(U113,'Incoming Material Report'!A:Z,2,FALSE),"")</f>
        <v/>
      </c>
      <c r="AM113" s="52" t="str">
        <f>_xlfn.IFNA(VLOOKUP(U113,'Incoming Material Report'!A:K,11,FALSE)/1000,"")</f>
        <v/>
      </c>
      <c r="AO113" s="52" t="str">
        <f>_xlfn.IFNA(VLOOKUP(U113,'Incoming Material Report'!A:R,18,FALSE)*1000,"")</f>
        <v/>
      </c>
      <c r="AQ113" s="52" t="str">
        <f>_xlfn.IFNA(TEXT(VLOOKUP(U113,'Incoming Material Report'!A:D,4,FALSE),"dd.mm.yy"),"")</f>
        <v/>
      </c>
      <c r="AR113" s="52" t="str">
        <f>_xlfn.IFNA(VLOOKUP(U113,'Incoming Material Report'!A:Z,5,FALSE),"")</f>
        <v/>
      </c>
      <c r="AT113" s="52" t="str">
        <f>IF(OR(_xlfn.IFNA(VLOOKUP(U113,'Incoming Material Report'!A:Z,6,FALSE),"")="NSC",_xlfn.IFNA(VLOOKUP(U113,'Incoming Material Report'!A:Z,6,FALSE),"")="NSSMC"),"NSC","")</f>
        <v/>
      </c>
      <c r="AU113" s="52" t="str">
        <f>_xlfn.IFNA(VLOOKUP(U113,'Incoming Material Report'!A:Z,8,FALSE),"")</f>
        <v/>
      </c>
      <c r="AZ113" s="52" t="str">
        <f>_xlfn.IFNA(VLOOKUP(U113,'GRPO Wiz'!AP:BT,17,FALSE),"")</f>
        <v/>
      </c>
      <c r="BA113" s="52" t="str">
        <f>_xlfn.IFNA(VLOOKUP(U113,'GRPO Wiz'!AP:BT,18,FALSE),"")</f>
        <v/>
      </c>
      <c r="BB113" s="52" t="str">
        <f>_xlfn.IFNA(VLOOKUP(U113,'GRPO Wiz'!AP:BT,19,FALSE),"")</f>
        <v/>
      </c>
      <c r="BC113" s="52" t="str">
        <f>_xlfn.IFNA(VLOOKUP(U113,'GRPO Wiz'!AP:BT,20,FALSE),"")</f>
        <v/>
      </c>
      <c r="BD113" s="52" t="str">
        <f>_xlfn.IFNA(VLOOKUP(U113,'GRPO Wiz'!AP:BT,21,FALSE),"")</f>
        <v/>
      </c>
      <c r="BE113" s="52" t="str">
        <f>_xlfn.IFNA(LEFT((VLOOKUP(U113,'GRPO Wiz'!AP:BT,22,FALSE)),8),"")</f>
        <v/>
      </c>
      <c r="BF113" s="52" t="str">
        <f>_xlfn.IFNA(VLOOKUP(U113,'GRPO Wiz'!AP:BT,26,FALSE),"")</f>
        <v/>
      </c>
      <c r="BG113" s="57" t="str">
        <f>_xlfn.IFNA(VLOOKUP(U113,'GRPO Wiz'!AP:BQ,28,FALSE),"")</f>
        <v/>
      </c>
      <c r="BH113" s="52" t="str">
        <f>_xlfn.IFNA(VLOOKUP(U113,'GRPO Wiz'!AP:BN,25,FALSE),"")</f>
        <v/>
      </c>
      <c r="BI113" s="52" t="str">
        <f>_xlfn.IFNA(VLOOKUP(U113,'GRPO Wiz'!AP:BT,31,FALSE),"")</f>
        <v/>
      </c>
      <c r="BJ113" s="52" t="str">
        <f>_xlfn.IFNA(VLOOKUP(U113,'GRPO Wiz'!AP:BZ,32,FALSE),"")</f>
        <v/>
      </c>
      <c r="BK113" s="52" t="str">
        <f>_xlfn.IFNA(VLOOKUP(U113,'GRPO Wiz'!AP:BZ,27,FALSE),"")</f>
        <v/>
      </c>
      <c r="BL113" s="52" t="str">
        <f>_xlfn.IFNA(VALUE(VLOOKUP(U113,'GRPO Wiz'!AP:BZ,29,FALSE)),"")</f>
        <v/>
      </c>
      <c r="BM113" s="52" t="str">
        <f>IF(OR(_xlfn.IFNA(VLOOKUP(U113,'GRPO Wiz'!AP:BZ,33,FALSE),"")="NSC",_xlfn.IFNA(VLOOKUP(U113,'GRPO Wiz'!AP:BZ,33,FALSE),"")="NSSMC"),"NSC","")</f>
        <v/>
      </c>
    </row>
    <row r="114" spans="10:65" ht="26.25" customHeight="1" x14ac:dyDescent="0.25">
      <c r="J114" s="52" t="str">
        <f t="shared" si="29"/>
        <v/>
      </c>
      <c r="K114" s="52" t="str">
        <f>IF(O114="","",VLOOKUP(U114,Data!O:AC,15,FALSE)/G114)</f>
        <v/>
      </c>
      <c r="X114" s="52">
        <f t="shared" si="30"/>
        <v>0</v>
      </c>
      <c r="Z114" s="52">
        <f t="shared" si="31"/>
        <v>0</v>
      </c>
      <c r="AZ114" s="52" t="str">
        <f>_xlfn.IFNA(VLOOKUP(U114,'GRPO Wiz'!AP:BT,17,FALSE),"")</f>
        <v/>
      </c>
      <c r="BA114" s="52" t="str">
        <f>_xlfn.IFNA(VLOOKUP(U114,'GRPO Wiz'!AP:BT,18,FALSE),"")</f>
        <v/>
      </c>
      <c r="BB114" s="52" t="str">
        <f>_xlfn.IFNA(VLOOKUP(U114,'GRPO Wiz'!AP:BT,19,FALSE),"")</f>
        <v/>
      </c>
      <c r="BC114" s="52" t="str">
        <f>_xlfn.IFNA(VLOOKUP(U114,'GRPO Wiz'!AP:BT,20,FALSE),"")</f>
        <v/>
      </c>
      <c r="BD114" s="52" t="str">
        <f>_xlfn.IFNA(VLOOKUP(U114,'GRPO Wiz'!AP:BT,21,FALSE),"")</f>
        <v/>
      </c>
      <c r="BE114" s="52" t="str">
        <f>_xlfn.IFNA(LEFT((VLOOKUP(U114,'GRPO Wiz'!AP:BT,22,FALSE)),8),"")</f>
        <v/>
      </c>
      <c r="BF114" s="52" t="str">
        <f>_xlfn.IFNA(VLOOKUP(U114,'GRPO Wiz'!AP:BT,26,FALSE),"")</f>
        <v/>
      </c>
      <c r="BG114" s="57" t="str">
        <f>_xlfn.IFNA(VLOOKUP(U114,'GRPO Wiz'!AP:BQ,28,FALSE),"")</f>
        <v/>
      </c>
      <c r="BH114" s="52" t="str">
        <f>_xlfn.IFNA(VLOOKUP(U114,'GRPO Wiz'!AP:BN,25,FALSE),"")</f>
        <v/>
      </c>
      <c r="BI114" s="52" t="str">
        <f>_xlfn.IFNA(VLOOKUP(U114,'GRPO Wiz'!AP:BT,31,FALSE),"")</f>
        <v/>
      </c>
      <c r="BJ114" s="52" t="str">
        <f>_xlfn.IFNA(VLOOKUP(U114,'GRPO Wiz'!AP:BZ,32,FALSE),"")</f>
        <v/>
      </c>
      <c r="BK114" s="52" t="str">
        <f>_xlfn.IFNA(VLOOKUP(U114,'GRPO Wiz'!AP:BZ,27,FALSE),"")</f>
        <v/>
      </c>
      <c r="BL114" s="52" t="str">
        <f>_xlfn.IFNA(VALUE(VLOOKUP(U114,'GRPO Wiz'!AP:BZ,29,FALSE)),"")</f>
        <v/>
      </c>
      <c r="BM114" s="52" t="str">
        <f>IF(OR(_xlfn.IFNA(VLOOKUP(U114,'GRPO Wiz'!AP:BZ,33,FALSE),"")="NSC",_xlfn.IFNA(VLOOKUP(U114,'GRPO Wiz'!AP:BZ,33,FALSE),"")="NSSMC"),"NSC","")</f>
        <v/>
      </c>
    </row>
    <row r="115" spans="10:65" ht="26.25" customHeight="1" x14ac:dyDescent="0.25">
      <c r="J115" s="52" t="str">
        <f t="shared" si="29"/>
        <v/>
      </c>
      <c r="K115" s="52" t="str">
        <f>IF(O115="","",VLOOKUP(U115,Data!O:AC,15,FALSE)/G115)</f>
        <v/>
      </c>
      <c r="X115" s="52">
        <f t="shared" si="30"/>
        <v>0</v>
      </c>
      <c r="Z115" s="52">
        <f t="shared" si="31"/>
        <v>0</v>
      </c>
      <c r="AZ115" s="52" t="str">
        <f>_xlfn.IFNA(VLOOKUP(U115,'GRPO Wiz'!AP:BT,17,FALSE),"")</f>
        <v/>
      </c>
      <c r="BA115" s="52" t="str">
        <f>_xlfn.IFNA(VLOOKUP(U115,'GRPO Wiz'!AP:BT,18,FALSE),"")</f>
        <v/>
      </c>
      <c r="BB115" s="52" t="str">
        <f>_xlfn.IFNA(VLOOKUP(U115,'GRPO Wiz'!AP:BT,19,FALSE),"")</f>
        <v/>
      </c>
      <c r="BC115" s="52" t="str">
        <f>_xlfn.IFNA(VLOOKUP(U115,'GRPO Wiz'!AP:BT,20,FALSE),"")</f>
        <v/>
      </c>
      <c r="BD115" s="52" t="str">
        <f>_xlfn.IFNA(VLOOKUP(U115,'GRPO Wiz'!AP:BT,21,FALSE),"")</f>
        <v/>
      </c>
      <c r="BE115" s="52" t="str">
        <f>_xlfn.IFNA(LEFT((VLOOKUP(U115,'GRPO Wiz'!AP:BT,22,FALSE)),8),"")</f>
        <v/>
      </c>
      <c r="BF115" s="52" t="str">
        <f>_xlfn.IFNA(VLOOKUP(U115,'GRPO Wiz'!AP:BT,26,FALSE),"")</f>
        <v/>
      </c>
      <c r="BG115" s="57" t="str">
        <f>_xlfn.IFNA(VLOOKUP(U115,'GRPO Wiz'!AP:BQ,28,FALSE),"")</f>
        <v/>
      </c>
      <c r="BH115" s="52" t="str">
        <f>_xlfn.IFNA(VLOOKUP(U115,'GRPO Wiz'!AP:BN,25,FALSE),"")</f>
        <v/>
      </c>
      <c r="BI115" s="52" t="str">
        <f>_xlfn.IFNA(VLOOKUP(U115,'GRPO Wiz'!AP:BT,31,FALSE),"")</f>
        <v/>
      </c>
      <c r="BJ115" s="52" t="str">
        <f>_xlfn.IFNA(VLOOKUP(U115,'GRPO Wiz'!AP:BZ,32,FALSE),"")</f>
        <v/>
      </c>
      <c r="BK115" s="52" t="str">
        <f>_xlfn.IFNA(VLOOKUP(U115,'GRPO Wiz'!AP:BZ,27,FALSE),"")</f>
        <v/>
      </c>
      <c r="BL115" s="52" t="str">
        <f>_xlfn.IFNA(VALUE(VLOOKUP(U115,'GRPO Wiz'!AP:BZ,29,FALSE)),"")</f>
        <v/>
      </c>
      <c r="BM115" s="52" t="str">
        <f>IF(OR(_xlfn.IFNA(VLOOKUP(U115,'GRPO Wiz'!AP:BZ,33,FALSE),"")="NSC",_xlfn.IFNA(VLOOKUP(U115,'GRPO Wiz'!AP:BZ,33,FALSE),"")="NSSMC"),"NSC","")</f>
        <v/>
      </c>
    </row>
    <row r="116" spans="10:65" ht="26.25" customHeight="1" x14ac:dyDescent="0.25">
      <c r="J116" s="52" t="str">
        <f t="shared" si="29"/>
        <v/>
      </c>
      <c r="K116" s="52" t="str">
        <f>IF(O116="","",VLOOKUP(U116,Data!O:AC,15,FALSE)/G116)</f>
        <v/>
      </c>
      <c r="X116" s="52">
        <f t="shared" si="30"/>
        <v>0</v>
      </c>
      <c r="Z116" s="52">
        <f t="shared" si="31"/>
        <v>0</v>
      </c>
      <c r="AZ116" s="52" t="str">
        <f>_xlfn.IFNA(VLOOKUP(U116,'GRPO Wiz'!AP:BT,17,FALSE),"")</f>
        <v/>
      </c>
      <c r="BA116" s="52" t="str">
        <f>_xlfn.IFNA(VLOOKUP(U116,'GRPO Wiz'!AP:BT,18,FALSE),"")</f>
        <v/>
      </c>
      <c r="BB116" s="52" t="str">
        <f>_xlfn.IFNA(VLOOKUP(U116,'GRPO Wiz'!AP:BT,19,FALSE),"")</f>
        <v/>
      </c>
      <c r="BC116" s="52" t="str">
        <f>_xlfn.IFNA(VLOOKUP(U116,'GRPO Wiz'!AP:BT,20,FALSE),"")</f>
        <v/>
      </c>
      <c r="BD116" s="52" t="str">
        <f>_xlfn.IFNA(VLOOKUP(U116,'GRPO Wiz'!AP:BT,21,FALSE),"")</f>
        <v/>
      </c>
      <c r="BE116" s="52" t="str">
        <f>_xlfn.IFNA(LEFT((VLOOKUP(U116,'GRPO Wiz'!AP:BT,22,FALSE)),8),"")</f>
        <v/>
      </c>
      <c r="BF116" s="52" t="str">
        <f>_xlfn.IFNA(VLOOKUP(U116,'GRPO Wiz'!AP:BT,26,FALSE),"")</f>
        <v/>
      </c>
      <c r="BG116" s="57" t="str">
        <f>_xlfn.IFNA(VLOOKUP(U116,'GRPO Wiz'!AP:BQ,28,FALSE),"")</f>
        <v/>
      </c>
      <c r="BH116" s="52" t="str">
        <f>_xlfn.IFNA(VLOOKUP(U116,'GRPO Wiz'!AP:BN,25,FALSE),"")</f>
        <v/>
      </c>
      <c r="BI116" s="52" t="str">
        <f>_xlfn.IFNA(VLOOKUP(U116,'GRPO Wiz'!AP:BT,31,FALSE),"")</f>
        <v/>
      </c>
      <c r="BJ116" s="52" t="str">
        <f>_xlfn.IFNA(VLOOKUP(U116,'GRPO Wiz'!AP:BZ,32,FALSE),"")</f>
        <v/>
      </c>
      <c r="BK116" s="52" t="str">
        <f>_xlfn.IFNA(VLOOKUP(U116,'GRPO Wiz'!AP:BZ,27,FALSE),"")</f>
        <v/>
      </c>
      <c r="BL116" s="52" t="str">
        <f>_xlfn.IFNA(VALUE(VLOOKUP(U116,'GRPO Wiz'!AP:BZ,29,FALSE)),"")</f>
        <v/>
      </c>
      <c r="BM116" s="52" t="str">
        <f>IF(OR(_xlfn.IFNA(VLOOKUP(U116,'GRPO Wiz'!AP:BZ,33,FALSE),"")="NSC",_xlfn.IFNA(VLOOKUP(U116,'GRPO Wiz'!AP:BZ,33,FALSE),"")="NSSMC"),"NSC","")</f>
        <v/>
      </c>
    </row>
    <row r="117" spans="10:65" ht="26.25" customHeight="1" x14ac:dyDescent="0.25">
      <c r="J117" s="52" t="str">
        <f t="shared" si="29"/>
        <v/>
      </c>
      <c r="K117" s="52" t="str">
        <f>IF(O117="","",VLOOKUP(U117,Data!O:AC,15,FALSE)/G117)</f>
        <v/>
      </c>
      <c r="X117" s="52">
        <f t="shared" si="30"/>
        <v>0</v>
      </c>
      <c r="Z117" s="52">
        <f t="shared" si="31"/>
        <v>0</v>
      </c>
      <c r="AZ117" s="52" t="str">
        <f>_xlfn.IFNA(VLOOKUP(U117,'GRPO Wiz'!AP:BT,17,FALSE),"")</f>
        <v/>
      </c>
      <c r="BA117" s="52" t="str">
        <f>_xlfn.IFNA(VLOOKUP(U117,'GRPO Wiz'!AP:BT,18,FALSE),"")</f>
        <v/>
      </c>
      <c r="BB117" s="52" t="str">
        <f>_xlfn.IFNA(VLOOKUP(U117,'GRPO Wiz'!AP:BT,19,FALSE),"")</f>
        <v/>
      </c>
      <c r="BC117" s="52" t="str">
        <f>_xlfn.IFNA(VLOOKUP(U117,'GRPO Wiz'!AP:BT,20,FALSE),"")</f>
        <v/>
      </c>
      <c r="BD117" s="52" t="str">
        <f>_xlfn.IFNA(VLOOKUP(U117,'GRPO Wiz'!AP:BT,21,FALSE),"")</f>
        <v/>
      </c>
      <c r="BE117" s="52" t="str">
        <f>_xlfn.IFNA(LEFT((VLOOKUP(U117,'GRPO Wiz'!AP:BT,22,FALSE)),8),"")</f>
        <v/>
      </c>
      <c r="BF117" s="52" t="str">
        <f>_xlfn.IFNA(VLOOKUP(U117,'GRPO Wiz'!AP:BT,26,FALSE),"")</f>
        <v/>
      </c>
      <c r="BG117" s="57" t="str">
        <f>_xlfn.IFNA(VLOOKUP(U117,'GRPO Wiz'!AP:BQ,28,FALSE),"")</f>
        <v/>
      </c>
      <c r="BH117" s="52" t="str">
        <f>_xlfn.IFNA(VLOOKUP(U117,'GRPO Wiz'!AP:BN,25,FALSE),"")</f>
        <v/>
      </c>
      <c r="BI117" s="52" t="str">
        <f>_xlfn.IFNA(VLOOKUP(U117,'GRPO Wiz'!AP:BT,31,FALSE),"")</f>
        <v/>
      </c>
      <c r="BJ117" s="52" t="str">
        <f>_xlfn.IFNA(VLOOKUP(U117,'GRPO Wiz'!AP:BZ,32,FALSE),"")</f>
        <v/>
      </c>
      <c r="BK117" s="52" t="str">
        <f>_xlfn.IFNA(VLOOKUP(U117,'GRPO Wiz'!AP:BZ,27,FALSE),"")</f>
        <v/>
      </c>
      <c r="BL117" s="52" t="str">
        <f>_xlfn.IFNA(VALUE(VLOOKUP(U117,'GRPO Wiz'!AP:BZ,29,FALSE)),"")</f>
        <v/>
      </c>
      <c r="BM117" s="52" t="str">
        <f>IF(OR(_xlfn.IFNA(VLOOKUP(U117,'GRPO Wiz'!AP:BZ,33,FALSE),"")="NSC",_xlfn.IFNA(VLOOKUP(U117,'GRPO Wiz'!AP:BZ,33,FALSE),"")="NSSMC"),"NSC","")</f>
        <v/>
      </c>
    </row>
    <row r="118" spans="10:65" ht="26.25" customHeight="1" x14ac:dyDescent="0.25">
      <c r="J118" s="52" t="str">
        <f t="shared" si="29"/>
        <v/>
      </c>
      <c r="K118" s="52" t="str">
        <f>IF(O118="","",VLOOKUP(U118,Data!O:AC,15,FALSE)/G118)</f>
        <v/>
      </c>
      <c r="X118" s="52">
        <f t="shared" si="30"/>
        <v>0</v>
      </c>
      <c r="Z118" s="52">
        <f t="shared" si="31"/>
        <v>0</v>
      </c>
      <c r="AZ118" s="52" t="str">
        <f>_xlfn.IFNA(VLOOKUP(U118,'GRPO Wiz'!AP:BT,17,FALSE),"")</f>
        <v/>
      </c>
      <c r="BA118" s="52" t="str">
        <f>_xlfn.IFNA(VLOOKUP(U118,'GRPO Wiz'!AP:BT,18,FALSE),"")</f>
        <v/>
      </c>
      <c r="BB118" s="52" t="str">
        <f>_xlfn.IFNA(VLOOKUP(U118,'GRPO Wiz'!AP:BT,19,FALSE),"")</f>
        <v/>
      </c>
      <c r="BC118" s="52" t="str">
        <f>_xlfn.IFNA(VLOOKUP(U118,'GRPO Wiz'!AP:BT,20,FALSE),"")</f>
        <v/>
      </c>
      <c r="BD118" s="52" t="str">
        <f>_xlfn.IFNA(VLOOKUP(U118,'GRPO Wiz'!AP:BT,21,FALSE),"")</f>
        <v/>
      </c>
      <c r="BE118" s="52" t="str">
        <f>_xlfn.IFNA(LEFT((VLOOKUP(U118,'GRPO Wiz'!AP:BT,22,FALSE)),8),"")</f>
        <v/>
      </c>
      <c r="BF118" s="52" t="str">
        <f>_xlfn.IFNA(VLOOKUP(U118,'GRPO Wiz'!AP:BT,26,FALSE),"")</f>
        <v/>
      </c>
      <c r="BG118" s="57" t="str">
        <f>_xlfn.IFNA(VLOOKUP(U118,'GRPO Wiz'!AP:BQ,28,FALSE),"")</f>
        <v/>
      </c>
      <c r="BH118" s="52" t="str">
        <f>_xlfn.IFNA(VLOOKUP(U118,'GRPO Wiz'!AP:BN,25,FALSE),"")</f>
        <v/>
      </c>
      <c r="BI118" s="52" t="str">
        <f>_xlfn.IFNA(VLOOKUP(U118,'GRPO Wiz'!AP:BT,31,FALSE),"")</f>
        <v/>
      </c>
      <c r="BJ118" s="52" t="str">
        <f>_xlfn.IFNA(VLOOKUP(U118,'GRPO Wiz'!AP:BZ,32,FALSE),"")</f>
        <v/>
      </c>
      <c r="BK118" s="52" t="str">
        <f>_xlfn.IFNA(VLOOKUP(U118,'GRPO Wiz'!AP:BZ,27,FALSE),"")</f>
        <v/>
      </c>
      <c r="BL118" s="52" t="str">
        <f>_xlfn.IFNA(VALUE(VLOOKUP(U118,'GRPO Wiz'!AP:BZ,29,FALSE)),"")</f>
        <v/>
      </c>
      <c r="BM118" s="52" t="str">
        <f>IF(OR(_xlfn.IFNA(VLOOKUP(U118,'GRPO Wiz'!AP:BZ,33,FALSE),"")="NSC",_xlfn.IFNA(VLOOKUP(U118,'GRPO Wiz'!AP:BZ,33,FALSE),"")="NSSMC"),"NSC","")</f>
        <v/>
      </c>
    </row>
    <row r="119" spans="10:65" ht="26.25" customHeight="1" x14ac:dyDescent="0.25">
      <c r="J119" s="52" t="str">
        <f t="shared" si="29"/>
        <v/>
      </c>
      <c r="K119" s="52" t="str">
        <f>IF(O119="","",VLOOKUP(U119,Data!O:AC,15,FALSE)/G119)</f>
        <v/>
      </c>
      <c r="X119" s="52">
        <f t="shared" si="30"/>
        <v>0</v>
      </c>
      <c r="Z119" s="52">
        <f t="shared" si="31"/>
        <v>0</v>
      </c>
      <c r="AZ119" s="52" t="str">
        <f>_xlfn.IFNA(VLOOKUP(U119,'GRPO Wiz'!AP:BT,17,FALSE),"")</f>
        <v/>
      </c>
      <c r="BA119" s="52" t="str">
        <f>_xlfn.IFNA(VLOOKUP(U119,'GRPO Wiz'!AP:BT,18,FALSE),"")</f>
        <v/>
      </c>
      <c r="BB119" s="52" t="str">
        <f>_xlfn.IFNA(VLOOKUP(U119,'GRPO Wiz'!AP:BT,19,FALSE),"")</f>
        <v/>
      </c>
      <c r="BC119" s="52" t="str">
        <f>_xlfn.IFNA(VLOOKUP(U119,'GRPO Wiz'!AP:BT,20,FALSE),"")</f>
        <v/>
      </c>
      <c r="BD119" s="52" t="str">
        <f>_xlfn.IFNA(VLOOKUP(U119,'GRPO Wiz'!AP:BT,21,FALSE),"")</f>
        <v/>
      </c>
      <c r="BE119" s="52" t="str">
        <f>_xlfn.IFNA(LEFT((VLOOKUP(U119,'GRPO Wiz'!AP:BT,22,FALSE)),8),"")</f>
        <v/>
      </c>
      <c r="BF119" s="52" t="str">
        <f>_xlfn.IFNA(VLOOKUP(U119,'GRPO Wiz'!AP:BT,26,FALSE),"")</f>
        <v/>
      </c>
      <c r="BG119" s="57" t="str">
        <f>_xlfn.IFNA(VLOOKUP(U119,'GRPO Wiz'!AP:BQ,28,FALSE),"")</f>
        <v/>
      </c>
      <c r="BH119" s="52" t="str">
        <f>_xlfn.IFNA(VLOOKUP(U119,'GRPO Wiz'!AP:BN,25,FALSE),"")</f>
        <v/>
      </c>
      <c r="BI119" s="52" t="str">
        <f>_xlfn.IFNA(VLOOKUP(U119,'GRPO Wiz'!AP:BT,31,FALSE),"")</f>
        <v/>
      </c>
      <c r="BJ119" s="52" t="str">
        <f>_xlfn.IFNA(VLOOKUP(U119,'GRPO Wiz'!AP:BZ,32,FALSE),"")</f>
        <v/>
      </c>
      <c r="BK119" s="52" t="str">
        <f>_xlfn.IFNA(VLOOKUP(U119,'GRPO Wiz'!AP:BZ,27,FALSE),"")</f>
        <v/>
      </c>
      <c r="BL119" s="52" t="str">
        <f>_xlfn.IFNA(VALUE(VLOOKUP(U119,'GRPO Wiz'!AP:BZ,29,FALSE)),"")</f>
        <v/>
      </c>
      <c r="BM119" s="52" t="str">
        <f>IF(OR(_xlfn.IFNA(VLOOKUP(U119,'GRPO Wiz'!AP:BZ,33,FALSE),"")="NSC",_xlfn.IFNA(VLOOKUP(U119,'GRPO Wiz'!AP:BZ,33,FALSE),"")="NSSMC"),"NSC","")</f>
        <v/>
      </c>
    </row>
    <row r="120" spans="10:65" ht="26.25" customHeight="1" x14ac:dyDescent="0.25">
      <c r="J120" s="52" t="str">
        <f t="shared" si="29"/>
        <v/>
      </c>
      <c r="K120" s="52" t="str">
        <f>IF(O120="","",VLOOKUP(U120,Data!O:AC,15,FALSE)/G120)</f>
        <v/>
      </c>
      <c r="X120" s="52">
        <f t="shared" si="30"/>
        <v>0</v>
      </c>
      <c r="Z120" s="52">
        <f t="shared" si="31"/>
        <v>0</v>
      </c>
      <c r="AZ120" s="52" t="str">
        <f>_xlfn.IFNA(VLOOKUP(U120,'GRPO Wiz'!AP:BT,17,FALSE),"")</f>
        <v/>
      </c>
      <c r="BA120" s="52" t="str">
        <f>_xlfn.IFNA(VLOOKUP(U120,'GRPO Wiz'!AP:BT,18,FALSE),"")</f>
        <v/>
      </c>
      <c r="BB120" s="52" t="str">
        <f>_xlfn.IFNA(VLOOKUP(U120,'GRPO Wiz'!AP:BT,19,FALSE),"")</f>
        <v/>
      </c>
      <c r="BC120" s="52" t="str">
        <f>_xlfn.IFNA(VLOOKUP(U120,'GRPO Wiz'!AP:BT,20,FALSE),"")</f>
        <v/>
      </c>
      <c r="BD120" s="52" t="str">
        <f>_xlfn.IFNA(VLOOKUP(U120,'GRPO Wiz'!AP:BT,21,FALSE),"")</f>
        <v/>
      </c>
      <c r="BE120" s="52" t="str">
        <f>_xlfn.IFNA(LEFT((VLOOKUP(U120,'GRPO Wiz'!AP:BT,22,FALSE)),8),"")</f>
        <v/>
      </c>
      <c r="BF120" s="52" t="str">
        <f>_xlfn.IFNA(VLOOKUP(U120,'GRPO Wiz'!AP:BT,26,FALSE),"")</f>
        <v/>
      </c>
      <c r="BG120" s="57" t="str">
        <f>_xlfn.IFNA(VLOOKUP(U120,'GRPO Wiz'!AP:BQ,28,FALSE),"")</f>
        <v/>
      </c>
      <c r="BH120" s="52" t="str">
        <f>_xlfn.IFNA(VLOOKUP(U120,'GRPO Wiz'!AP:BN,25,FALSE),"")</f>
        <v/>
      </c>
      <c r="BI120" s="52" t="str">
        <f>_xlfn.IFNA(VLOOKUP(U120,'GRPO Wiz'!AP:BT,31,FALSE),"")</f>
        <v/>
      </c>
      <c r="BJ120" s="52" t="str">
        <f>_xlfn.IFNA(VLOOKUP(U120,'GRPO Wiz'!AP:BZ,32,FALSE),"")</f>
        <v/>
      </c>
      <c r="BK120" s="52" t="str">
        <f>_xlfn.IFNA(VLOOKUP(U120,'GRPO Wiz'!AP:BZ,27,FALSE),"")</f>
        <v/>
      </c>
      <c r="BL120" s="52" t="str">
        <f>_xlfn.IFNA(VALUE(VLOOKUP(U120,'GRPO Wiz'!AP:BZ,29,FALSE)),"")</f>
        <v/>
      </c>
      <c r="BM120" s="52" t="str">
        <f>IF(OR(_xlfn.IFNA(VLOOKUP(U120,'GRPO Wiz'!AP:BZ,33,FALSE),"")="NSC",_xlfn.IFNA(VLOOKUP(U120,'GRPO Wiz'!AP:BZ,33,FALSE),"")="NSSMC"),"NSC","")</f>
        <v/>
      </c>
    </row>
    <row r="121" spans="10:65" ht="26.25" customHeight="1" x14ac:dyDescent="0.25">
      <c r="J121" s="52" t="str">
        <f t="shared" si="29"/>
        <v/>
      </c>
      <c r="K121" s="52" t="str">
        <f>IF(O121="","",VLOOKUP(U121,Data!O:AC,15,FALSE)/G121)</f>
        <v/>
      </c>
      <c r="X121" s="52">
        <f t="shared" si="30"/>
        <v>0</v>
      </c>
      <c r="Z121" s="52">
        <f t="shared" si="31"/>
        <v>0</v>
      </c>
      <c r="AZ121" s="52" t="str">
        <f>_xlfn.IFNA(VLOOKUP(U121,'GRPO Wiz'!AP:BT,17,FALSE),"")</f>
        <v/>
      </c>
      <c r="BA121" s="52" t="str">
        <f>_xlfn.IFNA(VLOOKUP(U121,'GRPO Wiz'!AP:BT,18,FALSE),"")</f>
        <v/>
      </c>
      <c r="BB121" s="52" t="str">
        <f>_xlfn.IFNA(VLOOKUP(U121,'GRPO Wiz'!AP:BT,19,FALSE),"")</f>
        <v/>
      </c>
      <c r="BC121" s="52" t="str">
        <f>_xlfn.IFNA(VLOOKUP(U121,'GRPO Wiz'!AP:BT,20,FALSE),"")</f>
        <v/>
      </c>
      <c r="BD121" s="52" t="str">
        <f>_xlfn.IFNA(VLOOKUP(U121,'GRPO Wiz'!AP:BT,21,FALSE),"")</f>
        <v/>
      </c>
      <c r="BE121" s="52" t="str">
        <f>_xlfn.IFNA(LEFT((VLOOKUP(U121,'GRPO Wiz'!AP:BT,22,FALSE)),8),"")</f>
        <v/>
      </c>
      <c r="BF121" s="52" t="str">
        <f>_xlfn.IFNA(VLOOKUP(U121,'GRPO Wiz'!AP:BT,26,FALSE),"")</f>
        <v/>
      </c>
      <c r="BG121" s="57" t="str">
        <f>_xlfn.IFNA(VLOOKUP(U121,'GRPO Wiz'!AP:BQ,28,FALSE),"")</f>
        <v/>
      </c>
      <c r="BH121" s="52" t="str">
        <f>_xlfn.IFNA(VLOOKUP(U121,'GRPO Wiz'!AP:BN,25,FALSE),"")</f>
        <v/>
      </c>
      <c r="BI121" s="52" t="str">
        <f>_xlfn.IFNA(VLOOKUP(U121,'GRPO Wiz'!AP:BT,31,FALSE),"")</f>
        <v/>
      </c>
      <c r="BJ121" s="52" t="str">
        <f>_xlfn.IFNA(VLOOKUP(U121,'GRPO Wiz'!AP:BZ,32,FALSE),"")</f>
        <v/>
      </c>
      <c r="BK121" s="52" t="str">
        <f>_xlfn.IFNA(VLOOKUP(U121,'GRPO Wiz'!AP:BZ,27,FALSE),"")</f>
        <v/>
      </c>
      <c r="BL121" s="52" t="str">
        <f>_xlfn.IFNA(VALUE(VLOOKUP(U121,'GRPO Wiz'!AP:BZ,29,FALSE)),"")</f>
        <v/>
      </c>
      <c r="BM121" s="52" t="str">
        <f>IF(OR(_xlfn.IFNA(VLOOKUP(U121,'GRPO Wiz'!AP:BZ,33,FALSE),"")="NSC",_xlfn.IFNA(VLOOKUP(U121,'GRPO Wiz'!AP:BZ,33,FALSE),"")="NSSMC"),"NSC","")</f>
        <v/>
      </c>
    </row>
    <row r="122" spans="10:65" ht="26.25" customHeight="1" x14ac:dyDescent="0.25">
      <c r="J122" s="52" t="str">
        <f t="shared" si="29"/>
        <v/>
      </c>
      <c r="K122" s="52" t="str">
        <f>IF(O122="","",VLOOKUP(U122,Data!O:AC,15,FALSE)/G122)</f>
        <v/>
      </c>
      <c r="X122" s="52">
        <f t="shared" si="30"/>
        <v>0</v>
      </c>
      <c r="Z122" s="52">
        <f t="shared" si="31"/>
        <v>0</v>
      </c>
      <c r="AZ122" s="52" t="str">
        <f>_xlfn.IFNA(VLOOKUP(U122,'GRPO Wiz'!AP:BT,17,FALSE),"")</f>
        <v/>
      </c>
      <c r="BA122" s="52" t="str">
        <f>_xlfn.IFNA(VLOOKUP(U122,'GRPO Wiz'!AP:BT,18,FALSE),"")</f>
        <v/>
      </c>
      <c r="BB122" s="52" t="str">
        <f>_xlfn.IFNA(VLOOKUP(U122,'GRPO Wiz'!AP:BT,19,FALSE),"")</f>
        <v/>
      </c>
      <c r="BC122" s="52" t="str">
        <f>_xlfn.IFNA(VLOOKUP(U122,'GRPO Wiz'!AP:BT,20,FALSE),"")</f>
        <v/>
      </c>
      <c r="BD122" s="52" t="str">
        <f>_xlfn.IFNA(VLOOKUP(U122,'GRPO Wiz'!AP:BT,21,FALSE),"")</f>
        <v/>
      </c>
      <c r="BE122" s="52" t="str">
        <f>_xlfn.IFNA(LEFT((VLOOKUP(U122,'GRPO Wiz'!AP:BT,22,FALSE)),8),"")</f>
        <v/>
      </c>
      <c r="BF122" s="52" t="str">
        <f>_xlfn.IFNA(VLOOKUP(U122,'GRPO Wiz'!AP:BT,26,FALSE),"")</f>
        <v/>
      </c>
      <c r="BG122" s="57" t="str">
        <f>_xlfn.IFNA(VLOOKUP(U122,'GRPO Wiz'!AP:BQ,28,FALSE),"")</f>
        <v/>
      </c>
      <c r="BH122" s="52" t="str">
        <f>_xlfn.IFNA(VLOOKUP(U122,'GRPO Wiz'!AP:BN,25,FALSE),"")</f>
        <v/>
      </c>
      <c r="BI122" s="52" t="str">
        <f>_xlfn.IFNA(VLOOKUP(U122,'GRPO Wiz'!AP:BT,31,FALSE),"")</f>
        <v/>
      </c>
      <c r="BJ122" s="52" t="str">
        <f>_xlfn.IFNA(VLOOKUP(U122,'GRPO Wiz'!AP:BZ,32,FALSE),"")</f>
        <v/>
      </c>
      <c r="BK122" s="52" t="str">
        <f>_xlfn.IFNA(VLOOKUP(U122,'GRPO Wiz'!AP:BZ,27,FALSE),"")</f>
        <v/>
      </c>
      <c r="BL122" s="52" t="str">
        <f>_xlfn.IFNA(VALUE(VLOOKUP(U122,'GRPO Wiz'!AP:BZ,29,FALSE)),"")</f>
        <v/>
      </c>
      <c r="BM122" s="52" t="str">
        <f>IF(OR(_xlfn.IFNA(VLOOKUP(U122,'GRPO Wiz'!AP:BZ,33,FALSE),"")="NSC",_xlfn.IFNA(VLOOKUP(U122,'GRPO Wiz'!AP:BZ,33,FALSE),"")="NSSMC"),"NSC","")</f>
        <v/>
      </c>
    </row>
    <row r="123" spans="10:65" ht="26.25" customHeight="1" x14ac:dyDescent="0.25">
      <c r="J123" s="52" t="str">
        <f t="shared" si="29"/>
        <v/>
      </c>
      <c r="K123" s="52" t="str">
        <f>IF(O123="","",VLOOKUP(U123,Data!O:AC,15,FALSE)/G123)</f>
        <v/>
      </c>
      <c r="X123" s="52">
        <f t="shared" si="30"/>
        <v>0</v>
      </c>
      <c r="Z123" s="52">
        <f t="shared" si="31"/>
        <v>0</v>
      </c>
      <c r="AZ123" s="52" t="str">
        <f>_xlfn.IFNA(VLOOKUP(U123,'GRPO Wiz'!AP:BT,17,FALSE),"")</f>
        <v/>
      </c>
      <c r="BA123" s="52" t="str">
        <f>_xlfn.IFNA(VLOOKUP(U123,'GRPO Wiz'!AP:BT,18,FALSE),"")</f>
        <v/>
      </c>
      <c r="BB123" s="52" t="str">
        <f>_xlfn.IFNA(VLOOKUP(U123,'GRPO Wiz'!AP:BT,19,FALSE),"")</f>
        <v/>
      </c>
      <c r="BC123" s="52" t="str">
        <f>_xlfn.IFNA(VLOOKUP(U123,'GRPO Wiz'!AP:BT,20,FALSE),"")</f>
        <v/>
      </c>
      <c r="BD123" s="52" t="str">
        <f>_xlfn.IFNA(VLOOKUP(U123,'GRPO Wiz'!AP:BT,21,FALSE),"")</f>
        <v/>
      </c>
      <c r="BE123" s="52" t="str">
        <f>_xlfn.IFNA(LEFT((VLOOKUP(U123,'GRPO Wiz'!AP:BT,22,FALSE)),8),"")</f>
        <v/>
      </c>
      <c r="BF123" s="52" t="str">
        <f>_xlfn.IFNA(VLOOKUP(U123,'GRPO Wiz'!AP:BT,26,FALSE),"")</f>
        <v/>
      </c>
      <c r="BG123" s="57" t="str">
        <f>_xlfn.IFNA(VLOOKUP(U123,'GRPO Wiz'!AP:BQ,28,FALSE),"")</f>
        <v/>
      </c>
      <c r="BH123" s="52" t="str">
        <f>_xlfn.IFNA(VLOOKUP(U123,'GRPO Wiz'!AP:BN,25,FALSE),"")</f>
        <v/>
      </c>
      <c r="BI123" s="52" t="str">
        <f>_xlfn.IFNA(VLOOKUP(U123,'GRPO Wiz'!AP:BT,31,FALSE),"")</f>
        <v/>
      </c>
      <c r="BJ123" s="52" t="str">
        <f>_xlfn.IFNA(VLOOKUP(U123,'GRPO Wiz'!AP:BZ,32,FALSE),"")</f>
        <v/>
      </c>
      <c r="BK123" s="52" t="str">
        <f>_xlfn.IFNA(VLOOKUP(U123,'GRPO Wiz'!AP:BZ,27,FALSE),"")</f>
        <v/>
      </c>
      <c r="BL123" s="52" t="str">
        <f>_xlfn.IFNA(VALUE(VLOOKUP(U123,'GRPO Wiz'!AP:BZ,29,FALSE)),"")</f>
        <v/>
      </c>
      <c r="BM123" s="52" t="str">
        <f>IF(OR(_xlfn.IFNA(VLOOKUP(U123,'GRPO Wiz'!AP:BZ,33,FALSE),"")="NSC",_xlfn.IFNA(VLOOKUP(U123,'GRPO Wiz'!AP:BZ,33,FALSE),"")="NSSMC"),"NSC","")</f>
        <v/>
      </c>
    </row>
    <row r="124" spans="10:65" ht="26.25" customHeight="1" x14ac:dyDescent="0.25">
      <c r="J124" s="52" t="str">
        <f t="shared" si="29"/>
        <v/>
      </c>
      <c r="K124" s="52" t="str">
        <f>IF(O124="","",VLOOKUP(U124,Data!O:AC,15,FALSE)/G124)</f>
        <v/>
      </c>
      <c r="X124" s="52">
        <f t="shared" si="30"/>
        <v>0</v>
      </c>
      <c r="Z124" s="52">
        <f t="shared" si="31"/>
        <v>0</v>
      </c>
      <c r="AZ124" s="52" t="str">
        <f>_xlfn.IFNA(VLOOKUP(U124,'GRPO Wiz'!AP:BT,17,FALSE),"")</f>
        <v/>
      </c>
      <c r="BA124" s="52" t="str">
        <f>_xlfn.IFNA(VLOOKUP(U124,'GRPO Wiz'!AP:BT,18,FALSE),"")</f>
        <v/>
      </c>
      <c r="BB124" s="52" t="str">
        <f>_xlfn.IFNA(VLOOKUP(U124,'GRPO Wiz'!AP:BT,19,FALSE),"")</f>
        <v/>
      </c>
      <c r="BC124" s="52" t="str">
        <f>_xlfn.IFNA(VLOOKUP(U124,'GRPO Wiz'!AP:BT,20,FALSE),"")</f>
        <v/>
      </c>
      <c r="BD124" s="52" t="str">
        <f>_xlfn.IFNA(VLOOKUP(U124,'GRPO Wiz'!AP:BT,21,FALSE),"")</f>
        <v/>
      </c>
      <c r="BE124" s="52" t="str">
        <f>_xlfn.IFNA(LEFT((VLOOKUP(U124,'GRPO Wiz'!AP:BT,22,FALSE)),8),"")</f>
        <v/>
      </c>
      <c r="BF124" s="52" t="str">
        <f>_xlfn.IFNA(VLOOKUP(U124,'GRPO Wiz'!AP:BT,26,FALSE),"")</f>
        <v/>
      </c>
      <c r="BG124" s="57" t="str">
        <f>_xlfn.IFNA(VLOOKUP(U124,'GRPO Wiz'!AP:BQ,28,FALSE),"")</f>
        <v/>
      </c>
      <c r="BH124" s="52" t="str">
        <f>_xlfn.IFNA(VLOOKUP(U124,'GRPO Wiz'!AP:BN,25,FALSE),"")</f>
        <v/>
      </c>
      <c r="BI124" s="52" t="str">
        <f>_xlfn.IFNA(VLOOKUP(U124,'GRPO Wiz'!AP:BT,31,FALSE),"")</f>
        <v/>
      </c>
      <c r="BJ124" s="52" t="str">
        <f>_xlfn.IFNA(VLOOKUP(U124,'GRPO Wiz'!AP:BZ,32,FALSE),"")</f>
        <v/>
      </c>
      <c r="BK124" s="52" t="str">
        <f>_xlfn.IFNA(VLOOKUP(U124,'GRPO Wiz'!AP:BZ,27,FALSE),"")</f>
        <v/>
      </c>
      <c r="BL124" s="52" t="str">
        <f>_xlfn.IFNA(VALUE(VLOOKUP(U124,'GRPO Wiz'!AP:BZ,29,FALSE)),"")</f>
        <v/>
      </c>
      <c r="BM124" s="52" t="str">
        <f>IF(OR(_xlfn.IFNA(VLOOKUP(U124,'GRPO Wiz'!AP:BZ,33,FALSE),"")="NSC",_xlfn.IFNA(VLOOKUP(U124,'GRPO Wiz'!AP:BZ,33,FALSE),"")="NSSMC"),"NSC","")</f>
        <v/>
      </c>
    </row>
    <row r="125" spans="10:65" ht="26.25" customHeight="1" x14ac:dyDescent="0.25">
      <c r="J125" s="52" t="str">
        <f t="shared" si="29"/>
        <v/>
      </c>
      <c r="K125" s="52" t="str">
        <f>IF(O125="","",VLOOKUP(U125,Data!O:AC,15,FALSE)/G125)</f>
        <v/>
      </c>
      <c r="X125" s="52">
        <f t="shared" si="30"/>
        <v>0</v>
      </c>
      <c r="Z125" s="52">
        <f t="shared" si="31"/>
        <v>0</v>
      </c>
      <c r="AZ125" s="52" t="str">
        <f>_xlfn.IFNA(VLOOKUP(U125,'GRPO Wiz'!AP:BT,17,FALSE),"")</f>
        <v/>
      </c>
      <c r="BA125" s="52" t="str">
        <f>_xlfn.IFNA(VLOOKUP(U125,'GRPO Wiz'!AP:BT,18,FALSE),"")</f>
        <v/>
      </c>
      <c r="BB125" s="52" t="str">
        <f>_xlfn.IFNA(VLOOKUP(U125,'GRPO Wiz'!AP:BT,19,FALSE),"")</f>
        <v/>
      </c>
      <c r="BC125" s="52" t="str">
        <f>_xlfn.IFNA(VLOOKUP(U125,'GRPO Wiz'!AP:BT,20,FALSE),"")</f>
        <v/>
      </c>
      <c r="BD125" s="52" t="str">
        <f>_xlfn.IFNA(VLOOKUP(U125,'GRPO Wiz'!AP:BT,21,FALSE),"")</f>
        <v/>
      </c>
      <c r="BE125" s="52" t="str">
        <f>_xlfn.IFNA(LEFT((VLOOKUP(U125,'GRPO Wiz'!AP:BT,22,FALSE)),8),"")</f>
        <v/>
      </c>
      <c r="BF125" s="52" t="str">
        <f>_xlfn.IFNA(VLOOKUP(U125,'GRPO Wiz'!AP:BT,26,FALSE),"")</f>
        <v/>
      </c>
      <c r="BG125" s="57" t="str">
        <f>_xlfn.IFNA(VLOOKUP(U125,'GRPO Wiz'!AP:BQ,28,FALSE),"")</f>
        <v/>
      </c>
      <c r="BH125" s="52" t="str">
        <f>_xlfn.IFNA(VLOOKUP(U125,'GRPO Wiz'!AP:BN,25,FALSE),"")</f>
        <v/>
      </c>
      <c r="BI125" s="52" t="str">
        <f>_xlfn.IFNA(VLOOKUP(U125,'GRPO Wiz'!AP:BT,31,FALSE),"")</f>
        <v/>
      </c>
      <c r="BJ125" s="52" t="str">
        <f>_xlfn.IFNA(VLOOKUP(U125,'GRPO Wiz'!AP:BZ,32,FALSE),"")</f>
        <v/>
      </c>
      <c r="BK125" s="52" t="str">
        <f>_xlfn.IFNA(VLOOKUP(U125,'GRPO Wiz'!AP:BZ,27,FALSE),"")</f>
        <v/>
      </c>
      <c r="BL125" s="52" t="str">
        <f>_xlfn.IFNA(VALUE(VLOOKUP(U125,'GRPO Wiz'!AP:BZ,29,FALSE)),"")</f>
        <v/>
      </c>
      <c r="BM125" s="52" t="str">
        <f>IF(OR(_xlfn.IFNA(VLOOKUP(U125,'GRPO Wiz'!AP:BZ,33,FALSE),"")="NSC",_xlfn.IFNA(VLOOKUP(U125,'GRPO Wiz'!AP:BZ,33,FALSE),"")="NSSMC"),"NSC","")</f>
        <v/>
      </c>
    </row>
    <row r="126" spans="10:65" ht="26.25" customHeight="1" x14ac:dyDescent="0.25">
      <c r="J126" s="52" t="str">
        <f t="shared" si="29"/>
        <v/>
      </c>
      <c r="K126" s="52" t="str">
        <f>IF(O126="","",VLOOKUP(U126,Data!O:AC,15,FALSE)/G126)</f>
        <v/>
      </c>
      <c r="X126" s="52">
        <f t="shared" si="30"/>
        <v>0</v>
      </c>
      <c r="Z126" s="52">
        <f t="shared" si="31"/>
        <v>0</v>
      </c>
      <c r="AZ126" s="52" t="str">
        <f>_xlfn.IFNA(VLOOKUP(U126,'GRPO Wiz'!AP:BT,17,FALSE),"")</f>
        <v/>
      </c>
      <c r="BA126" s="52" t="str">
        <f>_xlfn.IFNA(VLOOKUP(U126,'GRPO Wiz'!AP:BT,18,FALSE),"")</f>
        <v/>
      </c>
      <c r="BB126" s="52" t="str">
        <f>_xlfn.IFNA(VLOOKUP(U126,'GRPO Wiz'!AP:BT,19,FALSE),"")</f>
        <v/>
      </c>
      <c r="BC126" s="52" t="str">
        <f>_xlfn.IFNA(VLOOKUP(U126,'GRPO Wiz'!AP:BT,20,FALSE),"")</f>
        <v/>
      </c>
      <c r="BD126" s="52" t="str">
        <f>_xlfn.IFNA(VLOOKUP(U126,'GRPO Wiz'!AP:BT,21,FALSE),"")</f>
        <v/>
      </c>
      <c r="BE126" s="52" t="str">
        <f>_xlfn.IFNA(LEFT((VLOOKUP(U126,'GRPO Wiz'!AP:BT,22,FALSE)),8),"")</f>
        <v/>
      </c>
      <c r="BF126" s="52" t="str">
        <f>_xlfn.IFNA(VLOOKUP(U126,'GRPO Wiz'!AP:BT,26,FALSE),"")</f>
        <v/>
      </c>
      <c r="BG126" s="57" t="str">
        <f>_xlfn.IFNA(VLOOKUP(U126,'GRPO Wiz'!AP:BQ,28,FALSE),"")</f>
        <v/>
      </c>
      <c r="BH126" s="52" t="str">
        <f>_xlfn.IFNA(VLOOKUP(U126,'GRPO Wiz'!AP:BN,25,FALSE),"")</f>
        <v/>
      </c>
      <c r="BI126" s="52" t="str">
        <f>_xlfn.IFNA(VLOOKUP(U126,'GRPO Wiz'!AP:BT,31,FALSE),"")</f>
        <v/>
      </c>
      <c r="BJ126" s="52" t="str">
        <f>_xlfn.IFNA(VLOOKUP(U126,'GRPO Wiz'!AP:BZ,32,FALSE),"")</f>
        <v/>
      </c>
      <c r="BK126" s="52" t="str">
        <f>_xlfn.IFNA(VLOOKUP(U126,'GRPO Wiz'!AP:BZ,27,FALSE),"")</f>
        <v/>
      </c>
      <c r="BL126" s="52" t="str">
        <f>_xlfn.IFNA(VALUE(VLOOKUP(U126,'GRPO Wiz'!AP:BZ,29,FALSE)),"")</f>
        <v/>
      </c>
      <c r="BM126" s="52" t="str">
        <f>IF(OR(_xlfn.IFNA(VLOOKUP(U126,'GRPO Wiz'!AP:BZ,33,FALSE),"")="NSC",_xlfn.IFNA(VLOOKUP(U126,'GRPO Wiz'!AP:BZ,33,FALSE),"")="NSSMC"),"NSC","")</f>
        <v/>
      </c>
    </row>
    <row r="127" spans="10:65" ht="26.25" customHeight="1" x14ac:dyDescent="0.25">
      <c r="J127" s="52" t="str">
        <f t="shared" si="29"/>
        <v/>
      </c>
      <c r="K127" s="52" t="str">
        <f>IF(O127="","",VLOOKUP(U127,Data!O:AC,15,FALSE)/G127)</f>
        <v/>
      </c>
      <c r="X127" s="52">
        <f t="shared" si="30"/>
        <v>0</v>
      </c>
      <c r="Z127" s="52">
        <f t="shared" si="31"/>
        <v>0</v>
      </c>
      <c r="AZ127" s="52" t="str">
        <f>_xlfn.IFNA(VLOOKUP(U127,'GRPO Wiz'!AP:BT,17,FALSE),"")</f>
        <v/>
      </c>
      <c r="BA127" s="52" t="str">
        <f>_xlfn.IFNA(VLOOKUP(U127,'GRPO Wiz'!AP:BT,18,FALSE),"")</f>
        <v/>
      </c>
      <c r="BB127" s="52" t="str">
        <f>_xlfn.IFNA(VLOOKUP(U127,'GRPO Wiz'!AP:BT,19,FALSE),"")</f>
        <v/>
      </c>
      <c r="BC127" s="52" t="str">
        <f>_xlfn.IFNA(VLOOKUP(U127,'GRPO Wiz'!AP:BT,20,FALSE),"")</f>
        <v/>
      </c>
      <c r="BD127" s="52" t="str">
        <f>_xlfn.IFNA(VLOOKUP(U127,'GRPO Wiz'!AP:BT,21,FALSE),"")</f>
        <v/>
      </c>
      <c r="BE127" s="52" t="str">
        <f>_xlfn.IFNA(LEFT((VLOOKUP(U127,'GRPO Wiz'!AP:BT,22,FALSE)),8),"")</f>
        <v/>
      </c>
      <c r="BF127" s="52" t="str">
        <f>_xlfn.IFNA(VLOOKUP(U127,'GRPO Wiz'!AP:BT,26,FALSE),"")</f>
        <v/>
      </c>
      <c r="BG127" s="57" t="str">
        <f>_xlfn.IFNA(VLOOKUP(U127,'GRPO Wiz'!AP:BQ,28,FALSE),"")</f>
        <v/>
      </c>
      <c r="BH127" s="52" t="str">
        <f>_xlfn.IFNA(VLOOKUP(U127,'GRPO Wiz'!AP:BN,25,FALSE),"")</f>
        <v/>
      </c>
      <c r="BI127" s="52" t="str">
        <f>_xlfn.IFNA(VLOOKUP(U127,'GRPO Wiz'!AP:BT,31,FALSE),"")</f>
        <v/>
      </c>
      <c r="BJ127" s="52" t="str">
        <f>_xlfn.IFNA(VLOOKUP(U127,'GRPO Wiz'!AP:BZ,32,FALSE),"")</f>
        <v/>
      </c>
      <c r="BK127" s="52" t="str">
        <f>_xlfn.IFNA(VLOOKUP(U127,'GRPO Wiz'!AP:BZ,27,FALSE),"")</f>
        <v/>
      </c>
      <c r="BL127" s="52" t="str">
        <f>_xlfn.IFNA(VALUE(VLOOKUP(U127,'GRPO Wiz'!AP:BZ,29,FALSE)),"")</f>
        <v/>
      </c>
      <c r="BM127" s="52" t="str">
        <f>IF(OR(_xlfn.IFNA(VLOOKUP(U127,'GRPO Wiz'!AP:BZ,33,FALSE),"")="NSC",_xlfn.IFNA(VLOOKUP(U127,'GRPO Wiz'!AP:BZ,33,FALSE),"")="NSSMC"),"NSC","")</f>
        <v/>
      </c>
    </row>
    <row r="128" spans="10:65" ht="26.25" customHeight="1" x14ac:dyDescent="0.25">
      <c r="J128" s="52" t="str">
        <f t="shared" si="29"/>
        <v/>
      </c>
      <c r="K128" s="52" t="str">
        <f>IF(O128="","",VLOOKUP(U128,Data!O:AC,15,FALSE)/G128)</f>
        <v/>
      </c>
      <c r="X128" s="52">
        <f t="shared" si="30"/>
        <v>0</v>
      </c>
      <c r="Z128" s="52">
        <f t="shared" si="31"/>
        <v>0</v>
      </c>
      <c r="AZ128" s="52" t="str">
        <f>_xlfn.IFNA(VLOOKUP(U128,'GRPO Wiz'!AP:BT,17,FALSE),"")</f>
        <v/>
      </c>
      <c r="BA128" s="52" t="str">
        <f>_xlfn.IFNA(VLOOKUP(U128,'GRPO Wiz'!AP:BT,18,FALSE),"")</f>
        <v/>
      </c>
      <c r="BB128" s="52" t="str">
        <f>_xlfn.IFNA(VLOOKUP(U128,'GRPO Wiz'!AP:BT,19,FALSE),"")</f>
        <v/>
      </c>
      <c r="BC128" s="52" t="str">
        <f>_xlfn.IFNA(VLOOKUP(U128,'GRPO Wiz'!AP:BT,20,FALSE),"")</f>
        <v/>
      </c>
      <c r="BD128" s="52" t="str">
        <f>_xlfn.IFNA(VLOOKUP(U128,'GRPO Wiz'!AP:BT,21,FALSE),"")</f>
        <v/>
      </c>
      <c r="BE128" s="52" t="str">
        <f>_xlfn.IFNA(LEFT((VLOOKUP(U128,'GRPO Wiz'!AP:BT,22,FALSE)),8),"")</f>
        <v/>
      </c>
      <c r="BF128" s="52" t="str">
        <f>_xlfn.IFNA(VLOOKUP(U128,'GRPO Wiz'!AP:BT,26,FALSE),"")</f>
        <v/>
      </c>
      <c r="BG128" s="57" t="str">
        <f>_xlfn.IFNA(VLOOKUP(U128,'GRPO Wiz'!AP:BQ,28,FALSE),"")</f>
        <v/>
      </c>
      <c r="BH128" s="52" t="str">
        <f>_xlfn.IFNA(VLOOKUP(U128,'GRPO Wiz'!AP:BN,25,FALSE),"")</f>
        <v/>
      </c>
      <c r="BI128" s="52" t="str">
        <f>_xlfn.IFNA(VLOOKUP(U128,'GRPO Wiz'!AP:BT,31,FALSE),"")</f>
        <v/>
      </c>
      <c r="BJ128" s="52" t="str">
        <f>_xlfn.IFNA(VLOOKUP(U128,'GRPO Wiz'!AP:BZ,32,FALSE),"")</f>
        <v/>
      </c>
      <c r="BK128" s="52" t="str">
        <f>_xlfn.IFNA(VLOOKUP(U128,'GRPO Wiz'!AP:BZ,27,FALSE),"")</f>
        <v/>
      </c>
      <c r="BL128" s="52" t="str">
        <f>_xlfn.IFNA(VALUE(VLOOKUP(U128,'GRPO Wiz'!AP:BZ,29,FALSE)),"")</f>
        <v/>
      </c>
      <c r="BM128" s="52" t="str">
        <f>IF(OR(_xlfn.IFNA(VLOOKUP(U128,'GRPO Wiz'!AP:BZ,33,FALSE),"")="NSC",_xlfn.IFNA(VLOOKUP(U128,'GRPO Wiz'!AP:BZ,33,FALSE),"")="NSSMC"),"NSC","")</f>
        <v/>
      </c>
    </row>
    <row r="129" spans="10:65" ht="26.25" customHeight="1" x14ac:dyDescent="0.25">
      <c r="J129" s="52" t="str">
        <f t="shared" si="29"/>
        <v/>
      </c>
      <c r="K129" s="52" t="str">
        <f>IF(O129="","",VLOOKUP(U129,Data!O:AC,15,FALSE)/G129)</f>
        <v/>
      </c>
      <c r="X129" s="52">
        <f t="shared" si="30"/>
        <v>0</v>
      </c>
      <c r="Z129" s="52">
        <f t="shared" si="31"/>
        <v>0</v>
      </c>
      <c r="AZ129" s="52" t="str">
        <f>_xlfn.IFNA(VLOOKUP(U129,'GRPO Wiz'!AP:BT,17,FALSE),"")</f>
        <v/>
      </c>
      <c r="BA129" s="52" t="str">
        <f>_xlfn.IFNA(VLOOKUP(U129,'GRPO Wiz'!AP:BT,18,FALSE),"")</f>
        <v/>
      </c>
      <c r="BB129" s="52" t="str">
        <f>_xlfn.IFNA(VLOOKUP(U129,'GRPO Wiz'!AP:BT,19,FALSE),"")</f>
        <v/>
      </c>
      <c r="BC129" s="52" t="str">
        <f>_xlfn.IFNA(VLOOKUP(U129,'GRPO Wiz'!AP:BT,20,FALSE),"")</f>
        <v/>
      </c>
      <c r="BD129" s="52" t="str">
        <f>_xlfn.IFNA(VLOOKUP(U129,'GRPO Wiz'!AP:BT,21,FALSE),"")</f>
        <v/>
      </c>
      <c r="BE129" s="52" t="str">
        <f>_xlfn.IFNA(LEFT((VLOOKUP(U129,'GRPO Wiz'!AP:BT,22,FALSE)),8),"")</f>
        <v/>
      </c>
      <c r="BF129" s="52" t="str">
        <f>_xlfn.IFNA(VLOOKUP(U129,'GRPO Wiz'!AP:BT,26,FALSE),"")</f>
        <v/>
      </c>
      <c r="BG129" s="57" t="str">
        <f>_xlfn.IFNA(VLOOKUP(U129,'GRPO Wiz'!AP:BQ,28,FALSE),"")</f>
        <v/>
      </c>
      <c r="BH129" s="52" t="str">
        <f>_xlfn.IFNA(VLOOKUP(U129,'GRPO Wiz'!AP:BN,25,FALSE),"")</f>
        <v/>
      </c>
      <c r="BI129" s="52" t="str">
        <f>_xlfn.IFNA(VLOOKUP(U129,'GRPO Wiz'!AP:BT,31,FALSE),"")</f>
        <v/>
      </c>
      <c r="BJ129" s="52" t="str">
        <f>_xlfn.IFNA(VLOOKUP(U129,'GRPO Wiz'!AP:BZ,32,FALSE),"")</f>
        <v/>
      </c>
      <c r="BK129" s="52" t="str">
        <f>_xlfn.IFNA(VLOOKUP(U129,'GRPO Wiz'!AP:BZ,27,FALSE),"")</f>
        <v/>
      </c>
      <c r="BL129" s="52" t="str">
        <f>_xlfn.IFNA(VALUE(VLOOKUP(U129,'GRPO Wiz'!AP:BZ,29,FALSE)),"")</f>
        <v/>
      </c>
      <c r="BM129" s="52" t="str">
        <f>IF(OR(_xlfn.IFNA(VLOOKUP(U129,'GRPO Wiz'!AP:BZ,33,FALSE),"")="NSC",_xlfn.IFNA(VLOOKUP(U129,'GRPO Wiz'!AP:BZ,33,FALSE),"")="NSSMC"),"NSC","")</f>
        <v/>
      </c>
    </row>
    <row r="130" spans="10:65" ht="26.25" customHeight="1" x14ac:dyDescent="0.25">
      <c r="J130" s="52" t="str">
        <f t="shared" si="29"/>
        <v/>
      </c>
      <c r="K130" s="52" t="str">
        <f>IF(O130="","",VLOOKUP(U130,Data!O:AC,15,FALSE)/G130)</f>
        <v/>
      </c>
      <c r="X130" s="52">
        <f t="shared" si="30"/>
        <v>0</v>
      </c>
      <c r="Z130" s="52">
        <f t="shared" si="31"/>
        <v>0</v>
      </c>
      <c r="AZ130" s="52" t="str">
        <f>_xlfn.IFNA(VLOOKUP(U130,'GRPO Wiz'!AP:BT,17,FALSE),"")</f>
        <v/>
      </c>
      <c r="BA130" s="52" t="str">
        <f>_xlfn.IFNA(VLOOKUP(U130,'GRPO Wiz'!AP:BT,18,FALSE),"")</f>
        <v/>
      </c>
      <c r="BB130" s="52" t="str">
        <f>_xlfn.IFNA(VLOOKUP(U130,'GRPO Wiz'!AP:BT,19,FALSE),"")</f>
        <v/>
      </c>
      <c r="BC130" s="52" t="str">
        <f>_xlfn.IFNA(VLOOKUP(U130,'GRPO Wiz'!AP:BT,20,FALSE),"")</f>
        <v/>
      </c>
      <c r="BD130" s="52" t="str">
        <f>_xlfn.IFNA(VLOOKUP(U130,'GRPO Wiz'!AP:BT,21,FALSE),"")</f>
        <v/>
      </c>
      <c r="BE130" s="52" t="str">
        <f>_xlfn.IFNA(LEFT((VLOOKUP(U130,'GRPO Wiz'!AP:BT,22,FALSE)),8),"")</f>
        <v/>
      </c>
      <c r="BF130" s="52" t="str">
        <f>_xlfn.IFNA(VLOOKUP(U130,'GRPO Wiz'!AP:BT,26,FALSE),"")</f>
        <v/>
      </c>
      <c r="BG130" s="57" t="str">
        <f>_xlfn.IFNA(VLOOKUP(U130,'GRPO Wiz'!AP:BQ,28,FALSE),"")</f>
        <v/>
      </c>
      <c r="BH130" s="52" t="str">
        <f>_xlfn.IFNA(VLOOKUP(U130,'GRPO Wiz'!AP:BN,25,FALSE),"")</f>
        <v/>
      </c>
      <c r="BI130" s="52" t="str">
        <f>_xlfn.IFNA(VLOOKUP(U130,'GRPO Wiz'!AP:BT,31,FALSE),"")</f>
        <v/>
      </c>
      <c r="BJ130" s="52" t="str">
        <f>_xlfn.IFNA(VLOOKUP(U130,'GRPO Wiz'!AP:BZ,32,FALSE),"")</f>
        <v/>
      </c>
      <c r="BK130" s="52" t="str">
        <f>_xlfn.IFNA(VLOOKUP(U130,'GRPO Wiz'!AP:BZ,27,FALSE),"")</f>
        <v/>
      </c>
      <c r="BL130" s="52" t="str">
        <f>_xlfn.IFNA(VALUE(VLOOKUP(U130,'GRPO Wiz'!AP:BZ,29,FALSE)),"")</f>
        <v/>
      </c>
      <c r="BM130" s="52" t="str">
        <f>IF(OR(_xlfn.IFNA(VLOOKUP(U130,'GRPO Wiz'!AP:BZ,33,FALSE),"")="NSC",_xlfn.IFNA(VLOOKUP(U130,'GRPO Wiz'!AP:BZ,33,FALSE),"")="NSSMC"),"NSC","")</f>
        <v/>
      </c>
    </row>
    <row r="131" spans="10:65" ht="26.25" customHeight="1" x14ac:dyDescent="0.25">
      <c r="J131" s="52" t="str">
        <f t="shared" ref="J131:J194" si="32">IF(O131="","",ROUND(H131*ROUND(I131,1),2))</f>
        <v/>
      </c>
      <c r="K131" s="52" t="str">
        <f>IF(O131="","",VLOOKUP(U131,Data!O:AC,15,FALSE)/G131)</f>
        <v/>
      </c>
      <c r="X131" s="52">
        <f t="shared" ref="X131:X194" si="33">AT131</f>
        <v>0</v>
      </c>
      <c r="Z131" s="52">
        <f t="shared" ref="Z131:Z194" si="34">IFERROR(ROUND(H131*I131,2),0)</f>
        <v>0</v>
      </c>
      <c r="AZ131" s="52" t="str">
        <f>_xlfn.IFNA(VLOOKUP(U131,'GRPO Wiz'!AP:BT,17,FALSE),"")</f>
        <v/>
      </c>
      <c r="BA131" s="52" t="str">
        <f>_xlfn.IFNA(VLOOKUP(U131,'GRPO Wiz'!AP:BT,18,FALSE),"")</f>
        <v/>
      </c>
      <c r="BB131" s="52" t="str">
        <f>_xlfn.IFNA(VLOOKUP(U131,'GRPO Wiz'!AP:BT,19,FALSE),"")</f>
        <v/>
      </c>
      <c r="BC131" s="52" t="str">
        <f>_xlfn.IFNA(VLOOKUP(U131,'GRPO Wiz'!AP:BT,20,FALSE),"")</f>
        <v/>
      </c>
      <c r="BD131" s="52" t="str">
        <f>_xlfn.IFNA(VLOOKUP(U131,'GRPO Wiz'!AP:BT,21,FALSE),"")</f>
        <v/>
      </c>
      <c r="BE131" s="52" t="str">
        <f>_xlfn.IFNA(LEFT((VLOOKUP(U131,'GRPO Wiz'!AP:BT,22,FALSE)),8),"")</f>
        <v/>
      </c>
      <c r="BF131" s="52" t="str">
        <f>_xlfn.IFNA(VLOOKUP(U131,'GRPO Wiz'!AP:BT,26,FALSE),"")</f>
        <v/>
      </c>
      <c r="BG131" s="57" t="str">
        <f>_xlfn.IFNA(VLOOKUP(U131,'GRPO Wiz'!AP:BQ,28,FALSE),"")</f>
        <v/>
      </c>
      <c r="BH131" s="52" t="str">
        <f>_xlfn.IFNA(VLOOKUP(U131,'GRPO Wiz'!AP:BN,25,FALSE),"")</f>
        <v/>
      </c>
      <c r="BI131" s="52" t="str">
        <f>_xlfn.IFNA(VLOOKUP(U131,'GRPO Wiz'!AP:BT,31,FALSE),"")</f>
        <v/>
      </c>
      <c r="BJ131" s="52" t="str">
        <f>_xlfn.IFNA(VLOOKUP(U131,'GRPO Wiz'!AP:BZ,32,FALSE),"")</f>
        <v/>
      </c>
      <c r="BK131" s="52" t="str">
        <f>_xlfn.IFNA(VLOOKUP(U131,'GRPO Wiz'!AP:BZ,27,FALSE),"")</f>
        <v/>
      </c>
      <c r="BL131" s="52" t="str">
        <f>_xlfn.IFNA(VALUE(VLOOKUP(U131,'GRPO Wiz'!AP:BZ,29,FALSE)),"")</f>
        <v/>
      </c>
      <c r="BM131" s="52" t="str">
        <f>IF(OR(_xlfn.IFNA(VLOOKUP(U131,'GRPO Wiz'!AP:BZ,33,FALSE),"")="NSC",_xlfn.IFNA(VLOOKUP(U131,'GRPO Wiz'!AP:BZ,33,FALSE),"")="NSSMC"),"NSC","")</f>
        <v/>
      </c>
    </row>
    <row r="132" spans="10:65" ht="26.25" customHeight="1" x14ac:dyDescent="0.25">
      <c r="J132" s="52" t="str">
        <f t="shared" si="32"/>
        <v/>
      </c>
      <c r="K132" s="52" t="str">
        <f>IF(O132="","",VLOOKUP(U132,Data!O:AC,15,FALSE)/G132)</f>
        <v/>
      </c>
      <c r="X132" s="52">
        <f t="shared" si="33"/>
        <v>0</v>
      </c>
      <c r="Z132" s="52">
        <f t="shared" si="34"/>
        <v>0</v>
      </c>
      <c r="AZ132" s="52" t="str">
        <f>_xlfn.IFNA(VLOOKUP(U132,'GRPO Wiz'!AP:BT,17,FALSE),"")</f>
        <v/>
      </c>
      <c r="BA132" s="52" t="str">
        <f>_xlfn.IFNA(VLOOKUP(U132,'GRPO Wiz'!AP:BT,18,FALSE),"")</f>
        <v/>
      </c>
      <c r="BB132" s="52" t="str">
        <f>_xlfn.IFNA(VLOOKUP(U132,'GRPO Wiz'!AP:BT,19,FALSE),"")</f>
        <v/>
      </c>
      <c r="BC132" s="52" t="str">
        <f>_xlfn.IFNA(VLOOKUP(U132,'GRPO Wiz'!AP:BT,20,FALSE),"")</f>
        <v/>
      </c>
      <c r="BD132" s="52" t="str">
        <f>_xlfn.IFNA(VLOOKUP(U132,'GRPO Wiz'!AP:BT,21,FALSE),"")</f>
        <v/>
      </c>
      <c r="BE132" s="52" t="str">
        <f>_xlfn.IFNA(LEFT((VLOOKUP(U132,'GRPO Wiz'!AP:BT,22,FALSE)),8),"")</f>
        <v/>
      </c>
      <c r="BF132" s="52" t="str">
        <f>_xlfn.IFNA(VLOOKUP(U132,'GRPO Wiz'!AP:BT,26,FALSE),"")</f>
        <v/>
      </c>
      <c r="BG132" s="57" t="str">
        <f>_xlfn.IFNA(VLOOKUP(U132,'GRPO Wiz'!AP:BQ,28,FALSE),"")</f>
        <v/>
      </c>
      <c r="BH132" s="52" t="str">
        <f>_xlfn.IFNA(VLOOKUP(U132,'GRPO Wiz'!AP:BN,25,FALSE),"")</f>
        <v/>
      </c>
      <c r="BI132" s="52" t="str">
        <f>_xlfn.IFNA(VLOOKUP(U132,'GRPO Wiz'!AP:BT,31,FALSE),"")</f>
        <v/>
      </c>
      <c r="BJ132" s="52" t="str">
        <f>_xlfn.IFNA(VLOOKUP(U132,'GRPO Wiz'!AP:BZ,32,FALSE),"")</f>
        <v/>
      </c>
      <c r="BK132" s="52" t="str">
        <f>_xlfn.IFNA(VLOOKUP(U132,'GRPO Wiz'!AP:BZ,27,FALSE),"")</f>
        <v/>
      </c>
      <c r="BL132" s="52" t="str">
        <f>_xlfn.IFNA(VALUE(VLOOKUP(U132,'GRPO Wiz'!AP:BZ,29,FALSE)),"")</f>
        <v/>
      </c>
      <c r="BM132" s="52" t="str">
        <f>IF(OR(_xlfn.IFNA(VLOOKUP(U132,'GRPO Wiz'!AP:BZ,33,FALSE),"")="NSC",_xlfn.IFNA(VLOOKUP(U132,'GRPO Wiz'!AP:BZ,33,FALSE),"")="NSSMC"),"NSC","")</f>
        <v/>
      </c>
    </row>
    <row r="133" spans="10:65" ht="26.25" customHeight="1" x14ac:dyDescent="0.25">
      <c r="J133" s="52" t="str">
        <f t="shared" si="32"/>
        <v/>
      </c>
      <c r="K133" s="52" t="str">
        <f>IF(O133="","",VLOOKUP(U133,Data!O:AC,15,FALSE)/G133)</f>
        <v/>
      </c>
      <c r="X133" s="52">
        <f t="shared" si="33"/>
        <v>0</v>
      </c>
      <c r="Z133" s="52">
        <f t="shared" si="34"/>
        <v>0</v>
      </c>
      <c r="AZ133" s="52" t="str">
        <f>_xlfn.IFNA(VLOOKUP(U133,'GRPO Wiz'!AP:BT,17,FALSE),"")</f>
        <v/>
      </c>
      <c r="BA133" s="52" t="str">
        <f>_xlfn.IFNA(VLOOKUP(U133,'GRPO Wiz'!AP:BT,18,FALSE),"")</f>
        <v/>
      </c>
      <c r="BB133" s="52" t="str">
        <f>_xlfn.IFNA(VLOOKUP(U133,'GRPO Wiz'!AP:BT,19,FALSE),"")</f>
        <v/>
      </c>
      <c r="BC133" s="52" t="str">
        <f>_xlfn.IFNA(VLOOKUP(U133,'GRPO Wiz'!AP:BT,20,FALSE),"")</f>
        <v/>
      </c>
      <c r="BD133" s="52" t="str">
        <f>_xlfn.IFNA(VLOOKUP(U133,'GRPO Wiz'!AP:BT,21,FALSE),"")</f>
        <v/>
      </c>
      <c r="BE133" s="52" t="str">
        <f>_xlfn.IFNA(LEFT((VLOOKUP(U133,'GRPO Wiz'!AP:BT,22,FALSE)),8),"")</f>
        <v/>
      </c>
      <c r="BF133" s="52" t="str">
        <f>_xlfn.IFNA(VLOOKUP(U133,'GRPO Wiz'!AP:BT,26,FALSE),"")</f>
        <v/>
      </c>
      <c r="BG133" s="57" t="str">
        <f>_xlfn.IFNA(VLOOKUP(U133,'GRPO Wiz'!AP:BQ,28,FALSE),"")</f>
        <v/>
      </c>
      <c r="BH133" s="52" t="str">
        <f>_xlfn.IFNA(VLOOKUP(U133,'GRPO Wiz'!AP:BN,25,FALSE),"")</f>
        <v/>
      </c>
      <c r="BI133" s="52" t="str">
        <f>_xlfn.IFNA(VLOOKUP(U133,'GRPO Wiz'!AP:BT,31,FALSE),"")</f>
        <v/>
      </c>
      <c r="BJ133" s="52" t="str">
        <f>_xlfn.IFNA(VLOOKUP(U133,'GRPO Wiz'!AP:BZ,32,FALSE),"")</f>
        <v/>
      </c>
      <c r="BK133" s="52" t="str">
        <f>_xlfn.IFNA(VLOOKUP(U133,'GRPO Wiz'!AP:BZ,27,FALSE),"")</f>
        <v/>
      </c>
      <c r="BL133" s="52" t="str">
        <f>_xlfn.IFNA(VALUE(VLOOKUP(U133,'GRPO Wiz'!AP:BZ,29,FALSE)),"")</f>
        <v/>
      </c>
      <c r="BM133" s="52" t="str">
        <f>IF(OR(_xlfn.IFNA(VLOOKUP(U133,'GRPO Wiz'!AP:BZ,33,FALSE),"")="NSC",_xlfn.IFNA(VLOOKUP(U133,'GRPO Wiz'!AP:BZ,33,FALSE),"")="NSSMC"),"NSC","")</f>
        <v/>
      </c>
    </row>
    <row r="134" spans="10:65" ht="26.25" customHeight="1" x14ac:dyDescent="0.25">
      <c r="J134" s="52" t="str">
        <f t="shared" si="32"/>
        <v/>
      </c>
      <c r="K134" s="52" t="str">
        <f>IF(O134="","",VLOOKUP(U134,Data!O:AC,15,FALSE)/G134)</f>
        <v/>
      </c>
      <c r="X134" s="52">
        <f t="shared" si="33"/>
        <v>0</v>
      </c>
      <c r="Z134" s="52">
        <f t="shared" si="34"/>
        <v>0</v>
      </c>
      <c r="AZ134" s="52" t="str">
        <f>_xlfn.IFNA(VLOOKUP(U134,'GRPO Wiz'!AP:BT,17,FALSE),"")</f>
        <v/>
      </c>
      <c r="BA134" s="52" t="str">
        <f>_xlfn.IFNA(VLOOKUP(U134,'GRPO Wiz'!AP:BT,18,FALSE),"")</f>
        <v/>
      </c>
      <c r="BB134" s="52" t="str">
        <f>_xlfn.IFNA(VLOOKUP(U134,'GRPO Wiz'!AP:BT,19,FALSE),"")</f>
        <v/>
      </c>
      <c r="BC134" s="52" t="str">
        <f>_xlfn.IFNA(VLOOKUP(U134,'GRPO Wiz'!AP:BT,20,FALSE),"")</f>
        <v/>
      </c>
      <c r="BD134" s="52" t="str">
        <f>_xlfn.IFNA(VLOOKUP(U134,'GRPO Wiz'!AP:BT,21,FALSE),"")</f>
        <v/>
      </c>
      <c r="BE134" s="52" t="str">
        <f>_xlfn.IFNA(LEFT((VLOOKUP(U134,'GRPO Wiz'!AP:BT,22,FALSE)),8),"")</f>
        <v/>
      </c>
      <c r="BF134" s="52" t="str">
        <f>_xlfn.IFNA(VLOOKUP(U134,'GRPO Wiz'!AP:BT,26,FALSE),"")</f>
        <v/>
      </c>
      <c r="BG134" s="57" t="str">
        <f>_xlfn.IFNA(VLOOKUP(U134,'GRPO Wiz'!AP:BQ,28,FALSE),"")</f>
        <v/>
      </c>
      <c r="BH134" s="52" t="str">
        <f>_xlfn.IFNA(VLOOKUP(U134,'GRPO Wiz'!AP:BN,25,FALSE),"")</f>
        <v/>
      </c>
      <c r="BI134" s="52" t="str">
        <f>_xlfn.IFNA(VLOOKUP(U134,'GRPO Wiz'!AP:BT,31,FALSE),"")</f>
        <v/>
      </c>
      <c r="BJ134" s="52" t="str">
        <f>_xlfn.IFNA(VLOOKUP(U134,'GRPO Wiz'!AP:BZ,32,FALSE),"")</f>
        <v/>
      </c>
      <c r="BK134" s="52" t="str">
        <f>_xlfn.IFNA(VLOOKUP(U134,'GRPO Wiz'!AP:BZ,27,FALSE),"")</f>
        <v/>
      </c>
      <c r="BL134" s="52" t="str">
        <f>_xlfn.IFNA(VALUE(VLOOKUP(U134,'GRPO Wiz'!AP:BZ,29,FALSE)),"")</f>
        <v/>
      </c>
      <c r="BM134" s="52" t="str">
        <f>IF(OR(_xlfn.IFNA(VLOOKUP(U134,'GRPO Wiz'!AP:BZ,33,FALSE),"")="NSC",_xlfn.IFNA(VLOOKUP(U134,'GRPO Wiz'!AP:BZ,33,FALSE),"")="NSSMC"),"NSC","")</f>
        <v/>
      </c>
    </row>
    <row r="135" spans="10:65" ht="26.25" customHeight="1" x14ac:dyDescent="0.25">
      <c r="J135" s="52" t="str">
        <f t="shared" si="32"/>
        <v/>
      </c>
      <c r="K135" s="52" t="str">
        <f>IF(O135="","",VLOOKUP(U135,Data!O:AC,15,FALSE)/G135)</f>
        <v/>
      </c>
      <c r="X135" s="52">
        <f t="shared" si="33"/>
        <v>0</v>
      </c>
      <c r="Z135" s="52">
        <f t="shared" si="34"/>
        <v>0</v>
      </c>
      <c r="AZ135" s="52" t="str">
        <f>_xlfn.IFNA(VLOOKUP(U135,'GRPO Wiz'!AP:BT,17,FALSE),"")</f>
        <v/>
      </c>
      <c r="BA135" s="52" t="str">
        <f>_xlfn.IFNA(VLOOKUP(U135,'GRPO Wiz'!AP:BT,18,FALSE),"")</f>
        <v/>
      </c>
      <c r="BB135" s="52" t="str">
        <f>_xlfn.IFNA(VLOOKUP(U135,'GRPO Wiz'!AP:BT,19,FALSE),"")</f>
        <v/>
      </c>
      <c r="BC135" s="52" t="str">
        <f>_xlfn.IFNA(VLOOKUP(U135,'GRPO Wiz'!AP:BT,20,FALSE),"")</f>
        <v/>
      </c>
      <c r="BD135" s="52" t="str">
        <f>_xlfn.IFNA(VLOOKUP(U135,'GRPO Wiz'!AP:BT,21,FALSE),"")</f>
        <v/>
      </c>
      <c r="BE135" s="52" t="str">
        <f>_xlfn.IFNA(LEFT((VLOOKUP(U135,'GRPO Wiz'!AP:BT,22,FALSE)),8),"")</f>
        <v/>
      </c>
      <c r="BF135" s="52" t="str">
        <f>_xlfn.IFNA(VLOOKUP(U135,'GRPO Wiz'!AP:BT,26,FALSE),"")</f>
        <v/>
      </c>
      <c r="BG135" s="57" t="str">
        <f>_xlfn.IFNA(VLOOKUP(U135,'GRPO Wiz'!AP:BQ,28,FALSE),"")</f>
        <v/>
      </c>
      <c r="BH135" s="52" t="str">
        <f>_xlfn.IFNA(VLOOKUP(U135,'GRPO Wiz'!AP:BN,25,FALSE),"")</f>
        <v/>
      </c>
      <c r="BI135" s="52" t="str">
        <f>_xlfn.IFNA(VLOOKUP(U135,'GRPO Wiz'!AP:BT,31,FALSE),"")</f>
        <v/>
      </c>
      <c r="BJ135" s="52" t="str">
        <f>_xlfn.IFNA(VLOOKUP(U135,'GRPO Wiz'!AP:BZ,32,FALSE),"")</f>
        <v/>
      </c>
      <c r="BK135" s="52" t="str">
        <f>_xlfn.IFNA(VLOOKUP(U135,'GRPO Wiz'!AP:BZ,27,FALSE),"")</f>
        <v/>
      </c>
      <c r="BL135" s="52" t="str">
        <f>_xlfn.IFNA(VALUE(VLOOKUP(U135,'GRPO Wiz'!AP:BZ,29,FALSE)),"")</f>
        <v/>
      </c>
      <c r="BM135" s="52" t="str">
        <f>IF(OR(_xlfn.IFNA(VLOOKUP(U135,'GRPO Wiz'!AP:BZ,33,FALSE),"")="NSC",_xlfn.IFNA(VLOOKUP(U135,'GRPO Wiz'!AP:BZ,33,FALSE),"")="NSSMC"),"NSC","")</f>
        <v/>
      </c>
    </row>
    <row r="136" spans="10:65" ht="26.25" customHeight="1" x14ac:dyDescent="0.25">
      <c r="J136" s="52" t="str">
        <f t="shared" si="32"/>
        <v/>
      </c>
      <c r="K136" s="52" t="str">
        <f>IF(O136="","",VLOOKUP(U136,Data!O:AC,15,FALSE)/G136)</f>
        <v/>
      </c>
      <c r="X136" s="52">
        <f t="shared" si="33"/>
        <v>0</v>
      </c>
      <c r="Z136" s="52">
        <f t="shared" si="34"/>
        <v>0</v>
      </c>
      <c r="AZ136" s="52" t="str">
        <f>_xlfn.IFNA(VLOOKUP(U136,'GRPO Wiz'!AP:BT,17,FALSE),"")</f>
        <v/>
      </c>
      <c r="BA136" s="52" t="str">
        <f>_xlfn.IFNA(VLOOKUP(U136,'GRPO Wiz'!AP:BT,18,FALSE),"")</f>
        <v/>
      </c>
      <c r="BB136" s="52" t="str">
        <f>_xlfn.IFNA(VLOOKUP(U136,'GRPO Wiz'!AP:BT,19,FALSE),"")</f>
        <v/>
      </c>
      <c r="BC136" s="52" t="str">
        <f>_xlfn.IFNA(VLOOKUP(U136,'GRPO Wiz'!AP:BT,20,FALSE),"")</f>
        <v/>
      </c>
      <c r="BD136" s="52" t="str">
        <f>_xlfn.IFNA(VLOOKUP(U136,'GRPO Wiz'!AP:BT,21,FALSE),"")</f>
        <v/>
      </c>
      <c r="BE136" s="52" t="str">
        <f>_xlfn.IFNA(LEFT((VLOOKUP(U136,'GRPO Wiz'!AP:BT,22,FALSE)),8),"")</f>
        <v/>
      </c>
      <c r="BF136" s="52" t="str">
        <f>_xlfn.IFNA(VLOOKUP(U136,'GRPO Wiz'!AP:BT,26,FALSE),"")</f>
        <v/>
      </c>
      <c r="BG136" s="57" t="str">
        <f>_xlfn.IFNA(VLOOKUP(U136,'GRPO Wiz'!AP:BQ,28,FALSE),"")</f>
        <v/>
      </c>
      <c r="BH136" s="52" t="str">
        <f>_xlfn.IFNA(VLOOKUP(U136,'GRPO Wiz'!AP:BN,25,FALSE),"")</f>
        <v/>
      </c>
      <c r="BI136" s="52" t="str">
        <f>_xlfn.IFNA(VLOOKUP(U136,'GRPO Wiz'!AP:BT,31,FALSE),"")</f>
        <v/>
      </c>
      <c r="BJ136" s="52" t="str">
        <f>_xlfn.IFNA(VLOOKUP(U136,'GRPO Wiz'!AP:BZ,32,FALSE),"")</f>
        <v/>
      </c>
      <c r="BK136" s="52" t="str">
        <f>_xlfn.IFNA(VLOOKUP(U136,'GRPO Wiz'!AP:BZ,27,FALSE),"")</f>
        <v/>
      </c>
      <c r="BL136" s="52" t="str">
        <f>_xlfn.IFNA(VALUE(VLOOKUP(U136,'GRPO Wiz'!AP:BZ,29,FALSE)),"")</f>
        <v/>
      </c>
      <c r="BM136" s="52" t="str">
        <f>IF(OR(_xlfn.IFNA(VLOOKUP(U136,'GRPO Wiz'!AP:BZ,33,FALSE),"")="NSC",_xlfn.IFNA(VLOOKUP(U136,'GRPO Wiz'!AP:BZ,33,FALSE),"")="NSSMC"),"NSC","")</f>
        <v/>
      </c>
    </row>
    <row r="137" spans="10:65" ht="26.25" customHeight="1" x14ac:dyDescent="0.25">
      <c r="J137" s="52" t="str">
        <f t="shared" si="32"/>
        <v/>
      </c>
      <c r="K137" s="52" t="str">
        <f>IF(O137="","",VLOOKUP(U137,Data!O:AC,15,FALSE)/G137)</f>
        <v/>
      </c>
      <c r="X137" s="52">
        <f t="shared" si="33"/>
        <v>0</v>
      </c>
      <c r="Z137" s="52">
        <f t="shared" si="34"/>
        <v>0</v>
      </c>
      <c r="AZ137" s="52" t="str">
        <f>_xlfn.IFNA(VLOOKUP(U137,'GRPO Wiz'!AP:BT,17,FALSE),"")</f>
        <v/>
      </c>
      <c r="BA137" s="52" t="str">
        <f>_xlfn.IFNA(VLOOKUP(U137,'GRPO Wiz'!AP:BT,18,FALSE),"")</f>
        <v/>
      </c>
      <c r="BB137" s="52" t="str">
        <f>_xlfn.IFNA(VLOOKUP(U137,'GRPO Wiz'!AP:BT,19,FALSE),"")</f>
        <v/>
      </c>
      <c r="BC137" s="52" t="str">
        <f>_xlfn.IFNA(VLOOKUP(U137,'GRPO Wiz'!AP:BT,20,FALSE),"")</f>
        <v/>
      </c>
      <c r="BD137" s="52" t="str">
        <f>_xlfn.IFNA(VLOOKUP(U137,'GRPO Wiz'!AP:BT,21,FALSE),"")</f>
        <v/>
      </c>
      <c r="BE137" s="52" t="str">
        <f>_xlfn.IFNA(LEFT((VLOOKUP(U137,'GRPO Wiz'!AP:BT,22,FALSE)),8),"")</f>
        <v/>
      </c>
      <c r="BF137" s="52" t="str">
        <f>_xlfn.IFNA(VLOOKUP(U137,'GRPO Wiz'!AP:BT,26,FALSE),"")</f>
        <v/>
      </c>
      <c r="BG137" s="57" t="str">
        <f>_xlfn.IFNA(VLOOKUP(U137,'GRPO Wiz'!AP:BQ,28,FALSE),"")</f>
        <v/>
      </c>
      <c r="BH137" s="52" t="str">
        <f>_xlfn.IFNA(VLOOKUP(U137,'GRPO Wiz'!AP:BN,25,FALSE),"")</f>
        <v/>
      </c>
      <c r="BI137" s="52" t="str">
        <f>_xlfn.IFNA(VLOOKUP(U137,'GRPO Wiz'!AP:BT,31,FALSE),"")</f>
        <v/>
      </c>
      <c r="BJ137" s="52" t="str">
        <f>_xlfn.IFNA(VLOOKUP(U137,'GRPO Wiz'!AP:BZ,32,FALSE),"")</f>
        <v/>
      </c>
      <c r="BK137" s="52" t="str">
        <f>_xlfn.IFNA(VLOOKUP(U137,'GRPO Wiz'!AP:BZ,27,FALSE),"")</f>
        <v/>
      </c>
      <c r="BL137" s="52" t="str">
        <f>_xlfn.IFNA(VALUE(VLOOKUP(U137,'GRPO Wiz'!AP:BZ,29,FALSE)),"")</f>
        <v/>
      </c>
      <c r="BM137" s="52" t="str">
        <f>IF(OR(_xlfn.IFNA(VLOOKUP(U137,'GRPO Wiz'!AP:BZ,33,FALSE),"")="NSC",_xlfn.IFNA(VLOOKUP(U137,'GRPO Wiz'!AP:BZ,33,FALSE),"")="NSSMC"),"NSC","")</f>
        <v/>
      </c>
    </row>
    <row r="138" spans="10:65" ht="26.25" customHeight="1" x14ac:dyDescent="0.25">
      <c r="J138" s="52" t="str">
        <f t="shared" si="32"/>
        <v/>
      </c>
      <c r="K138" s="52" t="str">
        <f>IF(O138="","",VLOOKUP(U138,Data!O:AC,15,FALSE)/G138)</f>
        <v/>
      </c>
      <c r="X138" s="52">
        <f t="shared" si="33"/>
        <v>0</v>
      </c>
      <c r="Z138" s="52">
        <f t="shared" si="34"/>
        <v>0</v>
      </c>
      <c r="AZ138" s="52" t="str">
        <f>_xlfn.IFNA(VLOOKUP(U138,'GRPO Wiz'!AP:BT,17,FALSE),"")</f>
        <v/>
      </c>
      <c r="BA138" s="52" t="str">
        <f>_xlfn.IFNA(VLOOKUP(U138,'GRPO Wiz'!AP:BT,18,FALSE),"")</f>
        <v/>
      </c>
      <c r="BB138" s="52" t="str">
        <f>_xlfn.IFNA(VLOOKUP(U138,'GRPO Wiz'!AP:BT,19,FALSE),"")</f>
        <v/>
      </c>
      <c r="BC138" s="52" t="str">
        <f>_xlfn.IFNA(VLOOKUP(U138,'GRPO Wiz'!AP:BT,20,FALSE),"")</f>
        <v/>
      </c>
      <c r="BD138" s="52" t="str">
        <f>_xlfn.IFNA(VLOOKUP(U138,'GRPO Wiz'!AP:BT,21,FALSE),"")</f>
        <v/>
      </c>
      <c r="BE138" s="52" t="str">
        <f>_xlfn.IFNA(LEFT((VLOOKUP(U138,'GRPO Wiz'!AP:BT,22,FALSE)),8),"")</f>
        <v/>
      </c>
      <c r="BF138" s="52" t="str">
        <f>_xlfn.IFNA(VLOOKUP(U138,'GRPO Wiz'!AP:BT,26,FALSE),"")</f>
        <v/>
      </c>
      <c r="BG138" s="57" t="str">
        <f>_xlfn.IFNA(VLOOKUP(U138,'GRPO Wiz'!AP:BQ,28,FALSE),"")</f>
        <v/>
      </c>
      <c r="BH138" s="52" t="str">
        <f>_xlfn.IFNA(VLOOKUP(U138,'GRPO Wiz'!AP:BN,25,FALSE),"")</f>
        <v/>
      </c>
      <c r="BI138" s="52" t="str">
        <f>_xlfn.IFNA(VLOOKUP(U138,'GRPO Wiz'!AP:BT,31,FALSE),"")</f>
        <v/>
      </c>
      <c r="BJ138" s="52" t="str">
        <f>_xlfn.IFNA(VLOOKUP(U138,'GRPO Wiz'!AP:BZ,32,FALSE),"")</f>
        <v/>
      </c>
      <c r="BK138" s="52" t="str">
        <f>_xlfn.IFNA(VLOOKUP(U138,'GRPO Wiz'!AP:BZ,27,FALSE),"")</f>
        <v/>
      </c>
      <c r="BL138" s="52" t="str">
        <f>_xlfn.IFNA(VALUE(VLOOKUP(U138,'GRPO Wiz'!AP:BZ,29,FALSE)),"")</f>
        <v/>
      </c>
      <c r="BM138" s="52" t="str">
        <f>IF(OR(_xlfn.IFNA(VLOOKUP(U138,'GRPO Wiz'!AP:BZ,33,FALSE),"")="NSC",_xlfn.IFNA(VLOOKUP(U138,'GRPO Wiz'!AP:BZ,33,FALSE),"")="NSSMC"),"NSC","")</f>
        <v/>
      </c>
    </row>
    <row r="139" spans="10:65" ht="26.25" customHeight="1" x14ac:dyDescent="0.25">
      <c r="J139" s="52" t="str">
        <f t="shared" si="32"/>
        <v/>
      </c>
      <c r="K139" s="52" t="str">
        <f>IF(O139="","",VLOOKUP(U139,Data!O:AC,15,FALSE)/G139)</f>
        <v/>
      </c>
      <c r="X139" s="52">
        <f t="shared" si="33"/>
        <v>0</v>
      </c>
      <c r="Z139" s="52">
        <f t="shared" si="34"/>
        <v>0</v>
      </c>
      <c r="AZ139" s="52" t="str">
        <f>_xlfn.IFNA(VLOOKUP(U139,'GRPO Wiz'!AP:BT,17,FALSE),"")</f>
        <v/>
      </c>
      <c r="BA139" s="52" t="str">
        <f>_xlfn.IFNA(VLOOKUP(U139,'GRPO Wiz'!AP:BT,18,FALSE),"")</f>
        <v/>
      </c>
      <c r="BB139" s="52" t="str">
        <f>_xlfn.IFNA(VLOOKUP(U139,'GRPO Wiz'!AP:BT,19,FALSE),"")</f>
        <v/>
      </c>
      <c r="BC139" s="52" t="str">
        <f>_xlfn.IFNA(VLOOKUP(U139,'GRPO Wiz'!AP:BT,20,FALSE),"")</f>
        <v/>
      </c>
      <c r="BD139" s="52" t="str">
        <f>_xlfn.IFNA(VLOOKUP(U139,'GRPO Wiz'!AP:BT,21,FALSE),"")</f>
        <v/>
      </c>
      <c r="BE139" s="52" t="str">
        <f>_xlfn.IFNA(LEFT((VLOOKUP(U139,'GRPO Wiz'!AP:BT,22,FALSE)),8),"")</f>
        <v/>
      </c>
      <c r="BF139" s="52" t="str">
        <f>_xlfn.IFNA(VLOOKUP(U139,'GRPO Wiz'!AP:BT,26,FALSE),"")</f>
        <v/>
      </c>
      <c r="BG139" s="57" t="str">
        <f>_xlfn.IFNA(VLOOKUP(U139,'GRPO Wiz'!AP:BQ,28,FALSE),"")</f>
        <v/>
      </c>
      <c r="BH139" s="52" t="str">
        <f>_xlfn.IFNA(VLOOKUP(U139,'GRPO Wiz'!AP:BN,25,FALSE),"")</f>
        <v/>
      </c>
      <c r="BI139" s="52" t="str">
        <f>_xlfn.IFNA(VLOOKUP(U139,'GRPO Wiz'!AP:BT,31,FALSE),"")</f>
        <v/>
      </c>
      <c r="BJ139" s="52" t="str">
        <f>_xlfn.IFNA(VLOOKUP(U139,'GRPO Wiz'!AP:BZ,32,FALSE),"")</f>
        <v/>
      </c>
      <c r="BK139" s="52" t="str">
        <f>_xlfn.IFNA(VLOOKUP(U139,'GRPO Wiz'!AP:BZ,27,FALSE),"")</f>
        <v/>
      </c>
      <c r="BL139" s="52" t="str">
        <f>_xlfn.IFNA(VALUE(VLOOKUP(U139,'GRPO Wiz'!AP:BZ,29,FALSE)),"")</f>
        <v/>
      </c>
      <c r="BM139" s="52" t="str">
        <f>IF(OR(_xlfn.IFNA(VLOOKUP(U139,'GRPO Wiz'!AP:BZ,33,FALSE),"")="NSC",_xlfn.IFNA(VLOOKUP(U139,'GRPO Wiz'!AP:BZ,33,FALSE),"")="NSSMC"),"NSC","")</f>
        <v/>
      </c>
    </row>
    <row r="140" spans="10:65" ht="26.25" customHeight="1" x14ac:dyDescent="0.25">
      <c r="J140" s="52" t="str">
        <f t="shared" si="32"/>
        <v/>
      </c>
      <c r="K140" s="52" t="str">
        <f>IF(O140="","",VLOOKUP(U140,Data!O:AC,15,FALSE)/G140)</f>
        <v/>
      </c>
      <c r="X140" s="52">
        <f t="shared" si="33"/>
        <v>0</v>
      </c>
      <c r="Z140" s="52">
        <f t="shared" si="34"/>
        <v>0</v>
      </c>
      <c r="AZ140" s="52" t="str">
        <f>_xlfn.IFNA(VLOOKUP(U140,'GRPO Wiz'!AP:BT,17,FALSE),"")</f>
        <v/>
      </c>
      <c r="BA140" s="52" t="str">
        <f>_xlfn.IFNA(VLOOKUP(U140,'GRPO Wiz'!AP:BT,18,FALSE),"")</f>
        <v/>
      </c>
      <c r="BB140" s="52" t="str">
        <f>_xlfn.IFNA(VLOOKUP(U140,'GRPO Wiz'!AP:BT,19,FALSE),"")</f>
        <v/>
      </c>
      <c r="BC140" s="52" t="str">
        <f>_xlfn.IFNA(VLOOKUP(U140,'GRPO Wiz'!AP:BT,20,FALSE),"")</f>
        <v/>
      </c>
      <c r="BD140" s="52" t="str">
        <f>_xlfn.IFNA(VLOOKUP(U140,'GRPO Wiz'!AP:BT,21,FALSE),"")</f>
        <v/>
      </c>
      <c r="BE140" s="52" t="str">
        <f>_xlfn.IFNA(LEFT((VLOOKUP(U140,'GRPO Wiz'!AP:BT,22,FALSE)),8),"")</f>
        <v/>
      </c>
      <c r="BF140" s="52" t="str">
        <f>_xlfn.IFNA(VLOOKUP(U140,'GRPO Wiz'!AP:BT,26,FALSE),"")</f>
        <v/>
      </c>
      <c r="BG140" s="57" t="str">
        <f>_xlfn.IFNA(VLOOKUP(U140,'GRPO Wiz'!AP:BQ,28,FALSE),"")</f>
        <v/>
      </c>
      <c r="BH140" s="52" t="str">
        <f>_xlfn.IFNA(VLOOKUP(U140,'GRPO Wiz'!AP:BN,25,FALSE),"")</f>
        <v/>
      </c>
      <c r="BI140" s="52" t="str">
        <f>_xlfn.IFNA(VLOOKUP(U140,'GRPO Wiz'!AP:BT,31,FALSE),"")</f>
        <v/>
      </c>
      <c r="BJ140" s="52" t="str">
        <f>_xlfn.IFNA(VLOOKUP(U140,'GRPO Wiz'!AP:BZ,32,FALSE),"")</f>
        <v/>
      </c>
      <c r="BK140" s="52" t="str">
        <f>_xlfn.IFNA(VLOOKUP(U140,'GRPO Wiz'!AP:BZ,27,FALSE),"")</f>
        <v/>
      </c>
      <c r="BL140" s="52" t="str">
        <f>_xlfn.IFNA(VALUE(VLOOKUP(U140,'GRPO Wiz'!AP:BZ,29,FALSE)),"")</f>
        <v/>
      </c>
      <c r="BM140" s="52" t="str">
        <f>IF(OR(_xlfn.IFNA(VLOOKUP(U140,'GRPO Wiz'!AP:BZ,33,FALSE),"")="NSC",_xlfn.IFNA(VLOOKUP(U140,'GRPO Wiz'!AP:BZ,33,FALSE),"")="NSSMC"),"NSC","")</f>
        <v/>
      </c>
    </row>
    <row r="141" spans="10:65" ht="26.25" customHeight="1" x14ac:dyDescent="0.25">
      <c r="J141" s="52" t="str">
        <f t="shared" si="32"/>
        <v/>
      </c>
      <c r="K141" s="52" t="str">
        <f>IF(O141="","",VLOOKUP(U141,Data!O:AC,15,FALSE)/G141)</f>
        <v/>
      </c>
      <c r="X141" s="52">
        <f t="shared" si="33"/>
        <v>0</v>
      </c>
      <c r="Z141" s="52">
        <f t="shared" si="34"/>
        <v>0</v>
      </c>
      <c r="AZ141" s="52" t="str">
        <f>_xlfn.IFNA(VLOOKUP(U141,'GRPO Wiz'!AP:BT,17,FALSE),"")</f>
        <v/>
      </c>
      <c r="BA141" s="52" t="str">
        <f>_xlfn.IFNA(VLOOKUP(U141,'GRPO Wiz'!AP:BT,18,FALSE),"")</f>
        <v/>
      </c>
      <c r="BB141" s="52" t="str">
        <f>_xlfn.IFNA(VLOOKUP(U141,'GRPO Wiz'!AP:BT,19,FALSE),"")</f>
        <v/>
      </c>
      <c r="BC141" s="52" t="str">
        <f>_xlfn.IFNA(VLOOKUP(U141,'GRPO Wiz'!AP:BT,20,FALSE),"")</f>
        <v/>
      </c>
      <c r="BD141" s="52" t="str">
        <f>_xlfn.IFNA(VLOOKUP(U141,'GRPO Wiz'!AP:BT,21,FALSE),"")</f>
        <v/>
      </c>
      <c r="BE141" s="52" t="str">
        <f>_xlfn.IFNA(LEFT((VLOOKUP(U141,'GRPO Wiz'!AP:BT,22,FALSE)),8),"")</f>
        <v/>
      </c>
      <c r="BF141" s="52" t="str">
        <f>_xlfn.IFNA(VLOOKUP(U141,'GRPO Wiz'!AP:BT,26,FALSE),"")</f>
        <v/>
      </c>
      <c r="BG141" s="57" t="str">
        <f>_xlfn.IFNA(VLOOKUP(U141,'GRPO Wiz'!AP:BQ,28,FALSE),"")</f>
        <v/>
      </c>
      <c r="BH141" s="52" t="str">
        <f>_xlfn.IFNA(VLOOKUP(U141,'GRPO Wiz'!AP:BN,25,FALSE),"")</f>
        <v/>
      </c>
      <c r="BI141" s="52" t="str">
        <f>_xlfn.IFNA(VLOOKUP(U141,'GRPO Wiz'!AP:BT,31,FALSE),"")</f>
        <v/>
      </c>
      <c r="BJ141" s="52" t="str">
        <f>_xlfn.IFNA(VLOOKUP(U141,'GRPO Wiz'!AP:BZ,32,FALSE),"")</f>
        <v/>
      </c>
      <c r="BK141" s="52" t="str">
        <f>_xlfn.IFNA(VLOOKUP(U141,'GRPO Wiz'!AP:BZ,27,FALSE),"")</f>
        <v/>
      </c>
      <c r="BL141" s="52" t="str">
        <f>_xlfn.IFNA(VALUE(VLOOKUP(U141,'GRPO Wiz'!AP:BZ,29,FALSE)),"")</f>
        <v/>
      </c>
      <c r="BM141" s="52" t="str">
        <f>IF(OR(_xlfn.IFNA(VLOOKUP(U141,'GRPO Wiz'!AP:BZ,33,FALSE),"")="NSC",_xlfn.IFNA(VLOOKUP(U141,'GRPO Wiz'!AP:BZ,33,FALSE),"")="NSSMC"),"NSC","")</f>
        <v/>
      </c>
    </row>
    <row r="142" spans="10:65" ht="26.25" customHeight="1" x14ac:dyDescent="0.25">
      <c r="J142" s="52" t="str">
        <f t="shared" si="32"/>
        <v/>
      </c>
      <c r="K142" s="52" t="str">
        <f>IF(O142="","",VLOOKUP(U142,Data!O:AC,15,FALSE)/G142)</f>
        <v/>
      </c>
      <c r="X142" s="52">
        <f t="shared" si="33"/>
        <v>0</v>
      </c>
      <c r="Z142" s="52">
        <f t="shared" si="34"/>
        <v>0</v>
      </c>
      <c r="AZ142" s="52" t="str">
        <f>_xlfn.IFNA(VLOOKUP(U142,'GRPO Wiz'!AP:BT,17,FALSE),"")</f>
        <v/>
      </c>
      <c r="BA142" s="52" t="str">
        <f>_xlfn.IFNA(VLOOKUP(U142,'GRPO Wiz'!AP:BT,18,FALSE),"")</f>
        <v/>
      </c>
      <c r="BB142" s="52" t="str">
        <f>_xlfn.IFNA(VLOOKUP(U142,'GRPO Wiz'!AP:BT,19,FALSE),"")</f>
        <v/>
      </c>
      <c r="BC142" s="52" t="str">
        <f>_xlfn.IFNA(VLOOKUP(U142,'GRPO Wiz'!AP:BT,20,FALSE),"")</f>
        <v/>
      </c>
      <c r="BD142" s="52" t="str">
        <f>_xlfn.IFNA(VLOOKUP(U142,'GRPO Wiz'!AP:BT,21,FALSE),"")</f>
        <v/>
      </c>
      <c r="BE142" s="52" t="str">
        <f>_xlfn.IFNA(LEFT((VLOOKUP(U142,'GRPO Wiz'!AP:BT,22,FALSE)),8),"")</f>
        <v/>
      </c>
      <c r="BF142" s="52" t="str">
        <f>_xlfn.IFNA(VLOOKUP(U142,'GRPO Wiz'!AP:BT,26,FALSE),"")</f>
        <v/>
      </c>
      <c r="BG142" s="57" t="str">
        <f>_xlfn.IFNA(VLOOKUP(U142,'GRPO Wiz'!AP:BQ,28,FALSE),"")</f>
        <v/>
      </c>
      <c r="BH142" s="52" t="str">
        <f>_xlfn.IFNA(VLOOKUP(U142,'GRPO Wiz'!AP:BN,25,FALSE),"")</f>
        <v/>
      </c>
      <c r="BI142" s="52" t="str">
        <f>_xlfn.IFNA(VLOOKUP(U142,'GRPO Wiz'!AP:BT,31,FALSE),"")</f>
        <v/>
      </c>
      <c r="BJ142" s="52" t="str">
        <f>_xlfn.IFNA(VLOOKUP(U142,'GRPO Wiz'!AP:BZ,32,FALSE),"")</f>
        <v/>
      </c>
      <c r="BK142" s="52" t="str">
        <f>_xlfn.IFNA(VLOOKUP(U142,'GRPO Wiz'!AP:BZ,27,FALSE),"")</f>
        <v/>
      </c>
      <c r="BL142" s="52" t="str">
        <f>_xlfn.IFNA(VALUE(VLOOKUP(U142,'GRPO Wiz'!AP:BZ,29,FALSE)),"")</f>
        <v/>
      </c>
      <c r="BM142" s="52" t="str">
        <f>IF(OR(_xlfn.IFNA(VLOOKUP(U142,'GRPO Wiz'!AP:BZ,33,FALSE),"")="NSC",_xlfn.IFNA(VLOOKUP(U142,'GRPO Wiz'!AP:BZ,33,FALSE),"")="NSSMC"),"NSC","")</f>
        <v/>
      </c>
    </row>
    <row r="143" spans="10:65" ht="26.25" customHeight="1" x14ac:dyDescent="0.25">
      <c r="J143" s="52" t="str">
        <f t="shared" si="32"/>
        <v/>
      </c>
      <c r="K143" s="52" t="str">
        <f>IF(O143="","",VLOOKUP(U143,Data!O:AC,15,FALSE)/G143)</f>
        <v/>
      </c>
      <c r="X143" s="52">
        <f t="shared" si="33"/>
        <v>0</v>
      </c>
      <c r="Z143" s="52">
        <f t="shared" si="34"/>
        <v>0</v>
      </c>
      <c r="AZ143" s="52" t="str">
        <f>_xlfn.IFNA(VLOOKUP(U143,'GRPO Wiz'!AP:BT,17,FALSE),"")</f>
        <v/>
      </c>
      <c r="BA143" s="52" t="str">
        <f>_xlfn.IFNA(VLOOKUP(U143,'GRPO Wiz'!AP:BT,18,FALSE),"")</f>
        <v/>
      </c>
      <c r="BB143" s="52" t="str">
        <f>_xlfn.IFNA(VLOOKUP(U143,'GRPO Wiz'!AP:BT,19,FALSE),"")</f>
        <v/>
      </c>
      <c r="BC143" s="52" t="str">
        <f>_xlfn.IFNA(VLOOKUP(U143,'GRPO Wiz'!AP:BT,20,FALSE),"")</f>
        <v/>
      </c>
      <c r="BD143" s="52" t="str">
        <f>_xlfn.IFNA(VLOOKUP(U143,'GRPO Wiz'!AP:BT,21,FALSE),"")</f>
        <v/>
      </c>
      <c r="BE143" s="52" t="str">
        <f>_xlfn.IFNA(LEFT((VLOOKUP(U143,'GRPO Wiz'!AP:BT,22,FALSE)),8),"")</f>
        <v/>
      </c>
      <c r="BF143" s="52" t="str">
        <f>_xlfn.IFNA(VLOOKUP(U143,'GRPO Wiz'!AP:BT,26,FALSE),"")</f>
        <v/>
      </c>
      <c r="BG143" s="57" t="str">
        <f>_xlfn.IFNA(VLOOKUP(U143,'GRPO Wiz'!AP:BQ,28,FALSE),"")</f>
        <v/>
      </c>
      <c r="BH143" s="52" t="str">
        <f>_xlfn.IFNA(VLOOKUP(U143,'GRPO Wiz'!AP:BN,25,FALSE),"")</f>
        <v/>
      </c>
      <c r="BI143" s="52" t="str">
        <f>_xlfn.IFNA(VLOOKUP(U143,'GRPO Wiz'!AP:BT,31,FALSE),"")</f>
        <v/>
      </c>
      <c r="BJ143" s="52" t="str">
        <f>_xlfn.IFNA(VLOOKUP(U143,'GRPO Wiz'!AP:BZ,32,FALSE),"")</f>
        <v/>
      </c>
      <c r="BK143" s="52" t="str">
        <f>_xlfn.IFNA(VLOOKUP(U143,'GRPO Wiz'!AP:BZ,27,FALSE),"")</f>
        <v/>
      </c>
      <c r="BL143" s="52" t="str">
        <f>_xlfn.IFNA(VALUE(VLOOKUP(U143,'GRPO Wiz'!AP:BZ,29,FALSE)),"")</f>
        <v/>
      </c>
      <c r="BM143" s="52" t="str">
        <f>IF(OR(_xlfn.IFNA(VLOOKUP(U143,'GRPO Wiz'!AP:BZ,33,FALSE),"")="NSC",_xlfn.IFNA(VLOOKUP(U143,'GRPO Wiz'!AP:BZ,33,FALSE),"")="NSSMC"),"NSC","")</f>
        <v/>
      </c>
    </row>
    <row r="144" spans="10:65" ht="26.25" customHeight="1" x14ac:dyDescent="0.25">
      <c r="J144" s="52" t="str">
        <f t="shared" si="32"/>
        <v/>
      </c>
      <c r="K144" s="52" t="str">
        <f>IF(O144="","",VLOOKUP(U144,Data!O:AC,15,FALSE)/G144)</f>
        <v/>
      </c>
      <c r="X144" s="52">
        <f t="shared" si="33"/>
        <v>0</v>
      </c>
      <c r="Z144" s="52">
        <f t="shared" si="34"/>
        <v>0</v>
      </c>
      <c r="AZ144" s="52" t="str">
        <f>_xlfn.IFNA(VLOOKUP(U144,'GRPO Wiz'!AP:BT,17,FALSE),"")</f>
        <v/>
      </c>
      <c r="BA144" s="52" t="str">
        <f>_xlfn.IFNA(VLOOKUP(U144,'GRPO Wiz'!AP:BT,18,FALSE),"")</f>
        <v/>
      </c>
      <c r="BB144" s="52" t="str">
        <f>_xlfn.IFNA(VLOOKUP(U144,'GRPO Wiz'!AP:BT,19,FALSE),"")</f>
        <v/>
      </c>
      <c r="BC144" s="52" t="str">
        <f>_xlfn.IFNA(VLOOKUP(U144,'GRPO Wiz'!AP:BT,20,FALSE),"")</f>
        <v/>
      </c>
      <c r="BD144" s="52" t="str">
        <f>_xlfn.IFNA(VLOOKUP(U144,'GRPO Wiz'!AP:BT,21,FALSE),"")</f>
        <v/>
      </c>
      <c r="BE144" s="52" t="str">
        <f>_xlfn.IFNA(LEFT((VLOOKUP(U144,'GRPO Wiz'!AP:BT,22,FALSE)),8),"")</f>
        <v/>
      </c>
      <c r="BF144" s="52" t="str">
        <f>_xlfn.IFNA(VLOOKUP(U144,'GRPO Wiz'!AP:BT,26,FALSE),"")</f>
        <v/>
      </c>
      <c r="BG144" s="57" t="str">
        <f>_xlfn.IFNA(VLOOKUP(U144,'GRPO Wiz'!AP:BQ,28,FALSE),"")</f>
        <v/>
      </c>
      <c r="BH144" s="52" t="str">
        <f>_xlfn.IFNA(VLOOKUP(U144,'GRPO Wiz'!AP:BN,25,FALSE),"")</f>
        <v/>
      </c>
      <c r="BI144" s="52" t="str">
        <f>_xlfn.IFNA(VLOOKUP(U144,'GRPO Wiz'!AP:BT,31,FALSE),"")</f>
        <v/>
      </c>
      <c r="BJ144" s="52" t="str">
        <f>_xlfn.IFNA(VLOOKUP(U144,'GRPO Wiz'!AP:BZ,32,FALSE),"")</f>
        <v/>
      </c>
      <c r="BK144" s="52" t="str">
        <f>_xlfn.IFNA(VLOOKUP(U144,'GRPO Wiz'!AP:BZ,27,FALSE),"")</f>
        <v/>
      </c>
      <c r="BL144" s="52" t="str">
        <f>_xlfn.IFNA(VALUE(VLOOKUP(U144,'GRPO Wiz'!AP:BZ,29,FALSE)),"")</f>
        <v/>
      </c>
      <c r="BM144" s="52" t="str">
        <f>IF(OR(_xlfn.IFNA(VLOOKUP(U144,'GRPO Wiz'!AP:BZ,33,FALSE),"")="NSC",_xlfn.IFNA(VLOOKUP(U144,'GRPO Wiz'!AP:BZ,33,FALSE),"")="NSSMC"),"NSC","")</f>
        <v/>
      </c>
    </row>
    <row r="145" spans="10:65" ht="26.25" customHeight="1" x14ac:dyDescent="0.25">
      <c r="J145" s="52" t="str">
        <f t="shared" si="32"/>
        <v/>
      </c>
      <c r="K145" s="52" t="str">
        <f>IF(O145="","",VLOOKUP(U145,Data!O:AC,15,FALSE)/G145)</f>
        <v/>
      </c>
      <c r="X145" s="52">
        <f t="shared" si="33"/>
        <v>0</v>
      </c>
      <c r="Z145" s="52">
        <f t="shared" si="34"/>
        <v>0</v>
      </c>
      <c r="AZ145" s="52" t="str">
        <f>_xlfn.IFNA(VLOOKUP(U145,'GRPO Wiz'!AP:BT,17,FALSE),"")</f>
        <v/>
      </c>
      <c r="BA145" s="52" t="str">
        <f>_xlfn.IFNA(VLOOKUP(U145,'GRPO Wiz'!AP:BT,18,FALSE),"")</f>
        <v/>
      </c>
      <c r="BB145" s="52" t="str">
        <f>_xlfn.IFNA(VLOOKUP(U145,'GRPO Wiz'!AP:BT,19,FALSE),"")</f>
        <v/>
      </c>
      <c r="BC145" s="52" t="str">
        <f>_xlfn.IFNA(VLOOKUP(U145,'GRPO Wiz'!AP:BT,20,FALSE),"")</f>
        <v/>
      </c>
      <c r="BD145" s="52" t="str">
        <f>_xlfn.IFNA(VLOOKUP(U145,'GRPO Wiz'!AP:BT,21,FALSE),"")</f>
        <v/>
      </c>
      <c r="BE145" s="52" t="str">
        <f>_xlfn.IFNA(LEFT((VLOOKUP(U145,'GRPO Wiz'!AP:BT,22,FALSE)),8),"")</f>
        <v/>
      </c>
      <c r="BF145" s="52" t="str">
        <f>_xlfn.IFNA(VLOOKUP(U145,'GRPO Wiz'!AP:BT,26,FALSE),"")</f>
        <v/>
      </c>
      <c r="BG145" s="57" t="str">
        <f>_xlfn.IFNA(VLOOKUP(U145,'GRPO Wiz'!AP:BQ,28,FALSE),"")</f>
        <v/>
      </c>
      <c r="BH145" s="52" t="str">
        <f>_xlfn.IFNA(VLOOKUP(U145,'GRPO Wiz'!AP:BN,25,FALSE),"")</f>
        <v/>
      </c>
      <c r="BI145" s="52" t="str">
        <f>_xlfn.IFNA(VLOOKUP(U145,'GRPO Wiz'!AP:BT,31,FALSE),"")</f>
        <v/>
      </c>
      <c r="BJ145" s="52" t="str">
        <f>_xlfn.IFNA(VLOOKUP(U145,'GRPO Wiz'!AP:BZ,32,FALSE),"")</f>
        <v/>
      </c>
      <c r="BK145" s="52" t="str">
        <f>_xlfn.IFNA(VLOOKUP(U145,'GRPO Wiz'!AP:BZ,27,FALSE),"")</f>
        <v/>
      </c>
      <c r="BL145" s="52" t="str">
        <f>_xlfn.IFNA(VALUE(VLOOKUP(U145,'GRPO Wiz'!AP:BZ,29,FALSE)),"")</f>
        <v/>
      </c>
      <c r="BM145" s="52" t="str">
        <f>IF(OR(_xlfn.IFNA(VLOOKUP(U145,'GRPO Wiz'!AP:BZ,33,FALSE),"")="NSC",_xlfn.IFNA(VLOOKUP(U145,'GRPO Wiz'!AP:BZ,33,FALSE),"")="NSSMC"),"NSC","")</f>
        <v/>
      </c>
    </row>
    <row r="146" spans="10:65" ht="26.25" customHeight="1" x14ac:dyDescent="0.25">
      <c r="J146" s="52" t="str">
        <f t="shared" si="32"/>
        <v/>
      </c>
      <c r="K146" s="52" t="str">
        <f>IF(O146="","",VLOOKUP(U146,Data!O:AC,15,FALSE)/G146)</f>
        <v/>
      </c>
      <c r="X146" s="52">
        <f t="shared" si="33"/>
        <v>0</v>
      </c>
      <c r="Z146" s="52">
        <f t="shared" si="34"/>
        <v>0</v>
      </c>
      <c r="AZ146" s="52" t="str">
        <f>_xlfn.IFNA(VLOOKUP(U146,'GRPO Wiz'!AP:BT,17,FALSE),"")</f>
        <v/>
      </c>
      <c r="BA146" s="52" t="str">
        <f>_xlfn.IFNA(VLOOKUP(U146,'GRPO Wiz'!AP:BT,18,FALSE),"")</f>
        <v/>
      </c>
      <c r="BB146" s="52" t="str">
        <f>_xlfn.IFNA(VLOOKUP(U146,'GRPO Wiz'!AP:BT,19,FALSE),"")</f>
        <v/>
      </c>
      <c r="BC146" s="52" t="str">
        <f>_xlfn.IFNA(VLOOKUP(U146,'GRPO Wiz'!AP:BT,20,FALSE),"")</f>
        <v/>
      </c>
      <c r="BD146" s="52" t="str">
        <f>_xlfn.IFNA(VLOOKUP(U146,'GRPO Wiz'!AP:BT,21,FALSE),"")</f>
        <v/>
      </c>
      <c r="BE146" s="52" t="str">
        <f>_xlfn.IFNA(LEFT((VLOOKUP(U146,'GRPO Wiz'!AP:BT,22,FALSE)),8),"")</f>
        <v/>
      </c>
      <c r="BF146" s="52" t="str">
        <f>_xlfn.IFNA(VLOOKUP(U146,'GRPO Wiz'!AP:BT,26,FALSE),"")</f>
        <v/>
      </c>
      <c r="BG146" s="57" t="str">
        <f>_xlfn.IFNA(VLOOKUP(U146,'GRPO Wiz'!AP:BQ,28,FALSE),"")</f>
        <v/>
      </c>
      <c r="BH146" s="52" t="str">
        <f>_xlfn.IFNA(VLOOKUP(U146,'GRPO Wiz'!AP:BN,25,FALSE),"")</f>
        <v/>
      </c>
      <c r="BI146" s="52" t="str">
        <f>_xlfn.IFNA(VLOOKUP(U146,'GRPO Wiz'!AP:BT,31,FALSE),"")</f>
        <v/>
      </c>
      <c r="BJ146" s="52" t="str">
        <f>_xlfn.IFNA(VLOOKUP(U146,'GRPO Wiz'!AP:BZ,32,FALSE),"")</f>
        <v/>
      </c>
      <c r="BK146" s="52" t="str">
        <f>_xlfn.IFNA(VLOOKUP(U146,'GRPO Wiz'!AP:BZ,27,FALSE),"")</f>
        <v/>
      </c>
      <c r="BL146" s="52" t="str">
        <f>_xlfn.IFNA(VALUE(VLOOKUP(U146,'GRPO Wiz'!AP:BZ,29,FALSE)),"")</f>
        <v/>
      </c>
      <c r="BM146" s="52" t="str">
        <f>IF(OR(_xlfn.IFNA(VLOOKUP(U146,'GRPO Wiz'!AP:BZ,33,FALSE),"")="NSC",_xlfn.IFNA(VLOOKUP(U146,'GRPO Wiz'!AP:BZ,33,FALSE),"")="NSSMC"),"NSC","")</f>
        <v/>
      </c>
    </row>
    <row r="147" spans="10:65" ht="26.25" customHeight="1" x14ac:dyDescent="0.25">
      <c r="J147" s="52" t="str">
        <f t="shared" si="32"/>
        <v/>
      </c>
      <c r="K147" s="52" t="str">
        <f>IF(O147="","",VLOOKUP(U147,Data!O:AC,15,FALSE)/G147)</f>
        <v/>
      </c>
      <c r="X147" s="52">
        <f t="shared" si="33"/>
        <v>0</v>
      </c>
      <c r="Z147" s="52">
        <f t="shared" si="34"/>
        <v>0</v>
      </c>
      <c r="AZ147" s="52" t="str">
        <f>_xlfn.IFNA(VLOOKUP(U147,'GRPO Wiz'!AP:BT,17,FALSE),"")</f>
        <v/>
      </c>
      <c r="BA147" s="52" t="str">
        <f>_xlfn.IFNA(VLOOKUP(U147,'GRPO Wiz'!AP:BT,18,FALSE),"")</f>
        <v/>
      </c>
      <c r="BB147" s="52" t="str">
        <f>_xlfn.IFNA(VLOOKUP(U147,'GRPO Wiz'!AP:BT,19,FALSE),"")</f>
        <v/>
      </c>
      <c r="BC147" s="52" t="str">
        <f>_xlfn.IFNA(VLOOKUP(U147,'GRPO Wiz'!AP:BT,20,FALSE),"")</f>
        <v/>
      </c>
      <c r="BD147" s="52" t="str">
        <f>_xlfn.IFNA(VLOOKUP(U147,'GRPO Wiz'!AP:BT,21,FALSE),"")</f>
        <v/>
      </c>
      <c r="BE147" s="52" t="str">
        <f>_xlfn.IFNA(LEFT((VLOOKUP(U147,'GRPO Wiz'!AP:BT,22,FALSE)),8),"")</f>
        <v/>
      </c>
      <c r="BF147" s="52" t="str">
        <f>_xlfn.IFNA(VLOOKUP(U147,'GRPO Wiz'!AP:BT,26,FALSE),"")</f>
        <v/>
      </c>
      <c r="BG147" s="57" t="str">
        <f>_xlfn.IFNA(VLOOKUP(U147,'GRPO Wiz'!AP:BQ,28,FALSE),"")</f>
        <v/>
      </c>
      <c r="BH147" s="52" t="str">
        <f>_xlfn.IFNA(VLOOKUP(U147,'GRPO Wiz'!AP:BN,25,FALSE),"")</f>
        <v/>
      </c>
      <c r="BI147" s="52" t="str">
        <f>_xlfn.IFNA(VLOOKUP(U147,'GRPO Wiz'!AP:BT,31,FALSE),"")</f>
        <v/>
      </c>
      <c r="BJ147" s="52" t="str">
        <f>_xlfn.IFNA(VLOOKUP(U147,'GRPO Wiz'!AP:BZ,32,FALSE),"")</f>
        <v/>
      </c>
      <c r="BK147" s="52" t="str">
        <f>_xlfn.IFNA(VLOOKUP(U147,'GRPO Wiz'!AP:BZ,27,FALSE),"")</f>
        <v/>
      </c>
      <c r="BL147" s="52" t="str">
        <f>_xlfn.IFNA(VALUE(VLOOKUP(U147,'GRPO Wiz'!AP:BZ,29,FALSE)),"")</f>
        <v/>
      </c>
      <c r="BM147" s="52" t="str">
        <f>IF(OR(_xlfn.IFNA(VLOOKUP(U147,'GRPO Wiz'!AP:BZ,33,FALSE),"")="NSC",_xlfn.IFNA(VLOOKUP(U147,'GRPO Wiz'!AP:BZ,33,FALSE),"")="NSSMC"),"NSC","")</f>
        <v/>
      </c>
    </row>
    <row r="148" spans="10:65" ht="26.25" customHeight="1" x14ac:dyDescent="0.25">
      <c r="J148" s="52" t="str">
        <f t="shared" si="32"/>
        <v/>
      </c>
      <c r="K148" s="52" t="str">
        <f>IF(O148="","",VLOOKUP(U148,Data!O:AC,15,FALSE)/G148)</f>
        <v/>
      </c>
      <c r="X148" s="52">
        <f t="shared" si="33"/>
        <v>0</v>
      </c>
      <c r="Z148" s="52">
        <f t="shared" si="34"/>
        <v>0</v>
      </c>
      <c r="AZ148" s="52" t="str">
        <f>_xlfn.IFNA(VLOOKUP(U148,'GRPO Wiz'!AP:BT,17,FALSE),"")</f>
        <v/>
      </c>
      <c r="BA148" s="52" t="str">
        <f>_xlfn.IFNA(VLOOKUP(U148,'GRPO Wiz'!AP:BT,18,FALSE),"")</f>
        <v/>
      </c>
      <c r="BB148" s="52" t="str">
        <f>_xlfn.IFNA(VLOOKUP(U148,'GRPO Wiz'!AP:BT,19,FALSE),"")</f>
        <v/>
      </c>
      <c r="BC148" s="52" t="str">
        <f>_xlfn.IFNA(VLOOKUP(U148,'GRPO Wiz'!AP:BT,20,FALSE),"")</f>
        <v/>
      </c>
      <c r="BD148" s="52" t="str">
        <f>_xlfn.IFNA(VLOOKUP(U148,'GRPO Wiz'!AP:BT,21,FALSE),"")</f>
        <v/>
      </c>
      <c r="BE148" s="52" t="str">
        <f>_xlfn.IFNA(LEFT((VLOOKUP(U148,'GRPO Wiz'!AP:BT,22,FALSE)),8),"")</f>
        <v/>
      </c>
      <c r="BF148" s="52" t="str">
        <f>_xlfn.IFNA(VLOOKUP(U148,'GRPO Wiz'!AP:BT,26,FALSE),"")</f>
        <v/>
      </c>
      <c r="BG148" s="57" t="str">
        <f>_xlfn.IFNA(VLOOKUP(U148,'GRPO Wiz'!AP:BQ,28,FALSE),"")</f>
        <v/>
      </c>
      <c r="BH148" s="52" t="str">
        <f>_xlfn.IFNA(VLOOKUP(U148,'GRPO Wiz'!AP:BN,25,FALSE),"")</f>
        <v/>
      </c>
      <c r="BI148" s="52" t="str">
        <f>_xlfn.IFNA(VLOOKUP(U148,'GRPO Wiz'!AP:BT,31,FALSE),"")</f>
        <v/>
      </c>
      <c r="BJ148" s="52" t="str">
        <f>_xlfn.IFNA(VLOOKUP(U148,'GRPO Wiz'!AP:BZ,32,FALSE),"")</f>
        <v/>
      </c>
      <c r="BK148" s="52" t="str">
        <f>_xlfn.IFNA(VLOOKUP(U148,'GRPO Wiz'!AP:BZ,27,FALSE),"")</f>
        <v/>
      </c>
      <c r="BL148" s="52" t="str">
        <f>_xlfn.IFNA(VALUE(VLOOKUP(U148,'GRPO Wiz'!AP:BZ,29,FALSE)),"")</f>
        <v/>
      </c>
      <c r="BM148" s="52" t="str">
        <f>IF(OR(_xlfn.IFNA(VLOOKUP(U148,'GRPO Wiz'!AP:BZ,33,FALSE),"")="NSC",_xlfn.IFNA(VLOOKUP(U148,'GRPO Wiz'!AP:BZ,33,FALSE),"")="NSSMC"),"NSC","")</f>
        <v/>
      </c>
    </row>
    <row r="149" spans="10:65" ht="26.25" customHeight="1" x14ac:dyDescent="0.25">
      <c r="J149" s="52" t="str">
        <f t="shared" si="32"/>
        <v/>
      </c>
      <c r="K149" s="52" t="str">
        <f>IF(O149="","",VLOOKUP(U149,Data!O:AC,15,FALSE)/G149)</f>
        <v/>
      </c>
      <c r="X149" s="52">
        <f t="shared" si="33"/>
        <v>0</v>
      </c>
      <c r="Z149" s="52">
        <f t="shared" si="34"/>
        <v>0</v>
      </c>
      <c r="AZ149" s="52" t="str">
        <f>_xlfn.IFNA(VLOOKUP(U149,'GRPO Wiz'!AP:BT,17,FALSE),"")</f>
        <v/>
      </c>
      <c r="BA149" s="52" t="str">
        <f>_xlfn.IFNA(VLOOKUP(U149,'GRPO Wiz'!AP:BT,18,FALSE),"")</f>
        <v/>
      </c>
      <c r="BB149" s="52" t="str">
        <f>_xlfn.IFNA(VLOOKUP(U149,'GRPO Wiz'!AP:BT,19,FALSE),"")</f>
        <v/>
      </c>
      <c r="BC149" s="52" t="str">
        <f>_xlfn.IFNA(VLOOKUP(U149,'GRPO Wiz'!AP:BT,20,FALSE),"")</f>
        <v/>
      </c>
      <c r="BD149" s="52" t="str">
        <f>_xlfn.IFNA(VLOOKUP(U149,'GRPO Wiz'!AP:BT,21,FALSE),"")</f>
        <v/>
      </c>
      <c r="BE149" s="52" t="str">
        <f>_xlfn.IFNA(LEFT((VLOOKUP(U149,'GRPO Wiz'!AP:BT,22,FALSE)),8),"")</f>
        <v/>
      </c>
      <c r="BF149" s="52" t="str">
        <f>_xlfn.IFNA(VLOOKUP(U149,'GRPO Wiz'!AP:BT,26,FALSE),"")</f>
        <v/>
      </c>
      <c r="BG149" s="57" t="str">
        <f>_xlfn.IFNA(VLOOKUP(U149,'GRPO Wiz'!AP:BQ,28,FALSE),"")</f>
        <v/>
      </c>
      <c r="BH149" s="52" t="str">
        <f>_xlfn.IFNA(VLOOKUP(U149,'GRPO Wiz'!AP:BN,25,FALSE),"")</f>
        <v/>
      </c>
      <c r="BI149" s="52" t="str">
        <f>_xlfn.IFNA(VLOOKUP(U149,'GRPO Wiz'!AP:BT,31,FALSE),"")</f>
        <v/>
      </c>
      <c r="BJ149" s="52" t="str">
        <f>_xlfn.IFNA(VLOOKUP(U149,'GRPO Wiz'!AP:BZ,32,FALSE),"")</f>
        <v/>
      </c>
      <c r="BK149" s="52" t="str">
        <f>_xlfn.IFNA(VLOOKUP(U149,'GRPO Wiz'!AP:BZ,27,FALSE),"")</f>
        <v/>
      </c>
      <c r="BL149" s="52" t="str">
        <f>_xlfn.IFNA(VALUE(VLOOKUP(U149,'GRPO Wiz'!AP:BZ,29,FALSE)),"")</f>
        <v/>
      </c>
      <c r="BM149" s="52" t="str">
        <f>IF(OR(_xlfn.IFNA(VLOOKUP(U149,'GRPO Wiz'!AP:BZ,33,FALSE),"")="NSC",_xlfn.IFNA(VLOOKUP(U149,'GRPO Wiz'!AP:BZ,33,FALSE),"")="NSSMC"),"NSC","")</f>
        <v/>
      </c>
    </row>
    <row r="150" spans="10:65" ht="26.25" customHeight="1" x14ac:dyDescent="0.25">
      <c r="J150" s="52" t="str">
        <f t="shared" si="32"/>
        <v/>
      </c>
      <c r="K150" s="52" t="str">
        <f>IF(O150="","",VLOOKUP(U150,Data!O:AC,15,FALSE)/G150)</f>
        <v/>
      </c>
      <c r="X150" s="52">
        <f t="shared" si="33"/>
        <v>0</v>
      </c>
      <c r="Z150" s="52">
        <f t="shared" si="34"/>
        <v>0</v>
      </c>
      <c r="AZ150" s="52" t="str">
        <f>_xlfn.IFNA(VLOOKUP(U150,'GRPO Wiz'!AP:BT,17,FALSE),"")</f>
        <v/>
      </c>
      <c r="BA150" s="52" t="str">
        <f>_xlfn.IFNA(VLOOKUP(U150,'GRPO Wiz'!AP:BT,18,FALSE),"")</f>
        <v/>
      </c>
      <c r="BB150" s="52" t="str">
        <f>_xlfn.IFNA(VLOOKUP(U150,'GRPO Wiz'!AP:BT,19,FALSE),"")</f>
        <v/>
      </c>
      <c r="BC150" s="52" t="str">
        <f>_xlfn.IFNA(VLOOKUP(U150,'GRPO Wiz'!AP:BT,20,FALSE),"")</f>
        <v/>
      </c>
      <c r="BD150" s="52" t="str">
        <f>_xlfn.IFNA(VLOOKUP(U150,'GRPO Wiz'!AP:BT,21,FALSE),"")</f>
        <v/>
      </c>
      <c r="BE150" s="52" t="str">
        <f>_xlfn.IFNA(LEFT((VLOOKUP(U150,'GRPO Wiz'!AP:BT,22,FALSE)),8),"")</f>
        <v/>
      </c>
      <c r="BF150" s="52" t="str">
        <f>_xlfn.IFNA(VLOOKUP(U150,'GRPO Wiz'!AP:BT,26,FALSE),"")</f>
        <v/>
      </c>
      <c r="BG150" s="57" t="str">
        <f>_xlfn.IFNA(VLOOKUP(U150,'GRPO Wiz'!AP:BQ,28,FALSE),"")</f>
        <v/>
      </c>
      <c r="BH150" s="52" t="str">
        <f>_xlfn.IFNA(VLOOKUP(U150,'GRPO Wiz'!AP:BN,25,FALSE),"")</f>
        <v/>
      </c>
      <c r="BI150" s="52" t="str">
        <f>_xlfn.IFNA(VLOOKUP(U150,'GRPO Wiz'!AP:BT,31,FALSE),"")</f>
        <v/>
      </c>
      <c r="BJ150" s="52" t="str">
        <f>_xlfn.IFNA(VLOOKUP(U150,'GRPO Wiz'!AP:BZ,32,FALSE),"")</f>
        <v/>
      </c>
      <c r="BK150" s="52" t="str">
        <f>_xlfn.IFNA(VLOOKUP(U150,'GRPO Wiz'!AP:BZ,27,FALSE),"")</f>
        <v/>
      </c>
      <c r="BL150" s="52" t="str">
        <f>_xlfn.IFNA(VALUE(VLOOKUP(U150,'GRPO Wiz'!AP:BZ,29,FALSE)),"")</f>
        <v/>
      </c>
      <c r="BM150" s="52" t="str">
        <f>IF(OR(_xlfn.IFNA(VLOOKUP(U150,'GRPO Wiz'!AP:BZ,33,FALSE),"")="NSC",_xlfn.IFNA(VLOOKUP(U150,'GRPO Wiz'!AP:BZ,33,FALSE),"")="NSSMC"),"NSC","")</f>
        <v/>
      </c>
    </row>
    <row r="151" spans="10:65" ht="26.25" customHeight="1" x14ac:dyDescent="0.25">
      <c r="J151" s="52" t="str">
        <f t="shared" si="32"/>
        <v/>
      </c>
      <c r="K151" s="52" t="str">
        <f>IF(O151="","",VLOOKUP(U151,Data!O:AC,15,FALSE)/G151)</f>
        <v/>
      </c>
      <c r="X151" s="52">
        <f t="shared" si="33"/>
        <v>0</v>
      </c>
      <c r="Z151" s="52">
        <f t="shared" si="34"/>
        <v>0</v>
      </c>
      <c r="AZ151" s="52" t="str">
        <f>_xlfn.IFNA(VLOOKUP(U151,'GRPO Wiz'!AP:BT,17,FALSE),"")</f>
        <v/>
      </c>
      <c r="BA151" s="52" t="str">
        <f>_xlfn.IFNA(VLOOKUP(U151,'GRPO Wiz'!AP:BT,18,FALSE),"")</f>
        <v/>
      </c>
      <c r="BB151" s="52" t="str">
        <f>_xlfn.IFNA(VLOOKUP(U151,'GRPO Wiz'!AP:BT,19,FALSE),"")</f>
        <v/>
      </c>
      <c r="BC151" s="52" t="str">
        <f>_xlfn.IFNA(VLOOKUP(U151,'GRPO Wiz'!AP:BT,20,FALSE),"")</f>
        <v/>
      </c>
      <c r="BD151" s="52" t="str">
        <f>_xlfn.IFNA(VLOOKUP(U151,'GRPO Wiz'!AP:BT,21,FALSE),"")</f>
        <v/>
      </c>
      <c r="BE151" s="52" t="str">
        <f>_xlfn.IFNA(LEFT((VLOOKUP(U151,'GRPO Wiz'!AP:BT,22,FALSE)),8),"")</f>
        <v/>
      </c>
      <c r="BF151" s="52" t="str">
        <f>_xlfn.IFNA(VLOOKUP(U151,'GRPO Wiz'!AP:BT,26,FALSE),"")</f>
        <v/>
      </c>
      <c r="BG151" s="57" t="str">
        <f>_xlfn.IFNA(VLOOKUP(U151,'GRPO Wiz'!AP:BQ,28,FALSE),"")</f>
        <v/>
      </c>
      <c r="BH151" s="52" t="str">
        <f>_xlfn.IFNA(VLOOKUP(U151,'GRPO Wiz'!AP:BN,25,FALSE),"")</f>
        <v/>
      </c>
      <c r="BI151" s="52" t="str">
        <f>_xlfn.IFNA(VLOOKUP(U151,'GRPO Wiz'!AP:BT,31,FALSE),"")</f>
        <v/>
      </c>
      <c r="BJ151" s="52" t="str">
        <f>_xlfn.IFNA(VLOOKUP(U151,'GRPO Wiz'!AP:BZ,32,FALSE),"")</f>
        <v/>
      </c>
      <c r="BK151" s="52" t="str">
        <f>_xlfn.IFNA(VLOOKUP(U151,'GRPO Wiz'!AP:BZ,27,FALSE),"")</f>
        <v/>
      </c>
      <c r="BL151" s="52" t="str">
        <f>_xlfn.IFNA(VALUE(VLOOKUP(U151,'GRPO Wiz'!AP:BZ,29,FALSE)),"")</f>
        <v/>
      </c>
      <c r="BM151" s="52" t="str">
        <f>IF(OR(_xlfn.IFNA(VLOOKUP(U151,'GRPO Wiz'!AP:BZ,33,FALSE),"")="NSC",_xlfn.IFNA(VLOOKUP(U151,'GRPO Wiz'!AP:BZ,33,FALSE),"")="NSSMC"),"NSC","")</f>
        <v/>
      </c>
    </row>
    <row r="152" spans="10:65" ht="26.25" customHeight="1" x14ac:dyDescent="0.25">
      <c r="J152" s="52" t="str">
        <f t="shared" si="32"/>
        <v/>
      </c>
      <c r="K152" s="52" t="str">
        <f>IF(O152="","",VLOOKUP(U152,Data!O:AC,15,FALSE)/G152)</f>
        <v/>
      </c>
      <c r="X152" s="52">
        <f t="shared" si="33"/>
        <v>0</v>
      </c>
      <c r="Z152" s="52">
        <f t="shared" si="34"/>
        <v>0</v>
      </c>
      <c r="AZ152" s="52" t="str">
        <f>_xlfn.IFNA(VLOOKUP(U152,'GRPO Wiz'!AP:BT,17,FALSE),"")</f>
        <v/>
      </c>
      <c r="BA152" s="52" t="str">
        <f>_xlfn.IFNA(VLOOKUP(U152,'GRPO Wiz'!AP:BT,18,FALSE),"")</f>
        <v/>
      </c>
      <c r="BB152" s="52" t="str">
        <f>_xlfn.IFNA(VLOOKUP(U152,'GRPO Wiz'!AP:BT,19,FALSE),"")</f>
        <v/>
      </c>
      <c r="BC152" s="52" t="str">
        <f>_xlfn.IFNA(VLOOKUP(U152,'GRPO Wiz'!AP:BT,20,FALSE),"")</f>
        <v/>
      </c>
      <c r="BD152" s="52" t="str">
        <f>_xlfn.IFNA(VLOOKUP(U152,'GRPO Wiz'!AP:BT,21,FALSE),"")</f>
        <v/>
      </c>
      <c r="BE152" s="52" t="str">
        <f>_xlfn.IFNA(LEFT((VLOOKUP(U152,'GRPO Wiz'!AP:BT,22,FALSE)),8),"")</f>
        <v/>
      </c>
      <c r="BF152" s="52" t="str">
        <f>_xlfn.IFNA(VLOOKUP(U152,'GRPO Wiz'!AP:BT,26,FALSE),"")</f>
        <v/>
      </c>
      <c r="BG152" s="57" t="str">
        <f>_xlfn.IFNA(VLOOKUP(U152,'GRPO Wiz'!AP:BQ,28,FALSE),"")</f>
        <v/>
      </c>
      <c r="BH152" s="52" t="str">
        <f>_xlfn.IFNA(VLOOKUP(U152,'GRPO Wiz'!AP:BN,25,FALSE),"")</f>
        <v/>
      </c>
      <c r="BI152" s="52" t="str">
        <f>_xlfn.IFNA(VLOOKUP(U152,'GRPO Wiz'!AP:BT,31,FALSE),"")</f>
        <v/>
      </c>
      <c r="BJ152" s="52" t="str">
        <f>_xlfn.IFNA(VLOOKUP(U152,'GRPO Wiz'!AP:BZ,32,FALSE),"")</f>
        <v/>
      </c>
      <c r="BK152" s="52" t="str">
        <f>_xlfn.IFNA(VLOOKUP(U152,'GRPO Wiz'!AP:BZ,27,FALSE),"")</f>
        <v/>
      </c>
      <c r="BL152" s="52" t="str">
        <f>_xlfn.IFNA(VALUE(VLOOKUP(U152,'GRPO Wiz'!AP:BZ,29,FALSE)),"")</f>
        <v/>
      </c>
      <c r="BM152" s="52" t="str">
        <f>IF(OR(_xlfn.IFNA(VLOOKUP(U152,'GRPO Wiz'!AP:BZ,33,FALSE),"")="NSC",_xlfn.IFNA(VLOOKUP(U152,'GRPO Wiz'!AP:BZ,33,FALSE),"")="NSSMC"),"NSC","")</f>
        <v/>
      </c>
    </row>
    <row r="153" spans="10:65" ht="26.25" customHeight="1" x14ac:dyDescent="0.25">
      <c r="J153" s="52" t="str">
        <f t="shared" si="32"/>
        <v/>
      </c>
      <c r="K153" s="52" t="str">
        <f>IF(O153="","",VLOOKUP(U153,Data!O:AC,15,FALSE)/G153)</f>
        <v/>
      </c>
      <c r="X153" s="52">
        <f t="shared" si="33"/>
        <v>0</v>
      </c>
      <c r="Z153" s="52">
        <f t="shared" si="34"/>
        <v>0</v>
      </c>
      <c r="AZ153" s="52" t="str">
        <f>_xlfn.IFNA(VLOOKUP(U153,'GRPO Wiz'!AP:BT,17,FALSE),"")</f>
        <v/>
      </c>
      <c r="BA153" s="52" t="str">
        <f>_xlfn.IFNA(VLOOKUP(U153,'GRPO Wiz'!AP:BT,18,FALSE),"")</f>
        <v/>
      </c>
      <c r="BB153" s="52" t="str">
        <f>_xlfn.IFNA(VLOOKUP(U153,'GRPO Wiz'!AP:BT,19,FALSE),"")</f>
        <v/>
      </c>
      <c r="BC153" s="52" t="str">
        <f>_xlfn.IFNA(VLOOKUP(U153,'GRPO Wiz'!AP:BT,20,FALSE),"")</f>
        <v/>
      </c>
      <c r="BD153" s="52" t="str">
        <f>_xlfn.IFNA(VLOOKUP(U153,'GRPO Wiz'!AP:BT,21,FALSE),"")</f>
        <v/>
      </c>
      <c r="BE153" s="52" t="str">
        <f>_xlfn.IFNA(LEFT((VLOOKUP(U153,'GRPO Wiz'!AP:BT,22,FALSE)),8),"")</f>
        <v/>
      </c>
      <c r="BF153" s="52" t="str">
        <f>_xlfn.IFNA(VLOOKUP(U153,'GRPO Wiz'!AP:BT,26,FALSE),"")</f>
        <v/>
      </c>
      <c r="BG153" s="57" t="str">
        <f>_xlfn.IFNA(VLOOKUP(U153,'GRPO Wiz'!AP:BQ,28,FALSE),"")</f>
        <v/>
      </c>
      <c r="BH153" s="52" t="str">
        <f>_xlfn.IFNA(VLOOKUP(U153,'GRPO Wiz'!AP:BN,25,FALSE),"")</f>
        <v/>
      </c>
      <c r="BI153" s="52" t="str">
        <f>_xlfn.IFNA(VLOOKUP(U153,'GRPO Wiz'!AP:BT,31,FALSE),"")</f>
        <v/>
      </c>
      <c r="BJ153" s="52" t="str">
        <f>_xlfn.IFNA(VLOOKUP(U153,'GRPO Wiz'!AP:BZ,32,FALSE),"")</f>
        <v/>
      </c>
      <c r="BK153" s="52" t="str">
        <f>_xlfn.IFNA(VLOOKUP(U153,'GRPO Wiz'!AP:BZ,27,FALSE),"")</f>
        <v/>
      </c>
      <c r="BL153" s="52" t="str">
        <f>_xlfn.IFNA(VALUE(VLOOKUP(U153,'GRPO Wiz'!AP:BZ,29,FALSE)),"")</f>
        <v/>
      </c>
      <c r="BM153" s="52" t="str">
        <f>IF(OR(_xlfn.IFNA(VLOOKUP(U153,'GRPO Wiz'!AP:BZ,33,FALSE),"")="NSC",_xlfn.IFNA(VLOOKUP(U153,'GRPO Wiz'!AP:BZ,33,FALSE),"")="NSSMC"),"NSC","")</f>
        <v/>
      </c>
    </row>
    <row r="154" spans="10:65" ht="26.25" customHeight="1" x14ac:dyDescent="0.25">
      <c r="J154" s="52" t="str">
        <f t="shared" si="32"/>
        <v/>
      </c>
      <c r="K154" s="52" t="str">
        <f>IF(O154="","",VLOOKUP(U154,Data!O:AC,15,FALSE)/G154)</f>
        <v/>
      </c>
      <c r="X154" s="52">
        <f t="shared" si="33"/>
        <v>0</v>
      </c>
      <c r="Z154" s="52">
        <f t="shared" si="34"/>
        <v>0</v>
      </c>
      <c r="AZ154" s="52" t="str">
        <f>_xlfn.IFNA(VLOOKUP(U154,'GRPO Wiz'!AP:BT,17,FALSE),"")</f>
        <v/>
      </c>
      <c r="BA154" s="52" t="str">
        <f>_xlfn.IFNA(VLOOKUP(U154,'GRPO Wiz'!AP:BT,18,FALSE),"")</f>
        <v/>
      </c>
      <c r="BB154" s="52" t="str">
        <f>_xlfn.IFNA(VLOOKUP(U154,'GRPO Wiz'!AP:BT,19,FALSE),"")</f>
        <v/>
      </c>
      <c r="BC154" s="52" t="str">
        <f>_xlfn.IFNA(VLOOKUP(U154,'GRPO Wiz'!AP:BT,20,FALSE),"")</f>
        <v/>
      </c>
      <c r="BD154" s="52" t="str">
        <f>_xlfn.IFNA(VLOOKUP(U154,'GRPO Wiz'!AP:BT,21,FALSE),"")</f>
        <v/>
      </c>
      <c r="BE154" s="52" t="str">
        <f>_xlfn.IFNA(LEFT((VLOOKUP(U154,'GRPO Wiz'!AP:BT,22,FALSE)),8),"")</f>
        <v/>
      </c>
      <c r="BF154" s="52" t="str">
        <f>_xlfn.IFNA(VLOOKUP(U154,'GRPO Wiz'!AP:BT,26,FALSE),"")</f>
        <v/>
      </c>
      <c r="BG154" s="57" t="str">
        <f>_xlfn.IFNA(VLOOKUP(U154,'GRPO Wiz'!AP:BQ,28,FALSE),"")</f>
        <v/>
      </c>
      <c r="BH154" s="52" t="str">
        <f>_xlfn.IFNA(VLOOKUP(U154,'GRPO Wiz'!AP:BN,25,FALSE),"")</f>
        <v/>
      </c>
      <c r="BI154" s="52" t="str">
        <f>_xlfn.IFNA(VLOOKUP(U154,'GRPO Wiz'!AP:BT,31,FALSE),"")</f>
        <v/>
      </c>
      <c r="BJ154" s="52" t="str">
        <f>_xlfn.IFNA(VLOOKUP(U154,'GRPO Wiz'!AP:BZ,32,FALSE),"")</f>
        <v/>
      </c>
      <c r="BK154" s="52" t="str">
        <f>_xlfn.IFNA(VLOOKUP(U154,'GRPO Wiz'!AP:BZ,27,FALSE),"")</f>
        <v/>
      </c>
      <c r="BL154" s="52" t="str">
        <f>_xlfn.IFNA(VALUE(VLOOKUP(U154,'GRPO Wiz'!AP:BZ,29,FALSE)),"")</f>
        <v/>
      </c>
      <c r="BM154" s="52" t="str">
        <f>IF(OR(_xlfn.IFNA(VLOOKUP(U154,'GRPO Wiz'!AP:BZ,33,FALSE),"")="NSC",_xlfn.IFNA(VLOOKUP(U154,'GRPO Wiz'!AP:BZ,33,FALSE),"")="NSSMC"),"NSC","")</f>
        <v/>
      </c>
    </row>
    <row r="155" spans="10:65" ht="26.25" customHeight="1" x14ac:dyDescent="0.25">
      <c r="J155" s="52" t="str">
        <f t="shared" si="32"/>
        <v/>
      </c>
      <c r="K155" s="52" t="str">
        <f>IF(O155="","",VLOOKUP(U155,Data!O:AC,15,FALSE)/G155)</f>
        <v/>
      </c>
      <c r="X155" s="52">
        <f t="shared" si="33"/>
        <v>0</v>
      </c>
      <c r="Z155" s="52">
        <f t="shared" si="34"/>
        <v>0</v>
      </c>
      <c r="AZ155" s="52" t="str">
        <f>_xlfn.IFNA(VLOOKUP(U155,'GRPO Wiz'!AP:BT,17,FALSE),"")</f>
        <v/>
      </c>
      <c r="BA155" s="52" t="str">
        <f>_xlfn.IFNA(VLOOKUP(U155,'GRPO Wiz'!AP:BT,18,FALSE),"")</f>
        <v/>
      </c>
      <c r="BB155" s="52" t="str">
        <f>_xlfn.IFNA(VLOOKUP(U155,'GRPO Wiz'!AP:BT,19,FALSE),"")</f>
        <v/>
      </c>
      <c r="BC155" s="52" t="str">
        <f>_xlfn.IFNA(VLOOKUP(U155,'GRPO Wiz'!AP:BT,20,FALSE),"")</f>
        <v/>
      </c>
      <c r="BD155" s="52" t="str">
        <f>_xlfn.IFNA(VLOOKUP(U155,'GRPO Wiz'!AP:BT,21,FALSE),"")</f>
        <v/>
      </c>
      <c r="BE155" s="52" t="str">
        <f>_xlfn.IFNA(LEFT((VLOOKUP(U155,'GRPO Wiz'!AP:BT,22,FALSE)),8),"")</f>
        <v/>
      </c>
      <c r="BF155" s="52" t="str">
        <f>_xlfn.IFNA(VLOOKUP(U155,'GRPO Wiz'!AP:BT,26,FALSE),"")</f>
        <v/>
      </c>
      <c r="BG155" s="57" t="str">
        <f>_xlfn.IFNA(VLOOKUP(U155,'GRPO Wiz'!AP:BQ,28,FALSE),"")</f>
        <v/>
      </c>
      <c r="BH155" s="52" t="str">
        <f>_xlfn.IFNA(VLOOKUP(U155,'GRPO Wiz'!AP:BN,25,FALSE),"")</f>
        <v/>
      </c>
      <c r="BI155" s="52" t="str">
        <f>_xlfn.IFNA(VLOOKUP(U155,'GRPO Wiz'!AP:BT,31,FALSE),"")</f>
        <v/>
      </c>
      <c r="BJ155" s="52" t="str">
        <f>_xlfn.IFNA(VLOOKUP(U155,'GRPO Wiz'!AP:BZ,32,FALSE),"")</f>
        <v/>
      </c>
      <c r="BK155" s="52" t="str">
        <f>_xlfn.IFNA(VLOOKUP(U155,'GRPO Wiz'!AP:BZ,27,FALSE),"")</f>
        <v/>
      </c>
      <c r="BL155" s="52" t="str">
        <f>_xlfn.IFNA(VALUE(VLOOKUP(U155,'GRPO Wiz'!AP:BZ,29,FALSE)),"")</f>
        <v/>
      </c>
      <c r="BM155" s="52" t="str">
        <f>IF(OR(_xlfn.IFNA(VLOOKUP(U155,'GRPO Wiz'!AP:BZ,33,FALSE),"")="NSC",_xlfn.IFNA(VLOOKUP(U155,'GRPO Wiz'!AP:BZ,33,FALSE),"")="NSSMC"),"NSC","")</f>
        <v/>
      </c>
    </row>
    <row r="156" spans="10:65" ht="26.25" customHeight="1" x14ac:dyDescent="0.25">
      <c r="J156" s="52" t="str">
        <f t="shared" si="32"/>
        <v/>
      </c>
      <c r="K156" s="52" t="str">
        <f>IF(O156="","",VLOOKUP(U156,Data!O:AC,15,FALSE)/G156)</f>
        <v/>
      </c>
      <c r="X156" s="52">
        <f t="shared" si="33"/>
        <v>0</v>
      </c>
      <c r="Z156" s="52">
        <f t="shared" si="34"/>
        <v>0</v>
      </c>
      <c r="AZ156" s="52" t="str">
        <f>_xlfn.IFNA(VLOOKUP(U156,'GRPO Wiz'!AP:BT,17,FALSE),"")</f>
        <v/>
      </c>
      <c r="BA156" s="52" t="str">
        <f>_xlfn.IFNA(VLOOKUP(U156,'GRPO Wiz'!AP:BT,18,FALSE),"")</f>
        <v/>
      </c>
      <c r="BB156" s="52" t="str">
        <f>_xlfn.IFNA(VLOOKUP(U156,'GRPO Wiz'!AP:BT,19,FALSE),"")</f>
        <v/>
      </c>
      <c r="BC156" s="52" t="str">
        <f>_xlfn.IFNA(VLOOKUP(U156,'GRPO Wiz'!AP:BT,20,FALSE),"")</f>
        <v/>
      </c>
      <c r="BD156" s="52" t="str">
        <f>_xlfn.IFNA(VLOOKUP(U156,'GRPO Wiz'!AP:BT,21,FALSE),"")</f>
        <v/>
      </c>
      <c r="BE156" s="52" t="str">
        <f>_xlfn.IFNA(LEFT((VLOOKUP(U156,'GRPO Wiz'!AP:BT,22,FALSE)),8),"")</f>
        <v/>
      </c>
      <c r="BF156" s="52" t="str">
        <f>_xlfn.IFNA(VLOOKUP(U156,'GRPO Wiz'!AP:BT,26,FALSE),"")</f>
        <v/>
      </c>
      <c r="BG156" s="57" t="str">
        <f>_xlfn.IFNA(VLOOKUP(U156,'GRPO Wiz'!AP:BQ,28,FALSE),"")</f>
        <v/>
      </c>
      <c r="BH156" s="52" t="str">
        <f>_xlfn.IFNA(VLOOKUP(U156,'GRPO Wiz'!AP:BN,25,FALSE),"")</f>
        <v/>
      </c>
      <c r="BI156" s="52" t="str">
        <f>_xlfn.IFNA(VLOOKUP(U156,'GRPO Wiz'!AP:BT,31,FALSE),"")</f>
        <v/>
      </c>
      <c r="BJ156" s="52" t="str">
        <f>_xlfn.IFNA(VLOOKUP(U156,'GRPO Wiz'!AP:BZ,32,FALSE),"")</f>
        <v/>
      </c>
      <c r="BK156" s="52" t="str">
        <f>_xlfn.IFNA(VLOOKUP(U156,'GRPO Wiz'!AP:BZ,27,FALSE),"")</f>
        <v/>
      </c>
      <c r="BL156" s="52" t="str">
        <f>_xlfn.IFNA(VALUE(VLOOKUP(U156,'GRPO Wiz'!AP:BZ,29,FALSE)),"")</f>
        <v/>
      </c>
      <c r="BM156" s="52" t="str">
        <f>IF(OR(_xlfn.IFNA(VLOOKUP(U156,'GRPO Wiz'!AP:BZ,33,FALSE),"")="NSC",_xlfn.IFNA(VLOOKUP(U156,'GRPO Wiz'!AP:BZ,33,FALSE),"")="NSSMC"),"NSC","")</f>
        <v/>
      </c>
    </row>
    <row r="157" spans="10:65" ht="26.25" customHeight="1" x14ac:dyDescent="0.25">
      <c r="J157" s="52" t="str">
        <f t="shared" si="32"/>
        <v/>
      </c>
      <c r="K157" s="52" t="str">
        <f>IF(O157="","",VLOOKUP(U157,Data!O:AC,15,FALSE)/G157)</f>
        <v/>
      </c>
      <c r="X157" s="52">
        <f t="shared" si="33"/>
        <v>0</v>
      </c>
      <c r="Z157" s="52">
        <f t="shared" si="34"/>
        <v>0</v>
      </c>
      <c r="AZ157" s="52" t="str">
        <f>_xlfn.IFNA(VLOOKUP(U157,'GRPO Wiz'!AP:BT,17,FALSE),"")</f>
        <v/>
      </c>
      <c r="BA157" s="52" t="str">
        <f>_xlfn.IFNA(VLOOKUP(U157,'GRPO Wiz'!AP:BT,18,FALSE),"")</f>
        <v/>
      </c>
      <c r="BB157" s="52" t="str">
        <f>_xlfn.IFNA(VLOOKUP(U157,'GRPO Wiz'!AP:BT,19,FALSE),"")</f>
        <v/>
      </c>
      <c r="BC157" s="52" t="str">
        <f>_xlfn.IFNA(VLOOKUP(U157,'GRPO Wiz'!AP:BT,20,FALSE),"")</f>
        <v/>
      </c>
      <c r="BD157" s="52" t="str">
        <f>_xlfn.IFNA(VLOOKUP(U157,'GRPO Wiz'!AP:BT,21,FALSE),"")</f>
        <v/>
      </c>
      <c r="BE157" s="52" t="str">
        <f>_xlfn.IFNA(LEFT((VLOOKUP(U157,'GRPO Wiz'!AP:BT,22,FALSE)),8),"")</f>
        <v/>
      </c>
      <c r="BF157" s="52" t="str">
        <f>_xlfn.IFNA(VLOOKUP(U157,'GRPO Wiz'!AP:BT,26,FALSE),"")</f>
        <v/>
      </c>
      <c r="BG157" s="57" t="str">
        <f>_xlfn.IFNA(VLOOKUP(U157,'GRPO Wiz'!AP:BQ,28,FALSE),"")</f>
        <v/>
      </c>
      <c r="BH157" s="52" t="str">
        <f>_xlfn.IFNA(VLOOKUP(U157,'GRPO Wiz'!AP:BN,25,FALSE),"")</f>
        <v/>
      </c>
      <c r="BI157" s="52" t="str">
        <f>_xlfn.IFNA(VLOOKUP(U157,'GRPO Wiz'!AP:BT,31,FALSE),"")</f>
        <v/>
      </c>
      <c r="BJ157" s="52" t="str">
        <f>_xlfn.IFNA(VLOOKUP(U157,'GRPO Wiz'!AP:BZ,32,FALSE),"")</f>
        <v/>
      </c>
      <c r="BK157" s="52" t="str">
        <f>_xlfn.IFNA(VLOOKUP(U157,'GRPO Wiz'!AP:BZ,27,FALSE),"")</f>
        <v/>
      </c>
      <c r="BL157" s="52" t="str">
        <f>_xlfn.IFNA(VALUE(VLOOKUP(U157,'GRPO Wiz'!AP:BZ,29,FALSE)),"")</f>
        <v/>
      </c>
      <c r="BM157" s="52" t="str">
        <f>IF(OR(_xlfn.IFNA(VLOOKUP(U157,'GRPO Wiz'!AP:BZ,33,FALSE),"")="NSC",_xlfn.IFNA(VLOOKUP(U157,'GRPO Wiz'!AP:BZ,33,FALSE),"")="NSSMC"),"NSC","")</f>
        <v/>
      </c>
    </row>
    <row r="158" spans="10:65" ht="26.25" customHeight="1" x14ac:dyDescent="0.25">
      <c r="J158" s="52" t="str">
        <f t="shared" si="32"/>
        <v/>
      </c>
      <c r="K158" s="52" t="str">
        <f>IF(O158="","",VLOOKUP(U158,Data!O:AC,15,FALSE)/G158)</f>
        <v/>
      </c>
      <c r="X158" s="52">
        <f t="shared" si="33"/>
        <v>0</v>
      </c>
      <c r="Z158" s="52">
        <f t="shared" si="34"/>
        <v>0</v>
      </c>
      <c r="AZ158" s="52" t="str">
        <f>_xlfn.IFNA(VLOOKUP(U158,'GRPO Wiz'!AP:BT,17,FALSE),"")</f>
        <v/>
      </c>
      <c r="BA158" s="52" t="str">
        <f>_xlfn.IFNA(VLOOKUP(U158,'GRPO Wiz'!AP:BT,18,FALSE),"")</f>
        <v/>
      </c>
      <c r="BB158" s="52" t="str">
        <f>_xlfn.IFNA(VLOOKUP(U158,'GRPO Wiz'!AP:BT,19,FALSE),"")</f>
        <v/>
      </c>
      <c r="BC158" s="52" t="str">
        <f>_xlfn.IFNA(VLOOKUP(U158,'GRPO Wiz'!AP:BT,20,FALSE),"")</f>
        <v/>
      </c>
      <c r="BD158" s="52" t="str">
        <f>_xlfn.IFNA(VLOOKUP(U158,'GRPO Wiz'!AP:BT,21,FALSE),"")</f>
        <v/>
      </c>
      <c r="BE158" s="52" t="str">
        <f>_xlfn.IFNA(LEFT((VLOOKUP(U158,'GRPO Wiz'!AP:BT,22,FALSE)),8),"")</f>
        <v/>
      </c>
      <c r="BF158" s="52" t="str">
        <f>_xlfn.IFNA(VLOOKUP(U158,'GRPO Wiz'!AP:BT,26,FALSE),"")</f>
        <v/>
      </c>
      <c r="BG158" s="57" t="str">
        <f>_xlfn.IFNA(VLOOKUP(U158,'GRPO Wiz'!AP:BQ,28,FALSE),"")</f>
        <v/>
      </c>
      <c r="BH158" s="52" t="str">
        <f>_xlfn.IFNA(VLOOKUP(U158,'GRPO Wiz'!AP:BN,25,FALSE),"")</f>
        <v/>
      </c>
      <c r="BI158" s="52" t="str">
        <f>_xlfn.IFNA(VLOOKUP(U158,'GRPO Wiz'!AP:BT,31,FALSE),"")</f>
        <v/>
      </c>
      <c r="BJ158" s="52" t="str">
        <f>_xlfn.IFNA(VLOOKUP(U158,'GRPO Wiz'!AP:BZ,32,FALSE),"")</f>
        <v/>
      </c>
      <c r="BK158" s="52" t="str">
        <f>_xlfn.IFNA(VLOOKUP(U158,'GRPO Wiz'!AP:BZ,27,FALSE),"")</f>
        <v/>
      </c>
      <c r="BL158" s="52" t="str">
        <f>_xlfn.IFNA(VALUE(VLOOKUP(U158,'GRPO Wiz'!AP:BZ,29,FALSE)),"")</f>
        <v/>
      </c>
      <c r="BM158" s="52" t="str">
        <f>IF(OR(_xlfn.IFNA(VLOOKUP(U158,'GRPO Wiz'!AP:BZ,33,FALSE),"")="NSC",_xlfn.IFNA(VLOOKUP(U158,'GRPO Wiz'!AP:BZ,33,FALSE),"")="NSSMC"),"NSC","")</f>
        <v/>
      </c>
    </row>
    <row r="159" spans="10:65" ht="26.25" customHeight="1" x14ac:dyDescent="0.25">
      <c r="J159" s="52" t="str">
        <f t="shared" si="32"/>
        <v/>
      </c>
      <c r="K159" s="52" t="str">
        <f>IF(O159="","",VLOOKUP(U159,Data!O:AC,15,FALSE)/G159)</f>
        <v/>
      </c>
      <c r="X159" s="52">
        <f t="shared" si="33"/>
        <v>0</v>
      </c>
      <c r="Z159" s="52">
        <f t="shared" si="34"/>
        <v>0</v>
      </c>
      <c r="AZ159" s="52" t="str">
        <f>_xlfn.IFNA(VLOOKUP(U159,'GRPO Wiz'!AP:BT,17,FALSE),"")</f>
        <v/>
      </c>
      <c r="BA159" s="52" t="str">
        <f>_xlfn.IFNA(VLOOKUP(U159,'GRPO Wiz'!AP:BT,18,FALSE),"")</f>
        <v/>
      </c>
      <c r="BB159" s="52" t="str">
        <f>_xlfn.IFNA(VLOOKUP(U159,'GRPO Wiz'!AP:BT,19,FALSE),"")</f>
        <v/>
      </c>
      <c r="BC159" s="52" t="str">
        <f>_xlfn.IFNA(VLOOKUP(U159,'GRPO Wiz'!AP:BT,20,FALSE),"")</f>
        <v/>
      </c>
      <c r="BD159" s="52" t="str">
        <f>_xlfn.IFNA(VLOOKUP(U159,'GRPO Wiz'!AP:BT,21,FALSE),"")</f>
        <v/>
      </c>
      <c r="BE159" s="52" t="str">
        <f>_xlfn.IFNA(LEFT((VLOOKUP(U159,'GRPO Wiz'!AP:BT,22,FALSE)),8),"")</f>
        <v/>
      </c>
      <c r="BF159" s="52" t="str">
        <f>_xlfn.IFNA(VLOOKUP(U159,'GRPO Wiz'!AP:BT,26,FALSE),"")</f>
        <v/>
      </c>
      <c r="BG159" s="57" t="str">
        <f>_xlfn.IFNA(VLOOKUP(U159,'GRPO Wiz'!AP:BQ,28,FALSE),"")</f>
        <v/>
      </c>
      <c r="BH159" s="52" t="str">
        <f>_xlfn.IFNA(VLOOKUP(U159,'GRPO Wiz'!AP:BN,25,FALSE),"")</f>
        <v/>
      </c>
      <c r="BI159" s="52" t="str">
        <f>_xlfn.IFNA(VLOOKUP(U159,'GRPO Wiz'!AP:BT,31,FALSE),"")</f>
        <v/>
      </c>
      <c r="BJ159" s="52" t="str">
        <f>_xlfn.IFNA(VLOOKUP(U159,'GRPO Wiz'!AP:BZ,32,FALSE),"")</f>
        <v/>
      </c>
      <c r="BK159" s="52" t="str">
        <f>_xlfn.IFNA(VLOOKUP(U159,'GRPO Wiz'!AP:BZ,27,FALSE),"")</f>
        <v/>
      </c>
      <c r="BL159" s="52" t="str">
        <f>_xlfn.IFNA(VALUE(VLOOKUP(U159,'GRPO Wiz'!AP:BZ,29,FALSE)),"")</f>
        <v/>
      </c>
      <c r="BM159" s="52" t="str">
        <f>IF(OR(_xlfn.IFNA(VLOOKUP(U159,'GRPO Wiz'!AP:BZ,33,FALSE),"")="NSC",_xlfn.IFNA(VLOOKUP(U159,'GRPO Wiz'!AP:BZ,33,FALSE),"")="NSSMC"),"NSC","")</f>
        <v/>
      </c>
    </row>
    <row r="160" spans="10:65" ht="26.25" customHeight="1" x14ac:dyDescent="0.25">
      <c r="J160" s="52" t="str">
        <f t="shared" si="32"/>
        <v/>
      </c>
      <c r="K160" s="52" t="str">
        <f>IF(O160="","",VLOOKUP(U160,Data!O:AC,15,FALSE)/G160)</f>
        <v/>
      </c>
      <c r="X160" s="52">
        <f t="shared" si="33"/>
        <v>0</v>
      </c>
      <c r="Z160" s="52">
        <f t="shared" si="34"/>
        <v>0</v>
      </c>
      <c r="AZ160" s="52" t="str">
        <f>_xlfn.IFNA(VLOOKUP(U160,'GRPO Wiz'!AP:BT,17,FALSE),"")</f>
        <v/>
      </c>
      <c r="BA160" s="52" t="str">
        <f>_xlfn.IFNA(VLOOKUP(U160,'GRPO Wiz'!AP:BT,18,FALSE),"")</f>
        <v/>
      </c>
      <c r="BB160" s="52" t="str">
        <f>_xlfn.IFNA(VLOOKUP(U160,'GRPO Wiz'!AP:BT,19,FALSE),"")</f>
        <v/>
      </c>
      <c r="BC160" s="52" t="str">
        <f>_xlfn.IFNA(VLOOKUP(U160,'GRPO Wiz'!AP:BT,20,FALSE),"")</f>
        <v/>
      </c>
      <c r="BD160" s="52" t="str">
        <f>_xlfn.IFNA(VLOOKUP(U160,'GRPO Wiz'!AP:BT,21,FALSE),"")</f>
        <v/>
      </c>
      <c r="BE160" s="52" t="str">
        <f>_xlfn.IFNA(LEFT((VLOOKUP(U160,'GRPO Wiz'!AP:BT,22,FALSE)),8),"")</f>
        <v/>
      </c>
      <c r="BF160" s="52" t="str">
        <f>_xlfn.IFNA(VLOOKUP(U160,'GRPO Wiz'!AP:BT,26,FALSE),"")</f>
        <v/>
      </c>
      <c r="BG160" s="57" t="str">
        <f>_xlfn.IFNA(VLOOKUP(U160,'GRPO Wiz'!AP:BQ,28,FALSE),"")</f>
        <v/>
      </c>
      <c r="BH160" s="52" t="str">
        <f>_xlfn.IFNA(VLOOKUP(U160,'GRPO Wiz'!AP:BN,25,FALSE),"")</f>
        <v/>
      </c>
      <c r="BI160" s="52" t="str">
        <f>_xlfn.IFNA(VLOOKUP(U160,'GRPO Wiz'!AP:BT,31,FALSE),"")</f>
        <v/>
      </c>
      <c r="BJ160" s="52" t="str">
        <f>_xlfn.IFNA(VLOOKUP(U160,'GRPO Wiz'!AP:BZ,32,FALSE),"")</f>
        <v/>
      </c>
      <c r="BK160" s="52" t="str">
        <f>_xlfn.IFNA(VLOOKUP(U160,'GRPO Wiz'!AP:BZ,27,FALSE),"")</f>
        <v/>
      </c>
      <c r="BL160" s="52" t="str">
        <f>_xlfn.IFNA(VALUE(VLOOKUP(U160,'GRPO Wiz'!AP:BZ,29,FALSE)),"")</f>
        <v/>
      </c>
      <c r="BM160" s="52" t="str">
        <f>IF(OR(_xlfn.IFNA(VLOOKUP(U160,'GRPO Wiz'!AP:BZ,33,FALSE),"")="NSC",_xlfn.IFNA(VLOOKUP(U160,'GRPO Wiz'!AP:BZ,33,FALSE),"")="NSSMC"),"NSC","")</f>
        <v/>
      </c>
    </row>
    <row r="161" spans="10:65" ht="26.25" customHeight="1" x14ac:dyDescent="0.25">
      <c r="J161" s="52" t="str">
        <f t="shared" si="32"/>
        <v/>
      </c>
      <c r="K161" s="52" t="str">
        <f>IF(O161="","",VLOOKUP(U161,Data!O:AC,15,FALSE)/G161)</f>
        <v/>
      </c>
      <c r="X161" s="52">
        <f t="shared" si="33"/>
        <v>0</v>
      </c>
      <c r="Z161" s="52">
        <f t="shared" si="34"/>
        <v>0</v>
      </c>
      <c r="AZ161" s="52" t="str">
        <f>_xlfn.IFNA(VLOOKUP(U161,'GRPO Wiz'!AP:BT,17,FALSE),"")</f>
        <v/>
      </c>
      <c r="BA161" s="52" t="str">
        <f>_xlfn.IFNA(VLOOKUP(U161,'GRPO Wiz'!AP:BT,18,FALSE),"")</f>
        <v/>
      </c>
      <c r="BB161" s="52" t="str">
        <f>_xlfn.IFNA(VLOOKUP(U161,'GRPO Wiz'!AP:BT,19,FALSE),"")</f>
        <v/>
      </c>
      <c r="BC161" s="52" t="str">
        <f>_xlfn.IFNA(VLOOKUP(U161,'GRPO Wiz'!AP:BT,20,FALSE),"")</f>
        <v/>
      </c>
      <c r="BD161" s="52" t="str">
        <f>_xlfn.IFNA(VLOOKUP(U161,'GRPO Wiz'!AP:BT,21,FALSE),"")</f>
        <v/>
      </c>
      <c r="BE161" s="52" t="str">
        <f>_xlfn.IFNA(LEFT((VLOOKUP(U161,'GRPO Wiz'!AP:BT,22,FALSE)),8),"")</f>
        <v/>
      </c>
      <c r="BF161" s="52" t="str">
        <f>_xlfn.IFNA(VLOOKUP(U161,'GRPO Wiz'!AP:BT,26,FALSE),"")</f>
        <v/>
      </c>
      <c r="BG161" s="57" t="str">
        <f>_xlfn.IFNA(VLOOKUP(U161,'GRPO Wiz'!AP:BQ,28,FALSE),"")</f>
        <v/>
      </c>
      <c r="BH161" s="52" t="str">
        <f>_xlfn.IFNA(VLOOKUP(U161,'GRPO Wiz'!AP:BN,25,FALSE),"")</f>
        <v/>
      </c>
      <c r="BI161" s="52" t="str">
        <f>_xlfn.IFNA(VLOOKUP(U161,'GRPO Wiz'!AP:BT,31,FALSE),"")</f>
        <v/>
      </c>
      <c r="BJ161" s="52" t="str">
        <f>_xlfn.IFNA(VLOOKUP(U161,'GRPO Wiz'!AP:BZ,32,FALSE),"")</f>
        <v/>
      </c>
      <c r="BK161" s="52" t="str">
        <f>_xlfn.IFNA(VLOOKUP(U161,'GRPO Wiz'!AP:BZ,27,FALSE),"")</f>
        <v/>
      </c>
      <c r="BL161" s="52" t="str">
        <f>_xlfn.IFNA(VALUE(VLOOKUP(U161,'GRPO Wiz'!AP:BZ,29,FALSE)),"")</f>
        <v/>
      </c>
      <c r="BM161" s="52" t="str">
        <f>IF(OR(_xlfn.IFNA(VLOOKUP(U161,'GRPO Wiz'!AP:BZ,33,FALSE),"")="NSC",_xlfn.IFNA(VLOOKUP(U161,'GRPO Wiz'!AP:BZ,33,FALSE),"")="NSSMC"),"NSC","")</f>
        <v/>
      </c>
    </row>
    <row r="162" spans="10:65" ht="26.25" customHeight="1" x14ac:dyDescent="0.25">
      <c r="J162" s="52" t="str">
        <f t="shared" si="32"/>
        <v/>
      </c>
      <c r="K162" s="52" t="str">
        <f>IF(O162="","",VLOOKUP(U162,Data!O:AC,15,FALSE)/G162)</f>
        <v/>
      </c>
      <c r="X162" s="52">
        <f t="shared" si="33"/>
        <v>0</v>
      </c>
      <c r="Z162" s="52">
        <f t="shared" si="34"/>
        <v>0</v>
      </c>
      <c r="AZ162" s="52" t="str">
        <f>_xlfn.IFNA(VLOOKUP(U162,'GRPO Wiz'!AP:BT,17,FALSE),"")</f>
        <v/>
      </c>
      <c r="BA162" s="52" t="str">
        <f>_xlfn.IFNA(VLOOKUP(U162,'GRPO Wiz'!AP:BT,18,FALSE),"")</f>
        <v/>
      </c>
      <c r="BB162" s="52" t="str">
        <f>_xlfn.IFNA(VLOOKUP(U162,'GRPO Wiz'!AP:BT,19,FALSE),"")</f>
        <v/>
      </c>
      <c r="BC162" s="52" t="str">
        <f>_xlfn.IFNA(VLOOKUP(U162,'GRPO Wiz'!AP:BT,20,FALSE),"")</f>
        <v/>
      </c>
      <c r="BD162" s="52" t="str">
        <f>_xlfn.IFNA(VLOOKUP(U162,'GRPO Wiz'!AP:BT,21,FALSE),"")</f>
        <v/>
      </c>
      <c r="BE162" s="52" t="str">
        <f>_xlfn.IFNA(LEFT((VLOOKUP(U162,'GRPO Wiz'!AP:BT,22,FALSE)),8),"")</f>
        <v/>
      </c>
      <c r="BF162" s="52" t="str">
        <f>_xlfn.IFNA(VLOOKUP(U162,'GRPO Wiz'!AP:BT,26,FALSE),"")</f>
        <v/>
      </c>
      <c r="BG162" s="57" t="str">
        <f>_xlfn.IFNA(VLOOKUP(U162,'GRPO Wiz'!AP:BQ,28,FALSE),"")</f>
        <v/>
      </c>
      <c r="BH162" s="52" t="str">
        <f>_xlfn.IFNA(VLOOKUP(U162,'GRPO Wiz'!AP:BN,25,FALSE),"")</f>
        <v/>
      </c>
      <c r="BI162" s="52" t="str">
        <f>_xlfn.IFNA(VLOOKUP(U162,'GRPO Wiz'!AP:BT,31,FALSE),"")</f>
        <v/>
      </c>
      <c r="BJ162" s="52" t="str">
        <f>_xlfn.IFNA(VLOOKUP(U162,'GRPO Wiz'!AP:BZ,32,FALSE),"")</f>
        <v/>
      </c>
      <c r="BK162" s="52" t="str">
        <f>_xlfn.IFNA(VLOOKUP(U162,'GRPO Wiz'!AP:BZ,27,FALSE),"")</f>
        <v/>
      </c>
      <c r="BL162" s="52" t="str">
        <f>_xlfn.IFNA(VALUE(VLOOKUP(U162,'GRPO Wiz'!AP:BZ,29,FALSE)),"")</f>
        <v/>
      </c>
      <c r="BM162" s="52" t="str">
        <f>IF(OR(_xlfn.IFNA(VLOOKUP(U162,'GRPO Wiz'!AP:BZ,33,FALSE),"")="NSC",_xlfn.IFNA(VLOOKUP(U162,'GRPO Wiz'!AP:BZ,33,FALSE),"")="NSSMC"),"NSC","")</f>
        <v/>
      </c>
    </row>
    <row r="163" spans="10:65" ht="26.25" customHeight="1" x14ac:dyDescent="0.25">
      <c r="J163" s="52" t="str">
        <f t="shared" si="32"/>
        <v/>
      </c>
      <c r="K163" s="52" t="str">
        <f>IF(O163="","",VLOOKUP(U163,Data!O:AC,15,FALSE)/G163)</f>
        <v/>
      </c>
      <c r="X163" s="52">
        <f t="shared" si="33"/>
        <v>0</v>
      </c>
      <c r="Z163" s="52">
        <f t="shared" si="34"/>
        <v>0</v>
      </c>
      <c r="AZ163" s="52" t="str">
        <f>_xlfn.IFNA(VLOOKUP(U163,'GRPO Wiz'!AP:BT,17,FALSE),"")</f>
        <v/>
      </c>
      <c r="BA163" s="52" t="str">
        <f>_xlfn.IFNA(VLOOKUP(U163,'GRPO Wiz'!AP:BT,18,FALSE),"")</f>
        <v/>
      </c>
      <c r="BB163" s="52" t="str">
        <f>_xlfn.IFNA(VLOOKUP(U163,'GRPO Wiz'!AP:BT,19,FALSE),"")</f>
        <v/>
      </c>
      <c r="BC163" s="52" t="str">
        <f>_xlfn.IFNA(VLOOKUP(U163,'GRPO Wiz'!AP:BT,20,FALSE),"")</f>
        <v/>
      </c>
      <c r="BD163" s="52" t="str">
        <f>_xlfn.IFNA(VLOOKUP(U163,'GRPO Wiz'!AP:BT,21,FALSE),"")</f>
        <v/>
      </c>
      <c r="BE163" s="52" t="str">
        <f>_xlfn.IFNA(LEFT((VLOOKUP(U163,'GRPO Wiz'!AP:BT,22,FALSE)),8),"")</f>
        <v/>
      </c>
      <c r="BF163" s="52" t="str">
        <f>_xlfn.IFNA(VLOOKUP(U163,'GRPO Wiz'!AP:BT,26,FALSE),"")</f>
        <v/>
      </c>
      <c r="BG163" s="57" t="str">
        <f>_xlfn.IFNA(VLOOKUP(U163,'GRPO Wiz'!AP:BQ,28,FALSE),"")</f>
        <v/>
      </c>
      <c r="BH163" s="52" t="str">
        <f>_xlfn.IFNA(VLOOKUP(U163,'GRPO Wiz'!AP:BN,25,FALSE),"")</f>
        <v/>
      </c>
      <c r="BI163" s="52" t="str">
        <f>_xlfn.IFNA(VLOOKUP(U163,'GRPO Wiz'!AP:BT,31,FALSE),"")</f>
        <v/>
      </c>
      <c r="BJ163" s="52" t="str">
        <f>_xlfn.IFNA(VLOOKUP(U163,'GRPO Wiz'!AP:BZ,32,FALSE),"")</f>
        <v/>
      </c>
      <c r="BK163" s="52" t="str">
        <f>_xlfn.IFNA(VLOOKUP(U163,'GRPO Wiz'!AP:BZ,27,FALSE),"")</f>
        <v/>
      </c>
      <c r="BL163" s="52" t="str">
        <f>_xlfn.IFNA(VALUE(VLOOKUP(U163,'GRPO Wiz'!AP:BZ,29,FALSE)),"")</f>
        <v/>
      </c>
      <c r="BM163" s="52" t="str">
        <f>IF(OR(_xlfn.IFNA(VLOOKUP(U163,'GRPO Wiz'!AP:BZ,33,FALSE),"")="NSC",_xlfn.IFNA(VLOOKUP(U163,'GRPO Wiz'!AP:BZ,33,FALSE),"")="NSSMC"),"NSC","")</f>
        <v/>
      </c>
    </row>
    <row r="164" spans="10:65" ht="26.25" customHeight="1" x14ac:dyDescent="0.25">
      <c r="J164" s="52" t="str">
        <f t="shared" si="32"/>
        <v/>
      </c>
      <c r="K164" s="52" t="str">
        <f>IF(O164="","",VLOOKUP(U164,Data!O:AC,15,FALSE)/G164)</f>
        <v/>
      </c>
      <c r="X164" s="52">
        <f t="shared" si="33"/>
        <v>0</v>
      </c>
      <c r="Z164" s="52">
        <f t="shared" si="34"/>
        <v>0</v>
      </c>
      <c r="AZ164" s="52" t="str">
        <f>_xlfn.IFNA(VLOOKUP(U164,'GRPO Wiz'!AP:BT,17,FALSE),"")</f>
        <v/>
      </c>
      <c r="BA164" s="52" t="str">
        <f>_xlfn.IFNA(VLOOKUP(U164,'GRPO Wiz'!AP:BT,18,FALSE),"")</f>
        <v/>
      </c>
      <c r="BB164" s="52" t="str">
        <f>_xlfn.IFNA(VLOOKUP(U164,'GRPO Wiz'!AP:BT,19,FALSE),"")</f>
        <v/>
      </c>
      <c r="BC164" s="52" t="str">
        <f>_xlfn.IFNA(VLOOKUP(U164,'GRPO Wiz'!AP:BT,20,FALSE),"")</f>
        <v/>
      </c>
      <c r="BD164" s="52" t="str">
        <f>_xlfn.IFNA(VLOOKUP(U164,'GRPO Wiz'!AP:BT,21,FALSE),"")</f>
        <v/>
      </c>
      <c r="BE164" s="52" t="str">
        <f>_xlfn.IFNA(LEFT((VLOOKUP(U164,'GRPO Wiz'!AP:BT,22,FALSE)),8),"")</f>
        <v/>
      </c>
      <c r="BF164" s="52" t="str">
        <f>_xlfn.IFNA(VLOOKUP(U164,'GRPO Wiz'!AP:BT,26,FALSE),"")</f>
        <v/>
      </c>
      <c r="BG164" s="57" t="str">
        <f>_xlfn.IFNA(VLOOKUP(U164,'GRPO Wiz'!AP:BQ,28,FALSE),"")</f>
        <v/>
      </c>
      <c r="BH164" s="52" t="str">
        <f>_xlfn.IFNA(VLOOKUP(U164,'GRPO Wiz'!AP:BN,25,FALSE),"")</f>
        <v/>
      </c>
      <c r="BI164" s="52" t="str">
        <f>_xlfn.IFNA(VLOOKUP(U164,'GRPO Wiz'!AP:BT,31,FALSE),"")</f>
        <v/>
      </c>
      <c r="BJ164" s="52" t="str">
        <f>_xlfn.IFNA(VLOOKUP(U164,'GRPO Wiz'!AP:BZ,32,FALSE),"")</f>
        <v/>
      </c>
      <c r="BK164" s="52" t="str">
        <f>_xlfn.IFNA(VLOOKUP(U164,'GRPO Wiz'!AP:BZ,27,FALSE),"")</f>
        <v/>
      </c>
      <c r="BL164" s="52" t="str">
        <f>_xlfn.IFNA(VALUE(VLOOKUP(U164,'GRPO Wiz'!AP:BZ,29,FALSE)),"")</f>
        <v/>
      </c>
      <c r="BM164" s="52" t="str">
        <f>IF(OR(_xlfn.IFNA(VLOOKUP(U164,'GRPO Wiz'!AP:BZ,33,FALSE),"")="NSC",_xlfn.IFNA(VLOOKUP(U164,'GRPO Wiz'!AP:BZ,33,FALSE),"")="NSSMC"),"NSC","")</f>
        <v/>
      </c>
    </row>
    <row r="165" spans="10:65" ht="26.25" customHeight="1" x14ac:dyDescent="0.25">
      <c r="J165" s="52" t="str">
        <f t="shared" si="32"/>
        <v/>
      </c>
      <c r="K165" s="52" t="str">
        <f>IF(O165="","",VLOOKUP(U165,Data!O:AC,15,FALSE)/G165)</f>
        <v/>
      </c>
      <c r="X165" s="52">
        <f t="shared" si="33"/>
        <v>0</v>
      </c>
      <c r="Z165" s="52">
        <f t="shared" si="34"/>
        <v>0</v>
      </c>
      <c r="AZ165" s="52" t="str">
        <f>_xlfn.IFNA(VLOOKUP(U165,'GRPO Wiz'!AP:BT,17,FALSE),"")</f>
        <v/>
      </c>
      <c r="BA165" s="52" t="str">
        <f>_xlfn.IFNA(VLOOKUP(U165,'GRPO Wiz'!AP:BT,18,FALSE),"")</f>
        <v/>
      </c>
      <c r="BB165" s="52" t="str">
        <f>_xlfn.IFNA(VLOOKUP(U165,'GRPO Wiz'!AP:BT,19,FALSE),"")</f>
        <v/>
      </c>
      <c r="BC165" s="52" t="str">
        <f>_xlfn.IFNA(VLOOKUP(U165,'GRPO Wiz'!AP:BT,20,FALSE),"")</f>
        <v/>
      </c>
      <c r="BD165" s="52" t="str">
        <f>_xlfn.IFNA(VLOOKUP(U165,'GRPO Wiz'!AP:BT,21,FALSE),"")</f>
        <v/>
      </c>
      <c r="BE165" s="52" t="str">
        <f>_xlfn.IFNA(LEFT((VLOOKUP(U165,'GRPO Wiz'!AP:BT,22,FALSE)),8),"")</f>
        <v/>
      </c>
      <c r="BF165" s="52" t="str">
        <f>_xlfn.IFNA(VLOOKUP(U165,'GRPO Wiz'!AP:BT,26,FALSE),"")</f>
        <v/>
      </c>
      <c r="BG165" s="57" t="str">
        <f>_xlfn.IFNA(VLOOKUP(U165,'GRPO Wiz'!AP:BQ,28,FALSE),"")</f>
        <v/>
      </c>
      <c r="BH165" s="52" t="str">
        <f>_xlfn.IFNA(VLOOKUP(U165,'GRPO Wiz'!AP:BN,25,FALSE),"")</f>
        <v/>
      </c>
      <c r="BI165" s="52" t="str">
        <f>_xlfn.IFNA(VLOOKUP(U165,'GRPO Wiz'!AP:BT,31,FALSE),"")</f>
        <v/>
      </c>
      <c r="BJ165" s="52" t="str">
        <f>_xlfn.IFNA(VLOOKUP(U165,'GRPO Wiz'!AP:BZ,32,FALSE),"")</f>
        <v/>
      </c>
      <c r="BK165" s="52" t="str">
        <f>_xlfn.IFNA(VLOOKUP(U165,'GRPO Wiz'!AP:BZ,27,FALSE),"")</f>
        <v/>
      </c>
      <c r="BL165" s="52" t="str">
        <f>_xlfn.IFNA(VALUE(VLOOKUP(U165,'GRPO Wiz'!AP:BZ,29,FALSE)),"")</f>
        <v/>
      </c>
      <c r="BM165" s="52" t="str">
        <f>IF(OR(_xlfn.IFNA(VLOOKUP(U165,'GRPO Wiz'!AP:BZ,33,FALSE),"")="NSC",_xlfn.IFNA(VLOOKUP(U165,'GRPO Wiz'!AP:BZ,33,FALSE),"")="NSSMC"),"NSC","")</f>
        <v/>
      </c>
    </row>
    <row r="166" spans="10:65" ht="26.25" customHeight="1" x14ac:dyDescent="0.25">
      <c r="J166" s="52" t="str">
        <f t="shared" si="32"/>
        <v/>
      </c>
      <c r="K166" s="52" t="str">
        <f>IF(O166="","",VLOOKUP(U166,Data!O:AC,15,FALSE)/G166)</f>
        <v/>
      </c>
      <c r="X166" s="52">
        <f t="shared" si="33"/>
        <v>0</v>
      </c>
      <c r="Z166" s="52">
        <f t="shared" si="34"/>
        <v>0</v>
      </c>
      <c r="AZ166" s="52" t="str">
        <f>_xlfn.IFNA(VLOOKUP(U166,'GRPO Wiz'!AP:BT,17,FALSE),"")</f>
        <v/>
      </c>
      <c r="BA166" s="52" t="str">
        <f>_xlfn.IFNA(VLOOKUP(U166,'GRPO Wiz'!AP:BT,18,FALSE),"")</f>
        <v/>
      </c>
      <c r="BB166" s="52" t="str">
        <f>_xlfn.IFNA(VLOOKUP(U166,'GRPO Wiz'!AP:BT,19,FALSE),"")</f>
        <v/>
      </c>
      <c r="BC166" s="52" t="str">
        <f>_xlfn.IFNA(VLOOKUP(U166,'GRPO Wiz'!AP:BT,20,FALSE),"")</f>
        <v/>
      </c>
      <c r="BD166" s="52" t="str">
        <f>_xlfn.IFNA(VLOOKUP(U166,'GRPO Wiz'!AP:BT,21,FALSE),"")</f>
        <v/>
      </c>
      <c r="BE166" s="52" t="str">
        <f>_xlfn.IFNA(LEFT((VLOOKUP(U166,'GRPO Wiz'!AP:BT,22,FALSE)),8),"")</f>
        <v/>
      </c>
      <c r="BF166" s="52" t="str">
        <f>_xlfn.IFNA(VLOOKUP(U166,'GRPO Wiz'!AP:BT,26,FALSE),"")</f>
        <v/>
      </c>
      <c r="BG166" s="57" t="str">
        <f>_xlfn.IFNA(VLOOKUP(U166,'GRPO Wiz'!AP:BQ,28,FALSE),"")</f>
        <v/>
      </c>
      <c r="BH166" s="52" t="str">
        <f>_xlfn.IFNA(VLOOKUP(U166,'GRPO Wiz'!AP:BN,25,FALSE),"")</f>
        <v/>
      </c>
      <c r="BI166" s="52" t="str">
        <f>_xlfn.IFNA(VLOOKUP(U166,'GRPO Wiz'!AP:BT,31,FALSE),"")</f>
        <v/>
      </c>
      <c r="BJ166" s="52" t="str">
        <f>_xlfn.IFNA(VLOOKUP(U166,'GRPO Wiz'!AP:BZ,32,FALSE),"")</f>
        <v/>
      </c>
      <c r="BK166" s="52" t="str">
        <f>_xlfn.IFNA(VLOOKUP(U166,'GRPO Wiz'!AP:BZ,27,FALSE),"")</f>
        <v/>
      </c>
      <c r="BL166" s="52" t="str">
        <f>_xlfn.IFNA(VALUE(VLOOKUP(U166,'GRPO Wiz'!AP:BZ,29,FALSE)),"")</f>
        <v/>
      </c>
      <c r="BM166" s="52" t="str">
        <f>IF(OR(_xlfn.IFNA(VLOOKUP(U166,'GRPO Wiz'!AP:BZ,33,FALSE),"")="NSC",_xlfn.IFNA(VLOOKUP(U166,'GRPO Wiz'!AP:BZ,33,FALSE),"")="NSSMC"),"NSC","")</f>
        <v/>
      </c>
    </row>
    <row r="167" spans="10:65" ht="26.25" customHeight="1" x14ac:dyDescent="0.25">
      <c r="J167" s="52" t="str">
        <f t="shared" si="32"/>
        <v/>
      </c>
      <c r="K167" s="52" t="str">
        <f>IF(O167="","",VLOOKUP(U167,Data!O:AC,15,FALSE)/G167)</f>
        <v/>
      </c>
      <c r="X167" s="52">
        <f t="shared" si="33"/>
        <v>0</v>
      </c>
      <c r="Z167" s="52">
        <f t="shared" si="34"/>
        <v>0</v>
      </c>
      <c r="AZ167" s="52" t="str">
        <f>_xlfn.IFNA(VLOOKUP(U167,'GRPO Wiz'!AP:BT,17,FALSE),"")</f>
        <v/>
      </c>
      <c r="BA167" s="52" t="str">
        <f>_xlfn.IFNA(VLOOKUP(U167,'GRPO Wiz'!AP:BT,18,FALSE),"")</f>
        <v/>
      </c>
      <c r="BB167" s="52" t="str">
        <f>_xlfn.IFNA(VLOOKUP(U167,'GRPO Wiz'!AP:BT,19,FALSE),"")</f>
        <v/>
      </c>
      <c r="BC167" s="52" t="str">
        <f>_xlfn.IFNA(VLOOKUP(U167,'GRPO Wiz'!AP:BT,20,FALSE),"")</f>
        <v/>
      </c>
      <c r="BD167" s="52" t="str">
        <f>_xlfn.IFNA(VLOOKUP(U167,'GRPO Wiz'!AP:BT,21,FALSE),"")</f>
        <v/>
      </c>
      <c r="BE167" s="52" t="str">
        <f>_xlfn.IFNA(LEFT((VLOOKUP(U167,'GRPO Wiz'!AP:BT,22,FALSE)),8),"")</f>
        <v/>
      </c>
      <c r="BF167" s="52" t="str">
        <f>_xlfn.IFNA(VLOOKUP(U167,'GRPO Wiz'!AP:BT,26,FALSE),"")</f>
        <v/>
      </c>
      <c r="BG167" s="57" t="str">
        <f>_xlfn.IFNA(VLOOKUP(U167,'GRPO Wiz'!AP:BQ,28,FALSE),"")</f>
        <v/>
      </c>
      <c r="BH167" s="52" t="str">
        <f>_xlfn.IFNA(VLOOKUP(U167,'GRPO Wiz'!AP:BN,25,FALSE),"")</f>
        <v/>
      </c>
      <c r="BI167" s="52" t="str">
        <f>_xlfn.IFNA(VLOOKUP(U167,'GRPO Wiz'!AP:BT,31,FALSE),"")</f>
        <v/>
      </c>
      <c r="BJ167" s="52" t="str">
        <f>_xlfn.IFNA(VLOOKUP(U167,'GRPO Wiz'!AP:BZ,32,FALSE),"")</f>
        <v/>
      </c>
      <c r="BK167" s="52" t="str">
        <f>_xlfn.IFNA(VLOOKUP(U167,'GRPO Wiz'!AP:BZ,27,FALSE),"")</f>
        <v/>
      </c>
      <c r="BL167" s="52" t="str">
        <f>_xlfn.IFNA(VALUE(VLOOKUP(U167,'GRPO Wiz'!AP:BZ,29,FALSE)),"")</f>
        <v/>
      </c>
      <c r="BM167" s="52" t="str">
        <f>IF(OR(_xlfn.IFNA(VLOOKUP(U167,'GRPO Wiz'!AP:BZ,33,FALSE),"")="NSC",_xlfn.IFNA(VLOOKUP(U167,'GRPO Wiz'!AP:BZ,33,FALSE),"")="NSSMC"),"NSC","")</f>
        <v/>
      </c>
    </row>
    <row r="168" spans="10:65" ht="26.25" customHeight="1" x14ac:dyDescent="0.25">
      <c r="J168" s="52" t="str">
        <f t="shared" si="32"/>
        <v/>
      </c>
      <c r="K168" s="52" t="str">
        <f>IF(O168="","",VLOOKUP(U168,Data!O:AC,15,FALSE)/G168)</f>
        <v/>
      </c>
      <c r="X168" s="52">
        <f t="shared" si="33"/>
        <v>0</v>
      </c>
      <c r="Z168" s="52">
        <f t="shared" si="34"/>
        <v>0</v>
      </c>
      <c r="AZ168" s="52" t="str">
        <f>_xlfn.IFNA(VLOOKUP(U168,'GRPO Wiz'!AP:BT,17,FALSE),"")</f>
        <v/>
      </c>
      <c r="BA168" s="52" t="str">
        <f>_xlfn.IFNA(VLOOKUP(U168,'GRPO Wiz'!AP:BT,18,FALSE),"")</f>
        <v/>
      </c>
      <c r="BB168" s="52" t="str">
        <f>_xlfn.IFNA(VLOOKUP(U168,'GRPO Wiz'!AP:BT,19,FALSE),"")</f>
        <v/>
      </c>
      <c r="BC168" s="52" t="str">
        <f>_xlfn.IFNA(VLOOKUP(U168,'GRPO Wiz'!AP:BT,20,FALSE),"")</f>
        <v/>
      </c>
      <c r="BD168" s="52" t="str">
        <f>_xlfn.IFNA(VLOOKUP(U168,'GRPO Wiz'!AP:BT,21,FALSE),"")</f>
        <v/>
      </c>
      <c r="BE168" s="52" t="str">
        <f>_xlfn.IFNA(LEFT((VLOOKUP(U168,'GRPO Wiz'!AP:BT,22,FALSE)),8),"")</f>
        <v/>
      </c>
      <c r="BF168" s="52" t="str">
        <f>_xlfn.IFNA(VLOOKUP(U168,'GRPO Wiz'!AP:BT,26,FALSE),"")</f>
        <v/>
      </c>
      <c r="BG168" s="57" t="str">
        <f>_xlfn.IFNA(VLOOKUP(U168,'GRPO Wiz'!AP:BQ,28,FALSE),"")</f>
        <v/>
      </c>
      <c r="BH168" s="52" t="str">
        <f>_xlfn.IFNA(VLOOKUP(U168,'GRPO Wiz'!AP:BN,25,FALSE),"")</f>
        <v/>
      </c>
      <c r="BI168" s="52" t="str">
        <f>_xlfn.IFNA(VLOOKUP(U168,'GRPO Wiz'!AP:BT,31,FALSE),"")</f>
        <v/>
      </c>
      <c r="BJ168" s="52" t="str">
        <f>_xlfn.IFNA(VLOOKUP(U168,'GRPO Wiz'!AP:BZ,32,FALSE),"")</f>
        <v/>
      </c>
      <c r="BK168" s="52" t="str">
        <f>_xlfn.IFNA(VLOOKUP(U168,'GRPO Wiz'!AP:BZ,27,FALSE),"")</f>
        <v/>
      </c>
      <c r="BL168" s="52" t="str">
        <f>_xlfn.IFNA(VALUE(VLOOKUP(U168,'GRPO Wiz'!AP:BZ,29,FALSE)),"")</f>
        <v/>
      </c>
      <c r="BM168" s="52" t="str">
        <f>IF(OR(_xlfn.IFNA(VLOOKUP(U168,'GRPO Wiz'!AP:BZ,33,FALSE),"")="NSC",_xlfn.IFNA(VLOOKUP(U168,'GRPO Wiz'!AP:BZ,33,FALSE),"")="NSSMC"),"NSC","")</f>
        <v/>
      </c>
    </row>
    <row r="169" spans="10:65" ht="26.25" customHeight="1" x14ac:dyDescent="0.25">
      <c r="J169" s="52" t="str">
        <f t="shared" si="32"/>
        <v/>
      </c>
      <c r="K169" s="52" t="str">
        <f>IF(O169="","",VLOOKUP(U169,Data!O:AC,15,FALSE)/G169)</f>
        <v/>
      </c>
      <c r="X169" s="52">
        <f t="shared" si="33"/>
        <v>0</v>
      </c>
      <c r="Z169" s="52">
        <f t="shared" si="34"/>
        <v>0</v>
      </c>
      <c r="AZ169" s="52" t="str">
        <f>_xlfn.IFNA(VLOOKUP(U169,'GRPO Wiz'!AP:BT,17,FALSE),"")</f>
        <v/>
      </c>
      <c r="BA169" s="52" t="str">
        <f>_xlfn.IFNA(VLOOKUP(U169,'GRPO Wiz'!AP:BT,18,FALSE),"")</f>
        <v/>
      </c>
      <c r="BB169" s="52" t="str">
        <f>_xlfn.IFNA(VLOOKUP(U169,'GRPO Wiz'!AP:BT,19,FALSE),"")</f>
        <v/>
      </c>
      <c r="BC169" s="52" t="str">
        <f>_xlfn.IFNA(VLOOKUP(U169,'GRPO Wiz'!AP:BT,20,FALSE),"")</f>
        <v/>
      </c>
      <c r="BD169" s="52" t="str">
        <f>_xlfn.IFNA(VLOOKUP(U169,'GRPO Wiz'!AP:BT,21,FALSE),"")</f>
        <v/>
      </c>
      <c r="BE169" s="52" t="str">
        <f>_xlfn.IFNA(LEFT((VLOOKUP(U169,'GRPO Wiz'!AP:BT,22,FALSE)),8),"")</f>
        <v/>
      </c>
      <c r="BF169" s="52" t="str">
        <f>_xlfn.IFNA(VLOOKUP(U169,'GRPO Wiz'!AP:BT,26,FALSE),"")</f>
        <v/>
      </c>
      <c r="BG169" s="57" t="str">
        <f>_xlfn.IFNA(VLOOKUP(U169,'GRPO Wiz'!AP:BQ,28,FALSE),"")</f>
        <v/>
      </c>
      <c r="BH169" s="52" t="str">
        <f>_xlfn.IFNA(VLOOKUP(U169,'GRPO Wiz'!AP:BN,25,FALSE),"")</f>
        <v/>
      </c>
      <c r="BI169" s="52" t="str">
        <f>_xlfn.IFNA(VLOOKUP(U169,'GRPO Wiz'!AP:BT,31,FALSE),"")</f>
        <v/>
      </c>
      <c r="BJ169" s="52" t="str">
        <f>_xlfn.IFNA(VLOOKUP(U169,'GRPO Wiz'!AP:BZ,32,FALSE),"")</f>
        <v/>
      </c>
      <c r="BK169" s="52" t="str">
        <f>_xlfn.IFNA(VLOOKUP(U169,'GRPO Wiz'!AP:BZ,27,FALSE),"")</f>
        <v/>
      </c>
      <c r="BL169" s="52" t="str">
        <f>_xlfn.IFNA(VALUE(VLOOKUP(U169,'GRPO Wiz'!AP:BZ,29,FALSE)),"")</f>
        <v/>
      </c>
      <c r="BM169" s="52" t="str">
        <f>IF(OR(_xlfn.IFNA(VLOOKUP(U169,'GRPO Wiz'!AP:BZ,33,FALSE),"")="NSC",_xlfn.IFNA(VLOOKUP(U169,'GRPO Wiz'!AP:BZ,33,FALSE),"")="NSSMC"),"NSC","")</f>
        <v/>
      </c>
    </row>
    <row r="170" spans="10:65" ht="26.25" customHeight="1" x14ac:dyDescent="0.25">
      <c r="J170" s="52" t="str">
        <f t="shared" si="32"/>
        <v/>
      </c>
      <c r="K170" s="52" t="str">
        <f>IF(O170="","",VLOOKUP(U170,Data!O:AC,15,FALSE)/G170)</f>
        <v/>
      </c>
      <c r="X170" s="52">
        <f t="shared" si="33"/>
        <v>0</v>
      </c>
      <c r="Z170" s="52">
        <f t="shared" si="34"/>
        <v>0</v>
      </c>
      <c r="AZ170" s="52" t="str">
        <f>_xlfn.IFNA(VLOOKUP(U170,'GRPO Wiz'!AP:BT,17,FALSE),"")</f>
        <v/>
      </c>
      <c r="BA170" s="52" t="str">
        <f>_xlfn.IFNA(VLOOKUP(U170,'GRPO Wiz'!AP:BT,18,FALSE),"")</f>
        <v/>
      </c>
      <c r="BB170" s="52" t="str">
        <f>_xlfn.IFNA(VLOOKUP(U170,'GRPO Wiz'!AP:BT,19,FALSE),"")</f>
        <v/>
      </c>
      <c r="BC170" s="52" t="str">
        <f>_xlfn.IFNA(VLOOKUP(U170,'GRPO Wiz'!AP:BT,20,FALSE),"")</f>
        <v/>
      </c>
      <c r="BD170" s="52" t="str">
        <f>_xlfn.IFNA(VLOOKUP(U170,'GRPO Wiz'!AP:BT,21,FALSE),"")</f>
        <v/>
      </c>
      <c r="BE170" s="52" t="str">
        <f>_xlfn.IFNA(LEFT((VLOOKUP(U170,'GRPO Wiz'!AP:BT,22,FALSE)),8),"")</f>
        <v/>
      </c>
      <c r="BF170" s="52" t="str">
        <f>_xlfn.IFNA(VLOOKUP(U170,'GRPO Wiz'!AP:BT,26,FALSE),"")</f>
        <v/>
      </c>
      <c r="BG170" s="57" t="str">
        <f>_xlfn.IFNA(VLOOKUP(U170,'GRPO Wiz'!AP:BQ,28,FALSE),"")</f>
        <v/>
      </c>
      <c r="BH170" s="52" t="str">
        <f>_xlfn.IFNA(VLOOKUP(U170,'GRPO Wiz'!AP:BN,25,FALSE),"")</f>
        <v/>
      </c>
      <c r="BI170" s="52" t="str">
        <f>_xlfn.IFNA(VLOOKUP(U170,'GRPO Wiz'!AP:BT,31,FALSE),"")</f>
        <v/>
      </c>
      <c r="BJ170" s="52" t="str">
        <f>_xlfn.IFNA(VLOOKUP(U170,'GRPO Wiz'!AP:BZ,32,FALSE),"")</f>
        <v/>
      </c>
      <c r="BK170" s="52" t="str">
        <f>_xlfn.IFNA(VLOOKUP(U170,'GRPO Wiz'!AP:BZ,27,FALSE),"")</f>
        <v/>
      </c>
      <c r="BL170" s="52" t="str">
        <f>_xlfn.IFNA(VALUE(VLOOKUP(U170,'GRPO Wiz'!AP:BZ,29,FALSE)),"")</f>
        <v/>
      </c>
      <c r="BM170" s="52" t="str">
        <f>IF(OR(_xlfn.IFNA(VLOOKUP(U170,'GRPO Wiz'!AP:BZ,33,FALSE),"")="NSC",_xlfn.IFNA(VLOOKUP(U170,'GRPO Wiz'!AP:BZ,33,FALSE),"")="NSSMC"),"NSC","")</f>
        <v/>
      </c>
    </row>
    <row r="171" spans="10:65" ht="26.25" customHeight="1" x14ac:dyDescent="0.25">
      <c r="J171" s="52" t="str">
        <f t="shared" si="32"/>
        <v/>
      </c>
      <c r="K171" s="52" t="str">
        <f>IF(O171="","",VLOOKUP(U171,Data!O:AC,15,FALSE)/G171)</f>
        <v/>
      </c>
      <c r="X171" s="52">
        <f t="shared" si="33"/>
        <v>0</v>
      </c>
      <c r="Z171" s="52">
        <f t="shared" si="34"/>
        <v>0</v>
      </c>
      <c r="AZ171" s="52" t="str">
        <f>_xlfn.IFNA(VLOOKUP(U171,'GRPO Wiz'!AP:BT,17,FALSE),"")</f>
        <v/>
      </c>
      <c r="BA171" s="52" t="str">
        <f>_xlfn.IFNA(VLOOKUP(U171,'GRPO Wiz'!AP:BT,18,FALSE),"")</f>
        <v/>
      </c>
      <c r="BB171" s="52" t="str">
        <f>_xlfn.IFNA(VLOOKUP(U171,'GRPO Wiz'!AP:BT,19,FALSE),"")</f>
        <v/>
      </c>
      <c r="BC171" s="52" t="str">
        <f>_xlfn.IFNA(VLOOKUP(U171,'GRPO Wiz'!AP:BT,20,FALSE),"")</f>
        <v/>
      </c>
      <c r="BD171" s="52" t="str">
        <f>_xlfn.IFNA(VLOOKUP(U171,'GRPO Wiz'!AP:BT,21,FALSE),"")</f>
        <v/>
      </c>
      <c r="BE171" s="52" t="str">
        <f>_xlfn.IFNA(LEFT((VLOOKUP(U171,'GRPO Wiz'!AP:BT,22,FALSE)),8),"")</f>
        <v/>
      </c>
      <c r="BF171" s="52" t="str">
        <f>_xlfn.IFNA(VLOOKUP(U171,'GRPO Wiz'!AP:BT,26,FALSE),"")</f>
        <v/>
      </c>
      <c r="BG171" s="57" t="str">
        <f>_xlfn.IFNA(VLOOKUP(U171,'GRPO Wiz'!AP:BQ,28,FALSE),"")</f>
        <v/>
      </c>
      <c r="BH171" s="52" t="str">
        <f>_xlfn.IFNA(VLOOKUP(U171,'GRPO Wiz'!AP:BN,25,FALSE),"")</f>
        <v/>
      </c>
      <c r="BI171" s="52" t="str">
        <f>_xlfn.IFNA(VLOOKUP(U171,'GRPO Wiz'!AP:BT,31,FALSE),"")</f>
        <v/>
      </c>
      <c r="BJ171" s="52" t="str">
        <f>_xlfn.IFNA(VLOOKUP(U171,'GRPO Wiz'!AP:BZ,32,FALSE),"")</f>
        <v/>
      </c>
      <c r="BK171" s="52" t="str">
        <f>_xlfn.IFNA(VLOOKUP(U171,'GRPO Wiz'!AP:BZ,27,FALSE),"")</f>
        <v/>
      </c>
      <c r="BL171" s="52" t="str">
        <f>_xlfn.IFNA(VALUE(VLOOKUP(U171,'GRPO Wiz'!AP:BZ,29,FALSE)),"")</f>
        <v/>
      </c>
      <c r="BM171" s="52" t="str">
        <f>IF(OR(_xlfn.IFNA(VLOOKUP(U171,'GRPO Wiz'!AP:BZ,33,FALSE),"")="NSC",_xlfn.IFNA(VLOOKUP(U171,'GRPO Wiz'!AP:BZ,33,FALSE),"")="NSSMC"),"NSC","")</f>
        <v/>
      </c>
    </row>
    <row r="172" spans="10:65" ht="26.25" customHeight="1" x14ac:dyDescent="0.25">
      <c r="J172" s="52" t="str">
        <f t="shared" si="32"/>
        <v/>
      </c>
      <c r="K172" s="52" t="str">
        <f>IF(O172="","",VLOOKUP(U172,Data!O:AC,15,FALSE)/G172)</f>
        <v/>
      </c>
      <c r="X172" s="52">
        <f t="shared" si="33"/>
        <v>0</v>
      </c>
      <c r="Z172" s="52">
        <f t="shared" si="34"/>
        <v>0</v>
      </c>
      <c r="AZ172" s="52" t="str">
        <f>_xlfn.IFNA(VLOOKUP(U172,'GRPO Wiz'!AP:BT,17,FALSE),"")</f>
        <v/>
      </c>
      <c r="BA172" s="52" t="str">
        <f>_xlfn.IFNA(VLOOKUP(U172,'GRPO Wiz'!AP:BT,18,FALSE),"")</f>
        <v/>
      </c>
      <c r="BB172" s="52" t="str">
        <f>_xlfn.IFNA(VLOOKUP(U172,'GRPO Wiz'!AP:BT,19,FALSE),"")</f>
        <v/>
      </c>
      <c r="BC172" s="52" t="str">
        <f>_xlfn.IFNA(VLOOKUP(U172,'GRPO Wiz'!AP:BT,20,FALSE),"")</f>
        <v/>
      </c>
      <c r="BD172" s="52" t="str">
        <f>_xlfn.IFNA(VLOOKUP(U172,'GRPO Wiz'!AP:BT,21,FALSE),"")</f>
        <v/>
      </c>
      <c r="BE172" s="52" t="str">
        <f>_xlfn.IFNA(LEFT((VLOOKUP(U172,'GRPO Wiz'!AP:BT,22,FALSE)),8),"")</f>
        <v/>
      </c>
      <c r="BF172" s="52" t="str">
        <f>_xlfn.IFNA(VLOOKUP(U172,'GRPO Wiz'!AP:BT,26,FALSE),"")</f>
        <v/>
      </c>
      <c r="BG172" s="57" t="str">
        <f>_xlfn.IFNA(VLOOKUP(U172,'GRPO Wiz'!AP:BQ,28,FALSE),"")</f>
        <v/>
      </c>
      <c r="BH172" s="52" t="str">
        <f>_xlfn.IFNA(VLOOKUP(U172,'GRPO Wiz'!AP:BN,25,FALSE),"")</f>
        <v/>
      </c>
      <c r="BI172" s="52" t="str">
        <f>_xlfn.IFNA(VLOOKUP(U172,'GRPO Wiz'!AP:BT,31,FALSE),"")</f>
        <v/>
      </c>
      <c r="BJ172" s="52" t="str">
        <f>_xlfn.IFNA(VLOOKUP(U172,'GRPO Wiz'!AP:BZ,32,FALSE),"")</f>
        <v/>
      </c>
      <c r="BK172" s="52" t="str">
        <f>_xlfn.IFNA(VLOOKUP(U172,'GRPO Wiz'!AP:BZ,27,FALSE),"")</f>
        <v/>
      </c>
      <c r="BL172" s="52" t="str">
        <f>_xlfn.IFNA(VALUE(VLOOKUP(U172,'GRPO Wiz'!AP:BZ,29,FALSE)),"")</f>
        <v/>
      </c>
      <c r="BM172" s="52" t="str">
        <f>IF(OR(_xlfn.IFNA(VLOOKUP(U172,'GRPO Wiz'!AP:BZ,33,FALSE),"")="NSC",_xlfn.IFNA(VLOOKUP(U172,'GRPO Wiz'!AP:BZ,33,FALSE),"")="NSSMC"),"NSC","")</f>
        <v/>
      </c>
    </row>
    <row r="173" spans="10:65" ht="26.25" customHeight="1" x14ac:dyDescent="0.25">
      <c r="J173" s="52" t="str">
        <f t="shared" si="32"/>
        <v/>
      </c>
      <c r="K173" s="52" t="str">
        <f>IF(O173="","",VLOOKUP(U173,Data!O:AC,15,FALSE)/G173)</f>
        <v/>
      </c>
      <c r="X173" s="52">
        <f t="shared" si="33"/>
        <v>0</v>
      </c>
      <c r="Z173" s="52">
        <f t="shared" si="34"/>
        <v>0</v>
      </c>
      <c r="AZ173" s="52" t="str">
        <f>_xlfn.IFNA(VLOOKUP(U173,'GRPO Wiz'!AP:BT,17,FALSE),"")</f>
        <v/>
      </c>
      <c r="BA173" s="52" t="str">
        <f>_xlfn.IFNA(VLOOKUP(U173,'GRPO Wiz'!AP:BT,18,FALSE),"")</f>
        <v/>
      </c>
      <c r="BB173" s="52" t="str">
        <f>_xlfn.IFNA(VLOOKUP(U173,'GRPO Wiz'!AP:BT,19,FALSE),"")</f>
        <v/>
      </c>
      <c r="BC173" s="52" t="str">
        <f>_xlfn.IFNA(VLOOKUP(U173,'GRPO Wiz'!AP:BT,20,FALSE),"")</f>
        <v/>
      </c>
      <c r="BD173" s="52" t="str">
        <f>_xlfn.IFNA(VLOOKUP(U173,'GRPO Wiz'!AP:BT,21,FALSE),"")</f>
        <v/>
      </c>
      <c r="BE173" s="52" t="str">
        <f>_xlfn.IFNA(LEFT((VLOOKUP(U173,'GRPO Wiz'!AP:BT,22,FALSE)),8),"")</f>
        <v/>
      </c>
      <c r="BF173" s="52" t="str">
        <f>_xlfn.IFNA(VLOOKUP(U173,'GRPO Wiz'!AP:BT,26,FALSE),"")</f>
        <v/>
      </c>
      <c r="BG173" s="57" t="str">
        <f>_xlfn.IFNA(VLOOKUP(U173,'GRPO Wiz'!AP:BQ,28,FALSE),"")</f>
        <v/>
      </c>
      <c r="BH173" s="52" t="str">
        <f>_xlfn.IFNA(VLOOKUP(U173,'GRPO Wiz'!AP:BN,25,FALSE),"")</f>
        <v/>
      </c>
      <c r="BI173" s="52" t="str">
        <f>_xlfn.IFNA(VLOOKUP(U173,'GRPO Wiz'!AP:BT,31,FALSE),"")</f>
        <v/>
      </c>
      <c r="BJ173" s="52" t="str">
        <f>_xlfn.IFNA(VLOOKUP(U173,'GRPO Wiz'!AP:BZ,32,FALSE),"")</f>
        <v/>
      </c>
      <c r="BK173" s="52" t="str">
        <f>_xlfn.IFNA(VLOOKUP(U173,'GRPO Wiz'!AP:BZ,27,FALSE),"")</f>
        <v/>
      </c>
      <c r="BL173" s="52" t="str">
        <f>_xlfn.IFNA(VALUE(VLOOKUP(U173,'GRPO Wiz'!AP:BZ,29,FALSE)),"")</f>
        <v/>
      </c>
      <c r="BM173" s="52" t="str">
        <f>IF(OR(_xlfn.IFNA(VLOOKUP(U173,'GRPO Wiz'!AP:BZ,33,FALSE),"")="NSC",_xlfn.IFNA(VLOOKUP(U173,'GRPO Wiz'!AP:BZ,33,FALSE),"")="NSSMC"),"NSC","")</f>
        <v/>
      </c>
    </row>
    <row r="174" spans="10:65" ht="26.25" customHeight="1" x14ac:dyDescent="0.25">
      <c r="J174" s="52" t="str">
        <f t="shared" si="32"/>
        <v/>
      </c>
      <c r="K174" s="52" t="str">
        <f>IF(O174="","",VLOOKUP(U174,Data!O:AC,15,FALSE)/G174)</f>
        <v/>
      </c>
      <c r="X174" s="52">
        <f t="shared" si="33"/>
        <v>0</v>
      </c>
      <c r="Z174" s="52">
        <f t="shared" si="34"/>
        <v>0</v>
      </c>
      <c r="AZ174" s="52" t="str">
        <f>_xlfn.IFNA(VLOOKUP(U174,'GRPO Wiz'!AP:BT,17,FALSE),"")</f>
        <v/>
      </c>
      <c r="BA174" s="52" t="str">
        <f>_xlfn.IFNA(VLOOKUP(U174,'GRPO Wiz'!AP:BT,18,FALSE),"")</f>
        <v/>
      </c>
      <c r="BB174" s="52" t="str">
        <f>_xlfn.IFNA(VLOOKUP(U174,'GRPO Wiz'!AP:BT,19,FALSE),"")</f>
        <v/>
      </c>
      <c r="BC174" s="52" t="str">
        <f>_xlfn.IFNA(VLOOKUP(U174,'GRPO Wiz'!AP:BT,20,FALSE),"")</f>
        <v/>
      </c>
      <c r="BD174" s="52" t="str">
        <f>_xlfn.IFNA(VLOOKUP(U174,'GRPO Wiz'!AP:BT,21,FALSE),"")</f>
        <v/>
      </c>
      <c r="BE174" s="52" t="str">
        <f>_xlfn.IFNA(LEFT((VLOOKUP(U174,'GRPO Wiz'!AP:BT,22,FALSE)),8),"")</f>
        <v/>
      </c>
      <c r="BF174" s="52" t="str">
        <f>_xlfn.IFNA(VLOOKUP(U174,'GRPO Wiz'!AP:BT,26,FALSE),"")</f>
        <v/>
      </c>
      <c r="BG174" s="57" t="str">
        <f>_xlfn.IFNA(VLOOKUP(U174,'GRPO Wiz'!AP:BQ,28,FALSE),"")</f>
        <v/>
      </c>
      <c r="BH174" s="52" t="str">
        <f>_xlfn.IFNA(VLOOKUP(U174,'GRPO Wiz'!AP:BN,25,FALSE),"")</f>
        <v/>
      </c>
      <c r="BI174" s="52" t="str">
        <f>_xlfn.IFNA(VLOOKUP(U174,'GRPO Wiz'!AP:BT,31,FALSE),"")</f>
        <v/>
      </c>
      <c r="BJ174" s="52" t="str">
        <f>_xlfn.IFNA(VLOOKUP(U174,'GRPO Wiz'!AP:BZ,32,FALSE),"")</f>
        <v/>
      </c>
      <c r="BK174" s="52" t="str">
        <f>_xlfn.IFNA(VLOOKUP(U174,'GRPO Wiz'!AP:BZ,27,FALSE),"")</f>
        <v/>
      </c>
      <c r="BL174" s="52" t="str">
        <f>_xlfn.IFNA(VALUE(VLOOKUP(U174,'GRPO Wiz'!AP:BZ,29,FALSE)),"")</f>
        <v/>
      </c>
      <c r="BM174" s="52" t="str">
        <f>IF(OR(_xlfn.IFNA(VLOOKUP(U174,'GRPO Wiz'!AP:BZ,33,FALSE),"")="NSC",_xlfn.IFNA(VLOOKUP(U174,'GRPO Wiz'!AP:BZ,33,FALSE),"")="NSSMC"),"NSC","")</f>
        <v/>
      </c>
    </row>
    <row r="175" spans="10:65" ht="26.25" customHeight="1" x14ac:dyDescent="0.25">
      <c r="J175" s="52" t="str">
        <f t="shared" si="32"/>
        <v/>
      </c>
      <c r="K175" s="52" t="str">
        <f>IF(O175="","",VLOOKUP(U175,Data!O:AC,15,FALSE)/G175)</f>
        <v/>
      </c>
      <c r="X175" s="52">
        <f t="shared" si="33"/>
        <v>0</v>
      </c>
      <c r="Z175" s="52">
        <f t="shared" si="34"/>
        <v>0</v>
      </c>
      <c r="AZ175" s="52" t="str">
        <f>_xlfn.IFNA(VLOOKUP(U175,'GRPO Wiz'!AP:BT,17,FALSE),"")</f>
        <v/>
      </c>
      <c r="BA175" s="52" t="str">
        <f>_xlfn.IFNA(VLOOKUP(U175,'GRPO Wiz'!AP:BT,18,FALSE),"")</f>
        <v/>
      </c>
      <c r="BB175" s="52" t="str">
        <f>_xlfn.IFNA(VLOOKUP(U175,'GRPO Wiz'!AP:BT,19,FALSE),"")</f>
        <v/>
      </c>
      <c r="BC175" s="52" t="str">
        <f>_xlfn.IFNA(VLOOKUP(U175,'GRPO Wiz'!AP:BT,20,FALSE),"")</f>
        <v/>
      </c>
      <c r="BD175" s="52" t="str">
        <f>_xlfn.IFNA(VLOOKUP(U175,'GRPO Wiz'!AP:BT,21,FALSE),"")</f>
        <v/>
      </c>
      <c r="BE175" s="52" t="str">
        <f>_xlfn.IFNA(LEFT((VLOOKUP(U175,'GRPO Wiz'!AP:BT,22,FALSE)),8),"")</f>
        <v/>
      </c>
      <c r="BF175" s="52" t="str">
        <f>_xlfn.IFNA(VLOOKUP(U175,'GRPO Wiz'!AP:BT,26,FALSE),"")</f>
        <v/>
      </c>
      <c r="BG175" s="57" t="str">
        <f>_xlfn.IFNA(VLOOKUP(U175,'GRPO Wiz'!AP:BQ,28,FALSE),"")</f>
        <v/>
      </c>
      <c r="BH175" s="52" t="str">
        <f>_xlfn.IFNA(VLOOKUP(U175,'GRPO Wiz'!AP:BN,25,FALSE),"")</f>
        <v/>
      </c>
      <c r="BI175" s="52" t="str">
        <f>_xlfn.IFNA(VLOOKUP(U175,'GRPO Wiz'!AP:BT,31,FALSE),"")</f>
        <v/>
      </c>
      <c r="BJ175" s="52" t="str">
        <f>_xlfn.IFNA(VLOOKUP(U175,'GRPO Wiz'!AP:BZ,32,FALSE),"")</f>
        <v/>
      </c>
      <c r="BK175" s="52" t="str">
        <f>_xlfn.IFNA(VLOOKUP(U175,'GRPO Wiz'!AP:BZ,27,FALSE),"")</f>
        <v/>
      </c>
      <c r="BL175" s="52" t="str">
        <f>_xlfn.IFNA(VALUE(VLOOKUP(U175,'GRPO Wiz'!AP:BZ,29,FALSE)),"")</f>
        <v/>
      </c>
      <c r="BM175" s="52" t="str">
        <f>IF(OR(_xlfn.IFNA(VLOOKUP(U175,'GRPO Wiz'!AP:BZ,33,FALSE),"")="NSC",_xlfn.IFNA(VLOOKUP(U175,'GRPO Wiz'!AP:BZ,33,FALSE),"")="NSSMC"),"NSC","")</f>
        <v/>
      </c>
    </row>
    <row r="176" spans="10:65" ht="26.25" customHeight="1" x14ac:dyDescent="0.25">
      <c r="J176" s="52" t="str">
        <f t="shared" si="32"/>
        <v/>
      </c>
      <c r="K176" s="52" t="str">
        <f>IF(O176="","",VLOOKUP(U176,Data!O:AC,15,FALSE)/G176)</f>
        <v/>
      </c>
      <c r="X176" s="52">
        <f t="shared" si="33"/>
        <v>0</v>
      </c>
      <c r="Z176" s="52">
        <f t="shared" si="34"/>
        <v>0</v>
      </c>
      <c r="AZ176" s="52" t="str">
        <f>_xlfn.IFNA(VLOOKUP(U176,'GRPO Wiz'!AP:BT,17,FALSE),"")</f>
        <v/>
      </c>
      <c r="BA176" s="52" t="str">
        <f>_xlfn.IFNA(VLOOKUP(U176,'GRPO Wiz'!AP:BT,18,FALSE),"")</f>
        <v/>
      </c>
      <c r="BB176" s="52" t="str">
        <f>_xlfn.IFNA(VLOOKUP(U176,'GRPO Wiz'!AP:BT,19,FALSE),"")</f>
        <v/>
      </c>
      <c r="BC176" s="52" t="str">
        <f>_xlfn.IFNA(VLOOKUP(U176,'GRPO Wiz'!AP:BT,20,FALSE),"")</f>
        <v/>
      </c>
      <c r="BD176" s="52" t="str">
        <f>_xlfn.IFNA(VLOOKUP(U176,'GRPO Wiz'!AP:BT,21,FALSE),"")</f>
        <v/>
      </c>
      <c r="BE176" s="52" t="str">
        <f>_xlfn.IFNA(LEFT((VLOOKUP(U176,'GRPO Wiz'!AP:BT,22,FALSE)),8),"")</f>
        <v/>
      </c>
      <c r="BF176" s="52" t="str">
        <f>_xlfn.IFNA(VLOOKUP(U176,'GRPO Wiz'!AP:BT,26,FALSE),"")</f>
        <v/>
      </c>
      <c r="BG176" s="57" t="str">
        <f>_xlfn.IFNA(VLOOKUP(U176,'GRPO Wiz'!AP:BQ,28,FALSE),"")</f>
        <v/>
      </c>
      <c r="BH176" s="52" t="str">
        <f>_xlfn.IFNA(VLOOKUP(U176,'GRPO Wiz'!AP:BN,25,FALSE),"")</f>
        <v/>
      </c>
      <c r="BI176" s="52" t="str">
        <f>_xlfn.IFNA(VLOOKUP(U176,'GRPO Wiz'!AP:BT,31,FALSE),"")</f>
        <v/>
      </c>
      <c r="BJ176" s="52" t="str">
        <f>_xlfn.IFNA(VLOOKUP(U176,'GRPO Wiz'!AP:BZ,32,FALSE),"")</f>
        <v/>
      </c>
      <c r="BK176" s="52" t="str">
        <f>_xlfn.IFNA(VLOOKUP(U176,'GRPO Wiz'!AP:BZ,27,FALSE),"")</f>
        <v/>
      </c>
      <c r="BL176" s="52" t="str">
        <f>_xlfn.IFNA(VALUE(VLOOKUP(U176,'GRPO Wiz'!AP:BZ,29,FALSE)),"")</f>
        <v/>
      </c>
      <c r="BM176" s="52" t="str">
        <f>IF(OR(_xlfn.IFNA(VLOOKUP(U176,'GRPO Wiz'!AP:BZ,33,FALSE),"")="NSC",_xlfn.IFNA(VLOOKUP(U176,'GRPO Wiz'!AP:BZ,33,FALSE),"")="NSSMC"),"NSC","")</f>
        <v/>
      </c>
    </row>
    <row r="177" spans="10:65" ht="26.25" customHeight="1" x14ac:dyDescent="0.25">
      <c r="J177" s="52" t="str">
        <f t="shared" si="32"/>
        <v/>
      </c>
      <c r="K177" s="52" t="str">
        <f>IF(O177="","",VLOOKUP(U177,Data!O:AC,15,FALSE)/G177)</f>
        <v/>
      </c>
      <c r="X177" s="52">
        <f t="shared" si="33"/>
        <v>0</v>
      </c>
      <c r="Z177" s="52">
        <f t="shared" si="34"/>
        <v>0</v>
      </c>
      <c r="AZ177" s="52" t="str">
        <f>_xlfn.IFNA(VLOOKUP(U177,'GRPO Wiz'!AP:BT,17,FALSE),"")</f>
        <v/>
      </c>
      <c r="BA177" s="52" t="str">
        <f>_xlfn.IFNA(VLOOKUP(U177,'GRPO Wiz'!AP:BT,18,FALSE),"")</f>
        <v/>
      </c>
      <c r="BB177" s="52" t="str">
        <f>_xlfn.IFNA(VLOOKUP(U177,'GRPO Wiz'!AP:BT,19,FALSE),"")</f>
        <v/>
      </c>
      <c r="BC177" s="52" t="str">
        <f>_xlfn.IFNA(VLOOKUP(U177,'GRPO Wiz'!AP:BT,20,FALSE),"")</f>
        <v/>
      </c>
      <c r="BD177" s="52" t="str">
        <f>_xlfn.IFNA(VLOOKUP(U177,'GRPO Wiz'!AP:BT,21,FALSE),"")</f>
        <v/>
      </c>
      <c r="BE177" s="52" t="str">
        <f>_xlfn.IFNA(LEFT((VLOOKUP(U177,'GRPO Wiz'!AP:BT,22,FALSE)),8),"")</f>
        <v/>
      </c>
      <c r="BF177" s="52" t="str">
        <f>_xlfn.IFNA(VLOOKUP(U177,'GRPO Wiz'!AP:BT,26,FALSE),"")</f>
        <v/>
      </c>
      <c r="BG177" s="57" t="str">
        <f>_xlfn.IFNA(VLOOKUP(U177,'GRPO Wiz'!AP:BQ,28,FALSE),"")</f>
        <v/>
      </c>
      <c r="BH177" s="52" t="str">
        <f>_xlfn.IFNA(VLOOKUP(U177,'GRPO Wiz'!AP:BN,25,FALSE),"")</f>
        <v/>
      </c>
      <c r="BI177" s="52" t="str">
        <f>_xlfn.IFNA(VLOOKUP(U177,'GRPO Wiz'!AP:BT,31,FALSE),"")</f>
        <v/>
      </c>
      <c r="BJ177" s="52" t="str">
        <f>_xlfn.IFNA(VLOOKUP(U177,'GRPO Wiz'!AP:BZ,32,FALSE),"")</f>
        <v/>
      </c>
      <c r="BK177" s="52" t="str">
        <f>_xlfn.IFNA(VLOOKUP(U177,'GRPO Wiz'!AP:BZ,27,FALSE),"")</f>
        <v/>
      </c>
      <c r="BL177" s="52" t="str">
        <f>_xlfn.IFNA(VALUE(VLOOKUP(U177,'GRPO Wiz'!AP:BZ,29,FALSE)),"")</f>
        <v/>
      </c>
      <c r="BM177" s="52" t="str">
        <f>IF(OR(_xlfn.IFNA(VLOOKUP(U177,'GRPO Wiz'!AP:BZ,33,FALSE),"")="NSC",_xlfn.IFNA(VLOOKUP(U177,'GRPO Wiz'!AP:BZ,33,FALSE),"")="NSSMC"),"NSC","")</f>
        <v/>
      </c>
    </row>
    <row r="178" spans="10:65" ht="26.25" customHeight="1" x14ac:dyDescent="0.25">
      <c r="J178" s="52" t="str">
        <f t="shared" si="32"/>
        <v/>
      </c>
      <c r="K178" s="52" t="str">
        <f>IF(O178="","",VLOOKUP(U178,Data!O:AC,15,FALSE)/G178)</f>
        <v/>
      </c>
      <c r="X178" s="52">
        <f t="shared" si="33"/>
        <v>0</v>
      </c>
      <c r="Z178" s="52">
        <f t="shared" si="34"/>
        <v>0</v>
      </c>
      <c r="AZ178" s="52" t="str">
        <f>_xlfn.IFNA(VLOOKUP(U178,'GRPO Wiz'!AP:BT,17,FALSE),"")</f>
        <v/>
      </c>
      <c r="BA178" s="52" t="str">
        <f>_xlfn.IFNA(VLOOKUP(U178,'GRPO Wiz'!AP:BT,18,FALSE),"")</f>
        <v/>
      </c>
      <c r="BB178" s="52" t="str">
        <f>_xlfn.IFNA(VLOOKUP(U178,'GRPO Wiz'!AP:BT,19,FALSE),"")</f>
        <v/>
      </c>
      <c r="BC178" s="52" t="str">
        <f>_xlfn.IFNA(VLOOKUP(U178,'GRPO Wiz'!AP:BT,20,FALSE),"")</f>
        <v/>
      </c>
      <c r="BD178" s="52" t="str">
        <f>_xlfn.IFNA(VLOOKUP(U178,'GRPO Wiz'!AP:BT,21,FALSE),"")</f>
        <v/>
      </c>
      <c r="BE178" s="52" t="str">
        <f>_xlfn.IFNA(LEFT((VLOOKUP(U178,'GRPO Wiz'!AP:BT,22,FALSE)),8),"")</f>
        <v/>
      </c>
      <c r="BF178" s="52" t="str">
        <f>_xlfn.IFNA(VLOOKUP(U178,'GRPO Wiz'!AP:BT,26,FALSE),"")</f>
        <v/>
      </c>
      <c r="BG178" s="57" t="str">
        <f>_xlfn.IFNA(VLOOKUP(U178,'GRPO Wiz'!AP:BQ,28,FALSE),"")</f>
        <v/>
      </c>
      <c r="BH178" s="52" t="str">
        <f>_xlfn.IFNA(VLOOKUP(U178,'GRPO Wiz'!AP:BN,25,FALSE),"")</f>
        <v/>
      </c>
      <c r="BI178" s="52" t="str">
        <f>_xlfn.IFNA(VLOOKUP(U178,'GRPO Wiz'!AP:BT,31,FALSE),"")</f>
        <v/>
      </c>
      <c r="BJ178" s="52" t="str">
        <f>_xlfn.IFNA(VLOOKUP(U178,'GRPO Wiz'!AP:BZ,32,FALSE),"")</f>
        <v/>
      </c>
      <c r="BK178" s="52" t="str">
        <f>_xlfn.IFNA(VLOOKUP(U178,'GRPO Wiz'!AP:BZ,27,FALSE),"")</f>
        <v/>
      </c>
      <c r="BL178" s="52" t="str">
        <f>_xlfn.IFNA(VALUE(VLOOKUP(U178,'GRPO Wiz'!AP:BZ,29,FALSE)),"")</f>
        <v/>
      </c>
      <c r="BM178" s="52" t="str">
        <f>IF(OR(_xlfn.IFNA(VLOOKUP(U178,'GRPO Wiz'!AP:BZ,33,FALSE),"")="NSC",_xlfn.IFNA(VLOOKUP(U178,'GRPO Wiz'!AP:BZ,33,FALSE),"")="NSSMC"),"NSC","")</f>
        <v/>
      </c>
    </row>
    <row r="179" spans="10:65" ht="26.25" customHeight="1" x14ac:dyDescent="0.25">
      <c r="J179" s="52" t="str">
        <f t="shared" si="32"/>
        <v/>
      </c>
      <c r="K179" s="52" t="str">
        <f>IF(O179="","",VLOOKUP(U179,Data!O:AC,15,FALSE)/G179)</f>
        <v/>
      </c>
      <c r="X179" s="52">
        <f t="shared" si="33"/>
        <v>0</v>
      </c>
      <c r="Z179" s="52">
        <f t="shared" si="34"/>
        <v>0</v>
      </c>
      <c r="AZ179" s="52" t="str">
        <f>_xlfn.IFNA(VLOOKUP(U179,'GRPO Wiz'!AP:BT,17,FALSE),"")</f>
        <v/>
      </c>
      <c r="BA179" s="52" t="str">
        <f>_xlfn.IFNA(VLOOKUP(U179,'GRPO Wiz'!AP:BT,18,FALSE),"")</f>
        <v/>
      </c>
      <c r="BB179" s="52" t="str">
        <f>_xlfn.IFNA(VLOOKUP(U179,'GRPO Wiz'!AP:BT,19,FALSE),"")</f>
        <v/>
      </c>
      <c r="BC179" s="52" t="str">
        <f>_xlfn.IFNA(VLOOKUP(U179,'GRPO Wiz'!AP:BT,20,FALSE),"")</f>
        <v/>
      </c>
      <c r="BD179" s="52" t="str">
        <f>_xlfn.IFNA(VLOOKUP(U179,'GRPO Wiz'!AP:BT,21,FALSE),"")</f>
        <v/>
      </c>
      <c r="BE179" s="52" t="str">
        <f>_xlfn.IFNA(LEFT((VLOOKUP(U179,'GRPO Wiz'!AP:BT,22,FALSE)),8),"")</f>
        <v/>
      </c>
      <c r="BF179" s="52" t="str">
        <f>_xlfn.IFNA(VLOOKUP(U179,'GRPO Wiz'!AP:BT,26,FALSE),"")</f>
        <v/>
      </c>
      <c r="BG179" s="57" t="str">
        <f>_xlfn.IFNA(VLOOKUP(U179,'GRPO Wiz'!AP:BQ,28,FALSE),"")</f>
        <v/>
      </c>
      <c r="BH179" s="52" t="str">
        <f>_xlfn.IFNA(VLOOKUP(U179,'GRPO Wiz'!AP:BN,25,FALSE),"")</f>
        <v/>
      </c>
      <c r="BI179" s="52" t="str">
        <f>_xlfn.IFNA(VLOOKUP(U179,'GRPO Wiz'!AP:BT,31,FALSE),"")</f>
        <v/>
      </c>
      <c r="BJ179" s="52" t="str">
        <f>_xlfn.IFNA(VLOOKUP(U179,'GRPO Wiz'!AP:BZ,32,FALSE),"")</f>
        <v/>
      </c>
      <c r="BK179" s="52" t="str">
        <f>_xlfn.IFNA(VLOOKUP(U179,'GRPO Wiz'!AP:BZ,27,FALSE),"")</f>
        <v/>
      </c>
      <c r="BL179" s="52" t="str">
        <f>_xlfn.IFNA(VALUE(VLOOKUP(U179,'GRPO Wiz'!AP:BZ,29,FALSE)),"")</f>
        <v/>
      </c>
      <c r="BM179" s="52" t="str">
        <f>IF(OR(_xlfn.IFNA(VLOOKUP(U179,'GRPO Wiz'!AP:BZ,33,FALSE),"")="NSC",_xlfn.IFNA(VLOOKUP(U179,'GRPO Wiz'!AP:BZ,33,FALSE),"")="NSSMC"),"NSC","")</f>
        <v/>
      </c>
    </row>
    <row r="180" spans="10:65" ht="26.25" customHeight="1" x14ac:dyDescent="0.25">
      <c r="J180" s="52" t="str">
        <f t="shared" si="32"/>
        <v/>
      </c>
      <c r="K180" s="52" t="str">
        <f>IF(O180="","",VLOOKUP(U180,Data!O:AC,15,FALSE)/G180)</f>
        <v/>
      </c>
      <c r="X180" s="52">
        <f t="shared" si="33"/>
        <v>0</v>
      </c>
      <c r="Z180" s="52">
        <f t="shared" si="34"/>
        <v>0</v>
      </c>
      <c r="AZ180" s="52" t="str">
        <f>_xlfn.IFNA(VLOOKUP(U180,'GRPO Wiz'!AP:BT,17,FALSE),"")</f>
        <v/>
      </c>
      <c r="BA180" s="52" t="str">
        <f>_xlfn.IFNA(VLOOKUP(U180,'GRPO Wiz'!AP:BT,18,FALSE),"")</f>
        <v/>
      </c>
      <c r="BB180" s="52" t="str">
        <f>_xlfn.IFNA(VLOOKUP(U180,'GRPO Wiz'!AP:BT,19,FALSE),"")</f>
        <v/>
      </c>
      <c r="BC180" s="52" t="str">
        <f>_xlfn.IFNA(VLOOKUP(U180,'GRPO Wiz'!AP:BT,20,FALSE),"")</f>
        <v/>
      </c>
      <c r="BD180" s="52" t="str">
        <f>_xlfn.IFNA(VLOOKUP(U180,'GRPO Wiz'!AP:BT,21,FALSE),"")</f>
        <v/>
      </c>
      <c r="BE180" s="52" t="str">
        <f>_xlfn.IFNA(LEFT((VLOOKUP(U180,'GRPO Wiz'!AP:BT,22,FALSE)),8),"")</f>
        <v/>
      </c>
      <c r="BF180" s="52" t="str">
        <f>_xlfn.IFNA(VLOOKUP(U180,'GRPO Wiz'!AP:BT,26,FALSE),"")</f>
        <v/>
      </c>
      <c r="BG180" s="57" t="str">
        <f>_xlfn.IFNA(VLOOKUP(U180,'GRPO Wiz'!AP:BQ,28,FALSE),"")</f>
        <v/>
      </c>
      <c r="BH180" s="52" t="str">
        <f>_xlfn.IFNA(VLOOKUP(U180,'GRPO Wiz'!AP:BN,25,FALSE),"")</f>
        <v/>
      </c>
      <c r="BI180" s="52" t="str">
        <f>_xlfn.IFNA(VLOOKUP(U180,'GRPO Wiz'!AP:BT,31,FALSE),"")</f>
        <v/>
      </c>
      <c r="BJ180" s="52" t="str">
        <f>_xlfn.IFNA(VLOOKUP(U180,'GRPO Wiz'!AP:BZ,32,FALSE),"")</f>
        <v/>
      </c>
      <c r="BK180" s="52" t="str">
        <f>_xlfn.IFNA(VLOOKUP(U180,'GRPO Wiz'!AP:BZ,27,FALSE),"")</f>
        <v/>
      </c>
      <c r="BL180" s="52" t="str">
        <f>_xlfn.IFNA(VALUE(VLOOKUP(U180,'GRPO Wiz'!AP:BZ,29,FALSE)),"")</f>
        <v/>
      </c>
      <c r="BM180" s="52" t="str">
        <f>IF(OR(_xlfn.IFNA(VLOOKUP(U180,'GRPO Wiz'!AP:BZ,33,FALSE),"")="NSC",_xlfn.IFNA(VLOOKUP(U180,'GRPO Wiz'!AP:BZ,33,FALSE),"")="NSSMC"),"NSC","")</f>
        <v/>
      </c>
    </row>
    <row r="181" spans="10:65" ht="26.25" customHeight="1" x14ac:dyDescent="0.25">
      <c r="J181" s="52" t="str">
        <f t="shared" si="32"/>
        <v/>
      </c>
      <c r="K181" s="52" t="str">
        <f>IF(O181="","",VLOOKUP(U181,Data!O:AC,15,FALSE)/G181)</f>
        <v/>
      </c>
      <c r="X181" s="52">
        <f t="shared" si="33"/>
        <v>0</v>
      </c>
      <c r="Z181" s="52">
        <f t="shared" si="34"/>
        <v>0</v>
      </c>
      <c r="AZ181" s="52" t="str">
        <f>_xlfn.IFNA(VLOOKUP(U181,'GRPO Wiz'!AP:BT,17,FALSE),"")</f>
        <v/>
      </c>
      <c r="BA181" s="52" t="str">
        <f>_xlfn.IFNA(VLOOKUP(U181,'GRPO Wiz'!AP:BT,18,FALSE),"")</f>
        <v/>
      </c>
      <c r="BB181" s="52" t="str">
        <f>_xlfn.IFNA(VLOOKUP(U181,'GRPO Wiz'!AP:BT,19,FALSE),"")</f>
        <v/>
      </c>
      <c r="BC181" s="52" t="str">
        <f>_xlfn.IFNA(VLOOKUP(U181,'GRPO Wiz'!AP:BT,20,FALSE),"")</f>
        <v/>
      </c>
      <c r="BD181" s="52" t="str">
        <f>_xlfn.IFNA(VLOOKUP(U181,'GRPO Wiz'!AP:BT,21,FALSE),"")</f>
        <v/>
      </c>
      <c r="BE181" s="52" t="str">
        <f>_xlfn.IFNA(LEFT((VLOOKUP(U181,'GRPO Wiz'!AP:BT,22,FALSE)),8),"")</f>
        <v/>
      </c>
      <c r="BF181" s="52" t="str">
        <f>_xlfn.IFNA(VLOOKUP(U181,'GRPO Wiz'!AP:BT,26,FALSE),"")</f>
        <v/>
      </c>
      <c r="BG181" s="57" t="str">
        <f>_xlfn.IFNA(VLOOKUP(U181,'GRPO Wiz'!AP:BQ,28,FALSE),"")</f>
        <v/>
      </c>
      <c r="BH181" s="52" t="str">
        <f>_xlfn.IFNA(VLOOKUP(U181,'GRPO Wiz'!AP:BN,25,FALSE),"")</f>
        <v/>
      </c>
      <c r="BI181" s="52" t="str">
        <f>_xlfn.IFNA(VLOOKUP(U181,'GRPO Wiz'!AP:BT,31,FALSE),"")</f>
        <v/>
      </c>
      <c r="BJ181" s="52" t="str">
        <f>_xlfn.IFNA(VLOOKUP(U181,'GRPO Wiz'!AP:BZ,32,FALSE),"")</f>
        <v/>
      </c>
      <c r="BK181" s="52" t="str">
        <f>_xlfn.IFNA(VLOOKUP(U181,'GRPO Wiz'!AP:BZ,27,FALSE),"")</f>
        <v/>
      </c>
      <c r="BL181" s="52" t="str">
        <f>_xlfn.IFNA(VALUE(VLOOKUP(U181,'GRPO Wiz'!AP:BZ,29,FALSE)),"")</f>
        <v/>
      </c>
      <c r="BM181" s="52" t="str">
        <f>IF(OR(_xlfn.IFNA(VLOOKUP(U181,'GRPO Wiz'!AP:BZ,33,FALSE),"")="NSC",_xlfn.IFNA(VLOOKUP(U181,'GRPO Wiz'!AP:BZ,33,FALSE),"")="NSSMC"),"NSC","")</f>
        <v/>
      </c>
    </row>
    <row r="182" spans="10:65" ht="26.25" customHeight="1" x14ac:dyDescent="0.25">
      <c r="J182" s="52" t="str">
        <f t="shared" si="32"/>
        <v/>
      </c>
      <c r="K182" s="52" t="str">
        <f>IF(O182="","",VLOOKUP(U182,Data!O:AC,15,FALSE)/G182)</f>
        <v/>
      </c>
      <c r="X182" s="52">
        <f t="shared" si="33"/>
        <v>0</v>
      </c>
      <c r="Z182" s="52">
        <f t="shared" si="34"/>
        <v>0</v>
      </c>
      <c r="AZ182" s="52" t="str">
        <f>_xlfn.IFNA(VLOOKUP(U182,'GRPO Wiz'!AP:BT,17,FALSE),"")</f>
        <v/>
      </c>
      <c r="BA182" s="52" t="str">
        <f>_xlfn.IFNA(VLOOKUP(U182,'GRPO Wiz'!AP:BT,18,FALSE),"")</f>
        <v/>
      </c>
      <c r="BB182" s="52" t="str">
        <f>_xlfn.IFNA(VLOOKUP(U182,'GRPO Wiz'!AP:BT,19,FALSE),"")</f>
        <v/>
      </c>
      <c r="BC182" s="52" t="str">
        <f>_xlfn.IFNA(VLOOKUP(U182,'GRPO Wiz'!AP:BT,20,FALSE),"")</f>
        <v/>
      </c>
      <c r="BD182" s="52" t="str">
        <f>_xlfn.IFNA(VLOOKUP(U182,'GRPO Wiz'!AP:BT,21,FALSE),"")</f>
        <v/>
      </c>
      <c r="BE182" s="52" t="str">
        <f>_xlfn.IFNA(LEFT((VLOOKUP(U182,'GRPO Wiz'!AP:BT,22,FALSE)),8),"")</f>
        <v/>
      </c>
      <c r="BF182" s="52" t="str">
        <f>_xlfn.IFNA(VLOOKUP(U182,'GRPO Wiz'!AP:BT,26,FALSE),"")</f>
        <v/>
      </c>
      <c r="BG182" s="57" t="str">
        <f>_xlfn.IFNA(VLOOKUP(U182,'GRPO Wiz'!AP:BQ,28,FALSE),"")</f>
        <v/>
      </c>
      <c r="BH182" s="52" t="str">
        <f>_xlfn.IFNA(VLOOKUP(U182,'GRPO Wiz'!AP:BN,25,FALSE),"")</f>
        <v/>
      </c>
      <c r="BI182" s="52" t="str">
        <f>_xlfn.IFNA(VLOOKUP(U182,'GRPO Wiz'!AP:BT,31,FALSE),"")</f>
        <v/>
      </c>
      <c r="BJ182" s="52" t="str">
        <f>_xlfn.IFNA(VLOOKUP(U182,'GRPO Wiz'!AP:BZ,32,FALSE),"")</f>
        <v/>
      </c>
      <c r="BK182" s="52" t="str">
        <f>_xlfn.IFNA(VLOOKUP(U182,'GRPO Wiz'!AP:BZ,27,FALSE),"")</f>
        <v/>
      </c>
      <c r="BL182" s="52" t="str">
        <f>_xlfn.IFNA(VALUE(VLOOKUP(U182,'GRPO Wiz'!AP:BZ,29,FALSE)),"")</f>
        <v/>
      </c>
      <c r="BM182" s="52" t="str">
        <f>IF(OR(_xlfn.IFNA(VLOOKUP(U182,'GRPO Wiz'!AP:BZ,33,FALSE),"")="NSC",_xlfn.IFNA(VLOOKUP(U182,'GRPO Wiz'!AP:BZ,33,FALSE),"")="NSSMC"),"NSC","")</f>
        <v/>
      </c>
    </row>
    <row r="183" spans="10:65" ht="26.25" customHeight="1" x14ac:dyDescent="0.25">
      <c r="J183" s="52" t="str">
        <f t="shared" si="32"/>
        <v/>
      </c>
      <c r="K183" s="52" t="str">
        <f>IF(O183="","",VLOOKUP(U183,Data!O:AC,15,FALSE)/G183)</f>
        <v/>
      </c>
      <c r="X183" s="52">
        <f t="shared" si="33"/>
        <v>0</v>
      </c>
      <c r="Z183" s="52">
        <f t="shared" si="34"/>
        <v>0</v>
      </c>
      <c r="AZ183" s="52" t="str">
        <f>_xlfn.IFNA(VLOOKUP(U183,'GRPO Wiz'!AP:BT,17,FALSE),"")</f>
        <v/>
      </c>
      <c r="BA183" s="52" t="str">
        <f>_xlfn.IFNA(VLOOKUP(U183,'GRPO Wiz'!AP:BT,18,FALSE),"")</f>
        <v/>
      </c>
      <c r="BB183" s="52" t="str">
        <f>_xlfn.IFNA(VLOOKUP(U183,'GRPO Wiz'!AP:BT,19,FALSE),"")</f>
        <v/>
      </c>
      <c r="BC183" s="52" t="str">
        <f>_xlfn.IFNA(VLOOKUP(U183,'GRPO Wiz'!AP:BT,20,FALSE),"")</f>
        <v/>
      </c>
      <c r="BD183" s="52" t="str">
        <f>_xlfn.IFNA(VLOOKUP(U183,'GRPO Wiz'!AP:BT,21,FALSE),"")</f>
        <v/>
      </c>
      <c r="BE183" s="52" t="str">
        <f>_xlfn.IFNA(LEFT((VLOOKUP(U183,'GRPO Wiz'!AP:BT,22,FALSE)),8),"")</f>
        <v/>
      </c>
      <c r="BF183" s="52" t="str">
        <f>_xlfn.IFNA(VLOOKUP(U183,'GRPO Wiz'!AP:BT,26,FALSE),"")</f>
        <v/>
      </c>
      <c r="BG183" s="57" t="str">
        <f>_xlfn.IFNA(VLOOKUP(U183,'GRPO Wiz'!AP:BQ,28,FALSE),"")</f>
        <v/>
      </c>
      <c r="BH183" s="52" t="str">
        <f>_xlfn.IFNA(VLOOKUP(U183,'GRPO Wiz'!AP:BN,25,FALSE),"")</f>
        <v/>
      </c>
      <c r="BI183" s="52" t="str">
        <f>_xlfn.IFNA(VLOOKUP(U183,'GRPO Wiz'!AP:BT,31,FALSE),"")</f>
        <v/>
      </c>
      <c r="BJ183" s="52" t="str">
        <f>_xlfn.IFNA(VLOOKUP(U183,'GRPO Wiz'!AP:BZ,32,FALSE),"")</f>
        <v/>
      </c>
      <c r="BK183" s="52" t="str">
        <f>_xlfn.IFNA(VLOOKUP(U183,'GRPO Wiz'!AP:BZ,27,FALSE),"")</f>
        <v/>
      </c>
      <c r="BL183" s="52" t="str">
        <f>_xlfn.IFNA(VALUE(VLOOKUP(U183,'GRPO Wiz'!AP:BZ,29,FALSE)),"")</f>
        <v/>
      </c>
      <c r="BM183" s="52" t="str">
        <f>IF(OR(_xlfn.IFNA(VLOOKUP(U183,'GRPO Wiz'!AP:BZ,33,FALSE),"")="NSC",_xlfn.IFNA(VLOOKUP(U183,'GRPO Wiz'!AP:BZ,33,FALSE),"")="NSSMC"),"NSC","")</f>
        <v/>
      </c>
    </row>
    <row r="184" spans="10:65" ht="26.25" customHeight="1" x14ac:dyDescent="0.25">
      <c r="J184" s="52" t="str">
        <f t="shared" si="32"/>
        <v/>
      </c>
      <c r="K184" s="52" t="str">
        <f>IF(O184="","",VLOOKUP(U184,Data!O:AC,15,FALSE)/G184)</f>
        <v/>
      </c>
      <c r="X184" s="52">
        <f t="shared" si="33"/>
        <v>0</v>
      </c>
      <c r="Z184" s="52">
        <f t="shared" si="34"/>
        <v>0</v>
      </c>
    </row>
    <row r="185" spans="10:65" ht="26.25" customHeight="1" x14ac:dyDescent="0.25">
      <c r="J185" s="52" t="str">
        <f t="shared" si="32"/>
        <v/>
      </c>
      <c r="K185" s="52" t="str">
        <f>IF(O185="","",VLOOKUP(U185,Data!O:AC,15,FALSE)/G185)</f>
        <v/>
      </c>
      <c r="X185" s="52">
        <f t="shared" si="33"/>
        <v>0</v>
      </c>
      <c r="Z185" s="52">
        <f t="shared" si="34"/>
        <v>0</v>
      </c>
    </row>
    <row r="186" spans="10:65" ht="26.25" customHeight="1" x14ac:dyDescent="0.25">
      <c r="J186" s="52" t="str">
        <f t="shared" si="32"/>
        <v/>
      </c>
      <c r="K186" s="52" t="str">
        <f>IF(O186="","",VLOOKUP(U186,Data!O:AC,15,FALSE)/G186)</f>
        <v/>
      </c>
      <c r="X186" s="52">
        <f t="shared" si="33"/>
        <v>0</v>
      </c>
      <c r="Z186" s="52">
        <f t="shared" si="34"/>
        <v>0</v>
      </c>
    </row>
    <row r="187" spans="10:65" ht="26.25" customHeight="1" x14ac:dyDescent="0.25">
      <c r="J187" s="52" t="str">
        <f t="shared" si="32"/>
        <v/>
      </c>
      <c r="K187" s="52" t="str">
        <f>IF(O187="","",VLOOKUP(U187,Data!O:AC,15,FALSE)/G187)</f>
        <v/>
      </c>
      <c r="X187" s="52">
        <f t="shared" si="33"/>
        <v>0</v>
      </c>
      <c r="Z187" s="52">
        <f t="shared" si="34"/>
        <v>0</v>
      </c>
    </row>
    <row r="188" spans="10:65" ht="26.25" customHeight="1" x14ac:dyDescent="0.25">
      <c r="J188" s="52" t="str">
        <f t="shared" si="32"/>
        <v/>
      </c>
      <c r="K188" s="52" t="str">
        <f>IF(O188="","",VLOOKUP(U188,Data!O:AC,15,FALSE)/G188)</f>
        <v/>
      </c>
      <c r="X188" s="52">
        <f t="shared" si="33"/>
        <v>0</v>
      </c>
      <c r="Z188" s="52">
        <f t="shared" si="34"/>
        <v>0</v>
      </c>
    </row>
    <row r="189" spans="10:65" ht="26.25" customHeight="1" x14ac:dyDescent="0.25">
      <c r="J189" s="52" t="str">
        <f t="shared" si="32"/>
        <v/>
      </c>
      <c r="K189" s="52" t="str">
        <f>IF(O189="","",VLOOKUP(U189,Data!O:AC,15,FALSE)/G189)</f>
        <v/>
      </c>
      <c r="X189" s="52">
        <f t="shared" si="33"/>
        <v>0</v>
      </c>
      <c r="Z189" s="52">
        <f t="shared" si="34"/>
        <v>0</v>
      </c>
    </row>
    <row r="190" spans="10:65" ht="26.25" customHeight="1" x14ac:dyDescent="0.25">
      <c r="J190" s="52" t="str">
        <f t="shared" si="32"/>
        <v/>
      </c>
      <c r="K190" s="52" t="str">
        <f>IF(O190="","",VLOOKUP(U190,Data!O:AC,15,FALSE)/G190)</f>
        <v/>
      </c>
      <c r="X190" s="52">
        <f t="shared" si="33"/>
        <v>0</v>
      </c>
      <c r="Z190" s="52">
        <f t="shared" si="34"/>
        <v>0</v>
      </c>
    </row>
    <row r="191" spans="10:65" ht="26.25" customHeight="1" x14ac:dyDescent="0.25">
      <c r="J191" s="52" t="str">
        <f t="shared" si="32"/>
        <v/>
      </c>
      <c r="K191" s="52" t="str">
        <f>IF(O191="","",VLOOKUP(U191,Data!O:AC,15,FALSE)/G191)</f>
        <v/>
      </c>
      <c r="X191" s="52">
        <f t="shared" si="33"/>
        <v>0</v>
      </c>
      <c r="Z191" s="52">
        <f t="shared" si="34"/>
        <v>0</v>
      </c>
    </row>
    <row r="192" spans="10:65" ht="26.25" customHeight="1" x14ac:dyDescent="0.25">
      <c r="J192" s="52" t="str">
        <f t="shared" si="32"/>
        <v/>
      </c>
      <c r="K192" s="52" t="str">
        <f>IF(O192="","",VLOOKUP(U192,Data!O:AC,15,FALSE)/G192)</f>
        <v/>
      </c>
      <c r="X192" s="52">
        <f t="shared" si="33"/>
        <v>0</v>
      </c>
      <c r="Z192" s="52">
        <f t="shared" si="34"/>
        <v>0</v>
      </c>
    </row>
    <row r="193" spans="10:26" ht="26.25" customHeight="1" x14ac:dyDescent="0.25">
      <c r="J193" s="52" t="str">
        <f t="shared" si="32"/>
        <v/>
      </c>
      <c r="K193" s="52" t="str">
        <f>IF(O193="","",VLOOKUP(U193,Data!O:AC,15,FALSE)/G193)</f>
        <v/>
      </c>
      <c r="X193" s="52">
        <f t="shared" si="33"/>
        <v>0</v>
      </c>
      <c r="Z193" s="52">
        <f t="shared" si="34"/>
        <v>0</v>
      </c>
    </row>
    <row r="194" spans="10:26" ht="26.25" customHeight="1" x14ac:dyDescent="0.25">
      <c r="J194" s="52" t="str">
        <f t="shared" si="32"/>
        <v/>
      </c>
      <c r="K194" s="52" t="str">
        <f>IF(O194="","",VLOOKUP(U194,Data!O:AC,15,FALSE)/G194)</f>
        <v/>
      </c>
      <c r="X194" s="52">
        <f t="shared" si="33"/>
        <v>0</v>
      </c>
      <c r="Z194" s="52">
        <f t="shared" si="34"/>
        <v>0</v>
      </c>
    </row>
    <row r="195" spans="10:26" ht="26.25" customHeight="1" x14ac:dyDescent="0.25">
      <c r="J195" s="52" t="str">
        <f t="shared" ref="J195:J258" si="35">IF(O195="","",ROUND(H195*ROUND(I195,1),2))</f>
        <v/>
      </c>
      <c r="K195" s="52" t="str">
        <f>IF(O195="","",VLOOKUP(U195,Data!O:AC,15,FALSE)/G195)</f>
        <v/>
      </c>
      <c r="X195" s="52">
        <f t="shared" ref="X195:X258" si="36">AT195</f>
        <v>0</v>
      </c>
      <c r="Z195" s="52">
        <f t="shared" ref="Z195:Z258" si="37">IFERROR(ROUND(H195*I195,2),0)</f>
        <v>0</v>
      </c>
    </row>
    <row r="196" spans="10:26" ht="26.25" customHeight="1" x14ac:dyDescent="0.25">
      <c r="J196" s="52" t="str">
        <f t="shared" si="35"/>
        <v/>
      </c>
      <c r="K196" s="52" t="str">
        <f>IF(O196="","",VLOOKUP(U196,Data!O:AC,15,FALSE)/G196)</f>
        <v/>
      </c>
      <c r="X196" s="52">
        <f t="shared" si="36"/>
        <v>0</v>
      </c>
      <c r="Z196" s="52">
        <f t="shared" si="37"/>
        <v>0</v>
      </c>
    </row>
    <row r="197" spans="10:26" ht="26.25" customHeight="1" x14ac:dyDescent="0.25">
      <c r="J197" s="52" t="str">
        <f t="shared" si="35"/>
        <v/>
      </c>
      <c r="K197" s="52" t="str">
        <f>IF(O197="","",VLOOKUP(U197,Data!O:AC,15,FALSE)/G197)</f>
        <v/>
      </c>
      <c r="X197" s="52">
        <f t="shared" si="36"/>
        <v>0</v>
      </c>
      <c r="Z197" s="52">
        <f t="shared" si="37"/>
        <v>0</v>
      </c>
    </row>
    <row r="198" spans="10:26" ht="26.25" customHeight="1" x14ac:dyDescent="0.25">
      <c r="J198" s="52" t="str">
        <f t="shared" si="35"/>
        <v/>
      </c>
      <c r="K198" s="52" t="str">
        <f>IF(O198="","",VLOOKUP(U198,Data!O:AC,15,FALSE)/G198)</f>
        <v/>
      </c>
      <c r="X198" s="52">
        <f t="shared" si="36"/>
        <v>0</v>
      </c>
      <c r="Z198" s="52">
        <f t="shared" si="37"/>
        <v>0</v>
      </c>
    </row>
    <row r="199" spans="10:26" ht="26.25" customHeight="1" x14ac:dyDescent="0.25">
      <c r="J199" s="52" t="str">
        <f t="shared" si="35"/>
        <v/>
      </c>
      <c r="K199" s="52" t="str">
        <f>IF(O199="","",VLOOKUP(U199,Data!O:AC,15,FALSE)/G199)</f>
        <v/>
      </c>
      <c r="X199" s="52">
        <f t="shared" si="36"/>
        <v>0</v>
      </c>
      <c r="Z199" s="52">
        <f t="shared" si="37"/>
        <v>0</v>
      </c>
    </row>
    <row r="200" spans="10:26" ht="26.25" customHeight="1" x14ac:dyDescent="0.25">
      <c r="J200" s="52" t="str">
        <f t="shared" si="35"/>
        <v/>
      </c>
      <c r="K200" s="52" t="str">
        <f>IF(O200="","",VLOOKUP(U200,Data!O:AC,15,FALSE)/G200)</f>
        <v/>
      </c>
      <c r="X200" s="52">
        <f t="shared" si="36"/>
        <v>0</v>
      </c>
      <c r="Z200" s="52">
        <f t="shared" si="37"/>
        <v>0</v>
      </c>
    </row>
    <row r="201" spans="10:26" ht="26.25" customHeight="1" x14ac:dyDescent="0.25">
      <c r="J201" s="52" t="str">
        <f t="shared" si="35"/>
        <v/>
      </c>
      <c r="K201" s="52" t="str">
        <f>IF(O201="","",VLOOKUP(U201,Data!O:AC,15,FALSE)/G201)</f>
        <v/>
      </c>
      <c r="X201" s="52">
        <f t="shared" si="36"/>
        <v>0</v>
      </c>
      <c r="Z201" s="52">
        <f t="shared" si="37"/>
        <v>0</v>
      </c>
    </row>
    <row r="202" spans="10:26" ht="26.25" customHeight="1" x14ac:dyDescent="0.25">
      <c r="J202" s="52" t="str">
        <f t="shared" si="35"/>
        <v/>
      </c>
      <c r="K202" s="52" t="str">
        <f>IF(O202="","",VLOOKUP(U202,Data!O:AC,15,FALSE)/G202)</f>
        <v/>
      </c>
      <c r="X202" s="52">
        <f t="shared" si="36"/>
        <v>0</v>
      </c>
      <c r="Z202" s="52">
        <f t="shared" si="37"/>
        <v>0</v>
      </c>
    </row>
    <row r="203" spans="10:26" ht="26.25" customHeight="1" x14ac:dyDescent="0.25">
      <c r="J203" s="52" t="str">
        <f t="shared" si="35"/>
        <v/>
      </c>
      <c r="K203" s="52" t="str">
        <f>IF(O203="","",VLOOKUP(U203,Data!O:AC,15,FALSE)/G203)</f>
        <v/>
      </c>
      <c r="X203" s="52">
        <f t="shared" si="36"/>
        <v>0</v>
      </c>
      <c r="Z203" s="52">
        <f t="shared" si="37"/>
        <v>0</v>
      </c>
    </row>
    <row r="204" spans="10:26" ht="26.25" customHeight="1" x14ac:dyDescent="0.25">
      <c r="J204" s="52" t="str">
        <f t="shared" si="35"/>
        <v/>
      </c>
      <c r="K204" s="52" t="str">
        <f>IF(O204="","",VLOOKUP(U204,Data!O:AC,15,FALSE)/G204)</f>
        <v/>
      </c>
      <c r="X204" s="52">
        <f t="shared" si="36"/>
        <v>0</v>
      </c>
      <c r="Z204" s="52">
        <f t="shared" si="37"/>
        <v>0</v>
      </c>
    </row>
    <row r="205" spans="10:26" ht="26.25" customHeight="1" x14ac:dyDescent="0.25">
      <c r="J205" s="52" t="str">
        <f t="shared" si="35"/>
        <v/>
      </c>
      <c r="K205" s="52" t="str">
        <f>IF(O205="","",VLOOKUP(U205,Data!O:AC,15,FALSE)/G205)</f>
        <v/>
      </c>
      <c r="X205" s="52">
        <f t="shared" si="36"/>
        <v>0</v>
      </c>
      <c r="Z205" s="52">
        <f t="shared" si="37"/>
        <v>0</v>
      </c>
    </row>
    <row r="206" spans="10:26" ht="26.25" customHeight="1" x14ac:dyDescent="0.25">
      <c r="J206" s="52" t="str">
        <f t="shared" si="35"/>
        <v/>
      </c>
      <c r="K206" s="52" t="str">
        <f>IF(O206="","",VLOOKUP(U206,Data!O:AC,15,FALSE)/G206)</f>
        <v/>
      </c>
      <c r="X206" s="52">
        <f t="shared" si="36"/>
        <v>0</v>
      </c>
      <c r="Z206" s="52">
        <f t="shared" si="37"/>
        <v>0</v>
      </c>
    </row>
    <row r="207" spans="10:26" ht="26.25" customHeight="1" x14ac:dyDescent="0.25">
      <c r="J207" s="52" t="str">
        <f t="shared" si="35"/>
        <v/>
      </c>
      <c r="K207" s="52" t="str">
        <f>IF(O207="","",VLOOKUP(U207,Data!O:AC,15,FALSE)/G207)</f>
        <v/>
      </c>
      <c r="X207" s="52">
        <f t="shared" si="36"/>
        <v>0</v>
      </c>
      <c r="Z207" s="52">
        <f t="shared" si="37"/>
        <v>0</v>
      </c>
    </row>
    <row r="208" spans="10:26" ht="26.25" customHeight="1" x14ac:dyDescent="0.25">
      <c r="J208" s="52" t="str">
        <f t="shared" si="35"/>
        <v/>
      </c>
      <c r="K208" s="52" t="str">
        <f>IF(O208="","",VLOOKUP(U208,Data!O:AC,15,FALSE)/G208)</f>
        <v/>
      </c>
      <c r="X208" s="52">
        <f t="shared" si="36"/>
        <v>0</v>
      </c>
      <c r="Z208" s="52">
        <f t="shared" si="37"/>
        <v>0</v>
      </c>
    </row>
    <row r="209" spans="10:26" ht="26.25" customHeight="1" x14ac:dyDescent="0.25">
      <c r="J209" s="52" t="str">
        <f t="shared" si="35"/>
        <v/>
      </c>
      <c r="K209" s="52" t="str">
        <f>IF(O209="","",VLOOKUP(U209,Data!O:AC,15,FALSE)/G209)</f>
        <v/>
      </c>
      <c r="X209" s="52">
        <f t="shared" si="36"/>
        <v>0</v>
      </c>
      <c r="Z209" s="52">
        <f t="shared" si="37"/>
        <v>0</v>
      </c>
    </row>
    <row r="210" spans="10:26" ht="26.25" customHeight="1" x14ac:dyDescent="0.25">
      <c r="J210" s="52" t="str">
        <f t="shared" si="35"/>
        <v/>
      </c>
      <c r="K210" s="52" t="str">
        <f>IF(O210="","",VLOOKUP(U210,Data!O:AC,15,FALSE)/G210)</f>
        <v/>
      </c>
      <c r="X210" s="52">
        <f t="shared" si="36"/>
        <v>0</v>
      </c>
      <c r="Z210" s="52">
        <f t="shared" si="37"/>
        <v>0</v>
      </c>
    </row>
    <row r="211" spans="10:26" ht="26.25" customHeight="1" x14ac:dyDescent="0.25">
      <c r="J211" s="52" t="str">
        <f t="shared" si="35"/>
        <v/>
      </c>
      <c r="K211" s="52" t="str">
        <f>IF(O211="","",VLOOKUP(U211,Data!O:AC,15,FALSE)/G211)</f>
        <v/>
      </c>
      <c r="X211" s="52">
        <f t="shared" si="36"/>
        <v>0</v>
      </c>
      <c r="Z211" s="52">
        <f t="shared" si="37"/>
        <v>0</v>
      </c>
    </row>
    <row r="212" spans="10:26" ht="26.25" customHeight="1" x14ac:dyDescent="0.25">
      <c r="J212" s="52" t="str">
        <f t="shared" si="35"/>
        <v/>
      </c>
      <c r="K212" s="52" t="str">
        <f>IF(O212="","",VLOOKUP(U212,Data!O:AC,15,FALSE)/G212)</f>
        <v/>
      </c>
      <c r="X212" s="52">
        <f t="shared" si="36"/>
        <v>0</v>
      </c>
      <c r="Z212" s="52">
        <f t="shared" si="37"/>
        <v>0</v>
      </c>
    </row>
    <row r="213" spans="10:26" ht="26.25" customHeight="1" x14ac:dyDescent="0.25">
      <c r="J213" s="52" t="str">
        <f t="shared" si="35"/>
        <v/>
      </c>
      <c r="K213" s="52" t="str">
        <f>IF(O213="","",VLOOKUP(U213,Data!O:AC,15,FALSE)/G213)</f>
        <v/>
      </c>
      <c r="X213" s="52">
        <f t="shared" si="36"/>
        <v>0</v>
      </c>
      <c r="Z213" s="52">
        <f t="shared" si="37"/>
        <v>0</v>
      </c>
    </row>
    <row r="214" spans="10:26" ht="26.25" customHeight="1" x14ac:dyDescent="0.25">
      <c r="J214" s="52" t="str">
        <f t="shared" si="35"/>
        <v/>
      </c>
      <c r="K214" s="52" t="str">
        <f>IF(O214="","",VLOOKUP(U214,Data!O:AC,15,FALSE)/G214)</f>
        <v/>
      </c>
      <c r="X214" s="52">
        <f t="shared" si="36"/>
        <v>0</v>
      </c>
      <c r="Z214" s="52">
        <f t="shared" si="37"/>
        <v>0</v>
      </c>
    </row>
    <row r="215" spans="10:26" ht="26.25" customHeight="1" x14ac:dyDescent="0.25">
      <c r="J215" s="52" t="str">
        <f t="shared" si="35"/>
        <v/>
      </c>
      <c r="K215" s="52" t="str">
        <f>IF(O215="","",VLOOKUP(U215,Data!O:AC,15,FALSE)/G215)</f>
        <v/>
      </c>
      <c r="X215" s="52">
        <f t="shared" si="36"/>
        <v>0</v>
      </c>
      <c r="Z215" s="52">
        <f t="shared" si="37"/>
        <v>0</v>
      </c>
    </row>
    <row r="216" spans="10:26" ht="26.25" customHeight="1" x14ac:dyDescent="0.25">
      <c r="J216" s="52" t="str">
        <f t="shared" si="35"/>
        <v/>
      </c>
      <c r="K216" s="52" t="str">
        <f>IF(O216="","",VLOOKUP(U216,Data!O:AC,15,FALSE)/G216)</f>
        <v/>
      </c>
      <c r="X216" s="52">
        <f t="shared" si="36"/>
        <v>0</v>
      </c>
      <c r="Z216" s="52">
        <f t="shared" si="37"/>
        <v>0</v>
      </c>
    </row>
    <row r="217" spans="10:26" ht="26.25" customHeight="1" x14ac:dyDescent="0.25">
      <c r="J217" s="52" t="str">
        <f t="shared" si="35"/>
        <v/>
      </c>
      <c r="K217" s="52" t="str">
        <f>IF(O217="","",VLOOKUP(U217,Data!O:AC,15,FALSE)/G217)</f>
        <v/>
      </c>
      <c r="X217" s="52">
        <f t="shared" si="36"/>
        <v>0</v>
      </c>
      <c r="Z217" s="52">
        <f t="shared" si="37"/>
        <v>0</v>
      </c>
    </row>
    <row r="218" spans="10:26" ht="26.25" customHeight="1" x14ac:dyDescent="0.25">
      <c r="J218" s="52" t="str">
        <f t="shared" si="35"/>
        <v/>
      </c>
      <c r="K218" s="52" t="str">
        <f>IF(O218="","",VLOOKUP(U218,Data!O:AC,15,FALSE)/G218)</f>
        <v/>
      </c>
      <c r="X218" s="52">
        <f t="shared" si="36"/>
        <v>0</v>
      </c>
      <c r="Z218" s="52">
        <f t="shared" si="37"/>
        <v>0</v>
      </c>
    </row>
    <row r="219" spans="10:26" ht="26.25" customHeight="1" x14ac:dyDescent="0.25">
      <c r="J219" s="52" t="str">
        <f t="shared" si="35"/>
        <v/>
      </c>
      <c r="K219" s="52" t="str">
        <f>IF(O219="","",VLOOKUP(U219,Data!O:AC,15,FALSE)/G219)</f>
        <v/>
      </c>
      <c r="X219" s="52">
        <f t="shared" si="36"/>
        <v>0</v>
      </c>
      <c r="Z219" s="52">
        <f t="shared" si="37"/>
        <v>0</v>
      </c>
    </row>
    <row r="220" spans="10:26" ht="26.25" customHeight="1" x14ac:dyDescent="0.25">
      <c r="J220" s="52" t="str">
        <f t="shared" si="35"/>
        <v/>
      </c>
      <c r="K220" s="52" t="str">
        <f>IF(O220="","",VLOOKUP(U220,Data!O:AC,15,FALSE)/G220)</f>
        <v/>
      </c>
      <c r="X220" s="52">
        <f t="shared" si="36"/>
        <v>0</v>
      </c>
      <c r="Z220" s="52">
        <f t="shared" si="37"/>
        <v>0</v>
      </c>
    </row>
    <row r="221" spans="10:26" ht="26.25" customHeight="1" x14ac:dyDescent="0.25">
      <c r="J221" s="52" t="str">
        <f t="shared" si="35"/>
        <v/>
      </c>
      <c r="K221" s="52" t="str">
        <f>IF(O221="","",VLOOKUP(U221,Data!O:AC,15,FALSE)/G221)</f>
        <v/>
      </c>
      <c r="X221" s="52">
        <f t="shared" si="36"/>
        <v>0</v>
      </c>
      <c r="Z221" s="52">
        <f t="shared" si="37"/>
        <v>0</v>
      </c>
    </row>
    <row r="222" spans="10:26" ht="26.25" customHeight="1" x14ac:dyDescent="0.25">
      <c r="J222" s="52" t="str">
        <f t="shared" si="35"/>
        <v/>
      </c>
      <c r="K222" s="52" t="str">
        <f>IF(O222="","",VLOOKUP(U222,Data!O:AC,15,FALSE)/G222)</f>
        <v/>
      </c>
      <c r="X222" s="52">
        <f t="shared" si="36"/>
        <v>0</v>
      </c>
      <c r="Z222" s="52">
        <f t="shared" si="37"/>
        <v>0</v>
      </c>
    </row>
    <row r="223" spans="10:26" ht="26.25" customHeight="1" x14ac:dyDescent="0.25">
      <c r="J223" s="52" t="str">
        <f t="shared" si="35"/>
        <v/>
      </c>
      <c r="K223" s="52" t="str">
        <f>IF(O223="","",VLOOKUP(U223,Data!O:AC,15,FALSE)/G223)</f>
        <v/>
      </c>
      <c r="X223" s="52">
        <f t="shared" si="36"/>
        <v>0</v>
      </c>
      <c r="Z223" s="52">
        <f t="shared" si="37"/>
        <v>0</v>
      </c>
    </row>
    <row r="224" spans="10:26" ht="26.25" customHeight="1" x14ac:dyDescent="0.25">
      <c r="J224" s="52" t="str">
        <f t="shared" si="35"/>
        <v/>
      </c>
      <c r="K224" s="52" t="str">
        <f>IF(O224="","",VLOOKUP(U224,Data!O:AC,15,FALSE)/G224)</f>
        <v/>
      </c>
      <c r="X224" s="52">
        <f t="shared" si="36"/>
        <v>0</v>
      </c>
      <c r="Z224" s="52">
        <f t="shared" si="37"/>
        <v>0</v>
      </c>
    </row>
    <row r="225" spans="10:26" ht="26.25" customHeight="1" x14ac:dyDescent="0.25">
      <c r="J225" s="52" t="str">
        <f t="shared" si="35"/>
        <v/>
      </c>
      <c r="K225" s="52" t="str">
        <f>IF(O225="","",VLOOKUP(U225,Data!O:AC,15,FALSE)/G225)</f>
        <v/>
      </c>
      <c r="X225" s="52">
        <f t="shared" si="36"/>
        <v>0</v>
      </c>
      <c r="Z225" s="52">
        <f t="shared" si="37"/>
        <v>0</v>
      </c>
    </row>
    <row r="226" spans="10:26" ht="26.25" customHeight="1" x14ac:dyDescent="0.25">
      <c r="J226" s="52" t="str">
        <f t="shared" si="35"/>
        <v/>
      </c>
      <c r="K226" s="52" t="str">
        <f>IF(O226="","",VLOOKUP(U226,Data!O:AC,15,FALSE)/G226)</f>
        <v/>
      </c>
      <c r="X226" s="52">
        <f t="shared" si="36"/>
        <v>0</v>
      </c>
      <c r="Z226" s="52">
        <f t="shared" si="37"/>
        <v>0</v>
      </c>
    </row>
    <row r="227" spans="10:26" ht="26.25" customHeight="1" x14ac:dyDescent="0.25">
      <c r="J227" s="52" t="str">
        <f t="shared" si="35"/>
        <v/>
      </c>
      <c r="K227" s="52" t="str">
        <f>IF(O227="","",VLOOKUP(U227,Data!O:AC,15,FALSE)/G227)</f>
        <v/>
      </c>
      <c r="X227" s="52">
        <f t="shared" si="36"/>
        <v>0</v>
      </c>
      <c r="Z227" s="52">
        <f t="shared" si="37"/>
        <v>0</v>
      </c>
    </row>
    <row r="228" spans="10:26" ht="26.25" customHeight="1" x14ac:dyDescent="0.25">
      <c r="J228" s="52" t="str">
        <f t="shared" si="35"/>
        <v/>
      </c>
      <c r="K228" s="52" t="str">
        <f>IF(O228="","",VLOOKUP(U228,Data!O:AC,15,FALSE)/G228)</f>
        <v/>
      </c>
      <c r="X228" s="52">
        <f t="shared" si="36"/>
        <v>0</v>
      </c>
      <c r="Z228" s="52">
        <f t="shared" si="37"/>
        <v>0</v>
      </c>
    </row>
    <row r="229" spans="10:26" ht="26.25" customHeight="1" x14ac:dyDescent="0.25">
      <c r="J229" s="52" t="str">
        <f t="shared" si="35"/>
        <v/>
      </c>
      <c r="K229" s="52" t="str">
        <f>IF(O229="","",VLOOKUP(U229,Data!O:AC,15,FALSE)/G229)</f>
        <v/>
      </c>
      <c r="X229" s="52">
        <f t="shared" si="36"/>
        <v>0</v>
      </c>
      <c r="Z229" s="52">
        <f t="shared" si="37"/>
        <v>0</v>
      </c>
    </row>
    <row r="230" spans="10:26" ht="26.25" customHeight="1" x14ac:dyDescent="0.25">
      <c r="J230" s="52" t="str">
        <f t="shared" si="35"/>
        <v/>
      </c>
      <c r="K230" s="52" t="str">
        <f>IF(O230="","",VLOOKUP(U230,Data!O:AC,15,FALSE)/G230)</f>
        <v/>
      </c>
      <c r="X230" s="52">
        <f t="shared" si="36"/>
        <v>0</v>
      </c>
      <c r="Z230" s="52">
        <f t="shared" si="37"/>
        <v>0</v>
      </c>
    </row>
    <row r="231" spans="10:26" ht="26.25" customHeight="1" x14ac:dyDescent="0.25">
      <c r="J231" s="52" t="str">
        <f t="shared" si="35"/>
        <v/>
      </c>
      <c r="K231" s="52" t="str">
        <f>IF(O231="","",VLOOKUP(U231,Data!O:AC,15,FALSE)/G231)</f>
        <v/>
      </c>
      <c r="X231" s="52">
        <f t="shared" si="36"/>
        <v>0</v>
      </c>
      <c r="Z231" s="52">
        <f t="shared" si="37"/>
        <v>0</v>
      </c>
    </row>
    <row r="232" spans="10:26" ht="26.25" customHeight="1" x14ac:dyDescent="0.25">
      <c r="J232" s="52" t="str">
        <f t="shared" si="35"/>
        <v/>
      </c>
      <c r="K232" s="52" t="str">
        <f>IF(O232="","",VLOOKUP(U232,Data!O:AC,15,FALSE)/G232)</f>
        <v/>
      </c>
      <c r="X232" s="52">
        <f t="shared" si="36"/>
        <v>0</v>
      </c>
      <c r="Z232" s="52">
        <f t="shared" si="37"/>
        <v>0</v>
      </c>
    </row>
    <row r="233" spans="10:26" ht="26.25" customHeight="1" x14ac:dyDescent="0.25">
      <c r="J233" s="52" t="str">
        <f t="shared" si="35"/>
        <v/>
      </c>
      <c r="K233" s="52" t="str">
        <f>IF(O233="","",VLOOKUP(U233,Data!O:AC,15,FALSE)/G233)</f>
        <v/>
      </c>
      <c r="X233" s="52">
        <f t="shared" si="36"/>
        <v>0</v>
      </c>
      <c r="Z233" s="52">
        <f t="shared" si="37"/>
        <v>0</v>
      </c>
    </row>
    <row r="234" spans="10:26" ht="26.25" customHeight="1" x14ac:dyDescent="0.25">
      <c r="J234" s="52" t="str">
        <f t="shared" si="35"/>
        <v/>
      </c>
      <c r="K234" s="52" t="str">
        <f>IF(O234="","",VLOOKUP(U234,Data!O:AC,15,FALSE)/G234)</f>
        <v/>
      </c>
      <c r="X234" s="52">
        <f t="shared" si="36"/>
        <v>0</v>
      </c>
      <c r="Z234" s="52">
        <f t="shared" si="37"/>
        <v>0</v>
      </c>
    </row>
    <row r="235" spans="10:26" ht="26.25" customHeight="1" x14ac:dyDescent="0.25">
      <c r="J235" s="52" t="str">
        <f t="shared" si="35"/>
        <v/>
      </c>
      <c r="K235" s="52" t="str">
        <f>IF(O235="","",VLOOKUP(U235,Data!O:AC,15,FALSE)/G235)</f>
        <v/>
      </c>
      <c r="X235" s="52">
        <f t="shared" si="36"/>
        <v>0</v>
      </c>
      <c r="Z235" s="52">
        <f t="shared" si="37"/>
        <v>0</v>
      </c>
    </row>
    <row r="236" spans="10:26" ht="26.25" customHeight="1" x14ac:dyDescent="0.25">
      <c r="J236" s="52" t="str">
        <f t="shared" si="35"/>
        <v/>
      </c>
      <c r="K236" s="52" t="str">
        <f>IF(O236="","",VLOOKUP(U236,Data!O:AC,15,FALSE)/G236)</f>
        <v/>
      </c>
      <c r="X236" s="52">
        <f t="shared" si="36"/>
        <v>0</v>
      </c>
      <c r="Z236" s="52">
        <f t="shared" si="37"/>
        <v>0</v>
      </c>
    </row>
    <row r="237" spans="10:26" ht="26.25" customHeight="1" x14ac:dyDescent="0.25">
      <c r="J237" s="52" t="str">
        <f t="shared" si="35"/>
        <v/>
      </c>
      <c r="K237" s="52" t="str">
        <f>IF(O237="","",VLOOKUP(U237,Data!O:AC,15,FALSE)/G237)</f>
        <v/>
      </c>
      <c r="X237" s="52">
        <f t="shared" si="36"/>
        <v>0</v>
      </c>
      <c r="Z237" s="52">
        <f t="shared" si="37"/>
        <v>0</v>
      </c>
    </row>
    <row r="238" spans="10:26" ht="26.25" customHeight="1" x14ac:dyDescent="0.25">
      <c r="J238" s="52" t="str">
        <f t="shared" si="35"/>
        <v/>
      </c>
      <c r="K238" s="52" t="str">
        <f>IF(O238="","",VLOOKUP(U238,Data!O:AC,15,FALSE)/G238)</f>
        <v/>
      </c>
      <c r="X238" s="52">
        <f t="shared" si="36"/>
        <v>0</v>
      </c>
      <c r="Z238" s="52">
        <f t="shared" si="37"/>
        <v>0</v>
      </c>
    </row>
    <row r="239" spans="10:26" ht="26.25" customHeight="1" x14ac:dyDescent="0.25">
      <c r="J239" s="52" t="str">
        <f t="shared" si="35"/>
        <v/>
      </c>
      <c r="K239" s="52" t="str">
        <f>IF(O239="","",VLOOKUP(U239,Data!O:AC,15,FALSE)/G239)</f>
        <v/>
      </c>
      <c r="X239" s="52">
        <f t="shared" si="36"/>
        <v>0</v>
      </c>
      <c r="Z239" s="52">
        <f t="shared" si="37"/>
        <v>0</v>
      </c>
    </row>
    <row r="240" spans="10:26" ht="26.25" customHeight="1" x14ac:dyDescent="0.25">
      <c r="J240" s="52" t="str">
        <f t="shared" si="35"/>
        <v/>
      </c>
      <c r="K240" s="52" t="str">
        <f>IF(O240="","",VLOOKUP(U240,Data!O:AC,15,FALSE)/G240)</f>
        <v/>
      </c>
      <c r="X240" s="52">
        <f t="shared" si="36"/>
        <v>0</v>
      </c>
      <c r="Z240" s="52">
        <f t="shared" si="37"/>
        <v>0</v>
      </c>
    </row>
    <row r="241" spans="10:26" ht="26.25" customHeight="1" x14ac:dyDescent="0.25">
      <c r="J241" s="52" t="str">
        <f t="shared" si="35"/>
        <v/>
      </c>
      <c r="K241" s="52" t="str">
        <f>IF(O241="","",VLOOKUP(U241,Data!O:AC,15,FALSE)/G241)</f>
        <v/>
      </c>
      <c r="X241" s="52">
        <f t="shared" si="36"/>
        <v>0</v>
      </c>
      <c r="Z241" s="52">
        <f t="shared" si="37"/>
        <v>0</v>
      </c>
    </row>
    <row r="242" spans="10:26" ht="26.25" customHeight="1" x14ac:dyDescent="0.25">
      <c r="J242" s="52" t="str">
        <f t="shared" si="35"/>
        <v/>
      </c>
      <c r="K242" s="52" t="str">
        <f>IF(O242="","",VLOOKUP(U242,Data!O:AC,15,FALSE)/G242)</f>
        <v/>
      </c>
      <c r="X242" s="52">
        <f t="shared" si="36"/>
        <v>0</v>
      </c>
      <c r="Z242" s="52">
        <f t="shared" si="37"/>
        <v>0</v>
      </c>
    </row>
    <row r="243" spans="10:26" ht="26.25" customHeight="1" x14ac:dyDescent="0.25">
      <c r="J243" s="52" t="str">
        <f t="shared" si="35"/>
        <v/>
      </c>
      <c r="K243" s="52" t="str">
        <f>IF(O243="","",VLOOKUP(U243,Data!O:AC,15,FALSE)/G243)</f>
        <v/>
      </c>
      <c r="X243" s="52">
        <f t="shared" si="36"/>
        <v>0</v>
      </c>
      <c r="Z243" s="52">
        <f t="shared" si="37"/>
        <v>0</v>
      </c>
    </row>
    <row r="244" spans="10:26" ht="26.25" customHeight="1" x14ac:dyDescent="0.25">
      <c r="J244" s="52" t="str">
        <f t="shared" si="35"/>
        <v/>
      </c>
      <c r="K244" s="52" t="str">
        <f>IF(O244="","",VLOOKUP(U244,Data!O:AC,15,FALSE)/G244)</f>
        <v/>
      </c>
      <c r="X244" s="52">
        <f t="shared" si="36"/>
        <v>0</v>
      </c>
      <c r="Z244" s="52">
        <f t="shared" si="37"/>
        <v>0</v>
      </c>
    </row>
    <row r="245" spans="10:26" ht="26.25" customHeight="1" x14ac:dyDescent="0.25">
      <c r="J245" s="52" t="str">
        <f t="shared" si="35"/>
        <v/>
      </c>
      <c r="K245" s="52" t="str">
        <f>IF(O245="","",VLOOKUP(U245,Data!O:AC,15,FALSE)/G245)</f>
        <v/>
      </c>
      <c r="X245" s="52">
        <f t="shared" si="36"/>
        <v>0</v>
      </c>
      <c r="Z245" s="52">
        <f t="shared" si="37"/>
        <v>0</v>
      </c>
    </row>
    <row r="246" spans="10:26" ht="26.25" customHeight="1" x14ac:dyDescent="0.25">
      <c r="J246" s="52" t="str">
        <f t="shared" si="35"/>
        <v/>
      </c>
      <c r="K246" s="52" t="str">
        <f>IF(O246="","",VLOOKUP(U246,Data!O:AC,15,FALSE)/G246)</f>
        <v/>
      </c>
      <c r="X246" s="52">
        <f t="shared" si="36"/>
        <v>0</v>
      </c>
      <c r="Z246" s="52">
        <f t="shared" si="37"/>
        <v>0</v>
      </c>
    </row>
    <row r="247" spans="10:26" ht="26.25" customHeight="1" x14ac:dyDescent="0.25">
      <c r="J247" s="52" t="str">
        <f t="shared" si="35"/>
        <v/>
      </c>
      <c r="K247" s="52" t="str">
        <f>IF(O247="","",VLOOKUP(U247,Data!O:AC,15,FALSE)/G247)</f>
        <v/>
      </c>
      <c r="X247" s="52">
        <f t="shared" si="36"/>
        <v>0</v>
      </c>
      <c r="Z247" s="52">
        <f t="shared" si="37"/>
        <v>0</v>
      </c>
    </row>
    <row r="248" spans="10:26" ht="26.25" customHeight="1" x14ac:dyDescent="0.25">
      <c r="J248" s="52" t="str">
        <f t="shared" si="35"/>
        <v/>
      </c>
      <c r="K248" s="52" t="str">
        <f>IF(O248="","",VLOOKUP(U248,Data!O:AC,15,FALSE)/G248)</f>
        <v/>
      </c>
      <c r="X248" s="52">
        <f t="shared" si="36"/>
        <v>0</v>
      </c>
      <c r="Z248" s="52">
        <f t="shared" si="37"/>
        <v>0</v>
      </c>
    </row>
    <row r="249" spans="10:26" ht="26.25" customHeight="1" x14ac:dyDescent="0.25">
      <c r="J249" s="52" t="str">
        <f t="shared" si="35"/>
        <v/>
      </c>
      <c r="K249" s="52" t="str">
        <f>IF(O249="","",VLOOKUP(U249,Data!O:AC,15,FALSE)/G249)</f>
        <v/>
      </c>
      <c r="X249" s="52">
        <f t="shared" si="36"/>
        <v>0</v>
      </c>
      <c r="Z249" s="52">
        <f t="shared" si="37"/>
        <v>0</v>
      </c>
    </row>
    <row r="250" spans="10:26" ht="26.25" customHeight="1" x14ac:dyDescent="0.25">
      <c r="J250" s="52" t="str">
        <f t="shared" si="35"/>
        <v/>
      </c>
      <c r="K250" s="52" t="str">
        <f>IF(O250="","",VLOOKUP(U250,Data!O:AC,15,FALSE)/G250)</f>
        <v/>
      </c>
      <c r="X250" s="52">
        <f t="shared" si="36"/>
        <v>0</v>
      </c>
      <c r="Z250" s="52">
        <f t="shared" si="37"/>
        <v>0</v>
      </c>
    </row>
    <row r="251" spans="10:26" ht="26.25" customHeight="1" x14ac:dyDescent="0.25">
      <c r="J251" s="52" t="str">
        <f t="shared" si="35"/>
        <v/>
      </c>
      <c r="K251" s="52" t="str">
        <f>IF(O251="","",VLOOKUP(U251,Data!O:AC,15,FALSE)/G251)</f>
        <v/>
      </c>
      <c r="X251" s="52">
        <f t="shared" si="36"/>
        <v>0</v>
      </c>
      <c r="Z251" s="52">
        <f t="shared" si="37"/>
        <v>0</v>
      </c>
    </row>
    <row r="252" spans="10:26" ht="26.25" customHeight="1" x14ac:dyDescent="0.25">
      <c r="J252" s="52" t="str">
        <f t="shared" si="35"/>
        <v/>
      </c>
      <c r="K252" s="52" t="str">
        <f>IF(O252="","",VLOOKUP(U252,Data!O:AC,15,FALSE)/G252)</f>
        <v/>
      </c>
      <c r="X252" s="52">
        <f t="shared" si="36"/>
        <v>0</v>
      </c>
      <c r="Z252" s="52">
        <f t="shared" si="37"/>
        <v>0</v>
      </c>
    </row>
    <row r="253" spans="10:26" ht="26.25" customHeight="1" x14ac:dyDescent="0.25">
      <c r="J253" s="52" t="str">
        <f t="shared" si="35"/>
        <v/>
      </c>
      <c r="K253" s="52" t="str">
        <f>IF(O253="","",VLOOKUP(U253,Data!O:AC,15,FALSE)/G253)</f>
        <v/>
      </c>
      <c r="X253" s="52">
        <f t="shared" si="36"/>
        <v>0</v>
      </c>
      <c r="Z253" s="52">
        <f t="shared" si="37"/>
        <v>0</v>
      </c>
    </row>
    <row r="254" spans="10:26" ht="26.25" customHeight="1" x14ac:dyDescent="0.25">
      <c r="J254" s="52" t="str">
        <f t="shared" si="35"/>
        <v/>
      </c>
      <c r="K254" s="52" t="str">
        <f>IF(O254="","",VLOOKUP(U254,Data!O:AC,15,FALSE)/G254)</f>
        <v/>
      </c>
      <c r="X254" s="52">
        <f t="shared" si="36"/>
        <v>0</v>
      </c>
      <c r="Z254" s="52">
        <f t="shared" si="37"/>
        <v>0</v>
      </c>
    </row>
    <row r="255" spans="10:26" ht="26.25" customHeight="1" x14ac:dyDescent="0.25">
      <c r="J255" s="52" t="str">
        <f t="shared" si="35"/>
        <v/>
      </c>
      <c r="K255" s="52" t="str">
        <f>IF(O255="","",VLOOKUP(U255,Data!O:AC,15,FALSE)/G255)</f>
        <v/>
      </c>
      <c r="X255" s="52">
        <f t="shared" si="36"/>
        <v>0</v>
      </c>
      <c r="Z255" s="52">
        <f t="shared" si="37"/>
        <v>0</v>
      </c>
    </row>
    <row r="256" spans="10:26" ht="26.25" customHeight="1" x14ac:dyDescent="0.25">
      <c r="J256" s="52" t="str">
        <f t="shared" si="35"/>
        <v/>
      </c>
      <c r="K256" s="52" t="str">
        <f>IF(O256="","",VLOOKUP(U256,Data!O:AC,15,FALSE)/G256)</f>
        <v/>
      </c>
      <c r="X256" s="52">
        <f t="shared" si="36"/>
        <v>0</v>
      </c>
      <c r="Z256" s="52">
        <f t="shared" si="37"/>
        <v>0</v>
      </c>
    </row>
    <row r="257" spans="10:26" ht="26.25" customHeight="1" x14ac:dyDescent="0.25">
      <c r="J257" s="52" t="str">
        <f t="shared" si="35"/>
        <v/>
      </c>
      <c r="K257" s="52" t="str">
        <f>IF(O257="","",VLOOKUP(U257,Data!O:AC,15,FALSE)/G257)</f>
        <v/>
      </c>
      <c r="X257" s="52">
        <f t="shared" si="36"/>
        <v>0</v>
      </c>
      <c r="Z257" s="52">
        <f t="shared" si="37"/>
        <v>0</v>
      </c>
    </row>
    <row r="258" spans="10:26" ht="26.25" customHeight="1" x14ac:dyDescent="0.25">
      <c r="J258" s="52" t="str">
        <f t="shared" si="35"/>
        <v/>
      </c>
      <c r="K258" s="52" t="str">
        <f>IF(O258="","",VLOOKUP(U258,Data!O:AC,15,FALSE)/G258)</f>
        <v/>
      </c>
      <c r="X258" s="52">
        <f t="shared" si="36"/>
        <v>0</v>
      </c>
      <c r="Z258" s="52">
        <f t="shared" si="37"/>
        <v>0</v>
      </c>
    </row>
    <row r="259" spans="10:26" ht="26.25" customHeight="1" x14ac:dyDescent="0.25">
      <c r="J259" s="52" t="str">
        <f t="shared" ref="J259:J322" si="38">IF(O259="","",ROUND(H259*ROUND(I259,1),2))</f>
        <v/>
      </c>
      <c r="K259" s="52" t="str">
        <f>IF(O259="","",VLOOKUP(U259,Data!O:AC,15,FALSE)/G259)</f>
        <v/>
      </c>
      <c r="X259" s="52">
        <f t="shared" ref="X259:X322" si="39">AT259</f>
        <v>0</v>
      </c>
      <c r="Z259" s="52">
        <f t="shared" ref="Z259:Z322" si="40">IFERROR(ROUND(H259*I259,2),0)</f>
        <v>0</v>
      </c>
    </row>
    <row r="260" spans="10:26" ht="26.25" customHeight="1" x14ac:dyDescent="0.25">
      <c r="J260" s="52" t="str">
        <f t="shared" si="38"/>
        <v/>
      </c>
      <c r="K260" s="52" t="str">
        <f>IF(O260="","",VLOOKUP(U260,Data!O:AC,15,FALSE)/G260)</f>
        <v/>
      </c>
      <c r="X260" s="52">
        <f t="shared" si="39"/>
        <v>0</v>
      </c>
      <c r="Z260" s="52">
        <f t="shared" si="40"/>
        <v>0</v>
      </c>
    </row>
    <row r="261" spans="10:26" ht="26.25" customHeight="1" x14ac:dyDescent="0.25">
      <c r="J261" s="52" t="str">
        <f t="shared" si="38"/>
        <v/>
      </c>
      <c r="K261" s="52" t="str">
        <f>IF(O261="","",VLOOKUP(U261,Data!O:AC,15,FALSE)/G261)</f>
        <v/>
      </c>
      <c r="X261" s="52">
        <f t="shared" si="39"/>
        <v>0</v>
      </c>
      <c r="Z261" s="52">
        <f t="shared" si="40"/>
        <v>0</v>
      </c>
    </row>
    <row r="262" spans="10:26" ht="26.25" customHeight="1" x14ac:dyDescent="0.25">
      <c r="J262" s="52" t="str">
        <f t="shared" si="38"/>
        <v/>
      </c>
      <c r="K262" s="52" t="str">
        <f>IF(O262="","",VLOOKUP(U262,Data!O:AC,15,FALSE)/G262)</f>
        <v/>
      </c>
      <c r="X262" s="52">
        <f t="shared" si="39"/>
        <v>0</v>
      </c>
      <c r="Z262" s="52">
        <f t="shared" si="40"/>
        <v>0</v>
      </c>
    </row>
    <row r="263" spans="10:26" ht="26.25" customHeight="1" x14ac:dyDescent="0.25">
      <c r="J263" s="52" t="str">
        <f t="shared" si="38"/>
        <v/>
      </c>
      <c r="K263" s="52" t="str">
        <f>IF(O263="","",VLOOKUP(U263,Data!O:AC,15,FALSE)/G263)</f>
        <v/>
      </c>
      <c r="X263" s="52">
        <f t="shared" si="39"/>
        <v>0</v>
      </c>
      <c r="Z263" s="52">
        <f t="shared" si="40"/>
        <v>0</v>
      </c>
    </row>
    <row r="264" spans="10:26" ht="26.25" customHeight="1" x14ac:dyDescent="0.25">
      <c r="J264" s="52" t="str">
        <f t="shared" si="38"/>
        <v/>
      </c>
      <c r="K264" s="52" t="str">
        <f>IF(O264="","",VLOOKUP(U264,Data!O:AC,15,FALSE)/G264)</f>
        <v/>
      </c>
      <c r="X264" s="52">
        <f t="shared" si="39"/>
        <v>0</v>
      </c>
      <c r="Z264" s="52">
        <f t="shared" si="40"/>
        <v>0</v>
      </c>
    </row>
    <row r="265" spans="10:26" ht="26.25" customHeight="1" x14ac:dyDescent="0.25">
      <c r="J265" s="52" t="str">
        <f t="shared" si="38"/>
        <v/>
      </c>
      <c r="K265" s="52" t="str">
        <f>IF(O265="","",VLOOKUP(U265,Data!O:AC,15,FALSE)/G265)</f>
        <v/>
      </c>
      <c r="X265" s="52">
        <f t="shared" si="39"/>
        <v>0</v>
      </c>
      <c r="Z265" s="52">
        <f t="shared" si="40"/>
        <v>0</v>
      </c>
    </row>
    <row r="266" spans="10:26" ht="26.25" customHeight="1" x14ac:dyDescent="0.25">
      <c r="J266" s="52" t="str">
        <f t="shared" si="38"/>
        <v/>
      </c>
      <c r="K266" s="52" t="str">
        <f>IF(O266="","",VLOOKUP(U266,Data!O:AC,15,FALSE)/G266)</f>
        <v/>
      </c>
      <c r="X266" s="52">
        <f t="shared" si="39"/>
        <v>0</v>
      </c>
      <c r="Z266" s="52">
        <f t="shared" si="40"/>
        <v>0</v>
      </c>
    </row>
    <row r="267" spans="10:26" ht="26.25" customHeight="1" x14ac:dyDescent="0.25">
      <c r="J267" s="52" t="str">
        <f t="shared" si="38"/>
        <v/>
      </c>
      <c r="K267" s="52" t="str">
        <f>IF(O267="","",VLOOKUP(U267,Data!O:AC,15,FALSE)/G267)</f>
        <v/>
      </c>
      <c r="X267" s="52">
        <f t="shared" si="39"/>
        <v>0</v>
      </c>
      <c r="Z267" s="52">
        <f t="shared" si="40"/>
        <v>0</v>
      </c>
    </row>
    <row r="268" spans="10:26" ht="26.25" customHeight="1" x14ac:dyDescent="0.25">
      <c r="J268" s="52" t="str">
        <f t="shared" si="38"/>
        <v/>
      </c>
      <c r="K268" s="52" t="str">
        <f>IF(O268="","",VLOOKUP(U268,Data!O:AC,15,FALSE)/G268)</f>
        <v/>
      </c>
      <c r="X268" s="52">
        <f t="shared" si="39"/>
        <v>0</v>
      </c>
      <c r="Z268" s="52">
        <f t="shared" si="40"/>
        <v>0</v>
      </c>
    </row>
    <row r="269" spans="10:26" ht="26.25" customHeight="1" x14ac:dyDescent="0.25">
      <c r="J269" s="52" t="str">
        <f t="shared" si="38"/>
        <v/>
      </c>
      <c r="K269" s="52" t="str">
        <f>IF(O269="","",VLOOKUP(U269,Data!O:AC,15,FALSE)/G269)</f>
        <v/>
      </c>
      <c r="X269" s="52">
        <f t="shared" si="39"/>
        <v>0</v>
      </c>
      <c r="Z269" s="52">
        <f t="shared" si="40"/>
        <v>0</v>
      </c>
    </row>
    <row r="270" spans="10:26" ht="26.25" customHeight="1" x14ac:dyDescent="0.25">
      <c r="J270" s="52" t="str">
        <f t="shared" si="38"/>
        <v/>
      </c>
      <c r="K270" s="52" t="str">
        <f>IF(O270="","",VLOOKUP(U270,Data!O:AC,15,FALSE)/G270)</f>
        <v/>
      </c>
      <c r="X270" s="52">
        <f t="shared" si="39"/>
        <v>0</v>
      </c>
      <c r="Z270" s="52">
        <f t="shared" si="40"/>
        <v>0</v>
      </c>
    </row>
    <row r="271" spans="10:26" ht="26.25" customHeight="1" x14ac:dyDescent="0.25">
      <c r="J271" s="52" t="str">
        <f t="shared" si="38"/>
        <v/>
      </c>
      <c r="K271" s="52" t="str">
        <f>IF(O271="","",VLOOKUP(U271,Data!O:AC,15,FALSE)/G271)</f>
        <v/>
      </c>
      <c r="X271" s="52">
        <f t="shared" si="39"/>
        <v>0</v>
      </c>
      <c r="Z271" s="52">
        <f t="shared" si="40"/>
        <v>0</v>
      </c>
    </row>
    <row r="272" spans="10:26" ht="26.25" customHeight="1" x14ac:dyDescent="0.25">
      <c r="J272" s="52" t="str">
        <f t="shared" si="38"/>
        <v/>
      </c>
      <c r="K272" s="52" t="str">
        <f>IF(O272="","",VLOOKUP(U272,Data!O:AC,15,FALSE)/G272)</f>
        <v/>
      </c>
      <c r="X272" s="52">
        <f t="shared" si="39"/>
        <v>0</v>
      </c>
      <c r="Z272" s="52">
        <f t="shared" si="40"/>
        <v>0</v>
      </c>
    </row>
    <row r="273" spans="10:26" ht="26.25" customHeight="1" x14ac:dyDescent="0.25">
      <c r="J273" s="52" t="str">
        <f t="shared" si="38"/>
        <v/>
      </c>
      <c r="K273" s="52" t="str">
        <f>IF(O273="","",VLOOKUP(U273,Data!O:AC,15,FALSE)/G273)</f>
        <v/>
      </c>
      <c r="X273" s="52">
        <f t="shared" si="39"/>
        <v>0</v>
      </c>
      <c r="Z273" s="52">
        <f t="shared" si="40"/>
        <v>0</v>
      </c>
    </row>
    <row r="274" spans="10:26" ht="26.25" customHeight="1" x14ac:dyDescent="0.25">
      <c r="J274" s="52" t="str">
        <f t="shared" si="38"/>
        <v/>
      </c>
      <c r="K274" s="52" t="str">
        <f>IF(O274="","",VLOOKUP(U274,Data!O:AC,15,FALSE)/G274)</f>
        <v/>
      </c>
      <c r="X274" s="52">
        <f t="shared" si="39"/>
        <v>0</v>
      </c>
      <c r="Z274" s="52">
        <f t="shared" si="40"/>
        <v>0</v>
      </c>
    </row>
    <row r="275" spans="10:26" ht="26.25" customHeight="1" x14ac:dyDescent="0.25">
      <c r="J275" s="52" t="str">
        <f t="shared" si="38"/>
        <v/>
      </c>
      <c r="K275" s="52" t="str">
        <f>IF(O275="","",VLOOKUP(U275,Data!O:AC,15,FALSE)/G275)</f>
        <v/>
      </c>
      <c r="X275" s="52">
        <f t="shared" si="39"/>
        <v>0</v>
      </c>
      <c r="Z275" s="52">
        <f t="shared" si="40"/>
        <v>0</v>
      </c>
    </row>
    <row r="276" spans="10:26" ht="26.25" customHeight="1" x14ac:dyDescent="0.25">
      <c r="J276" s="52" t="str">
        <f t="shared" si="38"/>
        <v/>
      </c>
      <c r="K276" s="52" t="str">
        <f>IF(O276="","",VLOOKUP(U276,Data!O:AC,15,FALSE)/G276)</f>
        <v/>
      </c>
      <c r="X276" s="52">
        <f t="shared" si="39"/>
        <v>0</v>
      </c>
      <c r="Z276" s="52">
        <f t="shared" si="40"/>
        <v>0</v>
      </c>
    </row>
    <row r="277" spans="10:26" ht="26.25" customHeight="1" x14ac:dyDescent="0.25">
      <c r="J277" s="52" t="str">
        <f t="shared" si="38"/>
        <v/>
      </c>
      <c r="K277" s="52" t="str">
        <f>IF(O277="","",VLOOKUP(U277,Data!O:AC,15,FALSE)/G277)</f>
        <v/>
      </c>
      <c r="X277" s="52">
        <f t="shared" si="39"/>
        <v>0</v>
      </c>
      <c r="Z277" s="52">
        <f t="shared" si="40"/>
        <v>0</v>
      </c>
    </row>
    <row r="278" spans="10:26" ht="26.25" customHeight="1" x14ac:dyDescent="0.25">
      <c r="J278" s="52" t="str">
        <f t="shared" si="38"/>
        <v/>
      </c>
      <c r="K278" s="52" t="str">
        <f>IF(O278="","",VLOOKUP(U278,Data!O:AC,15,FALSE)/G278)</f>
        <v/>
      </c>
      <c r="X278" s="52">
        <f t="shared" si="39"/>
        <v>0</v>
      </c>
      <c r="Z278" s="52">
        <f t="shared" si="40"/>
        <v>0</v>
      </c>
    </row>
    <row r="279" spans="10:26" ht="26.25" customHeight="1" x14ac:dyDescent="0.25">
      <c r="J279" s="52" t="str">
        <f t="shared" si="38"/>
        <v/>
      </c>
      <c r="K279" s="52" t="str">
        <f>IF(O279="","",VLOOKUP(U279,Data!O:AC,15,FALSE)/G279)</f>
        <v/>
      </c>
      <c r="X279" s="52">
        <f t="shared" si="39"/>
        <v>0</v>
      </c>
      <c r="Z279" s="52">
        <f t="shared" si="40"/>
        <v>0</v>
      </c>
    </row>
    <row r="280" spans="10:26" x14ac:dyDescent="0.25">
      <c r="J280" s="52" t="str">
        <f t="shared" si="38"/>
        <v/>
      </c>
      <c r="K280" s="52" t="str">
        <f>IF(O280="","",VLOOKUP(U280,Data!O:AC,15,FALSE)/G280)</f>
        <v/>
      </c>
      <c r="X280" s="52">
        <f t="shared" si="39"/>
        <v>0</v>
      </c>
      <c r="Z280" s="52">
        <f t="shared" si="40"/>
        <v>0</v>
      </c>
    </row>
    <row r="281" spans="10:26" x14ac:dyDescent="0.25">
      <c r="J281" s="52" t="str">
        <f t="shared" si="38"/>
        <v/>
      </c>
      <c r="K281" s="52" t="str">
        <f>IF(O281="","",VLOOKUP(U281,Data!O:AC,15,FALSE)/G281)</f>
        <v/>
      </c>
      <c r="X281" s="52">
        <f t="shared" si="39"/>
        <v>0</v>
      </c>
      <c r="Z281" s="52">
        <f t="shared" si="40"/>
        <v>0</v>
      </c>
    </row>
    <row r="282" spans="10:26" x14ac:dyDescent="0.25">
      <c r="J282" s="52" t="str">
        <f t="shared" si="38"/>
        <v/>
      </c>
      <c r="K282" s="52" t="str">
        <f>IF(O282="","",VLOOKUP(U282,Data!O:AC,15,FALSE)/G282)</f>
        <v/>
      </c>
      <c r="X282" s="52">
        <f t="shared" si="39"/>
        <v>0</v>
      </c>
      <c r="Z282" s="52">
        <f t="shared" si="40"/>
        <v>0</v>
      </c>
    </row>
    <row r="283" spans="10:26" x14ac:dyDescent="0.25">
      <c r="J283" s="52" t="str">
        <f t="shared" si="38"/>
        <v/>
      </c>
      <c r="K283" s="52" t="str">
        <f>IF(O283="","",VLOOKUP(U283,Data!O:AC,15,FALSE)/G283)</f>
        <v/>
      </c>
      <c r="X283" s="52">
        <f t="shared" si="39"/>
        <v>0</v>
      </c>
      <c r="Z283" s="52">
        <f t="shared" si="40"/>
        <v>0</v>
      </c>
    </row>
    <row r="284" spans="10:26" x14ac:dyDescent="0.25">
      <c r="J284" s="52" t="str">
        <f t="shared" si="38"/>
        <v/>
      </c>
      <c r="K284" s="52" t="str">
        <f>IF(O284="","",VLOOKUP(U284,Data!O:AC,15,FALSE)/G284)</f>
        <v/>
      </c>
      <c r="X284" s="52">
        <f t="shared" si="39"/>
        <v>0</v>
      </c>
      <c r="Z284" s="52">
        <f t="shared" si="40"/>
        <v>0</v>
      </c>
    </row>
    <row r="285" spans="10:26" x14ac:dyDescent="0.25">
      <c r="J285" s="52" t="str">
        <f t="shared" si="38"/>
        <v/>
      </c>
      <c r="K285" s="52" t="str">
        <f>IF(O285="","",VLOOKUP(U285,Data!O:AC,15,FALSE)/G285)</f>
        <v/>
      </c>
      <c r="X285" s="52">
        <f t="shared" si="39"/>
        <v>0</v>
      </c>
      <c r="Z285" s="52">
        <f t="shared" si="40"/>
        <v>0</v>
      </c>
    </row>
    <row r="286" spans="10:26" x14ac:dyDescent="0.25">
      <c r="J286" s="52" t="str">
        <f t="shared" si="38"/>
        <v/>
      </c>
      <c r="K286" s="52" t="str">
        <f>IF(O286="","",VLOOKUP(U286,Data!O:AC,15,FALSE)/G286)</f>
        <v/>
      </c>
      <c r="X286" s="52">
        <f t="shared" si="39"/>
        <v>0</v>
      </c>
      <c r="Z286" s="52">
        <f t="shared" si="40"/>
        <v>0</v>
      </c>
    </row>
    <row r="287" spans="10:26" x14ac:dyDescent="0.25">
      <c r="J287" s="52" t="str">
        <f t="shared" si="38"/>
        <v/>
      </c>
      <c r="K287" s="52" t="str">
        <f>IF(O287="","",VLOOKUP(U287,Data!O:AC,15,FALSE)/G287)</f>
        <v/>
      </c>
      <c r="X287" s="52">
        <f t="shared" si="39"/>
        <v>0</v>
      </c>
      <c r="Z287" s="52">
        <f t="shared" si="40"/>
        <v>0</v>
      </c>
    </row>
    <row r="288" spans="10:26" x14ac:dyDescent="0.25">
      <c r="J288" s="52" t="str">
        <f t="shared" si="38"/>
        <v/>
      </c>
      <c r="K288" s="52" t="str">
        <f>IF(O288="","",VLOOKUP(U288,Data!O:AC,15,FALSE)/G288)</f>
        <v/>
      </c>
      <c r="X288" s="52">
        <f t="shared" si="39"/>
        <v>0</v>
      </c>
      <c r="Z288" s="52">
        <f t="shared" si="40"/>
        <v>0</v>
      </c>
    </row>
    <row r="289" spans="10:26" x14ac:dyDescent="0.25">
      <c r="J289" s="52" t="str">
        <f t="shared" si="38"/>
        <v/>
      </c>
      <c r="K289" s="52" t="str">
        <f>IF(O289="","",VLOOKUP(U289,Data!O:AC,15,FALSE)/G289)</f>
        <v/>
      </c>
      <c r="X289" s="52">
        <f t="shared" si="39"/>
        <v>0</v>
      </c>
      <c r="Z289" s="52">
        <f t="shared" si="40"/>
        <v>0</v>
      </c>
    </row>
    <row r="290" spans="10:26" x14ac:dyDescent="0.25">
      <c r="J290" s="52" t="str">
        <f t="shared" si="38"/>
        <v/>
      </c>
      <c r="K290" s="52" t="str">
        <f>IF(O290="","",VLOOKUP(U290,Data!O:AC,15,FALSE)/G290)</f>
        <v/>
      </c>
      <c r="X290" s="52">
        <f t="shared" si="39"/>
        <v>0</v>
      </c>
      <c r="Z290" s="52">
        <f t="shared" si="40"/>
        <v>0</v>
      </c>
    </row>
    <row r="291" spans="10:26" x14ac:dyDescent="0.25">
      <c r="J291" s="52" t="str">
        <f t="shared" si="38"/>
        <v/>
      </c>
      <c r="K291" s="52" t="str">
        <f>IF(O291="","",VLOOKUP(U291,Data!O:AC,15,FALSE)/G291)</f>
        <v/>
      </c>
      <c r="X291" s="52">
        <f t="shared" si="39"/>
        <v>0</v>
      </c>
      <c r="Z291" s="52">
        <f t="shared" si="40"/>
        <v>0</v>
      </c>
    </row>
    <row r="292" spans="10:26" x14ac:dyDescent="0.25">
      <c r="J292" s="52" t="str">
        <f t="shared" si="38"/>
        <v/>
      </c>
      <c r="K292" s="52" t="str">
        <f>IF(O292="","",VLOOKUP(U292,Data!O:AC,15,FALSE)/G292)</f>
        <v/>
      </c>
      <c r="X292" s="52">
        <f t="shared" si="39"/>
        <v>0</v>
      </c>
      <c r="Z292" s="52">
        <f t="shared" si="40"/>
        <v>0</v>
      </c>
    </row>
    <row r="293" spans="10:26" x14ac:dyDescent="0.25">
      <c r="J293" s="52" t="str">
        <f t="shared" si="38"/>
        <v/>
      </c>
      <c r="K293" s="52" t="str">
        <f>IF(O293="","",VLOOKUP(U293,Data!O:AC,15,FALSE)/G293)</f>
        <v/>
      </c>
      <c r="X293" s="52">
        <f t="shared" si="39"/>
        <v>0</v>
      </c>
      <c r="Z293" s="52">
        <f t="shared" si="40"/>
        <v>0</v>
      </c>
    </row>
    <row r="294" spans="10:26" x14ac:dyDescent="0.25">
      <c r="J294" s="52" t="str">
        <f t="shared" si="38"/>
        <v/>
      </c>
      <c r="K294" s="52" t="str">
        <f>IF(O294="","",VLOOKUP(U294,Data!O:AC,15,FALSE)/G294)</f>
        <v/>
      </c>
      <c r="X294" s="52">
        <f t="shared" si="39"/>
        <v>0</v>
      </c>
      <c r="Z294" s="52">
        <f t="shared" si="40"/>
        <v>0</v>
      </c>
    </row>
    <row r="295" spans="10:26" x14ac:dyDescent="0.25">
      <c r="J295" s="52" t="str">
        <f t="shared" si="38"/>
        <v/>
      </c>
      <c r="K295" s="52" t="str">
        <f>IF(O295="","",VLOOKUP(U295,Data!O:AC,15,FALSE)/G295)</f>
        <v/>
      </c>
      <c r="X295" s="52">
        <f t="shared" si="39"/>
        <v>0</v>
      </c>
      <c r="Z295" s="52">
        <f t="shared" si="40"/>
        <v>0</v>
      </c>
    </row>
    <row r="296" spans="10:26" x14ac:dyDescent="0.25">
      <c r="J296" s="52" t="str">
        <f t="shared" si="38"/>
        <v/>
      </c>
      <c r="K296" s="52" t="str">
        <f>IF(O296="","",VLOOKUP(U296,Data!O:AC,15,FALSE)/G296)</f>
        <v/>
      </c>
      <c r="X296" s="52">
        <f t="shared" si="39"/>
        <v>0</v>
      </c>
      <c r="Z296" s="52">
        <f t="shared" si="40"/>
        <v>0</v>
      </c>
    </row>
    <row r="297" spans="10:26" x14ac:dyDescent="0.25">
      <c r="J297" s="52" t="str">
        <f t="shared" si="38"/>
        <v/>
      </c>
      <c r="K297" s="52" t="str">
        <f>IF(O297="","",VLOOKUP(U297,Data!O:AC,15,FALSE)/G297)</f>
        <v/>
      </c>
      <c r="X297" s="52">
        <f t="shared" si="39"/>
        <v>0</v>
      </c>
      <c r="Z297" s="52">
        <f t="shared" si="40"/>
        <v>0</v>
      </c>
    </row>
    <row r="298" spans="10:26" x14ac:dyDescent="0.25">
      <c r="J298" s="52" t="str">
        <f t="shared" si="38"/>
        <v/>
      </c>
      <c r="K298" s="52" t="str">
        <f>IF(O298="","",VLOOKUP(U298,Data!O:AC,15,FALSE)/G298)</f>
        <v/>
      </c>
      <c r="X298" s="52">
        <f t="shared" si="39"/>
        <v>0</v>
      </c>
      <c r="Z298" s="52">
        <f t="shared" si="40"/>
        <v>0</v>
      </c>
    </row>
    <row r="299" spans="10:26" x14ac:dyDescent="0.25">
      <c r="J299" s="52" t="str">
        <f t="shared" si="38"/>
        <v/>
      </c>
      <c r="K299" s="52" t="str">
        <f>IF(O299="","",VLOOKUP(U299,Data!O:AC,15,FALSE)/G299)</f>
        <v/>
      </c>
      <c r="X299" s="52">
        <f t="shared" si="39"/>
        <v>0</v>
      </c>
      <c r="Z299" s="52">
        <f t="shared" si="40"/>
        <v>0</v>
      </c>
    </row>
    <row r="300" spans="10:26" x14ac:dyDescent="0.25">
      <c r="J300" s="52" t="str">
        <f t="shared" si="38"/>
        <v/>
      </c>
      <c r="K300" s="52" t="str">
        <f>IF(O300="","",VLOOKUP(U300,Data!O:AC,15,FALSE)/G300)</f>
        <v/>
      </c>
      <c r="X300" s="52">
        <f t="shared" si="39"/>
        <v>0</v>
      </c>
      <c r="Z300" s="52">
        <f t="shared" si="40"/>
        <v>0</v>
      </c>
    </row>
    <row r="301" spans="10:26" x14ac:dyDescent="0.25">
      <c r="J301" s="52" t="str">
        <f t="shared" si="38"/>
        <v/>
      </c>
      <c r="K301" s="52" t="str">
        <f>IF(O301="","",VLOOKUP(U301,Data!O:AC,15,FALSE)/G301)</f>
        <v/>
      </c>
      <c r="X301" s="52">
        <f t="shared" si="39"/>
        <v>0</v>
      </c>
      <c r="Z301" s="52">
        <f t="shared" si="40"/>
        <v>0</v>
      </c>
    </row>
    <row r="302" spans="10:26" x14ac:dyDescent="0.25">
      <c r="J302" s="52" t="str">
        <f t="shared" si="38"/>
        <v/>
      </c>
      <c r="K302" s="52" t="str">
        <f>IF(O302="","",VLOOKUP(U302,Data!O:AC,15,FALSE)/G302)</f>
        <v/>
      </c>
      <c r="X302" s="52">
        <f t="shared" si="39"/>
        <v>0</v>
      </c>
      <c r="Z302" s="52">
        <f t="shared" si="40"/>
        <v>0</v>
      </c>
    </row>
    <row r="303" spans="10:26" x14ac:dyDescent="0.25">
      <c r="J303" s="52" t="str">
        <f t="shared" si="38"/>
        <v/>
      </c>
      <c r="K303" s="52" t="str">
        <f>IF(O303="","",VLOOKUP(U303,Data!O:AC,15,FALSE)/G303)</f>
        <v/>
      </c>
      <c r="X303" s="52">
        <f t="shared" si="39"/>
        <v>0</v>
      </c>
      <c r="Z303" s="52">
        <f t="shared" si="40"/>
        <v>0</v>
      </c>
    </row>
    <row r="304" spans="10:26" x14ac:dyDescent="0.25">
      <c r="J304" s="52" t="str">
        <f t="shared" si="38"/>
        <v/>
      </c>
      <c r="K304" s="52" t="str">
        <f>IF(O304="","",VLOOKUP(U304,Data!O:AC,15,FALSE)/G304)</f>
        <v/>
      </c>
      <c r="X304" s="52">
        <f t="shared" si="39"/>
        <v>0</v>
      </c>
      <c r="Z304" s="52">
        <f t="shared" si="40"/>
        <v>0</v>
      </c>
    </row>
    <row r="305" spans="10:26" x14ac:dyDescent="0.25">
      <c r="J305" s="52" t="str">
        <f t="shared" si="38"/>
        <v/>
      </c>
      <c r="K305" s="52" t="str">
        <f>IF(O305="","",VLOOKUP(U305,Data!O:AC,15,FALSE)/G305)</f>
        <v/>
      </c>
      <c r="X305" s="52">
        <f t="shared" si="39"/>
        <v>0</v>
      </c>
      <c r="Z305" s="52">
        <f t="shared" si="40"/>
        <v>0</v>
      </c>
    </row>
    <row r="306" spans="10:26" x14ac:dyDescent="0.25">
      <c r="J306" s="52" t="str">
        <f t="shared" si="38"/>
        <v/>
      </c>
      <c r="K306" s="52" t="str">
        <f>IF(O306="","",VLOOKUP(U306,Data!O:AC,15,FALSE)/G306)</f>
        <v/>
      </c>
      <c r="X306" s="52">
        <f t="shared" si="39"/>
        <v>0</v>
      </c>
      <c r="Z306" s="52">
        <f t="shared" si="40"/>
        <v>0</v>
      </c>
    </row>
    <row r="307" spans="10:26" x14ac:dyDescent="0.25">
      <c r="J307" s="52" t="str">
        <f t="shared" si="38"/>
        <v/>
      </c>
      <c r="K307" s="52" t="str">
        <f>IF(O307="","",VLOOKUP(U307,Data!O:AC,15,FALSE)/G307)</f>
        <v/>
      </c>
      <c r="X307" s="52">
        <f t="shared" si="39"/>
        <v>0</v>
      </c>
      <c r="Z307" s="52">
        <f t="shared" si="40"/>
        <v>0</v>
      </c>
    </row>
    <row r="308" spans="10:26" x14ac:dyDescent="0.25">
      <c r="J308" s="52" t="str">
        <f t="shared" si="38"/>
        <v/>
      </c>
      <c r="K308" s="52" t="str">
        <f>IF(O308="","",VLOOKUP(U308,Data!O:AC,15,FALSE)/G308)</f>
        <v/>
      </c>
      <c r="X308" s="52">
        <f t="shared" si="39"/>
        <v>0</v>
      </c>
      <c r="Z308" s="52">
        <f t="shared" si="40"/>
        <v>0</v>
      </c>
    </row>
    <row r="309" spans="10:26" x14ac:dyDescent="0.25">
      <c r="J309" s="52" t="str">
        <f t="shared" si="38"/>
        <v/>
      </c>
      <c r="K309" s="52" t="str">
        <f>IF(O309="","",VLOOKUP(U309,Data!O:AC,15,FALSE)/G309)</f>
        <v/>
      </c>
      <c r="X309" s="52">
        <f t="shared" si="39"/>
        <v>0</v>
      </c>
      <c r="Z309" s="52">
        <f t="shared" si="40"/>
        <v>0</v>
      </c>
    </row>
    <row r="310" spans="10:26" x14ac:dyDescent="0.25">
      <c r="J310" s="52" t="str">
        <f t="shared" si="38"/>
        <v/>
      </c>
      <c r="K310" s="52" t="str">
        <f>IF(O310="","",VLOOKUP(U310,Data!O:AC,15,FALSE)/G310)</f>
        <v/>
      </c>
      <c r="X310" s="52">
        <f t="shared" si="39"/>
        <v>0</v>
      </c>
      <c r="Z310" s="52">
        <f t="shared" si="40"/>
        <v>0</v>
      </c>
    </row>
    <row r="311" spans="10:26" x14ac:dyDescent="0.25">
      <c r="J311" s="52" t="str">
        <f t="shared" si="38"/>
        <v/>
      </c>
      <c r="K311" s="52" t="str">
        <f>IF(O311="","",VLOOKUP(U311,Data!O:AC,15,FALSE)/G311)</f>
        <v/>
      </c>
      <c r="X311" s="52">
        <f t="shared" si="39"/>
        <v>0</v>
      </c>
      <c r="Z311" s="52">
        <f t="shared" si="40"/>
        <v>0</v>
      </c>
    </row>
    <row r="312" spans="10:26" x14ac:dyDescent="0.25">
      <c r="J312" s="52" t="str">
        <f t="shared" si="38"/>
        <v/>
      </c>
      <c r="K312" s="52" t="str">
        <f>IF(O312="","",VLOOKUP(U312,Data!O:AC,15,FALSE)/G312)</f>
        <v/>
      </c>
      <c r="X312" s="52">
        <f t="shared" si="39"/>
        <v>0</v>
      </c>
      <c r="Z312" s="52">
        <f t="shared" si="40"/>
        <v>0</v>
      </c>
    </row>
    <row r="313" spans="10:26" x14ac:dyDescent="0.25">
      <c r="J313" s="52" t="str">
        <f t="shared" si="38"/>
        <v/>
      </c>
      <c r="K313" s="52" t="str">
        <f>IF(O313="","",VLOOKUP(U313,Data!O:AC,15,FALSE)/G313)</f>
        <v/>
      </c>
      <c r="X313" s="52">
        <f t="shared" si="39"/>
        <v>0</v>
      </c>
      <c r="Z313" s="52">
        <f t="shared" si="40"/>
        <v>0</v>
      </c>
    </row>
    <row r="314" spans="10:26" x14ac:dyDescent="0.25">
      <c r="J314" s="52" t="str">
        <f t="shared" si="38"/>
        <v/>
      </c>
      <c r="K314" s="52" t="str">
        <f>IF(O314="","",VLOOKUP(U314,Data!O:AC,15,FALSE)/G314)</f>
        <v/>
      </c>
      <c r="X314" s="52">
        <f t="shared" si="39"/>
        <v>0</v>
      </c>
      <c r="Z314" s="52">
        <f t="shared" si="40"/>
        <v>0</v>
      </c>
    </row>
    <row r="315" spans="10:26" x14ac:dyDescent="0.25">
      <c r="J315" s="52" t="str">
        <f t="shared" si="38"/>
        <v/>
      </c>
      <c r="K315" s="52" t="str">
        <f>IF(O315="","",VLOOKUP(U315,Data!O:AC,15,FALSE)/G315)</f>
        <v/>
      </c>
      <c r="X315" s="52">
        <f t="shared" si="39"/>
        <v>0</v>
      </c>
      <c r="Z315" s="52">
        <f t="shared" si="40"/>
        <v>0</v>
      </c>
    </row>
    <row r="316" spans="10:26" x14ac:dyDescent="0.25">
      <c r="J316" s="52" t="str">
        <f t="shared" si="38"/>
        <v/>
      </c>
      <c r="K316" s="52" t="str">
        <f>IF(O316="","",VLOOKUP(U316,Data!O:AC,15,FALSE)/G316)</f>
        <v/>
      </c>
      <c r="X316" s="52">
        <f t="shared" si="39"/>
        <v>0</v>
      </c>
      <c r="Z316" s="52">
        <f t="shared" si="40"/>
        <v>0</v>
      </c>
    </row>
    <row r="317" spans="10:26" x14ac:dyDescent="0.25">
      <c r="J317" s="52" t="str">
        <f t="shared" si="38"/>
        <v/>
      </c>
      <c r="K317" s="52" t="str">
        <f>IF(O317="","",VLOOKUP(U317,Data!O:AC,15,FALSE)/G317)</f>
        <v/>
      </c>
      <c r="X317" s="52">
        <f t="shared" si="39"/>
        <v>0</v>
      </c>
      <c r="Z317" s="52">
        <f t="shared" si="40"/>
        <v>0</v>
      </c>
    </row>
    <row r="318" spans="10:26" x14ac:dyDescent="0.25">
      <c r="J318" s="52" t="str">
        <f t="shared" si="38"/>
        <v/>
      </c>
      <c r="K318" s="52" t="str">
        <f>IF(O318="","",VLOOKUP(U318,Data!O:AC,15,FALSE)/G318)</f>
        <v/>
      </c>
      <c r="X318" s="52">
        <f t="shared" si="39"/>
        <v>0</v>
      </c>
      <c r="Z318" s="52">
        <f t="shared" si="40"/>
        <v>0</v>
      </c>
    </row>
    <row r="319" spans="10:26" x14ac:dyDescent="0.25">
      <c r="J319" s="52" t="str">
        <f t="shared" si="38"/>
        <v/>
      </c>
      <c r="K319" s="52" t="str">
        <f>IF(O319="","",VLOOKUP(U319,Data!O:AC,15,FALSE)/G319)</f>
        <v/>
      </c>
      <c r="X319" s="52">
        <f t="shared" si="39"/>
        <v>0</v>
      </c>
      <c r="Z319" s="52">
        <f t="shared" si="40"/>
        <v>0</v>
      </c>
    </row>
    <row r="320" spans="10:26" x14ac:dyDescent="0.25">
      <c r="J320" s="52" t="str">
        <f t="shared" si="38"/>
        <v/>
      </c>
      <c r="K320" s="52" t="str">
        <f>IF(O320="","",VLOOKUP(U320,Data!O:AC,15,FALSE)/G320)</f>
        <v/>
      </c>
      <c r="X320" s="52">
        <f t="shared" si="39"/>
        <v>0</v>
      </c>
      <c r="Z320" s="52">
        <f t="shared" si="40"/>
        <v>0</v>
      </c>
    </row>
    <row r="321" spans="10:26" x14ac:dyDescent="0.25">
      <c r="J321" s="52" t="str">
        <f t="shared" si="38"/>
        <v/>
      </c>
      <c r="K321" s="52" t="str">
        <f>IF(O321="","",VLOOKUP(U321,Data!O:AC,15,FALSE)/G321)</f>
        <v/>
      </c>
      <c r="X321" s="52">
        <f t="shared" si="39"/>
        <v>0</v>
      </c>
      <c r="Z321" s="52">
        <f t="shared" si="40"/>
        <v>0</v>
      </c>
    </row>
    <row r="322" spans="10:26" x14ac:dyDescent="0.25">
      <c r="J322" s="52" t="str">
        <f t="shared" si="38"/>
        <v/>
      </c>
      <c r="K322" s="52" t="str">
        <f>IF(O322="","",VLOOKUP(U322,Data!O:AC,15,FALSE)/G322)</f>
        <v/>
      </c>
      <c r="X322" s="52">
        <f t="shared" si="39"/>
        <v>0</v>
      </c>
      <c r="Z322" s="52">
        <f t="shared" si="40"/>
        <v>0</v>
      </c>
    </row>
    <row r="323" spans="10:26" x14ac:dyDescent="0.25">
      <c r="J323" s="52" t="str">
        <f t="shared" ref="J323:J377" si="41">IF(O323="","",ROUND(H323*ROUND(I323,1),2))</f>
        <v/>
      </c>
      <c r="K323" s="52" t="str">
        <f>IF(O323="","",VLOOKUP(U323,Data!O:AC,15,FALSE)/G323)</f>
        <v/>
      </c>
      <c r="X323" s="52">
        <f t="shared" ref="X323:X377" si="42">AT323</f>
        <v>0</v>
      </c>
      <c r="Z323" s="52">
        <f t="shared" ref="Z323:Z377" si="43">IFERROR(ROUND(H323*I323,2),0)</f>
        <v>0</v>
      </c>
    </row>
    <row r="324" spans="10:26" x14ac:dyDescent="0.25">
      <c r="J324" s="52" t="str">
        <f t="shared" si="41"/>
        <v/>
      </c>
      <c r="K324" s="52" t="str">
        <f>IF(O324="","",VLOOKUP(U324,Data!O:AC,15,FALSE)/G324)</f>
        <v/>
      </c>
      <c r="X324" s="52">
        <f t="shared" si="42"/>
        <v>0</v>
      </c>
      <c r="Z324" s="52">
        <f t="shared" si="43"/>
        <v>0</v>
      </c>
    </row>
    <row r="325" spans="10:26" x14ac:dyDescent="0.25">
      <c r="J325" s="52" t="str">
        <f t="shared" si="41"/>
        <v/>
      </c>
      <c r="K325" s="52" t="str">
        <f>IF(O325="","",VLOOKUP(U325,Data!O:AC,15,FALSE)/G325)</f>
        <v/>
      </c>
      <c r="X325" s="52">
        <f t="shared" si="42"/>
        <v>0</v>
      </c>
      <c r="Z325" s="52">
        <f t="shared" si="43"/>
        <v>0</v>
      </c>
    </row>
    <row r="326" spans="10:26" x14ac:dyDescent="0.25">
      <c r="J326" s="52" t="str">
        <f t="shared" si="41"/>
        <v/>
      </c>
      <c r="K326" s="52" t="str">
        <f>IF(O326="","",VLOOKUP(U326,Data!O:AC,15,FALSE)/G326)</f>
        <v/>
      </c>
      <c r="X326" s="52">
        <f t="shared" si="42"/>
        <v>0</v>
      </c>
      <c r="Z326" s="52">
        <f t="shared" si="43"/>
        <v>0</v>
      </c>
    </row>
    <row r="327" spans="10:26" x14ac:dyDescent="0.25">
      <c r="J327" s="52" t="str">
        <f t="shared" si="41"/>
        <v/>
      </c>
      <c r="K327" s="52" t="str">
        <f>IF(O327="","",VLOOKUP(U327,Data!O:AC,15,FALSE)/G327)</f>
        <v/>
      </c>
      <c r="X327" s="52">
        <f t="shared" si="42"/>
        <v>0</v>
      </c>
      <c r="Z327" s="52">
        <f t="shared" si="43"/>
        <v>0</v>
      </c>
    </row>
    <row r="328" spans="10:26" x14ac:dyDescent="0.25">
      <c r="J328" s="52" t="str">
        <f t="shared" si="41"/>
        <v/>
      </c>
      <c r="K328" s="52" t="str">
        <f>IF(O328="","",VLOOKUP(U328,Data!O:AC,15,FALSE)/G328)</f>
        <v/>
      </c>
      <c r="X328" s="52">
        <f t="shared" si="42"/>
        <v>0</v>
      </c>
      <c r="Z328" s="52">
        <f t="shared" si="43"/>
        <v>0</v>
      </c>
    </row>
    <row r="329" spans="10:26" x14ac:dyDescent="0.25">
      <c r="J329" s="52" t="str">
        <f t="shared" si="41"/>
        <v/>
      </c>
      <c r="K329" s="52" t="str">
        <f>IF(O329="","",VLOOKUP(U329,Data!O:AC,15,FALSE)/G329)</f>
        <v/>
      </c>
      <c r="X329" s="52">
        <f t="shared" si="42"/>
        <v>0</v>
      </c>
      <c r="Z329" s="52">
        <f t="shared" si="43"/>
        <v>0</v>
      </c>
    </row>
    <row r="330" spans="10:26" x14ac:dyDescent="0.25">
      <c r="J330" s="52" t="str">
        <f t="shared" si="41"/>
        <v/>
      </c>
      <c r="K330" s="52" t="str">
        <f>IF(O330="","",VLOOKUP(U330,Data!O:AC,15,FALSE)/G330)</f>
        <v/>
      </c>
      <c r="X330" s="52">
        <f t="shared" si="42"/>
        <v>0</v>
      </c>
      <c r="Z330" s="52">
        <f t="shared" si="43"/>
        <v>0</v>
      </c>
    </row>
    <row r="331" spans="10:26" x14ac:dyDescent="0.25">
      <c r="J331" s="52" t="str">
        <f t="shared" si="41"/>
        <v/>
      </c>
      <c r="K331" s="52" t="str">
        <f>IF(O331="","",VLOOKUP(U331,Data!O:AC,15,FALSE)/G331)</f>
        <v/>
      </c>
      <c r="X331" s="52">
        <f t="shared" si="42"/>
        <v>0</v>
      </c>
      <c r="Z331" s="52">
        <f t="shared" si="43"/>
        <v>0</v>
      </c>
    </row>
    <row r="332" spans="10:26" x14ac:dyDescent="0.25">
      <c r="J332" s="52" t="str">
        <f t="shared" si="41"/>
        <v/>
      </c>
      <c r="K332" s="52" t="str">
        <f>IF(O332="","",VLOOKUP(U332,Data!O:AC,15,FALSE)/G332)</f>
        <v/>
      </c>
      <c r="X332" s="52">
        <f t="shared" si="42"/>
        <v>0</v>
      </c>
      <c r="Z332" s="52">
        <f t="shared" si="43"/>
        <v>0</v>
      </c>
    </row>
    <row r="333" spans="10:26" x14ac:dyDescent="0.25">
      <c r="J333" s="52" t="str">
        <f t="shared" si="41"/>
        <v/>
      </c>
      <c r="K333" s="52" t="str">
        <f>IF(O333="","",VLOOKUP(U333,Data!O:AC,15,FALSE)/G333)</f>
        <v/>
      </c>
      <c r="X333" s="52">
        <f t="shared" si="42"/>
        <v>0</v>
      </c>
      <c r="Z333" s="52">
        <f t="shared" si="43"/>
        <v>0</v>
      </c>
    </row>
    <row r="334" spans="10:26" x14ac:dyDescent="0.25">
      <c r="J334" s="52" t="str">
        <f t="shared" si="41"/>
        <v/>
      </c>
      <c r="K334" s="52" t="str">
        <f>IF(O334="","",VLOOKUP(U334,Data!O:AC,15,FALSE)/G334)</f>
        <v/>
      </c>
      <c r="X334" s="52">
        <f t="shared" si="42"/>
        <v>0</v>
      </c>
      <c r="Z334" s="52">
        <f t="shared" si="43"/>
        <v>0</v>
      </c>
    </row>
    <row r="335" spans="10:26" x14ac:dyDescent="0.25">
      <c r="J335" s="52" t="str">
        <f t="shared" si="41"/>
        <v/>
      </c>
      <c r="K335" s="52" t="str">
        <f>IF(O335="","",VLOOKUP(U335,Data!O:AC,15,FALSE)/G335)</f>
        <v/>
      </c>
      <c r="X335" s="52">
        <f t="shared" si="42"/>
        <v>0</v>
      </c>
      <c r="Z335" s="52">
        <f t="shared" si="43"/>
        <v>0</v>
      </c>
    </row>
    <row r="336" spans="10:26" x14ac:dyDescent="0.25">
      <c r="J336" s="52" t="str">
        <f t="shared" si="41"/>
        <v/>
      </c>
      <c r="K336" s="52" t="str">
        <f>IF(O336="","",VLOOKUP(U336,Data!O:AC,15,FALSE)/G336)</f>
        <v/>
      </c>
      <c r="X336" s="52">
        <f t="shared" si="42"/>
        <v>0</v>
      </c>
      <c r="Z336" s="52">
        <f t="shared" si="43"/>
        <v>0</v>
      </c>
    </row>
    <row r="337" spans="10:26" x14ac:dyDescent="0.25">
      <c r="J337" s="52" t="str">
        <f t="shared" si="41"/>
        <v/>
      </c>
      <c r="K337" s="52" t="str">
        <f>IF(O337="","",VLOOKUP(U337,Data!O:AC,15,FALSE)/G337)</f>
        <v/>
      </c>
      <c r="X337" s="52">
        <f t="shared" si="42"/>
        <v>0</v>
      </c>
      <c r="Z337" s="52">
        <f t="shared" si="43"/>
        <v>0</v>
      </c>
    </row>
    <row r="338" spans="10:26" x14ac:dyDescent="0.25">
      <c r="J338" s="52" t="str">
        <f t="shared" si="41"/>
        <v/>
      </c>
      <c r="K338" s="52" t="str">
        <f>IF(O338="","",VLOOKUP(U338,Data!O:AC,15,FALSE)/G338)</f>
        <v/>
      </c>
      <c r="X338" s="52">
        <f t="shared" si="42"/>
        <v>0</v>
      </c>
      <c r="Z338" s="52">
        <f t="shared" si="43"/>
        <v>0</v>
      </c>
    </row>
    <row r="339" spans="10:26" x14ac:dyDescent="0.25">
      <c r="J339" s="52" t="str">
        <f t="shared" si="41"/>
        <v/>
      </c>
      <c r="K339" s="52" t="str">
        <f>IF(O339="","",VLOOKUP(U339,Data!O:AC,15,FALSE)/G339)</f>
        <v/>
      </c>
      <c r="X339" s="52">
        <f t="shared" si="42"/>
        <v>0</v>
      </c>
      <c r="Z339" s="52">
        <f t="shared" si="43"/>
        <v>0</v>
      </c>
    </row>
    <row r="340" spans="10:26" x14ac:dyDescent="0.25">
      <c r="J340" s="52" t="str">
        <f t="shared" si="41"/>
        <v/>
      </c>
      <c r="K340" s="52" t="str">
        <f>IF(O340="","",VLOOKUP(U340,Data!O:AC,15,FALSE)/G340)</f>
        <v/>
      </c>
      <c r="X340" s="52">
        <f t="shared" si="42"/>
        <v>0</v>
      </c>
      <c r="Z340" s="52">
        <f t="shared" si="43"/>
        <v>0</v>
      </c>
    </row>
    <row r="341" spans="10:26" x14ac:dyDescent="0.25">
      <c r="J341" s="52" t="str">
        <f t="shared" si="41"/>
        <v/>
      </c>
      <c r="K341" s="52" t="str">
        <f>IF(O341="","",VLOOKUP(U341,Data!O:AC,15,FALSE)/G341)</f>
        <v/>
      </c>
      <c r="X341" s="52">
        <f t="shared" si="42"/>
        <v>0</v>
      </c>
      <c r="Z341" s="52">
        <f t="shared" si="43"/>
        <v>0</v>
      </c>
    </row>
    <row r="342" spans="10:26" x14ac:dyDescent="0.25">
      <c r="J342" s="52" t="str">
        <f t="shared" si="41"/>
        <v/>
      </c>
      <c r="K342" s="52" t="str">
        <f>IF(O342="","",VLOOKUP(U342,Data!O:AC,15,FALSE)/G342)</f>
        <v/>
      </c>
      <c r="X342" s="52">
        <f t="shared" si="42"/>
        <v>0</v>
      </c>
      <c r="Z342" s="52">
        <f t="shared" si="43"/>
        <v>0</v>
      </c>
    </row>
    <row r="343" spans="10:26" x14ac:dyDescent="0.25">
      <c r="J343" s="52" t="str">
        <f t="shared" si="41"/>
        <v/>
      </c>
      <c r="K343" s="52" t="str">
        <f>IF(O343="","",VLOOKUP(U343,Data!O:AC,15,FALSE)/G343)</f>
        <v/>
      </c>
      <c r="X343" s="52">
        <f t="shared" si="42"/>
        <v>0</v>
      </c>
      <c r="Z343" s="52">
        <f t="shared" si="43"/>
        <v>0</v>
      </c>
    </row>
    <row r="344" spans="10:26" x14ac:dyDescent="0.25">
      <c r="J344" s="52" t="str">
        <f t="shared" si="41"/>
        <v/>
      </c>
      <c r="K344" s="52" t="str">
        <f>IF(O344="","",VLOOKUP(U344,Data!O:AC,15,FALSE)/G344)</f>
        <v/>
      </c>
      <c r="X344" s="52">
        <f t="shared" si="42"/>
        <v>0</v>
      </c>
      <c r="Z344" s="52">
        <f t="shared" si="43"/>
        <v>0</v>
      </c>
    </row>
    <row r="345" spans="10:26" x14ac:dyDescent="0.25">
      <c r="J345" s="52" t="str">
        <f t="shared" si="41"/>
        <v/>
      </c>
      <c r="K345" s="52" t="str">
        <f>IF(O345="","",VLOOKUP(U345,Data!O:AC,15,FALSE)/G345)</f>
        <v/>
      </c>
      <c r="X345" s="52">
        <f t="shared" si="42"/>
        <v>0</v>
      </c>
      <c r="Z345" s="52">
        <f t="shared" si="43"/>
        <v>0</v>
      </c>
    </row>
    <row r="346" spans="10:26" x14ac:dyDescent="0.25">
      <c r="J346" s="52" t="str">
        <f t="shared" si="41"/>
        <v/>
      </c>
      <c r="K346" s="52" t="str">
        <f>IF(O346="","",VLOOKUP(U346,Data!O:AC,15,FALSE)/G346)</f>
        <v/>
      </c>
      <c r="X346" s="52">
        <f t="shared" si="42"/>
        <v>0</v>
      </c>
      <c r="Z346" s="52">
        <f t="shared" si="43"/>
        <v>0</v>
      </c>
    </row>
    <row r="347" spans="10:26" x14ac:dyDescent="0.25">
      <c r="J347" s="52" t="str">
        <f t="shared" si="41"/>
        <v/>
      </c>
      <c r="K347" s="52" t="str">
        <f>IF(O347="","",VLOOKUP(U347,Data!O:AC,15,FALSE)/G347)</f>
        <v/>
      </c>
      <c r="X347" s="52">
        <f t="shared" si="42"/>
        <v>0</v>
      </c>
      <c r="Z347" s="52">
        <f t="shared" si="43"/>
        <v>0</v>
      </c>
    </row>
    <row r="348" spans="10:26" x14ac:dyDescent="0.25">
      <c r="J348" s="52" t="str">
        <f t="shared" si="41"/>
        <v/>
      </c>
      <c r="K348" s="52" t="str">
        <f>IF(O348="","",VLOOKUP(U348,Data!O:AC,15,FALSE)/G348)</f>
        <v/>
      </c>
      <c r="X348" s="52">
        <f t="shared" si="42"/>
        <v>0</v>
      </c>
      <c r="Z348" s="52">
        <f t="shared" si="43"/>
        <v>0</v>
      </c>
    </row>
    <row r="349" spans="10:26" x14ac:dyDescent="0.25">
      <c r="J349" s="52" t="str">
        <f t="shared" si="41"/>
        <v/>
      </c>
      <c r="K349" s="52" t="str">
        <f>IF(O349="","",VLOOKUP(U349,Data!O:AC,15,FALSE)/G349)</f>
        <v/>
      </c>
      <c r="X349" s="52">
        <f t="shared" si="42"/>
        <v>0</v>
      </c>
      <c r="Z349" s="52">
        <f t="shared" si="43"/>
        <v>0</v>
      </c>
    </row>
    <row r="350" spans="10:26" x14ac:dyDescent="0.25">
      <c r="J350" s="52" t="str">
        <f t="shared" si="41"/>
        <v/>
      </c>
      <c r="K350" s="52" t="str">
        <f>IF(O350="","",VLOOKUP(U350,Data!O:AC,15,FALSE)/G350)</f>
        <v/>
      </c>
      <c r="X350" s="52">
        <f t="shared" si="42"/>
        <v>0</v>
      </c>
      <c r="Z350" s="52">
        <f t="shared" si="43"/>
        <v>0</v>
      </c>
    </row>
    <row r="351" spans="10:26" x14ac:dyDescent="0.25">
      <c r="J351" s="52" t="str">
        <f t="shared" si="41"/>
        <v/>
      </c>
      <c r="K351" s="52" t="str">
        <f>IF(O351="","",VLOOKUP(U351,Data!O:AC,15,FALSE)/G351)</f>
        <v/>
      </c>
      <c r="X351" s="52">
        <f t="shared" si="42"/>
        <v>0</v>
      </c>
      <c r="Z351" s="52">
        <f t="shared" si="43"/>
        <v>0</v>
      </c>
    </row>
    <row r="352" spans="10:26" x14ac:dyDescent="0.25">
      <c r="J352" s="52" t="str">
        <f t="shared" si="41"/>
        <v/>
      </c>
      <c r="K352" s="52" t="str">
        <f>IF(O352="","",VLOOKUP(U352,Data!O:AC,15,FALSE)/G352)</f>
        <v/>
      </c>
      <c r="X352" s="52">
        <f t="shared" si="42"/>
        <v>0</v>
      </c>
      <c r="Z352" s="52">
        <f t="shared" si="43"/>
        <v>0</v>
      </c>
    </row>
    <row r="353" spans="10:26" x14ac:dyDescent="0.25">
      <c r="J353" s="52" t="str">
        <f t="shared" si="41"/>
        <v/>
      </c>
      <c r="K353" s="52" t="str">
        <f>IF(O353="","",VLOOKUP(U353,Data!O:AC,15,FALSE)/G353)</f>
        <v/>
      </c>
      <c r="X353" s="52">
        <f t="shared" si="42"/>
        <v>0</v>
      </c>
      <c r="Z353" s="52">
        <f t="shared" si="43"/>
        <v>0</v>
      </c>
    </row>
    <row r="354" spans="10:26" x14ac:dyDescent="0.25">
      <c r="J354" s="52" t="str">
        <f t="shared" si="41"/>
        <v/>
      </c>
      <c r="K354" s="52" t="str">
        <f>IF(O354="","",VLOOKUP(U354,Data!O:AC,15,FALSE)/G354)</f>
        <v/>
      </c>
      <c r="X354" s="52">
        <f t="shared" si="42"/>
        <v>0</v>
      </c>
      <c r="Z354" s="52">
        <f t="shared" si="43"/>
        <v>0</v>
      </c>
    </row>
    <row r="355" spans="10:26" x14ac:dyDescent="0.25">
      <c r="J355" s="52" t="str">
        <f t="shared" si="41"/>
        <v/>
      </c>
      <c r="K355" s="52" t="str">
        <f>IF(O355="","",VLOOKUP(U355,Data!O:AC,15,FALSE)/G355)</f>
        <v/>
      </c>
      <c r="X355" s="52">
        <f t="shared" si="42"/>
        <v>0</v>
      </c>
      <c r="Z355" s="52">
        <f t="shared" si="43"/>
        <v>0</v>
      </c>
    </row>
    <row r="356" spans="10:26" x14ac:dyDescent="0.25">
      <c r="J356" s="52" t="str">
        <f t="shared" si="41"/>
        <v/>
      </c>
      <c r="K356" s="52" t="str">
        <f>IF(O356="","",VLOOKUP(U356,Data!O:AC,15,FALSE)/G356)</f>
        <v/>
      </c>
      <c r="X356" s="52">
        <f t="shared" si="42"/>
        <v>0</v>
      </c>
      <c r="Z356" s="52">
        <f t="shared" si="43"/>
        <v>0</v>
      </c>
    </row>
    <row r="357" spans="10:26" x14ac:dyDescent="0.25">
      <c r="J357" s="52" t="str">
        <f t="shared" si="41"/>
        <v/>
      </c>
      <c r="K357" s="52" t="str">
        <f>IF(O357="","",VLOOKUP(U357,Data!O:AC,15,FALSE)/G357)</f>
        <v/>
      </c>
      <c r="X357" s="52">
        <f t="shared" si="42"/>
        <v>0</v>
      </c>
      <c r="Z357" s="52">
        <f t="shared" si="43"/>
        <v>0</v>
      </c>
    </row>
    <row r="358" spans="10:26" x14ac:dyDescent="0.25">
      <c r="J358" s="52" t="str">
        <f t="shared" si="41"/>
        <v/>
      </c>
      <c r="K358" s="52" t="str">
        <f>IF(O358="","",VLOOKUP(U358,Data!O:AC,15,FALSE)/G358)</f>
        <v/>
      </c>
      <c r="X358" s="52">
        <f t="shared" si="42"/>
        <v>0</v>
      </c>
      <c r="Z358" s="52">
        <f t="shared" si="43"/>
        <v>0</v>
      </c>
    </row>
    <row r="359" spans="10:26" x14ac:dyDescent="0.25">
      <c r="J359" s="52" t="str">
        <f t="shared" si="41"/>
        <v/>
      </c>
      <c r="K359" s="52" t="str">
        <f>IF(O359="","",VLOOKUP(U359,Data!O:AC,15,FALSE)/G359)</f>
        <v/>
      </c>
      <c r="X359" s="52">
        <f t="shared" si="42"/>
        <v>0</v>
      </c>
      <c r="Z359" s="52">
        <f t="shared" si="43"/>
        <v>0</v>
      </c>
    </row>
    <row r="360" spans="10:26" x14ac:dyDescent="0.25">
      <c r="J360" s="52" t="str">
        <f t="shared" si="41"/>
        <v/>
      </c>
      <c r="K360" s="52" t="str">
        <f>IF(O360="","",VLOOKUP(U360,Data!O:AC,15,FALSE)/G360)</f>
        <v/>
      </c>
      <c r="X360" s="52">
        <f t="shared" si="42"/>
        <v>0</v>
      </c>
      <c r="Z360" s="52">
        <f t="shared" si="43"/>
        <v>0</v>
      </c>
    </row>
    <row r="361" spans="10:26" x14ac:dyDescent="0.25">
      <c r="J361" s="52" t="str">
        <f t="shared" si="41"/>
        <v/>
      </c>
      <c r="K361" s="52" t="str">
        <f>IF(O361="","",VLOOKUP(U361,Data!O:AC,15,FALSE)/G361)</f>
        <v/>
      </c>
      <c r="X361" s="52">
        <f t="shared" si="42"/>
        <v>0</v>
      </c>
      <c r="Z361" s="52">
        <f t="shared" si="43"/>
        <v>0</v>
      </c>
    </row>
    <row r="362" spans="10:26" x14ac:dyDescent="0.25">
      <c r="J362" s="52" t="str">
        <f t="shared" si="41"/>
        <v/>
      </c>
      <c r="K362" s="52" t="str">
        <f>IF(O362="","",VLOOKUP(U362,Data!O:AC,15,FALSE)/G362)</f>
        <v/>
      </c>
      <c r="X362" s="52">
        <f t="shared" si="42"/>
        <v>0</v>
      </c>
      <c r="Z362" s="52">
        <f t="shared" si="43"/>
        <v>0</v>
      </c>
    </row>
    <row r="363" spans="10:26" x14ac:dyDescent="0.25">
      <c r="J363" s="52" t="str">
        <f t="shared" si="41"/>
        <v/>
      </c>
      <c r="K363" s="52" t="str">
        <f>IF(O363="","",VLOOKUP(U363,Data!O:AC,15,FALSE)/G363)</f>
        <v/>
      </c>
      <c r="X363" s="52">
        <f t="shared" si="42"/>
        <v>0</v>
      </c>
      <c r="Z363" s="52">
        <f t="shared" si="43"/>
        <v>0</v>
      </c>
    </row>
    <row r="364" spans="10:26" x14ac:dyDescent="0.25">
      <c r="J364" s="52" t="str">
        <f t="shared" si="41"/>
        <v/>
      </c>
      <c r="K364" s="52" t="str">
        <f>IF(O364="","",VLOOKUP(U364,Data!O:AC,15,FALSE)/G364)</f>
        <v/>
      </c>
      <c r="X364" s="52">
        <f t="shared" si="42"/>
        <v>0</v>
      </c>
      <c r="Z364" s="52">
        <f t="shared" si="43"/>
        <v>0</v>
      </c>
    </row>
    <row r="365" spans="10:26" x14ac:dyDescent="0.25">
      <c r="J365" s="52" t="str">
        <f t="shared" si="41"/>
        <v/>
      </c>
      <c r="K365" s="52" t="str">
        <f>IF(O365="","",VLOOKUP(U365,Data!O:AC,15,FALSE)/G365)</f>
        <v/>
      </c>
      <c r="X365" s="52">
        <f t="shared" si="42"/>
        <v>0</v>
      </c>
      <c r="Z365" s="52">
        <f t="shared" si="43"/>
        <v>0</v>
      </c>
    </row>
    <row r="366" spans="10:26" x14ac:dyDescent="0.25">
      <c r="J366" s="52" t="str">
        <f t="shared" si="41"/>
        <v/>
      </c>
      <c r="K366" s="52" t="str">
        <f>IF(O366="","",VLOOKUP(U366,Data!O:AC,15,FALSE)/G366)</f>
        <v/>
      </c>
      <c r="X366" s="52">
        <f t="shared" si="42"/>
        <v>0</v>
      </c>
      <c r="Z366" s="52">
        <f t="shared" si="43"/>
        <v>0</v>
      </c>
    </row>
    <row r="367" spans="10:26" x14ac:dyDescent="0.25">
      <c r="J367" s="52" t="str">
        <f t="shared" si="41"/>
        <v/>
      </c>
      <c r="K367" s="52" t="str">
        <f>IF(O367="","",VLOOKUP(U367,Data!O:AC,15,FALSE)/G367)</f>
        <v/>
      </c>
      <c r="X367" s="52">
        <f t="shared" si="42"/>
        <v>0</v>
      </c>
      <c r="Z367" s="52">
        <f t="shared" si="43"/>
        <v>0</v>
      </c>
    </row>
    <row r="368" spans="10:26" x14ac:dyDescent="0.25">
      <c r="J368" s="52" t="str">
        <f t="shared" si="41"/>
        <v/>
      </c>
      <c r="K368" s="52" t="str">
        <f>IF(O368="","",VLOOKUP(U368,Data!O:AC,15,FALSE)/G368)</f>
        <v/>
      </c>
      <c r="X368" s="52">
        <f t="shared" si="42"/>
        <v>0</v>
      </c>
      <c r="Z368" s="52">
        <f t="shared" si="43"/>
        <v>0</v>
      </c>
    </row>
    <row r="369" spans="10:26" x14ac:dyDescent="0.25">
      <c r="J369" s="52" t="str">
        <f t="shared" si="41"/>
        <v/>
      </c>
      <c r="K369" s="52" t="str">
        <f>IF(O369="","",VLOOKUP(U369,Data!O:AC,15,FALSE)/G369)</f>
        <v/>
      </c>
      <c r="X369" s="52">
        <f t="shared" si="42"/>
        <v>0</v>
      </c>
      <c r="Z369" s="52">
        <f t="shared" si="43"/>
        <v>0</v>
      </c>
    </row>
    <row r="370" spans="10:26" x14ac:dyDescent="0.25">
      <c r="J370" s="52" t="str">
        <f t="shared" si="41"/>
        <v/>
      </c>
      <c r="K370" s="52" t="str">
        <f>IF(O370="","",VLOOKUP(U370,Data!O:AC,15,FALSE)/G370)</f>
        <v/>
      </c>
      <c r="X370" s="52">
        <f t="shared" si="42"/>
        <v>0</v>
      </c>
      <c r="Z370" s="52">
        <f t="shared" si="43"/>
        <v>0</v>
      </c>
    </row>
    <row r="371" spans="10:26" x14ac:dyDescent="0.25">
      <c r="J371" s="52" t="str">
        <f t="shared" si="41"/>
        <v/>
      </c>
      <c r="K371" s="52" t="str">
        <f>IF(O371="","",VLOOKUP(U371,Data!O:AC,15,FALSE)/G371)</f>
        <v/>
      </c>
      <c r="X371" s="52">
        <f t="shared" si="42"/>
        <v>0</v>
      </c>
      <c r="Z371" s="52">
        <f t="shared" si="43"/>
        <v>0</v>
      </c>
    </row>
    <row r="372" spans="10:26" x14ac:dyDescent="0.25">
      <c r="J372" s="52" t="str">
        <f t="shared" si="41"/>
        <v/>
      </c>
      <c r="K372" s="52" t="str">
        <f>IF(O372="","",VLOOKUP(U372,Data!O:AC,15,FALSE)/G372)</f>
        <v/>
      </c>
      <c r="X372" s="52">
        <f t="shared" si="42"/>
        <v>0</v>
      </c>
      <c r="Z372" s="52">
        <f t="shared" si="43"/>
        <v>0</v>
      </c>
    </row>
    <row r="373" spans="10:26" x14ac:dyDescent="0.25">
      <c r="J373" s="52" t="str">
        <f t="shared" si="41"/>
        <v/>
      </c>
      <c r="K373" s="52" t="str">
        <f>IF(O373="","",VLOOKUP(U373,Data!O:AC,15,FALSE)/G373)</f>
        <v/>
      </c>
      <c r="X373" s="52">
        <f t="shared" si="42"/>
        <v>0</v>
      </c>
      <c r="Z373" s="52">
        <f t="shared" si="43"/>
        <v>0</v>
      </c>
    </row>
    <row r="374" spans="10:26" x14ac:dyDescent="0.25">
      <c r="J374" s="52" t="str">
        <f t="shared" si="41"/>
        <v/>
      </c>
      <c r="K374" s="52" t="str">
        <f>IF(O374="","",VLOOKUP(U374,Data!O:AC,15,FALSE)/G374)</f>
        <v/>
      </c>
      <c r="X374" s="52">
        <f t="shared" si="42"/>
        <v>0</v>
      </c>
      <c r="Z374" s="52">
        <f t="shared" si="43"/>
        <v>0</v>
      </c>
    </row>
    <row r="375" spans="10:26" x14ac:dyDescent="0.25">
      <c r="J375" s="52" t="str">
        <f t="shared" si="41"/>
        <v/>
      </c>
      <c r="K375" s="52" t="str">
        <f>IF(O375="","",VLOOKUP(U375,Data!O:AC,15,FALSE)/G375)</f>
        <v/>
      </c>
      <c r="X375" s="52">
        <f t="shared" si="42"/>
        <v>0</v>
      </c>
      <c r="Z375" s="52">
        <f t="shared" si="43"/>
        <v>0</v>
      </c>
    </row>
    <row r="376" spans="10:26" x14ac:dyDescent="0.25">
      <c r="J376" s="52" t="str">
        <f t="shared" si="41"/>
        <v/>
      </c>
      <c r="K376" s="52" t="str">
        <f>IF(O376="","",VLOOKUP(U376,Data!O:AC,15,FALSE)/G376)</f>
        <v/>
      </c>
      <c r="X376" s="52">
        <f t="shared" si="42"/>
        <v>0</v>
      </c>
      <c r="Z376" s="52">
        <f t="shared" si="43"/>
        <v>0</v>
      </c>
    </row>
    <row r="377" spans="10:26" x14ac:dyDescent="0.25">
      <c r="J377" s="52" t="str">
        <f t="shared" si="41"/>
        <v/>
      </c>
      <c r="K377" s="52" t="str">
        <f>IF(O377="","",VLOOKUP(U377,Data!O:AC,15,FALSE)/G377)</f>
        <v/>
      </c>
      <c r="X377" s="52">
        <f t="shared" si="42"/>
        <v>0</v>
      </c>
      <c r="Z377" s="52">
        <f t="shared" si="43"/>
        <v>0</v>
      </c>
    </row>
  </sheetData>
  <conditionalFormatting sqref="A1:AA1">
    <cfRule type="notContainsBlanks" dxfId="8" priority="2">
      <formula>LEN(TRIM(A1))&gt;0</formula>
    </cfRule>
  </conditionalFormatting>
  <conditionalFormatting sqref="AE1:BM1">
    <cfRule type="notContainsBlanks" dxfId="7" priority="3">
      <formula>LEN(TRIM(AE1))&gt;0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E9EB79DB-40B2-45AE-A23B-71FB102A344C}">
            <xm:f>AND(Validation!A2="NA",A2&lt;&gt;"")</xm:f>
            <x14:dxf>
              <fill>
                <patternFill>
                  <bgColor rgb="FFFF0000"/>
                </patternFill>
              </fill>
            </x14:dxf>
          </x14:cfRule>
          <xm:sqref>A2:AA2 K3:W13 BN34:CK38 AG2:AU113 AZ2:BM183 AE2:BY2 AA39:CK135 CB2:CK99 A3:I135 L14:W135 K14:K377 X3:X377 J3:J377 AA3:BY99 Y3:Y135 Z3:Z377</xm:sqref>
        </x14:conditionalFormatting>
        <x14:conditionalFormatting xmlns:xm="http://schemas.microsoft.com/office/excel/2006/main">
          <x14:cfRule type="expression" priority="13" id="{868D1531-3266-408C-BF82-C578A8CFF760}">
            <xm:f>AND('\\192.168.1.25\Steel_Operation\RPA\Accounts Payable Booking\Data\Output\Processed Invoices\JCAPCP\3000066343 13-09-21 09.51 AM\[JCAPCP Invoice 3000066343.xlsm]Validation'!#REF!="NA",BZ2&lt;&gt;"")</xm:f>
            <x14:dxf>
              <fill>
                <patternFill>
                  <bgColor rgb="FFFF0000"/>
                </patternFill>
              </fill>
            </x14:dxf>
          </x14:cfRule>
          <xm:sqref>BZ2:CA99</xm:sqref>
        </x14:conditionalFormatting>
        <x14:conditionalFormatting xmlns:xm="http://schemas.microsoft.com/office/excel/2006/main">
          <x14:cfRule type="expression" priority="5" id="{6FD23ABD-5EC2-47F3-97CB-629270237D5F}">
            <xm:f>AND('\\192.168.1.25\Steel_Operation\RPA\Accounts Payable Booking\Data\Input\NSC\Files To be Processed\[VN-08341.xlsm]Validation GRPO'!#REF!="NA",A1&lt;&gt;"")</xm:f>
            <x14:dxf>
              <fill>
                <patternFill>
                  <bgColor rgb="FFFF0000"/>
                </patternFill>
              </fill>
            </x14:dxf>
          </x14:cfRule>
          <xm:sqref>A1:AA1 AE1:BV1</xm:sqref>
        </x14:conditionalFormatting>
        <x14:conditionalFormatting xmlns:xm="http://schemas.microsoft.com/office/excel/2006/main">
          <x14:cfRule type="expression" priority="4" id="{72CD3D86-F99F-404C-8374-FC4175E3B9AC}">
            <xm:f>AND('C:\Users\issac\AppData\Local\Microsoft\Windows\INetCache\Content.Outlook\1UR46FCF\[TATA Invoice 2472807050.xlsm]Validation'!#REF!="NA",BX1&lt;&gt;"")</xm:f>
            <x14:dxf>
              <fill>
                <patternFill>
                  <bgColor rgb="FFFF0000"/>
                </patternFill>
              </fill>
            </x14:dxf>
          </x14:cfRule>
          <xm:sqref>BX1:CK1</xm:sqref>
        </x14:conditionalFormatting>
        <x14:conditionalFormatting xmlns:xm="http://schemas.microsoft.com/office/excel/2006/main">
          <x14:cfRule type="expression" priority="6" id="{58A58474-90FA-4828-A15C-816026D9FEFF}">
            <xm:f>AND('C:\Users\issac\AppData\Local\Microsoft\Windows\INetCache\Content.Outlook\1UR46FCF\[TATA Invoice 2472807050.xlsm]Validation'!#REF!="NA",BW1&lt;&gt;"")</xm:f>
            <x14:dxf>
              <fill>
                <patternFill>
                  <bgColor rgb="FFFF0000"/>
                </patternFill>
              </fill>
            </x14:dxf>
          </x14:cfRule>
          <xm:sqref>BW1</xm:sqref>
        </x14:conditionalFormatting>
        <x14:conditionalFormatting xmlns:xm="http://schemas.microsoft.com/office/excel/2006/main">
          <x14:cfRule type="expression" priority="7" id="{DFA00F0D-69A0-49A8-BBBC-57AD79AE967A}">
            <xm:f>AND('C:\Users\issac\AppData\Local\Microsoft\Windows\INetCache\Content.Outlook\1UR46FCF\[JCAPCP Invoice 3000068302.xlsm]Validation'!#REF!="NA",AB1&lt;&gt;"")</xm:f>
            <x14:dxf>
              <fill>
                <patternFill>
                  <bgColor rgb="FFFF0000"/>
                </patternFill>
              </fill>
            </x14:dxf>
          </x14:cfRule>
          <xm:sqref>AB1:AD1</xm:sqref>
        </x14:conditionalFormatting>
        <x14:conditionalFormatting xmlns:xm="http://schemas.microsoft.com/office/excel/2006/main">
          <x14:cfRule type="expression" priority="1" id="{5EED739E-2784-4510-AE71-C1231AC0DA0F}">
            <xm:f>AND('\\192.168.1.25\Steel_Operation\RPA\Accounts Payable Booking\Data\Input\NSC\Files To be Processed\[VN-08361.xlsm]Validation'!#REF!="NA",AB2&lt;&gt;"")</xm:f>
            <x14:dxf>
              <fill>
                <patternFill>
                  <bgColor rgb="FFFF0000"/>
                </patternFill>
              </fill>
            </x14:dxf>
          </x14:cfRule>
          <xm:sqref>AB2:AD2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6"/>
  <sheetViews>
    <sheetView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62.28515625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B2"/>
      <c r="C2"/>
      <c r="D2"/>
      <c r="E2"/>
      <c r="F2"/>
      <c r="G2"/>
      <c r="H2" s="9" t="e">
        <f>LEFT(A2,FIND(" ",A2)-1)</f>
        <v>#VALUE!</v>
      </c>
      <c r="I2" s="1">
        <f>A2</f>
        <v>0</v>
      </c>
      <c r="J2"/>
      <c r="K2" s="9">
        <f>A5</f>
        <v>0</v>
      </c>
      <c r="L2" s="9">
        <f>B5</f>
        <v>0</v>
      </c>
      <c r="M2" s="9">
        <f>C5</f>
        <v>0</v>
      </c>
      <c r="N2" s="9">
        <f>D5</f>
        <v>0</v>
      </c>
      <c r="O2" s="2">
        <f>A11</f>
        <v>0</v>
      </c>
      <c r="P2" s="2">
        <f>B11</f>
        <v>0</v>
      </c>
      <c r="Q2" s="2">
        <f>A16</f>
        <v>0</v>
      </c>
      <c r="R2" s="2">
        <f>A16</f>
        <v>0</v>
      </c>
    </row>
    <row r="10" spans="1:18" x14ac:dyDescent="0.25">
      <c r="B10" s="2"/>
    </row>
    <row r="11" spans="1:18" x14ac:dyDescent="0.25">
      <c r="B11" s="2"/>
    </row>
    <row r="12" spans="1:18" x14ac:dyDescent="0.25">
      <c r="A12" s="2"/>
      <c r="B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5"/>
  <sheetViews>
    <sheetView topLeftCell="E1"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5"/>
  <sheetViews>
    <sheetView topLeftCell="D1"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26</v>
      </c>
      <c r="R1" s="1"/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A9</f>
        <v>0</v>
      </c>
      <c r="P2" s="2">
        <f>B9</f>
        <v>0</v>
      </c>
      <c r="Q2" s="2">
        <f>A13</f>
        <v>0</v>
      </c>
      <c r="R2" s="2"/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5"/>
  <sheetViews>
    <sheetView topLeftCell="E1"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A3</f>
        <v>0</v>
      </c>
      <c r="L2" s="9">
        <f>B3</f>
        <v>0</v>
      </c>
      <c r="M2" s="9">
        <f>C3</f>
        <v>0</v>
      </c>
      <c r="N2" s="9">
        <f>D3</f>
        <v>0</v>
      </c>
      <c r="O2" s="2">
        <f>A9</f>
        <v>0</v>
      </c>
      <c r="P2" s="2">
        <f>B9</f>
        <v>0</v>
      </c>
      <c r="Q2" s="2">
        <f>A13</f>
        <v>0</v>
      </c>
      <c r="R2" s="2">
        <f>A14</f>
        <v>0</v>
      </c>
    </row>
    <row r="9" spans="1:18" x14ac:dyDescent="0.25">
      <c r="A9" s="2"/>
      <c r="B9" s="2"/>
    </row>
    <row r="10" spans="1:18" x14ac:dyDescent="0.25">
      <c r="B10" s="2"/>
    </row>
    <row r="11" spans="1:18" x14ac:dyDescent="0.25">
      <c r="B11" s="2"/>
    </row>
    <row r="12" spans="1:18" x14ac:dyDescent="0.25">
      <c r="A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IP2:IS45"/>
  <sheetViews>
    <sheetView topLeftCell="CP1" workbookViewId="0">
      <selection activeCell="CX10" sqref="CX10"/>
    </sheetView>
  </sheetViews>
  <sheetFormatPr defaultRowHeight="15" x14ac:dyDescent="0.25"/>
  <cols>
    <col min="10" max="10" width="20.28515625" bestFit="1" customWidth="1"/>
    <col min="11" max="11" width="10.5703125" bestFit="1" customWidth="1"/>
    <col min="14" max="14" width="9.85546875" bestFit="1" customWidth="1"/>
    <col min="250" max="250" width="12.28515625" bestFit="1" customWidth="1"/>
  </cols>
  <sheetData>
    <row r="2" spans="250:253" x14ac:dyDescent="0.25">
      <c r="IP2" t="str">
        <f>C2&amp;D2/1000</f>
        <v>0</v>
      </c>
      <c r="IQ2">
        <f>K2</f>
        <v>0</v>
      </c>
      <c r="IR2">
        <f>O2</f>
        <v>0</v>
      </c>
      <c r="IS2">
        <f>F2*1000</f>
        <v>0</v>
      </c>
    </row>
    <row r="3" spans="250:253" x14ac:dyDescent="0.25">
      <c r="IP3" t="str">
        <f t="shared" ref="IP3:IP45" si="0">C3&amp;D3/1000</f>
        <v>0</v>
      </c>
      <c r="IQ3">
        <f t="shared" ref="IQ3:IQ45" si="1">K3</f>
        <v>0</v>
      </c>
      <c r="IR3">
        <f t="shared" ref="IR3:IR12" si="2">O3</f>
        <v>0</v>
      </c>
      <c r="IS3">
        <f t="shared" ref="IS3:IS45" si="3">F3*1000</f>
        <v>0</v>
      </c>
    </row>
    <row r="4" spans="250:253" x14ac:dyDescent="0.25">
      <c r="IP4" t="str">
        <f t="shared" si="0"/>
        <v>0</v>
      </c>
      <c r="IQ4">
        <f t="shared" si="1"/>
        <v>0</v>
      </c>
      <c r="IR4">
        <f t="shared" si="2"/>
        <v>0</v>
      </c>
      <c r="IS4">
        <f t="shared" si="3"/>
        <v>0</v>
      </c>
    </row>
    <row r="5" spans="250:253" x14ac:dyDescent="0.25">
      <c r="IP5" t="str">
        <f t="shared" si="0"/>
        <v>0</v>
      </c>
      <c r="IQ5">
        <f t="shared" si="1"/>
        <v>0</v>
      </c>
      <c r="IR5">
        <f t="shared" si="2"/>
        <v>0</v>
      </c>
      <c r="IS5">
        <f t="shared" si="3"/>
        <v>0</v>
      </c>
    </row>
    <row r="6" spans="250:253" x14ac:dyDescent="0.25">
      <c r="IP6" t="str">
        <f t="shared" si="0"/>
        <v>0</v>
      </c>
      <c r="IQ6">
        <f t="shared" si="1"/>
        <v>0</v>
      </c>
      <c r="IR6">
        <f t="shared" si="2"/>
        <v>0</v>
      </c>
      <c r="IS6">
        <f t="shared" si="3"/>
        <v>0</v>
      </c>
    </row>
    <row r="7" spans="250:253" x14ac:dyDescent="0.25">
      <c r="IP7" t="str">
        <f t="shared" si="0"/>
        <v>0</v>
      </c>
      <c r="IQ7">
        <f t="shared" si="1"/>
        <v>0</v>
      </c>
      <c r="IR7">
        <f t="shared" si="2"/>
        <v>0</v>
      </c>
      <c r="IS7">
        <f t="shared" si="3"/>
        <v>0</v>
      </c>
    </row>
    <row r="8" spans="250:253" x14ac:dyDescent="0.25">
      <c r="IP8" t="str">
        <f t="shared" si="0"/>
        <v>0</v>
      </c>
      <c r="IQ8">
        <f t="shared" si="1"/>
        <v>0</v>
      </c>
      <c r="IR8">
        <f t="shared" si="2"/>
        <v>0</v>
      </c>
      <c r="IS8">
        <f t="shared" si="3"/>
        <v>0</v>
      </c>
    </row>
    <row r="9" spans="250:253" x14ac:dyDescent="0.25">
      <c r="IP9" t="str">
        <f t="shared" si="0"/>
        <v>0</v>
      </c>
      <c r="IQ9">
        <f t="shared" si="1"/>
        <v>0</v>
      </c>
      <c r="IR9">
        <f t="shared" si="2"/>
        <v>0</v>
      </c>
      <c r="IS9">
        <f t="shared" si="3"/>
        <v>0</v>
      </c>
    </row>
    <row r="10" spans="250:253" x14ac:dyDescent="0.25">
      <c r="IP10" t="str">
        <f t="shared" si="0"/>
        <v>0</v>
      </c>
      <c r="IQ10">
        <f t="shared" si="1"/>
        <v>0</v>
      </c>
      <c r="IR10">
        <f t="shared" si="2"/>
        <v>0</v>
      </c>
      <c r="IS10">
        <f t="shared" si="3"/>
        <v>0</v>
      </c>
    </row>
    <row r="11" spans="250:253" x14ac:dyDescent="0.25">
      <c r="IP11" t="str">
        <f t="shared" si="0"/>
        <v>0</v>
      </c>
      <c r="IQ11">
        <f t="shared" si="1"/>
        <v>0</v>
      </c>
      <c r="IR11">
        <f t="shared" si="2"/>
        <v>0</v>
      </c>
      <c r="IS11">
        <f t="shared" si="3"/>
        <v>0</v>
      </c>
    </row>
    <row r="12" spans="250:253" x14ac:dyDescent="0.25">
      <c r="IP12" t="str">
        <f t="shared" si="0"/>
        <v>0</v>
      </c>
      <c r="IQ12">
        <f t="shared" si="1"/>
        <v>0</v>
      </c>
      <c r="IR12">
        <f t="shared" si="2"/>
        <v>0</v>
      </c>
      <c r="IS12">
        <f t="shared" si="3"/>
        <v>0</v>
      </c>
    </row>
    <row r="13" spans="250:253" x14ac:dyDescent="0.25">
      <c r="IP13" t="str">
        <f t="shared" si="0"/>
        <v>0</v>
      </c>
      <c r="IQ13">
        <f t="shared" si="1"/>
        <v>0</v>
      </c>
      <c r="IR13">
        <f t="shared" ref="IR13:IR30" si="4">O13</f>
        <v>0</v>
      </c>
      <c r="IS13">
        <f t="shared" si="3"/>
        <v>0</v>
      </c>
    </row>
    <row r="14" spans="250:253" x14ac:dyDescent="0.25">
      <c r="IP14" t="str">
        <f t="shared" si="0"/>
        <v>0</v>
      </c>
      <c r="IQ14">
        <f t="shared" si="1"/>
        <v>0</v>
      </c>
      <c r="IR14">
        <f t="shared" si="4"/>
        <v>0</v>
      </c>
      <c r="IS14">
        <f t="shared" si="3"/>
        <v>0</v>
      </c>
    </row>
    <row r="15" spans="250:253" x14ac:dyDescent="0.25">
      <c r="IP15" t="str">
        <f t="shared" si="0"/>
        <v>0</v>
      </c>
      <c r="IQ15">
        <f t="shared" si="1"/>
        <v>0</v>
      </c>
      <c r="IR15">
        <f t="shared" si="4"/>
        <v>0</v>
      </c>
      <c r="IS15">
        <f t="shared" si="3"/>
        <v>0</v>
      </c>
    </row>
    <row r="16" spans="250:253" x14ac:dyDescent="0.25">
      <c r="IP16" t="str">
        <f t="shared" si="0"/>
        <v>0</v>
      </c>
      <c r="IQ16">
        <f t="shared" si="1"/>
        <v>0</v>
      </c>
      <c r="IR16">
        <f t="shared" si="4"/>
        <v>0</v>
      </c>
      <c r="IS16">
        <f t="shared" si="3"/>
        <v>0</v>
      </c>
    </row>
    <row r="17" spans="250:253" x14ac:dyDescent="0.25">
      <c r="IP17" t="str">
        <f t="shared" si="0"/>
        <v>0</v>
      </c>
      <c r="IQ17">
        <f t="shared" si="1"/>
        <v>0</v>
      </c>
      <c r="IR17">
        <f t="shared" si="4"/>
        <v>0</v>
      </c>
      <c r="IS17">
        <f t="shared" si="3"/>
        <v>0</v>
      </c>
    </row>
    <row r="18" spans="250:253" x14ac:dyDescent="0.25">
      <c r="IP18" t="str">
        <f t="shared" si="0"/>
        <v>0</v>
      </c>
      <c r="IQ18">
        <f t="shared" si="1"/>
        <v>0</v>
      </c>
      <c r="IR18">
        <f t="shared" si="4"/>
        <v>0</v>
      </c>
      <c r="IS18">
        <f t="shared" si="3"/>
        <v>0</v>
      </c>
    </row>
    <row r="19" spans="250:253" x14ac:dyDescent="0.25">
      <c r="IP19" t="str">
        <f t="shared" si="0"/>
        <v>0</v>
      </c>
      <c r="IQ19">
        <f t="shared" si="1"/>
        <v>0</v>
      </c>
      <c r="IR19">
        <f t="shared" si="4"/>
        <v>0</v>
      </c>
      <c r="IS19">
        <f t="shared" si="3"/>
        <v>0</v>
      </c>
    </row>
    <row r="20" spans="250:253" x14ac:dyDescent="0.25">
      <c r="IP20" t="str">
        <f t="shared" si="0"/>
        <v>0</v>
      </c>
      <c r="IQ20">
        <f t="shared" si="1"/>
        <v>0</v>
      </c>
      <c r="IR20">
        <f t="shared" si="4"/>
        <v>0</v>
      </c>
      <c r="IS20">
        <f t="shared" si="3"/>
        <v>0</v>
      </c>
    </row>
    <row r="21" spans="250:253" x14ac:dyDescent="0.25">
      <c r="IP21" t="str">
        <f t="shared" si="0"/>
        <v>0</v>
      </c>
      <c r="IQ21">
        <f t="shared" si="1"/>
        <v>0</v>
      </c>
      <c r="IR21">
        <f t="shared" si="4"/>
        <v>0</v>
      </c>
      <c r="IS21">
        <f t="shared" si="3"/>
        <v>0</v>
      </c>
    </row>
    <row r="22" spans="250:253" x14ac:dyDescent="0.25">
      <c r="IP22" t="str">
        <f t="shared" si="0"/>
        <v>0</v>
      </c>
      <c r="IQ22">
        <f t="shared" si="1"/>
        <v>0</v>
      </c>
      <c r="IR22">
        <f t="shared" si="4"/>
        <v>0</v>
      </c>
      <c r="IS22">
        <f t="shared" si="3"/>
        <v>0</v>
      </c>
    </row>
    <row r="23" spans="250:253" x14ac:dyDescent="0.25">
      <c r="IP23" t="str">
        <f t="shared" si="0"/>
        <v>0</v>
      </c>
      <c r="IQ23">
        <f t="shared" si="1"/>
        <v>0</v>
      </c>
      <c r="IR23">
        <f t="shared" si="4"/>
        <v>0</v>
      </c>
      <c r="IS23">
        <f t="shared" si="3"/>
        <v>0</v>
      </c>
    </row>
    <row r="24" spans="250:253" x14ac:dyDescent="0.25">
      <c r="IP24" t="str">
        <f t="shared" si="0"/>
        <v>0</v>
      </c>
      <c r="IQ24">
        <f t="shared" si="1"/>
        <v>0</v>
      </c>
      <c r="IR24">
        <f t="shared" si="4"/>
        <v>0</v>
      </c>
      <c r="IS24">
        <f t="shared" si="3"/>
        <v>0</v>
      </c>
    </row>
    <row r="25" spans="250:253" x14ac:dyDescent="0.25">
      <c r="IP25" t="str">
        <f t="shared" si="0"/>
        <v>0</v>
      </c>
      <c r="IQ25">
        <f t="shared" si="1"/>
        <v>0</v>
      </c>
      <c r="IR25">
        <f t="shared" si="4"/>
        <v>0</v>
      </c>
      <c r="IS25">
        <f t="shared" si="3"/>
        <v>0</v>
      </c>
    </row>
    <row r="26" spans="250:253" x14ac:dyDescent="0.25">
      <c r="IP26" t="str">
        <f t="shared" si="0"/>
        <v>0</v>
      </c>
      <c r="IQ26">
        <f t="shared" si="1"/>
        <v>0</v>
      </c>
      <c r="IR26">
        <f t="shared" si="4"/>
        <v>0</v>
      </c>
      <c r="IS26">
        <f t="shared" si="3"/>
        <v>0</v>
      </c>
    </row>
    <row r="27" spans="250:253" x14ac:dyDescent="0.25">
      <c r="IP27" t="str">
        <f t="shared" si="0"/>
        <v>0</v>
      </c>
      <c r="IQ27">
        <f t="shared" si="1"/>
        <v>0</v>
      </c>
      <c r="IR27">
        <f t="shared" si="4"/>
        <v>0</v>
      </c>
      <c r="IS27">
        <f t="shared" si="3"/>
        <v>0</v>
      </c>
    </row>
    <row r="28" spans="250:253" x14ac:dyDescent="0.25">
      <c r="IP28" t="str">
        <f t="shared" si="0"/>
        <v>0</v>
      </c>
      <c r="IQ28">
        <f t="shared" si="1"/>
        <v>0</v>
      </c>
      <c r="IR28">
        <f t="shared" si="4"/>
        <v>0</v>
      </c>
      <c r="IS28">
        <f t="shared" si="3"/>
        <v>0</v>
      </c>
    </row>
    <row r="29" spans="250:253" x14ac:dyDescent="0.25">
      <c r="IP29" t="str">
        <f t="shared" si="0"/>
        <v>0</v>
      </c>
      <c r="IQ29">
        <f t="shared" si="1"/>
        <v>0</v>
      </c>
      <c r="IR29">
        <f t="shared" si="4"/>
        <v>0</v>
      </c>
      <c r="IS29">
        <f t="shared" si="3"/>
        <v>0</v>
      </c>
    </row>
    <row r="30" spans="250:253" x14ac:dyDescent="0.25">
      <c r="IP30" t="str">
        <f t="shared" si="0"/>
        <v>0</v>
      </c>
      <c r="IQ30">
        <f t="shared" si="1"/>
        <v>0</v>
      </c>
      <c r="IR30">
        <f t="shared" si="4"/>
        <v>0</v>
      </c>
      <c r="IS30">
        <f t="shared" si="3"/>
        <v>0</v>
      </c>
    </row>
    <row r="31" spans="250:253" x14ac:dyDescent="0.25">
      <c r="IP31" t="str">
        <f t="shared" si="0"/>
        <v>0</v>
      </c>
      <c r="IQ31">
        <f t="shared" si="1"/>
        <v>0</v>
      </c>
      <c r="IR31">
        <f t="shared" ref="IR31:IR45" si="5">O31</f>
        <v>0</v>
      </c>
      <c r="IS31">
        <f t="shared" si="3"/>
        <v>0</v>
      </c>
    </row>
    <row r="32" spans="250:253" x14ac:dyDescent="0.25">
      <c r="IP32" t="str">
        <f t="shared" si="0"/>
        <v>0</v>
      </c>
      <c r="IQ32">
        <f t="shared" si="1"/>
        <v>0</v>
      </c>
      <c r="IR32">
        <f t="shared" si="5"/>
        <v>0</v>
      </c>
      <c r="IS32">
        <f t="shared" si="3"/>
        <v>0</v>
      </c>
    </row>
    <row r="33" spans="250:253" x14ac:dyDescent="0.25">
      <c r="IP33" t="str">
        <f t="shared" si="0"/>
        <v>0</v>
      </c>
      <c r="IQ33">
        <f t="shared" si="1"/>
        <v>0</v>
      </c>
      <c r="IR33">
        <f t="shared" si="5"/>
        <v>0</v>
      </c>
      <c r="IS33">
        <f t="shared" si="3"/>
        <v>0</v>
      </c>
    </row>
    <row r="34" spans="250:253" x14ac:dyDescent="0.25">
      <c r="IP34" t="str">
        <f t="shared" si="0"/>
        <v>0</v>
      </c>
      <c r="IQ34">
        <f t="shared" si="1"/>
        <v>0</v>
      </c>
      <c r="IR34">
        <f t="shared" si="5"/>
        <v>0</v>
      </c>
      <c r="IS34">
        <f t="shared" si="3"/>
        <v>0</v>
      </c>
    </row>
    <row r="35" spans="250:253" x14ac:dyDescent="0.25">
      <c r="IP35" t="str">
        <f t="shared" si="0"/>
        <v>0</v>
      </c>
      <c r="IQ35">
        <f t="shared" si="1"/>
        <v>0</v>
      </c>
      <c r="IR35">
        <f t="shared" si="5"/>
        <v>0</v>
      </c>
      <c r="IS35">
        <f t="shared" si="3"/>
        <v>0</v>
      </c>
    </row>
    <row r="36" spans="250:253" x14ac:dyDescent="0.25">
      <c r="IP36" t="str">
        <f t="shared" si="0"/>
        <v>0</v>
      </c>
      <c r="IQ36">
        <f t="shared" si="1"/>
        <v>0</v>
      </c>
      <c r="IR36">
        <f t="shared" si="5"/>
        <v>0</v>
      </c>
      <c r="IS36">
        <f t="shared" si="3"/>
        <v>0</v>
      </c>
    </row>
    <row r="37" spans="250:253" x14ac:dyDescent="0.25">
      <c r="IP37" t="str">
        <f t="shared" si="0"/>
        <v>0</v>
      </c>
      <c r="IQ37">
        <f t="shared" si="1"/>
        <v>0</v>
      </c>
      <c r="IR37">
        <f t="shared" si="5"/>
        <v>0</v>
      </c>
      <c r="IS37">
        <f t="shared" si="3"/>
        <v>0</v>
      </c>
    </row>
    <row r="38" spans="250:253" x14ac:dyDescent="0.25">
      <c r="IP38" t="str">
        <f t="shared" si="0"/>
        <v>0</v>
      </c>
      <c r="IQ38">
        <f t="shared" si="1"/>
        <v>0</v>
      </c>
      <c r="IR38">
        <f t="shared" si="5"/>
        <v>0</v>
      </c>
      <c r="IS38">
        <f t="shared" si="3"/>
        <v>0</v>
      </c>
    </row>
    <row r="39" spans="250:253" x14ac:dyDescent="0.25">
      <c r="IP39" t="str">
        <f t="shared" si="0"/>
        <v>0</v>
      </c>
      <c r="IQ39">
        <f t="shared" si="1"/>
        <v>0</v>
      </c>
      <c r="IR39">
        <f t="shared" si="5"/>
        <v>0</v>
      </c>
      <c r="IS39">
        <f t="shared" si="3"/>
        <v>0</v>
      </c>
    </row>
    <row r="40" spans="250:253" x14ac:dyDescent="0.25">
      <c r="IP40" t="str">
        <f t="shared" si="0"/>
        <v>0</v>
      </c>
      <c r="IQ40">
        <f t="shared" si="1"/>
        <v>0</v>
      </c>
      <c r="IR40">
        <f t="shared" si="5"/>
        <v>0</v>
      </c>
      <c r="IS40">
        <f t="shared" si="3"/>
        <v>0</v>
      </c>
    </row>
    <row r="41" spans="250:253" x14ac:dyDescent="0.25">
      <c r="IP41" t="str">
        <f t="shared" si="0"/>
        <v>0</v>
      </c>
      <c r="IQ41">
        <f t="shared" si="1"/>
        <v>0</v>
      </c>
      <c r="IR41">
        <f t="shared" si="5"/>
        <v>0</v>
      </c>
      <c r="IS41">
        <f t="shared" si="3"/>
        <v>0</v>
      </c>
    </row>
    <row r="42" spans="250:253" x14ac:dyDescent="0.25">
      <c r="IP42" t="str">
        <f t="shared" si="0"/>
        <v>0</v>
      </c>
      <c r="IQ42">
        <f t="shared" si="1"/>
        <v>0</v>
      </c>
      <c r="IR42">
        <f t="shared" si="5"/>
        <v>0</v>
      </c>
      <c r="IS42">
        <f t="shared" si="3"/>
        <v>0</v>
      </c>
    </row>
    <row r="43" spans="250:253" x14ac:dyDescent="0.25">
      <c r="IP43" t="str">
        <f t="shared" si="0"/>
        <v>0</v>
      </c>
      <c r="IQ43">
        <f t="shared" si="1"/>
        <v>0</v>
      </c>
      <c r="IR43">
        <f t="shared" si="5"/>
        <v>0</v>
      </c>
      <c r="IS43">
        <f t="shared" si="3"/>
        <v>0</v>
      </c>
    </row>
    <row r="44" spans="250:253" x14ac:dyDescent="0.25">
      <c r="IP44" t="str">
        <f t="shared" si="0"/>
        <v>0</v>
      </c>
      <c r="IQ44">
        <f t="shared" si="1"/>
        <v>0</v>
      </c>
      <c r="IR44">
        <f t="shared" si="5"/>
        <v>0</v>
      </c>
      <c r="IS44">
        <f t="shared" si="3"/>
        <v>0</v>
      </c>
    </row>
    <row r="45" spans="250:253" x14ac:dyDescent="0.25">
      <c r="IP45" t="str">
        <f t="shared" si="0"/>
        <v>0</v>
      </c>
      <c r="IQ45">
        <f t="shared" si="1"/>
        <v>0</v>
      </c>
      <c r="IR45">
        <f t="shared" si="5"/>
        <v>0</v>
      </c>
      <c r="IS45">
        <f t="shared" si="3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J2:AN2"/>
  <sheetViews>
    <sheetView topLeftCell="X1" workbookViewId="0">
      <selection activeCell="AM3" sqref="AM3"/>
    </sheetView>
  </sheetViews>
  <sheetFormatPr defaultRowHeight="15" x14ac:dyDescent="0.25"/>
  <sheetData>
    <row r="2" spans="36:40" x14ac:dyDescent="0.25">
      <c r="AJ2" s="1">
        <f>F3</f>
        <v>0</v>
      </c>
      <c r="AK2" s="1">
        <f>IF(ISNUMBER(SEARCH("IGST",C3)),F3,F3)</f>
        <v>0</v>
      </c>
      <c r="AL2" s="1">
        <f>IF(ISNUMBER(SEARCH("IGST",C4)),0,F5)</f>
        <v>0</v>
      </c>
      <c r="AM2" s="1">
        <f>IF(ISNUMBER(SEARCH("IGST",C3)),H2,H2)</f>
        <v>0</v>
      </c>
      <c r="AN2" s="1">
        <f>F3</f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X185"/>
  <sheetViews>
    <sheetView topLeftCell="BA149" zoomScale="62" workbookViewId="0">
      <selection activeCell="BF185" sqref="BF185"/>
    </sheetView>
  </sheetViews>
  <sheetFormatPr defaultRowHeight="15" x14ac:dyDescent="0.25"/>
  <cols>
    <col min="1" max="1" width="9.42578125" style="38" customWidth="1"/>
    <col min="2" max="8" width="9.140625" style="38" customWidth="1"/>
    <col min="9" max="9" width="20.5703125" style="38" bestFit="1" customWidth="1"/>
    <col min="10" max="10" width="18.28515625" style="38" bestFit="1" customWidth="1"/>
    <col min="11" max="51" width="9.140625" style="38" customWidth="1"/>
    <col min="52" max="55" width="9.140625" customWidth="1"/>
    <col min="56" max="59" width="9.140625" style="1" customWidth="1"/>
    <col min="60" max="60" width="14" style="1" customWidth="1"/>
    <col min="61" max="62" width="9.140625" style="1" customWidth="1"/>
    <col min="63" max="63" width="11.7109375" style="1" bestFit="1" customWidth="1"/>
    <col min="64" max="64" width="18.5703125" style="1" bestFit="1" customWidth="1"/>
    <col min="65" max="65" width="13.140625" style="4" bestFit="1" customWidth="1"/>
    <col min="66" max="67" width="9.140625" style="1" customWidth="1"/>
    <col min="68" max="68" width="10" style="1" bestFit="1" customWidth="1"/>
    <col min="69" max="71" width="9.140625" style="1" customWidth="1"/>
    <col min="72" max="72" width="9.140625" style="4" customWidth="1"/>
  </cols>
  <sheetData>
    <row r="1" spans="58:76" x14ac:dyDescent="0.25">
      <c r="BF1" s="1" t="s">
        <v>83</v>
      </c>
      <c r="BG1" s="1" t="s">
        <v>84</v>
      </c>
      <c r="BH1" s="1" t="s">
        <v>30</v>
      </c>
      <c r="BI1" s="1" t="s">
        <v>31</v>
      </c>
      <c r="BJ1" s="1" t="s">
        <v>32</v>
      </c>
      <c r="BK1" s="1" t="s">
        <v>11</v>
      </c>
      <c r="BL1" s="1" t="s">
        <v>85</v>
      </c>
      <c r="BM1" s="4" t="s">
        <v>86</v>
      </c>
      <c r="BN1" s="1" t="s">
        <v>87</v>
      </c>
      <c r="BO1" s="1" t="s">
        <v>12</v>
      </c>
      <c r="BP1" s="1" t="s">
        <v>88</v>
      </c>
      <c r="BQ1" s="1" t="s">
        <v>89</v>
      </c>
      <c r="BR1" s="1" t="s">
        <v>17</v>
      </c>
      <c r="BS1" s="1" t="s">
        <v>82</v>
      </c>
      <c r="BT1" s="4" t="s">
        <v>28</v>
      </c>
      <c r="BU1" s="1" t="s">
        <v>90</v>
      </c>
      <c r="BV1" s="1" t="s">
        <v>85</v>
      </c>
      <c r="BW1" s="1" t="s">
        <v>20</v>
      </c>
      <c r="BX1" s="1" t="s">
        <v>129</v>
      </c>
    </row>
    <row r="2" spans="58:76" x14ac:dyDescent="0.2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39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33" si="2">L2</f>
        <v>0</v>
      </c>
      <c r="BM2" s="10" t="str">
        <f t="shared" ref="BM2:BM33" si="3">SUBSTITUTE(J2,"/",".")</f>
        <v/>
      </c>
      <c r="BN2" s="39">
        <f>VALUE(Q2)*1000</f>
        <v>0</v>
      </c>
      <c r="BO2" s="39">
        <f>VALUE(P2)/1000</f>
        <v>0</v>
      </c>
      <c r="BP2" s="1">
        <f t="shared" ref="BP2:BP65" si="4">VALUE(D2)</f>
        <v>0</v>
      </c>
      <c r="BQ2" s="1">
        <f>VALUE(G2)</f>
        <v>0</v>
      </c>
      <c r="BR2" s="1" t="str">
        <f t="shared" ref="BR2:BR33" si="5">SUBSTITUTE(O2,".","")</f>
        <v/>
      </c>
      <c r="BS2" s="1">
        <f t="shared" ref="BS2:BS33" si="6">S2</f>
        <v>0</v>
      </c>
      <c r="BT2" s="4">
        <f>VALUE(AJ2)</f>
        <v>0</v>
      </c>
      <c r="BU2" s="39">
        <f>K2</f>
        <v>0</v>
      </c>
      <c r="BV2" s="1">
        <f>AQ2</f>
        <v>0</v>
      </c>
      <c r="BW2">
        <f>X2</f>
        <v>0</v>
      </c>
      <c r="BX2">
        <f>AN2</f>
        <v>0</v>
      </c>
    </row>
    <row r="3" spans="58:76" x14ac:dyDescent="0.2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39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7">IFERROR(INT(I3),I3)</f>
        <v>0</v>
      </c>
      <c r="BL3" s="1">
        <f t="shared" si="2"/>
        <v>0</v>
      </c>
      <c r="BM3" s="10" t="str">
        <f t="shared" si="3"/>
        <v/>
      </c>
      <c r="BN3" s="39">
        <f t="shared" ref="BN3:BN66" si="8">VALUE(Q3)*1000</f>
        <v>0</v>
      </c>
      <c r="BO3" s="39">
        <f t="shared" ref="BO3:BO66" si="9">VALUE(P3)/1000</f>
        <v>0</v>
      </c>
      <c r="BP3" s="1">
        <f t="shared" si="4"/>
        <v>0</v>
      </c>
      <c r="BQ3" s="1">
        <f t="shared" ref="BQ3:BQ66" si="10">VALUE(G3)</f>
        <v>0</v>
      </c>
      <c r="BR3" s="1" t="str">
        <f t="shared" si="5"/>
        <v/>
      </c>
      <c r="BS3" s="1">
        <f t="shared" si="6"/>
        <v>0</v>
      </c>
      <c r="BT3" s="4">
        <f t="shared" ref="BT3:BT66" si="11">VALUE(AJ3)</f>
        <v>0</v>
      </c>
      <c r="BU3" s="39">
        <f t="shared" ref="BU3:BU66" si="12">K3</f>
        <v>0</v>
      </c>
      <c r="BV3" s="1">
        <f t="shared" ref="BV3:BV66" si="13">AQ3</f>
        <v>0</v>
      </c>
      <c r="BW3">
        <f t="shared" ref="BW3:BW66" si="14">X3</f>
        <v>0</v>
      </c>
      <c r="BX3">
        <f t="shared" ref="BX3:BX66" si="15">AN3</f>
        <v>0</v>
      </c>
    </row>
    <row r="4" spans="58:76" x14ac:dyDescent="0.2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39">
        <f t="shared" si="0"/>
        <v>0</v>
      </c>
      <c r="BI4" s="1">
        <f t="shared" si="0"/>
        <v>0</v>
      </c>
      <c r="BJ4" s="1">
        <f t="shared" si="1"/>
        <v>0</v>
      </c>
      <c r="BK4" s="1">
        <f t="shared" si="7"/>
        <v>0</v>
      </c>
      <c r="BL4" s="1">
        <f t="shared" si="2"/>
        <v>0</v>
      </c>
      <c r="BM4" s="10" t="str">
        <f t="shared" si="3"/>
        <v/>
      </c>
      <c r="BN4" s="39">
        <f t="shared" si="8"/>
        <v>0</v>
      </c>
      <c r="BO4" s="39">
        <f t="shared" si="9"/>
        <v>0</v>
      </c>
      <c r="BP4" s="1">
        <f t="shared" si="4"/>
        <v>0</v>
      </c>
      <c r="BQ4" s="1">
        <f t="shared" si="10"/>
        <v>0</v>
      </c>
      <c r="BR4" s="1" t="str">
        <f t="shared" si="5"/>
        <v/>
      </c>
      <c r="BS4" s="1">
        <f t="shared" si="6"/>
        <v>0</v>
      </c>
      <c r="BT4" s="4">
        <f t="shared" si="11"/>
        <v>0</v>
      </c>
      <c r="BU4" s="39">
        <f t="shared" si="12"/>
        <v>0</v>
      </c>
      <c r="BV4" s="1">
        <f t="shared" si="13"/>
        <v>0</v>
      </c>
      <c r="BW4">
        <f t="shared" si="14"/>
        <v>0</v>
      </c>
      <c r="BX4">
        <f t="shared" si="15"/>
        <v>0</v>
      </c>
    </row>
    <row r="5" spans="58:76" x14ac:dyDescent="0.2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39">
        <f t="shared" si="0"/>
        <v>0</v>
      </c>
      <c r="BI5" s="1">
        <f t="shared" si="0"/>
        <v>0</v>
      </c>
      <c r="BJ5" s="1">
        <f t="shared" si="1"/>
        <v>0</v>
      </c>
      <c r="BK5" s="1">
        <f t="shared" si="7"/>
        <v>0</v>
      </c>
      <c r="BL5" s="1">
        <f t="shared" si="2"/>
        <v>0</v>
      </c>
      <c r="BM5" s="10" t="str">
        <f t="shared" si="3"/>
        <v/>
      </c>
      <c r="BN5" s="39">
        <f t="shared" si="8"/>
        <v>0</v>
      </c>
      <c r="BO5" s="39">
        <f t="shared" si="9"/>
        <v>0</v>
      </c>
      <c r="BP5" s="1">
        <f t="shared" si="4"/>
        <v>0</v>
      </c>
      <c r="BQ5" s="1">
        <f t="shared" si="10"/>
        <v>0</v>
      </c>
      <c r="BR5" s="1" t="str">
        <f t="shared" si="5"/>
        <v/>
      </c>
      <c r="BS5" s="1">
        <f t="shared" si="6"/>
        <v>0</v>
      </c>
      <c r="BT5" s="4">
        <f t="shared" si="11"/>
        <v>0</v>
      </c>
      <c r="BU5" s="39">
        <f t="shared" si="12"/>
        <v>0</v>
      </c>
      <c r="BV5" s="1">
        <f t="shared" si="13"/>
        <v>0</v>
      </c>
      <c r="BW5">
        <f t="shared" si="14"/>
        <v>0</v>
      </c>
      <c r="BX5">
        <f t="shared" si="15"/>
        <v>0</v>
      </c>
    </row>
    <row r="6" spans="58:76" x14ac:dyDescent="0.2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39">
        <f t="shared" si="0"/>
        <v>0</v>
      </c>
      <c r="BI6" s="1">
        <f t="shared" si="0"/>
        <v>0</v>
      </c>
      <c r="BJ6" s="1">
        <f t="shared" si="1"/>
        <v>0</v>
      </c>
      <c r="BK6" s="1">
        <f t="shared" si="7"/>
        <v>0</v>
      </c>
      <c r="BL6" s="1">
        <f t="shared" si="2"/>
        <v>0</v>
      </c>
      <c r="BM6" s="10" t="str">
        <f t="shared" si="3"/>
        <v/>
      </c>
      <c r="BN6" s="39">
        <f t="shared" si="8"/>
        <v>0</v>
      </c>
      <c r="BO6" s="39">
        <f t="shared" si="9"/>
        <v>0</v>
      </c>
      <c r="BP6" s="1">
        <f t="shared" si="4"/>
        <v>0</v>
      </c>
      <c r="BQ6" s="1">
        <f t="shared" si="10"/>
        <v>0</v>
      </c>
      <c r="BR6" s="1" t="str">
        <f t="shared" si="5"/>
        <v/>
      </c>
      <c r="BS6" s="1">
        <f t="shared" si="6"/>
        <v>0</v>
      </c>
      <c r="BT6" s="4">
        <f t="shared" si="11"/>
        <v>0</v>
      </c>
      <c r="BU6" s="39">
        <f t="shared" si="12"/>
        <v>0</v>
      </c>
      <c r="BV6" s="1">
        <f t="shared" si="13"/>
        <v>0</v>
      </c>
      <c r="BW6">
        <f t="shared" si="14"/>
        <v>0</v>
      </c>
      <c r="BX6">
        <f t="shared" si="15"/>
        <v>0</v>
      </c>
    </row>
    <row r="7" spans="58:76" x14ac:dyDescent="0.2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39">
        <f t="shared" si="0"/>
        <v>0</v>
      </c>
      <c r="BI7" s="1">
        <f t="shared" si="0"/>
        <v>0</v>
      </c>
      <c r="BJ7" s="1">
        <f t="shared" si="1"/>
        <v>0</v>
      </c>
      <c r="BK7" s="1">
        <f t="shared" si="7"/>
        <v>0</v>
      </c>
      <c r="BL7" s="1">
        <f t="shared" si="2"/>
        <v>0</v>
      </c>
      <c r="BM7" s="10" t="str">
        <f t="shared" si="3"/>
        <v/>
      </c>
      <c r="BN7" s="39">
        <f t="shared" si="8"/>
        <v>0</v>
      </c>
      <c r="BO7" s="39">
        <f t="shared" si="9"/>
        <v>0</v>
      </c>
      <c r="BP7" s="1">
        <f t="shared" si="4"/>
        <v>0</v>
      </c>
      <c r="BQ7" s="1">
        <f t="shared" si="10"/>
        <v>0</v>
      </c>
      <c r="BR7" s="1" t="str">
        <f t="shared" si="5"/>
        <v/>
      </c>
      <c r="BS7" s="1">
        <f t="shared" si="6"/>
        <v>0</v>
      </c>
      <c r="BT7" s="4">
        <f t="shared" si="11"/>
        <v>0</v>
      </c>
      <c r="BU7" s="39">
        <f t="shared" si="12"/>
        <v>0</v>
      </c>
      <c r="BV7" s="1">
        <f t="shared" si="13"/>
        <v>0</v>
      </c>
      <c r="BW7">
        <f t="shared" si="14"/>
        <v>0</v>
      </c>
      <c r="BX7">
        <f t="shared" si="15"/>
        <v>0</v>
      </c>
    </row>
    <row r="8" spans="58:76" x14ac:dyDescent="0.2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39">
        <f t="shared" si="0"/>
        <v>0</v>
      </c>
      <c r="BI8" s="1">
        <f t="shared" si="0"/>
        <v>0</v>
      </c>
      <c r="BJ8" s="1">
        <f t="shared" si="1"/>
        <v>0</v>
      </c>
      <c r="BK8" s="1">
        <f t="shared" si="7"/>
        <v>0</v>
      </c>
      <c r="BL8" s="1">
        <f t="shared" si="2"/>
        <v>0</v>
      </c>
      <c r="BM8" s="10" t="str">
        <f t="shared" si="3"/>
        <v/>
      </c>
      <c r="BN8" s="39">
        <f t="shared" si="8"/>
        <v>0</v>
      </c>
      <c r="BO8" s="39">
        <f t="shared" si="9"/>
        <v>0</v>
      </c>
      <c r="BP8" s="1">
        <f t="shared" si="4"/>
        <v>0</v>
      </c>
      <c r="BQ8" s="1">
        <f t="shared" si="10"/>
        <v>0</v>
      </c>
      <c r="BR8" s="1" t="str">
        <f t="shared" si="5"/>
        <v/>
      </c>
      <c r="BS8" s="1">
        <f t="shared" si="6"/>
        <v>0</v>
      </c>
      <c r="BT8" s="4">
        <f t="shared" si="11"/>
        <v>0</v>
      </c>
      <c r="BU8" s="39">
        <f t="shared" si="12"/>
        <v>0</v>
      </c>
      <c r="BV8" s="1">
        <f t="shared" si="13"/>
        <v>0</v>
      </c>
      <c r="BW8">
        <f t="shared" si="14"/>
        <v>0</v>
      </c>
      <c r="BX8">
        <f t="shared" si="15"/>
        <v>0</v>
      </c>
    </row>
    <row r="9" spans="58:76" x14ac:dyDescent="0.2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39">
        <f t="shared" si="0"/>
        <v>0</v>
      </c>
      <c r="BI9" s="1">
        <f t="shared" si="0"/>
        <v>0</v>
      </c>
      <c r="BJ9" s="1">
        <f t="shared" si="1"/>
        <v>0</v>
      </c>
      <c r="BK9" s="1">
        <f t="shared" si="7"/>
        <v>0</v>
      </c>
      <c r="BL9" s="1">
        <f t="shared" si="2"/>
        <v>0</v>
      </c>
      <c r="BM9" s="10" t="str">
        <f t="shared" si="3"/>
        <v/>
      </c>
      <c r="BN9" s="39">
        <f t="shared" si="8"/>
        <v>0</v>
      </c>
      <c r="BO9" s="39">
        <f t="shared" si="9"/>
        <v>0</v>
      </c>
      <c r="BP9" s="1">
        <f t="shared" si="4"/>
        <v>0</v>
      </c>
      <c r="BQ9" s="1">
        <f t="shared" si="10"/>
        <v>0</v>
      </c>
      <c r="BR9" s="1" t="str">
        <f t="shared" si="5"/>
        <v/>
      </c>
      <c r="BS9" s="1">
        <f t="shared" si="6"/>
        <v>0</v>
      </c>
      <c r="BT9" s="4">
        <f t="shared" si="11"/>
        <v>0</v>
      </c>
      <c r="BU9" s="39">
        <f t="shared" si="12"/>
        <v>0</v>
      </c>
      <c r="BV9" s="1">
        <f t="shared" si="13"/>
        <v>0</v>
      </c>
      <c r="BW9">
        <f t="shared" si="14"/>
        <v>0</v>
      </c>
      <c r="BX9">
        <f t="shared" si="15"/>
        <v>0</v>
      </c>
    </row>
    <row r="10" spans="58:76" x14ac:dyDescent="0.2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39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7"/>
        <v>0</v>
      </c>
      <c r="BL10" s="1">
        <f t="shared" si="2"/>
        <v>0</v>
      </c>
      <c r="BM10" s="10" t="str">
        <f t="shared" si="3"/>
        <v/>
      </c>
      <c r="BN10" s="39">
        <f t="shared" si="8"/>
        <v>0</v>
      </c>
      <c r="BO10" s="39">
        <f t="shared" si="9"/>
        <v>0</v>
      </c>
      <c r="BP10" s="1">
        <f t="shared" si="4"/>
        <v>0</v>
      </c>
      <c r="BQ10" s="1">
        <f t="shared" si="10"/>
        <v>0</v>
      </c>
      <c r="BR10" s="1" t="str">
        <f t="shared" si="5"/>
        <v/>
      </c>
      <c r="BS10" s="1">
        <f t="shared" si="6"/>
        <v>0</v>
      </c>
      <c r="BT10" s="4">
        <f t="shared" si="11"/>
        <v>0</v>
      </c>
      <c r="BU10" s="39">
        <f t="shared" si="12"/>
        <v>0</v>
      </c>
      <c r="BV10" s="1">
        <f t="shared" si="13"/>
        <v>0</v>
      </c>
      <c r="BW10">
        <f t="shared" si="14"/>
        <v>0</v>
      </c>
      <c r="BX10">
        <f t="shared" si="15"/>
        <v>0</v>
      </c>
    </row>
    <row r="11" spans="58:76" x14ac:dyDescent="0.2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39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7"/>
        <v>0</v>
      </c>
      <c r="BL11" s="1">
        <f t="shared" si="2"/>
        <v>0</v>
      </c>
      <c r="BM11" s="10" t="str">
        <f t="shared" si="3"/>
        <v/>
      </c>
      <c r="BN11" s="39">
        <f t="shared" si="8"/>
        <v>0</v>
      </c>
      <c r="BO11" s="39">
        <f t="shared" si="9"/>
        <v>0</v>
      </c>
      <c r="BP11" s="1">
        <f t="shared" si="4"/>
        <v>0</v>
      </c>
      <c r="BQ11" s="1">
        <f t="shared" si="10"/>
        <v>0</v>
      </c>
      <c r="BR11" s="1" t="str">
        <f t="shared" si="5"/>
        <v/>
      </c>
      <c r="BS11" s="1">
        <f t="shared" si="6"/>
        <v>0</v>
      </c>
      <c r="BT11" s="4">
        <f t="shared" si="11"/>
        <v>0</v>
      </c>
      <c r="BU11" s="39">
        <f t="shared" si="12"/>
        <v>0</v>
      </c>
      <c r="BV11" s="1">
        <f t="shared" si="13"/>
        <v>0</v>
      </c>
      <c r="BW11">
        <f t="shared" si="14"/>
        <v>0</v>
      </c>
      <c r="BX11">
        <f t="shared" si="15"/>
        <v>0</v>
      </c>
    </row>
    <row r="12" spans="58:76" x14ac:dyDescent="0.2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39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7"/>
        <v>0</v>
      </c>
      <c r="BL12" s="1">
        <f t="shared" si="2"/>
        <v>0</v>
      </c>
      <c r="BM12" s="10" t="str">
        <f t="shared" si="3"/>
        <v/>
      </c>
      <c r="BN12" s="39">
        <f t="shared" si="8"/>
        <v>0</v>
      </c>
      <c r="BO12" s="39">
        <f t="shared" si="9"/>
        <v>0</v>
      </c>
      <c r="BP12" s="1">
        <f t="shared" si="4"/>
        <v>0</v>
      </c>
      <c r="BQ12" s="1">
        <f t="shared" si="10"/>
        <v>0</v>
      </c>
      <c r="BR12" s="1" t="str">
        <f t="shared" si="5"/>
        <v/>
      </c>
      <c r="BS12" s="1">
        <f t="shared" si="6"/>
        <v>0</v>
      </c>
      <c r="BT12" s="4">
        <f t="shared" si="11"/>
        <v>0</v>
      </c>
      <c r="BU12" s="39">
        <f t="shared" si="12"/>
        <v>0</v>
      </c>
      <c r="BV12" s="1">
        <f t="shared" si="13"/>
        <v>0</v>
      </c>
      <c r="BW12">
        <f t="shared" si="14"/>
        <v>0</v>
      </c>
      <c r="BX12">
        <f t="shared" si="15"/>
        <v>0</v>
      </c>
    </row>
    <row r="13" spans="58:76" x14ac:dyDescent="0.2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39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7"/>
        <v>0</v>
      </c>
      <c r="BL13" s="1">
        <f t="shared" si="2"/>
        <v>0</v>
      </c>
      <c r="BM13" s="10" t="str">
        <f t="shared" si="3"/>
        <v/>
      </c>
      <c r="BN13" s="39">
        <f t="shared" si="8"/>
        <v>0</v>
      </c>
      <c r="BO13" s="39">
        <f t="shared" si="9"/>
        <v>0</v>
      </c>
      <c r="BP13" s="1">
        <f t="shared" si="4"/>
        <v>0</v>
      </c>
      <c r="BQ13" s="1">
        <f t="shared" si="10"/>
        <v>0</v>
      </c>
      <c r="BR13" s="1" t="str">
        <f t="shared" si="5"/>
        <v/>
      </c>
      <c r="BS13" s="1">
        <f t="shared" si="6"/>
        <v>0</v>
      </c>
      <c r="BT13" s="4">
        <f t="shared" si="11"/>
        <v>0</v>
      </c>
      <c r="BU13" s="39">
        <f t="shared" si="12"/>
        <v>0</v>
      </c>
      <c r="BV13" s="1">
        <f t="shared" si="13"/>
        <v>0</v>
      </c>
      <c r="BW13">
        <f t="shared" si="14"/>
        <v>0</v>
      </c>
      <c r="BX13">
        <f t="shared" si="15"/>
        <v>0</v>
      </c>
    </row>
    <row r="14" spans="58:76" x14ac:dyDescent="0.2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39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7"/>
        <v>0</v>
      </c>
      <c r="BL14" s="1">
        <f t="shared" si="2"/>
        <v>0</v>
      </c>
      <c r="BM14" s="10" t="str">
        <f t="shared" si="3"/>
        <v/>
      </c>
      <c r="BN14" s="39">
        <f t="shared" si="8"/>
        <v>0</v>
      </c>
      <c r="BO14" s="39">
        <f t="shared" si="9"/>
        <v>0</v>
      </c>
      <c r="BP14" s="1">
        <f t="shared" si="4"/>
        <v>0</v>
      </c>
      <c r="BQ14" s="1">
        <f t="shared" si="10"/>
        <v>0</v>
      </c>
      <c r="BR14" s="1" t="str">
        <f t="shared" si="5"/>
        <v/>
      </c>
      <c r="BS14" s="1">
        <f t="shared" si="6"/>
        <v>0</v>
      </c>
      <c r="BT14" s="4">
        <f t="shared" si="11"/>
        <v>0</v>
      </c>
      <c r="BU14" s="39">
        <f t="shared" si="12"/>
        <v>0</v>
      </c>
      <c r="BV14" s="1">
        <f t="shared" si="13"/>
        <v>0</v>
      </c>
      <c r="BW14">
        <f t="shared" si="14"/>
        <v>0</v>
      </c>
      <c r="BX14">
        <f t="shared" si="15"/>
        <v>0</v>
      </c>
    </row>
    <row r="15" spans="58:76" x14ac:dyDescent="0.2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39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7"/>
        <v>0</v>
      </c>
      <c r="BL15" s="1">
        <f t="shared" si="2"/>
        <v>0</v>
      </c>
      <c r="BM15" s="10" t="str">
        <f t="shared" si="3"/>
        <v/>
      </c>
      <c r="BN15" s="39">
        <f t="shared" si="8"/>
        <v>0</v>
      </c>
      <c r="BO15" s="39">
        <f t="shared" si="9"/>
        <v>0</v>
      </c>
      <c r="BP15" s="1">
        <f t="shared" si="4"/>
        <v>0</v>
      </c>
      <c r="BQ15" s="1">
        <f t="shared" si="10"/>
        <v>0</v>
      </c>
      <c r="BR15" s="1" t="str">
        <f t="shared" si="5"/>
        <v/>
      </c>
      <c r="BS15" s="1">
        <f t="shared" si="6"/>
        <v>0</v>
      </c>
      <c r="BT15" s="4">
        <f t="shared" si="11"/>
        <v>0</v>
      </c>
      <c r="BU15" s="39">
        <f t="shared" si="12"/>
        <v>0</v>
      </c>
      <c r="BV15" s="1">
        <f t="shared" si="13"/>
        <v>0</v>
      </c>
      <c r="BW15">
        <f t="shared" si="14"/>
        <v>0</v>
      </c>
      <c r="BX15">
        <f t="shared" si="15"/>
        <v>0</v>
      </c>
    </row>
    <row r="16" spans="58:76" x14ac:dyDescent="0.2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39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7"/>
        <v>0</v>
      </c>
      <c r="BL16" s="1">
        <f t="shared" si="2"/>
        <v>0</v>
      </c>
      <c r="BM16" s="10" t="str">
        <f t="shared" si="3"/>
        <v/>
      </c>
      <c r="BN16" s="39">
        <f t="shared" si="8"/>
        <v>0</v>
      </c>
      <c r="BO16" s="39">
        <f t="shared" si="9"/>
        <v>0</v>
      </c>
      <c r="BP16" s="1">
        <f t="shared" si="4"/>
        <v>0</v>
      </c>
      <c r="BQ16" s="1">
        <f t="shared" si="10"/>
        <v>0</v>
      </c>
      <c r="BR16" s="1" t="str">
        <f t="shared" si="5"/>
        <v/>
      </c>
      <c r="BS16" s="1">
        <f t="shared" si="6"/>
        <v>0</v>
      </c>
      <c r="BT16" s="4">
        <f t="shared" si="11"/>
        <v>0</v>
      </c>
      <c r="BU16" s="39">
        <f t="shared" si="12"/>
        <v>0</v>
      </c>
      <c r="BV16" s="1">
        <f t="shared" si="13"/>
        <v>0</v>
      </c>
      <c r="BW16">
        <f t="shared" si="14"/>
        <v>0</v>
      </c>
      <c r="BX16">
        <f t="shared" si="15"/>
        <v>0</v>
      </c>
    </row>
    <row r="17" spans="58:76" x14ac:dyDescent="0.2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39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7"/>
        <v>0</v>
      </c>
      <c r="BL17" s="1">
        <f t="shared" si="2"/>
        <v>0</v>
      </c>
      <c r="BM17" s="10" t="str">
        <f t="shared" si="3"/>
        <v/>
      </c>
      <c r="BN17" s="39">
        <f t="shared" si="8"/>
        <v>0</v>
      </c>
      <c r="BO17" s="39">
        <f t="shared" si="9"/>
        <v>0</v>
      </c>
      <c r="BP17" s="1">
        <f t="shared" si="4"/>
        <v>0</v>
      </c>
      <c r="BQ17" s="1">
        <f t="shared" si="10"/>
        <v>0</v>
      </c>
      <c r="BR17" s="1" t="str">
        <f t="shared" si="5"/>
        <v/>
      </c>
      <c r="BS17" s="1">
        <f t="shared" si="6"/>
        <v>0</v>
      </c>
      <c r="BT17" s="4">
        <f t="shared" si="11"/>
        <v>0</v>
      </c>
      <c r="BU17" s="39">
        <f t="shared" si="12"/>
        <v>0</v>
      </c>
      <c r="BV17" s="1">
        <f t="shared" si="13"/>
        <v>0</v>
      </c>
      <c r="BW17">
        <f t="shared" si="14"/>
        <v>0</v>
      </c>
      <c r="BX17">
        <f t="shared" si="15"/>
        <v>0</v>
      </c>
    </row>
    <row r="18" spans="58:76" x14ac:dyDescent="0.2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39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7"/>
        <v>0</v>
      </c>
      <c r="BL18" s="1">
        <f t="shared" si="2"/>
        <v>0</v>
      </c>
      <c r="BM18" s="10" t="str">
        <f t="shared" si="3"/>
        <v/>
      </c>
      <c r="BN18" s="39">
        <f t="shared" si="8"/>
        <v>0</v>
      </c>
      <c r="BO18" s="39">
        <f t="shared" si="9"/>
        <v>0</v>
      </c>
      <c r="BP18" s="1">
        <f t="shared" si="4"/>
        <v>0</v>
      </c>
      <c r="BQ18" s="1">
        <f t="shared" si="10"/>
        <v>0</v>
      </c>
      <c r="BR18" s="1" t="str">
        <f t="shared" si="5"/>
        <v/>
      </c>
      <c r="BS18" s="1">
        <f t="shared" si="6"/>
        <v>0</v>
      </c>
      <c r="BT18" s="4">
        <f t="shared" si="11"/>
        <v>0</v>
      </c>
      <c r="BU18" s="39">
        <f t="shared" si="12"/>
        <v>0</v>
      </c>
      <c r="BV18" s="1">
        <f t="shared" si="13"/>
        <v>0</v>
      </c>
      <c r="BW18">
        <f t="shared" si="14"/>
        <v>0</v>
      </c>
      <c r="BX18">
        <f t="shared" si="15"/>
        <v>0</v>
      </c>
    </row>
    <row r="19" spans="58:76" x14ac:dyDescent="0.2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39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7"/>
        <v>0</v>
      </c>
      <c r="BL19" s="1">
        <f t="shared" si="2"/>
        <v>0</v>
      </c>
      <c r="BM19" s="10" t="str">
        <f t="shared" si="3"/>
        <v/>
      </c>
      <c r="BN19" s="39">
        <f t="shared" si="8"/>
        <v>0</v>
      </c>
      <c r="BO19" s="39">
        <f t="shared" si="9"/>
        <v>0</v>
      </c>
      <c r="BP19" s="1">
        <f t="shared" si="4"/>
        <v>0</v>
      </c>
      <c r="BQ19" s="1">
        <f t="shared" si="10"/>
        <v>0</v>
      </c>
      <c r="BR19" s="1" t="str">
        <f t="shared" si="5"/>
        <v/>
      </c>
      <c r="BS19" s="1">
        <f t="shared" si="6"/>
        <v>0</v>
      </c>
      <c r="BT19" s="4">
        <f t="shared" si="11"/>
        <v>0</v>
      </c>
      <c r="BU19" s="39">
        <f t="shared" si="12"/>
        <v>0</v>
      </c>
      <c r="BV19" s="1">
        <f t="shared" si="13"/>
        <v>0</v>
      </c>
      <c r="BW19">
        <f t="shared" si="14"/>
        <v>0</v>
      </c>
      <c r="BX19">
        <f t="shared" si="15"/>
        <v>0</v>
      </c>
    </row>
    <row r="20" spans="58:76" x14ac:dyDescent="0.2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39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7"/>
        <v>0</v>
      </c>
      <c r="BL20" s="1">
        <f t="shared" si="2"/>
        <v>0</v>
      </c>
      <c r="BM20" s="10" t="str">
        <f t="shared" si="3"/>
        <v/>
      </c>
      <c r="BN20" s="39">
        <f t="shared" si="8"/>
        <v>0</v>
      </c>
      <c r="BO20" s="39">
        <f t="shared" si="9"/>
        <v>0</v>
      </c>
      <c r="BP20" s="1">
        <f t="shared" si="4"/>
        <v>0</v>
      </c>
      <c r="BQ20" s="1">
        <f t="shared" si="10"/>
        <v>0</v>
      </c>
      <c r="BR20" s="1" t="str">
        <f t="shared" si="5"/>
        <v/>
      </c>
      <c r="BS20" s="1">
        <f t="shared" si="6"/>
        <v>0</v>
      </c>
      <c r="BT20" s="4">
        <f t="shared" si="11"/>
        <v>0</v>
      </c>
      <c r="BU20" s="39">
        <f t="shared" si="12"/>
        <v>0</v>
      </c>
      <c r="BV20" s="1">
        <f t="shared" si="13"/>
        <v>0</v>
      </c>
      <c r="BW20">
        <f t="shared" si="14"/>
        <v>0</v>
      </c>
      <c r="BX20">
        <f t="shared" si="15"/>
        <v>0</v>
      </c>
    </row>
    <row r="21" spans="58:76" x14ac:dyDescent="0.2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39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7"/>
        <v>0</v>
      </c>
      <c r="BL21" s="1">
        <f t="shared" si="2"/>
        <v>0</v>
      </c>
      <c r="BM21" s="10" t="str">
        <f t="shared" si="3"/>
        <v/>
      </c>
      <c r="BN21" s="39">
        <f t="shared" si="8"/>
        <v>0</v>
      </c>
      <c r="BO21" s="39">
        <f t="shared" si="9"/>
        <v>0</v>
      </c>
      <c r="BP21" s="1">
        <f t="shared" si="4"/>
        <v>0</v>
      </c>
      <c r="BQ21" s="1">
        <f t="shared" si="10"/>
        <v>0</v>
      </c>
      <c r="BR21" s="1" t="str">
        <f t="shared" si="5"/>
        <v/>
      </c>
      <c r="BS21" s="1">
        <f t="shared" si="6"/>
        <v>0</v>
      </c>
      <c r="BT21" s="4">
        <f t="shared" si="11"/>
        <v>0</v>
      </c>
      <c r="BU21" s="39">
        <f t="shared" si="12"/>
        <v>0</v>
      </c>
      <c r="BV21" s="1">
        <f t="shared" si="13"/>
        <v>0</v>
      </c>
      <c r="BW21">
        <f t="shared" si="14"/>
        <v>0</v>
      </c>
      <c r="BX21">
        <f t="shared" si="15"/>
        <v>0</v>
      </c>
    </row>
    <row r="22" spans="58:76" x14ac:dyDescent="0.2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39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7"/>
        <v>0</v>
      </c>
      <c r="BL22" s="1">
        <f t="shared" si="2"/>
        <v>0</v>
      </c>
      <c r="BM22" s="10" t="str">
        <f t="shared" si="3"/>
        <v/>
      </c>
      <c r="BN22" s="39">
        <f t="shared" si="8"/>
        <v>0</v>
      </c>
      <c r="BO22" s="39">
        <f t="shared" si="9"/>
        <v>0</v>
      </c>
      <c r="BP22" s="1">
        <f t="shared" si="4"/>
        <v>0</v>
      </c>
      <c r="BQ22" s="1">
        <f t="shared" si="10"/>
        <v>0</v>
      </c>
      <c r="BR22" s="1" t="str">
        <f t="shared" si="5"/>
        <v/>
      </c>
      <c r="BS22" s="1">
        <f t="shared" si="6"/>
        <v>0</v>
      </c>
      <c r="BT22" s="4">
        <f t="shared" si="11"/>
        <v>0</v>
      </c>
      <c r="BU22" s="39">
        <f t="shared" si="12"/>
        <v>0</v>
      </c>
      <c r="BV22" s="1">
        <f t="shared" si="13"/>
        <v>0</v>
      </c>
      <c r="BW22">
        <f t="shared" si="14"/>
        <v>0</v>
      </c>
      <c r="BX22">
        <f t="shared" si="15"/>
        <v>0</v>
      </c>
    </row>
    <row r="23" spans="58:76" x14ac:dyDescent="0.2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39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7"/>
        <v>0</v>
      </c>
      <c r="BL23" s="1">
        <f t="shared" si="2"/>
        <v>0</v>
      </c>
      <c r="BM23" s="10" t="str">
        <f t="shared" si="3"/>
        <v/>
      </c>
      <c r="BN23" s="39">
        <f t="shared" si="8"/>
        <v>0</v>
      </c>
      <c r="BO23" s="39">
        <f t="shared" si="9"/>
        <v>0</v>
      </c>
      <c r="BP23" s="1">
        <f t="shared" si="4"/>
        <v>0</v>
      </c>
      <c r="BQ23" s="1">
        <f t="shared" si="10"/>
        <v>0</v>
      </c>
      <c r="BR23" s="1" t="str">
        <f t="shared" si="5"/>
        <v/>
      </c>
      <c r="BS23" s="1">
        <f t="shared" si="6"/>
        <v>0</v>
      </c>
      <c r="BT23" s="4">
        <f t="shared" si="11"/>
        <v>0</v>
      </c>
      <c r="BU23" s="39">
        <f t="shared" si="12"/>
        <v>0</v>
      </c>
      <c r="BV23" s="1">
        <f t="shared" si="13"/>
        <v>0</v>
      </c>
      <c r="BW23">
        <f t="shared" si="14"/>
        <v>0</v>
      </c>
      <c r="BX23">
        <f t="shared" si="15"/>
        <v>0</v>
      </c>
    </row>
    <row r="24" spans="58:76" x14ac:dyDescent="0.2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39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7"/>
        <v>0</v>
      </c>
      <c r="BL24" s="1">
        <f t="shared" si="2"/>
        <v>0</v>
      </c>
      <c r="BM24" s="10" t="str">
        <f t="shared" si="3"/>
        <v/>
      </c>
      <c r="BN24" s="39">
        <f t="shared" si="8"/>
        <v>0</v>
      </c>
      <c r="BO24" s="39">
        <f t="shared" si="9"/>
        <v>0</v>
      </c>
      <c r="BP24" s="1">
        <f t="shared" si="4"/>
        <v>0</v>
      </c>
      <c r="BQ24" s="1">
        <f t="shared" si="10"/>
        <v>0</v>
      </c>
      <c r="BR24" s="1" t="str">
        <f t="shared" si="5"/>
        <v/>
      </c>
      <c r="BS24" s="1">
        <f t="shared" si="6"/>
        <v>0</v>
      </c>
      <c r="BT24" s="4">
        <f t="shared" si="11"/>
        <v>0</v>
      </c>
      <c r="BU24" s="39">
        <f t="shared" si="12"/>
        <v>0</v>
      </c>
      <c r="BV24" s="1">
        <f t="shared" si="13"/>
        <v>0</v>
      </c>
      <c r="BW24">
        <f t="shared" si="14"/>
        <v>0</v>
      </c>
      <c r="BX24">
        <f t="shared" si="15"/>
        <v>0</v>
      </c>
    </row>
    <row r="25" spans="58:76" x14ac:dyDescent="0.2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39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7"/>
        <v>0</v>
      </c>
      <c r="BL25" s="1">
        <f t="shared" si="2"/>
        <v>0</v>
      </c>
      <c r="BM25" s="10" t="str">
        <f t="shared" si="3"/>
        <v/>
      </c>
      <c r="BN25" s="39">
        <f t="shared" si="8"/>
        <v>0</v>
      </c>
      <c r="BO25" s="39">
        <f t="shared" si="9"/>
        <v>0</v>
      </c>
      <c r="BP25" s="1">
        <f t="shared" si="4"/>
        <v>0</v>
      </c>
      <c r="BQ25" s="1">
        <f t="shared" si="10"/>
        <v>0</v>
      </c>
      <c r="BR25" s="1" t="str">
        <f t="shared" si="5"/>
        <v/>
      </c>
      <c r="BS25" s="1">
        <f t="shared" si="6"/>
        <v>0</v>
      </c>
      <c r="BT25" s="4">
        <f t="shared" si="11"/>
        <v>0</v>
      </c>
      <c r="BU25" s="39">
        <f t="shared" si="12"/>
        <v>0</v>
      </c>
      <c r="BV25" s="1">
        <f t="shared" si="13"/>
        <v>0</v>
      </c>
      <c r="BW25">
        <f t="shared" si="14"/>
        <v>0</v>
      </c>
      <c r="BX25">
        <f t="shared" si="15"/>
        <v>0</v>
      </c>
    </row>
    <row r="26" spans="58:76" x14ac:dyDescent="0.2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39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7"/>
        <v>0</v>
      </c>
      <c r="BL26" s="1">
        <f t="shared" si="2"/>
        <v>0</v>
      </c>
      <c r="BM26" s="10" t="str">
        <f t="shared" si="3"/>
        <v/>
      </c>
      <c r="BN26" s="39">
        <f t="shared" si="8"/>
        <v>0</v>
      </c>
      <c r="BO26" s="39">
        <f t="shared" si="9"/>
        <v>0</v>
      </c>
      <c r="BP26" s="1">
        <f t="shared" si="4"/>
        <v>0</v>
      </c>
      <c r="BQ26" s="1">
        <f t="shared" si="10"/>
        <v>0</v>
      </c>
      <c r="BR26" s="1" t="str">
        <f t="shared" si="5"/>
        <v/>
      </c>
      <c r="BS26" s="1">
        <f t="shared" si="6"/>
        <v>0</v>
      </c>
      <c r="BT26" s="4">
        <f t="shared" si="11"/>
        <v>0</v>
      </c>
      <c r="BU26" s="39">
        <f t="shared" si="12"/>
        <v>0</v>
      </c>
      <c r="BV26" s="1">
        <f t="shared" si="13"/>
        <v>0</v>
      </c>
      <c r="BW26">
        <f t="shared" si="14"/>
        <v>0</v>
      </c>
      <c r="BX26">
        <f t="shared" si="15"/>
        <v>0</v>
      </c>
    </row>
    <row r="27" spans="58:76" x14ac:dyDescent="0.2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39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7"/>
        <v>0</v>
      </c>
      <c r="BL27" s="1">
        <f t="shared" si="2"/>
        <v>0</v>
      </c>
      <c r="BM27" s="10" t="str">
        <f t="shared" si="3"/>
        <v/>
      </c>
      <c r="BN27" s="39">
        <f t="shared" si="8"/>
        <v>0</v>
      </c>
      <c r="BO27" s="39">
        <f t="shared" si="9"/>
        <v>0</v>
      </c>
      <c r="BP27" s="1">
        <f t="shared" si="4"/>
        <v>0</v>
      </c>
      <c r="BQ27" s="1">
        <f t="shared" si="10"/>
        <v>0</v>
      </c>
      <c r="BR27" s="1" t="str">
        <f t="shared" si="5"/>
        <v/>
      </c>
      <c r="BS27" s="1">
        <f t="shared" si="6"/>
        <v>0</v>
      </c>
      <c r="BT27" s="4">
        <f t="shared" si="11"/>
        <v>0</v>
      </c>
      <c r="BU27" s="39">
        <f t="shared" si="12"/>
        <v>0</v>
      </c>
      <c r="BV27" s="1">
        <f t="shared" si="13"/>
        <v>0</v>
      </c>
      <c r="BW27">
        <f t="shared" si="14"/>
        <v>0</v>
      </c>
      <c r="BX27">
        <f t="shared" si="15"/>
        <v>0</v>
      </c>
    </row>
    <row r="28" spans="58:76" x14ac:dyDescent="0.2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39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7"/>
        <v>0</v>
      </c>
      <c r="BL28" s="1">
        <f t="shared" si="2"/>
        <v>0</v>
      </c>
      <c r="BM28" s="10" t="str">
        <f t="shared" si="3"/>
        <v/>
      </c>
      <c r="BN28" s="39">
        <f t="shared" si="8"/>
        <v>0</v>
      </c>
      <c r="BO28" s="39">
        <f t="shared" si="9"/>
        <v>0</v>
      </c>
      <c r="BP28" s="1">
        <f t="shared" si="4"/>
        <v>0</v>
      </c>
      <c r="BQ28" s="1">
        <f t="shared" si="10"/>
        <v>0</v>
      </c>
      <c r="BR28" s="1" t="str">
        <f t="shared" si="5"/>
        <v/>
      </c>
      <c r="BS28" s="1">
        <f t="shared" si="6"/>
        <v>0</v>
      </c>
      <c r="BT28" s="4">
        <f t="shared" si="11"/>
        <v>0</v>
      </c>
      <c r="BU28" s="39">
        <f t="shared" si="12"/>
        <v>0</v>
      </c>
      <c r="BV28" s="1">
        <f t="shared" si="13"/>
        <v>0</v>
      </c>
      <c r="BW28">
        <f t="shared" si="14"/>
        <v>0</v>
      </c>
      <c r="BX28">
        <f t="shared" si="15"/>
        <v>0</v>
      </c>
    </row>
    <row r="29" spans="58:76" x14ac:dyDescent="0.2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39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7"/>
        <v>0</v>
      </c>
      <c r="BL29" s="1">
        <f t="shared" si="2"/>
        <v>0</v>
      </c>
      <c r="BM29" s="10" t="str">
        <f t="shared" si="3"/>
        <v/>
      </c>
      <c r="BN29" s="39">
        <f t="shared" si="8"/>
        <v>0</v>
      </c>
      <c r="BO29" s="39">
        <f t="shared" si="9"/>
        <v>0</v>
      </c>
      <c r="BP29" s="1">
        <f t="shared" si="4"/>
        <v>0</v>
      </c>
      <c r="BQ29" s="1">
        <f t="shared" si="10"/>
        <v>0</v>
      </c>
      <c r="BR29" s="1" t="str">
        <f t="shared" si="5"/>
        <v/>
      </c>
      <c r="BS29" s="1">
        <f t="shared" si="6"/>
        <v>0</v>
      </c>
      <c r="BT29" s="4">
        <f t="shared" si="11"/>
        <v>0</v>
      </c>
      <c r="BU29" s="39">
        <f t="shared" si="12"/>
        <v>0</v>
      </c>
      <c r="BV29" s="1">
        <f t="shared" si="13"/>
        <v>0</v>
      </c>
      <c r="BW29">
        <f t="shared" si="14"/>
        <v>0</v>
      </c>
      <c r="BX29">
        <f t="shared" si="15"/>
        <v>0</v>
      </c>
    </row>
    <row r="30" spans="58:76" x14ac:dyDescent="0.2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39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7"/>
        <v>0</v>
      </c>
      <c r="BL30" s="1">
        <f t="shared" si="2"/>
        <v>0</v>
      </c>
      <c r="BM30" s="10" t="str">
        <f t="shared" si="3"/>
        <v/>
      </c>
      <c r="BN30" s="39">
        <f t="shared" si="8"/>
        <v>0</v>
      </c>
      <c r="BO30" s="39">
        <f t="shared" si="9"/>
        <v>0</v>
      </c>
      <c r="BP30" s="1">
        <f t="shared" si="4"/>
        <v>0</v>
      </c>
      <c r="BQ30" s="1">
        <f t="shared" si="10"/>
        <v>0</v>
      </c>
      <c r="BR30" s="1" t="str">
        <f t="shared" si="5"/>
        <v/>
      </c>
      <c r="BS30" s="1">
        <f t="shared" si="6"/>
        <v>0</v>
      </c>
      <c r="BT30" s="4">
        <f t="shared" si="11"/>
        <v>0</v>
      </c>
      <c r="BU30" s="39">
        <f t="shared" si="12"/>
        <v>0</v>
      </c>
      <c r="BV30" s="1">
        <f t="shared" si="13"/>
        <v>0</v>
      </c>
      <c r="BW30">
        <f t="shared" si="14"/>
        <v>0</v>
      </c>
      <c r="BX30">
        <f t="shared" si="15"/>
        <v>0</v>
      </c>
    </row>
    <row r="31" spans="58:76" x14ac:dyDescent="0.2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39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7"/>
        <v>0</v>
      </c>
      <c r="BL31" s="1">
        <f t="shared" si="2"/>
        <v>0</v>
      </c>
      <c r="BM31" s="10" t="str">
        <f t="shared" si="3"/>
        <v/>
      </c>
      <c r="BN31" s="39">
        <f t="shared" si="8"/>
        <v>0</v>
      </c>
      <c r="BO31" s="39">
        <f t="shared" si="9"/>
        <v>0</v>
      </c>
      <c r="BP31" s="1">
        <f t="shared" si="4"/>
        <v>0</v>
      </c>
      <c r="BQ31" s="1">
        <f t="shared" si="10"/>
        <v>0</v>
      </c>
      <c r="BR31" s="1" t="str">
        <f t="shared" si="5"/>
        <v/>
      </c>
      <c r="BS31" s="1">
        <f t="shared" si="6"/>
        <v>0</v>
      </c>
      <c r="BT31" s="4">
        <f t="shared" si="11"/>
        <v>0</v>
      </c>
      <c r="BU31" s="39">
        <f t="shared" si="12"/>
        <v>0</v>
      </c>
      <c r="BV31" s="1">
        <f t="shared" si="13"/>
        <v>0</v>
      </c>
      <c r="BW31">
        <f t="shared" si="14"/>
        <v>0</v>
      </c>
      <c r="BX31">
        <f t="shared" si="15"/>
        <v>0</v>
      </c>
    </row>
    <row r="32" spans="58:76" x14ac:dyDescent="0.2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39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7"/>
        <v>0</v>
      </c>
      <c r="BL32" s="1">
        <f t="shared" si="2"/>
        <v>0</v>
      </c>
      <c r="BM32" s="10" t="str">
        <f t="shared" si="3"/>
        <v/>
      </c>
      <c r="BN32" s="39">
        <f t="shared" si="8"/>
        <v>0</v>
      </c>
      <c r="BO32" s="39">
        <f t="shared" si="9"/>
        <v>0</v>
      </c>
      <c r="BP32" s="1">
        <f t="shared" si="4"/>
        <v>0</v>
      </c>
      <c r="BQ32" s="1">
        <f t="shared" si="10"/>
        <v>0</v>
      </c>
      <c r="BR32" s="1" t="str">
        <f t="shared" si="5"/>
        <v/>
      </c>
      <c r="BS32" s="1">
        <f t="shared" si="6"/>
        <v>0</v>
      </c>
      <c r="BT32" s="4">
        <f t="shared" si="11"/>
        <v>0</v>
      </c>
      <c r="BU32" s="39">
        <f t="shared" si="12"/>
        <v>0</v>
      </c>
      <c r="BV32" s="1">
        <f t="shared" si="13"/>
        <v>0</v>
      </c>
      <c r="BW32">
        <f t="shared" si="14"/>
        <v>0</v>
      </c>
      <c r="BX32">
        <f t="shared" si="15"/>
        <v>0</v>
      </c>
    </row>
    <row r="33" spans="58:76" x14ac:dyDescent="0.2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39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7"/>
        <v>0</v>
      </c>
      <c r="BL33" s="1">
        <f t="shared" si="2"/>
        <v>0</v>
      </c>
      <c r="BM33" s="10" t="str">
        <f t="shared" si="3"/>
        <v/>
      </c>
      <c r="BN33" s="39">
        <f t="shared" si="8"/>
        <v>0</v>
      </c>
      <c r="BO33" s="39">
        <f t="shared" si="9"/>
        <v>0</v>
      </c>
      <c r="BP33" s="1">
        <f t="shared" si="4"/>
        <v>0</v>
      </c>
      <c r="BQ33" s="1">
        <f t="shared" si="10"/>
        <v>0</v>
      </c>
      <c r="BR33" s="1" t="str">
        <f t="shared" si="5"/>
        <v/>
      </c>
      <c r="BS33" s="1">
        <f t="shared" si="6"/>
        <v>0</v>
      </c>
      <c r="BT33" s="4">
        <f t="shared" si="11"/>
        <v>0</v>
      </c>
      <c r="BU33" s="39">
        <f t="shared" si="12"/>
        <v>0</v>
      </c>
      <c r="BV33" s="1">
        <f t="shared" si="13"/>
        <v>0</v>
      </c>
      <c r="BW33">
        <f t="shared" si="14"/>
        <v>0</v>
      </c>
      <c r="BX33">
        <f t="shared" si="15"/>
        <v>0</v>
      </c>
    </row>
    <row r="34" spans="58:76" x14ac:dyDescent="0.2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39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7"/>
        <v>0</v>
      </c>
      <c r="BL34" s="1">
        <f t="shared" ref="BL34:BL65" si="17">L34</f>
        <v>0</v>
      </c>
      <c r="BM34" s="10" t="str">
        <f t="shared" ref="BM34:BM65" si="18">SUBSTITUTE(J34,"/",".")</f>
        <v/>
      </c>
      <c r="BN34" s="39">
        <f t="shared" si="8"/>
        <v>0</v>
      </c>
      <c r="BO34" s="39">
        <f t="shared" si="9"/>
        <v>0</v>
      </c>
      <c r="BP34" s="1">
        <f t="shared" si="4"/>
        <v>0</v>
      </c>
      <c r="BQ34" s="1">
        <f t="shared" si="10"/>
        <v>0</v>
      </c>
      <c r="BR34" s="1" t="str">
        <f t="shared" ref="BR34:BR65" si="19">SUBSTITUTE(O34,".","")</f>
        <v/>
      </c>
      <c r="BS34" s="1">
        <f t="shared" ref="BS34:BS65" si="20">S34</f>
        <v>0</v>
      </c>
      <c r="BT34" s="4">
        <f t="shared" si="11"/>
        <v>0</v>
      </c>
      <c r="BU34" s="39">
        <f t="shared" si="12"/>
        <v>0</v>
      </c>
      <c r="BV34" s="1">
        <f t="shared" si="13"/>
        <v>0</v>
      </c>
      <c r="BW34">
        <f t="shared" si="14"/>
        <v>0</v>
      </c>
      <c r="BX34">
        <f t="shared" si="15"/>
        <v>0</v>
      </c>
    </row>
    <row r="35" spans="58:76" x14ac:dyDescent="0.2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39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7"/>
        <v>0</v>
      </c>
      <c r="BL35" s="1">
        <f t="shared" si="17"/>
        <v>0</v>
      </c>
      <c r="BM35" s="10" t="str">
        <f t="shared" si="18"/>
        <v/>
      </c>
      <c r="BN35" s="39">
        <f t="shared" si="8"/>
        <v>0</v>
      </c>
      <c r="BO35" s="39">
        <f t="shared" si="9"/>
        <v>0</v>
      </c>
      <c r="BP35" s="1">
        <f t="shared" si="4"/>
        <v>0</v>
      </c>
      <c r="BQ35" s="1">
        <f t="shared" si="10"/>
        <v>0</v>
      </c>
      <c r="BR35" s="1" t="str">
        <f t="shared" si="19"/>
        <v/>
      </c>
      <c r="BS35" s="1">
        <f t="shared" si="20"/>
        <v>0</v>
      </c>
      <c r="BT35" s="4">
        <f t="shared" si="11"/>
        <v>0</v>
      </c>
      <c r="BU35" s="39">
        <f t="shared" si="12"/>
        <v>0</v>
      </c>
      <c r="BV35" s="1">
        <f t="shared" si="13"/>
        <v>0</v>
      </c>
      <c r="BW35">
        <f t="shared" si="14"/>
        <v>0</v>
      </c>
      <c r="BX35">
        <f t="shared" si="15"/>
        <v>0</v>
      </c>
    </row>
    <row r="36" spans="58:76" x14ac:dyDescent="0.2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39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7"/>
        <v>0</v>
      </c>
      <c r="BL36" s="1">
        <f t="shared" si="17"/>
        <v>0</v>
      </c>
      <c r="BM36" s="10" t="str">
        <f t="shared" si="18"/>
        <v/>
      </c>
      <c r="BN36" s="39">
        <f t="shared" si="8"/>
        <v>0</v>
      </c>
      <c r="BO36" s="39">
        <f t="shared" si="9"/>
        <v>0</v>
      </c>
      <c r="BP36" s="1">
        <f t="shared" si="4"/>
        <v>0</v>
      </c>
      <c r="BQ36" s="1">
        <f t="shared" si="10"/>
        <v>0</v>
      </c>
      <c r="BR36" s="1" t="str">
        <f t="shared" si="19"/>
        <v/>
      </c>
      <c r="BS36" s="1">
        <f t="shared" si="20"/>
        <v>0</v>
      </c>
      <c r="BT36" s="4">
        <f t="shared" si="11"/>
        <v>0</v>
      </c>
      <c r="BU36" s="39">
        <f t="shared" si="12"/>
        <v>0</v>
      </c>
      <c r="BV36" s="1">
        <f t="shared" si="13"/>
        <v>0</v>
      </c>
      <c r="BW36">
        <f t="shared" si="14"/>
        <v>0</v>
      </c>
      <c r="BX36">
        <f t="shared" si="15"/>
        <v>0</v>
      </c>
    </row>
    <row r="37" spans="58:76" x14ac:dyDescent="0.2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39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7"/>
        <v>0</v>
      </c>
      <c r="BL37" s="1">
        <f t="shared" si="17"/>
        <v>0</v>
      </c>
      <c r="BM37" s="10" t="str">
        <f t="shared" si="18"/>
        <v/>
      </c>
      <c r="BN37" s="39">
        <f t="shared" si="8"/>
        <v>0</v>
      </c>
      <c r="BO37" s="39">
        <f t="shared" si="9"/>
        <v>0</v>
      </c>
      <c r="BP37" s="1">
        <f t="shared" si="4"/>
        <v>0</v>
      </c>
      <c r="BQ37" s="1">
        <f t="shared" si="10"/>
        <v>0</v>
      </c>
      <c r="BR37" s="1" t="str">
        <f t="shared" si="19"/>
        <v/>
      </c>
      <c r="BS37" s="1">
        <f t="shared" si="20"/>
        <v>0</v>
      </c>
      <c r="BT37" s="4">
        <f t="shared" si="11"/>
        <v>0</v>
      </c>
      <c r="BU37" s="39">
        <f t="shared" si="12"/>
        <v>0</v>
      </c>
      <c r="BV37" s="1">
        <f t="shared" si="13"/>
        <v>0</v>
      </c>
      <c r="BW37">
        <f t="shared" si="14"/>
        <v>0</v>
      </c>
      <c r="BX37">
        <f t="shared" si="15"/>
        <v>0</v>
      </c>
    </row>
    <row r="38" spans="58:76" x14ac:dyDescent="0.2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39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7"/>
        <v>0</v>
      </c>
      <c r="BL38" s="1">
        <f t="shared" si="17"/>
        <v>0</v>
      </c>
      <c r="BM38" s="10" t="str">
        <f t="shared" si="18"/>
        <v/>
      </c>
      <c r="BN38" s="39">
        <f t="shared" si="8"/>
        <v>0</v>
      </c>
      <c r="BO38" s="39">
        <f t="shared" si="9"/>
        <v>0</v>
      </c>
      <c r="BP38" s="1">
        <f t="shared" si="4"/>
        <v>0</v>
      </c>
      <c r="BQ38" s="1">
        <f t="shared" si="10"/>
        <v>0</v>
      </c>
      <c r="BR38" s="1" t="str">
        <f t="shared" si="19"/>
        <v/>
      </c>
      <c r="BS38" s="1">
        <f t="shared" si="20"/>
        <v>0</v>
      </c>
      <c r="BT38" s="4">
        <f t="shared" si="11"/>
        <v>0</v>
      </c>
      <c r="BU38" s="39">
        <f t="shared" si="12"/>
        <v>0</v>
      </c>
      <c r="BV38" s="1">
        <f t="shared" si="13"/>
        <v>0</v>
      </c>
      <c r="BW38">
        <f t="shared" si="14"/>
        <v>0</v>
      </c>
      <c r="BX38">
        <f t="shared" si="15"/>
        <v>0</v>
      </c>
    </row>
    <row r="39" spans="58:76" x14ac:dyDescent="0.2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39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7"/>
        <v>0</v>
      </c>
      <c r="BL39" s="1">
        <f t="shared" si="17"/>
        <v>0</v>
      </c>
      <c r="BM39" s="10" t="str">
        <f t="shared" si="18"/>
        <v/>
      </c>
      <c r="BN39" s="39">
        <f t="shared" si="8"/>
        <v>0</v>
      </c>
      <c r="BO39" s="39">
        <f t="shared" si="9"/>
        <v>0</v>
      </c>
      <c r="BP39" s="1">
        <f t="shared" si="4"/>
        <v>0</v>
      </c>
      <c r="BQ39" s="1">
        <f t="shared" si="10"/>
        <v>0</v>
      </c>
      <c r="BR39" s="1" t="str">
        <f t="shared" si="19"/>
        <v/>
      </c>
      <c r="BS39" s="1">
        <f t="shared" si="20"/>
        <v>0</v>
      </c>
      <c r="BT39" s="4">
        <f t="shared" si="11"/>
        <v>0</v>
      </c>
      <c r="BU39" s="39">
        <f t="shared" si="12"/>
        <v>0</v>
      </c>
      <c r="BV39" s="1">
        <f t="shared" si="13"/>
        <v>0</v>
      </c>
      <c r="BW39">
        <f t="shared" si="14"/>
        <v>0</v>
      </c>
      <c r="BX39">
        <f t="shared" si="15"/>
        <v>0</v>
      </c>
    </row>
    <row r="40" spans="58:76" x14ac:dyDescent="0.2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39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7"/>
        <v>0</v>
      </c>
      <c r="BL40" s="1">
        <f t="shared" si="17"/>
        <v>0</v>
      </c>
      <c r="BM40" s="10" t="str">
        <f t="shared" si="18"/>
        <v/>
      </c>
      <c r="BN40" s="39">
        <f t="shared" si="8"/>
        <v>0</v>
      </c>
      <c r="BO40" s="39">
        <f t="shared" si="9"/>
        <v>0</v>
      </c>
      <c r="BP40" s="1">
        <f t="shared" si="4"/>
        <v>0</v>
      </c>
      <c r="BQ40" s="1">
        <f t="shared" si="10"/>
        <v>0</v>
      </c>
      <c r="BR40" s="1" t="str">
        <f t="shared" si="19"/>
        <v/>
      </c>
      <c r="BS40" s="1">
        <f t="shared" si="20"/>
        <v>0</v>
      </c>
      <c r="BT40" s="4">
        <f t="shared" si="11"/>
        <v>0</v>
      </c>
      <c r="BU40" s="39">
        <f t="shared" si="12"/>
        <v>0</v>
      </c>
      <c r="BV40" s="1">
        <f t="shared" si="13"/>
        <v>0</v>
      </c>
      <c r="BW40">
        <f t="shared" si="14"/>
        <v>0</v>
      </c>
      <c r="BX40">
        <f t="shared" si="15"/>
        <v>0</v>
      </c>
    </row>
    <row r="41" spans="58:76" x14ac:dyDescent="0.2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39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7"/>
        <v>0</v>
      </c>
      <c r="BL41" s="1">
        <f t="shared" si="17"/>
        <v>0</v>
      </c>
      <c r="BM41" s="10" t="str">
        <f t="shared" si="18"/>
        <v/>
      </c>
      <c r="BN41" s="39">
        <f t="shared" si="8"/>
        <v>0</v>
      </c>
      <c r="BO41" s="39">
        <f t="shared" si="9"/>
        <v>0</v>
      </c>
      <c r="BP41" s="1">
        <f t="shared" si="4"/>
        <v>0</v>
      </c>
      <c r="BQ41" s="1">
        <f t="shared" si="10"/>
        <v>0</v>
      </c>
      <c r="BR41" s="1" t="str">
        <f t="shared" si="19"/>
        <v/>
      </c>
      <c r="BS41" s="1">
        <f t="shared" si="20"/>
        <v>0</v>
      </c>
      <c r="BT41" s="4">
        <f t="shared" si="11"/>
        <v>0</v>
      </c>
      <c r="BU41" s="39">
        <f t="shared" si="12"/>
        <v>0</v>
      </c>
      <c r="BV41" s="1">
        <f t="shared" si="13"/>
        <v>0</v>
      </c>
      <c r="BW41">
        <f t="shared" si="14"/>
        <v>0</v>
      </c>
      <c r="BX41">
        <f t="shared" si="15"/>
        <v>0</v>
      </c>
    </row>
    <row r="42" spans="58:76" x14ac:dyDescent="0.2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39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7"/>
        <v>0</v>
      </c>
      <c r="BL42" s="1">
        <f t="shared" si="17"/>
        <v>0</v>
      </c>
      <c r="BM42" s="10" t="str">
        <f t="shared" si="18"/>
        <v/>
      </c>
      <c r="BN42" s="39">
        <f t="shared" si="8"/>
        <v>0</v>
      </c>
      <c r="BO42" s="39">
        <f t="shared" si="9"/>
        <v>0</v>
      </c>
      <c r="BP42" s="1">
        <f t="shared" si="4"/>
        <v>0</v>
      </c>
      <c r="BQ42" s="1">
        <f t="shared" si="10"/>
        <v>0</v>
      </c>
      <c r="BR42" s="1" t="str">
        <f t="shared" si="19"/>
        <v/>
      </c>
      <c r="BS42" s="1">
        <f t="shared" si="20"/>
        <v>0</v>
      </c>
      <c r="BT42" s="4">
        <f t="shared" si="11"/>
        <v>0</v>
      </c>
      <c r="BU42" s="39">
        <f t="shared" si="12"/>
        <v>0</v>
      </c>
      <c r="BV42" s="1">
        <f t="shared" si="13"/>
        <v>0</v>
      </c>
      <c r="BW42">
        <f t="shared" si="14"/>
        <v>0</v>
      </c>
      <c r="BX42">
        <f t="shared" si="15"/>
        <v>0</v>
      </c>
    </row>
    <row r="43" spans="58:76" x14ac:dyDescent="0.2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39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7"/>
        <v>0</v>
      </c>
      <c r="BL43" s="1">
        <f t="shared" si="17"/>
        <v>0</v>
      </c>
      <c r="BM43" s="10" t="str">
        <f t="shared" si="18"/>
        <v/>
      </c>
      <c r="BN43" s="39">
        <f t="shared" si="8"/>
        <v>0</v>
      </c>
      <c r="BO43" s="39">
        <f t="shared" si="9"/>
        <v>0</v>
      </c>
      <c r="BP43" s="1">
        <f t="shared" si="4"/>
        <v>0</v>
      </c>
      <c r="BQ43" s="1">
        <f t="shared" si="10"/>
        <v>0</v>
      </c>
      <c r="BR43" s="1" t="str">
        <f t="shared" si="19"/>
        <v/>
      </c>
      <c r="BS43" s="1">
        <f t="shared" si="20"/>
        <v>0</v>
      </c>
      <c r="BT43" s="4">
        <f t="shared" si="11"/>
        <v>0</v>
      </c>
      <c r="BU43" s="39">
        <f t="shared" si="12"/>
        <v>0</v>
      </c>
      <c r="BV43" s="1">
        <f t="shared" si="13"/>
        <v>0</v>
      </c>
      <c r="BW43">
        <f t="shared" si="14"/>
        <v>0</v>
      </c>
      <c r="BX43">
        <f t="shared" si="15"/>
        <v>0</v>
      </c>
    </row>
    <row r="44" spans="58:76" x14ac:dyDescent="0.2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39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7"/>
        <v>0</v>
      </c>
      <c r="BL44" s="1">
        <f t="shared" si="17"/>
        <v>0</v>
      </c>
      <c r="BM44" s="10" t="str">
        <f t="shared" si="18"/>
        <v/>
      </c>
      <c r="BN44" s="39">
        <f t="shared" si="8"/>
        <v>0</v>
      </c>
      <c r="BO44" s="39">
        <f t="shared" si="9"/>
        <v>0</v>
      </c>
      <c r="BP44" s="1">
        <f t="shared" si="4"/>
        <v>0</v>
      </c>
      <c r="BQ44" s="1">
        <f t="shared" si="10"/>
        <v>0</v>
      </c>
      <c r="BR44" s="1" t="str">
        <f t="shared" si="19"/>
        <v/>
      </c>
      <c r="BS44" s="1">
        <f t="shared" si="20"/>
        <v>0</v>
      </c>
      <c r="BT44" s="4">
        <f t="shared" si="11"/>
        <v>0</v>
      </c>
      <c r="BU44" s="39">
        <f t="shared" si="12"/>
        <v>0</v>
      </c>
      <c r="BV44" s="1">
        <f t="shared" si="13"/>
        <v>0</v>
      </c>
      <c r="BW44">
        <f t="shared" si="14"/>
        <v>0</v>
      </c>
      <c r="BX44">
        <f t="shared" si="15"/>
        <v>0</v>
      </c>
    </row>
    <row r="45" spans="58:76" x14ac:dyDescent="0.2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39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7"/>
        <v>0</v>
      </c>
      <c r="BL45" s="1">
        <f t="shared" si="17"/>
        <v>0</v>
      </c>
      <c r="BM45" s="10" t="str">
        <f t="shared" si="18"/>
        <v/>
      </c>
      <c r="BN45" s="39">
        <f t="shared" si="8"/>
        <v>0</v>
      </c>
      <c r="BO45" s="39">
        <f t="shared" si="9"/>
        <v>0</v>
      </c>
      <c r="BP45" s="1">
        <f t="shared" si="4"/>
        <v>0</v>
      </c>
      <c r="BQ45" s="1">
        <f t="shared" si="10"/>
        <v>0</v>
      </c>
      <c r="BR45" s="1" t="str">
        <f t="shared" si="19"/>
        <v/>
      </c>
      <c r="BS45" s="1">
        <f t="shared" si="20"/>
        <v>0</v>
      </c>
      <c r="BT45" s="4">
        <f t="shared" si="11"/>
        <v>0</v>
      </c>
      <c r="BU45" s="39">
        <f t="shared" si="12"/>
        <v>0</v>
      </c>
      <c r="BV45" s="1">
        <f t="shared" si="13"/>
        <v>0</v>
      </c>
      <c r="BW45">
        <f t="shared" si="14"/>
        <v>0</v>
      </c>
      <c r="BX45">
        <f t="shared" si="15"/>
        <v>0</v>
      </c>
    </row>
    <row r="46" spans="58:76" x14ac:dyDescent="0.2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39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7"/>
        <v>0</v>
      </c>
      <c r="BL46" s="1">
        <f t="shared" si="17"/>
        <v>0</v>
      </c>
      <c r="BM46" s="10" t="str">
        <f t="shared" si="18"/>
        <v/>
      </c>
      <c r="BN46" s="39">
        <f t="shared" si="8"/>
        <v>0</v>
      </c>
      <c r="BO46" s="39">
        <f t="shared" si="9"/>
        <v>0</v>
      </c>
      <c r="BP46" s="1">
        <f t="shared" si="4"/>
        <v>0</v>
      </c>
      <c r="BQ46" s="1">
        <f t="shared" si="10"/>
        <v>0</v>
      </c>
      <c r="BR46" s="1" t="str">
        <f t="shared" si="19"/>
        <v/>
      </c>
      <c r="BS46" s="1">
        <f t="shared" si="20"/>
        <v>0</v>
      </c>
      <c r="BT46" s="4">
        <f t="shared" si="11"/>
        <v>0</v>
      </c>
      <c r="BU46" s="39">
        <f t="shared" si="12"/>
        <v>0</v>
      </c>
      <c r="BV46" s="1">
        <f t="shared" si="13"/>
        <v>0</v>
      </c>
      <c r="BW46">
        <f t="shared" si="14"/>
        <v>0</v>
      </c>
      <c r="BX46">
        <f t="shared" si="15"/>
        <v>0</v>
      </c>
    </row>
    <row r="47" spans="58:76" x14ac:dyDescent="0.2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39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7"/>
        <v>0</v>
      </c>
      <c r="BL47" s="1">
        <f t="shared" si="17"/>
        <v>0</v>
      </c>
      <c r="BM47" s="10" t="str">
        <f t="shared" si="18"/>
        <v/>
      </c>
      <c r="BN47" s="39">
        <f t="shared" si="8"/>
        <v>0</v>
      </c>
      <c r="BO47" s="39">
        <f t="shared" si="9"/>
        <v>0</v>
      </c>
      <c r="BP47" s="1">
        <f t="shared" si="4"/>
        <v>0</v>
      </c>
      <c r="BQ47" s="1">
        <f t="shared" si="10"/>
        <v>0</v>
      </c>
      <c r="BR47" s="1" t="str">
        <f t="shared" si="19"/>
        <v/>
      </c>
      <c r="BS47" s="1">
        <f t="shared" si="20"/>
        <v>0</v>
      </c>
      <c r="BT47" s="4">
        <f t="shared" si="11"/>
        <v>0</v>
      </c>
      <c r="BU47" s="39">
        <f t="shared" si="12"/>
        <v>0</v>
      </c>
      <c r="BV47" s="1">
        <f t="shared" si="13"/>
        <v>0</v>
      </c>
      <c r="BW47">
        <f t="shared" si="14"/>
        <v>0</v>
      </c>
      <c r="BX47">
        <f t="shared" si="15"/>
        <v>0</v>
      </c>
    </row>
    <row r="48" spans="58:76" x14ac:dyDescent="0.2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39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7"/>
        <v>0</v>
      </c>
      <c r="BL48" s="1">
        <f t="shared" si="17"/>
        <v>0</v>
      </c>
      <c r="BM48" s="10" t="str">
        <f t="shared" si="18"/>
        <v/>
      </c>
      <c r="BN48" s="39">
        <f t="shared" si="8"/>
        <v>0</v>
      </c>
      <c r="BO48" s="39">
        <f t="shared" si="9"/>
        <v>0</v>
      </c>
      <c r="BP48" s="1">
        <f t="shared" si="4"/>
        <v>0</v>
      </c>
      <c r="BQ48" s="1">
        <f t="shared" si="10"/>
        <v>0</v>
      </c>
      <c r="BR48" s="1" t="str">
        <f t="shared" si="19"/>
        <v/>
      </c>
      <c r="BS48" s="1">
        <f t="shared" si="20"/>
        <v>0</v>
      </c>
      <c r="BT48" s="4">
        <f t="shared" si="11"/>
        <v>0</v>
      </c>
      <c r="BU48" s="39">
        <f t="shared" si="12"/>
        <v>0</v>
      </c>
      <c r="BV48" s="1">
        <f t="shared" si="13"/>
        <v>0</v>
      </c>
      <c r="BW48">
        <f t="shared" si="14"/>
        <v>0</v>
      </c>
      <c r="BX48">
        <f t="shared" si="15"/>
        <v>0</v>
      </c>
    </row>
    <row r="49" spans="58:76" x14ac:dyDescent="0.2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39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7"/>
        <v>0</v>
      </c>
      <c r="BL49" s="1">
        <f t="shared" si="17"/>
        <v>0</v>
      </c>
      <c r="BM49" s="10" t="str">
        <f t="shared" si="18"/>
        <v/>
      </c>
      <c r="BN49" s="39">
        <f t="shared" si="8"/>
        <v>0</v>
      </c>
      <c r="BO49" s="39">
        <f t="shared" si="9"/>
        <v>0</v>
      </c>
      <c r="BP49" s="1">
        <f t="shared" si="4"/>
        <v>0</v>
      </c>
      <c r="BQ49" s="1">
        <f t="shared" si="10"/>
        <v>0</v>
      </c>
      <c r="BR49" s="1" t="str">
        <f t="shared" si="19"/>
        <v/>
      </c>
      <c r="BS49" s="1">
        <f t="shared" si="20"/>
        <v>0</v>
      </c>
      <c r="BT49" s="4">
        <f t="shared" si="11"/>
        <v>0</v>
      </c>
      <c r="BU49" s="39">
        <f t="shared" si="12"/>
        <v>0</v>
      </c>
      <c r="BV49" s="1">
        <f t="shared" si="13"/>
        <v>0</v>
      </c>
      <c r="BW49">
        <f t="shared" si="14"/>
        <v>0</v>
      </c>
      <c r="BX49">
        <f t="shared" si="15"/>
        <v>0</v>
      </c>
    </row>
    <row r="50" spans="58:76" x14ac:dyDescent="0.2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39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7"/>
        <v>0</v>
      </c>
      <c r="BL50" s="1">
        <f t="shared" si="17"/>
        <v>0</v>
      </c>
      <c r="BM50" s="10" t="str">
        <f t="shared" si="18"/>
        <v/>
      </c>
      <c r="BN50" s="39">
        <f t="shared" si="8"/>
        <v>0</v>
      </c>
      <c r="BO50" s="39">
        <f t="shared" si="9"/>
        <v>0</v>
      </c>
      <c r="BP50" s="1">
        <f t="shared" si="4"/>
        <v>0</v>
      </c>
      <c r="BQ50" s="1">
        <f t="shared" si="10"/>
        <v>0</v>
      </c>
      <c r="BR50" s="1" t="str">
        <f t="shared" si="19"/>
        <v/>
      </c>
      <c r="BS50" s="1">
        <f t="shared" si="20"/>
        <v>0</v>
      </c>
      <c r="BT50" s="4">
        <f t="shared" si="11"/>
        <v>0</v>
      </c>
      <c r="BU50" s="39">
        <f t="shared" si="12"/>
        <v>0</v>
      </c>
      <c r="BV50" s="1">
        <f t="shared" si="13"/>
        <v>0</v>
      </c>
      <c r="BW50">
        <f t="shared" si="14"/>
        <v>0</v>
      </c>
      <c r="BX50">
        <f t="shared" si="15"/>
        <v>0</v>
      </c>
    </row>
    <row r="51" spans="58:76" x14ac:dyDescent="0.2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39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7"/>
        <v>0</v>
      </c>
      <c r="BL51" s="1">
        <f t="shared" si="17"/>
        <v>0</v>
      </c>
      <c r="BM51" s="10" t="str">
        <f t="shared" si="18"/>
        <v/>
      </c>
      <c r="BN51" s="39">
        <f t="shared" si="8"/>
        <v>0</v>
      </c>
      <c r="BO51" s="39">
        <f t="shared" si="9"/>
        <v>0</v>
      </c>
      <c r="BP51" s="1">
        <f t="shared" si="4"/>
        <v>0</v>
      </c>
      <c r="BQ51" s="1">
        <f t="shared" si="10"/>
        <v>0</v>
      </c>
      <c r="BR51" s="1" t="str">
        <f t="shared" si="19"/>
        <v/>
      </c>
      <c r="BS51" s="1">
        <f t="shared" si="20"/>
        <v>0</v>
      </c>
      <c r="BT51" s="4">
        <f t="shared" si="11"/>
        <v>0</v>
      </c>
      <c r="BU51" s="39">
        <f t="shared" si="12"/>
        <v>0</v>
      </c>
      <c r="BV51" s="1">
        <f t="shared" si="13"/>
        <v>0</v>
      </c>
      <c r="BW51">
        <f t="shared" si="14"/>
        <v>0</v>
      </c>
      <c r="BX51">
        <f t="shared" si="15"/>
        <v>0</v>
      </c>
    </row>
    <row r="52" spans="58:76" x14ac:dyDescent="0.2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39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7"/>
        <v>0</v>
      </c>
      <c r="BL52" s="1">
        <f t="shared" si="17"/>
        <v>0</v>
      </c>
      <c r="BM52" s="10" t="str">
        <f t="shared" si="18"/>
        <v/>
      </c>
      <c r="BN52" s="39">
        <f t="shared" si="8"/>
        <v>0</v>
      </c>
      <c r="BO52" s="39">
        <f t="shared" si="9"/>
        <v>0</v>
      </c>
      <c r="BP52" s="1">
        <f t="shared" si="4"/>
        <v>0</v>
      </c>
      <c r="BQ52" s="1">
        <f t="shared" si="10"/>
        <v>0</v>
      </c>
      <c r="BR52" s="1" t="str">
        <f t="shared" si="19"/>
        <v/>
      </c>
      <c r="BS52" s="1">
        <f t="shared" si="20"/>
        <v>0</v>
      </c>
      <c r="BT52" s="4">
        <f t="shared" si="11"/>
        <v>0</v>
      </c>
      <c r="BU52" s="39">
        <f t="shared" si="12"/>
        <v>0</v>
      </c>
      <c r="BV52" s="1">
        <f t="shared" si="13"/>
        <v>0</v>
      </c>
      <c r="BW52">
        <f t="shared" si="14"/>
        <v>0</v>
      </c>
      <c r="BX52">
        <f t="shared" si="15"/>
        <v>0</v>
      </c>
    </row>
    <row r="53" spans="58:76" x14ac:dyDescent="0.2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39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7"/>
        <v>0</v>
      </c>
      <c r="BL53" s="1">
        <f t="shared" si="17"/>
        <v>0</v>
      </c>
      <c r="BM53" s="10" t="str">
        <f t="shared" si="18"/>
        <v/>
      </c>
      <c r="BN53" s="39">
        <f t="shared" si="8"/>
        <v>0</v>
      </c>
      <c r="BO53" s="39">
        <f t="shared" si="9"/>
        <v>0</v>
      </c>
      <c r="BP53" s="1">
        <f t="shared" si="4"/>
        <v>0</v>
      </c>
      <c r="BQ53" s="1">
        <f t="shared" si="10"/>
        <v>0</v>
      </c>
      <c r="BR53" s="1" t="str">
        <f t="shared" si="19"/>
        <v/>
      </c>
      <c r="BS53" s="1">
        <f t="shared" si="20"/>
        <v>0</v>
      </c>
      <c r="BT53" s="4">
        <f t="shared" si="11"/>
        <v>0</v>
      </c>
      <c r="BU53" s="39">
        <f t="shared" si="12"/>
        <v>0</v>
      </c>
      <c r="BV53" s="1">
        <f t="shared" si="13"/>
        <v>0</v>
      </c>
      <c r="BW53">
        <f t="shared" si="14"/>
        <v>0</v>
      </c>
      <c r="BX53">
        <f t="shared" si="15"/>
        <v>0</v>
      </c>
    </row>
    <row r="54" spans="58:76" x14ac:dyDescent="0.2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39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7"/>
        <v>0</v>
      </c>
      <c r="BL54" s="1">
        <f t="shared" si="17"/>
        <v>0</v>
      </c>
      <c r="BM54" s="10" t="str">
        <f t="shared" si="18"/>
        <v/>
      </c>
      <c r="BN54" s="39">
        <f t="shared" si="8"/>
        <v>0</v>
      </c>
      <c r="BO54" s="39">
        <f t="shared" si="9"/>
        <v>0</v>
      </c>
      <c r="BP54" s="1">
        <f t="shared" si="4"/>
        <v>0</v>
      </c>
      <c r="BQ54" s="1">
        <f t="shared" si="10"/>
        <v>0</v>
      </c>
      <c r="BR54" s="1" t="str">
        <f t="shared" si="19"/>
        <v/>
      </c>
      <c r="BS54" s="1">
        <f t="shared" si="20"/>
        <v>0</v>
      </c>
      <c r="BT54" s="4">
        <f t="shared" si="11"/>
        <v>0</v>
      </c>
      <c r="BU54" s="39">
        <f t="shared" si="12"/>
        <v>0</v>
      </c>
      <c r="BV54" s="1">
        <f t="shared" si="13"/>
        <v>0</v>
      </c>
      <c r="BW54">
        <f t="shared" si="14"/>
        <v>0</v>
      </c>
      <c r="BX54">
        <f t="shared" si="15"/>
        <v>0</v>
      </c>
    </row>
    <row r="55" spans="58:76" x14ac:dyDescent="0.2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39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7"/>
        <v>0</v>
      </c>
      <c r="BL55" s="1">
        <f t="shared" si="17"/>
        <v>0</v>
      </c>
      <c r="BM55" s="10" t="str">
        <f t="shared" si="18"/>
        <v/>
      </c>
      <c r="BN55" s="39">
        <f t="shared" si="8"/>
        <v>0</v>
      </c>
      <c r="BO55" s="39">
        <f t="shared" si="9"/>
        <v>0</v>
      </c>
      <c r="BP55" s="1">
        <f t="shared" si="4"/>
        <v>0</v>
      </c>
      <c r="BQ55" s="1">
        <f t="shared" si="10"/>
        <v>0</v>
      </c>
      <c r="BR55" s="1" t="str">
        <f t="shared" si="19"/>
        <v/>
      </c>
      <c r="BS55" s="1">
        <f t="shared" si="20"/>
        <v>0</v>
      </c>
      <c r="BT55" s="4">
        <f t="shared" si="11"/>
        <v>0</v>
      </c>
      <c r="BU55" s="39">
        <f t="shared" si="12"/>
        <v>0</v>
      </c>
      <c r="BV55" s="1">
        <f t="shared" si="13"/>
        <v>0</v>
      </c>
      <c r="BW55">
        <f t="shared" si="14"/>
        <v>0</v>
      </c>
      <c r="BX55">
        <f t="shared" si="15"/>
        <v>0</v>
      </c>
    </row>
    <row r="56" spans="58:76" x14ac:dyDescent="0.2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39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7"/>
        <v>0</v>
      </c>
      <c r="BL56" s="1">
        <f t="shared" si="17"/>
        <v>0</v>
      </c>
      <c r="BM56" s="10" t="str">
        <f t="shared" si="18"/>
        <v/>
      </c>
      <c r="BN56" s="39">
        <f t="shared" si="8"/>
        <v>0</v>
      </c>
      <c r="BO56" s="39">
        <f t="shared" si="9"/>
        <v>0</v>
      </c>
      <c r="BP56" s="1">
        <f t="shared" si="4"/>
        <v>0</v>
      </c>
      <c r="BQ56" s="1">
        <f t="shared" si="10"/>
        <v>0</v>
      </c>
      <c r="BR56" s="1" t="str">
        <f t="shared" si="19"/>
        <v/>
      </c>
      <c r="BS56" s="1">
        <f t="shared" si="20"/>
        <v>0</v>
      </c>
      <c r="BT56" s="4">
        <f t="shared" si="11"/>
        <v>0</v>
      </c>
      <c r="BU56" s="39">
        <f t="shared" si="12"/>
        <v>0</v>
      </c>
      <c r="BV56" s="1">
        <f t="shared" si="13"/>
        <v>0</v>
      </c>
      <c r="BW56">
        <f t="shared" si="14"/>
        <v>0</v>
      </c>
      <c r="BX56">
        <f t="shared" si="15"/>
        <v>0</v>
      </c>
    </row>
    <row r="57" spans="58:76" x14ac:dyDescent="0.2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39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7"/>
        <v>0</v>
      </c>
      <c r="BL57" s="1">
        <f t="shared" si="17"/>
        <v>0</v>
      </c>
      <c r="BM57" s="10" t="str">
        <f t="shared" si="18"/>
        <v/>
      </c>
      <c r="BN57" s="39">
        <f t="shared" si="8"/>
        <v>0</v>
      </c>
      <c r="BO57" s="39">
        <f t="shared" si="9"/>
        <v>0</v>
      </c>
      <c r="BP57" s="1">
        <f t="shared" si="4"/>
        <v>0</v>
      </c>
      <c r="BQ57" s="1">
        <f t="shared" si="10"/>
        <v>0</v>
      </c>
      <c r="BR57" s="1" t="str">
        <f t="shared" si="19"/>
        <v/>
      </c>
      <c r="BS57" s="1">
        <f t="shared" si="20"/>
        <v>0</v>
      </c>
      <c r="BT57" s="4">
        <f t="shared" si="11"/>
        <v>0</v>
      </c>
      <c r="BU57" s="39">
        <f t="shared" si="12"/>
        <v>0</v>
      </c>
      <c r="BV57" s="1">
        <f t="shared" si="13"/>
        <v>0</v>
      </c>
      <c r="BW57">
        <f t="shared" si="14"/>
        <v>0</v>
      </c>
      <c r="BX57">
        <f t="shared" si="15"/>
        <v>0</v>
      </c>
    </row>
    <row r="58" spans="58:76" x14ac:dyDescent="0.2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39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7"/>
        <v>0</v>
      </c>
      <c r="BL58" s="1">
        <f t="shared" si="17"/>
        <v>0</v>
      </c>
      <c r="BM58" s="10" t="str">
        <f t="shared" si="18"/>
        <v/>
      </c>
      <c r="BN58" s="39">
        <f t="shared" si="8"/>
        <v>0</v>
      </c>
      <c r="BO58" s="39">
        <f t="shared" si="9"/>
        <v>0</v>
      </c>
      <c r="BP58" s="1">
        <f t="shared" si="4"/>
        <v>0</v>
      </c>
      <c r="BQ58" s="1">
        <f t="shared" si="10"/>
        <v>0</v>
      </c>
      <c r="BR58" s="1" t="str">
        <f t="shared" si="19"/>
        <v/>
      </c>
      <c r="BS58" s="1">
        <f t="shared" si="20"/>
        <v>0</v>
      </c>
      <c r="BT58" s="4">
        <f t="shared" si="11"/>
        <v>0</v>
      </c>
      <c r="BU58" s="39">
        <f t="shared" si="12"/>
        <v>0</v>
      </c>
      <c r="BV58" s="1">
        <f t="shared" si="13"/>
        <v>0</v>
      </c>
      <c r="BW58">
        <f t="shared" si="14"/>
        <v>0</v>
      </c>
      <c r="BX58">
        <f t="shared" si="15"/>
        <v>0</v>
      </c>
    </row>
    <row r="59" spans="58:76" x14ac:dyDescent="0.2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39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7"/>
        <v>0</v>
      </c>
      <c r="BL59" s="1">
        <f t="shared" si="17"/>
        <v>0</v>
      </c>
      <c r="BM59" s="10" t="str">
        <f t="shared" si="18"/>
        <v/>
      </c>
      <c r="BN59" s="39">
        <f t="shared" si="8"/>
        <v>0</v>
      </c>
      <c r="BO59" s="39">
        <f t="shared" si="9"/>
        <v>0</v>
      </c>
      <c r="BP59" s="1">
        <f t="shared" si="4"/>
        <v>0</v>
      </c>
      <c r="BQ59" s="1">
        <f t="shared" si="10"/>
        <v>0</v>
      </c>
      <c r="BR59" s="1" t="str">
        <f t="shared" si="19"/>
        <v/>
      </c>
      <c r="BS59" s="1">
        <f t="shared" si="20"/>
        <v>0</v>
      </c>
      <c r="BT59" s="4">
        <f t="shared" si="11"/>
        <v>0</v>
      </c>
      <c r="BU59" s="39">
        <f t="shared" si="12"/>
        <v>0</v>
      </c>
      <c r="BV59" s="1">
        <f t="shared" si="13"/>
        <v>0</v>
      </c>
      <c r="BW59">
        <f t="shared" si="14"/>
        <v>0</v>
      </c>
      <c r="BX59">
        <f t="shared" si="15"/>
        <v>0</v>
      </c>
    </row>
    <row r="60" spans="58:76" x14ac:dyDescent="0.2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39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7"/>
        <v>0</v>
      </c>
      <c r="BL60" s="1">
        <f t="shared" si="17"/>
        <v>0</v>
      </c>
      <c r="BM60" s="10" t="str">
        <f t="shared" si="18"/>
        <v/>
      </c>
      <c r="BN60" s="39">
        <f t="shared" si="8"/>
        <v>0</v>
      </c>
      <c r="BO60" s="39">
        <f t="shared" si="9"/>
        <v>0</v>
      </c>
      <c r="BP60" s="1">
        <f t="shared" si="4"/>
        <v>0</v>
      </c>
      <c r="BQ60" s="1">
        <f t="shared" si="10"/>
        <v>0</v>
      </c>
      <c r="BR60" s="1" t="str">
        <f t="shared" si="19"/>
        <v/>
      </c>
      <c r="BS60" s="1">
        <f t="shared" si="20"/>
        <v>0</v>
      </c>
      <c r="BT60" s="4">
        <f t="shared" si="11"/>
        <v>0</v>
      </c>
      <c r="BU60" s="39">
        <f t="shared" si="12"/>
        <v>0</v>
      </c>
      <c r="BV60" s="1">
        <f t="shared" si="13"/>
        <v>0</v>
      </c>
      <c r="BW60">
        <f t="shared" si="14"/>
        <v>0</v>
      </c>
      <c r="BX60">
        <f t="shared" si="15"/>
        <v>0</v>
      </c>
    </row>
    <row r="61" spans="58:76" x14ac:dyDescent="0.2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39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7"/>
        <v>0</v>
      </c>
      <c r="BL61" s="1">
        <f t="shared" si="17"/>
        <v>0</v>
      </c>
      <c r="BM61" s="10" t="str">
        <f t="shared" si="18"/>
        <v/>
      </c>
      <c r="BN61" s="39">
        <f t="shared" si="8"/>
        <v>0</v>
      </c>
      <c r="BO61" s="39">
        <f t="shared" si="9"/>
        <v>0</v>
      </c>
      <c r="BP61" s="1">
        <f t="shared" si="4"/>
        <v>0</v>
      </c>
      <c r="BQ61" s="1">
        <f t="shared" si="10"/>
        <v>0</v>
      </c>
      <c r="BR61" s="1" t="str">
        <f t="shared" si="19"/>
        <v/>
      </c>
      <c r="BS61" s="1">
        <f t="shared" si="20"/>
        <v>0</v>
      </c>
      <c r="BT61" s="4">
        <f t="shared" si="11"/>
        <v>0</v>
      </c>
      <c r="BU61" s="39">
        <f t="shared" si="12"/>
        <v>0</v>
      </c>
      <c r="BV61" s="1">
        <f t="shared" si="13"/>
        <v>0</v>
      </c>
      <c r="BW61">
        <f t="shared" si="14"/>
        <v>0</v>
      </c>
      <c r="BX61">
        <f t="shared" si="15"/>
        <v>0</v>
      </c>
    </row>
    <row r="62" spans="58:76" x14ac:dyDescent="0.2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39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7"/>
        <v>0</v>
      </c>
      <c r="BL62" s="1">
        <f t="shared" si="17"/>
        <v>0</v>
      </c>
      <c r="BM62" s="10" t="str">
        <f t="shared" si="18"/>
        <v/>
      </c>
      <c r="BN62" s="39">
        <f t="shared" si="8"/>
        <v>0</v>
      </c>
      <c r="BO62" s="39">
        <f t="shared" si="9"/>
        <v>0</v>
      </c>
      <c r="BP62" s="1">
        <f t="shared" si="4"/>
        <v>0</v>
      </c>
      <c r="BQ62" s="1">
        <f t="shared" si="10"/>
        <v>0</v>
      </c>
      <c r="BR62" s="1" t="str">
        <f t="shared" si="19"/>
        <v/>
      </c>
      <c r="BS62" s="1">
        <f t="shared" si="20"/>
        <v>0</v>
      </c>
      <c r="BT62" s="4">
        <f t="shared" si="11"/>
        <v>0</v>
      </c>
      <c r="BU62" s="39">
        <f t="shared" si="12"/>
        <v>0</v>
      </c>
      <c r="BV62" s="1">
        <f t="shared" si="13"/>
        <v>0</v>
      </c>
      <c r="BW62">
        <f t="shared" si="14"/>
        <v>0</v>
      </c>
      <c r="BX62">
        <f t="shared" si="15"/>
        <v>0</v>
      </c>
    </row>
    <row r="63" spans="58:76" x14ac:dyDescent="0.2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39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7"/>
        <v>0</v>
      </c>
      <c r="BL63" s="1">
        <f t="shared" si="17"/>
        <v>0</v>
      </c>
      <c r="BM63" s="10" t="str">
        <f t="shared" si="18"/>
        <v/>
      </c>
      <c r="BN63" s="39">
        <f t="shared" si="8"/>
        <v>0</v>
      </c>
      <c r="BO63" s="39">
        <f t="shared" si="9"/>
        <v>0</v>
      </c>
      <c r="BP63" s="1">
        <f t="shared" si="4"/>
        <v>0</v>
      </c>
      <c r="BQ63" s="1">
        <f t="shared" si="10"/>
        <v>0</v>
      </c>
      <c r="BR63" s="1" t="str">
        <f t="shared" si="19"/>
        <v/>
      </c>
      <c r="BS63" s="1">
        <f t="shared" si="20"/>
        <v>0</v>
      </c>
      <c r="BT63" s="4">
        <f t="shared" si="11"/>
        <v>0</v>
      </c>
      <c r="BU63" s="39">
        <f t="shared" si="12"/>
        <v>0</v>
      </c>
      <c r="BV63" s="1">
        <f t="shared" si="13"/>
        <v>0</v>
      </c>
      <c r="BW63">
        <f t="shared" si="14"/>
        <v>0</v>
      </c>
      <c r="BX63">
        <f t="shared" si="15"/>
        <v>0</v>
      </c>
    </row>
    <row r="64" spans="58:76" x14ac:dyDescent="0.2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39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7"/>
        <v>0</v>
      </c>
      <c r="BL64" s="1">
        <f t="shared" si="17"/>
        <v>0</v>
      </c>
      <c r="BM64" s="10" t="str">
        <f t="shared" si="18"/>
        <v/>
      </c>
      <c r="BN64" s="39">
        <f t="shared" si="8"/>
        <v>0</v>
      </c>
      <c r="BO64" s="39">
        <f t="shared" si="9"/>
        <v>0</v>
      </c>
      <c r="BP64" s="1">
        <f t="shared" si="4"/>
        <v>0</v>
      </c>
      <c r="BQ64" s="1">
        <f t="shared" si="10"/>
        <v>0</v>
      </c>
      <c r="BR64" s="1" t="str">
        <f t="shared" si="19"/>
        <v/>
      </c>
      <c r="BS64" s="1">
        <f t="shared" si="20"/>
        <v>0</v>
      </c>
      <c r="BT64" s="4">
        <f t="shared" si="11"/>
        <v>0</v>
      </c>
      <c r="BU64" s="39">
        <f t="shared" si="12"/>
        <v>0</v>
      </c>
      <c r="BV64" s="1">
        <f t="shared" si="13"/>
        <v>0</v>
      </c>
      <c r="BW64">
        <f t="shared" si="14"/>
        <v>0</v>
      </c>
      <c r="BX64">
        <f t="shared" si="15"/>
        <v>0</v>
      </c>
    </row>
    <row r="65" spans="58:76" x14ac:dyDescent="0.2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39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7"/>
        <v>0</v>
      </c>
      <c r="BL65" s="1">
        <f t="shared" si="17"/>
        <v>0</v>
      </c>
      <c r="BM65" s="10" t="str">
        <f t="shared" si="18"/>
        <v/>
      </c>
      <c r="BN65" s="39">
        <f t="shared" si="8"/>
        <v>0</v>
      </c>
      <c r="BO65" s="39">
        <f t="shared" si="9"/>
        <v>0</v>
      </c>
      <c r="BP65" s="1">
        <f t="shared" si="4"/>
        <v>0</v>
      </c>
      <c r="BQ65" s="1">
        <f t="shared" si="10"/>
        <v>0</v>
      </c>
      <c r="BR65" s="1" t="str">
        <f t="shared" si="19"/>
        <v/>
      </c>
      <c r="BS65" s="1">
        <f t="shared" si="20"/>
        <v>0</v>
      </c>
      <c r="BT65" s="4">
        <f t="shared" si="11"/>
        <v>0</v>
      </c>
      <c r="BU65" s="39">
        <f t="shared" si="12"/>
        <v>0</v>
      </c>
      <c r="BV65" s="1">
        <f t="shared" si="13"/>
        <v>0</v>
      </c>
      <c r="BW65">
        <f t="shared" si="14"/>
        <v>0</v>
      </c>
      <c r="BX65">
        <f t="shared" si="15"/>
        <v>0</v>
      </c>
    </row>
    <row r="66" spans="58:76" x14ac:dyDescent="0.2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39">
        <f t="shared" ref="BH66:BI97" si="21">VALUE(T66)</f>
        <v>0</v>
      </c>
      <c r="BI66" s="1">
        <f t="shared" si="21"/>
        <v>0</v>
      </c>
      <c r="BJ66" s="1">
        <f t="shared" ref="BJ66:BJ129" si="22">IFERROR(_xlfn.NUMBERVALUE(V66),V66)</f>
        <v>0</v>
      </c>
      <c r="BK66" s="1">
        <f t="shared" si="7"/>
        <v>0</v>
      </c>
      <c r="BL66" s="1">
        <f t="shared" ref="BL66:BL97" si="23">L66</f>
        <v>0</v>
      </c>
      <c r="BM66" s="10" t="str">
        <f t="shared" ref="BM66:BM97" si="24">SUBSTITUTE(J66,"/",".")</f>
        <v/>
      </c>
      <c r="BN66" s="39">
        <f t="shared" si="8"/>
        <v>0</v>
      </c>
      <c r="BO66" s="39">
        <f t="shared" si="9"/>
        <v>0</v>
      </c>
      <c r="BP66" s="1">
        <f t="shared" ref="BP66:BP129" si="25">VALUE(D66)</f>
        <v>0</v>
      </c>
      <c r="BQ66" s="1">
        <f t="shared" si="10"/>
        <v>0</v>
      </c>
      <c r="BR66" s="1" t="str">
        <f t="shared" ref="BR66:BR97" si="26">SUBSTITUTE(O66,".","")</f>
        <v/>
      </c>
      <c r="BS66" s="1">
        <f t="shared" ref="BS66:BS97" si="27">S66</f>
        <v>0</v>
      </c>
      <c r="BT66" s="4">
        <f t="shared" si="11"/>
        <v>0</v>
      </c>
      <c r="BU66" s="39">
        <f t="shared" si="12"/>
        <v>0</v>
      </c>
      <c r="BV66" s="1">
        <f t="shared" si="13"/>
        <v>0</v>
      </c>
      <c r="BW66">
        <f t="shared" si="14"/>
        <v>0</v>
      </c>
      <c r="BX66">
        <f t="shared" si="15"/>
        <v>0</v>
      </c>
    </row>
    <row r="67" spans="58:76" x14ac:dyDescent="0.2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39">
        <f t="shared" si="21"/>
        <v>0</v>
      </c>
      <c r="BI67" s="1">
        <f t="shared" si="21"/>
        <v>0</v>
      </c>
      <c r="BJ67" s="1">
        <f t="shared" si="22"/>
        <v>0</v>
      </c>
      <c r="BK67" s="1">
        <f t="shared" ref="BK67:BK130" si="28">IFERROR(INT(I67),I67)</f>
        <v>0</v>
      </c>
      <c r="BL67" s="1">
        <f t="shared" si="23"/>
        <v>0</v>
      </c>
      <c r="BM67" s="10" t="str">
        <f t="shared" si="24"/>
        <v/>
      </c>
      <c r="BN67" s="39">
        <f t="shared" ref="BN67:BN130" si="29">VALUE(Q67)*1000</f>
        <v>0</v>
      </c>
      <c r="BO67" s="39">
        <f t="shared" ref="BO67:BO130" si="30">VALUE(P67)/1000</f>
        <v>0</v>
      </c>
      <c r="BP67" s="1">
        <f t="shared" si="25"/>
        <v>0</v>
      </c>
      <c r="BQ67" s="1">
        <f t="shared" ref="BQ67:BQ130" si="31">VALUE(G67)</f>
        <v>0</v>
      </c>
      <c r="BR67" s="1" t="str">
        <f t="shared" si="26"/>
        <v/>
      </c>
      <c r="BS67" s="1">
        <f t="shared" si="27"/>
        <v>0</v>
      </c>
      <c r="BT67" s="4">
        <f t="shared" ref="BT67:BT130" si="32">VALUE(AJ67)</f>
        <v>0</v>
      </c>
      <c r="BU67" s="39">
        <f t="shared" ref="BU67:BU130" si="33">K67</f>
        <v>0</v>
      </c>
      <c r="BV67" s="1">
        <f t="shared" ref="BV67:BV130" si="34">AQ67</f>
        <v>0</v>
      </c>
      <c r="BW67">
        <f t="shared" ref="BW67:BW130" si="35">X67</f>
        <v>0</v>
      </c>
      <c r="BX67">
        <f t="shared" ref="BX67:BX130" si="36">AN67</f>
        <v>0</v>
      </c>
    </row>
    <row r="68" spans="58:76" x14ac:dyDescent="0.2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39">
        <f t="shared" si="21"/>
        <v>0</v>
      </c>
      <c r="BI68" s="1">
        <f t="shared" si="21"/>
        <v>0</v>
      </c>
      <c r="BJ68" s="1">
        <f t="shared" si="22"/>
        <v>0</v>
      </c>
      <c r="BK68" s="1">
        <f t="shared" si="28"/>
        <v>0</v>
      </c>
      <c r="BL68" s="1">
        <f t="shared" si="23"/>
        <v>0</v>
      </c>
      <c r="BM68" s="10" t="str">
        <f t="shared" si="24"/>
        <v/>
      </c>
      <c r="BN68" s="39">
        <f t="shared" si="29"/>
        <v>0</v>
      </c>
      <c r="BO68" s="39">
        <f t="shared" si="30"/>
        <v>0</v>
      </c>
      <c r="BP68" s="1">
        <f t="shared" si="25"/>
        <v>0</v>
      </c>
      <c r="BQ68" s="1">
        <f t="shared" si="31"/>
        <v>0</v>
      </c>
      <c r="BR68" s="1" t="str">
        <f t="shared" si="26"/>
        <v/>
      </c>
      <c r="BS68" s="1">
        <f t="shared" si="27"/>
        <v>0</v>
      </c>
      <c r="BT68" s="4">
        <f t="shared" si="32"/>
        <v>0</v>
      </c>
      <c r="BU68" s="39">
        <f t="shared" si="33"/>
        <v>0</v>
      </c>
      <c r="BV68" s="1">
        <f t="shared" si="34"/>
        <v>0</v>
      </c>
      <c r="BW68">
        <f t="shared" si="35"/>
        <v>0</v>
      </c>
      <c r="BX68">
        <f t="shared" si="36"/>
        <v>0</v>
      </c>
    </row>
    <row r="69" spans="58:76" x14ac:dyDescent="0.2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39">
        <f t="shared" si="21"/>
        <v>0</v>
      </c>
      <c r="BI69" s="1">
        <f t="shared" si="21"/>
        <v>0</v>
      </c>
      <c r="BJ69" s="1">
        <f t="shared" si="22"/>
        <v>0</v>
      </c>
      <c r="BK69" s="1">
        <f t="shared" si="28"/>
        <v>0</v>
      </c>
      <c r="BL69" s="1">
        <f t="shared" si="23"/>
        <v>0</v>
      </c>
      <c r="BM69" s="10" t="str">
        <f t="shared" si="24"/>
        <v/>
      </c>
      <c r="BN69" s="39">
        <f t="shared" si="29"/>
        <v>0</v>
      </c>
      <c r="BO69" s="39">
        <f t="shared" si="30"/>
        <v>0</v>
      </c>
      <c r="BP69" s="1">
        <f t="shared" si="25"/>
        <v>0</v>
      </c>
      <c r="BQ69" s="1">
        <f t="shared" si="31"/>
        <v>0</v>
      </c>
      <c r="BR69" s="1" t="str">
        <f t="shared" si="26"/>
        <v/>
      </c>
      <c r="BS69" s="1">
        <f t="shared" si="27"/>
        <v>0</v>
      </c>
      <c r="BT69" s="4">
        <f t="shared" si="32"/>
        <v>0</v>
      </c>
      <c r="BU69" s="39">
        <f t="shared" si="33"/>
        <v>0</v>
      </c>
      <c r="BV69" s="1">
        <f t="shared" si="34"/>
        <v>0</v>
      </c>
      <c r="BW69">
        <f t="shared" si="35"/>
        <v>0</v>
      </c>
      <c r="BX69">
        <f t="shared" si="36"/>
        <v>0</v>
      </c>
    </row>
    <row r="70" spans="58:76" x14ac:dyDescent="0.2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39">
        <f t="shared" si="21"/>
        <v>0</v>
      </c>
      <c r="BI70" s="1">
        <f t="shared" si="21"/>
        <v>0</v>
      </c>
      <c r="BJ70" s="1">
        <f t="shared" si="22"/>
        <v>0</v>
      </c>
      <c r="BK70" s="1">
        <f t="shared" si="28"/>
        <v>0</v>
      </c>
      <c r="BL70" s="1">
        <f t="shared" si="23"/>
        <v>0</v>
      </c>
      <c r="BM70" s="10" t="str">
        <f t="shared" si="24"/>
        <v/>
      </c>
      <c r="BN70" s="39">
        <f t="shared" si="29"/>
        <v>0</v>
      </c>
      <c r="BO70" s="39">
        <f t="shared" si="30"/>
        <v>0</v>
      </c>
      <c r="BP70" s="1">
        <f t="shared" si="25"/>
        <v>0</v>
      </c>
      <c r="BQ70" s="1">
        <f t="shared" si="31"/>
        <v>0</v>
      </c>
      <c r="BR70" s="1" t="str">
        <f t="shared" si="26"/>
        <v/>
      </c>
      <c r="BS70" s="1">
        <f t="shared" si="27"/>
        <v>0</v>
      </c>
      <c r="BT70" s="4">
        <f t="shared" si="32"/>
        <v>0</v>
      </c>
      <c r="BU70" s="39">
        <f t="shared" si="33"/>
        <v>0</v>
      </c>
      <c r="BV70" s="1">
        <f t="shared" si="34"/>
        <v>0</v>
      </c>
      <c r="BW70">
        <f t="shared" si="35"/>
        <v>0</v>
      </c>
      <c r="BX70">
        <f t="shared" si="36"/>
        <v>0</v>
      </c>
    </row>
    <row r="71" spans="58:76" x14ac:dyDescent="0.2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39">
        <f t="shared" si="21"/>
        <v>0</v>
      </c>
      <c r="BI71" s="1">
        <f t="shared" si="21"/>
        <v>0</v>
      </c>
      <c r="BJ71" s="1">
        <f t="shared" si="22"/>
        <v>0</v>
      </c>
      <c r="BK71" s="1">
        <f t="shared" si="28"/>
        <v>0</v>
      </c>
      <c r="BL71" s="1">
        <f t="shared" si="23"/>
        <v>0</v>
      </c>
      <c r="BM71" s="10" t="str">
        <f t="shared" si="24"/>
        <v/>
      </c>
      <c r="BN71" s="39">
        <f t="shared" si="29"/>
        <v>0</v>
      </c>
      <c r="BO71" s="39">
        <f t="shared" si="30"/>
        <v>0</v>
      </c>
      <c r="BP71" s="1">
        <f t="shared" si="25"/>
        <v>0</v>
      </c>
      <c r="BQ71" s="1">
        <f t="shared" si="31"/>
        <v>0</v>
      </c>
      <c r="BR71" s="1" t="str">
        <f t="shared" si="26"/>
        <v/>
      </c>
      <c r="BS71" s="1">
        <f t="shared" si="27"/>
        <v>0</v>
      </c>
      <c r="BT71" s="4">
        <f t="shared" si="32"/>
        <v>0</v>
      </c>
      <c r="BU71" s="39">
        <f t="shared" si="33"/>
        <v>0</v>
      </c>
      <c r="BV71" s="1">
        <f t="shared" si="34"/>
        <v>0</v>
      </c>
      <c r="BW71">
        <f t="shared" si="35"/>
        <v>0</v>
      </c>
      <c r="BX71">
        <f t="shared" si="36"/>
        <v>0</v>
      </c>
    </row>
    <row r="72" spans="58:76" x14ac:dyDescent="0.2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39">
        <f t="shared" si="21"/>
        <v>0</v>
      </c>
      <c r="BI72" s="1">
        <f t="shared" si="21"/>
        <v>0</v>
      </c>
      <c r="BJ72" s="1">
        <f t="shared" si="22"/>
        <v>0</v>
      </c>
      <c r="BK72" s="1">
        <f t="shared" si="28"/>
        <v>0</v>
      </c>
      <c r="BL72" s="1">
        <f t="shared" si="23"/>
        <v>0</v>
      </c>
      <c r="BM72" s="10" t="str">
        <f t="shared" si="24"/>
        <v/>
      </c>
      <c r="BN72" s="39">
        <f t="shared" si="29"/>
        <v>0</v>
      </c>
      <c r="BO72" s="39">
        <f t="shared" si="30"/>
        <v>0</v>
      </c>
      <c r="BP72" s="1">
        <f t="shared" si="25"/>
        <v>0</v>
      </c>
      <c r="BQ72" s="1">
        <f t="shared" si="31"/>
        <v>0</v>
      </c>
      <c r="BR72" s="1" t="str">
        <f t="shared" si="26"/>
        <v/>
      </c>
      <c r="BS72" s="1">
        <f t="shared" si="27"/>
        <v>0</v>
      </c>
      <c r="BT72" s="4">
        <f t="shared" si="32"/>
        <v>0</v>
      </c>
      <c r="BU72" s="39">
        <f t="shared" si="33"/>
        <v>0</v>
      </c>
      <c r="BV72" s="1">
        <f t="shared" si="34"/>
        <v>0</v>
      </c>
      <c r="BW72">
        <f t="shared" si="35"/>
        <v>0</v>
      </c>
      <c r="BX72">
        <f t="shared" si="36"/>
        <v>0</v>
      </c>
    </row>
    <row r="73" spans="58:76" x14ac:dyDescent="0.2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39">
        <f t="shared" si="21"/>
        <v>0</v>
      </c>
      <c r="BI73" s="1">
        <f t="shared" si="21"/>
        <v>0</v>
      </c>
      <c r="BJ73" s="1">
        <f t="shared" si="22"/>
        <v>0</v>
      </c>
      <c r="BK73" s="1">
        <f t="shared" si="28"/>
        <v>0</v>
      </c>
      <c r="BL73" s="1">
        <f t="shared" si="23"/>
        <v>0</v>
      </c>
      <c r="BM73" s="10" t="str">
        <f t="shared" si="24"/>
        <v/>
      </c>
      <c r="BN73" s="39">
        <f t="shared" si="29"/>
        <v>0</v>
      </c>
      <c r="BO73" s="39">
        <f t="shared" si="30"/>
        <v>0</v>
      </c>
      <c r="BP73" s="1">
        <f t="shared" si="25"/>
        <v>0</v>
      </c>
      <c r="BQ73" s="1">
        <f t="shared" si="31"/>
        <v>0</v>
      </c>
      <c r="BR73" s="1" t="str">
        <f t="shared" si="26"/>
        <v/>
      </c>
      <c r="BS73" s="1">
        <f t="shared" si="27"/>
        <v>0</v>
      </c>
      <c r="BT73" s="4">
        <f t="shared" si="32"/>
        <v>0</v>
      </c>
      <c r="BU73" s="39">
        <f t="shared" si="33"/>
        <v>0</v>
      </c>
      <c r="BV73" s="1">
        <f t="shared" si="34"/>
        <v>0</v>
      </c>
      <c r="BW73">
        <f t="shared" si="35"/>
        <v>0</v>
      </c>
      <c r="BX73">
        <f t="shared" si="36"/>
        <v>0</v>
      </c>
    </row>
    <row r="74" spans="58:76" x14ac:dyDescent="0.2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39">
        <f t="shared" si="21"/>
        <v>0</v>
      </c>
      <c r="BI74" s="1">
        <f t="shared" si="21"/>
        <v>0</v>
      </c>
      <c r="BJ74" s="1">
        <f t="shared" si="22"/>
        <v>0</v>
      </c>
      <c r="BK74" s="1">
        <f t="shared" si="28"/>
        <v>0</v>
      </c>
      <c r="BL74" s="1">
        <f t="shared" si="23"/>
        <v>0</v>
      </c>
      <c r="BM74" s="10" t="str">
        <f t="shared" si="24"/>
        <v/>
      </c>
      <c r="BN74" s="39">
        <f t="shared" si="29"/>
        <v>0</v>
      </c>
      <c r="BO74" s="39">
        <f t="shared" si="30"/>
        <v>0</v>
      </c>
      <c r="BP74" s="1">
        <f t="shared" si="25"/>
        <v>0</v>
      </c>
      <c r="BQ74" s="1">
        <f t="shared" si="31"/>
        <v>0</v>
      </c>
      <c r="BR74" s="1" t="str">
        <f t="shared" si="26"/>
        <v/>
      </c>
      <c r="BS74" s="1">
        <f t="shared" si="27"/>
        <v>0</v>
      </c>
      <c r="BT74" s="4">
        <f t="shared" si="32"/>
        <v>0</v>
      </c>
      <c r="BU74" s="39">
        <f t="shared" si="33"/>
        <v>0</v>
      </c>
      <c r="BV74" s="1">
        <f t="shared" si="34"/>
        <v>0</v>
      </c>
      <c r="BW74">
        <f t="shared" si="35"/>
        <v>0</v>
      </c>
      <c r="BX74">
        <f t="shared" si="36"/>
        <v>0</v>
      </c>
    </row>
    <row r="75" spans="58:76" x14ac:dyDescent="0.2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39">
        <f t="shared" si="21"/>
        <v>0</v>
      </c>
      <c r="BI75" s="1">
        <f t="shared" si="21"/>
        <v>0</v>
      </c>
      <c r="BJ75" s="1">
        <f t="shared" si="22"/>
        <v>0</v>
      </c>
      <c r="BK75" s="1">
        <f t="shared" si="28"/>
        <v>0</v>
      </c>
      <c r="BL75" s="1">
        <f t="shared" si="23"/>
        <v>0</v>
      </c>
      <c r="BM75" s="10" t="str">
        <f t="shared" si="24"/>
        <v/>
      </c>
      <c r="BN75" s="39">
        <f t="shared" si="29"/>
        <v>0</v>
      </c>
      <c r="BO75" s="39">
        <f t="shared" si="30"/>
        <v>0</v>
      </c>
      <c r="BP75" s="1">
        <f t="shared" si="25"/>
        <v>0</v>
      </c>
      <c r="BQ75" s="1">
        <f t="shared" si="31"/>
        <v>0</v>
      </c>
      <c r="BR75" s="1" t="str">
        <f t="shared" si="26"/>
        <v/>
      </c>
      <c r="BS75" s="1">
        <f t="shared" si="27"/>
        <v>0</v>
      </c>
      <c r="BT75" s="4">
        <f t="shared" si="32"/>
        <v>0</v>
      </c>
      <c r="BU75" s="39">
        <f t="shared" si="33"/>
        <v>0</v>
      </c>
      <c r="BV75" s="1">
        <f t="shared" si="34"/>
        <v>0</v>
      </c>
      <c r="BW75">
        <f t="shared" si="35"/>
        <v>0</v>
      </c>
      <c r="BX75">
        <f t="shared" si="36"/>
        <v>0</v>
      </c>
    </row>
    <row r="76" spans="58:76" x14ac:dyDescent="0.2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39">
        <f t="shared" si="21"/>
        <v>0</v>
      </c>
      <c r="BI76" s="1">
        <f t="shared" si="21"/>
        <v>0</v>
      </c>
      <c r="BJ76" s="1">
        <f t="shared" si="22"/>
        <v>0</v>
      </c>
      <c r="BK76" s="1">
        <f t="shared" si="28"/>
        <v>0</v>
      </c>
      <c r="BL76" s="1">
        <f t="shared" si="23"/>
        <v>0</v>
      </c>
      <c r="BM76" s="10" t="str">
        <f t="shared" si="24"/>
        <v/>
      </c>
      <c r="BN76" s="39">
        <f t="shared" si="29"/>
        <v>0</v>
      </c>
      <c r="BO76" s="39">
        <f t="shared" si="30"/>
        <v>0</v>
      </c>
      <c r="BP76" s="1">
        <f t="shared" si="25"/>
        <v>0</v>
      </c>
      <c r="BQ76" s="1">
        <f t="shared" si="31"/>
        <v>0</v>
      </c>
      <c r="BR76" s="1" t="str">
        <f t="shared" si="26"/>
        <v/>
      </c>
      <c r="BS76" s="1">
        <f t="shared" si="27"/>
        <v>0</v>
      </c>
      <c r="BT76" s="4">
        <f t="shared" si="32"/>
        <v>0</v>
      </c>
      <c r="BU76" s="39">
        <f t="shared" si="33"/>
        <v>0</v>
      </c>
      <c r="BV76" s="1">
        <f t="shared" si="34"/>
        <v>0</v>
      </c>
      <c r="BW76">
        <f t="shared" si="35"/>
        <v>0</v>
      </c>
      <c r="BX76">
        <f t="shared" si="36"/>
        <v>0</v>
      </c>
    </row>
    <row r="77" spans="58:76" x14ac:dyDescent="0.2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39">
        <f t="shared" si="21"/>
        <v>0</v>
      </c>
      <c r="BI77" s="1">
        <f t="shared" si="21"/>
        <v>0</v>
      </c>
      <c r="BJ77" s="1">
        <f t="shared" si="22"/>
        <v>0</v>
      </c>
      <c r="BK77" s="1">
        <f t="shared" si="28"/>
        <v>0</v>
      </c>
      <c r="BL77" s="1">
        <f t="shared" si="23"/>
        <v>0</v>
      </c>
      <c r="BM77" s="10" t="str">
        <f t="shared" si="24"/>
        <v/>
      </c>
      <c r="BN77" s="39">
        <f t="shared" si="29"/>
        <v>0</v>
      </c>
      <c r="BO77" s="39">
        <f t="shared" si="30"/>
        <v>0</v>
      </c>
      <c r="BP77" s="1">
        <f t="shared" si="25"/>
        <v>0</v>
      </c>
      <c r="BQ77" s="1">
        <f t="shared" si="31"/>
        <v>0</v>
      </c>
      <c r="BR77" s="1" t="str">
        <f t="shared" si="26"/>
        <v/>
      </c>
      <c r="BS77" s="1">
        <f t="shared" si="27"/>
        <v>0</v>
      </c>
      <c r="BT77" s="4">
        <f t="shared" si="32"/>
        <v>0</v>
      </c>
      <c r="BU77" s="39">
        <f t="shared" si="33"/>
        <v>0</v>
      </c>
      <c r="BV77" s="1">
        <f t="shared" si="34"/>
        <v>0</v>
      </c>
      <c r="BW77">
        <f t="shared" si="35"/>
        <v>0</v>
      </c>
      <c r="BX77">
        <f t="shared" si="36"/>
        <v>0</v>
      </c>
    </row>
    <row r="78" spans="58:76" x14ac:dyDescent="0.2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39">
        <f t="shared" si="21"/>
        <v>0</v>
      </c>
      <c r="BI78" s="1">
        <f t="shared" si="21"/>
        <v>0</v>
      </c>
      <c r="BJ78" s="1">
        <f t="shared" si="22"/>
        <v>0</v>
      </c>
      <c r="BK78" s="1">
        <f t="shared" si="28"/>
        <v>0</v>
      </c>
      <c r="BL78" s="1">
        <f t="shared" si="23"/>
        <v>0</v>
      </c>
      <c r="BM78" s="10" t="str">
        <f t="shared" si="24"/>
        <v/>
      </c>
      <c r="BN78" s="39">
        <f t="shared" si="29"/>
        <v>0</v>
      </c>
      <c r="BO78" s="39">
        <f t="shared" si="30"/>
        <v>0</v>
      </c>
      <c r="BP78" s="1">
        <f t="shared" si="25"/>
        <v>0</v>
      </c>
      <c r="BQ78" s="1">
        <f t="shared" si="31"/>
        <v>0</v>
      </c>
      <c r="BR78" s="1" t="str">
        <f t="shared" si="26"/>
        <v/>
      </c>
      <c r="BS78" s="1">
        <f t="shared" si="27"/>
        <v>0</v>
      </c>
      <c r="BT78" s="4">
        <f t="shared" si="32"/>
        <v>0</v>
      </c>
      <c r="BU78" s="39">
        <f t="shared" si="33"/>
        <v>0</v>
      </c>
      <c r="BV78" s="1">
        <f t="shared" si="34"/>
        <v>0</v>
      </c>
      <c r="BW78">
        <f t="shared" si="35"/>
        <v>0</v>
      </c>
      <c r="BX78">
        <f t="shared" si="36"/>
        <v>0</v>
      </c>
    </row>
    <row r="79" spans="58:76" x14ac:dyDescent="0.2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39">
        <f t="shared" si="21"/>
        <v>0</v>
      </c>
      <c r="BI79" s="1">
        <f t="shared" si="21"/>
        <v>0</v>
      </c>
      <c r="BJ79" s="1">
        <f t="shared" si="22"/>
        <v>0</v>
      </c>
      <c r="BK79" s="1">
        <f t="shared" si="28"/>
        <v>0</v>
      </c>
      <c r="BL79" s="1">
        <f t="shared" si="23"/>
        <v>0</v>
      </c>
      <c r="BM79" s="10" t="str">
        <f t="shared" si="24"/>
        <v/>
      </c>
      <c r="BN79" s="39">
        <f t="shared" si="29"/>
        <v>0</v>
      </c>
      <c r="BO79" s="39">
        <f t="shared" si="30"/>
        <v>0</v>
      </c>
      <c r="BP79" s="1">
        <f t="shared" si="25"/>
        <v>0</v>
      </c>
      <c r="BQ79" s="1">
        <f t="shared" si="31"/>
        <v>0</v>
      </c>
      <c r="BR79" s="1" t="str">
        <f t="shared" si="26"/>
        <v/>
      </c>
      <c r="BS79" s="1">
        <f t="shared" si="27"/>
        <v>0</v>
      </c>
      <c r="BT79" s="4">
        <f t="shared" si="32"/>
        <v>0</v>
      </c>
      <c r="BU79" s="39">
        <f t="shared" si="33"/>
        <v>0</v>
      </c>
      <c r="BV79" s="1">
        <f t="shared" si="34"/>
        <v>0</v>
      </c>
      <c r="BW79">
        <f t="shared" si="35"/>
        <v>0</v>
      </c>
      <c r="BX79">
        <f t="shared" si="36"/>
        <v>0</v>
      </c>
    </row>
    <row r="80" spans="58:76" x14ac:dyDescent="0.2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39">
        <f t="shared" si="21"/>
        <v>0</v>
      </c>
      <c r="BI80" s="1">
        <f t="shared" si="21"/>
        <v>0</v>
      </c>
      <c r="BJ80" s="1">
        <f t="shared" si="22"/>
        <v>0</v>
      </c>
      <c r="BK80" s="1">
        <f t="shared" si="28"/>
        <v>0</v>
      </c>
      <c r="BL80" s="1">
        <f t="shared" si="23"/>
        <v>0</v>
      </c>
      <c r="BM80" s="10" t="str">
        <f t="shared" si="24"/>
        <v/>
      </c>
      <c r="BN80" s="39">
        <f t="shared" si="29"/>
        <v>0</v>
      </c>
      <c r="BO80" s="39">
        <f t="shared" si="30"/>
        <v>0</v>
      </c>
      <c r="BP80" s="1">
        <f t="shared" si="25"/>
        <v>0</v>
      </c>
      <c r="BQ80" s="1">
        <f t="shared" si="31"/>
        <v>0</v>
      </c>
      <c r="BR80" s="1" t="str">
        <f t="shared" si="26"/>
        <v/>
      </c>
      <c r="BS80" s="1">
        <f t="shared" si="27"/>
        <v>0</v>
      </c>
      <c r="BT80" s="4">
        <f t="shared" si="32"/>
        <v>0</v>
      </c>
      <c r="BU80" s="39">
        <f t="shared" si="33"/>
        <v>0</v>
      </c>
      <c r="BV80" s="1">
        <f t="shared" si="34"/>
        <v>0</v>
      </c>
      <c r="BW80">
        <f t="shared" si="35"/>
        <v>0</v>
      </c>
      <c r="BX80">
        <f t="shared" si="36"/>
        <v>0</v>
      </c>
    </row>
    <row r="81" spans="58:76" x14ac:dyDescent="0.2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39">
        <f t="shared" si="21"/>
        <v>0</v>
      </c>
      <c r="BI81" s="1">
        <f t="shared" si="21"/>
        <v>0</v>
      </c>
      <c r="BJ81" s="1">
        <f t="shared" si="22"/>
        <v>0</v>
      </c>
      <c r="BK81" s="1">
        <f t="shared" si="28"/>
        <v>0</v>
      </c>
      <c r="BL81" s="1">
        <f t="shared" si="23"/>
        <v>0</v>
      </c>
      <c r="BM81" s="10" t="str">
        <f t="shared" si="24"/>
        <v/>
      </c>
      <c r="BN81" s="39">
        <f t="shared" si="29"/>
        <v>0</v>
      </c>
      <c r="BO81" s="39">
        <f t="shared" si="30"/>
        <v>0</v>
      </c>
      <c r="BP81" s="1">
        <f t="shared" si="25"/>
        <v>0</v>
      </c>
      <c r="BQ81" s="1">
        <f t="shared" si="31"/>
        <v>0</v>
      </c>
      <c r="BR81" s="1" t="str">
        <f t="shared" si="26"/>
        <v/>
      </c>
      <c r="BS81" s="1">
        <f t="shared" si="27"/>
        <v>0</v>
      </c>
      <c r="BT81" s="4">
        <f t="shared" si="32"/>
        <v>0</v>
      </c>
      <c r="BU81" s="39">
        <f t="shared" si="33"/>
        <v>0</v>
      </c>
      <c r="BV81" s="1">
        <f t="shared" si="34"/>
        <v>0</v>
      </c>
      <c r="BW81">
        <f t="shared" si="35"/>
        <v>0</v>
      </c>
      <c r="BX81">
        <f t="shared" si="36"/>
        <v>0</v>
      </c>
    </row>
    <row r="82" spans="58:76" x14ac:dyDescent="0.2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39">
        <f t="shared" si="21"/>
        <v>0</v>
      </c>
      <c r="BI82" s="1">
        <f t="shared" si="21"/>
        <v>0</v>
      </c>
      <c r="BJ82" s="1">
        <f t="shared" si="22"/>
        <v>0</v>
      </c>
      <c r="BK82" s="1">
        <f t="shared" si="28"/>
        <v>0</v>
      </c>
      <c r="BL82" s="1">
        <f t="shared" si="23"/>
        <v>0</v>
      </c>
      <c r="BM82" s="10" t="str">
        <f t="shared" si="24"/>
        <v/>
      </c>
      <c r="BN82" s="39">
        <f t="shared" si="29"/>
        <v>0</v>
      </c>
      <c r="BO82" s="39">
        <f t="shared" si="30"/>
        <v>0</v>
      </c>
      <c r="BP82" s="1">
        <f t="shared" si="25"/>
        <v>0</v>
      </c>
      <c r="BQ82" s="1">
        <f t="shared" si="31"/>
        <v>0</v>
      </c>
      <c r="BR82" s="1" t="str">
        <f t="shared" si="26"/>
        <v/>
      </c>
      <c r="BS82" s="1">
        <f t="shared" si="27"/>
        <v>0</v>
      </c>
      <c r="BT82" s="4">
        <f t="shared" si="32"/>
        <v>0</v>
      </c>
      <c r="BU82" s="39">
        <f t="shared" si="33"/>
        <v>0</v>
      </c>
      <c r="BV82" s="1">
        <f t="shared" si="34"/>
        <v>0</v>
      </c>
      <c r="BW82">
        <f t="shared" si="35"/>
        <v>0</v>
      </c>
      <c r="BX82">
        <f t="shared" si="36"/>
        <v>0</v>
      </c>
    </row>
    <row r="83" spans="58:76" x14ac:dyDescent="0.2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39">
        <f t="shared" si="21"/>
        <v>0</v>
      </c>
      <c r="BI83" s="1">
        <f t="shared" si="21"/>
        <v>0</v>
      </c>
      <c r="BJ83" s="1">
        <f t="shared" si="22"/>
        <v>0</v>
      </c>
      <c r="BK83" s="1">
        <f t="shared" si="28"/>
        <v>0</v>
      </c>
      <c r="BL83" s="1">
        <f t="shared" si="23"/>
        <v>0</v>
      </c>
      <c r="BM83" s="10" t="str">
        <f t="shared" si="24"/>
        <v/>
      </c>
      <c r="BN83" s="39">
        <f t="shared" si="29"/>
        <v>0</v>
      </c>
      <c r="BO83" s="39">
        <f t="shared" si="30"/>
        <v>0</v>
      </c>
      <c r="BP83" s="1">
        <f t="shared" si="25"/>
        <v>0</v>
      </c>
      <c r="BQ83" s="1">
        <f t="shared" si="31"/>
        <v>0</v>
      </c>
      <c r="BR83" s="1" t="str">
        <f t="shared" si="26"/>
        <v/>
      </c>
      <c r="BS83" s="1">
        <f t="shared" si="27"/>
        <v>0</v>
      </c>
      <c r="BT83" s="4">
        <f t="shared" si="32"/>
        <v>0</v>
      </c>
      <c r="BU83" s="39">
        <f t="shared" si="33"/>
        <v>0</v>
      </c>
      <c r="BV83" s="1">
        <f t="shared" si="34"/>
        <v>0</v>
      </c>
      <c r="BW83">
        <f t="shared" si="35"/>
        <v>0</v>
      </c>
      <c r="BX83">
        <f t="shared" si="36"/>
        <v>0</v>
      </c>
    </row>
    <row r="84" spans="58:76" x14ac:dyDescent="0.2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39">
        <f t="shared" si="21"/>
        <v>0</v>
      </c>
      <c r="BI84" s="1">
        <f t="shared" si="21"/>
        <v>0</v>
      </c>
      <c r="BJ84" s="1">
        <f t="shared" si="22"/>
        <v>0</v>
      </c>
      <c r="BK84" s="1">
        <f t="shared" si="28"/>
        <v>0</v>
      </c>
      <c r="BL84" s="1">
        <f t="shared" si="23"/>
        <v>0</v>
      </c>
      <c r="BM84" s="10" t="str">
        <f t="shared" si="24"/>
        <v/>
      </c>
      <c r="BN84" s="39">
        <f t="shared" si="29"/>
        <v>0</v>
      </c>
      <c r="BO84" s="39">
        <f t="shared" si="30"/>
        <v>0</v>
      </c>
      <c r="BP84" s="1">
        <f t="shared" si="25"/>
        <v>0</v>
      </c>
      <c r="BQ84" s="1">
        <f t="shared" si="31"/>
        <v>0</v>
      </c>
      <c r="BR84" s="1" t="str">
        <f t="shared" si="26"/>
        <v/>
      </c>
      <c r="BS84" s="1">
        <f t="shared" si="27"/>
        <v>0</v>
      </c>
      <c r="BT84" s="4">
        <f t="shared" si="32"/>
        <v>0</v>
      </c>
      <c r="BU84" s="39">
        <f t="shared" si="33"/>
        <v>0</v>
      </c>
      <c r="BV84" s="1">
        <f t="shared" si="34"/>
        <v>0</v>
      </c>
      <c r="BW84">
        <f t="shared" si="35"/>
        <v>0</v>
      </c>
      <c r="BX84">
        <f t="shared" si="36"/>
        <v>0</v>
      </c>
    </row>
    <row r="85" spans="58:76" x14ac:dyDescent="0.2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39">
        <f t="shared" si="21"/>
        <v>0</v>
      </c>
      <c r="BI85" s="1">
        <f t="shared" si="21"/>
        <v>0</v>
      </c>
      <c r="BJ85" s="1">
        <f t="shared" si="22"/>
        <v>0</v>
      </c>
      <c r="BK85" s="1">
        <f t="shared" si="28"/>
        <v>0</v>
      </c>
      <c r="BL85" s="1">
        <f t="shared" si="23"/>
        <v>0</v>
      </c>
      <c r="BM85" s="10" t="str">
        <f t="shared" si="24"/>
        <v/>
      </c>
      <c r="BN85" s="39">
        <f t="shared" si="29"/>
        <v>0</v>
      </c>
      <c r="BO85" s="39">
        <f t="shared" si="30"/>
        <v>0</v>
      </c>
      <c r="BP85" s="1">
        <f t="shared" si="25"/>
        <v>0</v>
      </c>
      <c r="BQ85" s="1">
        <f t="shared" si="31"/>
        <v>0</v>
      </c>
      <c r="BR85" s="1" t="str">
        <f t="shared" si="26"/>
        <v/>
      </c>
      <c r="BS85" s="1">
        <f t="shared" si="27"/>
        <v>0</v>
      </c>
      <c r="BT85" s="4">
        <f t="shared" si="32"/>
        <v>0</v>
      </c>
      <c r="BU85" s="39">
        <f t="shared" si="33"/>
        <v>0</v>
      </c>
      <c r="BV85" s="1">
        <f t="shared" si="34"/>
        <v>0</v>
      </c>
      <c r="BW85">
        <f t="shared" si="35"/>
        <v>0</v>
      </c>
      <c r="BX85">
        <f t="shared" si="36"/>
        <v>0</v>
      </c>
    </row>
    <row r="86" spans="58:76" x14ac:dyDescent="0.2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39">
        <f t="shared" si="21"/>
        <v>0</v>
      </c>
      <c r="BI86" s="1">
        <f t="shared" si="21"/>
        <v>0</v>
      </c>
      <c r="BJ86" s="1">
        <f t="shared" si="22"/>
        <v>0</v>
      </c>
      <c r="BK86" s="1">
        <f t="shared" si="28"/>
        <v>0</v>
      </c>
      <c r="BL86" s="1">
        <f t="shared" si="23"/>
        <v>0</v>
      </c>
      <c r="BM86" s="10" t="str">
        <f t="shared" si="24"/>
        <v/>
      </c>
      <c r="BN86" s="39">
        <f t="shared" si="29"/>
        <v>0</v>
      </c>
      <c r="BO86" s="39">
        <f t="shared" si="30"/>
        <v>0</v>
      </c>
      <c r="BP86" s="1">
        <f t="shared" si="25"/>
        <v>0</v>
      </c>
      <c r="BQ86" s="1">
        <f t="shared" si="31"/>
        <v>0</v>
      </c>
      <c r="BR86" s="1" t="str">
        <f t="shared" si="26"/>
        <v/>
      </c>
      <c r="BS86" s="1">
        <f t="shared" si="27"/>
        <v>0</v>
      </c>
      <c r="BT86" s="4">
        <f t="shared" si="32"/>
        <v>0</v>
      </c>
      <c r="BU86" s="39">
        <f t="shared" si="33"/>
        <v>0</v>
      </c>
      <c r="BV86" s="1">
        <f t="shared" si="34"/>
        <v>0</v>
      </c>
      <c r="BW86">
        <f t="shared" si="35"/>
        <v>0</v>
      </c>
      <c r="BX86">
        <f t="shared" si="36"/>
        <v>0</v>
      </c>
    </row>
    <row r="87" spans="58:76" x14ac:dyDescent="0.2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39">
        <f t="shared" si="21"/>
        <v>0</v>
      </c>
      <c r="BI87" s="1">
        <f t="shared" si="21"/>
        <v>0</v>
      </c>
      <c r="BJ87" s="1">
        <f t="shared" si="22"/>
        <v>0</v>
      </c>
      <c r="BK87" s="1">
        <f t="shared" si="28"/>
        <v>0</v>
      </c>
      <c r="BL87" s="1">
        <f t="shared" si="23"/>
        <v>0</v>
      </c>
      <c r="BM87" s="10" t="str">
        <f t="shared" si="24"/>
        <v/>
      </c>
      <c r="BN87" s="39">
        <f t="shared" si="29"/>
        <v>0</v>
      </c>
      <c r="BO87" s="39">
        <f t="shared" si="30"/>
        <v>0</v>
      </c>
      <c r="BP87" s="1">
        <f t="shared" si="25"/>
        <v>0</v>
      </c>
      <c r="BQ87" s="1">
        <f t="shared" si="31"/>
        <v>0</v>
      </c>
      <c r="BR87" s="1" t="str">
        <f t="shared" si="26"/>
        <v/>
      </c>
      <c r="BS87" s="1">
        <f t="shared" si="27"/>
        <v>0</v>
      </c>
      <c r="BT87" s="4">
        <f t="shared" si="32"/>
        <v>0</v>
      </c>
      <c r="BU87" s="39">
        <f t="shared" si="33"/>
        <v>0</v>
      </c>
      <c r="BV87" s="1">
        <f t="shared" si="34"/>
        <v>0</v>
      </c>
      <c r="BW87">
        <f t="shared" si="35"/>
        <v>0</v>
      </c>
      <c r="BX87">
        <f t="shared" si="36"/>
        <v>0</v>
      </c>
    </row>
    <row r="88" spans="58:76" x14ac:dyDescent="0.2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39">
        <f t="shared" si="21"/>
        <v>0</v>
      </c>
      <c r="BI88" s="1">
        <f t="shared" si="21"/>
        <v>0</v>
      </c>
      <c r="BJ88" s="1">
        <f t="shared" si="22"/>
        <v>0</v>
      </c>
      <c r="BK88" s="1">
        <f t="shared" si="28"/>
        <v>0</v>
      </c>
      <c r="BL88" s="1">
        <f t="shared" si="23"/>
        <v>0</v>
      </c>
      <c r="BM88" s="10" t="str">
        <f t="shared" si="24"/>
        <v/>
      </c>
      <c r="BN88" s="39">
        <f t="shared" si="29"/>
        <v>0</v>
      </c>
      <c r="BO88" s="39">
        <f t="shared" si="30"/>
        <v>0</v>
      </c>
      <c r="BP88" s="1">
        <f t="shared" si="25"/>
        <v>0</v>
      </c>
      <c r="BQ88" s="1">
        <f t="shared" si="31"/>
        <v>0</v>
      </c>
      <c r="BR88" s="1" t="str">
        <f t="shared" si="26"/>
        <v/>
      </c>
      <c r="BS88" s="1">
        <f t="shared" si="27"/>
        <v>0</v>
      </c>
      <c r="BT88" s="4">
        <f t="shared" si="32"/>
        <v>0</v>
      </c>
      <c r="BU88" s="39">
        <f t="shared" si="33"/>
        <v>0</v>
      </c>
      <c r="BV88" s="1">
        <f t="shared" si="34"/>
        <v>0</v>
      </c>
      <c r="BW88">
        <f t="shared" si="35"/>
        <v>0</v>
      </c>
      <c r="BX88">
        <f t="shared" si="36"/>
        <v>0</v>
      </c>
    </row>
    <row r="89" spans="58:76" x14ac:dyDescent="0.2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39">
        <f t="shared" si="21"/>
        <v>0</v>
      </c>
      <c r="BI89" s="1">
        <f t="shared" si="21"/>
        <v>0</v>
      </c>
      <c r="BJ89" s="1">
        <f t="shared" si="22"/>
        <v>0</v>
      </c>
      <c r="BK89" s="1">
        <f t="shared" si="28"/>
        <v>0</v>
      </c>
      <c r="BL89" s="1">
        <f t="shared" si="23"/>
        <v>0</v>
      </c>
      <c r="BM89" s="10" t="str">
        <f t="shared" si="24"/>
        <v/>
      </c>
      <c r="BN89" s="39">
        <f t="shared" si="29"/>
        <v>0</v>
      </c>
      <c r="BO89" s="39">
        <f t="shared" si="30"/>
        <v>0</v>
      </c>
      <c r="BP89" s="1">
        <f t="shared" si="25"/>
        <v>0</v>
      </c>
      <c r="BQ89" s="1">
        <f t="shared" si="31"/>
        <v>0</v>
      </c>
      <c r="BR89" s="1" t="str">
        <f t="shared" si="26"/>
        <v/>
      </c>
      <c r="BS89" s="1">
        <f t="shared" si="27"/>
        <v>0</v>
      </c>
      <c r="BT89" s="4">
        <f t="shared" si="32"/>
        <v>0</v>
      </c>
      <c r="BU89" s="39">
        <f t="shared" si="33"/>
        <v>0</v>
      </c>
      <c r="BV89" s="1">
        <f t="shared" si="34"/>
        <v>0</v>
      </c>
      <c r="BW89">
        <f t="shared" si="35"/>
        <v>0</v>
      </c>
      <c r="BX89">
        <f t="shared" si="36"/>
        <v>0</v>
      </c>
    </row>
    <row r="90" spans="58:76" x14ac:dyDescent="0.2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39">
        <f t="shared" si="21"/>
        <v>0</v>
      </c>
      <c r="BI90" s="1">
        <f t="shared" si="21"/>
        <v>0</v>
      </c>
      <c r="BJ90" s="1">
        <f t="shared" si="22"/>
        <v>0</v>
      </c>
      <c r="BK90" s="1">
        <f t="shared" si="28"/>
        <v>0</v>
      </c>
      <c r="BL90" s="1">
        <f t="shared" si="23"/>
        <v>0</v>
      </c>
      <c r="BM90" s="10" t="str">
        <f t="shared" si="24"/>
        <v/>
      </c>
      <c r="BN90" s="39">
        <f t="shared" si="29"/>
        <v>0</v>
      </c>
      <c r="BO90" s="39">
        <f t="shared" si="30"/>
        <v>0</v>
      </c>
      <c r="BP90" s="1">
        <f t="shared" si="25"/>
        <v>0</v>
      </c>
      <c r="BQ90" s="1">
        <f t="shared" si="31"/>
        <v>0</v>
      </c>
      <c r="BR90" s="1" t="str">
        <f t="shared" si="26"/>
        <v/>
      </c>
      <c r="BS90" s="1">
        <f t="shared" si="27"/>
        <v>0</v>
      </c>
      <c r="BT90" s="4">
        <f t="shared" si="32"/>
        <v>0</v>
      </c>
      <c r="BU90" s="39">
        <f t="shared" si="33"/>
        <v>0</v>
      </c>
      <c r="BV90" s="1">
        <f t="shared" si="34"/>
        <v>0</v>
      </c>
      <c r="BW90">
        <f t="shared" si="35"/>
        <v>0</v>
      </c>
      <c r="BX90">
        <f t="shared" si="36"/>
        <v>0</v>
      </c>
    </row>
    <row r="91" spans="58:76" x14ac:dyDescent="0.2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39">
        <f t="shared" si="21"/>
        <v>0</v>
      </c>
      <c r="BI91" s="1">
        <f t="shared" si="21"/>
        <v>0</v>
      </c>
      <c r="BJ91" s="1">
        <f t="shared" si="22"/>
        <v>0</v>
      </c>
      <c r="BK91" s="1">
        <f t="shared" si="28"/>
        <v>0</v>
      </c>
      <c r="BL91" s="1">
        <f t="shared" si="23"/>
        <v>0</v>
      </c>
      <c r="BM91" s="10" t="str">
        <f t="shared" si="24"/>
        <v/>
      </c>
      <c r="BN91" s="39">
        <f t="shared" si="29"/>
        <v>0</v>
      </c>
      <c r="BO91" s="39">
        <f t="shared" si="30"/>
        <v>0</v>
      </c>
      <c r="BP91" s="1">
        <f t="shared" si="25"/>
        <v>0</v>
      </c>
      <c r="BQ91" s="1">
        <f t="shared" si="31"/>
        <v>0</v>
      </c>
      <c r="BR91" s="1" t="str">
        <f t="shared" si="26"/>
        <v/>
      </c>
      <c r="BS91" s="1">
        <f t="shared" si="27"/>
        <v>0</v>
      </c>
      <c r="BT91" s="4">
        <f t="shared" si="32"/>
        <v>0</v>
      </c>
      <c r="BU91" s="39">
        <f t="shared" si="33"/>
        <v>0</v>
      </c>
      <c r="BV91" s="1">
        <f t="shared" si="34"/>
        <v>0</v>
      </c>
      <c r="BW91">
        <f t="shared" si="35"/>
        <v>0</v>
      </c>
      <c r="BX91">
        <f t="shared" si="36"/>
        <v>0</v>
      </c>
    </row>
    <row r="92" spans="58:76" x14ac:dyDescent="0.2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39">
        <f t="shared" si="21"/>
        <v>0</v>
      </c>
      <c r="BI92" s="1">
        <f t="shared" si="21"/>
        <v>0</v>
      </c>
      <c r="BJ92" s="1">
        <f t="shared" si="22"/>
        <v>0</v>
      </c>
      <c r="BK92" s="1">
        <f t="shared" si="28"/>
        <v>0</v>
      </c>
      <c r="BL92" s="1">
        <f t="shared" si="23"/>
        <v>0</v>
      </c>
      <c r="BM92" s="10" t="str">
        <f t="shared" si="24"/>
        <v/>
      </c>
      <c r="BN92" s="39">
        <f t="shared" si="29"/>
        <v>0</v>
      </c>
      <c r="BO92" s="39">
        <f t="shared" si="30"/>
        <v>0</v>
      </c>
      <c r="BP92" s="1">
        <f t="shared" si="25"/>
        <v>0</v>
      </c>
      <c r="BQ92" s="1">
        <f t="shared" si="31"/>
        <v>0</v>
      </c>
      <c r="BR92" s="1" t="str">
        <f t="shared" si="26"/>
        <v/>
      </c>
      <c r="BS92" s="1">
        <f t="shared" si="27"/>
        <v>0</v>
      </c>
      <c r="BT92" s="4">
        <f t="shared" si="32"/>
        <v>0</v>
      </c>
      <c r="BU92" s="39">
        <f t="shared" si="33"/>
        <v>0</v>
      </c>
      <c r="BV92" s="1">
        <f t="shared" si="34"/>
        <v>0</v>
      </c>
      <c r="BW92">
        <f t="shared" si="35"/>
        <v>0</v>
      </c>
      <c r="BX92">
        <f t="shared" si="36"/>
        <v>0</v>
      </c>
    </row>
    <row r="93" spans="58:76" x14ac:dyDescent="0.2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39">
        <f t="shared" si="21"/>
        <v>0</v>
      </c>
      <c r="BI93" s="1">
        <f t="shared" si="21"/>
        <v>0</v>
      </c>
      <c r="BJ93" s="1">
        <f t="shared" si="22"/>
        <v>0</v>
      </c>
      <c r="BK93" s="1">
        <f t="shared" si="28"/>
        <v>0</v>
      </c>
      <c r="BL93" s="1">
        <f t="shared" si="23"/>
        <v>0</v>
      </c>
      <c r="BM93" s="10" t="str">
        <f t="shared" si="24"/>
        <v/>
      </c>
      <c r="BN93" s="39">
        <f t="shared" si="29"/>
        <v>0</v>
      </c>
      <c r="BO93" s="39">
        <f t="shared" si="30"/>
        <v>0</v>
      </c>
      <c r="BP93" s="1">
        <f t="shared" si="25"/>
        <v>0</v>
      </c>
      <c r="BQ93" s="1">
        <f t="shared" si="31"/>
        <v>0</v>
      </c>
      <c r="BR93" s="1" t="str">
        <f t="shared" si="26"/>
        <v/>
      </c>
      <c r="BS93" s="1">
        <f t="shared" si="27"/>
        <v>0</v>
      </c>
      <c r="BT93" s="4">
        <f t="shared" si="32"/>
        <v>0</v>
      </c>
      <c r="BU93" s="39">
        <f t="shared" si="33"/>
        <v>0</v>
      </c>
      <c r="BV93" s="1">
        <f t="shared" si="34"/>
        <v>0</v>
      </c>
      <c r="BW93">
        <f t="shared" si="35"/>
        <v>0</v>
      </c>
      <c r="BX93">
        <f t="shared" si="36"/>
        <v>0</v>
      </c>
    </row>
    <row r="94" spans="58:76" x14ac:dyDescent="0.2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39">
        <f t="shared" si="21"/>
        <v>0</v>
      </c>
      <c r="BI94" s="1">
        <f t="shared" si="21"/>
        <v>0</v>
      </c>
      <c r="BJ94" s="1">
        <f t="shared" si="22"/>
        <v>0</v>
      </c>
      <c r="BK94" s="1">
        <f t="shared" si="28"/>
        <v>0</v>
      </c>
      <c r="BL94" s="1">
        <f t="shared" si="23"/>
        <v>0</v>
      </c>
      <c r="BM94" s="10" t="str">
        <f t="shared" si="24"/>
        <v/>
      </c>
      <c r="BN94" s="39">
        <f t="shared" si="29"/>
        <v>0</v>
      </c>
      <c r="BO94" s="39">
        <f t="shared" si="30"/>
        <v>0</v>
      </c>
      <c r="BP94" s="1">
        <f t="shared" si="25"/>
        <v>0</v>
      </c>
      <c r="BQ94" s="1">
        <f t="shared" si="31"/>
        <v>0</v>
      </c>
      <c r="BR94" s="1" t="str">
        <f t="shared" si="26"/>
        <v/>
      </c>
      <c r="BS94" s="1">
        <f t="shared" si="27"/>
        <v>0</v>
      </c>
      <c r="BT94" s="4">
        <f t="shared" si="32"/>
        <v>0</v>
      </c>
      <c r="BU94" s="39">
        <f t="shared" si="33"/>
        <v>0</v>
      </c>
      <c r="BV94" s="1">
        <f t="shared" si="34"/>
        <v>0</v>
      </c>
      <c r="BW94">
        <f t="shared" si="35"/>
        <v>0</v>
      </c>
      <c r="BX94">
        <f t="shared" si="36"/>
        <v>0</v>
      </c>
    </row>
    <row r="95" spans="58:76" x14ac:dyDescent="0.2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39">
        <f t="shared" si="21"/>
        <v>0</v>
      </c>
      <c r="BI95" s="1">
        <f t="shared" si="21"/>
        <v>0</v>
      </c>
      <c r="BJ95" s="1">
        <f t="shared" si="22"/>
        <v>0</v>
      </c>
      <c r="BK95" s="1">
        <f t="shared" si="28"/>
        <v>0</v>
      </c>
      <c r="BL95" s="1">
        <f t="shared" si="23"/>
        <v>0</v>
      </c>
      <c r="BM95" s="10" t="str">
        <f t="shared" si="24"/>
        <v/>
      </c>
      <c r="BN95" s="39">
        <f t="shared" si="29"/>
        <v>0</v>
      </c>
      <c r="BO95" s="39">
        <f t="shared" si="30"/>
        <v>0</v>
      </c>
      <c r="BP95" s="1">
        <f t="shared" si="25"/>
        <v>0</v>
      </c>
      <c r="BQ95" s="1">
        <f t="shared" si="31"/>
        <v>0</v>
      </c>
      <c r="BR95" s="1" t="str">
        <f t="shared" si="26"/>
        <v/>
      </c>
      <c r="BS95" s="1">
        <f t="shared" si="27"/>
        <v>0</v>
      </c>
      <c r="BT95" s="4">
        <f t="shared" si="32"/>
        <v>0</v>
      </c>
      <c r="BU95" s="39">
        <f t="shared" si="33"/>
        <v>0</v>
      </c>
      <c r="BV95" s="1">
        <f t="shared" si="34"/>
        <v>0</v>
      </c>
      <c r="BW95">
        <f t="shared" si="35"/>
        <v>0</v>
      </c>
      <c r="BX95">
        <f t="shared" si="36"/>
        <v>0</v>
      </c>
    </row>
    <row r="96" spans="58:76" x14ac:dyDescent="0.2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39">
        <f t="shared" si="21"/>
        <v>0</v>
      </c>
      <c r="BI96" s="1">
        <f t="shared" si="21"/>
        <v>0</v>
      </c>
      <c r="BJ96" s="1">
        <f t="shared" si="22"/>
        <v>0</v>
      </c>
      <c r="BK96" s="1">
        <f t="shared" si="28"/>
        <v>0</v>
      </c>
      <c r="BL96" s="1">
        <f t="shared" si="23"/>
        <v>0</v>
      </c>
      <c r="BM96" s="10" t="str">
        <f t="shared" si="24"/>
        <v/>
      </c>
      <c r="BN96" s="39">
        <f t="shared" si="29"/>
        <v>0</v>
      </c>
      <c r="BO96" s="39">
        <f t="shared" si="30"/>
        <v>0</v>
      </c>
      <c r="BP96" s="1">
        <f t="shared" si="25"/>
        <v>0</v>
      </c>
      <c r="BQ96" s="1">
        <f t="shared" si="31"/>
        <v>0</v>
      </c>
      <c r="BR96" s="1" t="str">
        <f t="shared" si="26"/>
        <v/>
      </c>
      <c r="BS96" s="1">
        <f t="shared" si="27"/>
        <v>0</v>
      </c>
      <c r="BT96" s="4">
        <f t="shared" si="32"/>
        <v>0</v>
      </c>
      <c r="BU96" s="39">
        <f t="shared" si="33"/>
        <v>0</v>
      </c>
      <c r="BV96" s="1">
        <f t="shared" si="34"/>
        <v>0</v>
      </c>
      <c r="BW96">
        <f t="shared" si="35"/>
        <v>0</v>
      </c>
      <c r="BX96">
        <f t="shared" si="36"/>
        <v>0</v>
      </c>
    </row>
    <row r="97" spans="58:76" x14ac:dyDescent="0.2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39">
        <f t="shared" si="21"/>
        <v>0</v>
      </c>
      <c r="BI97" s="1">
        <f t="shared" si="21"/>
        <v>0</v>
      </c>
      <c r="BJ97" s="1">
        <f t="shared" si="22"/>
        <v>0</v>
      </c>
      <c r="BK97" s="1">
        <f t="shared" si="28"/>
        <v>0</v>
      </c>
      <c r="BL97" s="1">
        <f t="shared" si="23"/>
        <v>0</v>
      </c>
      <c r="BM97" s="10" t="str">
        <f t="shared" si="24"/>
        <v/>
      </c>
      <c r="BN97" s="39">
        <f t="shared" si="29"/>
        <v>0</v>
      </c>
      <c r="BO97" s="39">
        <f t="shared" si="30"/>
        <v>0</v>
      </c>
      <c r="BP97" s="1">
        <f t="shared" si="25"/>
        <v>0</v>
      </c>
      <c r="BQ97" s="1">
        <f t="shared" si="31"/>
        <v>0</v>
      </c>
      <c r="BR97" s="1" t="str">
        <f t="shared" si="26"/>
        <v/>
      </c>
      <c r="BS97" s="1">
        <f t="shared" si="27"/>
        <v>0</v>
      </c>
      <c r="BT97" s="4">
        <f t="shared" si="32"/>
        <v>0</v>
      </c>
      <c r="BU97" s="39">
        <f t="shared" si="33"/>
        <v>0</v>
      </c>
      <c r="BV97" s="1">
        <f t="shared" si="34"/>
        <v>0</v>
      </c>
      <c r="BW97">
        <f t="shared" si="35"/>
        <v>0</v>
      </c>
      <c r="BX97">
        <f t="shared" si="36"/>
        <v>0</v>
      </c>
    </row>
    <row r="98" spans="58:76" x14ac:dyDescent="0.2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39">
        <f t="shared" ref="BH98:BI129" si="37">VALUE(T98)</f>
        <v>0</v>
      </c>
      <c r="BI98" s="1">
        <f t="shared" si="37"/>
        <v>0</v>
      </c>
      <c r="BJ98" s="1">
        <f t="shared" si="22"/>
        <v>0</v>
      </c>
      <c r="BK98" s="1">
        <f t="shared" si="28"/>
        <v>0</v>
      </c>
      <c r="BL98" s="1">
        <f t="shared" ref="BL98:BL129" si="38">L98</f>
        <v>0</v>
      </c>
      <c r="BM98" s="10" t="str">
        <f t="shared" ref="BM98:BM129" si="39">SUBSTITUTE(J98,"/",".")</f>
        <v/>
      </c>
      <c r="BN98" s="39">
        <f t="shared" si="29"/>
        <v>0</v>
      </c>
      <c r="BO98" s="39">
        <f t="shared" si="30"/>
        <v>0</v>
      </c>
      <c r="BP98" s="1">
        <f t="shared" si="25"/>
        <v>0</v>
      </c>
      <c r="BQ98" s="1">
        <f t="shared" si="31"/>
        <v>0</v>
      </c>
      <c r="BR98" s="1" t="str">
        <f t="shared" ref="BR98:BR129" si="40">SUBSTITUTE(O98,".","")</f>
        <v/>
      </c>
      <c r="BS98" s="1">
        <f t="shared" ref="BS98:BS129" si="41">S98</f>
        <v>0</v>
      </c>
      <c r="BT98" s="4">
        <f t="shared" si="32"/>
        <v>0</v>
      </c>
      <c r="BU98" s="39">
        <f t="shared" si="33"/>
        <v>0</v>
      </c>
      <c r="BV98" s="1">
        <f t="shared" si="34"/>
        <v>0</v>
      </c>
      <c r="BW98">
        <f t="shared" si="35"/>
        <v>0</v>
      </c>
      <c r="BX98">
        <f t="shared" si="36"/>
        <v>0</v>
      </c>
    </row>
    <row r="99" spans="58:76" x14ac:dyDescent="0.2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39">
        <f t="shared" si="37"/>
        <v>0</v>
      </c>
      <c r="BI99" s="1">
        <f t="shared" si="37"/>
        <v>0</v>
      </c>
      <c r="BJ99" s="1">
        <f t="shared" si="22"/>
        <v>0</v>
      </c>
      <c r="BK99" s="1">
        <f t="shared" si="28"/>
        <v>0</v>
      </c>
      <c r="BL99" s="1">
        <f t="shared" si="38"/>
        <v>0</v>
      </c>
      <c r="BM99" s="10" t="str">
        <f t="shared" si="39"/>
        <v/>
      </c>
      <c r="BN99" s="39">
        <f t="shared" si="29"/>
        <v>0</v>
      </c>
      <c r="BO99" s="39">
        <f t="shared" si="30"/>
        <v>0</v>
      </c>
      <c r="BP99" s="1">
        <f t="shared" si="25"/>
        <v>0</v>
      </c>
      <c r="BQ99" s="1">
        <f t="shared" si="31"/>
        <v>0</v>
      </c>
      <c r="BR99" s="1" t="str">
        <f t="shared" si="40"/>
        <v/>
      </c>
      <c r="BS99" s="1">
        <f t="shared" si="41"/>
        <v>0</v>
      </c>
      <c r="BT99" s="4">
        <f t="shared" si="32"/>
        <v>0</v>
      </c>
      <c r="BU99" s="39">
        <f t="shared" si="33"/>
        <v>0</v>
      </c>
      <c r="BV99" s="1">
        <f t="shared" si="34"/>
        <v>0</v>
      </c>
      <c r="BW99">
        <f t="shared" si="35"/>
        <v>0</v>
      </c>
      <c r="BX99">
        <f t="shared" si="36"/>
        <v>0</v>
      </c>
    </row>
    <row r="100" spans="58:76" x14ac:dyDescent="0.2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39">
        <f t="shared" si="37"/>
        <v>0</v>
      </c>
      <c r="BI100" s="1">
        <f t="shared" si="37"/>
        <v>0</v>
      </c>
      <c r="BJ100" s="1">
        <f t="shared" si="22"/>
        <v>0</v>
      </c>
      <c r="BK100" s="1">
        <f t="shared" si="28"/>
        <v>0</v>
      </c>
      <c r="BL100" s="1">
        <f t="shared" si="38"/>
        <v>0</v>
      </c>
      <c r="BM100" s="10" t="str">
        <f t="shared" si="39"/>
        <v/>
      </c>
      <c r="BN100" s="39">
        <f t="shared" si="29"/>
        <v>0</v>
      </c>
      <c r="BO100" s="39">
        <f t="shared" si="30"/>
        <v>0</v>
      </c>
      <c r="BP100" s="1">
        <f t="shared" si="25"/>
        <v>0</v>
      </c>
      <c r="BQ100" s="1">
        <f t="shared" si="31"/>
        <v>0</v>
      </c>
      <c r="BR100" s="1" t="str">
        <f t="shared" si="40"/>
        <v/>
      </c>
      <c r="BS100" s="1">
        <f t="shared" si="41"/>
        <v>0</v>
      </c>
      <c r="BT100" s="4">
        <f t="shared" si="32"/>
        <v>0</v>
      </c>
      <c r="BU100" s="39">
        <f t="shared" si="33"/>
        <v>0</v>
      </c>
      <c r="BV100" s="1">
        <f t="shared" si="34"/>
        <v>0</v>
      </c>
      <c r="BW100">
        <f t="shared" si="35"/>
        <v>0</v>
      </c>
      <c r="BX100">
        <f t="shared" si="36"/>
        <v>0</v>
      </c>
    </row>
    <row r="101" spans="58:76" x14ac:dyDescent="0.2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39">
        <f t="shared" si="37"/>
        <v>0</v>
      </c>
      <c r="BI101" s="1">
        <f t="shared" si="37"/>
        <v>0</v>
      </c>
      <c r="BJ101" s="1">
        <f t="shared" si="22"/>
        <v>0</v>
      </c>
      <c r="BK101" s="1">
        <f t="shared" si="28"/>
        <v>0</v>
      </c>
      <c r="BL101" s="1">
        <f t="shared" si="38"/>
        <v>0</v>
      </c>
      <c r="BM101" s="10" t="str">
        <f t="shared" si="39"/>
        <v/>
      </c>
      <c r="BN101" s="39">
        <f t="shared" si="29"/>
        <v>0</v>
      </c>
      <c r="BO101" s="39">
        <f t="shared" si="30"/>
        <v>0</v>
      </c>
      <c r="BP101" s="1">
        <f t="shared" si="25"/>
        <v>0</v>
      </c>
      <c r="BQ101" s="1">
        <f t="shared" si="31"/>
        <v>0</v>
      </c>
      <c r="BR101" s="1" t="str">
        <f t="shared" si="40"/>
        <v/>
      </c>
      <c r="BS101" s="1">
        <f t="shared" si="41"/>
        <v>0</v>
      </c>
      <c r="BT101" s="4">
        <f t="shared" si="32"/>
        <v>0</v>
      </c>
      <c r="BU101" s="39">
        <f t="shared" si="33"/>
        <v>0</v>
      </c>
      <c r="BV101" s="1">
        <f t="shared" si="34"/>
        <v>0</v>
      </c>
      <c r="BW101">
        <f t="shared" si="35"/>
        <v>0</v>
      </c>
      <c r="BX101">
        <f t="shared" si="36"/>
        <v>0</v>
      </c>
    </row>
    <row r="102" spans="58:76" x14ac:dyDescent="0.2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39">
        <f t="shared" si="37"/>
        <v>0</v>
      </c>
      <c r="BI102" s="1">
        <f t="shared" si="37"/>
        <v>0</v>
      </c>
      <c r="BJ102" s="1">
        <f t="shared" si="22"/>
        <v>0</v>
      </c>
      <c r="BK102" s="1">
        <f t="shared" si="28"/>
        <v>0</v>
      </c>
      <c r="BL102" s="1">
        <f t="shared" si="38"/>
        <v>0</v>
      </c>
      <c r="BM102" s="10" t="str">
        <f t="shared" si="39"/>
        <v/>
      </c>
      <c r="BN102" s="39">
        <f t="shared" si="29"/>
        <v>0</v>
      </c>
      <c r="BO102" s="39">
        <f t="shared" si="30"/>
        <v>0</v>
      </c>
      <c r="BP102" s="1">
        <f t="shared" si="25"/>
        <v>0</v>
      </c>
      <c r="BQ102" s="1">
        <f t="shared" si="31"/>
        <v>0</v>
      </c>
      <c r="BR102" s="1" t="str">
        <f t="shared" si="40"/>
        <v/>
      </c>
      <c r="BS102" s="1">
        <f t="shared" si="41"/>
        <v>0</v>
      </c>
      <c r="BT102" s="4">
        <f t="shared" si="32"/>
        <v>0</v>
      </c>
      <c r="BU102" s="39">
        <f t="shared" si="33"/>
        <v>0</v>
      </c>
      <c r="BV102" s="1">
        <f t="shared" si="34"/>
        <v>0</v>
      </c>
      <c r="BW102">
        <f t="shared" si="35"/>
        <v>0</v>
      </c>
      <c r="BX102">
        <f t="shared" si="36"/>
        <v>0</v>
      </c>
    </row>
    <row r="103" spans="58:76" x14ac:dyDescent="0.2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39">
        <f t="shared" si="37"/>
        <v>0</v>
      </c>
      <c r="BI103" s="1">
        <f t="shared" si="37"/>
        <v>0</v>
      </c>
      <c r="BJ103" s="1">
        <f t="shared" si="22"/>
        <v>0</v>
      </c>
      <c r="BK103" s="1">
        <f t="shared" si="28"/>
        <v>0</v>
      </c>
      <c r="BL103" s="1">
        <f t="shared" si="38"/>
        <v>0</v>
      </c>
      <c r="BM103" s="10" t="str">
        <f t="shared" si="39"/>
        <v/>
      </c>
      <c r="BN103" s="39">
        <f t="shared" si="29"/>
        <v>0</v>
      </c>
      <c r="BO103" s="39">
        <f t="shared" si="30"/>
        <v>0</v>
      </c>
      <c r="BP103" s="1">
        <f t="shared" si="25"/>
        <v>0</v>
      </c>
      <c r="BQ103" s="1">
        <f t="shared" si="31"/>
        <v>0</v>
      </c>
      <c r="BR103" s="1" t="str">
        <f t="shared" si="40"/>
        <v/>
      </c>
      <c r="BS103" s="1">
        <f t="shared" si="41"/>
        <v>0</v>
      </c>
      <c r="BT103" s="4">
        <f t="shared" si="32"/>
        <v>0</v>
      </c>
      <c r="BU103" s="39">
        <f t="shared" si="33"/>
        <v>0</v>
      </c>
      <c r="BV103" s="1">
        <f t="shared" si="34"/>
        <v>0</v>
      </c>
      <c r="BW103">
        <f t="shared" si="35"/>
        <v>0</v>
      </c>
      <c r="BX103">
        <f t="shared" si="36"/>
        <v>0</v>
      </c>
    </row>
    <row r="104" spans="58:76" x14ac:dyDescent="0.2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39">
        <f t="shared" si="37"/>
        <v>0</v>
      </c>
      <c r="BI104" s="1">
        <f t="shared" si="37"/>
        <v>0</v>
      </c>
      <c r="BJ104" s="1">
        <f t="shared" si="22"/>
        <v>0</v>
      </c>
      <c r="BK104" s="1">
        <f t="shared" si="28"/>
        <v>0</v>
      </c>
      <c r="BL104" s="1">
        <f t="shared" si="38"/>
        <v>0</v>
      </c>
      <c r="BM104" s="10" t="str">
        <f t="shared" si="39"/>
        <v/>
      </c>
      <c r="BN104" s="39">
        <f t="shared" si="29"/>
        <v>0</v>
      </c>
      <c r="BO104" s="39">
        <f t="shared" si="30"/>
        <v>0</v>
      </c>
      <c r="BP104" s="1">
        <f t="shared" si="25"/>
        <v>0</v>
      </c>
      <c r="BQ104" s="1">
        <f t="shared" si="31"/>
        <v>0</v>
      </c>
      <c r="BR104" s="1" t="str">
        <f t="shared" si="40"/>
        <v/>
      </c>
      <c r="BS104" s="1">
        <f t="shared" si="41"/>
        <v>0</v>
      </c>
      <c r="BT104" s="4">
        <f t="shared" si="32"/>
        <v>0</v>
      </c>
      <c r="BU104" s="39">
        <f t="shared" si="33"/>
        <v>0</v>
      </c>
      <c r="BV104" s="1">
        <f t="shared" si="34"/>
        <v>0</v>
      </c>
      <c r="BW104">
        <f t="shared" si="35"/>
        <v>0</v>
      </c>
      <c r="BX104">
        <f t="shared" si="36"/>
        <v>0</v>
      </c>
    </row>
    <row r="105" spans="58:76" x14ac:dyDescent="0.2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39">
        <f t="shared" si="37"/>
        <v>0</v>
      </c>
      <c r="BI105" s="1">
        <f t="shared" si="37"/>
        <v>0</v>
      </c>
      <c r="BJ105" s="1">
        <f t="shared" si="22"/>
        <v>0</v>
      </c>
      <c r="BK105" s="1">
        <f t="shared" si="28"/>
        <v>0</v>
      </c>
      <c r="BL105" s="1">
        <f t="shared" si="38"/>
        <v>0</v>
      </c>
      <c r="BM105" s="10" t="str">
        <f t="shared" si="39"/>
        <v/>
      </c>
      <c r="BN105" s="39">
        <f t="shared" si="29"/>
        <v>0</v>
      </c>
      <c r="BO105" s="39">
        <f t="shared" si="30"/>
        <v>0</v>
      </c>
      <c r="BP105" s="1">
        <f t="shared" si="25"/>
        <v>0</v>
      </c>
      <c r="BQ105" s="1">
        <f t="shared" si="31"/>
        <v>0</v>
      </c>
      <c r="BR105" s="1" t="str">
        <f t="shared" si="40"/>
        <v/>
      </c>
      <c r="BS105" s="1">
        <f t="shared" si="41"/>
        <v>0</v>
      </c>
      <c r="BT105" s="4">
        <f t="shared" si="32"/>
        <v>0</v>
      </c>
      <c r="BU105" s="39">
        <f t="shared" si="33"/>
        <v>0</v>
      </c>
      <c r="BV105" s="1">
        <f t="shared" si="34"/>
        <v>0</v>
      </c>
      <c r="BW105">
        <f t="shared" si="35"/>
        <v>0</v>
      </c>
      <c r="BX105">
        <f t="shared" si="36"/>
        <v>0</v>
      </c>
    </row>
    <row r="106" spans="58:76" x14ac:dyDescent="0.2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39">
        <f t="shared" si="37"/>
        <v>0</v>
      </c>
      <c r="BI106" s="1">
        <f t="shared" si="37"/>
        <v>0</v>
      </c>
      <c r="BJ106" s="1">
        <f t="shared" si="22"/>
        <v>0</v>
      </c>
      <c r="BK106" s="1">
        <f t="shared" si="28"/>
        <v>0</v>
      </c>
      <c r="BL106" s="1">
        <f t="shared" si="38"/>
        <v>0</v>
      </c>
      <c r="BM106" s="10" t="str">
        <f t="shared" si="39"/>
        <v/>
      </c>
      <c r="BN106" s="39">
        <f t="shared" si="29"/>
        <v>0</v>
      </c>
      <c r="BO106" s="39">
        <f t="shared" si="30"/>
        <v>0</v>
      </c>
      <c r="BP106" s="1">
        <f t="shared" si="25"/>
        <v>0</v>
      </c>
      <c r="BQ106" s="1">
        <f t="shared" si="31"/>
        <v>0</v>
      </c>
      <c r="BR106" s="1" t="str">
        <f t="shared" si="40"/>
        <v/>
      </c>
      <c r="BS106" s="1">
        <f t="shared" si="41"/>
        <v>0</v>
      </c>
      <c r="BT106" s="4">
        <f t="shared" si="32"/>
        <v>0</v>
      </c>
      <c r="BU106" s="39">
        <f t="shared" si="33"/>
        <v>0</v>
      </c>
      <c r="BV106" s="1">
        <f t="shared" si="34"/>
        <v>0</v>
      </c>
      <c r="BW106">
        <f t="shared" si="35"/>
        <v>0</v>
      </c>
      <c r="BX106">
        <f t="shared" si="36"/>
        <v>0</v>
      </c>
    </row>
    <row r="107" spans="58:76" x14ac:dyDescent="0.2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39">
        <f t="shared" si="37"/>
        <v>0</v>
      </c>
      <c r="BI107" s="1">
        <f t="shared" si="37"/>
        <v>0</v>
      </c>
      <c r="BJ107" s="1">
        <f t="shared" si="22"/>
        <v>0</v>
      </c>
      <c r="BK107" s="1">
        <f t="shared" si="28"/>
        <v>0</v>
      </c>
      <c r="BL107" s="1">
        <f t="shared" si="38"/>
        <v>0</v>
      </c>
      <c r="BM107" s="10" t="str">
        <f t="shared" si="39"/>
        <v/>
      </c>
      <c r="BN107" s="39">
        <f t="shared" si="29"/>
        <v>0</v>
      </c>
      <c r="BO107" s="39">
        <f t="shared" si="30"/>
        <v>0</v>
      </c>
      <c r="BP107" s="1">
        <f t="shared" si="25"/>
        <v>0</v>
      </c>
      <c r="BQ107" s="1">
        <f t="shared" si="31"/>
        <v>0</v>
      </c>
      <c r="BR107" s="1" t="str">
        <f t="shared" si="40"/>
        <v/>
      </c>
      <c r="BS107" s="1">
        <f t="shared" si="41"/>
        <v>0</v>
      </c>
      <c r="BT107" s="4">
        <f t="shared" si="32"/>
        <v>0</v>
      </c>
      <c r="BU107" s="39">
        <f t="shared" si="33"/>
        <v>0</v>
      </c>
      <c r="BV107" s="1">
        <f t="shared" si="34"/>
        <v>0</v>
      </c>
      <c r="BW107">
        <f t="shared" si="35"/>
        <v>0</v>
      </c>
      <c r="BX107">
        <f t="shared" si="36"/>
        <v>0</v>
      </c>
    </row>
    <row r="108" spans="58:76" x14ac:dyDescent="0.2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39">
        <f t="shared" si="37"/>
        <v>0</v>
      </c>
      <c r="BI108" s="1">
        <f t="shared" si="37"/>
        <v>0</v>
      </c>
      <c r="BJ108" s="1">
        <f t="shared" si="22"/>
        <v>0</v>
      </c>
      <c r="BK108" s="1">
        <f t="shared" si="28"/>
        <v>0</v>
      </c>
      <c r="BL108" s="1">
        <f t="shared" si="38"/>
        <v>0</v>
      </c>
      <c r="BM108" s="10" t="str">
        <f t="shared" si="39"/>
        <v/>
      </c>
      <c r="BN108" s="39">
        <f t="shared" si="29"/>
        <v>0</v>
      </c>
      <c r="BO108" s="39">
        <f t="shared" si="30"/>
        <v>0</v>
      </c>
      <c r="BP108" s="1">
        <f t="shared" si="25"/>
        <v>0</v>
      </c>
      <c r="BQ108" s="1">
        <f t="shared" si="31"/>
        <v>0</v>
      </c>
      <c r="BR108" s="1" t="str">
        <f t="shared" si="40"/>
        <v/>
      </c>
      <c r="BS108" s="1">
        <f t="shared" si="41"/>
        <v>0</v>
      </c>
      <c r="BT108" s="4">
        <f t="shared" si="32"/>
        <v>0</v>
      </c>
      <c r="BU108" s="39">
        <f t="shared" si="33"/>
        <v>0</v>
      </c>
      <c r="BV108" s="1">
        <f t="shared" si="34"/>
        <v>0</v>
      </c>
      <c r="BW108">
        <f t="shared" si="35"/>
        <v>0</v>
      </c>
      <c r="BX108">
        <f t="shared" si="36"/>
        <v>0</v>
      </c>
    </row>
    <row r="109" spans="58:76" x14ac:dyDescent="0.2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39">
        <f t="shared" si="37"/>
        <v>0</v>
      </c>
      <c r="BI109" s="1">
        <f t="shared" si="37"/>
        <v>0</v>
      </c>
      <c r="BJ109" s="1">
        <f t="shared" si="22"/>
        <v>0</v>
      </c>
      <c r="BK109" s="1">
        <f t="shared" si="28"/>
        <v>0</v>
      </c>
      <c r="BL109" s="1">
        <f t="shared" si="38"/>
        <v>0</v>
      </c>
      <c r="BM109" s="10" t="str">
        <f t="shared" si="39"/>
        <v/>
      </c>
      <c r="BN109" s="39">
        <f t="shared" si="29"/>
        <v>0</v>
      </c>
      <c r="BO109" s="39">
        <f t="shared" si="30"/>
        <v>0</v>
      </c>
      <c r="BP109" s="1">
        <f t="shared" si="25"/>
        <v>0</v>
      </c>
      <c r="BQ109" s="1">
        <f t="shared" si="31"/>
        <v>0</v>
      </c>
      <c r="BR109" s="1" t="str">
        <f t="shared" si="40"/>
        <v/>
      </c>
      <c r="BS109" s="1">
        <f t="shared" si="41"/>
        <v>0</v>
      </c>
      <c r="BT109" s="4">
        <f t="shared" si="32"/>
        <v>0</v>
      </c>
      <c r="BU109" s="39">
        <f t="shared" si="33"/>
        <v>0</v>
      </c>
      <c r="BV109" s="1">
        <f t="shared" si="34"/>
        <v>0</v>
      </c>
      <c r="BW109">
        <f t="shared" si="35"/>
        <v>0</v>
      </c>
      <c r="BX109">
        <f t="shared" si="36"/>
        <v>0</v>
      </c>
    </row>
    <row r="110" spans="58:76" x14ac:dyDescent="0.2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39">
        <f t="shared" si="37"/>
        <v>0</v>
      </c>
      <c r="BI110" s="1">
        <f t="shared" si="37"/>
        <v>0</v>
      </c>
      <c r="BJ110" s="1">
        <f t="shared" si="22"/>
        <v>0</v>
      </c>
      <c r="BK110" s="1">
        <f t="shared" si="28"/>
        <v>0</v>
      </c>
      <c r="BL110" s="1">
        <f t="shared" si="38"/>
        <v>0</v>
      </c>
      <c r="BM110" s="10" t="str">
        <f t="shared" si="39"/>
        <v/>
      </c>
      <c r="BN110" s="39">
        <f t="shared" si="29"/>
        <v>0</v>
      </c>
      <c r="BO110" s="39">
        <f t="shared" si="30"/>
        <v>0</v>
      </c>
      <c r="BP110" s="1">
        <f t="shared" si="25"/>
        <v>0</v>
      </c>
      <c r="BQ110" s="1">
        <f t="shared" si="31"/>
        <v>0</v>
      </c>
      <c r="BR110" s="1" t="str">
        <f t="shared" si="40"/>
        <v/>
      </c>
      <c r="BS110" s="1">
        <f t="shared" si="41"/>
        <v>0</v>
      </c>
      <c r="BT110" s="4">
        <f t="shared" si="32"/>
        <v>0</v>
      </c>
      <c r="BU110" s="39">
        <f t="shared" si="33"/>
        <v>0</v>
      </c>
      <c r="BV110" s="1">
        <f t="shared" si="34"/>
        <v>0</v>
      </c>
      <c r="BW110">
        <f t="shared" si="35"/>
        <v>0</v>
      </c>
      <c r="BX110">
        <f t="shared" si="36"/>
        <v>0</v>
      </c>
    </row>
    <row r="111" spans="58:76" x14ac:dyDescent="0.2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39">
        <f t="shared" si="37"/>
        <v>0</v>
      </c>
      <c r="BI111" s="1">
        <f t="shared" si="37"/>
        <v>0</v>
      </c>
      <c r="BJ111" s="1">
        <f t="shared" si="22"/>
        <v>0</v>
      </c>
      <c r="BK111" s="1">
        <f t="shared" si="28"/>
        <v>0</v>
      </c>
      <c r="BL111" s="1">
        <f t="shared" si="38"/>
        <v>0</v>
      </c>
      <c r="BM111" s="10" t="str">
        <f t="shared" si="39"/>
        <v/>
      </c>
      <c r="BN111" s="39">
        <f t="shared" si="29"/>
        <v>0</v>
      </c>
      <c r="BO111" s="39">
        <f t="shared" si="30"/>
        <v>0</v>
      </c>
      <c r="BP111" s="1">
        <f t="shared" si="25"/>
        <v>0</v>
      </c>
      <c r="BQ111" s="1">
        <f t="shared" si="31"/>
        <v>0</v>
      </c>
      <c r="BR111" s="1" t="str">
        <f t="shared" si="40"/>
        <v/>
      </c>
      <c r="BS111" s="1">
        <f t="shared" si="41"/>
        <v>0</v>
      </c>
      <c r="BT111" s="4">
        <f t="shared" si="32"/>
        <v>0</v>
      </c>
      <c r="BU111" s="39">
        <f t="shared" si="33"/>
        <v>0</v>
      </c>
      <c r="BV111" s="1">
        <f t="shared" si="34"/>
        <v>0</v>
      </c>
      <c r="BW111">
        <f t="shared" si="35"/>
        <v>0</v>
      </c>
      <c r="BX111">
        <f t="shared" si="36"/>
        <v>0</v>
      </c>
    </row>
    <row r="112" spans="58:76" x14ac:dyDescent="0.2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39">
        <f t="shared" si="37"/>
        <v>0</v>
      </c>
      <c r="BI112" s="1">
        <f t="shared" si="37"/>
        <v>0</v>
      </c>
      <c r="BJ112" s="1">
        <f t="shared" si="22"/>
        <v>0</v>
      </c>
      <c r="BK112" s="1">
        <f t="shared" si="28"/>
        <v>0</v>
      </c>
      <c r="BL112" s="1">
        <f t="shared" si="38"/>
        <v>0</v>
      </c>
      <c r="BM112" s="10" t="str">
        <f t="shared" si="39"/>
        <v/>
      </c>
      <c r="BN112" s="39">
        <f t="shared" si="29"/>
        <v>0</v>
      </c>
      <c r="BO112" s="39">
        <f t="shared" si="30"/>
        <v>0</v>
      </c>
      <c r="BP112" s="1">
        <f t="shared" si="25"/>
        <v>0</v>
      </c>
      <c r="BQ112" s="1">
        <f t="shared" si="31"/>
        <v>0</v>
      </c>
      <c r="BR112" s="1" t="str">
        <f t="shared" si="40"/>
        <v/>
      </c>
      <c r="BS112" s="1">
        <f t="shared" si="41"/>
        <v>0</v>
      </c>
      <c r="BT112" s="4">
        <f t="shared" si="32"/>
        <v>0</v>
      </c>
      <c r="BU112" s="39">
        <f t="shared" si="33"/>
        <v>0</v>
      </c>
      <c r="BV112" s="1">
        <f t="shared" si="34"/>
        <v>0</v>
      </c>
      <c r="BW112">
        <f t="shared" si="35"/>
        <v>0</v>
      </c>
      <c r="BX112">
        <f t="shared" si="36"/>
        <v>0</v>
      </c>
    </row>
    <row r="113" spans="58:76" x14ac:dyDescent="0.2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39">
        <f t="shared" si="37"/>
        <v>0</v>
      </c>
      <c r="BI113" s="1">
        <f t="shared" si="37"/>
        <v>0</v>
      </c>
      <c r="BJ113" s="1">
        <f t="shared" si="22"/>
        <v>0</v>
      </c>
      <c r="BK113" s="1">
        <f t="shared" si="28"/>
        <v>0</v>
      </c>
      <c r="BL113" s="1">
        <f t="shared" si="38"/>
        <v>0</v>
      </c>
      <c r="BM113" s="10" t="str">
        <f t="shared" si="39"/>
        <v/>
      </c>
      <c r="BN113" s="39">
        <f t="shared" si="29"/>
        <v>0</v>
      </c>
      <c r="BO113" s="39">
        <f t="shared" si="30"/>
        <v>0</v>
      </c>
      <c r="BP113" s="1">
        <f t="shared" si="25"/>
        <v>0</v>
      </c>
      <c r="BQ113" s="1">
        <f t="shared" si="31"/>
        <v>0</v>
      </c>
      <c r="BR113" s="1" t="str">
        <f t="shared" si="40"/>
        <v/>
      </c>
      <c r="BS113" s="1">
        <f t="shared" si="41"/>
        <v>0</v>
      </c>
      <c r="BT113" s="4">
        <f t="shared" si="32"/>
        <v>0</v>
      </c>
      <c r="BU113" s="39">
        <f t="shared" si="33"/>
        <v>0</v>
      </c>
      <c r="BV113" s="1">
        <f t="shared" si="34"/>
        <v>0</v>
      </c>
      <c r="BW113">
        <f t="shared" si="35"/>
        <v>0</v>
      </c>
      <c r="BX113">
        <f t="shared" si="36"/>
        <v>0</v>
      </c>
    </row>
    <row r="114" spans="58:76" x14ac:dyDescent="0.2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39">
        <f t="shared" si="37"/>
        <v>0</v>
      </c>
      <c r="BI114" s="1">
        <f t="shared" si="37"/>
        <v>0</v>
      </c>
      <c r="BJ114" s="1">
        <f t="shared" si="22"/>
        <v>0</v>
      </c>
      <c r="BK114" s="1">
        <f t="shared" si="28"/>
        <v>0</v>
      </c>
      <c r="BL114" s="1">
        <f t="shared" si="38"/>
        <v>0</v>
      </c>
      <c r="BM114" s="10" t="str">
        <f t="shared" si="39"/>
        <v/>
      </c>
      <c r="BN114" s="39">
        <f t="shared" si="29"/>
        <v>0</v>
      </c>
      <c r="BO114" s="39">
        <f t="shared" si="30"/>
        <v>0</v>
      </c>
      <c r="BP114" s="1">
        <f t="shared" si="25"/>
        <v>0</v>
      </c>
      <c r="BQ114" s="1">
        <f t="shared" si="31"/>
        <v>0</v>
      </c>
      <c r="BR114" s="1" t="str">
        <f t="shared" si="40"/>
        <v/>
      </c>
      <c r="BS114" s="1">
        <f t="shared" si="41"/>
        <v>0</v>
      </c>
      <c r="BT114" s="4">
        <f t="shared" si="32"/>
        <v>0</v>
      </c>
      <c r="BU114" s="39">
        <f t="shared" si="33"/>
        <v>0</v>
      </c>
      <c r="BV114" s="1">
        <f t="shared" si="34"/>
        <v>0</v>
      </c>
      <c r="BW114">
        <f t="shared" si="35"/>
        <v>0</v>
      </c>
      <c r="BX114">
        <f t="shared" si="36"/>
        <v>0</v>
      </c>
    </row>
    <row r="115" spans="58:76" x14ac:dyDescent="0.2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39">
        <f t="shared" si="37"/>
        <v>0</v>
      </c>
      <c r="BI115" s="1">
        <f t="shared" si="37"/>
        <v>0</v>
      </c>
      <c r="BJ115" s="1">
        <f t="shared" si="22"/>
        <v>0</v>
      </c>
      <c r="BK115" s="1">
        <f t="shared" si="28"/>
        <v>0</v>
      </c>
      <c r="BL115" s="1">
        <f t="shared" si="38"/>
        <v>0</v>
      </c>
      <c r="BM115" s="10" t="str">
        <f t="shared" si="39"/>
        <v/>
      </c>
      <c r="BN115" s="39">
        <f t="shared" si="29"/>
        <v>0</v>
      </c>
      <c r="BO115" s="39">
        <f t="shared" si="30"/>
        <v>0</v>
      </c>
      <c r="BP115" s="1">
        <f t="shared" si="25"/>
        <v>0</v>
      </c>
      <c r="BQ115" s="1">
        <f t="shared" si="31"/>
        <v>0</v>
      </c>
      <c r="BR115" s="1" t="str">
        <f t="shared" si="40"/>
        <v/>
      </c>
      <c r="BS115" s="1">
        <f t="shared" si="41"/>
        <v>0</v>
      </c>
      <c r="BT115" s="4">
        <f t="shared" si="32"/>
        <v>0</v>
      </c>
      <c r="BU115" s="39">
        <f t="shared" si="33"/>
        <v>0</v>
      </c>
      <c r="BV115" s="1">
        <f t="shared" si="34"/>
        <v>0</v>
      </c>
      <c r="BW115">
        <f t="shared" si="35"/>
        <v>0</v>
      </c>
      <c r="BX115">
        <f t="shared" si="36"/>
        <v>0</v>
      </c>
    </row>
    <row r="116" spans="58:76" x14ac:dyDescent="0.2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39">
        <f t="shared" si="37"/>
        <v>0</v>
      </c>
      <c r="BI116" s="1">
        <f t="shared" si="37"/>
        <v>0</v>
      </c>
      <c r="BJ116" s="1">
        <f t="shared" si="22"/>
        <v>0</v>
      </c>
      <c r="BK116" s="1">
        <f t="shared" si="28"/>
        <v>0</v>
      </c>
      <c r="BL116" s="1">
        <f t="shared" si="38"/>
        <v>0</v>
      </c>
      <c r="BM116" s="10" t="str">
        <f t="shared" si="39"/>
        <v/>
      </c>
      <c r="BN116" s="39">
        <f t="shared" si="29"/>
        <v>0</v>
      </c>
      <c r="BO116" s="39">
        <f t="shared" si="30"/>
        <v>0</v>
      </c>
      <c r="BP116" s="1">
        <f t="shared" si="25"/>
        <v>0</v>
      </c>
      <c r="BQ116" s="1">
        <f t="shared" si="31"/>
        <v>0</v>
      </c>
      <c r="BR116" s="1" t="str">
        <f t="shared" si="40"/>
        <v/>
      </c>
      <c r="BS116" s="1">
        <f t="shared" si="41"/>
        <v>0</v>
      </c>
      <c r="BT116" s="4">
        <f t="shared" si="32"/>
        <v>0</v>
      </c>
      <c r="BU116" s="39">
        <f t="shared" si="33"/>
        <v>0</v>
      </c>
      <c r="BV116" s="1">
        <f t="shared" si="34"/>
        <v>0</v>
      </c>
      <c r="BW116">
        <f t="shared" si="35"/>
        <v>0</v>
      </c>
      <c r="BX116">
        <f t="shared" si="36"/>
        <v>0</v>
      </c>
    </row>
    <row r="117" spans="58:76" x14ac:dyDescent="0.2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39">
        <f t="shared" si="37"/>
        <v>0</v>
      </c>
      <c r="BI117" s="1">
        <f t="shared" si="37"/>
        <v>0</v>
      </c>
      <c r="BJ117" s="1">
        <f t="shared" si="22"/>
        <v>0</v>
      </c>
      <c r="BK117" s="1">
        <f t="shared" si="28"/>
        <v>0</v>
      </c>
      <c r="BL117" s="1">
        <f t="shared" si="38"/>
        <v>0</v>
      </c>
      <c r="BM117" s="10" t="str">
        <f t="shared" si="39"/>
        <v/>
      </c>
      <c r="BN117" s="39">
        <f t="shared" si="29"/>
        <v>0</v>
      </c>
      <c r="BO117" s="39">
        <f t="shared" si="30"/>
        <v>0</v>
      </c>
      <c r="BP117" s="1">
        <f t="shared" si="25"/>
        <v>0</v>
      </c>
      <c r="BQ117" s="1">
        <f t="shared" si="31"/>
        <v>0</v>
      </c>
      <c r="BR117" s="1" t="str">
        <f t="shared" si="40"/>
        <v/>
      </c>
      <c r="BS117" s="1">
        <f t="shared" si="41"/>
        <v>0</v>
      </c>
      <c r="BT117" s="4">
        <f t="shared" si="32"/>
        <v>0</v>
      </c>
      <c r="BU117" s="39">
        <f t="shared" si="33"/>
        <v>0</v>
      </c>
      <c r="BV117" s="1">
        <f t="shared" si="34"/>
        <v>0</v>
      </c>
      <c r="BW117">
        <f t="shared" si="35"/>
        <v>0</v>
      </c>
      <c r="BX117">
        <f t="shared" si="36"/>
        <v>0</v>
      </c>
    </row>
    <row r="118" spans="58:76" x14ac:dyDescent="0.2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39">
        <f t="shared" si="37"/>
        <v>0</v>
      </c>
      <c r="BI118" s="1">
        <f t="shared" si="37"/>
        <v>0</v>
      </c>
      <c r="BJ118" s="1">
        <f t="shared" si="22"/>
        <v>0</v>
      </c>
      <c r="BK118" s="1">
        <f t="shared" si="28"/>
        <v>0</v>
      </c>
      <c r="BL118" s="1">
        <f t="shared" si="38"/>
        <v>0</v>
      </c>
      <c r="BM118" s="10" t="str">
        <f t="shared" si="39"/>
        <v/>
      </c>
      <c r="BN118" s="39">
        <f t="shared" si="29"/>
        <v>0</v>
      </c>
      <c r="BO118" s="39">
        <f t="shared" si="30"/>
        <v>0</v>
      </c>
      <c r="BP118" s="1">
        <f t="shared" si="25"/>
        <v>0</v>
      </c>
      <c r="BQ118" s="1">
        <f t="shared" si="31"/>
        <v>0</v>
      </c>
      <c r="BR118" s="1" t="str">
        <f t="shared" si="40"/>
        <v/>
      </c>
      <c r="BS118" s="1">
        <f t="shared" si="41"/>
        <v>0</v>
      </c>
      <c r="BT118" s="4">
        <f t="shared" si="32"/>
        <v>0</v>
      </c>
      <c r="BU118" s="39">
        <f t="shared" si="33"/>
        <v>0</v>
      </c>
      <c r="BV118" s="1">
        <f t="shared" si="34"/>
        <v>0</v>
      </c>
      <c r="BW118">
        <f t="shared" si="35"/>
        <v>0</v>
      </c>
      <c r="BX118">
        <f t="shared" si="36"/>
        <v>0</v>
      </c>
    </row>
    <row r="119" spans="58:76" x14ac:dyDescent="0.2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39">
        <f t="shared" si="37"/>
        <v>0</v>
      </c>
      <c r="BI119" s="1">
        <f t="shared" si="37"/>
        <v>0</v>
      </c>
      <c r="BJ119" s="1">
        <f t="shared" si="22"/>
        <v>0</v>
      </c>
      <c r="BK119" s="1">
        <f t="shared" si="28"/>
        <v>0</v>
      </c>
      <c r="BL119" s="1">
        <f t="shared" si="38"/>
        <v>0</v>
      </c>
      <c r="BM119" s="10" t="str">
        <f t="shared" si="39"/>
        <v/>
      </c>
      <c r="BN119" s="39">
        <f t="shared" si="29"/>
        <v>0</v>
      </c>
      <c r="BO119" s="39">
        <f t="shared" si="30"/>
        <v>0</v>
      </c>
      <c r="BP119" s="1">
        <f t="shared" si="25"/>
        <v>0</v>
      </c>
      <c r="BQ119" s="1">
        <f t="shared" si="31"/>
        <v>0</v>
      </c>
      <c r="BR119" s="1" t="str">
        <f t="shared" si="40"/>
        <v/>
      </c>
      <c r="BS119" s="1">
        <f t="shared" si="41"/>
        <v>0</v>
      </c>
      <c r="BT119" s="4">
        <f t="shared" si="32"/>
        <v>0</v>
      </c>
      <c r="BU119" s="39">
        <f t="shared" si="33"/>
        <v>0</v>
      </c>
      <c r="BV119" s="1">
        <f t="shared" si="34"/>
        <v>0</v>
      </c>
      <c r="BW119">
        <f t="shared" si="35"/>
        <v>0</v>
      </c>
      <c r="BX119">
        <f t="shared" si="36"/>
        <v>0</v>
      </c>
    </row>
    <row r="120" spans="58:76" x14ac:dyDescent="0.2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39">
        <f t="shared" si="37"/>
        <v>0</v>
      </c>
      <c r="BI120" s="1">
        <f t="shared" si="37"/>
        <v>0</v>
      </c>
      <c r="BJ120" s="1">
        <f t="shared" si="22"/>
        <v>0</v>
      </c>
      <c r="BK120" s="1">
        <f t="shared" si="28"/>
        <v>0</v>
      </c>
      <c r="BL120" s="1">
        <f t="shared" si="38"/>
        <v>0</v>
      </c>
      <c r="BM120" s="10" t="str">
        <f t="shared" si="39"/>
        <v/>
      </c>
      <c r="BN120" s="39">
        <f t="shared" si="29"/>
        <v>0</v>
      </c>
      <c r="BO120" s="39">
        <f t="shared" si="30"/>
        <v>0</v>
      </c>
      <c r="BP120" s="1">
        <f t="shared" si="25"/>
        <v>0</v>
      </c>
      <c r="BQ120" s="1">
        <f t="shared" si="31"/>
        <v>0</v>
      </c>
      <c r="BR120" s="1" t="str">
        <f t="shared" si="40"/>
        <v/>
      </c>
      <c r="BS120" s="1">
        <f t="shared" si="41"/>
        <v>0</v>
      </c>
      <c r="BT120" s="4">
        <f t="shared" si="32"/>
        <v>0</v>
      </c>
      <c r="BU120" s="39">
        <f t="shared" si="33"/>
        <v>0</v>
      </c>
      <c r="BV120" s="1">
        <f t="shared" si="34"/>
        <v>0</v>
      </c>
      <c r="BW120">
        <f t="shared" si="35"/>
        <v>0</v>
      </c>
      <c r="BX120">
        <f t="shared" si="36"/>
        <v>0</v>
      </c>
    </row>
    <row r="121" spans="58:76" x14ac:dyDescent="0.2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39">
        <f t="shared" si="37"/>
        <v>0</v>
      </c>
      <c r="BI121" s="1">
        <f t="shared" si="37"/>
        <v>0</v>
      </c>
      <c r="BJ121" s="1">
        <f t="shared" si="22"/>
        <v>0</v>
      </c>
      <c r="BK121" s="1">
        <f t="shared" si="28"/>
        <v>0</v>
      </c>
      <c r="BL121" s="1">
        <f t="shared" si="38"/>
        <v>0</v>
      </c>
      <c r="BM121" s="10" t="str">
        <f t="shared" si="39"/>
        <v/>
      </c>
      <c r="BN121" s="39">
        <f t="shared" si="29"/>
        <v>0</v>
      </c>
      <c r="BO121" s="39">
        <f t="shared" si="30"/>
        <v>0</v>
      </c>
      <c r="BP121" s="1">
        <f t="shared" si="25"/>
        <v>0</v>
      </c>
      <c r="BQ121" s="1">
        <f t="shared" si="31"/>
        <v>0</v>
      </c>
      <c r="BR121" s="1" t="str">
        <f t="shared" si="40"/>
        <v/>
      </c>
      <c r="BS121" s="1">
        <f t="shared" si="41"/>
        <v>0</v>
      </c>
      <c r="BT121" s="4">
        <f t="shared" si="32"/>
        <v>0</v>
      </c>
      <c r="BU121" s="39">
        <f t="shared" si="33"/>
        <v>0</v>
      </c>
      <c r="BV121" s="1">
        <f t="shared" si="34"/>
        <v>0</v>
      </c>
      <c r="BW121">
        <f t="shared" si="35"/>
        <v>0</v>
      </c>
      <c r="BX121">
        <f t="shared" si="36"/>
        <v>0</v>
      </c>
    </row>
    <row r="122" spans="58:76" x14ac:dyDescent="0.2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39">
        <f t="shared" si="37"/>
        <v>0</v>
      </c>
      <c r="BI122" s="1">
        <f t="shared" si="37"/>
        <v>0</v>
      </c>
      <c r="BJ122" s="1">
        <f t="shared" si="22"/>
        <v>0</v>
      </c>
      <c r="BK122" s="1">
        <f t="shared" si="28"/>
        <v>0</v>
      </c>
      <c r="BL122" s="1">
        <f t="shared" si="38"/>
        <v>0</v>
      </c>
      <c r="BM122" s="10" t="str">
        <f t="shared" si="39"/>
        <v/>
      </c>
      <c r="BN122" s="39">
        <f t="shared" si="29"/>
        <v>0</v>
      </c>
      <c r="BO122" s="39">
        <f t="shared" si="30"/>
        <v>0</v>
      </c>
      <c r="BP122" s="1">
        <f t="shared" si="25"/>
        <v>0</v>
      </c>
      <c r="BQ122" s="1">
        <f t="shared" si="31"/>
        <v>0</v>
      </c>
      <c r="BR122" s="1" t="str">
        <f t="shared" si="40"/>
        <v/>
      </c>
      <c r="BS122" s="1">
        <f t="shared" si="41"/>
        <v>0</v>
      </c>
      <c r="BT122" s="4">
        <f t="shared" si="32"/>
        <v>0</v>
      </c>
      <c r="BU122" s="39">
        <f t="shared" si="33"/>
        <v>0</v>
      </c>
      <c r="BV122" s="1">
        <f t="shared" si="34"/>
        <v>0</v>
      </c>
      <c r="BW122">
        <f t="shared" si="35"/>
        <v>0</v>
      </c>
      <c r="BX122">
        <f t="shared" si="36"/>
        <v>0</v>
      </c>
    </row>
    <row r="123" spans="58:76" x14ac:dyDescent="0.2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39">
        <f t="shared" si="37"/>
        <v>0</v>
      </c>
      <c r="BI123" s="1">
        <f t="shared" si="37"/>
        <v>0</v>
      </c>
      <c r="BJ123" s="1">
        <f t="shared" si="22"/>
        <v>0</v>
      </c>
      <c r="BK123" s="1">
        <f t="shared" si="28"/>
        <v>0</v>
      </c>
      <c r="BL123" s="1">
        <f t="shared" si="38"/>
        <v>0</v>
      </c>
      <c r="BM123" s="10" t="str">
        <f t="shared" si="39"/>
        <v/>
      </c>
      <c r="BN123" s="39">
        <f t="shared" si="29"/>
        <v>0</v>
      </c>
      <c r="BO123" s="39">
        <f t="shared" si="30"/>
        <v>0</v>
      </c>
      <c r="BP123" s="1">
        <f t="shared" si="25"/>
        <v>0</v>
      </c>
      <c r="BQ123" s="1">
        <f t="shared" si="31"/>
        <v>0</v>
      </c>
      <c r="BR123" s="1" t="str">
        <f t="shared" si="40"/>
        <v/>
      </c>
      <c r="BS123" s="1">
        <f t="shared" si="41"/>
        <v>0</v>
      </c>
      <c r="BT123" s="4">
        <f t="shared" si="32"/>
        <v>0</v>
      </c>
      <c r="BU123" s="39">
        <f t="shared" si="33"/>
        <v>0</v>
      </c>
      <c r="BV123" s="1">
        <f t="shared" si="34"/>
        <v>0</v>
      </c>
      <c r="BW123">
        <f t="shared" si="35"/>
        <v>0</v>
      </c>
      <c r="BX123">
        <f t="shared" si="36"/>
        <v>0</v>
      </c>
    </row>
    <row r="124" spans="58:76" x14ac:dyDescent="0.2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39">
        <f t="shared" si="37"/>
        <v>0</v>
      </c>
      <c r="BI124" s="1">
        <f t="shared" si="37"/>
        <v>0</v>
      </c>
      <c r="BJ124" s="1">
        <f t="shared" si="22"/>
        <v>0</v>
      </c>
      <c r="BK124" s="1">
        <f t="shared" si="28"/>
        <v>0</v>
      </c>
      <c r="BL124" s="1">
        <f t="shared" si="38"/>
        <v>0</v>
      </c>
      <c r="BM124" s="10" t="str">
        <f t="shared" si="39"/>
        <v/>
      </c>
      <c r="BN124" s="39">
        <f t="shared" si="29"/>
        <v>0</v>
      </c>
      <c r="BO124" s="39">
        <f t="shared" si="30"/>
        <v>0</v>
      </c>
      <c r="BP124" s="1">
        <f t="shared" si="25"/>
        <v>0</v>
      </c>
      <c r="BQ124" s="1">
        <f t="shared" si="31"/>
        <v>0</v>
      </c>
      <c r="BR124" s="1" t="str">
        <f t="shared" si="40"/>
        <v/>
      </c>
      <c r="BS124" s="1">
        <f t="shared" si="41"/>
        <v>0</v>
      </c>
      <c r="BT124" s="4">
        <f t="shared" si="32"/>
        <v>0</v>
      </c>
      <c r="BU124" s="39">
        <f t="shared" si="33"/>
        <v>0</v>
      </c>
      <c r="BV124" s="1">
        <f t="shared" si="34"/>
        <v>0</v>
      </c>
      <c r="BW124">
        <f t="shared" si="35"/>
        <v>0</v>
      </c>
      <c r="BX124">
        <f t="shared" si="36"/>
        <v>0</v>
      </c>
    </row>
    <row r="125" spans="58:76" x14ac:dyDescent="0.2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39">
        <f t="shared" si="37"/>
        <v>0</v>
      </c>
      <c r="BI125" s="1">
        <f t="shared" si="37"/>
        <v>0</v>
      </c>
      <c r="BJ125" s="1">
        <f t="shared" si="22"/>
        <v>0</v>
      </c>
      <c r="BK125" s="1">
        <f t="shared" si="28"/>
        <v>0</v>
      </c>
      <c r="BL125" s="1">
        <f t="shared" si="38"/>
        <v>0</v>
      </c>
      <c r="BM125" s="10" t="str">
        <f t="shared" si="39"/>
        <v/>
      </c>
      <c r="BN125" s="39">
        <f t="shared" si="29"/>
        <v>0</v>
      </c>
      <c r="BO125" s="39">
        <f t="shared" si="30"/>
        <v>0</v>
      </c>
      <c r="BP125" s="1">
        <f t="shared" si="25"/>
        <v>0</v>
      </c>
      <c r="BQ125" s="1">
        <f t="shared" si="31"/>
        <v>0</v>
      </c>
      <c r="BR125" s="1" t="str">
        <f t="shared" si="40"/>
        <v/>
      </c>
      <c r="BS125" s="1">
        <f t="shared" si="41"/>
        <v>0</v>
      </c>
      <c r="BT125" s="4">
        <f t="shared" si="32"/>
        <v>0</v>
      </c>
      <c r="BU125" s="39">
        <f t="shared" si="33"/>
        <v>0</v>
      </c>
      <c r="BV125" s="1">
        <f t="shared" si="34"/>
        <v>0</v>
      </c>
      <c r="BW125">
        <f t="shared" si="35"/>
        <v>0</v>
      </c>
      <c r="BX125">
        <f t="shared" si="36"/>
        <v>0</v>
      </c>
    </row>
    <row r="126" spans="58:76" x14ac:dyDescent="0.2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39">
        <f t="shared" si="37"/>
        <v>0</v>
      </c>
      <c r="BI126" s="1">
        <f t="shared" si="37"/>
        <v>0</v>
      </c>
      <c r="BJ126" s="1">
        <f t="shared" si="22"/>
        <v>0</v>
      </c>
      <c r="BK126" s="1">
        <f t="shared" si="28"/>
        <v>0</v>
      </c>
      <c r="BL126" s="1">
        <f t="shared" si="38"/>
        <v>0</v>
      </c>
      <c r="BM126" s="10" t="str">
        <f t="shared" si="39"/>
        <v/>
      </c>
      <c r="BN126" s="39">
        <f t="shared" si="29"/>
        <v>0</v>
      </c>
      <c r="BO126" s="39">
        <f t="shared" si="30"/>
        <v>0</v>
      </c>
      <c r="BP126" s="1">
        <f t="shared" si="25"/>
        <v>0</v>
      </c>
      <c r="BQ126" s="1">
        <f t="shared" si="31"/>
        <v>0</v>
      </c>
      <c r="BR126" s="1" t="str">
        <f t="shared" si="40"/>
        <v/>
      </c>
      <c r="BS126" s="1">
        <f t="shared" si="41"/>
        <v>0</v>
      </c>
      <c r="BT126" s="4">
        <f t="shared" si="32"/>
        <v>0</v>
      </c>
      <c r="BU126" s="39">
        <f t="shared" si="33"/>
        <v>0</v>
      </c>
      <c r="BV126" s="1">
        <f t="shared" si="34"/>
        <v>0</v>
      </c>
      <c r="BW126">
        <f t="shared" si="35"/>
        <v>0</v>
      </c>
      <c r="BX126">
        <f t="shared" si="36"/>
        <v>0</v>
      </c>
    </row>
    <row r="127" spans="58:76" x14ac:dyDescent="0.2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39">
        <f t="shared" si="37"/>
        <v>0</v>
      </c>
      <c r="BI127" s="1">
        <f t="shared" si="37"/>
        <v>0</v>
      </c>
      <c r="BJ127" s="1">
        <f t="shared" si="22"/>
        <v>0</v>
      </c>
      <c r="BK127" s="1">
        <f t="shared" si="28"/>
        <v>0</v>
      </c>
      <c r="BL127" s="1">
        <f t="shared" si="38"/>
        <v>0</v>
      </c>
      <c r="BM127" s="10" t="str">
        <f t="shared" si="39"/>
        <v/>
      </c>
      <c r="BN127" s="39">
        <f t="shared" si="29"/>
        <v>0</v>
      </c>
      <c r="BO127" s="39">
        <f t="shared" si="30"/>
        <v>0</v>
      </c>
      <c r="BP127" s="1">
        <f t="shared" si="25"/>
        <v>0</v>
      </c>
      <c r="BQ127" s="1">
        <f t="shared" si="31"/>
        <v>0</v>
      </c>
      <c r="BR127" s="1" t="str">
        <f t="shared" si="40"/>
        <v/>
      </c>
      <c r="BS127" s="1">
        <f t="shared" si="41"/>
        <v>0</v>
      </c>
      <c r="BT127" s="4">
        <f t="shared" si="32"/>
        <v>0</v>
      </c>
      <c r="BU127" s="39">
        <f t="shared" si="33"/>
        <v>0</v>
      </c>
      <c r="BV127" s="1">
        <f t="shared" si="34"/>
        <v>0</v>
      </c>
      <c r="BW127">
        <f t="shared" si="35"/>
        <v>0</v>
      </c>
      <c r="BX127">
        <f t="shared" si="36"/>
        <v>0</v>
      </c>
    </row>
    <row r="128" spans="58:76" x14ac:dyDescent="0.2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39">
        <f t="shared" si="37"/>
        <v>0</v>
      </c>
      <c r="BI128" s="1">
        <f t="shared" si="37"/>
        <v>0</v>
      </c>
      <c r="BJ128" s="1">
        <f t="shared" si="22"/>
        <v>0</v>
      </c>
      <c r="BK128" s="1">
        <f t="shared" si="28"/>
        <v>0</v>
      </c>
      <c r="BL128" s="1">
        <f t="shared" si="38"/>
        <v>0</v>
      </c>
      <c r="BM128" s="10" t="str">
        <f t="shared" si="39"/>
        <v/>
      </c>
      <c r="BN128" s="39">
        <f t="shared" si="29"/>
        <v>0</v>
      </c>
      <c r="BO128" s="39">
        <f t="shared" si="30"/>
        <v>0</v>
      </c>
      <c r="BP128" s="1">
        <f t="shared" si="25"/>
        <v>0</v>
      </c>
      <c r="BQ128" s="1">
        <f t="shared" si="31"/>
        <v>0</v>
      </c>
      <c r="BR128" s="1" t="str">
        <f t="shared" si="40"/>
        <v/>
      </c>
      <c r="BS128" s="1">
        <f t="shared" si="41"/>
        <v>0</v>
      </c>
      <c r="BT128" s="4">
        <f t="shared" si="32"/>
        <v>0</v>
      </c>
      <c r="BU128" s="39">
        <f t="shared" si="33"/>
        <v>0</v>
      </c>
      <c r="BV128" s="1">
        <f t="shared" si="34"/>
        <v>0</v>
      </c>
      <c r="BW128">
        <f t="shared" si="35"/>
        <v>0</v>
      </c>
      <c r="BX128">
        <f t="shared" si="36"/>
        <v>0</v>
      </c>
    </row>
    <row r="129" spans="58:76" x14ac:dyDescent="0.2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39">
        <f t="shared" si="37"/>
        <v>0</v>
      </c>
      <c r="BI129" s="1">
        <f t="shared" si="37"/>
        <v>0</v>
      </c>
      <c r="BJ129" s="1">
        <f t="shared" si="22"/>
        <v>0</v>
      </c>
      <c r="BK129" s="1">
        <f t="shared" si="28"/>
        <v>0</v>
      </c>
      <c r="BL129" s="1">
        <f t="shared" si="38"/>
        <v>0</v>
      </c>
      <c r="BM129" s="10" t="str">
        <f t="shared" si="39"/>
        <v/>
      </c>
      <c r="BN129" s="39">
        <f t="shared" si="29"/>
        <v>0</v>
      </c>
      <c r="BO129" s="39">
        <f t="shared" si="30"/>
        <v>0</v>
      </c>
      <c r="BP129" s="1">
        <f t="shared" si="25"/>
        <v>0</v>
      </c>
      <c r="BQ129" s="1">
        <f t="shared" si="31"/>
        <v>0</v>
      </c>
      <c r="BR129" s="1" t="str">
        <f t="shared" si="40"/>
        <v/>
      </c>
      <c r="BS129" s="1">
        <f t="shared" si="41"/>
        <v>0</v>
      </c>
      <c r="BT129" s="4">
        <f t="shared" si="32"/>
        <v>0</v>
      </c>
      <c r="BU129" s="39">
        <f t="shared" si="33"/>
        <v>0</v>
      </c>
      <c r="BV129" s="1">
        <f t="shared" si="34"/>
        <v>0</v>
      </c>
      <c r="BW129">
        <f t="shared" si="35"/>
        <v>0</v>
      </c>
      <c r="BX129">
        <f t="shared" si="36"/>
        <v>0</v>
      </c>
    </row>
    <row r="130" spans="58:76" x14ac:dyDescent="0.2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39">
        <f t="shared" ref="BH130:BI161" si="42">VALUE(T130)</f>
        <v>0</v>
      </c>
      <c r="BI130" s="1">
        <f t="shared" si="42"/>
        <v>0</v>
      </c>
      <c r="BJ130" s="1">
        <f t="shared" ref="BJ130:BJ185" si="43">IFERROR(_xlfn.NUMBERVALUE(V130),V130)</f>
        <v>0</v>
      </c>
      <c r="BK130" s="1">
        <f t="shared" si="28"/>
        <v>0</v>
      </c>
      <c r="BL130" s="1">
        <f t="shared" ref="BL130:BL161" si="44">L130</f>
        <v>0</v>
      </c>
      <c r="BM130" s="10" t="str">
        <f t="shared" ref="BM130:BM161" si="45">SUBSTITUTE(J130,"/",".")</f>
        <v/>
      </c>
      <c r="BN130" s="39">
        <f t="shared" si="29"/>
        <v>0</v>
      </c>
      <c r="BO130" s="39">
        <f t="shared" si="30"/>
        <v>0</v>
      </c>
      <c r="BP130" s="1">
        <f t="shared" ref="BP130:BP185" si="46">VALUE(D130)</f>
        <v>0</v>
      </c>
      <c r="BQ130" s="1">
        <f t="shared" si="31"/>
        <v>0</v>
      </c>
      <c r="BR130" s="1" t="str">
        <f t="shared" ref="BR130:BR161" si="47">SUBSTITUTE(O130,".","")</f>
        <v/>
      </c>
      <c r="BS130" s="1">
        <f t="shared" ref="BS130:BS161" si="48">S130</f>
        <v>0</v>
      </c>
      <c r="BT130" s="4">
        <f t="shared" si="32"/>
        <v>0</v>
      </c>
      <c r="BU130" s="39">
        <f t="shared" si="33"/>
        <v>0</v>
      </c>
      <c r="BV130" s="1">
        <f t="shared" si="34"/>
        <v>0</v>
      </c>
      <c r="BW130">
        <f t="shared" si="35"/>
        <v>0</v>
      </c>
      <c r="BX130">
        <f t="shared" si="36"/>
        <v>0</v>
      </c>
    </row>
    <row r="131" spans="58:76" x14ac:dyDescent="0.2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39">
        <f t="shared" si="42"/>
        <v>0</v>
      </c>
      <c r="BI131" s="1">
        <f t="shared" si="42"/>
        <v>0</v>
      </c>
      <c r="BJ131" s="1">
        <f t="shared" si="43"/>
        <v>0</v>
      </c>
      <c r="BK131" s="1">
        <f t="shared" ref="BK131:BK185" si="49">IFERROR(INT(I131),I131)</f>
        <v>0</v>
      </c>
      <c r="BL131" s="1">
        <f t="shared" si="44"/>
        <v>0</v>
      </c>
      <c r="BM131" s="10" t="str">
        <f t="shared" si="45"/>
        <v/>
      </c>
      <c r="BN131" s="39">
        <f t="shared" ref="BN131:BN185" si="50">VALUE(Q131)*1000</f>
        <v>0</v>
      </c>
      <c r="BO131" s="39">
        <f t="shared" ref="BO131:BO185" si="51">VALUE(P131)/1000</f>
        <v>0</v>
      </c>
      <c r="BP131" s="1">
        <f t="shared" si="46"/>
        <v>0</v>
      </c>
      <c r="BQ131" s="1">
        <f t="shared" ref="BQ131:BQ185" si="52">VALUE(G131)</f>
        <v>0</v>
      </c>
      <c r="BR131" s="1" t="str">
        <f t="shared" si="47"/>
        <v/>
      </c>
      <c r="BS131" s="1">
        <f t="shared" si="48"/>
        <v>0</v>
      </c>
      <c r="BT131" s="4">
        <f t="shared" ref="BT131:BT185" si="53">VALUE(AJ131)</f>
        <v>0</v>
      </c>
      <c r="BU131" s="39">
        <f t="shared" ref="BU131:BU185" si="54">K131</f>
        <v>0</v>
      </c>
      <c r="BV131" s="1">
        <f t="shared" ref="BV131:BV185" si="55">AQ131</f>
        <v>0</v>
      </c>
      <c r="BW131">
        <f t="shared" ref="BW131:BW185" si="56">X131</f>
        <v>0</v>
      </c>
      <c r="BX131">
        <f t="shared" ref="BX131:BX185" si="57">AN131</f>
        <v>0</v>
      </c>
    </row>
    <row r="132" spans="58:76" x14ac:dyDescent="0.2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39">
        <f t="shared" si="42"/>
        <v>0</v>
      </c>
      <c r="BI132" s="1">
        <f t="shared" si="42"/>
        <v>0</v>
      </c>
      <c r="BJ132" s="1">
        <f t="shared" si="43"/>
        <v>0</v>
      </c>
      <c r="BK132" s="1">
        <f t="shared" si="49"/>
        <v>0</v>
      </c>
      <c r="BL132" s="1">
        <f t="shared" si="44"/>
        <v>0</v>
      </c>
      <c r="BM132" s="10" t="str">
        <f t="shared" si="45"/>
        <v/>
      </c>
      <c r="BN132" s="39">
        <f t="shared" si="50"/>
        <v>0</v>
      </c>
      <c r="BO132" s="39">
        <f t="shared" si="51"/>
        <v>0</v>
      </c>
      <c r="BP132" s="1">
        <f t="shared" si="46"/>
        <v>0</v>
      </c>
      <c r="BQ132" s="1">
        <f t="shared" si="52"/>
        <v>0</v>
      </c>
      <c r="BR132" s="1" t="str">
        <f t="shared" si="47"/>
        <v/>
      </c>
      <c r="BS132" s="1">
        <f t="shared" si="48"/>
        <v>0</v>
      </c>
      <c r="BT132" s="4">
        <f t="shared" si="53"/>
        <v>0</v>
      </c>
      <c r="BU132" s="39">
        <f t="shared" si="54"/>
        <v>0</v>
      </c>
      <c r="BV132" s="1">
        <f t="shared" si="55"/>
        <v>0</v>
      </c>
      <c r="BW132">
        <f t="shared" si="56"/>
        <v>0</v>
      </c>
      <c r="BX132">
        <f t="shared" si="57"/>
        <v>0</v>
      </c>
    </row>
    <row r="133" spans="58:76" x14ac:dyDescent="0.2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39">
        <f t="shared" si="42"/>
        <v>0</v>
      </c>
      <c r="BI133" s="1">
        <f t="shared" si="42"/>
        <v>0</v>
      </c>
      <c r="BJ133" s="1">
        <f t="shared" si="43"/>
        <v>0</v>
      </c>
      <c r="BK133" s="1">
        <f t="shared" si="49"/>
        <v>0</v>
      </c>
      <c r="BL133" s="1">
        <f t="shared" si="44"/>
        <v>0</v>
      </c>
      <c r="BM133" s="10" t="str">
        <f t="shared" si="45"/>
        <v/>
      </c>
      <c r="BN133" s="39">
        <f t="shared" si="50"/>
        <v>0</v>
      </c>
      <c r="BO133" s="39">
        <f t="shared" si="51"/>
        <v>0</v>
      </c>
      <c r="BP133" s="1">
        <f t="shared" si="46"/>
        <v>0</v>
      </c>
      <c r="BQ133" s="1">
        <f t="shared" si="52"/>
        <v>0</v>
      </c>
      <c r="BR133" s="1" t="str">
        <f t="shared" si="47"/>
        <v/>
      </c>
      <c r="BS133" s="1">
        <f t="shared" si="48"/>
        <v>0</v>
      </c>
      <c r="BT133" s="4">
        <f t="shared" si="53"/>
        <v>0</v>
      </c>
      <c r="BU133" s="39">
        <f t="shared" si="54"/>
        <v>0</v>
      </c>
      <c r="BV133" s="1">
        <f t="shared" si="55"/>
        <v>0</v>
      </c>
      <c r="BW133">
        <f t="shared" si="56"/>
        <v>0</v>
      </c>
      <c r="BX133">
        <f t="shared" si="57"/>
        <v>0</v>
      </c>
    </row>
    <row r="134" spans="58:76" x14ac:dyDescent="0.2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39">
        <f t="shared" si="42"/>
        <v>0</v>
      </c>
      <c r="BI134" s="1">
        <f t="shared" si="42"/>
        <v>0</v>
      </c>
      <c r="BJ134" s="1">
        <f t="shared" si="43"/>
        <v>0</v>
      </c>
      <c r="BK134" s="1">
        <f t="shared" si="49"/>
        <v>0</v>
      </c>
      <c r="BL134" s="1">
        <f t="shared" si="44"/>
        <v>0</v>
      </c>
      <c r="BM134" s="10" t="str">
        <f t="shared" si="45"/>
        <v/>
      </c>
      <c r="BN134" s="39">
        <f t="shared" si="50"/>
        <v>0</v>
      </c>
      <c r="BO134" s="39">
        <f t="shared" si="51"/>
        <v>0</v>
      </c>
      <c r="BP134" s="1">
        <f t="shared" si="46"/>
        <v>0</v>
      </c>
      <c r="BQ134" s="1">
        <f t="shared" si="52"/>
        <v>0</v>
      </c>
      <c r="BR134" s="1" t="str">
        <f t="shared" si="47"/>
        <v/>
      </c>
      <c r="BS134" s="1">
        <f t="shared" si="48"/>
        <v>0</v>
      </c>
      <c r="BT134" s="4">
        <f t="shared" si="53"/>
        <v>0</v>
      </c>
      <c r="BU134" s="39">
        <f t="shared" si="54"/>
        <v>0</v>
      </c>
      <c r="BV134" s="1">
        <f t="shared" si="55"/>
        <v>0</v>
      </c>
      <c r="BW134">
        <f t="shared" si="56"/>
        <v>0</v>
      </c>
      <c r="BX134">
        <f t="shared" si="57"/>
        <v>0</v>
      </c>
    </row>
    <row r="135" spans="58:76" x14ac:dyDescent="0.2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39">
        <f t="shared" si="42"/>
        <v>0</v>
      </c>
      <c r="BI135" s="1">
        <f t="shared" si="42"/>
        <v>0</v>
      </c>
      <c r="BJ135" s="1">
        <f t="shared" si="43"/>
        <v>0</v>
      </c>
      <c r="BK135" s="1">
        <f t="shared" si="49"/>
        <v>0</v>
      </c>
      <c r="BL135" s="1">
        <f t="shared" si="44"/>
        <v>0</v>
      </c>
      <c r="BM135" s="10" t="str">
        <f t="shared" si="45"/>
        <v/>
      </c>
      <c r="BN135" s="39">
        <f t="shared" si="50"/>
        <v>0</v>
      </c>
      <c r="BO135" s="39">
        <f t="shared" si="51"/>
        <v>0</v>
      </c>
      <c r="BP135" s="1">
        <f t="shared" si="46"/>
        <v>0</v>
      </c>
      <c r="BQ135" s="1">
        <f t="shared" si="52"/>
        <v>0</v>
      </c>
      <c r="BR135" s="1" t="str">
        <f t="shared" si="47"/>
        <v/>
      </c>
      <c r="BS135" s="1">
        <f t="shared" si="48"/>
        <v>0</v>
      </c>
      <c r="BT135" s="4">
        <f t="shared" si="53"/>
        <v>0</v>
      </c>
      <c r="BU135" s="39">
        <f t="shared" si="54"/>
        <v>0</v>
      </c>
      <c r="BV135" s="1">
        <f t="shared" si="55"/>
        <v>0</v>
      </c>
      <c r="BW135">
        <f t="shared" si="56"/>
        <v>0</v>
      </c>
      <c r="BX135">
        <f t="shared" si="57"/>
        <v>0</v>
      </c>
    </row>
    <row r="136" spans="58:76" x14ac:dyDescent="0.2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39">
        <f t="shared" si="42"/>
        <v>0</v>
      </c>
      <c r="BI136" s="1">
        <f t="shared" si="42"/>
        <v>0</v>
      </c>
      <c r="BJ136" s="1">
        <f t="shared" si="43"/>
        <v>0</v>
      </c>
      <c r="BK136" s="1">
        <f t="shared" si="49"/>
        <v>0</v>
      </c>
      <c r="BL136" s="1">
        <f t="shared" si="44"/>
        <v>0</v>
      </c>
      <c r="BM136" s="10" t="str">
        <f t="shared" si="45"/>
        <v/>
      </c>
      <c r="BN136" s="39">
        <f t="shared" si="50"/>
        <v>0</v>
      </c>
      <c r="BO136" s="39">
        <f t="shared" si="51"/>
        <v>0</v>
      </c>
      <c r="BP136" s="1">
        <f t="shared" si="46"/>
        <v>0</v>
      </c>
      <c r="BQ136" s="1">
        <f t="shared" si="52"/>
        <v>0</v>
      </c>
      <c r="BR136" s="1" t="str">
        <f t="shared" si="47"/>
        <v/>
      </c>
      <c r="BS136" s="1">
        <f t="shared" si="48"/>
        <v>0</v>
      </c>
      <c r="BT136" s="4">
        <f t="shared" si="53"/>
        <v>0</v>
      </c>
      <c r="BU136" s="39">
        <f t="shared" si="54"/>
        <v>0</v>
      </c>
      <c r="BV136" s="1">
        <f t="shared" si="55"/>
        <v>0</v>
      </c>
      <c r="BW136">
        <f t="shared" si="56"/>
        <v>0</v>
      </c>
      <c r="BX136">
        <f t="shared" si="57"/>
        <v>0</v>
      </c>
    </row>
    <row r="137" spans="58:76" x14ac:dyDescent="0.2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39">
        <f t="shared" si="42"/>
        <v>0</v>
      </c>
      <c r="BI137" s="1">
        <f t="shared" si="42"/>
        <v>0</v>
      </c>
      <c r="BJ137" s="1">
        <f t="shared" si="43"/>
        <v>0</v>
      </c>
      <c r="BK137" s="1">
        <f t="shared" si="49"/>
        <v>0</v>
      </c>
      <c r="BL137" s="1">
        <f t="shared" si="44"/>
        <v>0</v>
      </c>
      <c r="BM137" s="10" t="str">
        <f t="shared" si="45"/>
        <v/>
      </c>
      <c r="BN137" s="39">
        <f t="shared" si="50"/>
        <v>0</v>
      </c>
      <c r="BO137" s="39">
        <f t="shared" si="51"/>
        <v>0</v>
      </c>
      <c r="BP137" s="1">
        <f t="shared" si="46"/>
        <v>0</v>
      </c>
      <c r="BQ137" s="1">
        <f t="shared" si="52"/>
        <v>0</v>
      </c>
      <c r="BR137" s="1" t="str">
        <f t="shared" si="47"/>
        <v/>
      </c>
      <c r="BS137" s="1">
        <f t="shared" si="48"/>
        <v>0</v>
      </c>
      <c r="BT137" s="4">
        <f t="shared" si="53"/>
        <v>0</v>
      </c>
      <c r="BU137" s="39">
        <f t="shared" si="54"/>
        <v>0</v>
      </c>
      <c r="BV137" s="1">
        <f t="shared" si="55"/>
        <v>0</v>
      </c>
      <c r="BW137">
        <f t="shared" si="56"/>
        <v>0</v>
      </c>
      <c r="BX137">
        <f t="shared" si="57"/>
        <v>0</v>
      </c>
    </row>
    <row r="138" spans="58:76" x14ac:dyDescent="0.2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39">
        <f t="shared" si="42"/>
        <v>0</v>
      </c>
      <c r="BI138" s="1">
        <f t="shared" si="42"/>
        <v>0</v>
      </c>
      <c r="BJ138" s="1">
        <f t="shared" si="43"/>
        <v>0</v>
      </c>
      <c r="BK138" s="1">
        <f t="shared" si="49"/>
        <v>0</v>
      </c>
      <c r="BL138" s="1">
        <f t="shared" si="44"/>
        <v>0</v>
      </c>
      <c r="BM138" s="10" t="str">
        <f t="shared" si="45"/>
        <v/>
      </c>
      <c r="BN138" s="39">
        <f t="shared" si="50"/>
        <v>0</v>
      </c>
      <c r="BO138" s="39">
        <f t="shared" si="51"/>
        <v>0</v>
      </c>
      <c r="BP138" s="1">
        <f t="shared" si="46"/>
        <v>0</v>
      </c>
      <c r="BQ138" s="1">
        <f t="shared" si="52"/>
        <v>0</v>
      </c>
      <c r="BR138" s="1" t="str">
        <f t="shared" si="47"/>
        <v/>
      </c>
      <c r="BS138" s="1">
        <f t="shared" si="48"/>
        <v>0</v>
      </c>
      <c r="BT138" s="4">
        <f t="shared" si="53"/>
        <v>0</v>
      </c>
      <c r="BU138" s="39">
        <f t="shared" si="54"/>
        <v>0</v>
      </c>
      <c r="BV138" s="1">
        <f t="shared" si="55"/>
        <v>0</v>
      </c>
      <c r="BW138">
        <f t="shared" si="56"/>
        <v>0</v>
      </c>
      <c r="BX138">
        <f t="shared" si="57"/>
        <v>0</v>
      </c>
    </row>
    <row r="139" spans="58:76" x14ac:dyDescent="0.2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39">
        <f t="shared" si="42"/>
        <v>0</v>
      </c>
      <c r="BI139" s="1">
        <f t="shared" si="42"/>
        <v>0</v>
      </c>
      <c r="BJ139" s="1">
        <f t="shared" si="43"/>
        <v>0</v>
      </c>
      <c r="BK139" s="1">
        <f t="shared" si="49"/>
        <v>0</v>
      </c>
      <c r="BL139" s="1">
        <f t="shared" si="44"/>
        <v>0</v>
      </c>
      <c r="BM139" s="10" t="str">
        <f t="shared" si="45"/>
        <v/>
      </c>
      <c r="BN139" s="39">
        <f t="shared" si="50"/>
        <v>0</v>
      </c>
      <c r="BO139" s="39">
        <f t="shared" si="51"/>
        <v>0</v>
      </c>
      <c r="BP139" s="1">
        <f t="shared" si="46"/>
        <v>0</v>
      </c>
      <c r="BQ139" s="1">
        <f t="shared" si="52"/>
        <v>0</v>
      </c>
      <c r="BR139" s="1" t="str">
        <f t="shared" si="47"/>
        <v/>
      </c>
      <c r="BS139" s="1">
        <f t="shared" si="48"/>
        <v>0</v>
      </c>
      <c r="BT139" s="4">
        <f t="shared" si="53"/>
        <v>0</v>
      </c>
      <c r="BU139" s="39">
        <f t="shared" si="54"/>
        <v>0</v>
      </c>
      <c r="BV139" s="1">
        <f t="shared" si="55"/>
        <v>0</v>
      </c>
      <c r="BW139">
        <f t="shared" si="56"/>
        <v>0</v>
      </c>
      <c r="BX139">
        <f t="shared" si="57"/>
        <v>0</v>
      </c>
    </row>
    <row r="140" spans="58:76" x14ac:dyDescent="0.2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39">
        <f t="shared" si="42"/>
        <v>0</v>
      </c>
      <c r="BI140" s="1">
        <f t="shared" si="42"/>
        <v>0</v>
      </c>
      <c r="BJ140" s="1">
        <f t="shared" si="43"/>
        <v>0</v>
      </c>
      <c r="BK140" s="1">
        <f t="shared" si="49"/>
        <v>0</v>
      </c>
      <c r="BL140" s="1">
        <f t="shared" si="44"/>
        <v>0</v>
      </c>
      <c r="BM140" s="10" t="str">
        <f t="shared" si="45"/>
        <v/>
      </c>
      <c r="BN140" s="39">
        <f t="shared" si="50"/>
        <v>0</v>
      </c>
      <c r="BO140" s="39">
        <f t="shared" si="51"/>
        <v>0</v>
      </c>
      <c r="BP140" s="1">
        <f t="shared" si="46"/>
        <v>0</v>
      </c>
      <c r="BQ140" s="1">
        <f t="shared" si="52"/>
        <v>0</v>
      </c>
      <c r="BR140" s="1" t="str">
        <f t="shared" si="47"/>
        <v/>
      </c>
      <c r="BS140" s="1">
        <f t="shared" si="48"/>
        <v>0</v>
      </c>
      <c r="BT140" s="4">
        <f t="shared" si="53"/>
        <v>0</v>
      </c>
      <c r="BU140" s="39">
        <f t="shared" si="54"/>
        <v>0</v>
      </c>
      <c r="BV140" s="1">
        <f t="shared" si="55"/>
        <v>0</v>
      </c>
      <c r="BW140">
        <f t="shared" si="56"/>
        <v>0</v>
      </c>
      <c r="BX140">
        <f t="shared" si="57"/>
        <v>0</v>
      </c>
    </row>
    <row r="141" spans="58:76" x14ac:dyDescent="0.2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39">
        <f t="shared" si="42"/>
        <v>0</v>
      </c>
      <c r="BI141" s="1">
        <f t="shared" si="42"/>
        <v>0</v>
      </c>
      <c r="BJ141" s="1">
        <f t="shared" si="43"/>
        <v>0</v>
      </c>
      <c r="BK141" s="1">
        <f t="shared" si="49"/>
        <v>0</v>
      </c>
      <c r="BL141" s="1">
        <f t="shared" si="44"/>
        <v>0</v>
      </c>
      <c r="BM141" s="10" t="str">
        <f t="shared" si="45"/>
        <v/>
      </c>
      <c r="BN141" s="39">
        <f t="shared" si="50"/>
        <v>0</v>
      </c>
      <c r="BO141" s="39">
        <f t="shared" si="51"/>
        <v>0</v>
      </c>
      <c r="BP141" s="1">
        <f t="shared" si="46"/>
        <v>0</v>
      </c>
      <c r="BQ141" s="1">
        <f t="shared" si="52"/>
        <v>0</v>
      </c>
      <c r="BR141" s="1" t="str">
        <f t="shared" si="47"/>
        <v/>
      </c>
      <c r="BS141" s="1">
        <f t="shared" si="48"/>
        <v>0</v>
      </c>
      <c r="BT141" s="4">
        <f t="shared" si="53"/>
        <v>0</v>
      </c>
      <c r="BU141" s="39">
        <f t="shared" si="54"/>
        <v>0</v>
      </c>
      <c r="BV141" s="1">
        <f t="shared" si="55"/>
        <v>0</v>
      </c>
      <c r="BW141">
        <f t="shared" si="56"/>
        <v>0</v>
      </c>
      <c r="BX141">
        <f t="shared" si="57"/>
        <v>0</v>
      </c>
    </row>
    <row r="142" spans="58:76" x14ac:dyDescent="0.2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39">
        <f t="shared" si="42"/>
        <v>0</v>
      </c>
      <c r="BI142" s="1">
        <f t="shared" si="42"/>
        <v>0</v>
      </c>
      <c r="BJ142" s="1">
        <f t="shared" si="43"/>
        <v>0</v>
      </c>
      <c r="BK142" s="1">
        <f t="shared" si="49"/>
        <v>0</v>
      </c>
      <c r="BL142" s="1">
        <f t="shared" si="44"/>
        <v>0</v>
      </c>
      <c r="BM142" s="10" t="str">
        <f t="shared" si="45"/>
        <v/>
      </c>
      <c r="BN142" s="39">
        <f t="shared" si="50"/>
        <v>0</v>
      </c>
      <c r="BO142" s="39">
        <f t="shared" si="51"/>
        <v>0</v>
      </c>
      <c r="BP142" s="1">
        <f t="shared" si="46"/>
        <v>0</v>
      </c>
      <c r="BQ142" s="1">
        <f t="shared" si="52"/>
        <v>0</v>
      </c>
      <c r="BR142" s="1" t="str">
        <f t="shared" si="47"/>
        <v/>
      </c>
      <c r="BS142" s="1">
        <f t="shared" si="48"/>
        <v>0</v>
      </c>
      <c r="BT142" s="4">
        <f t="shared" si="53"/>
        <v>0</v>
      </c>
      <c r="BU142" s="39">
        <f t="shared" si="54"/>
        <v>0</v>
      </c>
      <c r="BV142" s="1">
        <f t="shared" si="55"/>
        <v>0</v>
      </c>
      <c r="BW142">
        <f t="shared" si="56"/>
        <v>0</v>
      </c>
      <c r="BX142">
        <f t="shared" si="57"/>
        <v>0</v>
      </c>
    </row>
    <row r="143" spans="58:76" x14ac:dyDescent="0.2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39">
        <f t="shared" si="42"/>
        <v>0</v>
      </c>
      <c r="BI143" s="1">
        <f t="shared" si="42"/>
        <v>0</v>
      </c>
      <c r="BJ143" s="1">
        <f t="shared" si="43"/>
        <v>0</v>
      </c>
      <c r="BK143" s="1">
        <f t="shared" si="49"/>
        <v>0</v>
      </c>
      <c r="BL143" s="1">
        <f t="shared" si="44"/>
        <v>0</v>
      </c>
      <c r="BM143" s="10" t="str">
        <f t="shared" si="45"/>
        <v/>
      </c>
      <c r="BN143" s="39">
        <f t="shared" si="50"/>
        <v>0</v>
      </c>
      <c r="BO143" s="39">
        <f t="shared" si="51"/>
        <v>0</v>
      </c>
      <c r="BP143" s="1">
        <f t="shared" si="46"/>
        <v>0</v>
      </c>
      <c r="BQ143" s="1">
        <f t="shared" si="52"/>
        <v>0</v>
      </c>
      <c r="BR143" s="1" t="str">
        <f t="shared" si="47"/>
        <v/>
      </c>
      <c r="BS143" s="1">
        <f t="shared" si="48"/>
        <v>0</v>
      </c>
      <c r="BT143" s="4">
        <f t="shared" si="53"/>
        <v>0</v>
      </c>
      <c r="BU143" s="39">
        <f t="shared" si="54"/>
        <v>0</v>
      </c>
      <c r="BV143" s="1">
        <f t="shared" si="55"/>
        <v>0</v>
      </c>
      <c r="BW143">
        <f t="shared" si="56"/>
        <v>0</v>
      </c>
      <c r="BX143">
        <f t="shared" si="57"/>
        <v>0</v>
      </c>
    </row>
    <row r="144" spans="58:76" x14ac:dyDescent="0.2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39">
        <f t="shared" si="42"/>
        <v>0</v>
      </c>
      <c r="BI144" s="1">
        <f t="shared" si="42"/>
        <v>0</v>
      </c>
      <c r="BJ144" s="1">
        <f t="shared" si="43"/>
        <v>0</v>
      </c>
      <c r="BK144" s="1">
        <f t="shared" si="49"/>
        <v>0</v>
      </c>
      <c r="BL144" s="1">
        <f t="shared" si="44"/>
        <v>0</v>
      </c>
      <c r="BM144" s="10" t="str">
        <f t="shared" si="45"/>
        <v/>
      </c>
      <c r="BN144" s="39">
        <f t="shared" si="50"/>
        <v>0</v>
      </c>
      <c r="BO144" s="39">
        <f t="shared" si="51"/>
        <v>0</v>
      </c>
      <c r="BP144" s="1">
        <f t="shared" si="46"/>
        <v>0</v>
      </c>
      <c r="BQ144" s="1">
        <f t="shared" si="52"/>
        <v>0</v>
      </c>
      <c r="BR144" s="1" t="str">
        <f t="shared" si="47"/>
        <v/>
      </c>
      <c r="BS144" s="1">
        <f t="shared" si="48"/>
        <v>0</v>
      </c>
      <c r="BT144" s="4">
        <f t="shared" si="53"/>
        <v>0</v>
      </c>
      <c r="BU144" s="39">
        <f t="shared" si="54"/>
        <v>0</v>
      </c>
      <c r="BV144" s="1">
        <f t="shared" si="55"/>
        <v>0</v>
      </c>
      <c r="BW144">
        <f t="shared" si="56"/>
        <v>0</v>
      </c>
      <c r="BX144">
        <f t="shared" si="57"/>
        <v>0</v>
      </c>
    </row>
    <row r="145" spans="58:76" x14ac:dyDescent="0.2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39">
        <f t="shared" si="42"/>
        <v>0</v>
      </c>
      <c r="BI145" s="1">
        <f t="shared" si="42"/>
        <v>0</v>
      </c>
      <c r="BJ145" s="1">
        <f t="shared" si="43"/>
        <v>0</v>
      </c>
      <c r="BK145" s="1">
        <f t="shared" si="49"/>
        <v>0</v>
      </c>
      <c r="BL145" s="1">
        <f t="shared" si="44"/>
        <v>0</v>
      </c>
      <c r="BM145" s="10" t="str">
        <f t="shared" si="45"/>
        <v/>
      </c>
      <c r="BN145" s="39">
        <f t="shared" si="50"/>
        <v>0</v>
      </c>
      <c r="BO145" s="39">
        <f t="shared" si="51"/>
        <v>0</v>
      </c>
      <c r="BP145" s="1">
        <f t="shared" si="46"/>
        <v>0</v>
      </c>
      <c r="BQ145" s="1">
        <f t="shared" si="52"/>
        <v>0</v>
      </c>
      <c r="BR145" s="1" t="str">
        <f t="shared" si="47"/>
        <v/>
      </c>
      <c r="BS145" s="1">
        <f t="shared" si="48"/>
        <v>0</v>
      </c>
      <c r="BT145" s="4">
        <f t="shared" si="53"/>
        <v>0</v>
      </c>
      <c r="BU145" s="39">
        <f t="shared" si="54"/>
        <v>0</v>
      </c>
      <c r="BV145" s="1">
        <f t="shared" si="55"/>
        <v>0</v>
      </c>
      <c r="BW145">
        <f t="shared" si="56"/>
        <v>0</v>
      </c>
      <c r="BX145">
        <f t="shared" si="57"/>
        <v>0</v>
      </c>
    </row>
    <row r="146" spans="58:76" x14ac:dyDescent="0.2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39">
        <f t="shared" si="42"/>
        <v>0</v>
      </c>
      <c r="BI146" s="1">
        <f t="shared" si="42"/>
        <v>0</v>
      </c>
      <c r="BJ146" s="1">
        <f t="shared" si="43"/>
        <v>0</v>
      </c>
      <c r="BK146" s="1">
        <f t="shared" si="49"/>
        <v>0</v>
      </c>
      <c r="BL146" s="1">
        <f t="shared" si="44"/>
        <v>0</v>
      </c>
      <c r="BM146" s="10" t="str">
        <f t="shared" si="45"/>
        <v/>
      </c>
      <c r="BN146" s="39">
        <f t="shared" si="50"/>
        <v>0</v>
      </c>
      <c r="BO146" s="39">
        <f t="shared" si="51"/>
        <v>0</v>
      </c>
      <c r="BP146" s="1">
        <f t="shared" si="46"/>
        <v>0</v>
      </c>
      <c r="BQ146" s="1">
        <f t="shared" si="52"/>
        <v>0</v>
      </c>
      <c r="BR146" s="1" t="str">
        <f t="shared" si="47"/>
        <v/>
      </c>
      <c r="BS146" s="1">
        <f t="shared" si="48"/>
        <v>0</v>
      </c>
      <c r="BT146" s="4">
        <f t="shared" si="53"/>
        <v>0</v>
      </c>
      <c r="BU146" s="39">
        <f t="shared" si="54"/>
        <v>0</v>
      </c>
      <c r="BV146" s="1">
        <f t="shared" si="55"/>
        <v>0</v>
      </c>
      <c r="BW146">
        <f t="shared" si="56"/>
        <v>0</v>
      </c>
      <c r="BX146">
        <f t="shared" si="57"/>
        <v>0</v>
      </c>
    </row>
    <row r="147" spans="58:76" x14ac:dyDescent="0.2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39">
        <f t="shared" si="42"/>
        <v>0</v>
      </c>
      <c r="BI147" s="1">
        <f t="shared" si="42"/>
        <v>0</v>
      </c>
      <c r="BJ147" s="1">
        <f t="shared" si="43"/>
        <v>0</v>
      </c>
      <c r="BK147" s="1">
        <f t="shared" si="49"/>
        <v>0</v>
      </c>
      <c r="BL147" s="1">
        <f t="shared" si="44"/>
        <v>0</v>
      </c>
      <c r="BM147" s="10" t="str">
        <f t="shared" si="45"/>
        <v/>
      </c>
      <c r="BN147" s="39">
        <f t="shared" si="50"/>
        <v>0</v>
      </c>
      <c r="BO147" s="39">
        <f t="shared" si="51"/>
        <v>0</v>
      </c>
      <c r="BP147" s="1">
        <f t="shared" si="46"/>
        <v>0</v>
      </c>
      <c r="BQ147" s="1">
        <f t="shared" si="52"/>
        <v>0</v>
      </c>
      <c r="BR147" s="1" t="str">
        <f t="shared" si="47"/>
        <v/>
      </c>
      <c r="BS147" s="1">
        <f t="shared" si="48"/>
        <v>0</v>
      </c>
      <c r="BT147" s="4">
        <f t="shared" si="53"/>
        <v>0</v>
      </c>
      <c r="BU147" s="39">
        <f t="shared" si="54"/>
        <v>0</v>
      </c>
      <c r="BV147" s="1">
        <f t="shared" si="55"/>
        <v>0</v>
      </c>
      <c r="BW147">
        <f t="shared" si="56"/>
        <v>0</v>
      </c>
      <c r="BX147">
        <f t="shared" si="57"/>
        <v>0</v>
      </c>
    </row>
    <row r="148" spans="58:76" x14ac:dyDescent="0.2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39">
        <f t="shared" si="42"/>
        <v>0</v>
      </c>
      <c r="BI148" s="1">
        <f t="shared" si="42"/>
        <v>0</v>
      </c>
      <c r="BJ148" s="1">
        <f t="shared" si="43"/>
        <v>0</v>
      </c>
      <c r="BK148" s="1">
        <f t="shared" si="49"/>
        <v>0</v>
      </c>
      <c r="BL148" s="1">
        <f t="shared" si="44"/>
        <v>0</v>
      </c>
      <c r="BM148" s="10" t="str">
        <f t="shared" si="45"/>
        <v/>
      </c>
      <c r="BN148" s="39">
        <f t="shared" si="50"/>
        <v>0</v>
      </c>
      <c r="BO148" s="39">
        <f t="shared" si="51"/>
        <v>0</v>
      </c>
      <c r="BP148" s="1">
        <f t="shared" si="46"/>
        <v>0</v>
      </c>
      <c r="BQ148" s="1">
        <f t="shared" si="52"/>
        <v>0</v>
      </c>
      <c r="BR148" s="1" t="str">
        <f t="shared" si="47"/>
        <v/>
      </c>
      <c r="BS148" s="1">
        <f t="shared" si="48"/>
        <v>0</v>
      </c>
      <c r="BT148" s="4">
        <f t="shared" si="53"/>
        <v>0</v>
      </c>
      <c r="BU148" s="39">
        <f t="shared" si="54"/>
        <v>0</v>
      </c>
      <c r="BV148" s="1">
        <f t="shared" si="55"/>
        <v>0</v>
      </c>
      <c r="BW148">
        <f t="shared" si="56"/>
        <v>0</v>
      </c>
      <c r="BX148">
        <f t="shared" si="57"/>
        <v>0</v>
      </c>
    </row>
    <row r="149" spans="58:76" x14ac:dyDescent="0.2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39">
        <f t="shared" si="42"/>
        <v>0</v>
      </c>
      <c r="BI149" s="1">
        <f t="shared" si="42"/>
        <v>0</v>
      </c>
      <c r="BJ149" s="1">
        <f t="shared" si="43"/>
        <v>0</v>
      </c>
      <c r="BK149" s="1">
        <f t="shared" si="49"/>
        <v>0</v>
      </c>
      <c r="BL149" s="1">
        <f t="shared" si="44"/>
        <v>0</v>
      </c>
      <c r="BM149" s="10" t="str">
        <f t="shared" si="45"/>
        <v/>
      </c>
      <c r="BN149" s="39">
        <f t="shared" si="50"/>
        <v>0</v>
      </c>
      <c r="BO149" s="39">
        <f t="shared" si="51"/>
        <v>0</v>
      </c>
      <c r="BP149" s="1">
        <f t="shared" si="46"/>
        <v>0</v>
      </c>
      <c r="BQ149" s="1">
        <f t="shared" si="52"/>
        <v>0</v>
      </c>
      <c r="BR149" s="1" t="str">
        <f t="shared" si="47"/>
        <v/>
      </c>
      <c r="BS149" s="1">
        <f t="shared" si="48"/>
        <v>0</v>
      </c>
      <c r="BT149" s="4">
        <f t="shared" si="53"/>
        <v>0</v>
      </c>
      <c r="BU149" s="39">
        <f t="shared" si="54"/>
        <v>0</v>
      </c>
      <c r="BV149" s="1">
        <f t="shared" si="55"/>
        <v>0</v>
      </c>
      <c r="BW149">
        <f t="shared" si="56"/>
        <v>0</v>
      </c>
      <c r="BX149">
        <f t="shared" si="57"/>
        <v>0</v>
      </c>
    </row>
    <row r="150" spans="58:76" x14ac:dyDescent="0.2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39">
        <f t="shared" si="42"/>
        <v>0</v>
      </c>
      <c r="BI150" s="1">
        <f t="shared" si="42"/>
        <v>0</v>
      </c>
      <c r="BJ150" s="1">
        <f t="shared" si="43"/>
        <v>0</v>
      </c>
      <c r="BK150" s="1">
        <f t="shared" si="49"/>
        <v>0</v>
      </c>
      <c r="BL150" s="1">
        <f t="shared" si="44"/>
        <v>0</v>
      </c>
      <c r="BM150" s="10" t="str">
        <f t="shared" si="45"/>
        <v/>
      </c>
      <c r="BN150" s="39">
        <f t="shared" si="50"/>
        <v>0</v>
      </c>
      <c r="BO150" s="39">
        <f t="shared" si="51"/>
        <v>0</v>
      </c>
      <c r="BP150" s="1">
        <f t="shared" si="46"/>
        <v>0</v>
      </c>
      <c r="BQ150" s="1">
        <f t="shared" si="52"/>
        <v>0</v>
      </c>
      <c r="BR150" s="1" t="str">
        <f t="shared" si="47"/>
        <v/>
      </c>
      <c r="BS150" s="1">
        <f t="shared" si="48"/>
        <v>0</v>
      </c>
      <c r="BT150" s="4">
        <f t="shared" si="53"/>
        <v>0</v>
      </c>
      <c r="BU150" s="39">
        <f t="shared" si="54"/>
        <v>0</v>
      </c>
      <c r="BV150" s="1">
        <f t="shared" si="55"/>
        <v>0</v>
      </c>
      <c r="BW150">
        <f t="shared" si="56"/>
        <v>0</v>
      </c>
      <c r="BX150">
        <f t="shared" si="57"/>
        <v>0</v>
      </c>
    </row>
    <row r="151" spans="58:76" x14ac:dyDescent="0.2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39">
        <f t="shared" si="42"/>
        <v>0</v>
      </c>
      <c r="BI151" s="1">
        <f t="shared" si="42"/>
        <v>0</v>
      </c>
      <c r="BJ151" s="1">
        <f t="shared" si="43"/>
        <v>0</v>
      </c>
      <c r="BK151" s="1">
        <f t="shared" si="49"/>
        <v>0</v>
      </c>
      <c r="BL151" s="1">
        <f t="shared" si="44"/>
        <v>0</v>
      </c>
      <c r="BM151" s="10" t="str">
        <f t="shared" si="45"/>
        <v/>
      </c>
      <c r="BN151" s="39">
        <f t="shared" si="50"/>
        <v>0</v>
      </c>
      <c r="BO151" s="39">
        <f t="shared" si="51"/>
        <v>0</v>
      </c>
      <c r="BP151" s="1">
        <f t="shared" si="46"/>
        <v>0</v>
      </c>
      <c r="BQ151" s="1">
        <f t="shared" si="52"/>
        <v>0</v>
      </c>
      <c r="BR151" s="1" t="str">
        <f t="shared" si="47"/>
        <v/>
      </c>
      <c r="BS151" s="1">
        <f t="shared" si="48"/>
        <v>0</v>
      </c>
      <c r="BT151" s="4">
        <f t="shared" si="53"/>
        <v>0</v>
      </c>
      <c r="BU151" s="39">
        <f t="shared" si="54"/>
        <v>0</v>
      </c>
      <c r="BV151" s="1">
        <f t="shared" si="55"/>
        <v>0</v>
      </c>
      <c r="BW151">
        <f t="shared" si="56"/>
        <v>0</v>
      </c>
      <c r="BX151">
        <f t="shared" si="57"/>
        <v>0</v>
      </c>
    </row>
    <row r="152" spans="58:76" x14ac:dyDescent="0.2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39">
        <f t="shared" si="42"/>
        <v>0</v>
      </c>
      <c r="BI152" s="1">
        <f t="shared" si="42"/>
        <v>0</v>
      </c>
      <c r="BJ152" s="1">
        <f t="shared" si="43"/>
        <v>0</v>
      </c>
      <c r="BK152" s="1">
        <f t="shared" si="49"/>
        <v>0</v>
      </c>
      <c r="BL152" s="1">
        <f t="shared" si="44"/>
        <v>0</v>
      </c>
      <c r="BM152" s="10" t="str">
        <f t="shared" si="45"/>
        <v/>
      </c>
      <c r="BN152" s="39">
        <f t="shared" si="50"/>
        <v>0</v>
      </c>
      <c r="BO152" s="39">
        <f t="shared" si="51"/>
        <v>0</v>
      </c>
      <c r="BP152" s="1">
        <f t="shared" si="46"/>
        <v>0</v>
      </c>
      <c r="BQ152" s="1">
        <f t="shared" si="52"/>
        <v>0</v>
      </c>
      <c r="BR152" s="1" t="str">
        <f t="shared" si="47"/>
        <v/>
      </c>
      <c r="BS152" s="1">
        <f t="shared" si="48"/>
        <v>0</v>
      </c>
      <c r="BT152" s="4">
        <f t="shared" si="53"/>
        <v>0</v>
      </c>
      <c r="BU152" s="39">
        <f t="shared" si="54"/>
        <v>0</v>
      </c>
      <c r="BV152" s="1">
        <f t="shared" si="55"/>
        <v>0</v>
      </c>
      <c r="BW152">
        <f t="shared" si="56"/>
        <v>0</v>
      </c>
      <c r="BX152">
        <f t="shared" si="57"/>
        <v>0</v>
      </c>
    </row>
    <row r="153" spans="58:76" x14ac:dyDescent="0.2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39">
        <f t="shared" si="42"/>
        <v>0</v>
      </c>
      <c r="BI153" s="1">
        <f t="shared" si="42"/>
        <v>0</v>
      </c>
      <c r="BJ153" s="1">
        <f t="shared" si="43"/>
        <v>0</v>
      </c>
      <c r="BK153" s="1">
        <f t="shared" si="49"/>
        <v>0</v>
      </c>
      <c r="BL153" s="1">
        <f t="shared" si="44"/>
        <v>0</v>
      </c>
      <c r="BM153" s="10" t="str">
        <f t="shared" si="45"/>
        <v/>
      </c>
      <c r="BN153" s="39">
        <f t="shared" si="50"/>
        <v>0</v>
      </c>
      <c r="BO153" s="39">
        <f t="shared" si="51"/>
        <v>0</v>
      </c>
      <c r="BP153" s="1">
        <f t="shared" si="46"/>
        <v>0</v>
      </c>
      <c r="BQ153" s="1">
        <f t="shared" si="52"/>
        <v>0</v>
      </c>
      <c r="BR153" s="1" t="str">
        <f t="shared" si="47"/>
        <v/>
      </c>
      <c r="BS153" s="1">
        <f t="shared" si="48"/>
        <v>0</v>
      </c>
      <c r="BT153" s="4">
        <f t="shared" si="53"/>
        <v>0</v>
      </c>
      <c r="BU153" s="39">
        <f t="shared" si="54"/>
        <v>0</v>
      </c>
      <c r="BV153" s="1">
        <f t="shared" si="55"/>
        <v>0</v>
      </c>
      <c r="BW153">
        <f t="shared" si="56"/>
        <v>0</v>
      </c>
      <c r="BX153">
        <f t="shared" si="57"/>
        <v>0</v>
      </c>
    </row>
    <row r="154" spans="58:76" x14ac:dyDescent="0.2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39">
        <f t="shared" si="42"/>
        <v>0</v>
      </c>
      <c r="BI154" s="1">
        <f t="shared" si="42"/>
        <v>0</v>
      </c>
      <c r="BJ154" s="1">
        <f t="shared" si="43"/>
        <v>0</v>
      </c>
      <c r="BK154" s="1">
        <f t="shared" si="49"/>
        <v>0</v>
      </c>
      <c r="BL154" s="1">
        <f t="shared" si="44"/>
        <v>0</v>
      </c>
      <c r="BM154" s="10" t="str">
        <f t="shared" si="45"/>
        <v/>
      </c>
      <c r="BN154" s="39">
        <f t="shared" si="50"/>
        <v>0</v>
      </c>
      <c r="BO154" s="39">
        <f t="shared" si="51"/>
        <v>0</v>
      </c>
      <c r="BP154" s="1">
        <f t="shared" si="46"/>
        <v>0</v>
      </c>
      <c r="BQ154" s="1">
        <f t="shared" si="52"/>
        <v>0</v>
      </c>
      <c r="BR154" s="1" t="str">
        <f t="shared" si="47"/>
        <v/>
      </c>
      <c r="BS154" s="1">
        <f t="shared" si="48"/>
        <v>0</v>
      </c>
      <c r="BT154" s="4">
        <f t="shared" si="53"/>
        <v>0</v>
      </c>
      <c r="BU154" s="39">
        <f t="shared" si="54"/>
        <v>0</v>
      </c>
      <c r="BV154" s="1">
        <f t="shared" si="55"/>
        <v>0</v>
      </c>
      <c r="BW154">
        <f t="shared" si="56"/>
        <v>0</v>
      </c>
      <c r="BX154">
        <f t="shared" si="57"/>
        <v>0</v>
      </c>
    </row>
    <row r="155" spans="58:76" x14ac:dyDescent="0.2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39">
        <f t="shared" si="42"/>
        <v>0</v>
      </c>
      <c r="BI155" s="1">
        <f t="shared" si="42"/>
        <v>0</v>
      </c>
      <c r="BJ155" s="1">
        <f t="shared" si="43"/>
        <v>0</v>
      </c>
      <c r="BK155" s="1">
        <f t="shared" si="49"/>
        <v>0</v>
      </c>
      <c r="BL155" s="1">
        <f t="shared" si="44"/>
        <v>0</v>
      </c>
      <c r="BM155" s="10" t="str">
        <f t="shared" si="45"/>
        <v/>
      </c>
      <c r="BN155" s="39">
        <f t="shared" si="50"/>
        <v>0</v>
      </c>
      <c r="BO155" s="39">
        <f t="shared" si="51"/>
        <v>0</v>
      </c>
      <c r="BP155" s="1">
        <f t="shared" si="46"/>
        <v>0</v>
      </c>
      <c r="BQ155" s="1">
        <f t="shared" si="52"/>
        <v>0</v>
      </c>
      <c r="BR155" s="1" t="str">
        <f t="shared" si="47"/>
        <v/>
      </c>
      <c r="BS155" s="1">
        <f t="shared" si="48"/>
        <v>0</v>
      </c>
      <c r="BT155" s="4">
        <f t="shared" si="53"/>
        <v>0</v>
      </c>
      <c r="BU155" s="39">
        <f t="shared" si="54"/>
        <v>0</v>
      </c>
      <c r="BV155" s="1">
        <f t="shared" si="55"/>
        <v>0</v>
      </c>
      <c r="BW155">
        <f t="shared" si="56"/>
        <v>0</v>
      </c>
      <c r="BX155">
        <f t="shared" si="57"/>
        <v>0</v>
      </c>
    </row>
    <row r="156" spans="58:76" x14ac:dyDescent="0.2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39">
        <f t="shared" si="42"/>
        <v>0</v>
      </c>
      <c r="BI156" s="1">
        <f t="shared" si="42"/>
        <v>0</v>
      </c>
      <c r="BJ156" s="1">
        <f t="shared" si="43"/>
        <v>0</v>
      </c>
      <c r="BK156" s="1">
        <f t="shared" si="49"/>
        <v>0</v>
      </c>
      <c r="BL156" s="1">
        <f t="shared" si="44"/>
        <v>0</v>
      </c>
      <c r="BM156" s="10" t="str">
        <f t="shared" si="45"/>
        <v/>
      </c>
      <c r="BN156" s="39">
        <f t="shared" si="50"/>
        <v>0</v>
      </c>
      <c r="BO156" s="39">
        <f t="shared" si="51"/>
        <v>0</v>
      </c>
      <c r="BP156" s="1">
        <f t="shared" si="46"/>
        <v>0</v>
      </c>
      <c r="BQ156" s="1">
        <f t="shared" si="52"/>
        <v>0</v>
      </c>
      <c r="BR156" s="1" t="str">
        <f t="shared" si="47"/>
        <v/>
      </c>
      <c r="BS156" s="1">
        <f t="shared" si="48"/>
        <v>0</v>
      </c>
      <c r="BT156" s="4">
        <f t="shared" si="53"/>
        <v>0</v>
      </c>
      <c r="BU156" s="39">
        <f t="shared" si="54"/>
        <v>0</v>
      </c>
      <c r="BV156" s="1">
        <f t="shared" si="55"/>
        <v>0</v>
      </c>
      <c r="BW156">
        <f t="shared" si="56"/>
        <v>0</v>
      </c>
      <c r="BX156">
        <f t="shared" si="57"/>
        <v>0</v>
      </c>
    </row>
    <row r="157" spans="58:76" x14ac:dyDescent="0.2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39">
        <f t="shared" si="42"/>
        <v>0</v>
      </c>
      <c r="BI157" s="1">
        <f t="shared" si="42"/>
        <v>0</v>
      </c>
      <c r="BJ157" s="1">
        <f t="shared" si="43"/>
        <v>0</v>
      </c>
      <c r="BK157" s="1">
        <f t="shared" si="49"/>
        <v>0</v>
      </c>
      <c r="BL157" s="1">
        <f t="shared" si="44"/>
        <v>0</v>
      </c>
      <c r="BM157" s="10" t="str">
        <f t="shared" si="45"/>
        <v/>
      </c>
      <c r="BN157" s="39">
        <f t="shared" si="50"/>
        <v>0</v>
      </c>
      <c r="BO157" s="39">
        <f t="shared" si="51"/>
        <v>0</v>
      </c>
      <c r="BP157" s="1">
        <f t="shared" si="46"/>
        <v>0</v>
      </c>
      <c r="BQ157" s="1">
        <f t="shared" si="52"/>
        <v>0</v>
      </c>
      <c r="BR157" s="1" t="str">
        <f t="shared" si="47"/>
        <v/>
      </c>
      <c r="BS157" s="1">
        <f t="shared" si="48"/>
        <v>0</v>
      </c>
      <c r="BT157" s="4">
        <f t="shared" si="53"/>
        <v>0</v>
      </c>
      <c r="BU157" s="39">
        <f t="shared" si="54"/>
        <v>0</v>
      </c>
      <c r="BV157" s="1">
        <f t="shared" si="55"/>
        <v>0</v>
      </c>
      <c r="BW157">
        <f t="shared" si="56"/>
        <v>0</v>
      </c>
      <c r="BX157">
        <f t="shared" si="57"/>
        <v>0</v>
      </c>
    </row>
    <row r="158" spans="58:76" x14ac:dyDescent="0.2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39">
        <f t="shared" si="42"/>
        <v>0</v>
      </c>
      <c r="BI158" s="1">
        <f t="shared" si="42"/>
        <v>0</v>
      </c>
      <c r="BJ158" s="1">
        <f t="shared" si="43"/>
        <v>0</v>
      </c>
      <c r="BK158" s="1">
        <f t="shared" si="49"/>
        <v>0</v>
      </c>
      <c r="BL158" s="1">
        <f t="shared" si="44"/>
        <v>0</v>
      </c>
      <c r="BM158" s="10" t="str">
        <f t="shared" si="45"/>
        <v/>
      </c>
      <c r="BN158" s="39">
        <f t="shared" si="50"/>
        <v>0</v>
      </c>
      <c r="BO158" s="39">
        <f t="shared" si="51"/>
        <v>0</v>
      </c>
      <c r="BP158" s="1">
        <f t="shared" si="46"/>
        <v>0</v>
      </c>
      <c r="BQ158" s="1">
        <f t="shared" si="52"/>
        <v>0</v>
      </c>
      <c r="BR158" s="1" t="str">
        <f t="shared" si="47"/>
        <v/>
      </c>
      <c r="BS158" s="1">
        <f t="shared" si="48"/>
        <v>0</v>
      </c>
      <c r="BT158" s="4">
        <f t="shared" si="53"/>
        <v>0</v>
      </c>
      <c r="BU158" s="39">
        <f t="shared" si="54"/>
        <v>0</v>
      </c>
      <c r="BV158" s="1">
        <f t="shared" si="55"/>
        <v>0</v>
      </c>
      <c r="BW158">
        <f t="shared" si="56"/>
        <v>0</v>
      </c>
      <c r="BX158">
        <f t="shared" si="57"/>
        <v>0</v>
      </c>
    </row>
    <row r="159" spans="58:76" x14ac:dyDescent="0.2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39">
        <f t="shared" si="42"/>
        <v>0</v>
      </c>
      <c r="BI159" s="1">
        <f t="shared" si="42"/>
        <v>0</v>
      </c>
      <c r="BJ159" s="1">
        <f t="shared" si="43"/>
        <v>0</v>
      </c>
      <c r="BK159" s="1">
        <f t="shared" si="49"/>
        <v>0</v>
      </c>
      <c r="BL159" s="1">
        <f t="shared" si="44"/>
        <v>0</v>
      </c>
      <c r="BM159" s="10" t="str">
        <f t="shared" si="45"/>
        <v/>
      </c>
      <c r="BN159" s="39">
        <f t="shared" si="50"/>
        <v>0</v>
      </c>
      <c r="BO159" s="39">
        <f t="shared" si="51"/>
        <v>0</v>
      </c>
      <c r="BP159" s="1">
        <f t="shared" si="46"/>
        <v>0</v>
      </c>
      <c r="BQ159" s="1">
        <f t="shared" si="52"/>
        <v>0</v>
      </c>
      <c r="BR159" s="1" t="str">
        <f t="shared" si="47"/>
        <v/>
      </c>
      <c r="BS159" s="1">
        <f t="shared" si="48"/>
        <v>0</v>
      </c>
      <c r="BT159" s="4">
        <f t="shared" si="53"/>
        <v>0</v>
      </c>
      <c r="BU159" s="39">
        <f t="shared" si="54"/>
        <v>0</v>
      </c>
      <c r="BV159" s="1">
        <f t="shared" si="55"/>
        <v>0</v>
      </c>
      <c r="BW159">
        <f t="shared" si="56"/>
        <v>0</v>
      </c>
      <c r="BX159">
        <f t="shared" si="57"/>
        <v>0</v>
      </c>
    </row>
    <row r="160" spans="58:76" x14ac:dyDescent="0.2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39">
        <f t="shared" si="42"/>
        <v>0</v>
      </c>
      <c r="BI160" s="1">
        <f t="shared" si="42"/>
        <v>0</v>
      </c>
      <c r="BJ160" s="1">
        <f t="shared" si="43"/>
        <v>0</v>
      </c>
      <c r="BK160" s="1">
        <f t="shared" si="49"/>
        <v>0</v>
      </c>
      <c r="BL160" s="1">
        <f t="shared" si="44"/>
        <v>0</v>
      </c>
      <c r="BM160" s="10" t="str">
        <f t="shared" si="45"/>
        <v/>
      </c>
      <c r="BN160" s="39">
        <f t="shared" si="50"/>
        <v>0</v>
      </c>
      <c r="BO160" s="39">
        <f t="shared" si="51"/>
        <v>0</v>
      </c>
      <c r="BP160" s="1">
        <f t="shared" si="46"/>
        <v>0</v>
      </c>
      <c r="BQ160" s="1">
        <f t="shared" si="52"/>
        <v>0</v>
      </c>
      <c r="BR160" s="1" t="str">
        <f t="shared" si="47"/>
        <v/>
      </c>
      <c r="BS160" s="1">
        <f t="shared" si="48"/>
        <v>0</v>
      </c>
      <c r="BT160" s="4">
        <f t="shared" si="53"/>
        <v>0</v>
      </c>
      <c r="BU160" s="39">
        <f t="shared" si="54"/>
        <v>0</v>
      </c>
      <c r="BV160" s="1">
        <f t="shared" si="55"/>
        <v>0</v>
      </c>
      <c r="BW160">
        <f t="shared" si="56"/>
        <v>0</v>
      </c>
      <c r="BX160">
        <f t="shared" si="57"/>
        <v>0</v>
      </c>
    </row>
    <row r="161" spans="58:76" x14ac:dyDescent="0.2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39">
        <f t="shared" si="42"/>
        <v>0</v>
      </c>
      <c r="BI161" s="1">
        <f t="shared" si="42"/>
        <v>0</v>
      </c>
      <c r="BJ161" s="1">
        <f t="shared" si="43"/>
        <v>0</v>
      </c>
      <c r="BK161" s="1">
        <f t="shared" si="49"/>
        <v>0</v>
      </c>
      <c r="BL161" s="1">
        <f t="shared" si="44"/>
        <v>0</v>
      </c>
      <c r="BM161" s="10" t="str">
        <f t="shared" si="45"/>
        <v/>
      </c>
      <c r="BN161" s="39">
        <f t="shared" si="50"/>
        <v>0</v>
      </c>
      <c r="BO161" s="39">
        <f t="shared" si="51"/>
        <v>0</v>
      </c>
      <c r="BP161" s="1">
        <f t="shared" si="46"/>
        <v>0</v>
      </c>
      <c r="BQ161" s="1">
        <f t="shared" si="52"/>
        <v>0</v>
      </c>
      <c r="BR161" s="1" t="str">
        <f t="shared" si="47"/>
        <v/>
      </c>
      <c r="BS161" s="1">
        <f t="shared" si="48"/>
        <v>0</v>
      </c>
      <c r="BT161" s="4">
        <f t="shared" si="53"/>
        <v>0</v>
      </c>
      <c r="BU161" s="39">
        <f t="shared" si="54"/>
        <v>0</v>
      </c>
      <c r="BV161" s="1">
        <f t="shared" si="55"/>
        <v>0</v>
      </c>
      <c r="BW161">
        <f t="shared" si="56"/>
        <v>0</v>
      </c>
      <c r="BX161">
        <f t="shared" si="57"/>
        <v>0</v>
      </c>
    </row>
    <row r="162" spans="58:76" x14ac:dyDescent="0.2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39">
        <f t="shared" ref="BH162:BI185" si="58">VALUE(T162)</f>
        <v>0</v>
      </c>
      <c r="BI162" s="1">
        <f t="shared" si="58"/>
        <v>0</v>
      </c>
      <c r="BJ162" s="1">
        <f t="shared" si="43"/>
        <v>0</v>
      </c>
      <c r="BK162" s="1">
        <f t="shared" si="49"/>
        <v>0</v>
      </c>
      <c r="BL162" s="1">
        <f t="shared" ref="BL162:BL185" si="59">L162</f>
        <v>0</v>
      </c>
      <c r="BM162" s="10" t="str">
        <f t="shared" ref="BM162:BM185" si="60">SUBSTITUTE(J162,"/",".")</f>
        <v/>
      </c>
      <c r="BN162" s="39">
        <f t="shared" si="50"/>
        <v>0</v>
      </c>
      <c r="BO162" s="39">
        <f t="shared" si="51"/>
        <v>0</v>
      </c>
      <c r="BP162" s="1">
        <f t="shared" si="46"/>
        <v>0</v>
      </c>
      <c r="BQ162" s="1">
        <f t="shared" si="52"/>
        <v>0</v>
      </c>
      <c r="BR162" s="1" t="str">
        <f t="shared" ref="BR162:BR185" si="61">SUBSTITUTE(O162,".","")</f>
        <v/>
      </c>
      <c r="BS162" s="1">
        <f t="shared" ref="BS162:BS185" si="62">S162</f>
        <v>0</v>
      </c>
      <c r="BT162" s="4">
        <f t="shared" si="53"/>
        <v>0</v>
      </c>
      <c r="BU162" s="39">
        <f t="shared" si="54"/>
        <v>0</v>
      </c>
      <c r="BV162" s="1">
        <f t="shared" si="55"/>
        <v>0</v>
      </c>
      <c r="BW162">
        <f t="shared" si="56"/>
        <v>0</v>
      </c>
      <c r="BX162">
        <f t="shared" si="57"/>
        <v>0</v>
      </c>
    </row>
    <row r="163" spans="58:76" x14ac:dyDescent="0.2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39">
        <f t="shared" si="58"/>
        <v>0</v>
      </c>
      <c r="BI163" s="1">
        <f t="shared" si="58"/>
        <v>0</v>
      </c>
      <c r="BJ163" s="1">
        <f t="shared" si="43"/>
        <v>0</v>
      </c>
      <c r="BK163" s="1">
        <f t="shared" si="49"/>
        <v>0</v>
      </c>
      <c r="BL163" s="1">
        <f t="shared" si="59"/>
        <v>0</v>
      </c>
      <c r="BM163" s="10" t="str">
        <f t="shared" si="60"/>
        <v/>
      </c>
      <c r="BN163" s="39">
        <f t="shared" si="50"/>
        <v>0</v>
      </c>
      <c r="BO163" s="39">
        <f t="shared" si="51"/>
        <v>0</v>
      </c>
      <c r="BP163" s="1">
        <f t="shared" si="46"/>
        <v>0</v>
      </c>
      <c r="BQ163" s="1">
        <f t="shared" si="52"/>
        <v>0</v>
      </c>
      <c r="BR163" s="1" t="str">
        <f t="shared" si="61"/>
        <v/>
      </c>
      <c r="BS163" s="1">
        <f t="shared" si="62"/>
        <v>0</v>
      </c>
      <c r="BT163" s="4">
        <f t="shared" si="53"/>
        <v>0</v>
      </c>
      <c r="BU163" s="39">
        <f t="shared" si="54"/>
        <v>0</v>
      </c>
      <c r="BV163" s="1">
        <f t="shared" si="55"/>
        <v>0</v>
      </c>
      <c r="BW163">
        <f t="shared" si="56"/>
        <v>0</v>
      </c>
      <c r="BX163">
        <f t="shared" si="57"/>
        <v>0</v>
      </c>
    </row>
    <row r="164" spans="58:76" x14ac:dyDescent="0.2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39">
        <f t="shared" si="58"/>
        <v>0</v>
      </c>
      <c r="BI164" s="1">
        <f t="shared" si="58"/>
        <v>0</v>
      </c>
      <c r="BJ164" s="1">
        <f t="shared" si="43"/>
        <v>0</v>
      </c>
      <c r="BK164" s="1">
        <f t="shared" si="49"/>
        <v>0</v>
      </c>
      <c r="BL164" s="1">
        <f t="shared" si="59"/>
        <v>0</v>
      </c>
      <c r="BM164" s="10" t="str">
        <f t="shared" si="60"/>
        <v/>
      </c>
      <c r="BN164" s="39">
        <f t="shared" si="50"/>
        <v>0</v>
      </c>
      <c r="BO164" s="39">
        <f t="shared" si="51"/>
        <v>0</v>
      </c>
      <c r="BP164" s="1">
        <f t="shared" si="46"/>
        <v>0</v>
      </c>
      <c r="BQ164" s="1">
        <f t="shared" si="52"/>
        <v>0</v>
      </c>
      <c r="BR164" s="1" t="str">
        <f t="shared" si="61"/>
        <v/>
      </c>
      <c r="BS164" s="1">
        <f t="shared" si="62"/>
        <v>0</v>
      </c>
      <c r="BT164" s="4">
        <f t="shared" si="53"/>
        <v>0</v>
      </c>
      <c r="BU164" s="39">
        <f t="shared" si="54"/>
        <v>0</v>
      </c>
      <c r="BV164" s="1">
        <f t="shared" si="55"/>
        <v>0</v>
      </c>
      <c r="BW164">
        <f t="shared" si="56"/>
        <v>0</v>
      </c>
      <c r="BX164">
        <f t="shared" si="57"/>
        <v>0</v>
      </c>
    </row>
    <row r="165" spans="58:76" x14ac:dyDescent="0.2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39">
        <f t="shared" si="58"/>
        <v>0</v>
      </c>
      <c r="BI165" s="1">
        <f t="shared" si="58"/>
        <v>0</v>
      </c>
      <c r="BJ165" s="1">
        <f t="shared" si="43"/>
        <v>0</v>
      </c>
      <c r="BK165" s="1">
        <f t="shared" si="49"/>
        <v>0</v>
      </c>
      <c r="BL165" s="1">
        <f t="shared" si="59"/>
        <v>0</v>
      </c>
      <c r="BM165" s="10" t="str">
        <f t="shared" si="60"/>
        <v/>
      </c>
      <c r="BN165" s="39">
        <f t="shared" si="50"/>
        <v>0</v>
      </c>
      <c r="BO165" s="39">
        <f t="shared" si="51"/>
        <v>0</v>
      </c>
      <c r="BP165" s="1">
        <f t="shared" si="46"/>
        <v>0</v>
      </c>
      <c r="BQ165" s="1">
        <f t="shared" si="52"/>
        <v>0</v>
      </c>
      <c r="BR165" s="1" t="str">
        <f t="shared" si="61"/>
        <v/>
      </c>
      <c r="BS165" s="1">
        <f t="shared" si="62"/>
        <v>0</v>
      </c>
      <c r="BT165" s="4">
        <f t="shared" si="53"/>
        <v>0</v>
      </c>
      <c r="BU165" s="39">
        <f t="shared" si="54"/>
        <v>0</v>
      </c>
      <c r="BV165" s="1">
        <f t="shared" si="55"/>
        <v>0</v>
      </c>
      <c r="BW165">
        <f t="shared" si="56"/>
        <v>0</v>
      </c>
      <c r="BX165">
        <f t="shared" si="57"/>
        <v>0</v>
      </c>
    </row>
    <row r="166" spans="58:76" x14ac:dyDescent="0.2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39">
        <f t="shared" si="58"/>
        <v>0</v>
      </c>
      <c r="BI166" s="1">
        <f t="shared" si="58"/>
        <v>0</v>
      </c>
      <c r="BJ166" s="1">
        <f t="shared" si="43"/>
        <v>0</v>
      </c>
      <c r="BK166" s="1">
        <f t="shared" si="49"/>
        <v>0</v>
      </c>
      <c r="BL166" s="1">
        <f t="shared" si="59"/>
        <v>0</v>
      </c>
      <c r="BM166" s="10" t="str">
        <f t="shared" si="60"/>
        <v/>
      </c>
      <c r="BN166" s="39">
        <f t="shared" si="50"/>
        <v>0</v>
      </c>
      <c r="BO166" s="39">
        <f t="shared" si="51"/>
        <v>0</v>
      </c>
      <c r="BP166" s="1">
        <f t="shared" si="46"/>
        <v>0</v>
      </c>
      <c r="BQ166" s="1">
        <f t="shared" si="52"/>
        <v>0</v>
      </c>
      <c r="BR166" s="1" t="str">
        <f t="shared" si="61"/>
        <v/>
      </c>
      <c r="BS166" s="1">
        <f t="shared" si="62"/>
        <v>0</v>
      </c>
      <c r="BT166" s="4">
        <f t="shared" si="53"/>
        <v>0</v>
      </c>
      <c r="BU166" s="39">
        <f t="shared" si="54"/>
        <v>0</v>
      </c>
      <c r="BV166" s="1">
        <f t="shared" si="55"/>
        <v>0</v>
      </c>
      <c r="BW166">
        <f t="shared" si="56"/>
        <v>0</v>
      </c>
      <c r="BX166">
        <f t="shared" si="57"/>
        <v>0</v>
      </c>
    </row>
    <row r="167" spans="58:76" x14ac:dyDescent="0.2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39">
        <f t="shared" si="58"/>
        <v>0</v>
      </c>
      <c r="BI167" s="1">
        <f t="shared" si="58"/>
        <v>0</v>
      </c>
      <c r="BJ167" s="1">
        <f t="shared" si="43"/>
        <v>0</v>
      </c>
      <c r="BK167" s="1">
        <f t="shared" si="49"/>
        <v>0</v>
      </c>
      <c r="BL167" s="1">
        <f t="shared" si="59"/>
        <v>0</v>
      </c>
      <c r="BM167" s="10" t="str">
        <f t="shared" si="60"/>
        <v/>
      </c>
      <c r="BN167" s="39">
        <f t="shared" si="50"/>
        <v>0</v>
      </c>
      <c r="BO167" s="39">
        <f t="shared" si="51"/>
        <v>0</v>
      </c>
      <c r="BP167" s="1">
        <f t="shared" si="46"/>
        <v>0</v>
      </c>
      <c r="BQ167" s="1">
        <f t="shared" si="52"/>
        <v>0</v>
      </c>
      <c r="BR167" s="1" t="str">
        <f t="shared" si="61"/>
        <v/>
      </c>
      <c r="BS167" s="1">
        <f t="shared" si="62"/>
        <v>0</v>
      </c>
      <c r="BT167" s="4">
        <f t="shared" si="53"/>
        <v>0</v>
      </c>
      <c r="BU167" s="39">
        <f t="shared" si="54"/>
        <v>0</v>
      </c>
      <c r="BV167" s="1">
        <f t="shared" si="55"/>
        <v>0</v>
      </c>
      <c r="BW167">
        <f t="shared" si="56"/>
        <v>0</v>
      </c>
      <c r="BX167">
        <f t="shared" si="57"/>
        <v>0</v>
      </c>
    </row>
    <row r="168" spans="58:76" x14ac:dyDescent="0.2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39">
        <f t="shared" si="58"/>
        <v>0</v>
      </c>
      <c r="BI168" s="1">
        <f t="shared" si="58"/>
        <v>0</v>
      </c>
      <c r="BJ168" s="1">
        <f t="shared" si="43"/>
        <v>0</v>
      </c>
      <c r="BK168" s="1">
        <f t="shared" si="49"/>
        <v>0</v>
      </c>
      <c r="BL168" s="1">
        <f t="shared" si="59"/>
        <v>0</v>
      </c>
      <c r="BM168" s="10" t="str">
        <f t="shared" si="60"/>
        <v/>
      </c>
      <c r="BN168" s="39">
        <f t="shared" si="50"/>
        <v>0</v>
      </c>
      <c r="BO168" s="39">
        <f t="shared" si="51"/>
        <v>0</v>
      </c>
      <c r="BP168" s="1">
        <f t="shared" si="46"/>
        <v>0</v>
      </c>
      <c r="BQ168" s="1">
        <f t="shared" si="52"/>
        <v>0</v>
      </c>
      <c r="BR168" s="1" t="str">
        <f t="shared" si="61"/>
        <v/>
      </c>
      <c r="BS168" s="1">
        <f t="shared" si="62"/>
        <v>0</v>
      </c>
      <c r="BT168" s="4">
        <f t="shared" si="53"/>
        <v>0</v>
      </c>
      <c r="BU168" s="39">
        <f t="shared" si="54"/>
        <v>0</v>
      </c>
      <c r="BV168" s="1">
        <f t="shared" si="55"/>
        <v>0</v>
      </c>
      <c r="BW168">
        <f t="shared" si="56"/>
        <v>0</v>
      </c>
      <c r="BX168">
        <f t="shared" si="57"/>
        <v>0</v>
      </c>
    </row>
    <row r="169" spans="58:76" x14ac:dyDescent="0.2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39">
        <f t="shared" si="58"/>
        <v>0</v>
      </c>
      <c r="BI169" s="1">
        <f t="shared" si="58"/>
        <v>0</v>
      </c>
      <c r="BJ169" s="1">
        <f t="shared" si="43"/>
        <v>0</v>
      </c>
      <c r="BK169" s="1">
        <f t="shared" si="49"/>
        <v>0</v>
      </c>
      <c r="BL169" s="1">
        <f t="shared" si="59"/>
        <v>0</v>
      </c>
      <c r="BM169" s="10" t="str">
        <f t="shared" si="60"/>
        <v/>
      </c>
      <c r="BN169" s="39">
        <f t="shared" si="50"/>
        <v>0</v>
      </c>
      <c r="BO169" s="39">
        <f t="shared" si="51"/>
        <v>0</v>
      </c>
      <c r="BP169" s="1">
        <f t="shared" si="46"/>
        <v>0</v>
      </c>
      <c r="BQ169" s="1">
        <f t="shared" si="52"/>
        <v>0</v>
      </c>
      <c r="BR169" s="1" t="str">
        <f t="shared" si="61"/>
        <v/>
      </c>
      <c r="BS169" s="1">
        <f t="shared" si="62"/>
        <v>0</v>
      </c>
      <c r="BT169" s="4">
        <f t="shared" si="53"/>
        <v>0</v>
      </c>
      <c r="BU169" s="39">
        <f t="shared" si="54"/>
        <v>0</v>
      </c>
      <c r="BV169" s="1">
        <f t="shared" si="55"/>
        <v>0</v>
      </c>
      <c r="BW169">
        <f t="shared" si="56"/>
        <v>0</v>
      </c>
      <c r="BX169">
        <f t="shared" si="57"/>
        <v>0</v>
      </c>
    </row>
    <row r="170" spans="58:76" x14ac:dyDescent="0.2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39">
        <f t="shared" si="58"/>
        <v>0</v>
      </c>
      <c r="BI170" s="1">
        <f t="shared" si="58"/>
        <v>0</v>
      </c>
      <c r="BJ170" s="1">
        <f t="shared" si="43"/>
        <v>0</v>
      </c>
      <c r="BK170" s="1">
        <f t="shared" si="49"/>
        <v>0</v>
      </c>
      <c r="BL170" s="1">
        <f t="shared" si="59"/>
        <v>0</v>
      </c>
      <c r="BM170" s="10" t="str">
        <f t="shared" si="60"/>
        <v/>
      </c>
      <c r="BN170" s="39">
        <f t="shared" si="50"/>
        <v>0</v>
      </c>
      <c r="BO170" s="39">
        <f t="shared" si="51"/>
        <v>0</v>
      </c>
      <c r="BP170" s="1">
        <f t="shared" si="46"/>
        <v>0</v>
      </c>
      <c r="BQ170" s="1">
        <f t="shared" si="52"/>
        <v>0</v>
      </c>
      <c r="BR170" s="1" t="str">
        <f t="shared" si="61"/>
        <v/>
      </c>
      <c r="BS170" s="1">
        <f t="shared" si="62"/>
        <v>0</v>
      </c>
      <c r="BT170" s="4">
        <f t="shared" si="53"/>
        <v>0</v>
      </c>
      <c r="BU170" s="39">
        <f t="shared" si="54"/>
        <v>0</v>
      </c>
      <c r="BV170" s="1">
        <f t="shared" si="55"/>
        <v>0</v>
      </c>
      <c r="BW170">
        <f t="shared" si="56"/>
        <v>0</v>
      </c>
      <c r="BX170">
        <f t="shared" si="57"/>
        <v>0</v>
      </c>
    </row>
    <row r="171" spans="58:76" x14ac:dyDescent="0.2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39">
        <f t="shared" si="58"/>
        <v>0</v>
      </c>
      <c r="BI171" s="1">
        <f t="shared" si="58"/>
        <v>0</v>
      </c>
      <c r="BJ171" s="1">
        <f t="shared" si="43"/>
        <v>0</v>
      </c>
      <c r="BK171" s="1">
        <f t="shared" si="49"/>
        <v>0</v>
      </c>
      <c r="BL171" s="1">
        <f t="shared" si="59"/>
        <v>0</v>
      </c>
      <c r="BM171" s="10" t="str">
        <f t="shared" si="60"/>
        <v/>
      </c>
      <c r="BN171" s="39">
        <f t="shared" si="50"/>
        <v>0</v>
      </c>
      <c r="BO171" s="39">
        <f t="shared" si="51"/>
        <v>0</v>
      </c>
      <c r="BP171" s="1">
        <f t="shared" si="46"/>
        <v>0</v>
      </c>
      <c r="BQ171" s="1">
        <f t="shared" si="52"/>
        <v>0</v>
      </c>
      <c r="BR171" s="1" t="str">
        <f t="shared" si="61"/>
        <v/>
      </c>
      <c r="BS171" s="1">
        <f t="shared" si="62"/>
        <v>0</v>
      </c>
      <c r="BT171" s="4">
        <f t="shared" si="53"/>
        <v>0</v>
      </c>
      <c r="BU171" s="39">
        <f t="shared" si="54"/>
        <v>0</v>
      </c>
      <c r="BV171" s="1">
        <f t="shared" si="55"/>
        <v>0</v>
      </c>
      <c r="BW171">
        <f t="shared" si="56"/>
        <v>0</v>
      </c>
      <c r="BX171">
        <f t="shared" si="57"/>
        <v>0</v>
      </c>
    </row>
    <row r="172" spans="58:76" x14ac:dyDescent="0.2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39">
        <f t="shared" si="58"/>
        <v>0</v>
      </c>
      <c r="BI172" s="1">
        <f t="shared" si="58"/>
        <v>0</v>
      </c>
      <c r="BJ172" s="1">
        <f t="shared" si="43"/>
        <v>0</v>
      </c>
      <c r="BK172" s="1">
        <f t="shared" si="49"/>
        <v>0</v>
      </c>
      <c r="BL172" s="1">
        <f t="shared" si="59"/>
        <v>0</v>
      </c>
      <c r="BM172" s="10" t="str">
        <f t="shared" si="60"/>
        <v/>
      </c>
      <c r="BN172" s="39">
        <f t="shared" si="50"/>
        <v>0</v>
      </c>
      <c r="BO172" s="39">
        <f t="shared" si="51"/>
        <v>0</v>
      </c>
      <c r="BP172" s="1">
        <f t="shared" si="46"/>
        <v>0</v>
      </c>
      <c r="BQ172" s="1">
        <f t="shared" si="52"/>
        <v>0</v>
      </c>
      <c r="BR172" s="1" t="str">
        <f t="shared" si="61"/>
        <v/>
      </c>
      <c r="BS172" s="1">
        <f t="shared" si="62"/>
        <v>0</v>
      </c>
      <c r="BT172" s="4">
        <f t="shared" si="53"/>
        <v>0</v>
      </c>
      <c r="BU172" s="39">
        <f t="shared" si="54"/>
        <v>0</v>
      </c>
      <c r="BV172" s="1">
        <f t="shared" si="55"/>
        <v>0</v>
      </c>
      <c r="BW172">
        <f t="shared" si="56"/>
        <v>0</v>
      </c>
      <c r="BX172">
        <f t="shared" si="57"/>
        <v>0</v>
      </c>
    </row>
    <row r="173" spans="58:76" x14ac:dyDescent="0.2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39">
        <f t="shared" si="58"/>
        <v>0</v>
      </c>
      <c r="BI173" s="1">
        <f t="shared" si="58"/>
        <v>0</v>
      </c>
      <c r="BJ173" s="1">
        <f t="shared" si="43"/>
        <v>0</v>
      </c>
      <c r="BK173" s="1">
        <f t="shared" si="49"/>
        <v>0</v>
      </c>
      <c r="BL173" s="1">
        <f t="shared" si="59"/>
        <v>0</v>
      </c>
      <c r="BM173" s="10" t="str">
        <f t="shared" si="60"/>
        <v/>
      </c>
      <c r="BN173" s="39">
        <f t="shared" si="50"/>
        <v>0</v>
      </c>
      <c r="BO173" s="39">
        <f t="shared" si="51"/>
        <v>0</v>
      </c>
      <c r="BP173" s="1">
        <f t="shared" si="46"/>
        <v>0</v>
      </c>
      <c r="BQ173" s="1">
        <f t="shared" si="52"/>
        <v>0</v>
      </c>
      <c r="BR173" s="1" t="str">
        <f t="shared" si="61"/>
        <v/>
      </c>
      <c r="BS173" s="1">
        <f t="shared" si="62"/>
        <v>0</v>
      </c>
      <c r="BT173" s="4">
        <f t="shared" si="53"/>
        <v>0</v>
      </c>
      <c r="BU173" s="39">
        <f t="shared" si="54"/>
        <v>0</v>
      </c>
      <c r="BV173" s="1">
        <f t="shared" si="55"/>
        <v>0</v>
      </c>
      <c r="BW173">
        <f t="shared" si="56"/>
        <v>0</v>
      </c>
      <c r="BX173">
        <f t="shared" si="57"/>
        <v>0</v>
      </c>
    </row>
    <row r="174" spans="58:76" x14ac:dyDescent="0.2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39">
        <f t="shared" si="58"/>
        <v>0</v>
      </c>
      <c r="BI174" s="1">
        <f t="shared" si="58"/>
        <v>0</v>
      </c>
      <c r="BJ174" s="1">
        <f t="shared" si="43"/>
        <v>0</v>
      </c>
      <c r="BK174" s="1">
        <f t="shared" si="49"/>
        <v>0</v>
      </c>
      <c r="BL174" s="1">
        <f t="shared" si="59"/>
        <v>0</v>
      </c>
      <c r="BM174" s="10" t="str">
        <f t="shared" si="60"/>
        <v/>
      </c>
      <c r="BN174" s="39">
        <f t="shared" si="50"/>
        <v>0</v>
      </c>
      <c r="BO174" s="39">
        <f t="shared" si="51"/>
        <v>0</v>
      </c>
      <c r="BP174" s="1">
        <f t="shared" si="46"/>
        <v>0</v>
      </c>
      <c r="BQ174" s="1">
        <f t="shared" si="52"/>
        <v>0</v>
      </c>
      <c r="BR174" s="1" t="str">
        <f t="shared" si="61"/>
        <v/>
      </c>
      <c r="BS174" s="1">
        <f t="shared" si="62"/>
        <v>0</v>
      </c>
      <c r="BT174" s="4">
        <f t="shared" si="53"/>
        <v>0</v>
      </c>
      <c r="BU174" s="39">
        <f t="shared" si="54"/>
        <v>0</v>
      </c>
      <c r="BV174" s="1">
        <f t="shared" si="55"/>
        <v>0</v>
      </c>
      <c r="BW174">
        <f t="shared" si="56"/>
        <v>0</v>
      </c>
      <c r="BX174">
        <f t="shared" si="57"/>
        <v>0</v>
      </c>
    </row>
    <row r="175" spans="58:76" x14ac:dyDescent="0.2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39">
        <f t="shared" si="58"/>
        <v>0</v>
      </c>
      <c r="BI175" s="1">
        <f t="shared" si="58"/>
        <v>0</v>
      </c>
      <c r="BJ175" s="1">
        <f t="shared" si="43"/>
        <v>0</v>
      </c>
      <c r="BK175" s="1">
        <f t="shared" si="49"/>
        <v>0</v>
      </c>
      <c r="BL175" s="1">
        <f t="shared" si="59"/>
        <v>0</v>
      </c>
      <c r="BM175" s="10" t="str">
        <f t="shared" si="60"/>
        <v/>
      </c>
      <c r="BN175" s="39">
        <f t="shared" si="50"/>
        <v>0</v>
      </c>
      <c r="BO175" s="39">
        <f t="shared" si="51"/>
        <v>0</v>
      </c>
      <c r="BP175" s="1">
        <f t="shared" si="46"/>
        <v>0</v>
      </c>
      <c r="BQ175" s="1">
        <f t="shared" si="52"/>
        <v>0</v>
      </c>
      <c r="BR175" s="1" t="str">
        <f t="shared" si="61"/>
        <v/>
      </c>
      <c r="BS175" s="1">
        <f t="shared" si="62"/>
        <v>0</v>
      </c>
      <c r="BT175" s="4">
        <f t="shared" si="53"/>
        <v>0</v>
      </c>
      <c r="BU175" s="39">
        <f t="shared" si="54"/>
        <v>0</v>
      </c>
      <c r="BV175" s="1">
        <f t="shared" si="55"/>
        <v>0</v>
      </c>
      <c r="BW175">
        <f t="shared" si="56"/>
        <v>0</v>
      </c>
      <c r="BX175">
        <f t="shared" si="57"/>
        <v>0</v>
      </c>
    </row>
    <row r="176" spans="58:76" x14ac:dyDescent="0.2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39">
        <f t="shared" si="58"/>
        <v>0</v>
      </c>
      <c r="BI176" s="1">
        <f t="shared" si="58"/>
        <v>0</v>
      </c>
      <c r="BJ176" s="1">
        <f t="shared" si="43"/>
        <v>0</v>
      </c>
      <c r="BK176" s="1">
        <f t="shared" si="49"/>
        <v>0</v>
      </c>
      <c r="BL176" s="1">
        <f t="shared" si="59"/>
        <v>0</v>
      </c>
      <c r="BM176" s="10" t="str">
        <f t="shared" si="60"/>
        <v/>
      </c>
      <c r="BN176" s="39">
        <f t="shared" si="50"/>
        <v>0</v>
      </c>
      <c r="BO176" s="39">
        <f t="shared" si="51"/>
        <v>0</v>
      </c>
      <c r="BP176" s="1">
        <f t="shared" si="46"/>
        <v>0</v>
      </c>
      <c r="BQ176" s="1">
        <f t="shared" si="52"/>
        <v>0</v>
      </c>
      <c r="BR176" s="1" t="str">
        <f t="shared" si="61"/>
        <v/>
      </c>
      <c r="BS176" s="1">
        <f t="shared" si="62"/>
        <v>0</v>
      </c>
      <c r="BT176" s="4">
        <f t="shared" si="53"/>
        <v>0</v>
      </c>
      <c r="BU176" s="39">
        <f t="shared" si="54"/>
        <v>0</v>
      </c>
      <c r="BV176" s="1">
        <f t="shared" si="55"/>
        <v>0</v>
      </c>
      <c r="BW176">
        <f t="shared" si="56"/>
        <v>0</v>
      </c>
      <c r="BX176">
        <f t="shared" si="57"/>
        <v>0</v>
      </c>
    </row>
    <row r="177" spans="58:76" x14ac:dyDescent="0.2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39">
        <f t="shared" si="58"/>
        <v>0</v>
      </c>
      <c r="BI177" s="1">
        <f t="shared" si="58"/>
        <v>0</v>
      </c>
      <c r="BJ177" s="1">
        <f t="shared" si="43"/>
        <v>0</v>
      </c>
      <c r="BK177" s="1">
        <f t="shared" si="49"/>
        <v>0</v>
      </c>
      <c r="BL177" s="1">
        <f t="shared" si="59"/>
        <v>0</v>
      </c>
      <c r="BM177" s="10" t="str">
        <f t="shared" si="60"/>
        <v/>
      </c>
      <c r="BN177" s="39">
        <f t="shared" si="50"/>
        <v>0</v>
      </c>
      <c r="BO177" s="39">
        <f t="shared" si="51"/>
        <v>0</v>
      </c>
      <c r="BP177" s="1">
        <f t="shared" si="46"/>
        <v>0</v>
      </c>
      <c r="BQ177" s="1">
        <f t="shared" si="52"/>
        <v>0</v>
      </c>
      <c r="BR177" s="1" t="str">
        <f t="shared" si="61"/>
        <v/>
      </c>
      <c r="BS177" s="1">
        <f t="shared" si="62"/>
        <v>0</v>
      </c>
      <c r="BT177" s="4">
        <f t="shared" si="53"/>
        <v>0</v>
      </c>
      <c r="BU177" s="39">
        <f t="shared" si="54"/>
        <v>0</v>
      </c>
      <c r="BV177" s="1">
        <f t="shared" si="55"/>
        <v>0</v>
      </c>
      <c r="BW177">
        <f t="shared" si="56"/>
        <v>0</v>
      </c>
      <c r="BX177">
        <f t="shared" si="57"/>
        <v>0</v>
      </c>
    </row>
    <row r="178" spans="58:76" x14ac:dyDescent="0.2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39">
        <f t="shared" si="58"/>
        <v>0</v>
      </c>
      <c r="BI178" s="1">
        <f t="shared" si="58"/>
        <v>0</v>
      </c>
      <c r="BJ178" s="1">
        <f t="shared" si="43"/>
        <v>0</v>
      </c>
      <c r="BK178" s="1">
        <f t="shared" si="49"/>
        <v>0</v>
      </c>
      <c r="BL178" s="1">
        <f t="shared" si="59"/>
        <v>0</v>
      </c>
      <c r="BM178" s="10" t="str">
        <f t="shared" si="60"/>
        <v/>
      </c>
      <c r="BN178" s="39">
        <f t="shared" si="50"/>
        <v>0</v>
      </c>
      <c r="BO178" s="39">
        <f t="shared" si="51"/>
        <v>0</v>
      </c>
      <c r="BP178" s="1">
        <f t="shared" si="46"/>
        <v>0</v>
      </c>
      <c r="BQ178" s="1">
        <f t="shared" si="52"/>
        <v>0</v>
      </c>
      <c r="BR178" s="1" t="str">
        <f t="shared" si="61"/>
        <v/>
      </c>
      <c r="BS178" s="1">
        <f t="shared" si="62"/>
        <v>0</v>
      </c>
      <c r="BT178" s="4">
        <f t="shared" si="53"/>
        <v>0</v>
      </c>
      <c r="BU178" s="39">
        <f t="shared" si="54"/>
        <v>0</v>
      </c>
      <c r="BV178" s="1">
        <f t="shared" si="55"/>
        <v>0</v>
      </c>
      <c r="BW178">
        <f t="shared" si="56"/>
        <v>0</v>
      </c>
      <c r="BX178">
        <f t="shared" si="57"/>
        <v>0</v>
      </c>
    </row>
    <row r="179" spans="58:76" x14ac:dyDescent="0.2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39">
        <f t="shared" si="58"/>
        <v>0</v>
      </c>
      <c r="BI179" s="1">
        <f t="shared" si="58"/>
        <v>0</v>
      </c>
      <c r="BJ179" s="1">
        <f t="shared" si="43"/>
        <v>0</v>
      </c>
      <c r="BK179" s="1">
        <f t="shared" si="49"/>
        <v>0</v>
      </c>
      <c r="BL179" s="1">
        <f t="shared" si="59"/>
        <v>0</v>
      </c>
      <c r="BM179" s="10" t="str">
        <f t="shared" si="60"/>
        <v/>
      </c>
      <c r="BN179" s="39">
        <f t="shared" si="50"/>
        <v>0</v>
      </c>
      <c r="BO179" s="39">
        <f t="shared" si="51"/>
        <v>0</v>
      </c>
      <c r="BP179" s="1">
        <f t="shared" si="46"/>
        <v>0</v>
      </c>
      <c r="BQ179" s="1">
        <f t="shared" si="52"/>
        <v>0</v>
      </c>
      <c r="BR179" s="1" t="str">
        <f t="shared" si="61"/>
        <v/>
      </c>
      <c r="BS179" s="1">
        <f t="shared" si="62"/>
        <v>0</v>
      </c>
      <c r="BT179" s="4">
        <f t="shared" si="53"/>
        <v>0</v>
      </c>
      <c r="BU179" s="39">
        <f t="shared" si="54"/>
        <v>0</v>
      </c>
      <c r="BV179" s="1">
        <f t="shared" si="55"/>
        <v>0</v>
      </c>
      <c r="BW179">
        <f t="shared" si="56"/>
        <v>0</v>
      </c>
      <c r="BX179">
        <f t="shared" si="57"/>
        <v>0</v>
      </c>
    </row>
    <row r="180" spans="58:76" x14ac:dyDescent="0.2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39">
        <f t="shared" si="58"/>
        <v>0</v>
      </c>
      <c r="BI180" s="1">
        <f t="shared" si="58"/>
        <v>0</v>
      </c>
      <c r="BJ180" s="1">
        <f t="shared" si="43"/>
        <v>0</v>
      </c>
      <c r="BK180" s="1">
        <f t="shared" si="49"/>
        <v>0</v>
      </c>
      <c r="BL180" s="1">
        <f t="shared" si="59"/>
        <v>0</v>
      </c>
      <c r="BM180" s="10" t="str">
        <f t="shared" si="60"/>
        <v/>
      </c>
      <c r="BN180" s="39">
        <f t="shared" si="50"/>
        <v>0</v>
      </c>
      <c r="BO180" s="39">
        <f t="shared" si="51"/>
        <v>0</v>
      </c>
      <c r="BP180" s="1">
        <f t="shared" si="46"/>
        <v>0</v>
      </c>
      <c r="BQ180" s="1">
        <f t="shared" si="52"/>
        <v>0</v>
      </c>
      <c r="BR180" s="1" t="str">
        <f t="shared" si="61"/>
        <v/>
      </c>
      <c r="BS180" s="1">
        <f t="shared" si="62"/>
        <v>0</v>
      </c>
      <c r="BT180" s="4">
        <f t="shared" si="53"/>
        <v>0</v>
      </c>
      <c r="BU180" s="39">
        <f t="shared" si="54"/>
        <v>0</v>
      </c>
      <c r="BV180" s="1">
        <f t="shared" si="55"/>
        <v>0</v>
      </c>
      <c r="BW180">
        <f t="shared" si="56"/>
        <v>0</v>
      </c>
      <c r="BX180">
        <f t="shared" si="57"/>
        <v>0</v>
      </c>
    </row>
    <row r="181" spans="58:76" x14ac:dyDescent="0.2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39">
        <f t="shared" si="58"/>
        <v>0</v>
      </c>
      <c r="BI181" s="1">
        <f t="shared" si="58"/>
        <v>0</v>
      </c>
      <c r="BJ181" s="1">
        <f t="shared" si="43"/>
        <v>0</v>
      </c>
      <c r="BK181" s="1">
        <f t="shared" si="49"/>
        <v>0</v>
      </c>
      <c r="BL181" s="1">
        <f t="shared" si="59"/>
        <v>0</v>
      </c>
      <c r="BM181" s="10" t="str">
        <f t="shared" si="60"/>
        <v/>
      </c>
      <c r="BN181" s="39">
        <f t="shared" si="50"/>
        <v>0</v>
      </c>
      <c r="BO181" s="39">
        <f t="shared" si="51"/>
        <v>0</v>
      </c>
      <c r="BP181" s="1">
        <f t="shared" si="46"/>
        <v>0</v>
      </c>
      <c r="BQ181" s="1">
        <f t="shared" si="52"/>
        <v>0</v>
      </c>
      <c r="BR181" s="1" t="str">
        <f t="shared" si="61"/>
        <v/>
      </c>
      <c r="BS181" s="1">
        <f t="shared" si="62"/>
        <v>0</v>
      </c>
      <c r="BT181" s="4">
        <f t="shared" si="53"/>
        <v>0</v>
      </c>
      <c r="BU181" s="39">
        <f t="shared" si="54"/>
        <v>0</v>
      </c>
      <c r="BV181" s="1">
        <f t="shared" si="55"/>
        <v>0</v>
      </c>
      <c r="BW181">
        <f t="shared" si="56"/>
        <v>0</v>
      </c>
      <c r="BX181">
        <f t="shared" si="57"/>
        <v>0</v>
      </c>
    </row>
    <row r="182" spans="58:76" x14ac:dyDescent="0.2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39">
        <f t="shared" si="58"/>
        <v>0</v>
      </c>
      <c r="BI182" s="1">
        <f t="shared" si="58"/>
        <v>0</v>
      </c>
      <c r="BJ182" s="1">
        <f t="shared" si="43"/>
        <v>0</v>
      </c>
      <c r="BK182" s="1">
        <f t="shared" si="49"/>
        <v>0</v>
      </c>
      <c r="BL182" s="1">
        <f t="shared" si="59"/>
        <v>0</v>
      </c>
      <c r="BM182" s="10" t="str">
        <f t="shared" si="60"/>
        <v/>
      </c>
      <c r="BN182" s="39">
        <f t="shared" si="50"/>
        <v>0</v>
      </c>
      <c r="BO182" s="39">
        <f t="shared" si="51"/>
        <v>0</v>
      </c>
      <c r="BP182" s="1">
        <f t="shared" si="46"/>
        <v>0</v>
      </c>
      <c r="BQ182" s="1">
        <f t="shared" si="52"/>
        <v>0</v>
      </c>
      <c r="BR182" s="1" t="str">
        <f t="shared" si="61"/>
        <v/>
      </c>
      <c r="BS182" s="1">
        <f t="shared" si="62"/>
        <v>0</v>
      </c>
      <c r="BT182" s="4">
        <f t="shared" si="53"/>
        <v>0</v>
      </c>
      <c r="BU182" s="39">
        <f t="shared" si="54"/>
        <v>0</v>
      </c>
      <c r="BV182" s="1">
        <f t="shared" si="55"/>
        <v>0</v>
      </c>
      <c r="BW182">
        <f t="shared" si="56"/>
        <v>0</v>
      </c>
      <c r="BX182">
        <f t="shared" si="57"/>
        <v>0</v>
      </c>
    </row>
    <row r="183" spans="58:76" x14ac:dyDescent="0.2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39">
        <f t="shared" si="58"/>
        <v>0</v>
      </c>
      <c r="BI183" s="1">
        <f t="shared" si="58"/>
        <v>0</v>
      </c>
      <c r="BJ183" s="1">
        <f t="shared" si="43"/>
        <v>0</v>
      </c>
      <c r="BK183" s="1">
        <f t="shared" si="49"/>
        <v>0</v>
      </c>
      <c r="BL183" s="1">
        <f t="shared" si="59"/>
        <v>0</v>
      </c>
      <c r="BM183" s="10" t="str">
        <f t="shared" si="60"/>
        <v/>
      </c>
      <c r="BN183" s="39">
        <f t="shared" si="50"/>
        <v>0</v>
      </c>
      <c r="BO183" s="39">
        <f t="shared" si="51"/>
        <v>0</v>
      </c>
      <c r="BP183" s="1">
        <f t="shared" si="46"/>
        <v>0</v>
      </c>
      <c r="BQ183" s="1">
        <f t="shared" si="52"/>
        <v>0</v>
      </c>
      <c r="BR183" s="1" t="str">
        <f t="shared" si="61"/>
        <v/>
      </c>
      <c r="BS183" s="1">
        <f t="shared" si="62"/>
        <v>0</v>
      </c>
      <c r="BT183" s="4">
        <f t="shared" si="53"/>
        <v>0</v>
      </c>
      <c r="BU183" s="39">
        <f t="shared" si="54"/>
        <v>0</v>
      </c>
      <c r="BV183" s="1">
        <f t="shared" si="55"/>
        <v>0</v>
      </c>
      <c r="BW183">
        <f t="shared" si="56"/>
        <v>0</v>
      </c>
      <c r="BX183">
        <f t="shared" si="57"/>
        <v>0</v>
      </c>
    </row>
    <row r="184" spans="58:76" x14ac:dyDescent="0.2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39">
        <f t="shared" si="58"/>
        <v>0</v>
      </c>
      <c r="BI184" s="1">
        <f t="shared" si="58"/>
        <v>0</v>
      </c>
      <c r="BJ184" s="1">
        <f t="shared" si="43"/>
        <v>0</v>
      </c>
      <c r="BK184" s="1">
        <f t="shared" si="49"/>
        <v>0</v>
      </c>
      <c r="BL184" s="1">
        <f t="shared" si="59"/>
        <v>0</v>
      </c>
      <c r="BM184" s="10" t="str">
        <f t="shared" si="60"/>
        <v/>
      </c>
      <c r="BN184" s="39">
        <f t="shared" si="50"/>
        <v>0</v>
      </c>
      <c r="BO184" s="39">
        <f t="shared" si="51"/>
        <v>0</v>
      </c>
      <c r="BP184" s="1">
        <f t="shared" si="46"/>
        <v>0</v>
      </c>
      <c r="BQ184" s="1">
        <f t="shared" si="52"/>
        <v>0</v>
      </c>
      <c r="BR184" s="1" t="str">
        <f t="shared" si="61"/>
        <v/>
      </c>
      <c r="BS184" s="1">
        <f t="shared" si="62"/>
        <v>0</v>
      </c>
      <c r="BT184" s="4">
        <f t="shared" si="53"/>
        <v>0</v>
      </c>
      <c r="BU184" s="39">
        <f t="shared" si="54"/>
        <v>0</v>
      </c>
      <c r="BV184" s="1">
        <f t="shared" si="55"/>
        <v>0</v>
      </c>
      <c r="BW184">
        <f t="shared" si="56"/>
        <v>0</v>
      </c>
      <c r="BX184">
        <f t="shared" si="57"/>
        <v>0</v>
      </c>
    </row>
    <row r="185" spans="58:76" x14ac:dyDescent="0.2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39">
        <f t="shared" si="58"/>
        <v>0</v>
      </c>
      <c r="BI185" s="1">
        <f t="shared" si="58"/>
        <v>0</v>
      </c>
      <c r="BJ185" s="1">
        <f t="shared" si="43"/>
        <v>0</v>
      </c>
      <c r="BK185" s="1">
        <f t="shared" si="49"/>
        <v>0</v>
      </c>
      <c r="BL185" s="1">
        <f t="shared" si="59"/>
        <v>0</v>
      </c>
      <c r="BM185" s="10" t="str">
        <f t="shared" si="60"/>
        <v/>
      </c>
      <c r="BN185" s="39">
        <f t="shared" si="50"/>
        <v>0</v>
      </c>
      <c r="BO185" s="39">
        <f t="shared" si="51"/>
        <v>0</v>
      </c>
      <c r="BP185" s="1">
        <f t="shared" si="46"/>
        <v>0</v>
      </c>
      <c r="BQ185" s="1">
        <f t="shared" si="52"/>
        <v>0</v>
      </c>
      <c r="BR185" s="1" t="str">
        <f t="shared" si="61"/>
        <v/>
      </c>
      <c r="BS185" s="1">
        <f t="shared" si="62"/>
        <v>0</v>
      </c>
      <c r="BT185" s="4">
        <f t="shared" si="53"/>
        <v>0</v>
      </c>
      <c r="BU185" s="39">
        <f t="shared" si="54"/>
        <v>0</v>
      </c>
      <c r="BV185" s="1">
        <f t="shared" si="55"/>
        <v>0</v>
      </c>
      <c r="BW185">
        <f t="shared" si="56"/>
        <v>0</v>
      </c>
      <c r="BX185">
        <f t="shared" si="57"/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2835"/>
  <sheetViews>
    <sheetView topLeftCell="G1" zoomScale="124" zoomScaleNormal="124" workbookViewId="0">
      <selection activeCell="N12" sqref="N12"/>
    </sheetView>
  </sheetViews>
  <sheetFormatPr defaultRowHeight="15" x14ac:dyDescent="0.25"/>
  <cols>
    <col min="2" max="2" width="13.5703125" bestFit="1" customWidth="1"/>
    <col min="3" max="3" width="27.85546875" bestFit="1" customWidth="1"/>
    <col min="4" max="4" width="9.7109375" bestFit="1" customWidth="1"/>
    <col min="17" max="17" width="10.85546875" bestFit="1" customWidth="1"/>
    <col min="19" max="19" width="8" bestFit="1" customWidth="1"/>
  </cols>
  <sheetData>
    <row r="1" spans="1:24" s="17" customForma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 x14ac:dyDescent="0.25">
      <c r="A2" s="46"/>
      <c r="B2" s="46"/>
      <c r="C2" s="46"/>
      <c r="D2" s="47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7"/>
      <c r="R2" s="46"/>
      <c r="S2" s="46"/>
      <c r="T2" s="46"/>
      <c r="U2" s="46"/>
      <c r="V2" s="46"/>
      <c r="W2" s="46"/>
    </row>
    <row r="3" spans="1:24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</row>
    <row r="4" spans="1:24" x14ac:dyDescent="0.25">
      <c r="A4" s="46"/>
      <c r="B4" s="46"/>
      <c r="C4" s="46"/>
      <c r="D4" s="47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7"/>
      <c r="R4" s="46"/>
      <c r="S4" s="46"/>
      <c r="T4" s="46"/>
      <c r="U4" s="46"/>
      <c r="V4" s="46"/>
      <c r="W4" s="46"/>
    </row>
    <row r="5" spans="1:24" x14ac:dyDescent="0.25">
      <c r="A5" s="46"/>
      <c r="B5" s="46"/>
      <c r="C5" s="46"/>
      <c r="D5" s="47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7"/>
      <c r="R5" s="46"/>
      <c r="S5" s="46"/>
      <c r="T5" s="46"/>
      <c r="U5" s="46"/>
      <c r="V5" s="46"/>
      <c r="W5" s="46"/>
    </row>
    <row r="6" spans="1:2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24" x14ac:dyDescent="0.25">
      <c r="A7" s="46"/>
      <c r="B7" s="46"/>
      <c r="C7" s="46"/>
      <c r="D7" s="47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7"/>
      <c r="R7" s="46"/>
      <c r="S7" s="46"/>
      <c r="T7" s="46"/>
      <c r="U7" s="46"/>
      <c r="V7" s="46"/>
      <c r="W7" s="46"/>
    </row>
    <row r="8" spans="1:24" x14ac:dyDescent="0.25">
      <c r="A8" s="46"/>
      <c r="B8" s="46"/>
      <c r="C8" s="46"/>
      <c r="D8" s="47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7"/>
      <c r="R8" s="46"/>
      <c r="S8" s="46"/>
      <c r="T8" s="46"/>
      <c r="U8" s="46"/>
      <c r="V8" s="46"/>
      <c r="W8" s="46"/>
    </row>
    <row r="9" spans="1:2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4" x14ac:dyDescent="0.25">
      <c r="A10" s="46"/>
      <c r="B10" s="46"/>
      <c r="C10" s="46"/>
      <c r="D10" s="47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7"/>
      <c r="R10" s="46"/>
      <c r="S10" s="46"/>
      <c r="T10" s="46"/>
      <c r="U10" s="46"/>
      <c r="V10" s="46"/>
      <c r="W10" s="46"/>
    </row>
    <row r="11" spans="1:24" x14ac:dyDescent="0.25">
      <c r="A11" s="46"/>
      <c r="B11" s="46"/>
      <c r="C11" s="46"/>
      <c r="D11" s="47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7"/>
      <c r="R11" s="46"/>
      <c r="S11" s="46"/>
      <c r="T11" s="46"/>
      <c r="U11" s="46"/>
      <c r="V11" s="46"/>
      <c r="W11" s="46"/>
    </row>
    <row r="12" spans="1:2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7"/>
      <c r="R12" s="46"/>
      <c r="S12" s="46"/>
      <c r="T12" s="46"/>
      <c r="U12" s="46"/>
      <c r="V12" s="46"/>
      <c r="W12" s="46"/>
    </row>
    <row r="13" spans="1:2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7"/>
      <c r="R13" s="46"/>
      <c r="S13" s="46"/>
      <c r="T13" s="46"/>
      <c r="U13" s="46"/>
      <c r="V13" s="46"/>
      <c r="W13" s="46"/>
    </row>
    <row r="14" spans="1:24" x14ac:dyDescent="0.25">
      <c r="A14" s="46"/>
      <c r="B14" s="46"/>
      <c r="C14" s="46"/>
      <c r="D14" s="47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7"/>
      <c r="R14" s="46"/>
      <c r="S14" s="46"/>
      <c r="T14" s="46"/>
      <c r="U14" s="46"/>
      <c r="V14" s="46"/>
      <c r="W14" s="46"/>
    </row>
    <row r="15" spans="1:2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7"/>
      <c r="R15" s="46"/>
      <c r="S15" s="46"/>
      <c r="T15" s="46"/>
      <c r="U15" s="46"/>
      <c r="V15" s="46"/>
      <c r="W15" s="46"/>
    </row>
    <row r="16" spans="1:24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7"/>
      <c r="R16" s="46"/>
      <c r="S16" s="46"/>
      <c r="T16" s="46"/>
      <c r="U16" s="46"/>
      <c r="V16" s="46"/>
      <c r="W16" s="46"/>
    </row>
    <row r="17" spans="1:23" x14ac:dyDescent="0.25">
      <c r="A17" s="46"/>
      <c r="B17" s="46"/>
      <c r="C17" s="46"/>
      <c r="D17" s="47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7"/>
      <c r="R17" s="46"/>
      <c r="S17" s="46"/>
      <c r="T17" s="46"/>
      <c r="U17" s="46"/>
      <c r="V17" s="46"/>
      <c r="W17" s="46"/>
    </row>
    <row r="18" spans="1:2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25">
      <c r="A20" s="46"/>
      <c r="B20" s="46"/>
      <c r="C20" s="46"/>
      <c r="D20" s="47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7"/>
      <c r="R20" s="46"/>
      <c r="S20" s="46"/>
      <c r="T20" s="46"/>
      <c r="U20" s="46"/>
      <c r="V20" s="46"/>
      <c r="W20" s="46"/>
    </row>
    <row r="21" spans="1:23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1:23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1:23" x14ac:dyDescent="0.25">
      <c r="A23" s="46"/>
      <c r="B23" s="46"/>
      <c r="C23" s="46"/>
      <c r="D23" s="47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7"/>
      <c r="R23" s="46"/>
      <c r="S23" s="46"/>
      <c r="T23" s="46"/>
      <c r="U23" s="46"/>
      <c r="V23" s="46"/>
      <c r="W23" s="46"/>
    </row>
    <row r="24" spans="1:23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1:23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1:23" x14ac:dyDescent="0.25">
      <c r="A26" s="46"/>
      <c r="B26" s="46"/>
      <c r="C26" s="46"/>
      <c r="D26" s="47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7"/>
      <c r="R26" s="46"/>
      <c r="S26" s="46"/>
      <c r="T26" s="46"/>
      <c r="U26" s="46"/>
      <c r="V26" s="46"/>
      <c r="W26" s="46"/>
    </row>
    <row r="27" spans="1:23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7"/>
      <c r="R27" s="46"/>
      <c r="S27" s="46"/>
      <c r="T27" s="46"/>
      <c r="U27" s="46"/>
      <c r="V27" s="46"/>
      <c r="W27" s="46"/>
    </row>
    <row r="28" spans="1:23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7"/>
      <c r="R28" s="46"/>
      <c r="S28" s="46"/>
      <c r="T28" s="46"/>
      <c r="U28" s="46"/>
      <c r="V28" s="46"/>
      <c r="W28" s="46"/>
    </row>
    <row r="29" spans="1:23" x14ac:dyDescent="0.25">
      <c r="A29" s="46"/>
      <c r="B29" s="46"/>
      <c r="C29" s="46"/>
      <c r="D29" s="47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7"/>
      <c r="R29" s="46"/>
      <c r="S29" s="46"/>
      <c r="T29" s="46"/>
      <c r="U29" s="46"/>
      <c r="V29" s="46"/>
      <c r="W29" s="46"/>
    </row>
    <row r="30" spans="1:23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1:23" x14ac:dyDescent="0.25">
      <c r="A31" s="46"/>
      <c r="B31" s="46"/>
      <c r="C31" s="46"/>
      <c r="D31" s="47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7"/>
      <c r="R31" s="46"/>
      <c r="S31" s="46"/>
      <c r="T31" s="46"/>
      <c r="U31" s="46"/>
      <c r="V31" s="46"/>
      <c r="W31" s="46"/>
    </row>
    <row r="32" spans="1:23" x14ac:dyDescent="0.25">
      <c r="A32" s="46"/>
      <c r="B32" s="46"/>
      <c r="C32" s="46"/>
      <c r="D32" s="47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7"/>
      <c r="R32" s="46"/>
      <c r="S32" s="46"/>
      <c r="T32" s="46"/>
      <c r="U32" s="46"/>
      <c r="V32" s="46"/>
      <c r="W32" s="46"/>
    </row>
    <row r="33" spans="1:23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</row>
    <row r="34" spans="1:23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</row>
    <row r="35" spans="1:23" x14ac:dyDescent="0.25">
      <c r="A35" s="46"/>
      <c r="B35" s="46"/>
      <c r="C35" s="46"/>
      <c r="D35" s="47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7"/>
      <c r="R35" s="46"/>
      <c r="S35" s="46"/>
      <c r="T35" s="46"/>
      <c r="U35" s="46"/>
      <c r="V35" s="46"/>
      <c r="W35" s="46"/>
    </row>
    <row r="36" spans="1:23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7"/>
      <c r="R36" s="46"/>
      <c r="S36" s="46"/>
      <c r="T36" s="46"/>
      <c r="U36" s="46"/>
      <c r="V36" s="46"/>
      <c r="W36" s="46"/>
    </row>
    <row r="37" spans="1:23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</row>
    <row r="38" spans="1:23" x14ac:dyDescent="0.25">
      <c r="A38" s="46"/>
      <c r="B38" s="46"/>
      <c r="C38" s="46"/>
      <c r="D38" s="47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7"/>
      <c r="R38" s="46"/>
      <c r="S38" s="46"/>
      <c r="T38" s="46"/>
      <c r="U38" s="46"/>
      <c r="V38" s="46"/>
      <c r="W38" s="46"/>
    </row>
    <row r="39" spans="1:23" x14ac:dyDescent="0.25">
      <c r="A39" s="46"/>
      <c r="B39" s="46"/>
      <c r="C39" s="46"/>
      <c r="D39" s="47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7"/>
      <c r="R39" s="46"/>
      <c r="S39" s="46"/>
      <c r="T39" s="46"/>
      <c r="U39" s="46"/>
      <c r="V39" s="46"/>
      <c r="W39" s="46"/>
    </row>
    <row r="40" spans="1:23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7"/>
      <c r="R40" s="46"/>
      <c r="S40" s="46"/>
      <c r="T40" s="46"/>
      <c r="U40" s="46"/>
      <c r="V40" s="46"/>
      <c r="W40" s="46"/>
    </row>
    <row r="41" spans="1:23" x14ac:dyDescent="0.25">
      <c r="A41" s="46"/>
      <c r="B41" s="46"/>
      <c r="C41" s="46"/>
      <c r="D41" s="47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7"/>
      <c r="R41" s="46"/>
      <c r="S41" s="46"/>
      <c r="T41" s="46"/>
      <c r="U41" s="46"/>
      <c r="V41" s="46"/>
      <c r="W41" s="46"/>
    </row>
    <row r="42" spans="1:23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</row>
    <row r="43" spans="1:23" x14ac:dyDescent="0.25">
      <c r="A43" s="46"/>
      <c r="B43" s="46"/>
      <c r="C43" s="46"/>
      <c r="D43" s="47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7"/>
      <c r="R43" s="46"/>
      <c r="S43" s="46"/>
      <c r="T43" s="46"/>
      <c r="U43" s="46"/>
      <c r="V43" s="46"/>
      <c r="W43" s="46"/>
    </row>
    <row r="44" spans="1:23" x14ac:dyDescent="0.25">
      <c r="A44" s="46"/>
      <c r="B44" s="46"/>
      <c r="C44" s="46"/>
      <c r="D44" s="47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7"/>
      <c r="R44" s="46"/>
      <c r="S44" s="46"/>
      <c r="T44" s="46"/>
      <c r="U44" s="46"/>
      <c r="V44" s="46"/>
      <c r="W44" s="46"/>
    </row>
    <row r="45" spans="1:23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</row>
    <row r="46" spans="1:23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</row>
    <row r="47" spans="1:23" x14ac:dyDescent="0.25">
      <c r="A47" s="46"/>
      <c r="B47" s="46"/>
      <c r="C47" s="46"/>
      <c r="D47" s="47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7"/>
      <c r="R47" s="46"/>
      <c r="S47" s="46"/>
      <c r="T47" s="46"/>
      <c r="U47" s="46"/>
      <c r="V47" s="46"/>
      <c r="W47" s="46"/>
    </row>
    <row r="48" spans="1:23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7"/>
      <c r="R48" s="46"/>
      <c r="S48" s="46"/>
      <c r="T48" s="46"/>
      <c r="U48" s="46"/>
      <c r="V48" s="46"/>
      <c r="W48" s="46"/>
    </row>
    <row r="49" spans="1:2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</row>
    <row r="50" spans="1:23" x14ac:dyDescent="0.25">
      <c r="A50" s="46"/>
      <c r="B50" s="46"/>
      <c r="C50" s="46"/>
      <c r="D50" s="47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6"/>
      <c r="S50" s="46"/>
      <c r="T50" s="46"/>
      <c r="U50" s="46"/>
      <c r="V50" s="46"/>
      <c r="W50" s="46"/>
    </row>
    <row r="51" spans="1:23" x14ac:dyDescent="0.25">
      <c r="A51" s="46"/>
      <c r="B51" s="46"/>
      <c r="C51" s="46"/>
      <c r="D51" s="47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6"/>
      <c r="S51" s="46"/>
      <c r="T51" s="46"/>
      <c r="U51" s="46"/>
      <c r="V51" s="46"/>
      <c r="W51" s="46"/>
    </row>
    <row r="52" spans="1:2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</row>
    <row r="53" spans="1:23" x14ac:dyDescent="0.25">
      <c r="A53" s="46"/>
      <c r="B53" s="46"/>
      <c r="C53" s="46"/>
      <c r="D53" s="47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7"/>
      <c r="R53" s="46"/>
      <c r="S53" s="46"/>
      <c r="T53" s="46"/>
      <c r="U53" s="46"/>
      <c r="V53" s="46"/>
      <c r="W53" s="46"/>
    </row>
    <row r="54" spans="1:23" x14ac:dyDescent="0.25">
      <c r="A54" s="46"/>
      <c r="B54" s="46"/>
      <c r="C54" s="46"/>
      <c r="D54" s="47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7"/>
      <c r="R54" s="46"/>
      <c r="S54" s="46"/>
      <c r="T54" s="46"/>
      <c r="U54" s="46"/>
      <c r="V54" s="46"/>
      <c r="W54" s="46"/>
    </row>
    <row r="55" spans="1:2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1:23" x14ac:dyDescent="0.25">
      <c r="A56" s="46"/>
      <c r="B56" s="46"/>
      <c r="C56" s="46"/>
      <c r="D56" s="47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7"/>
      <c r="R56" s="46"/>
      <c r="S56" s="46"/>
      <c r="T56" s="46"/>
      <c r="U56" s="46"/>
      <c r="V56" s="46"/>
      <c r="W56" s="46"/>
    </row>
    <row r="57" spans="1:23" x14ac:dyDescent="0.25">
      <c r="A57" s="46"/>
      <c r="B57" s="46"/>
      <c r="C57" s="46"/>
      <c r="D57" s="47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7"/>
      <c r="R57" s="46"/>
      <c r="S57" s="46"/>
      <c r="T57" s="46"/>
      <c r="U57" s="46"/>
      <c r="V57" s="46"/>
      <c r="W57" s="46"/>
    </row>
    <row r="58" spans="1:2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1:23" x14ac:dyDescent="0.25">
      <c r="A59" s="46"/>
      <c r="B59" s="46"/>
      <c r="C59" s="46"/>
      <c r="D59" s="47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7"/>
      <c r="R59" s="46"/>
      <c r="S59" s="46"/>
      <c r="T59" s="46"/>
      <c r="U59" s="46"/>
      <c r="V59" s="46"/>
      <c r="W59" s="46"/>
    </row>
    <row r="60" spans="1:23" x14ac:dyDescent="0.25">
      <c r="A60" s="46"/>
      <c r="B60" s="46"/>
      <c r="C60" s="46"/>
      <c r="D60" s="47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7"/>
      <c r="R60" s="46"/>
      <c r="S60" s="46"/>
      <c r="T60" s="46"/>
      <c r="U60" s="46"/>
      <c r="V60" s="46"/>
      <c r="W60" s="46"/>
    </row>
    <row r="61" spans="1:2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</row>
    <row r="62" spans="1:23" x14ac:dyDescent="0.25">
      <c r="A62" s="46"/>
      <c r="B62" s="46"/>
      <c r="C62" s="46"/>
      <c r="D62" s="47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7"/>
      <c r="R62" s="46"/>
      <c r="S62" s="46"/>
      <c r="T62" s="46"/>
      <c r="U62" s="46"/>
      <c r="V62" s="46"/>
      <c r="W62" s="46"/>
    </row>
    <row r="63" spans="1:23" x14ac:dyDescent="0.25">
      <c r="A63" s="46"/>
      <c r="B63" s="46"/>
      <c r="C63" s="46"/>
      <c r="D63" s="47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7"/>
      <c r="R63" s="46"/>
      <c r="S63" s="46"/>
      <c r="T63" s="46"/>
      <c r="U63" s="46"/>
      <c r="V63" s="46"/>
      <c r="W63" s="46"/>
    </row>
    <row r="64" spans="1:2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</row>
    <row r="65" spans="1:23" x14ac:dyDescent="0.25">
      <c r="A65" s="46"/>
      <c r="B65" s="46"/>
      <c r="C65" s="46"/>
      <c r="D65" s="47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7"/>
      <c r="R65" s="46"/>
      <c r="S65" s="46"/>
      <c r="T65" s="46"/>
      <c r="U65" s="46"/>
      <c r="V65" s="46"/>
      <c r="W65" s="46"/>
    </row>
    <row r="66" spans="1:23" x14ac:dyDescent="0.25">
      <c r="A66" s="46"/>
      <c r="B66" s="46"/>
      <c r="C66" s="46"/>
      <c r="D66" s="47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7"/>
      <c r="R66" s="46"/>
      <c r="S66" s="46"/>
      <c r="T66" s="46"/>
      <c r="U66" s="46"/>
      <c r="V66" s="46"/>
      <c r="W66" s="46"/>
    </row>
    <row r="67" spans="1:2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</row>
    <row r="68" spans="1:23" x14ac:dyDescent="0.25">
      <c r="A68" s="46"/>
      <c r="B68" s="46"/>
      <c r="C68" s="46"/>
      <c r="D68" s="47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7"/>
      <c r="R68" s="46"/>
      <c r="S68" s="46"/>
      <c r="T68" s="46"/>
      <c r="U68" s="46"/>
      <c r="V68" s="46"/>
      <c r="W68" s="46"/>
    </row>
    <row r="69" spans="1:23" x14ac:dyDescent="0.25">
      <c r="A69" s="46"/>
      <c r="B69" s="46"/>
      <c r="C69" s="46"/>
      <c r="D69" s="47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7"/>
      <c r="R69" s="46"/>
      <c r="S69" s="46"/>
      <c r="T69" s="46"/>
      <c r="U69" s="46"/>
      <c r="V69" s="46"/>
      <c r="W69" s="46"/>
    </row>
    <row r="70" spans="1:2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1:23" x14ac:dyDescent="0.25">
      <c r="A71" s="46"/>
      <c r="B71" s="46"/>
      <c r="C71" s="46"/>
      <c r="D71" s="47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7"/>
      <c r="R71" s="46"/>
      <c r="S71" s="46"/>
      <c r="T71" s="46"/>
      <c r="U71" s="46"/>
      <c r="V71" s="46"/>
      <c r="W71" s="46"/>
    </row>
    <row r="72" spans="1:23" x14ac:dyDescent="0.25">
      <c r="A72" s="46"/>
      <c r="B72" s="46"/>
      <c r="C72" s="46"/>
      <c r="D72" s="47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7"/>
      <c r="R72" s="46"/>
      <c r="S72" s="46"/>
      <c r="T72" s="46"/>
      <c r="U72" s="46"/>
      <c r="V72" s="46"/>
      <c r="W72" s="46"/>
    </row>
    <row r="73" spans="1:2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</row>
    <row r="74" spans="1:23" x14ac:dyDescent="0.25">
      <c r="A74" s="46"/>
      <c r="B74" s="46"/>
      <c r="C74" s="46"/>
      <c r="D74" s="47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7"/>
      <c r="R74" s="46"/>
      <c r="S74" s="46"/>
      <c r="T74" s="46"/>
      <c r="U74" s="46"/>
      <c r="V74" s="46"/>
      <c r="W74" s="46"/>
    </row>
    <row r="75" spans="1:23" x14ac:dyDescent="0.25">
      <c r="A75" s="46"/>
      <c r="B75" s="46"/>
      <c r="C75" s="46"/>
      <c r="D75" s="47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7"/>
      <c r="R75" s="46"/>
      <c r="S75" s="46"/>
      <c r="T75" s="46"/>
      <c r="U75" s="46"/>
      <c r="V75" s="46"/>
      <c r="W75" s="46"/>
    </row>
    <row r="76" spans="1:2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</row>
    <row r="77" spans="1:23" x14ac:dyDescent="0.25">
      <c r="A77" s="46"/>
      <c r="B77" s="46"/>
      <c r="C77" s="46"/>
      <c r="D77" s="47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7"/>
      <c r="R77" s="46"/>
      <c r="S77" s="46"/>
      <c r="T77" s="46"/>
      <c r="U77" s="46"/>
      <c r="V77" s="46"/>
      <c r="W77" s="46"/>
    </row>
    <row r="78" spans="1:23" x14ac:dyDescent="0.25">
      <c r="A78" s="46"/>
      <c r="B78" s="46"/>
      <c r="C78" s="46"/>
      <c r="D78" s="47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7"/>
      <c r="R78" s="46"/>
      <c r="S78" s="46"/>
      <c r="T78" s="46"/>
      <c r="U78" s="46"/>
      <c r="V78" s="46"/>
      <c r="W78" s="46"/>
    </row>
    <row r="79" spans="1:2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</row>
    <row r="80" spans="1:23" x14ac:dyDescent="0.25">
      <c r="A80" s="46"/>
      <c r="B80" s="46"/>
      <c r="C80" s="46"/>
      <c r="D80" s="47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7"/>
      <c r="R80" s="46"/>
      <c r="S80" s="46"/>
      <c r="T80" s="46"/>
      <c r="U80" s="46"/>
      <c r="V80" s="46"/>
      <c r="W80" s="46"/>
    </row>
    <row r="81" spans="1:23" x14ac:dyDescent="0.25">
      <c r="A81" s="46"/>
      <c r="B81" s="46"/>
      <c r="C81" s="46"/>
      <c r="D81" s="47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7"/>
      <c r="R81" s="46"/>
      <c r="S81" s="46"/>
      <c r="T81" s="46"/>
      <c r="U81" s="46"/>
      <c r="V81" s="46"/>
      <c r="W81" s="46"/>
    </row>
    <row r="82" spans="1:2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1:23" x14ac:dyDescent="0.25">
      <c r="A83" s="46"/>
      <c r="B83" s="46"/>
      <c r="C83" s="46"/>
      <c r="D83" s="47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7"/>
      <c r="R83" s="46"/>
      <c r="S83" s="46"/>
      <c r="T83" s="46"/>
      <c r="U83" s="46"/>
      <c r="V83" s="46"/>
      <c r="W83" s="46"/>
    </row>
    <row r="84" spans="1:23" x14ac:dyDescent="0.25">
      <c r="A84" s="46"/>
      <c r="B84" s="46"/>
      <c r="C84" s="46"/>
      <c r="D84" s="47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7"/>
      <c r="R84" s="46"/>
      <c r="S84" s="46"/>
      <c r="T84" s="46"/>
      <c r="U84" s="46"/>
      <c r="V84" s="46"/>
      <c r="W84" s="46"/>
    </row>
    <row r="85" spans="1:2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1:23" x14ac:dyDescent="0.25">
      <c r="A86" s="46"/>
      <c r="B86" s="46"/>
      <c r="C86" s="46"/>
      <c r="D86" s="47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7"/>
      <c r="R86" s="46"/>
      <c r="S86" s="46"/>
      <c r="T86" s="46"/>
      <c r="U86" s="46"/>
      <c r="V86" s="46"/>
      <c r="W86" s="46"/>
    </row>
    <row r="87" spans="1:23" x14ac:dyDescent="0.25">
      <c r="A87" s="46"/>
      <c r="B87" s="46"/>
      <c r="C87" s="46"/>
      <c r="D87" s="47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7"/>
      <c r="R87" s="46"/>
      <c r="S87" s="46"/>
      <c r="T87" s="46"/>
      <c r="U87" s="46"/>
      <c r="V87" s="46"/>
      <c r="W87" s="46"/>
    </row>
    <row r="88" spans="1:2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1:23" x14ac:dyDescent="0.25">
      <c r="A89" s="46"/>
      <c r="B89" s="46"/>
      <c r="C89" s="46"/>
      <c r="D89" s="47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7"/>
      <c r="R89" s="46"/>
      <c r="S89" s="46"/>
      <c r="T89" s="46"/>
      <c r="U89" s="46"/>
      <c r="V89" s="46"/>
      <c r="W89" s="46"/>
    </row>
    <row r="90" spans="1:23" x14ac:dyDescent="0.25">
      <c r="A90" s="46"/>
      <c r="B90" s="46"/>
      <c r="C90" s="46"/>
      <c r="D90" s="47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7"/>
      <c r="R90" s="46"/>
      <c r="S90" s="46"/>
      <c r="T90" s="46"/>
      <c r="U90" s="46"/>
      <c r="V90" s="46"/>
      <c r="W90" s="46"/>
    </row>
    <row r="91" spans="1:2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</row>
    <row r="92" spans="1:2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</row>
    <row r="93" spans="1:23" x14ac:dyDescent="0.25">
      <c r="A93" s="46"/>
      <c r="B93" s="46"/>
      <c r="C93" s="46"/>
      <c r="D93" s="47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7"/>
      <c r="R93" s="46"/>
      <c r="S93" s="46"/>
      <c r="T93" s="46"/>
      <c r="U93" s="46"/>
      <c r="V93" s="46"/>
      <c r="W93" s="46"/>
    </row>
    <row r="94" spans="1:2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7"/>
      <c r="R94" s="46"/>
      <c r="S94" s="46"/>
      <c r="T94" s="46"/>
      <c r="U94" s="46"/>
      <c r="V94" s="46"/>
      <c r="W94" s="46"/>
    </row>
    <row r="95" spans="1:2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7"/>
      <c r="R95" s="46"/>
      <c r="S95" s="46"/>
      <c r="T95" s="46"/>
      <c r="U95" s="46"/>
      <c r="V95" s="46"/>
      <c r="W95" s="46"/>
    </row>
    <row r="96" spans="1:23" x14ac:dyDescent="0.25">
      <c r="A96" s="46"/>
      <c r="B96" s="46"/>
      <c r="C96" s="46"/>
      <c r="D96" s="47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7"/>
      <c r="R96" s="46"/>
      <c r="S96" s="46"/>
      <c r="T96" s="46"/>
      <c r="U96" s="46"/>
      <c r="V96" s="46"/>
      <c r="W96" s="46"/>
    </row>
    <row r="97" spans="1:2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7"/>
      <c r="R97" s="46"/>
      <c r="S97" s="46"/>
      <c r="T97" s="46"/>
      <c r="U97" s="46"/>
      <c r="V97" s="46"/>
      <c r="W97" s="46"/>
    </row>
    <row r="98" spans="1:2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7"/>
      <c r="R98" s="46"/>
      <c r="S98" s="46"/>
      <c r="T98" s="46"/>
      <c r="U98" s="46"/>
      <c r="V98" s="46"/>
      <c r="W98" s="46"/>
    </row>
    <row r="99" spans="1:23" x14ac:dyDescent="0.25">
      <c r="A99" s="46"/>
      <c r="B99" s="46"/>
      <c r="C99" s="46"/>
      <c r="D99" s="47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7"/>
      <c r="R99" s="46"/>
      <c r="S99" s="46"/>
      <c r="T99" s="46"/>
      <c r="U99" s="46"/>
      <c r="V99" s="46"/>
      <c r="W99" s="46"/>
    </row>
    <row r="100" spans="1:2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7"/>
      <c r="R100" s="46"/>
      <c r="S100" s="46"/>
      <c r="T100" s="46"/>
      <c r="U100" s="46"/>
      <c r="V100" s="46"/>
      <c r="W100" s="46"/>
    </row>
    <row r="101" spans="1:2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7"/>
      <c r="R101" s="46"/>
      <c r="S101" s="46"/>
      <c r="T101" s="46"/>
      <c r="U101" s="46"/>
      <c r="V101" s="46"/>
      <c r="W101" s="46"/>
    </row>
    <row r="102" spans="1:23" x14ac:dyDescent="0.25">
      <c r="A102" s="46"/>
      <c r="B102" s="46"/>
      <c r="C102" s="46"/>
      <c r="D102" s="47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7"/>
      <c r="R102" s="46"/>
      <c r="S102" s="46"/>
      <c r="T102" s="46"/>
      <c r="U102" s="46"/>
      <c r="V102" s="46"/>
      <c r="W102" s="46"/>
    </row>
    <row r="103" spans="1:2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1:2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1:23" x14ac:dyDescent="0.25">
      <c r="A105" s="46"/>
      <c r="B105" s="46"/>
      <c r="C105" s="46"/>
      <c r="D105" s="47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7"/>
      <c r="R105" s="46"/>
      <c r="S105" s="46"/>
      <c r="T105" s="46"/>
      <c r="U105" s="46"/>
      <c r="V105" s="46"/>
      <c r="W105" s="46"/>
    </row>
    <row r="106" spans="1:2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1:2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1:23" x14ac:dyDescent="0.25">
      <c r="A108" s="46"/>
      <c r="B108" s="46"/>
      <c r="C108" s="46"/>
      <c r="D108" s="47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7"/>
      <c r="R108" s="46"/>
      <c r="S108" s="46"/>
      <c r="T108" s="46"/>
      <c r="U108" s="46"/>
      <c r="V108" s="46"/>
      <c r="W108" s="46"/>
    </row>
    <row r="109" spans="1:2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1:2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1:23" x14ac:dyDescent="0.25">
      <c r="A111" s="46"/>
      <c r="B111" s="46"/>
      <c r="C111" s="46"/>
      <c r="D111" s="47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7"/>
      <c r="R111" s="46"/>
      <c r="S111" s="46"/>
      <c r="T111" s="46"/>
      <c r="U111" s="46"/>
      <c r="V111" s="46"/>
      <c r="W111" s="46"/>
    </row>
    <row r="112" spans="1:2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1:2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1:23" x14ac:dyDescent="0.25">
      <c r="A114" s="46"/>
      <c r="B114" s="46"/>
      <c r="C114" s="46"/>
      <c r="D114" s="47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7"/>
      <c r="R114" s="46"/>
      <c r="S114" s="46"/>
      <c r="T114" s="46"/>
      <c r="U114" s="46"/>
      <c r="V114" s="46"/>
      <c r="W114" s="46"/>
    </row>
    <row r="115" spans="1:23" x14ac:dyDescent="0.25">
      <c r="A115" s="46"/>
      <c r="B115" s="46"/>
      <c r="C115" s="46"/>
      <c r="D115" s="47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7"/>
      <c r="R115" s="46"/>
      <c r="S115" s="46"/>
      <c r="T115" s="46"/>
      <c r="U115" s="46"/>
      <c r="V115" s="46"/>
      <c r="W115" s="46"/>
    </row>
    <row r="116" spans="1:2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1:23" x14ac:dyDescent="0.25">
      <c r="A117" s="46"/>
      <c r="B117" s="46"/>
      <c r="C117" s="46"/>
      <c r="D117" s="47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7"/>
      <c r="R117" s="46"/>
      <c r="S117" s="46"/>
      <c r="T117" s="46"/>
      <c r="U117" s="46"/>
      <c r="V117" s="46"/>
      <c r="W117" s="46"/>
    </row>
    <row r="118" spans="1:23" x14ac:dyDescent="0.25">
      <c r="A118" s="46"/>
      <c r="B118" s="46"/>
      <c r="C118" s="46"/>
      <c r="D118" s="47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7"/>
      <c r="R118" s="46"/>
      <c r="S118" s="46"/>
      <c r="T118" s="46"/>
      <c r="U118" s="46"/>
      <c r="V118" s="46"/>
      <c r="W118" s="46"/>
    </row>
    <row r="119" spans="1:23" x14ac:dyDescent="0.25">
      <c r="A119" s="46"/>
      <c r="B119" s="46"/>
      <c r="C119" s="46"/>
      <c r="D119" s="47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7"/>
      <c r="R119" s="46"/>
      <c r="S119" s="46"/>
      <c r="T119" s="46"/>
      <c r="U119" s="46"/>
      <c r="V119" s="46"/>
      <c r="W119" s="46"/>
    </row>
    <row r="120" spans="1:23" x14ac:dyDescent="0.25">
      <c r="A120" s="46"/>
      <c r="B120" s="46"/>
      <c r="C120" s="46"/>
      <c r="D120" s="47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7"/>
      <c r="R120" s="46"/>
      <c r="S120" s="46"/>
      <c r="T120" s="46"/>
      <c r="U120" s="46"/>
      <c r="V120" s="46"/>
      <c r="W120" s="46"/>
    </row>
    <row r="121" spans="1:23" x14ac:dyDescent="0.25">
      <c r="A121" s="46"/>
      <c r="B121" s="46"/>
      <c r="C121" s="46"/>
      <c r="D121" s="47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7"/>
      <c r="R121" s="46"/>
      <c r="S121" s="46"/>
      <c r="T121" s="46"/>
      <c r="U121" s="46"/>
      <c r="V121" s="46"/>
      <c r="W121" s="46"/>
    </row>
    <row r="122" spans="1:23" x14ac:dyDescent="0.25">
      <c r="A122" s="46"/>
      <c r="B122" s="46"/>
      <c r="C122" s="46"/>
      <c r="D122" s="47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7"/>
      <c r="R122" s="46"/>
      <c r="S122" s="46"/>
      <c r="T122" s="46"/>
      <c r="U122" s="46"/>
      <c r="V122" s="46"/>
      <c r="W122" s="46"/>
    </row>
    <row r="123" spans="1:23" x14ac:dyDescent="0.25">
      <c r="A123" s="46"/>
      <c r="B123" s="46"/>
      <c r="C123" s="46"/>
      <c r="D123" s="47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7"/>
      <c r="R123" s="46"/>
      <c r="S123" s="46"/>
      <c r="T123" s="46"/>
      <c r="U123" s="46"/>
      <c r="V123" s="46"/>
      <c r="W123" s="46"/>
    </row>
    <row r="124" spans="1:2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1:23" x14ac:dyDescent="0.25">
      <c r="A125" s="46"/>
      <c r="B125" s="46"/>
      <c r="C125" s="46"/>
      <c r="D125" s="47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7"/>
      <c r="R125" s="46"/>
      <c r="S125" s="46"/>
      <c r="T125" s="46"/>
      <c r="U125" s="46"/>
      <c r="V125" s="46"/>
      <c r="W125" s="46"/>
    </row>
    <row r="126" spans="1:23" x14ac:dyDescent="0.25">
      <c r="A126" s="46"/>
      <c r="B126" s="46"/>
      <c r="C126" s="46"/>
      <c r="D126" s="47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7"/>
      <c r="R126" s="46"/>
      <c r="S126" s="46"/>
      <c r="T126" s="46"/>
      <c r="U126" s="46"/>
      <c r="V126" s="46"/>
      <c r="W126" s="46"/>
    </row>
    <row r="127" spans="1:2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1:23" x14ac:dyDescent="0.25">
      <c r="A128" s="46"/>
      <c r="B128" s="46"/>
      <c r="C128" s="46"/>
      <c r="D128" s="47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7"/>
      <c r="R128" s="46"/>
      <c r="S128" s="46"/>
      <c r="T128" s="46"/>
      <c r="U128" s="46"/>
      <c r="V128" s="46"/>
      <c r="W128" s="46"/>
    </row>
    <row r="129" spans="1:23" x14ac:dyDescent="0.25">
      <c r="A129" s="46"/>
      <c r="B129" s="46"/>
      <c r="C129" s="46"/>
      <c r="D129" s="47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7"/>
      <c r="R129" s="46"/>
      <c r="S129" s="46"/>
      <c r="T129" s="46"/>
      <c r="U129" s="46"/>
      <c r="V129" s="46"/>
      <c r="W129" s="46"/>
    </row>
    <row r="130" spans="1:23" x14ac:dyDescent="0.25">
      <c r="A130" s="46"/>
      <c r="B130" s="46"/>
      <c r="C130" s="46"/>
      <c r="D130" s="47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7"/>
      <c r="R130" s="46"/>
      <c r="S130" s="46"/>
      <c r="T130" s="46"/>
      <c r="U130" s="46"/>
      <c r="V130" s="46"/>
      <c r="W130" s="46"/>
    </row>
    <row r="131" spans="1:2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1:23" x14ac:dyDescent="0.25">
      <c r="A132" s="46"/>
      <c r="B132" s="46"/>
      <c r="C132" s="46"/>
      <c r="D132" s="47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7"/>
      <c r="R132" s="46"/>
      <c r="S132" s="46"/>
      <c r="T132" s="46"/>
      <c r="U132" s="46"/>
      <c r="V132" s="46"/>
      <c r="W132" s="46"/>
    </row>
    <row r="133" spans="1:23" x14ac:dyDescent="0.25">
      <c r="A133" s="46"/>
      <c r="B133" s="46"/>
      <c r="C133" s="46"/>
      <c r="D133" s="47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7"/>
      <c r="R133" s="46"/>
      <c r="S133" s="46"/>
      <c r="T133" s="46"/>
      <c r="U133" s="46"/>
      <c r="V133" s="46"/>
      <c r="W133" s="46"/>
    </row>
    <row r="134" spans="1:23" x14ac:dyDescent="0.25">
      <c r="A134" s="46"/>
      <c r="B134" s="46"/>
      <c r="C134" s="46"/>
      <c r="D134" s="47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7"/>
      <c r="R134" s="46"/>
      <c r="S134" s="46"/>
      <c r="T134" s="46"/>
      <c r="U134" s="46"/>
      <c r="V134" s="46"/>
      <c r="W134" s="46"/>
    </row>
    <row r="135" spans="1:23" x14ac:dyDescent="0.25">
      <c r="A135" s="46"/>
      <c r="B135" s="46"/>
      <c r="C135" s="46"/>
      <c r="D135" s="47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7"/>
      <c r="R135" s="46"/>
      <c r="S135" s="46"/>
      <c r="T135" s="46"/>
      <c r="U135" s="46"/>
      <c r="V135" s="46"/>
      <c r="W135" s="46"/>
    </row>
    <row r="136" spans="1:23" x14ac:dyDescent="0.25">
      <c r="A136" s="46"/>
      <c r="B136" s="46"/>
      <c r="C136" s="46"/>
      <c r="D136" s="47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7"/>
      <c r="R136" s="46"/>
      <c r="S136" s="46"/>
      <c r="T136" s="46"/>
      <c r="U136" s="46"/>
      <c r="V136" s="46"/>
      <c r="W136" s="46"/>
    </row>
    <row r="137" spans="1:2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1:23" x14ac:dyDescent="0.25">
      <c r="A138" s="46"/>
      <c r="B138" s="46"/>
      <c r="C138" s="46"/>
      <c r="D138" s="47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7"/>
      <c r="R138" s="46"/>
      <c r="S138" s="46"/>
      <c r="T138" s="46"/>
      <c r="U138" s="46"/>
      <c r="V138" s="46"/>
      <c r="W138" s="46"/>
    </row>
    <row r="139" spans="1:23" x14ac:dyDescent="0.25">
      <c r="A139" s="46"/>
      <c r="B139" s="46"/>
      <c r="C139" s="46"/>
      <c r="D139" s="47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7"/>
      <c r="R139" s="46"/>
      <c r="S139" s="46"/>
      <c r="T139" s="46"/>
      <c r="U139" s="46"/>
      <c r="V139" s="46"/>
      <c r="W139" s="46"/>
    </row>
    <row r="140" spans="1:2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1:23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1:23" x14ac:dyDescent="0.25">
      <c r="A142" s="46"/>
      <c r="B142" s="46"/>
      <c r="C142" s="46"/>
      <c r="D142" s="47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7"/>
      <c r="R142" s="46"/>
      <c r="S142" s="46"/>
      <c r="T142" s="46"/>
      <c r="U142" s="46"/>
      <c r="V142" s="46"/>
      <c r="W142" s="46"/>
    </row>
    <row r="143" spans="1:23" x14ac:dyDescent="0.25">
      <c r="A143" s="46"/>
      <c r="B143" s="46"/>
      <c r="C143" s="46"/>
      <c r="D143" s="47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7"/>
      <c r="R143" s="46"/>
      <c r="S143" s="46"/>
      <c r="T143" s="46"/>
      <c r="U143" s="46"/>
      <c r="V143" s="46"/>
      <c r="W143" s="46"/>
    </row>
    <row r="144" spans="1:23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1:23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1:23" x14ac:dyDescent="0.25">
      <c r="A146" s="46"/>
      <c r="B146" s="46"/>
      <c r="C146" s="46"/>
      <c r="D146" s="47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7"/>
      <c r="R146" s="46"/>
      <c r="S146" s="46"/>
      <c r="T146" s="46"/>
      <c r="U146" s="46"/>
      <c r="V146" s="46"/>
      <c r="W146" s="46"/>
    </row>
    <row r="147" spans="1:23" x14ac:dyDescent="0.25">
      <c r="A147" s="46"/>
      <c r="B147" s="46"/>
      <c r="C147" s="46"/>
      <c r="D147" s="47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7"/>
      <c r="R147" s="46"/>
      <c r="S147" s="46"/>
      <c r="T147" s="46"/>
      <c r="U147" s="46"/>
      <c r="V147" s="46"/>
      <c r="W147" s="46"/>
    </row>
    <row r="148" spans="1:23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1:23" x14ac:dyDescent="0.25">
      <c r="A149" s="46"/>
      <c r="B149" s="46"/>
      <c r="C149" s="46"/>
      <c r="D149" s="47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7"/>
      <c r="R149" s="46"/>
      <c r="S149" s="46"/>
      <c r="T149" s="46"/>
      <c r="U149" s="46"/>
      <c r="V149" s="46"/>
      <c r="W149" s="46"/>
    </row>
    <row r="150" spans="1:23" x14ac:dyDescent="0.25">
      <c r="A150" s="46"/>
      <c r="B150" s="46"/>
      <c r="C150" s="46"/>
      <c r="D150" s="47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7"/>
      <c r="R150" s="46"/>
      <c r="S150" s="46"/>
      <c r="T150" s="46"/>
      <c r="U150" s="46"/>
      <c r="V150" s="46"/>
      <c r="W150" s="46"/>
    </row>
    <row r="151" spans="1:23" x14ac:dyDescent="0.25">
      <c r="A151" s="46"/>
      <c r="B151" s="46"/>
      <c r="C151" s="46"/>
      <c r="D151" s="47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7"/>
      <c r="R151" s="46"/>
      <c r="S151" s="46"/>
      <c r="T151" s="46"/>
      <c r="U151" s="46"/>
      <c r="V151" s="46"/>
      <c r="W151" s="46"/>
    </row>
    <row r="152" spans="1:23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1:23" x14ac:dyDescent="0.25">
      <c r="A153" s="46"/>
      <c r="B153" s="46"/>
      <c r="C153" s="46"/>
      <c r="D153" s="47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7"/>
      <c r="R153" s="46"/>
      <c r="S153" s="46"/>
      <c r="T153" s="46"/>
      <c r="U153" s="46"/>
      <c r="V153" s="46"/>
      <c r="W153" s="46"/>
    </row>
    <row r="154" spans="1:23" x14ac:dyDescent="0.25">
      <c r="A154" s="46"/>
      <c r="B154" s="46"/>
      <c r="C154" s="46"/>
      <c r="D154" s="47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7"/>
      <c r="R154" s="46"/>
      <c r="S154" s="46"/>
      <c r="T154" s="46"/>
      <c r="U154" s="46"/>
      <c r="V154" s="46"/>
      <c r="W154" s="46"/>
    </row>
    <row r="155" spans="1:23" x14ac:dyDescent="0.25">
      <c r="A155" s="46"/>
      <c r="B155" s="46"/>
      <c r="C155" s="46"/>
      <c r="D155" s="47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7"/>
      <c r="R155" s="46"/>
      <c r="S155" s="46"/>
      <c r="T155" s="46"/>
      <c r="U155" s="46"/>
      <c r="V155" s="46"/>
      <c r="W155" s="46"/>
    </row>
    <row r="156" spans="1:23" x14ac:dyDescent="0.25">
      <c r="A156" s="46"/>
      <c r="B156" s="46"/>
      <c r="C156" s="46"/>
      <c r="D156" s="47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7"/>
      <c r="R156" s="46"/>
      <c r="S156" s="46"/>
      <c r="T156" s="46"/>
      <c r="U156" s="46"/>
      <c r="V156" s="46"/>
      <c r="W156" s="46"/>
    </row>
    <row r="157" spans="1:23" x14ac:dyDescent="0.25">
      <c r="A157" s="46"/>
      <c r="B157" s="46"/>
      <c r="C157" s="46"/>
      <c r="D157" s="47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7"/>
      <c r="R157" s="46"/>
      <c r="S157" s="46"/>
      <c r="T157" s="46"/>
      <c r="U157" s="46"/>
      <c r="V157" s="46"/>
      <c r="W157" s="46"/>
    </row>
    <row r="158" spans="1:23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1:23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1:23" x14ac:dyDescent="0.25">
      <c r="A160" s="46"/>
      <c r="B160" s="46"/>
      <c r="C160" s="46"/>
      <c r="D160" s="47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7"/>
      <c r="R160" s="46"/>
      <c r="S160" s="46"/>
      <c r="T160" s="46"/>
      <c r="U160" s="46"/>
      <c r="V160" s="46"/>
      <c r="W160" s="46"/>
    </row>
    <row r="161" spans="1:23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1:23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1:23" x14ac:dyDescent="0.25">
      <c r="A163" s="46"/>
      <c r="B163" s="46"/>
      <c r="C163" s="46"/>
      <c r="D163" s="47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7"/>
      <c r="R163" s="46"/>
      <c r="S163" s="46"/>
      <c r="T163" s="46"/>
      <c r="U163" s="46"/>
      <c r="V163" s="46"/>
      <c r="W163" s="46"/>
    </row>
    <row r="164" spans="1:23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7"/>
      <c r="R164" s="46"/>
      <c r="S164" s="46"/>
      <c r="T164" s="46"/>
      <c r="U164" s="46"/>
      <c r="V164" s="46"/>
      <c r="W164" s="46"/>
    </row>
    <row r="165" spans="1:23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7"/>
      <c r="R165" s="46"/>
      <c r="S165" s="46"/>
      <c r="T165" s="46"/>
      <c r="U165" s="46"/>
      <c r="V165" s="46"/>
      <c r="W165" s="46"/>
    </row>
    <row r="166" spans="1:23" x14ac:dyDescent="0.25">
      <c r="A166" s="46"/>
      <c r="B166" s="46"/>
      <c r="C166" s="46"/>
      <c r="D166" s="47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7"/>
      <c r="R166" s="46"/>
      <c r="S166" s="46"/>
      <c r="T166" s="46"/>
      <c r="U166" s="46"/>
      <c r="V166" s="46"/>
      <c r="W166" s="46"/>
    </row>
    <row r="167" spans="1:23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1:23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1:23" x14ac:dyDescent="0.25">
      <c r="A169" s="46"/>
      <c r="B169" s="46"/>
      <c r="C169" s="46"/>
      <c r="D169" s="47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7"/>
      <c r="R169" s="46"/>
      <c r="S169" s="46"/>
      <c r="T169" s="46"/>
      <c r="U169" s="46"/>
      <c r="V169" s="46"/>
      <c r="W169" s="46"/>
    </row>
    <row r="170" spans="1:23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7"/>
      <c r="R170" s="46"/>
      <c r="S170" s="46"/>
      <c r="T170" s="46"/>
      <c r="U170" s="46"/>
      <c r="V170" s="46"/>
      <c r="W170" s="46"/>
    </row>
    <row r="171" spans="1:23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7"/>
      <c r="R171" s="46"/>
      <c r="S171" s="46"/>
      <c r="T171" s="46"/>
      <c r="U171" s="46"/>
      <c r="V171" s="46"/>
      <c r="W171" s="46"/>
    </row>
    <row r="172" spans="1:23" x14ac:dyDescent="0.25">
      <c r="A172" s="46"/>
      <c r="B172" s="46"/>
      <c r="C172" s="46"/>
      <c r="D172" s="47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7"/>
      <c r="R172" s="46"/>
      <c r="S172" s="46"/>
      <c r="T172" s="46"/>
      <c r="U172" s="46"/>
      <c r="V172" s="46"/>
      <c r="W172" s="46"/>
    </row>
    <row r="173" spans="1:23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1:23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1:23" x14ac:dyDescent="0.25">
      <c r="A175" s="46"/>
      <c r="B175" s="46"/>
      <c r="C175" s="46"/>
      <c r="D175" s="47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7"/>
      <c r="R175" s="46"/>
      <c r="S175" s="46"/>
      <c r="T175" s="46"/>
      <c r="U175" s="46"/>
      <c r="V175" s="46"/>
      <c r="W175" s="46"/>
    </row>
    <row r="176" spans="1:23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1:23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1:23" x14ac:dyDescent="0.25">
      <c r="A178" s="46"/>
      <c r="B178" s="46"/>
      <c r="C178" s="46"/>
      <c r="D178" s="47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7"/>
      <c r="R178" s="46"/>
      <c r="S178" s="46"/>
      <c r="T178" s="46"/>
      <c r="U178" s="46"/>
      <c r="V178" s="46"/>
      <c r="W178" s="46"/>
    </row>
    <row r="179" spans="1:23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1:23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1:23" x14ac:dyDescent="0.25">
      <c r="A181" s="46"/>
      <c r="B181" s="46"/>
      <c r="C181" s="46"/>
      <c r="D181" s="47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7"/>
      <c r="R181" s="46"/>
      <c r="S181" s="46"/>
      <c r="T181" s="46"/>
      <c r="U181" s="46"/>
      <c r="V181" s="46"/>
      <c r="W181" s="46"/>
    </row>
    <row r="182" spans="1:23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7"/>
      <c r="R182" s="46"/>
      <c r="S182" s="46"/>
      <c r="T182" s="46"/>
      <c r="U182" s="46"/>
      <c r="V182" s="46"/>
      <c r="W182" s="46"/>
    </row>
    <row r="183" spans="1:23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1:23" x14ac:dyDescent="0.25">
      <c r="A184" s="46"/>
      <c r="B184" s="46"/>
      <c r="C184" s="46"/>
      <c r="D184" s="47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7"/>
      <c r="R184" s="46"/>
      <c r="S184" s="46"/>
      <c r="T184" s="46"/>
      <c r="U184" s="46"/>
      <c r="V184" s="46"/>
      <c r="W184" s="46"/>
    </row>
    <row r="185" spans="1:23" x14ac:dyDescent="0.25">
      <c r="A185" s="46"/>
      <c r="B185" s="46"/>
      <c r="C185" s="46"/>
      <c r="D185" s="47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7"/>
      <c r="R185" s="46"/>
      <c r="S185" s="46"/>
      <c r="T185" s="46"/>
      <c r="U185" s="46"/>
      <c r="V185" s="46"/>
      <c r="W185" s="46"/>
    </row>
    <row r="186" spans="1:23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1:23" x14ac:dyDescent="0.25">
      <c r="A187" s="46"/>
      <c r="B187" s="46"/>
      <c r="C187" s="46"/>
      <c r="D187" s="47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7"/>
      <c r="R187" s="46"/>
      <c r="S187" s="46"/>
      <c r="T187" s="46"/>
      <c r="U187" s="46"/>
      <c r="V187" s="46"/>
      <c r="W187" s="46"/>
    </row>
    <row r="188" spans="1:23" x14ac:dyDescent="0.25">
      <c r="A188" s="46"/>
      <c r="B188" s="46"/>
      <c r="C188" s="46"/>
      <c r="D188" s="47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7"/>
      <c r="R188" s="46"/>
      <c r="S188" s="46"/>
      <c r="T188" s="46"/>
      <c r="U188" s="46"/>
      <c r="V188" s="46"/>
      <c r="W188" s="46"/>
    </row>
    <row r="189" spans="1:23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</row>
    <row r="190" spans="1:23" x14ac:dyDescent="0.25">
      <c r="A190" s="46"/>
      <c r="B190" s="46"/>
      <c r="C190" s="46"/>
      <c r="D190" s="47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7"/>
      <c r="R190" s="46"/>
      <c r="S190" s="46"/>
      <c r="T190" s="46"/>
      <c r="U190" s="46"/>
      <c r="V190" s="46"/>
      <c r="W190" s="46"/>
    </row>
    <row r="191" spans="1:23" x14ac:dyDescent="0.25">
      <c r="A191" s="46"/>
      <c r="B191" s="46"/>
      <c r="C191" s="46"/>
      <c r="D191" s="47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7"/>
      <c r="R191" s="46"/>
      <c r="S191" s="46"/>
      <c r="T191" s="46"/>
      <c r="U191" s="46"/>
      <c r="V191" s="46"/>
      <c r="W191" s="46"/>
    </row>
    <row r="192" spans="1:23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</row>
    <row r="193" spans="1:23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</row>
    <row r="194" spans="1:23" x14ac:dyDescent="0.25">
      <c r="A194" s="46"/>
      <c r="B194" s="46"/>
      <c r="C194" s="46"/>
      <c r="D194" s="47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7"/>
      <c r="R194" s="46"/>
      <c r="S194" s="46"/>
      <c r="T194" s="46"/>
      <c r="U194" s="46"/>
      <c r="V194" s="46"/>
      <c r="W194" s="46"/>
    </row>
    <row r="195" spans="1:23" x14ac:dyDescent="0.25">
      <c r="A195" s="46"/>
      <c r="B195" s="46"/>
      <c r="C195" s="46"/>
      <c r="D195" s="47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7"/>
      <c r="R195" s="46"/>
      <c r="S195" s="46"/>
      <c r="T195" s="46"/>
      <c r="U195" s="46"/>
      <c r="V195" s="46"/>
      <c r="W195" s="46"/>
    </row>
    <row r="196" spans="1:23" x14ac:dyDescent="0.25">
      <c r="A196" s="46"/>
      <c r="B196" s="46"/>
      <c r="C196" s="46"/>
      <c r="D196" s="47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7"/>
      <c r="R196" s="46"/>
      <c r="S196" s="46"/>
      <c r="T196" s="46"/>
      <c r="U196" s="46"/>
      <c r="V196" s="46"/>
      <c r="W196" s="46"/>
    </row>
    <row r="197" spans="1:23" x14ac:dyDescent="0.25">
      <c r="A197" s="46"/>
      <c r="B197" s="46"/>
      <c r="C197" s="46"/>
      <c r="D197" s="47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7"/>
      <c r="R197" s="46"/>
      <c r="S197" s="46"/>
      <c r="T197" s="46"/>
      <c r="U197" s="46"/>
      <c r="V197" s="46"/>
      <c r="W197" s="46"/>
    </row>
    <row r="198" spans="1:23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</row>
    <row r="199" spans="1:23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</row>
    <row r="200" spans="1:23" x14ac:dyDescent="0.25">
      <c r="A200" s="46"/>
      <c r="B200" s="46"/>
      <c r="C200" s="46"/>
      <c r="D200" s="47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7"/>
      <c r="R200" s="46"/>
      <c r="S200" s="46"/>
      <c r="T200" s="46"/>
      <c r="U200" s="46"/>
      <c r="V200" s="46"/>
      <c r="W200" s="46"/>
    </row>
    <row r="201" spans="1:23" x14ac:dyDescent="0.25">
      <c r="A201" s="46"/>
      <c r="B201" s="46"/>
      <c r="C201" s="46"/>
      <c r="D201" s="47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7"/>
      <c r="R201" s="46"/>
      <c r="S201" s="46"/>
      <c r="T201" s="46"/>
      <c r="U201" s="46"/>
      <c r="V201" s="46"/>
      <c r="W201" s="46"/>
    </row>
    <row r="202" spans="1:23" x14ac:dyDescent="0.25">
      <c r="A202" s="46"/>
      <c r="B202" s="46"/>
      <c r="C202" s="46"/>
      <c r="D202" s="47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7"/>
      <c r="R202" s="46"/>
      <c r="S202" s="46"/>
      <c r="T202" s="46"/>
      <c r="U202" s="46"/>
      <c r="V202" s="46"/>
      <c r="W202" s="46"/>
    </row>
    <row r="203" spans="1:23" x14ac:dyDescent="0.25">
      <c r="A203" s="46"/>
      <c r="B203" s="46"/>
      <c r="C203" s="46"/>
      <c r="D203" s="47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7"/>
      <c r="R203" s="46"/>
      <c r="S203" s="46"/>
      <c r="T203" s="46"/>
      <c r="U203" s="46"/>
      <c r="V203" s="46"/>
      <c r="W203" s="46"/>
    </row>
    <row r="204" spans="1:23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</row>
    <row r="205" spans="1:23" x14ac:dyDescent="0.25">
      <c r="A205" s="46"/>
      <c r="B205" s="46"/>
      <c r="C205" s="46"/>
      <c r="D205" s="47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7"/>
      <c r="R205" s="46"/>
      <c r="S205" s="46"/>
      <c r="T205" s="46"/>
      <c r="U205" s="46"/>
      <c r="V205" s="46"/>
      <c r="W205" s="46"/>
    </row>
    <row r="206" spans="1:23" x14ac:dyDescent="0.25">
      <c r="A206" s="46"/>
      <c r="B206" s="46"/>
      <c r="C206" s="46"/>
      <c r="D206" s="47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7"/>
      <c r="R206" s="46"/>
      <c r="S206" s="46"/>
      <c r="T206" s="46"/>
      <c r="U206" s="46"/>
      <c r="V206" s="46"/>
      <c r="W206" s="46"/>
    </row>
    <row r="207" spans="1:23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</row>
    <row r="208" spans="1:23" x14ac:dyDescent="0.25">
      <c r="A208" s="46"/>
      <c r="B208" s="46"/>
      <c r="C208" s="46"/>
      <c r="D208" s="47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7"/>
      <c r="R208" s="46"/>
      <c r="S208" s="46"/>
      <c r="T208" s="46"/>
      <c r="U208" s="46"/>
      <c r="V208" s="46"/>
      <c r="W208" s="46"/>
    </row>
    <row r="209" spans="1:23" x14ac:dyDescent="0.25">
      <c r="A209" s="46"/>
      <c r="B209" s="46"/>
      <c r="C209" s="46"/>
      <c r="D209" s="47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7"/>
      <c r="R209" s="46"/>
      <c r="S209" s="46"/>
      <c r="T209" s="46"/>
      <c r="U209" s="46"/>
      <c r="V209" s="46"/>
      <c r="W209" s="46"/>
    </row>
    <row r="210" spans="1:23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7"/>
      <c r="R210" s="46"/>
      <c r="S210" s="46"/>
      <c r="T210" s="46"/>
      <c r="U210" s="46"/>
      <c r="V210" s="46"/>
      <c r="W210" s="46"/>
    </row>
    <row r="211" spans="1:23" x14ac:dyDescent="0.25">
      <c r="A211" s="46"/>
      <c r="B211" s="46"/>
      <c r="C211" s="46"/>
      <c r="D211" s="47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7"/>
      <c r="R211" s="46"/>
      <c r="S211" s="46"/>
      <c r="T211" s="46"/>
      <c r="U211" s="46"/>
      <c r="V211" s="46"/>
      <c r="W211" s="46"/>
    </row>
    <row r="212" spans="1:23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</row>
    <row r="213" spans="1:23" x14ac:dyDescent="0.25">
      <c r="A213" s="46"/>
      <c r="B213" s="46"/>
      <c r="C213" s="46"/>
      <c r="D213" s="47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7"/>
      <c r="R213" s="46"/>
      <c r="S213" s="46"/>
      <c r="T213" s="46"/>
      <c r="U213" s="46"/>
      <c r="V213" s="46"/>
      <c r="W213" s="46"/>
    </row>
    <row r="214" spans="1:23" x14ac:dyDescent="0.25">
      <c r="A214" s="46"/>
      <c r="B214" s="46"/>
      <c r="C214" s="46"/>
      <c r="D214" s="47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7"/>
      <c r="R214" s="46"/>
      <c r="S214" s="46"/>
      <c r="T214" s="46"/>
      <c r="U214" s="46"/>
      <c r="V214" s="46"/>
      <c r="W214" s="46"/>
    </row>
    <row r="215" spans="1:23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</row>
    <row r="216" spans="1:23" x14ac:dyDescent="0.25">
      <c r="A216" s="46"/>
      <c r="B216" s="46"/>
      <c r="C216" s="46"/>
      <c r="D216" s="47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7"/>
      <c r="R216" s="46"/>
      <c r="S216" s="46"/>
      <c r="T216" s="46"/>
      <c r="U216" s="46"/>
      <c r="V216" s="46"/>
      <c r="W216" s="46"/>
    </row>
    <row r="217" spans="1:23" x14ac:dyDescent="0.25">
      <c r="A217" s="46"/>
      <c r="B217" s="46"/>
      <c r="C217" s="46"/>
      <c r="D217" s="47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7"/>
      <c r="R217" s="46"/>
      <c r="S217" s="46"/>
      <c r="T217" s="46"/>
      <c r="U217" s="46"/>
      <c r="V217" s="46"/>
      <c r="W217" s="46"/>
    </row>
    <row r="218" spans="1:23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</row>
    <row r="219" spans="1:23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</row>
    <row r="220" spans="1:23" x14ac:dyDescent="0.25">
      <c r="A220" s="46"/>
      <c r="B220" s="46"/>
      <c r="C220" s="46"/>
      <c r="D220" s="47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7"/>
      <c r="R220" s="46"/>
      <c r="S220" s="46"/>
      <c r="T220" s="46"/>
      <c r="U220" s="46"/>
      <c r="V220" s="46"/>
      <c r="W220" s="46"/>
    </row>
    <row r="221" spans="1:23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</row>
    <row r="222" spans="1:23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</row>
    <row r="223" spans="1:23" x14ac:dyDescent="0.25">
      <c r="A223" s="46"/>
      <c r="B223" s="46"/>
      <c r="C223" s="46"/>
      <c r="D223" s="47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7"/>
      <c r="R223" s="46"/>
      <c r="S223" s="46"/>
      <c r="T223" s="46"/>
      <c r="U223" s="46"/>
      <c r="V223" s="46"/>
      <c r="W223" s="46"/>
    </row>
    <row r="224" spans="1:23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</row>
    <row r="225" spans="1:23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</row>
    <row r="226" spans="1:23" x14ac:dyDescent="0.25">
      <c r="A226" s="46"/>
      <c r="B226" s="46"/>
      <c r="C226" s="46"/>
      <c r="D226" s="47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7"/>
      <c r="R226" s="46"/>
      <c r="S226" s="46"/>
      <c r="T226" s="46"/>
      <c r="U226" s="46"/>
      <c r="V226" s="46"/>
      <c r="W226" s="46"/>
    </row>
    <row r="227" spans="1:23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</row>
    <row r="228" spans="1:23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</row>
    <row r="229" spans="1:23" x14ac:dyDescent="0.25">
      <c r="A229" s="46"/>
      <c r="B229" s="46"/>
      <c r="C229" s="46"/>
      <c r="D229" s="47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7"/>
      <c r="R229" s="46"/>
      <c r="S229" s="46"/>
      <c r="T229" s="46"/>
      <c r="U229" s="46"/>
      <c r="V229" s="46"/>
      <c r="W229" s="46"/>
    </row>
    <row r="230" spans="1:23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</row>
    <row r="231" spans="1:23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</row>
    <row r="232" spans="1:23" x14ac:dyDescent="0.25">
      <c r="A232" s="46"/>
      <c r="B232" s="46"/>
      <c r="C232" s="46"/>
      <c r="D232" s="47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7"/>
      <c r="R232" s="46"/>
      <c r="S232" s="46"/>
      <c r="T232" s="46"/>
      <c r="U232" s="46"/>
      <c r="V232" s="46"/>
      <c r="W232" s="46"/>
    </row>
    <row r="233" spans="1:23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7"/>
      <c r="R233" s="46"/>
      <c r="S233" s="46"/>
      <c r="T233" s="46"/>
      <c r="U233" s="46"/>
      <c r="V233" s="46"/>
      <c r="W233" s="46"/>
    </row>
    <row r="234" spans="1:23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7"/>
      <c r="R234" s="46"/>
      <c r="S234" s="46"/>
      <c r="T234" s="46"/>
      <c r="U234" s="46"/>
      <c r="V234" s="46"/>
      <c r="W234" s="46"/>
    </row>
    <row r="235" spans="1:23" x14ac:dyDescent="0.25">
      <c r="A235" s="46"/>
      <c r="B235" s="46"/>
      <c r="C235" s="46"/>
      <c r="D235" s="47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7"/>
      <c r="R235" s="46"/>
      <c r="S235" s="46"/>
      <c r="T235" s="46"/>
      <c r="U235" s="46"/>
      <c r="V235" s="46"/>
      <c r="W235" s="46"/>
    </row>
    <row r="236" spans="1:23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</row>
    <row r="237" spans="1:23" x14ac:dyDescent="0.25">
      <c r="A237" s="46"/>
      <c r="B237" s="46"/>
      <c r="C237" s="46"/>
      <c r="D237" s="47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7"/>
      <c r="R237" s="46"/>
      <c r="S237" s="46"/>
      <c r="T237" s="46"/>
      <c r="U237" s="46"/>
      <c r="V237" s="46"/>
      <c r="W237" s="46"/>
    </row>
    <row r="238" spans="1:23" x14ac:dyDescent="0.25">
      <c r="A238" s="46"/>
      <c r="B238" s="46"/>
      <c r="C238" s="46"/>
      <c r="D238" s="47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7"/>
      <c r="R238" s="46"/>
      <c r="S238" s="46"/>
      <c r="T238" s="46"/>
      <c r="U238" s="46"/>
      <c r="V238" s="46"/>
      <c r="W238" s="46"/>
    </row>
    <row r="239" spans="1:23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7"/>
      <c r="R239" s="46"/>
      <c r="S239" s="46"/>
      <c r="T239" s="46"/>
      <c r="U239" s="46"/>
      <c r="V239" s="46"/>
      <c r="W239" s="46"/>
    </row>
    <row r="240" spans="1:23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7"/>
      <c r="R240" s="46"/>
      <c r="S240" s="46"/>
      <c r="T240" s="46"/>
      <c r="U240" s="46"/>
      <c r="V240" s="46"/>
      <c r="W240" s="46"/>
    </row>
    <row r="241" spans="1:23" x14ac:dyDescent="0.25">
      <c r="A241" s="46"/>
      <c r="B241" s="46"/>
      <c r="C241" s="46"/>
      <c r="D241" s="47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7"/>
      <c r="R241" s="46"/>
      <c r="S241" s="46"/>
      <c r="T241" s="46"/>
      <c r="U241" s="46"/>
      <c r="V241" s="46"/>
      <c r="W241" s="46"/>
    </row>
    <row r="242" spans="1:23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</row>
    <row r="243" spans="1:23" x14ac:dyDescent="0.25">
      <c r="A243" s="46"/>
      <c r="B243" s="46"/>
      <c r="C243" s="46"/>
      <c r="D243" s="47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7"/>
      <c r="R243" s="46"/>
      <c r="S243" s="46"/>
      <c r="T243" s="46"/>
      <c r="U243" s="46"/>
      <c r="V243" s="46"/>
      <c r="W243" s="46"/>
    </row>
    <row r="244" spans="1:23" x14ac:dyDescent="0.25">
      <c r="A244" s="46"/>
      <c r="B244" s="46"/>
      <c r="C244" s="46"/>
      <c r="D244" s="47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7"/>
      <c r="R244" s="46"/>
      <c r="S244" s="46"/>
      <c r="T244" s="46"/>
      <c r="U244" s="46"/>
      <c r="V244" s="46"/>
      <c r="W244" s="46"/>
    </row>
    <row r="245" spans="1:23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</row>
    <row r="246" spans="1:23" x14ac:dyDescent="0.25">
      <c r="A246" s="46"/>
      <c r="B246" s="46"/>
      <c r="C246" s="46"/>
      <c r="D246" s="47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7"/>
      <c r="R246" s="46"/>
      <c r="S246" s="46"/>
      <c r="T246" s="46"/>
      <c r="U246" s="46"/>
      <c r="V246" s="46"/>
      <c r="W246" s="46"/>
    </row>
    <row r="247" spans="1:23" x14ac:dyDescent="0.25">
      <c r="A247" s="46"/>
      <c r="B247" s="46"/>
      <c r="C247" s="46"/>
      <c r="D247" s="47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7"/>
      <c r="R247" s="46"/>
      <c r="S247" s="46"/>
      <c r="T247" s="46"/>
      <c r="U247" s="46"/>
      <c r="V247" s="46"/>
      <c r="W247" s="46"/>
    </row>
    <row r="248" spans="1:23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</row>
    <row r="249" spans="1:23" x14ac:dyDescent="0.25">
      <c r="A249" s="46"/>
      <c r="B249" s="46"/>
      <c r="C249" s="46"/>
      <c r="D249" s="47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7"/>
      <c r="R249" s="46"/>
      <c r="S249" s="46"/>
      <c r="T249" s="46"/>
      <c r="U249" s="46"/>
      <c r="V249" s="46"/>
      <c r="W249" s="46"/>
    </row>
    <row r="250" spans="1:23" x14ac:dyDescent="0.25">
      <c r="A250" s="46"/>
      <c r="B250" s="46"/>
      <c r="C250" s="46"/>
      <c r="D250" s="47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7"/>
      <c r="R250" s="46"/>
      <c r="S250" s="46"/>
      <c r="T250" s="46"/>
      <c r="U250" s="46"/>
      <c r="V250" s="46"/>
      <c r="W250" s="46"/>
    </row>
    <row r="251" spans="1:23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7"/>
      <c r="R251" s="46"/>
      <c r="S251" s="46"/>
      <c r="T251" s="46"/>
      <c r="U251" s="46"/>
      <c r="V251" s="46"/>
      <c r="W251" s="46"/>
    </row>
    <row r="252" spans="1:23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7"/>
      <c r="R252" s="46"/>
      <c r="S252" s="46"/>
      <c r="T252" s="46"/>
      <c r="U252" s="46"/>
      <c r="V252" s="46"/>
      <c r="W252" s="46"/>
    </row>
    <row r="253" spans="1:23" x14ac:dyDescent="0.25">
      <c r="A253" s="46"/>
      <c r="B253" s="46"/>
      <c r="C253" s="46"/>
      <c r="D253" s="47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7"/>
      <c r="R253" s="46"/>
      <c r="S253" s="46"/>
      <c r="T253" s="46"/>
      <c r="U253" s="46"/>
      <c r="V253" s="46"/>
      <c r="W253" s="46"/>
    </row>
    <row r="254" spans="1:23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7"/>
      <c r="R254" s="46"/>
      <c r="S254" s="46"/>
      <c r="T254" s="46"/>
      <c r="U254" s="46"/>
      <c r="V254" s="46"/>
      <c r="W254" s="46"/>
    </row>
    <row r="255" spans="1:23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7"/>
      <c r="R255" s="46"/>
      <c r="S255" s="46"/>
      <c r="T255" s="46"/>
      <c r="U255" s="46"/>
      <c r="V255" s="46"/>
      <c r="W255" s="46"/>
    </row>
    <row r="256" spans="1:23" x14ac:dyDescent="0.25">
      <c r="A256" s="46"/>
      <c r="B256" s="46"/>
      <c r="C256" s="46"/>
      <c r="D256" s="47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7"/>
      <c r="R256" s="46"/>
      <c r="S256" s="46"/>
      <c r="T256" s="46"/>
      <c r="U256" s="46"/>
      <c r="V256" s="46"/>
      <c r="W256" s="46"/>
    </row>
    <row r="257" spans="1:23" x14ac:dyDescent="0.25">
      <c r="A257" s="46"/>
      <c r="B257" s="46"/>
      <c r="C257" s="46"/>
      <c r="D257" s="47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7"/>
      <c r="R257" s="46"/>
      <c r="S257" s="46"/>
      <c r="T257" s="46"/>
      <c r="U257" s="46"/>
      <c r="V257" s="46"/>
      <c r="W257" s="46"/>
    </row>
    <row r="258" spans="1:23" x14ac:dyDescent="0.25">
      <c r="A258" s="46"/>
      <c r="B258" s="46"/>
      <c r="C258" s="46"/>
      <c r="D258" s="47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7"/>
      <c r="R258" s="46"/>
      <c r="S258" s="46"/>
      <c r="T258" s="46"/>
      <c r="U258" s="46"/>
      <c r="V258" s="46"/>
      <c r="W258" s="46"/>
    </row>
    <row r="259" spans="1:23" x14ac:dyDescent="0.25">
      <c r="A259" s="46"/>
      <c r="B259" s="46"/>
      <c r="C259" s="46"/>
      <c r="D259" s="47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7"/>
      <c r="R259" s="46"/>
      <c r="S259" s="46"/>
      <c r="T259" s="46"/>
      <c r="U259" s="46"/>
      <c r="V259" s="46"/>
      <c r="W259" s="46"/>
    </row>
    <row r="260" spans="1:23" x14ac:dyDescent="0.25">
      <c r="A260" s="46"/>
      <c r="B260" s="46"/>
      <c r="C260" s="46"/>
      <c r="D260" s="47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7"/>
      <c r="R260" s="46"/>
      <c r="S260" s="46"/>
      <c r="T260" s="46"/>
      <c r="U260" s="46"/>
      <c r="V260" s="46"/>
      <c r="W260" s="46"/>
    </row>
    <row r="261" spans="1:23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</row>
    <row r="262" spans="1:23" x14ac:dyDescent="0.25">
      <c r="A262" s="46"/>
      <c r="B262" s="46"/>
      <c r="C262" s="46"/>
      <c r="D262" s="47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7"/>
      <c r="R262" s="46"/>
      <c r="S262" s="46"/>
      <c r="T262" s="46"/>
      <c r="U262" s="46"/>
      <c r="V262" s="46"/>
      <c r="W262" s="46"/>
    </row>
    <row r="263" spans="1:23" x14ac:dyDescent="0.25">
      <c r="A263" s="46"/>
      <c r="B263" s="46"/>
      <c r="C263" s="46"/>
      <c r="D263" s="47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7"/>
      <c r="R263" s="46"/>
      <c r="S263" s="46"/>
      <c r="T263" s="46"/>
      <c r="U263" s="46"/>
      <c r="V263" s="46"/>
      <c r="W263" s="46"/>
    </row>
    <row r="264" spans="1:23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</row>
    <row r="265" spans="1:23" x14ac:dyDescent="0.25">
      <c r="A265" s="46"/>
      <c r="B265" s="46"/>
      <c r="C265" s="46"/>
      <c r="D265" s="47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7"/>
      <c r="R265" s="46"/>
      <c r="S265" s="46"/>
      <c r="T265" s="46"/>
      <c r="U265" s="46"/>
      <c r="V265" s="46"/>
      <c r="W265" s="46"/>
    </row>
    <row r="266" spans="1:23" x14ac:dyDescent="0.25">
      <c r="A266" s="46"/>
      <c r="B266" s="46"/>
      <c r="C266" s="46"/>
      <c r="D266" s="47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7"/>
      <c r="R266" s="46"/>
      <c r="S266" s="46"/>
      <c r="T266" s="46"/>
      <c r="U266" s="46"/>
      <c r="V266" s="46"/>
      <c r="W266" s="46"/>
    </row>
    <row r="267" spans="1:23" x14ac:dyDescent="0.25">
      <c r="A267" s="46"/>
      <c r="B267" s="46"/>
      <c r="C267" s="46"/>
      <c r="D267" s="47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7"/>
      <c r="R267" s="46"/>
      <c r="S267" s="46"/>
      <c r="T267" s="46"/>
      <c r="U267" s="46"/>
      <c r="V267" s="46"/>
      <c r="W267" s="46"/>
    </row>
    <row r="268" spans="1:23" x14ac:dyDescent="0.25">
      <c r="A268" s="46"/>
      <c r="B268" s="46"/>
      <c r="C268" s="46"/>
      <c r="D268" s="47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7"/>
      <c r="R268" s="46"/>
      <c r="S268" s="46"/>
      <c r="T268" s="46"/>
      <c r="U268" s="46"/>
      <c r="V268" s="46"/>
      <c r="W268" s="46"/>
    </row>
    <row r="269" spans="1:23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</row>
    <row r="270" spans="1:23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</row>
    <row r="271" spans="1:23" x14ac:dyDescent="0.25">
      <c r="A271" s="46"/>
      <c r="B271" s="46"/>
      <c r="C271" s="46"/>
      <c r="D271" s="47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7"/>
      <c r="R271" s="46"/>
      <c r="S271" s="46"/>
      <c r="T271" s="46"/>
      <c r="U271" s="46"/>
      <c r="V271" s="46"/>
      <c r="W271" s="46"/>
    </row>
    <row r="272" spans="1:23" x14ac:dyDescent="0.25">
      <c r="A272" s="46"/>
      <c r="B272" s="46"/>
      <c r="C272" s="46"/>
      <c r="D272" s="47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7"/>
      <c r="R272" s="46"/>
      <c r="S272" s="46"/>
      <c r="T272" s="46"/>
      <c r="U272" s="46"/>
      <c r="V272" s="46"/>
      <c r="W272" s="46"/>
    </row>
    <row r="273" spans="1:23" x14ac:dyDescent="0.25">
      <c r="A273" s="46"/>
      <c r="B273" s="46"/>
      <c r="C273" s="46"/>
      <c r="D273" s="47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7"/>
      <c r="R273" s="46"/>
      <c r="S273" s="46"/>
      <c r="T273" s="46"/>
      <c r="U273" s="46"/>
      <c r="V273" s="46"/>
      <c r="W273" s="46"/>
    </row>
    <row r="274" spans="1:23" x14ac:dyDescent="0.25">
      <c r="A274" s="46"/>
      <c r="B274" s="46"/>
      <c r="C274" s="46"/>
      <c r="D274" s="47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7"/>
      <c r="R274" s="46"/>
      <c r="S274" s="46"/>
      <c r="T274" s="46"/>
      <c r="U274" s="46"/>
      <c r="V274" s="46"/>
      <c r="W274" s="46"/>
    </row>
    <row r="275" spans="1:23" x14ac:dyDescent="0.25">
      <c r="A275" s="46"/>
      <c r="B275" s="46"/>
      <c r="C275" s="46"/>
      <c r="D275" s="47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7"/>
      <c r="R275" s="46"/>
      <c r="S275" s="46"/>
      <c r="T275" s="46"/>
      <c r="U275" s="46"/>
      <c r="V275" s="46"/>
      <c r="W275" s="46"/>
    </row>
    <row r="276" spans="1:23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</row>
    <row r="277" spans="1:23" x14ac:dyDescent="0.25">
      <c r="A277" s="46"/>
      <c r="B277" s="46"/>
      <c r="C277" s="46"/>
      <c r="D277" s="47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7"/>
      <c r="R277" s="46"/>
      <c r="S277" s="46"/>
      <c r="T277" s="46"/>
      <c r="U277" s="46"/>
      <c r="V277" s="46"/>
      <c r="W277" s="46"/>
    </row>
    <row r="278" spans="1:23" x14ac:dyDescent="0.25">
      <c r="A278" s="46"/>
      <c r="B278" s="46"/>
      <c r="C278" s="46"/>
      <c r="D278" s="47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7"/>
      <c r="R278" s="46"/>
      <c r="S278" s="46"/>
      <c r="T278" s="46"/>
      <c r="U278" s="46"/>
      <c r="V278" s="46"/>
      <c r="W278" s="46"/>
    </row>
    <row r="279" spans="1:23" x14ac:dyDescent="0.25">
      <c r="A279" s="46"/>
      <c r="B279" s="46"/>
      <c r="C279" s="46"/>
      <c r="D279" s="47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7"/>
      <c r="R279" s="46"/>
      <c r="S279" s="46"/>
      <c r="T279" s="46"/>
      <c r="U279" s="46"/>
      <c r="V279" s="46"/>
      <c r="W279" s="46"/>
    </row>
    <row r="280" spans="1:23" x14ac:dyDescent="0.25">
      <c r="A280" s="46"/>
      <c r="B280" s="46"/>
      <c r="C280" s="46"/>
      <c r="D280" s="47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7"/>
      <c r="R280" s="46"/>
      <c r="S280" s="46"/>
      <c r="T280" s="46"/>
      <c r="U280" s="46"/>
      <c r="V280" s="46"/>
      <c r="W280" s="46"/>
    </row>
    <row r="281" spans="1:23" x14ac:dyDescent="0.25">
      <c r="A281" s="46"/>
      <c r="B281" s="46"/>
      <c r="C281" s="46"/>
      <c r="D281" s="47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7"/>
      <c r="R281" s="46"/>
      <c r="S281" s="46"/>
      <c r="T281" s="46"/>
      <c r="U281" s="46"/>
      <c r="V281" s="46"/>
      <c r="W281" s="46"/>
    </row>
    <row r="282" spans="1:23" x14ac:dyDescent="0.25">
      <c r="A282" s="46"/>
      <c r="B282" s="46"/>
      <c r="C282" s="46"/>
      <c r="D282" s="47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7"/>
      <c r="R282" s="46"/>
      <c r="S282" s="46"/>
      <c r="T282" s="46"/>
      <c r="U282" s="46"/>
      <c r="V282" s="46"/>
      <c r="W282" s="46"/>
    </row>
    <row r="283" spans="1:23" x14ac:dyDescent="0.25">
      <c r="A283" s="46"/>
      <c r="B283" s="46"/>
      <c r="C283" s="46"/>
      <c r="D283" s="47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7"/>
      <c r="R283" s="46"/>
      <c r="S283" s="46"/>
      <c r="T283" s="46"/>
      <c r="U283" s="46"/>
      <c r="V283" s="46"/>
      <c r="W283" s="46"/>
    </row>
    <row r="284" spans="1:23" x14ac:dyDescent="0.25">
      <c r="A284" s="46"/>
      <c r="B284" s="46"/>
      <c r="C284" s="46"/>
      <c r="D284" s="47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7"/>
      <c r="R284" s="46"/>
      <c r="S284" s="46"/>
      <c r="T284" s="46"/>
      <c r="U284" s="46"/>
      <c r="V284" s="46"/>
      <c r="W284" s="46"/>
    </row>
    <row r="285" spans="1:23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</row>
    <row r="286" spans="1:23" x14ac:dyDescent="0.25">
      <c r="A286" s="46"/>
      <c r="B286" s="46"/>
      <c r="C286" s="46"/>
      <c r="D286" s="47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7"/>
      <c r="R286" s="46"/>
      <c r="S286" s="46"/>
      <c r="T286" s="46"/>
      <c r="U286" s="46"/>
      <c r="V286" s="46"/>
      <c r="W286" s="46"/>
    </row>
    <row r="287" spans="1:23" x14ac:dyDescent="0.25">
      <c r="A287" s="46"/>
      <c r="B287" s="46"/>
      <c r="C287" s="46"/>
      <c r="D287" s="47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7"/>
      <c r="R287" s="46"/>
      <c r="S287" s="46"/>
      <c r="T287" s="46"/>
      <c r="U287" s="46"/>
      <c r="V287" s="46"/>
      <c r="W287" s="46"/>
    </row>
    <row r="288" spans="1:23" x14ac:dyDescent="0.25">
      <c r="A288" s="46"/>
      <c r="B288" s="46"/>
      <c r="C288" s="46"/>
      <c r="D288" s="47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7"/>
      <c r="R288" s="46"/>
      <c r="S288" s="46"/>
      <c r="T288" s="46"/>
      <c r="U288" s="46"/>
      <c r="V288" s="46"/>
      <c r="W288" s="46"/>
    </row>
    <row r="289" spans="1:23" x14ac:dyDescent="0.25">
      <c r="A289" s="46"/>
      <c r="B289" s="46"/>
      <c r="C289" s="46"/>
      <c r="D289" s="47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7"/>
      <c r="R289" s="46"/>
      <c r="S289" s="46"/>
      <c r="T289" s="46"/>
      <c r="U289" s="46"/>
      <c r="V289" s="46"/>
      <c r="W289" s="46"/>
    </row>
    <row r="290" spans="1:23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</row>
    <row r="291" spans="1:23" x14ac:dyDescent="0.25">
      <c r="A291" s="46"/>
      <c r="B291" s="46"/>
      <c r="C291" s="46"/>
      <c r="D291" s="47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7"/>
      <c r="R291" s="46"/>
      <c r="S291" s="46"/>
      <c r="T291" s="46"/>
      <c r="U291" s="46"/>
      <c r="V291" s="46"/>
      <c r="W291" s="46"/>
    </row>
    <row r="292" spans="1:23" x14ac:dyDescent="0.25">
      <c r="A292" s="46"/>
      <c r="B292" s="46"/>
      <c r="C292" s="46"/>
      <c r="D292" s="47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7"/>
      <c r="R292" s="46"/>
      <c r="S292" s="46"/>
      <c r="T292" s="46"/>
      <c r="U292" s="46"/>
      <c r="V292" s="46"/>
      <c r="W292" s="46"/>
    </row>
    <row r="293" spans="1:23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7"/>
      <c r="R293" s="46"/>
      <c r="S293" s="46"/>
      <c r="T293" s="46"/>
      <c r="U293" s="46"/>
      <c r="V293" s="46"/>
      <c r="W293" s="46"/>
    </row>
    <row r="294" spans="1:23" x14ac:dyDescent="0.25">
      <c r="A294" s="46"/>
      <c r="B294" s="46"/>
      <c r="C294" s="46"/>
      <c r="D294" s="47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7"/>
      <c r="R294" s="46"/>
      <c r="S294" s="46"/>
      <c r="T294" s="46"/>
      <c r="U294" s="46"/>
      <c r="V294" s="46"/>
      <c r="W294" s="46"/>
    </row>
    <row r="295" spans="1:23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</row>
    <row r="296" spans="1:23" x14ac:dyDescent="0.25">
      <c r="A296" s="46"/>
      <c r="B296" s="46"/>
      <c r="C296" s="46"/>
      <c r="D296" s="47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7"/>
      <c r="R296" s="46"/>
      <c r="S296" s="46"/>
      <c r="T296" s="46"/>
      <c r="U296" s="46"/>
      <c r="V296" s="46"/>
      <c r="W296" s="46"/>
    </row>
    <row r="297" spans="1:23" x14ac:dyDescent="0.25">
      <c r="A297" s="46"/>
      <c r="B297" s="46"/>
      <c r="C297" s="46"/>
      <c r="D297" s="47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7"/>
      <c r="R297" s="46"/>
      <c r="S297" s="46"/>
      <c r="T297" s="46"/>
      <c r="U297" s="46"/>
      <c r="V297" s="46"/>
      <c r="W297" s="46"/>
    </row>
    <row r="298" spans="1:23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</row>
    <row r="299" spans="1:23" x14ac:dyDescent="0.25">
      <c r="A299" s="46"/>
      <c r="B299" s="46"/>
      <c r="C299" s="46"/>
      <c r="D299" s="47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7"/>
      <c r="R299" s="46"/>
      <c r="S299" s="46"/>
      <c r="T299" s="46"/>
      <c r="U299" s="46"/>
      <c r="V299" s="46"/>
      <c r="W299" s="46"/>
    </row>
    <row r="300" spans="1:23" x14ac:dyDescent="0.25">
      <c r="A300" s="46"/>
      <c r="B300" s="46"/>
      <c r="C300" s="46"/>
      <c r="D300" s="47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7"/>
      <c r="R300" s="46"/>
      <c r="S300" s="46"/>
      <c r="T300" s="46"/>
      <c r="U300" s="46"/>
      <c r="V300" s="46"/>
      <c r="W300" s="46"/>
    </row>
    <row r="301" spans="1:23" x14ac:dyDescent="0.25">
      <c r="A301" s="46"/>
      <c r="B301" s="46"/>
      <c r="C301" s="46"/>
      <c r="D301" s="47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7"/>
      <c r="R301" s="46"/>
      <c r="S301" s="46"/>
      <c r="T301" s="46"/>
      <c r="U301" s="46"/>
      <c r="V301" s="46"/>
      <c r="W301" s="46"/>
    </row>
    <row r="302" spans="1:23" x14ac:dyDescent="0.25">
      <c r="A302" s="46"/>
      <c r="B302" s="46"/>
      <c r="C302" s="46"/>
      <c r="D302" s="47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7"/>
      <c r="R302" s="46"/>
      <c r="S302" s="46"/>
      <c r="T302" s="46"/>
      <c r="U302" s="46"/>
      <c r="V302" s="46"/>
      <c r="W302" s="46"/>
    </row>
    <row r="303" spans="1:23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7"/>
      <c r="R303" s="46"/>
      <c r="S303" s="46"/>
      <c r="T303" s="46"/>
      <c r="U303" s="46"/>
      <c r="V303" s="46"/>
      <c r="W303" s="46"/>
    </row>
    <row r="304" spans="1:23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7"/>
      <c r="R304" s="46"/>
      <c r="S304" s="46"/>
      <c r="T304" s="46"/>
      <c r="U304" s="46"/>
      <c r="V304" s="46"/>
      <c r="W304" s="46"/>
    </row>
    <row r="305" spans="1:23" x14ac:dyDescent="0.25">
      <c r="A305" s="46"/>
      <c r="B305" s="46"/>
      <c r="C305" s="46"/>
      <c r="D305" s="47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7"/>
      <c r="R305" s="46"/>
      <c r="S305" s="46"/>
      <c r="T305" s="46"/>
      <c r="U305" s="46"/>
      <c r="V305" s="46"/>
      <c r="W305" s="46"/>
    </row>
    <row r="306" spans="1:23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7"/>
      <c r="R306" s="46"/>
      <c r="S306" s="46"/>
      <c r="T306" s="46"/>
      <c r="U306" s="46"/>
      <c r="V306" s="46"/>
      <c r="W306" s="46"/>
    </row>
    <row r="307" spans="1:23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7"/>
      <c r="R307" s="46"/>
      <c r="S307" s="46"/>
      <c r="T307" s="46"/>
      <c r="U307" s="46"/>
      <c r="V307" s="46"/>
      <c r="W307" s="46"/>
    </row>
    <row r="308" spans="1:23" x14ac:dyDescent="0.25">
      <c r="A308" s="46"/>
      <c r="B308" s="46"/>
      <c r="C308" s="46"/>
      <c r="D308" s="47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7"/>
      <c r="R308" s="46"/>
      <c r="S308" s="46"/>
      <c r="T308" s="46"/>
      <c r="U308" s="46"/>
      <c r="V308" s="46"/>
      <c r="W308" s="46"/>
    </row>
    <row r="309" spans="1:23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7"/>
      <c r="R309" s="46"/>
      <c r="S309" s="46"/>
      <c r="T309" s="46"/>
      <c r="U309" s="46"/>
      <c r="V309" s="46"/>
      <c r="W309" s="46"/>
    </row>
    <row r="310" spans="1:23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7"/>
      <c r="R310" s="46"/>
      <c r="S310" s="46"/>
      <c r="T310" s="46"/>
      <c r="U310" s="46"/>
      <c r="V310" s="46"/>
      <c r="W310" s="46"/>
    </row>
    <row r="311" spans="1:23" x14ac:dyDescent="0.25">
      <c r="A311" s="46"/>
      <c r="B311" s="46"/>
      <c r="C311" s="46"/>
      <c r="D311" s="47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7"/>
      <c r="R311" s="46"/>
      <c r="S311" s="46"/>
      <c r="T311" s="46"/>
      <c r="U311" s="46"/>
      <c r="V311" s="46"/>
      <c r="W311" s="46"/>
    </row>
    <row r="312" spans="1:23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7"/>
      <c r="R312" s="46"/>
      <c r="S312" s="46"/>
      <c r="T312" s="46"/>
      <c r="U312" s="46"/>
      <c r="V312" s="46"/>
      <c r="W312" s="46"/>
    </row>
    <row r="313" spans="1:23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</row>
    <row r="314" spans="1:23" x14ac:dyDescent="0.25">
      <c r="A314" s="46"/>
      <c r="B314" s="46"/>
      <c r="C314" s="46"/>
      <c r="D314" s="47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7"/>
      <c r="R314" s="46"/>
      <c r="S314" s="46"/>
      <c r="T314" s="46"/>
      <c r="U314" s="46"/>
      <c r="V314" s="46"/>
      <c r="W314" s="46"/>
    </row>
    <row r="315" spans="1:23" x14ac:dyDescent="0.25">
      <c r="A315" s="46"/>
      <c r="B315" s="46"/>
      <c r="C315" s="46"/>
      <c r="D315" s="47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7"/>
      <c r="R315" s="46"/>
      <c r="S315" s="46"/>
      <c r="T315" s="46"/>
      <c r="U315" s="46"/>
      <c r="V315" s="46"/>
      <c r="W315" s="46"/>
    </row>
    <row r="316" spans="1:23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7"/>
      <c r="R316" s="46"/>
      <c r="S316" s="46"/>
      <c r="T316" s="46"/>
      <c r="U316" s="46"/>
      <c r="V316" s="46"/>
      <c r="W316" s="46"/>
    </row>
    <row r="317" spans="1:23" x14ac:dyDescent="0.25">
      <c r="A317" s="46"/>
      <c r="B317" s="46"/>
      <c r="C317" s="46"/>
      <c r="D317" s="47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7"/>
      <c r="R317" s="46"/>
      <c r="S317" s="46"/>
      <c r="T317" s="46"/>
      <c r="U317" s="46"/>
      <c r="V317" s="46"/>
      <c r="W317" s="46"/>
    </row>
    <row r="318" spans="1:23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</row>
    <row r="319" spans="1:23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</row>
    <row r="320" spans="1:23" x14ac:dyDescent="0.25">
      <c r="A320" s="46"/>
      <c r="B320" s="46"/>
      <c r="C320" s="46"/>
      <c r="D320" s="47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7"/>
      <c r="R320" s="46"/>
      <c r="S320" s="46"/>
      <c r="T320" s="46"/>
      <c r="U320" s="46"/>
      <c r="V320" s="46"/>
      <c r="W320" s="46"/>
    </row>
    <row r="321" spans="1:23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7"/>
      <c r="R321" s="46"/>
      <c r="S321" s="46"/>
      <c r="T321" s="46"/>
      <c r="U321" s="46"/>
      <c r="V321" s="46"/>
      <c r="W321" s="46"/>
    </row>
    <row r="322" spans="1:23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</row>
    <row r="323" spans="1:23" x14ac:dyDescent="0.25">
      <c r="A323" s="46"/>
      <c r="B323" s="46"/>
      <c r="C323" s="46"/>
      <c r="D323" s="47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7"/>
      <c r="R323" s="46"/>
      <c r="S323" s="46"/>
      <c r="T323" s="46"/>
      <c r="U323" s="46"/>
      <c r="V323" s="46"/>
      <c r="W323" s="46"/>
    </row>
    <row r="324" spans="1:23" x14ac:dyDescent="0.25">
      <c r="A324" s="46"/>
      <c r="B324" s="46"/>
      <c r="C324" s="46"/>
      <c r="D324" s="47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7"/>
      <c r="R324" s="46"/>
      <c r="S324" s="46"/>
      <c r="T324" s="46"/>
      <c r="U324" s="46"/>
      <c r="V324" s="46"/>
      <c r="W324" s="46"/>
    </row>
    <row r="325" spans="1:23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</row>
    <row r="326" spans="1:23" x14ac:dyDescent="0.25">
      <c r="A326" s="46"/>
      <c r="B326" s="46"/>
      <c r="C326" s="46"/>
      <c r="D326" s="47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7"/>
      <c r="R326" s="46"/>
      <c r="S326" s="46"/>
      <c r="T326" s="46"/>
      <c r="U326" s="46"/>
      <c r="V326" s="46"/>
      <c r="W326" s="46"/>
    </row>
    <row r="327" spans="1:23" x14ac:dyDescent="0.25">
      <c r="A327" s="46"/>
      <c r="B327" s="46"/>
      <c r="C327" s="46"/>
      <c r="D327" s="47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7"/>
      <c r="R327" s="46"/>
      <c r="S327" s="46"/>
      <c r="T327" s="46"/>
      <c r="U327" s="46"/>
      <c r="V327" s="46"/>
      <c r="W327" s="46"/>
    </row>
    <row r="328" spans="1:23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7"/>
      <c r="R328" s="46"/>
      <c r="S328" s="46"/>
      <c r="T328" s="46"/>
      <c r="U328" s="46"/>
      <c r="V328" s="46"/>
      <c r="W328" s="46"/>
    </row>
    <row r="329" spans="1:23" x14ac:dyDescent="0.25">
      <c r="A329" s="46"/>
      <c r="B329" s="46"/>
      <c r="C329" s="46"/>
      <c r="D329" s="47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7"/>
      <c r="R329" s="46"/>
      <c r="S329" s="46"/>
      <c r="T329" s="46"/>
      <c r="U329" s="46"/>
      <c r="V329" s="46"/>
      <c r="W329" s="46"/>
    </row>
    <row r="330" spans="1:23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</row>
    <row r="331" spans="1:23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</row>
    <row r="332" spans="1:23" x14ac:dyDescent="0.25">
      <c r="A332" s="46"/>
      <c r="B332" s="46"/>
      <c r="C332" s="46"/>
      <c r="D332" s="47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7"/>
      <c r="R332" s="46"/>
      <c r="S332" s="46"/>
      <c r="T332" s="46"/>
      <c r="U332" s="46"/>
      <c r="V332" s="46"/>
      <c r="W332" s="46"/>
    </row>
    <row r="333" spans="1:23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7"/>
      <c r="R333" s="46"/>
      <c r="S333" s="46"/>
      <c r="T333" s="46"/>
      <c r="U333" s="46"/>
      <c r="V333" s="46"/>
      <c r="W333" s="46"/>
    </row>
    <row r="334" spans="1:23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</row>
    <row r="335" spans="1:23" x14ac:dyDescent="0.25">
      <c r="A335" s="46"/>
      <c r="B335" s="46"/>
      <c r="C335" s="46"/>
      <c r="D335" s="47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7"/>
      <c r="R335" s="46"/>
      <c r="S335" s="46"/>
      <c r="T335" s="46"/>
      <c r="U335" s="46"/>
      <c r="V335" s="46"/>
      <c r="W335" s="46"/>
    </row>
    <row r="336" spans="1:23" x14ac:dyDescent="0.25">
      <c r="A336" s="46"/>
      <c r="B336" s="46"/>
      <c r="C336" s="46"/>
      <c r="D336" s="47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7"/>
      <c r="R336" s="46"/>
      <c r="S336" s="46"/>
      <c r="T336" s="46"/>
      <c r="U336" s="46"/>
      <c r="V336" s="46"/>
      <c r="W336" s="46"/>
    </row>
    <row r="337" spans="1:23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</row>
    <row r="338" spans="1:23" x14ac:dyDescent="0.25">
      <c r="A338" s="46"/>
      <c r="B338" s="46"/>
      <c r="C338" s="46"/>
      <c r="D338" s="47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7"/>
      <c r="R338" s="46"/>
      <c r="S338" s="46"/>
      <c r="T338" s="46"/>
      <c r="U338" s="46"/>
      <c r="V338" s="46"/>
      <c r="W338" s="46"/>
    </row>
    <row r="339" spans="1:23" x14ac:dyDescent="0.25">
      <c r="A339" s="46"/>
      <c r="B339" s="46"/>
      <c r="C339" s="46"/>
      <c r="D339" s="47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7"/>
      <c r="R339" s="46"/>
      <c r="S339" s="46"/>
      <c r="T339" s="46"/>
      <c r="U339" s="46"/>
      <c r="V339" s="46"/>
      <c r="W339" s="46"/>
    </row>
    <row r="340" spans="1:23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7"/>
      <c r="R340" s="46"/>
      <c r="S340" s="46"/>
      <c r="T340" s="46"/>
      <c r="U340" s="46"/>
      <c r="V340" s="46"/>
      <c r="W340" s="46"/>
    </row>
    <row r="341" spans="1:23" x14ac:dyDescent="0.25">
      <c r="A341" s="46"/>
      <c r="B341" s="46"/>
      <c r="C341" s="46"/>
      <c r="D341" s="47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7"/>
      <c r="R341" s="46"/>
      <c r="S341" s="46"/>
      <c r="T341" s="46"/>
      <c r="U341" s="46"/>
      <c r="V341" s="46"/>
      <c r="W341" s="46"/>
    </row>
    <row r="342" spans="1:23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</row>
    <row r="343" spans="1:23" x14ac:dyDescent="0.25">
      <c r="A343" s="46"/>
      <c r="B343" s="46"/>
      <c r="C343" s="46"/>
      <c r="D343" s="47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7"/>
      <c r="R343" s="46"/>
      <c r="S343" s="46"/>
      <c r="T343" s="46"/>
      <c r="U343" s="46"/>
      <c r="V343" s="46"/>
      <c r="W343" s="46"/>
    </row>
    <row r="344" spans="1:23" x14ac:dyDescent="0.25">
      <c r="A344" s="46"/>
      <c r="B344" s="46"/>
      <c r="C344" s="46"/>
      <c r="D344" s="47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7"/>
      <c r="R344" s="46"/>
      <c r="S344" s="46"/>
      <c r="T344" s="46"/>
      <c r="U344" s="46"/>
      <c r="V344" s="46"/>
      <c r="W344" s="46"/>
    </row>
    <row r="345" spans="1:23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</row>
    <row r="346" spans="1:23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</row>
    <row r="347" spans="1:23" x14ac:dyDescent="0.25">
      <c r="A347" s="46"/>
      <c r="B347" s="46"/>
      <c r="C347" s="46"/>
      <c r="D347" s="47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7"/>
      <c r="R347" s="46"/>
      <c r="S347" s="46"/>
      <c r="T347" s="46"/>
      <c r="U347" s="46"/>
      <c r="V347" s="46"/>
      <c r="W347" s="46"/>
    </row>
    <row r="348" spans="1:23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</row>
    <row r="349" spans="1:23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</row>
    <row r="350" spans="1:23" x14ac:dyDescent="0.25">
      <c r="A350" s="46"/>
      <c r="B350" s="46"/>
      <c r="C350" s="46"/>
      <c r="D350" s="47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7"/>
      <c r="R350" s="46"/>
      <c r="S350" s="46"/>
      <c r="T350" s="46"/>
      <c r="U350" s="46"/>
      <c r="V350" s="46"/>
      <c r="W350" s="46"/>
    </row>
    <row r="351" spans="1:23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7"/>
      <c r="R351" s="46"/>
      <c r="S351" s="46"/>
      <c r="T351" s="46"/>
      <c r="U351" s="46"/>
      <c r="V351" s="46"/>
      <c r="W351" s="46"/>
    </row>
    <row r="352" spans="1:23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</row>
    <row r="353" spans="1:23" x14ac:dyDescent="0.25">
      <c r="A353" s="46"/>
      <c r="B353" s="46"/>
      <c r="C353" s="46"/>
      <c r="D353" s="47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7"/>
      <c r="R353" s="46"/>
      <c r="S353" s="46"/>
      <c r="T353" s="46"/>
      <c r="U353" s="46"/>
      <c r="V353" s="46"/>
      <c r="W353" s="46"/>
    </row>
    <row r="354" spans="1:23" x14ac:dyDescent="0.25">
      <c r="A354" s="46"/>
      <c r="B354" s="46"/>
      <c r="C354" s="46"/>
      <c r="D354" s="47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7"/>
      <c r="R354" s="46"/>
      <c r="S354" s="46"/>
      <c r="T354" s="46"/>
      <c r="U354" s="46"/>
      <c r="V354" s="46"/>
      <c r="W354" s="46"/>
    </row>
    <row r="355" spans="1:23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</row>
    <row r="356" spans="1:23" x14ac:dyDescent="0.25">
      <c r="A356" s="46"/>
      <c r="B356" s="46"/>
      <c r="C356" s="46"/>
      <c r="D356" s="47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7"/>
      <c r="R356" s="46"/>
      <c r="S356" s="46"/>
      <c r="T356" s="46"/>
      <c r="U356" s="46"/>
      <c r="V356" s="46"/>
      <c r="W356" s="46"/>
    </row>
    <row r="357" spans="1:23" x14ac:dyDescent="0.25">
      <c r="A357" s="46"/>
      <c r="B357" s="46"/>
      <c r="C357" s="46"/>
      <c r="D357" s="47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7"/>
      <c r="R357" s="46"/>
      <c r="S357" s="46"/>
      <c r="T357" s="46"/>
      <c r="U357" s="46"/>
      <c r="V357" s="46"/>
      <c r="W357" s="46"/>
    </row>
    <row r="358" spans="1:23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7"/>
      <c r="R358" s="46"/>
      <c r="S358" s="46"/>
      <c r="T358" s="46"/>
      <c r="U358" s="46"/>
      <c r="V358" s="46"/>
      <c r="W358" s="46"/>
    </row>
    <row r="359" spans="1:23" x14ac:dyDescent="0.25">
      <c r="A359" s="46"/>
      <c r="B359" s="46"/>
      <c r="C359" s="46"/>
      <c r="D359" s="47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7"/>
      <c r="R359" s="46"/>
      <c r="S359" s="46"/>
      <c r="T359" s="46"/>
      <c r="U359" s="46"/>
      <c r="V359" s="46"/>
      <c r="W359" s="46"/>
    </row>
    <row r="360" spans="1:23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</row>
    <row r="361" spans="1:23" x14ac:dyDescent="0.25">
      <c r="A361" s="46"/>
      <c r="B361" s="46"/>
      <c r="C361" s="46"/>
      <c r="D361" s="47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7"/>
      <c r="R361" s="46"/>
      <c r="S361" s="46"/>
      <c r="T361" s="46"/>
      <c r="U361" s="46"/>
      <c r="V361" s="46"/>
      <c r="W361" s="46"/>
    </row>
    <row r="362" spans="1:23" x14ac:dyDescent="0.25">
      <c r="A362" s="46"/>
      <c r="B362" s="46"/>
      <c r="C362" s="46"/>
      <c r="D362" s="47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7"/>
      <c r="R362" s="46"/>
      <c r="S362" s="46"/>
      <c r="T362" s="46"/>
      <c r="U362" s="46"/>
      <c r="V362" s="46"/>
      <c r="W362" s="46"/>
    </row>
    <row r="363" spans="1:23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</row>
    <row r="364" spans="1:23" x14ac:dyDescent="0.25">
      <c r="A364" s="46"/>
      <c r="B364" s="46"/>
      <c r="C364" s="46"/>
      <c r="D364" s="47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7"/>
      <c r="R364" s="46"/>
      <c r="S364" s="46"/>
      <c r="T364" s="46"/>
      <c r="U364" s="46"/>
      <c r="V364" s="46"/>
      <c r="W364" s="46"/>
    </row>
    <row r="365" spans="1:23" x14ac:dyDescent="0.25">
      <c r="A365" s="46"/>
      <c r="B365" s="46"/>
      <c r="C365" s="46"/>
      <c r="D365" s="47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7"/>
      <c r="R365" s="46"/>
      <c r="S365" s="46"/>
      <c r="T365" s="46"/>
      <c r="U365" s="46"/>
      <c r="V365" s="46"/>
      <c r="W365" s="46"/>
    </row>
    <row r="366" spans="1:23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</row>
    <row r="367" spans="1:23" x14ac:dyDescent="0.25">
      <c r="A367" s="46"/>
      <c r="B367" s="46"/>
      <c r="C367" s="46"/>
      <c r="D367" s="47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7"/>
      <c r="R367" s="46"/>
      <c r="S367" s="46"/>
      <c r="T367" s="46"/>
      <c r="U367" s="46"/>
      <c r="V367" s="46"/>
      <c r="W367" s="46"/>
    </row>
    <row r="368" spans="1:23" x14ac:dyDescent="0.25">
      <c r="A368" s="46"/>
      <c r="B368" s="46"/>
      <c r="C368" s="46"/>
      <c r="D368" s="47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7"/>
      <c r="R368" s="46"/>
      <c r="S368" s="46"/>
      <c r="T368" s="46"/>
      <c r="U368" s="46"/>
      <c r="V368" s="46"/>
      <c r="W368" s="46"/>
    </row>
    <row r="369" spans="1:23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</row>
    <row r="370" spans="1:23" x14ac:dyDescent="0.25">
      <c r="A370" s="46"/>
      <c r="B370" s="46"/>
      <c r="C370" s="46"/>
      <c r="D370" s="47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7"/>
      <c r="R370" s="46"/>
      <c r="S370" s="46"/>
      <c r="T370" s="46"/>
      <c r="U370" s="46"/>
      <c r="V370" s="46"/>
      <c r="W370" s="46"/>
    </row>
    <row r="371" spans="1:23" x14ac:dyDescent="0.25">
      <c r="A371" s="46"/>
      <c r="B371" s="46"/>
      <c r="C371" s="46"/>
      <c r="D371" s="47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7"/>
      <c r="R371" s="46"/>
      <c r="S371" s="46"/>
      <c r="T371" s="46"/>
      <c r="U371" s="46"/>
      <c r="V371" s="46"/>
      <c r="W371" s="46"/>
    </row>
    <row r="372" spans="1:23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</row>
    <row r="374" spans="1:23" x14ac:dyDescent="0.25">
      <c r="D374" s="48"/>
      <c r="Q374" s="48"/>
    </row>
    <row r="377" spans="1:23" x14ac:dyDescent="0.25">
      <c r="D377" s="48"/>
      <c r="Q377" s="48"/>
    </row>
    <row r="380" spans="1:23" x14ac:dyDescent="0.25">
      <c r="D380" s="48"/>
      <c r="Q380" s="48"/>
    </row>
    <row r="383" spans="1:23" x14ac:dyDescent="0.25">
      <c r="D383" s="48"/>
      <c r="Q383" s="48"/>
    </row>
    <row r="386" spans="4:17" x14ac:dyDescent="0.25">
      <c r="D386" s="48"/>
      <c r="Q386" s="48"/>
    </row>
    <row r="389" spans="4:17" x14ac:dyDescent="0.25">
      <c r="D389" s="48"/>
      <c r="Q389" s="48"/>
    </row>
    <row r="390" spans="4:17" x14ac:dyDescent="0.25">
      <c r="Q390" s="48"/>
    </row>
    <row r="391" spans="4:17" x14ac:dyDescent="0.25">
      <c r="Q391" s="48"/>
    </row>
    <row r="392" spans="4:17" x14ac:dyDescent="0.25">
      <c r="D392" s="48"/>
      <c r="Q392" s="48"/>
    </row>
    <row r="394" spans="4:17" x14ac:dyDescent="0.25">
      <c r="D394" s="48"/>
      <c r="Q394" s="48"/>
    </row>
    <row r="395" spans="4:17" x14ac:dyDescent="0.25">
      <c r="D395" s="48"/>
      <c r="Q395" s="48"/>
    </row>
    <row r="398" spans="4:17" x14ac:dyDescent="0.25">
      <c r="D398" s="48"/>
      <c r="Q398" s="48"/>
    </row>
    <row r="399" spans="4:17" x14ac:dyDescent="0.25">
      <c r="Q399" s="48"/>
    </row>
    <row r="401" spans="4:17" x14ac:dyDescent="0.25">
      <c r="D401" s="48"/>
      <c r="Q401" s="48"/>
    </row>
    <row r="402" spans="4:17" x14ac:dyDescent="0.25">
      <c r="D402" s="48"/>
      <c r="Q402" s="48"/>
    </row>
    <row r="404" spans="4:17" x14ac:dyDescent="0.25">
      <c r="D404" s="48"/>
      <c r="Q404" s="48"/>
    </row>
    <row r="405" spans="4:17" x14ac:dyDescent="0.25">
      <c r="D405" s="48"/>
      <c r="Q405" s="48"/>
    </row>
    <row r="407" spans="4:17" x14ac:dyDescent="0.25">
      <c r="D407" s="48"/>
      <c r="Q407" s="48"/>
    </row>
    <row r="408" spans="4:17" x14ac:dyDescent="0.25">
      <c r="D408" s="48"/>
      <c r="Q408" s="48"/>
    </row>
    <row r="409" spans="4:17" x14ac:dyDescent="0.25">
      <c r="Q409" s="48"/>
    </row>
    <row r="410" spans="4:17" x14ac:dyDescent="0.25">
      <c r="D410" s="48"/>
      <c r="Q410" s="48"/>
    </row>
    <row r="413" spans="4:17" x14ac:dyDescent="0.25">
      <c r="D413" s="48"/>
      <c r="Q413" s="48"/>
    </row>
    <row r="416" spans="4:17" x14ac:dyDescent="0.25">
      <c r="D416" s="48"/>
      <c r="Q416" s="48"/>
    </row>
    <row r="417" spans="4:17" x14ac:dyDescent="0.25">
      <c r="Q417" s="48"/>
    </row>
    <row r="418" spans="4:17" x14ac:dyDescent="0.25">
      <c r="Q418" s="48"/>
    </row>
    <row r="419" spans="4:17" x14ac:dyDescent="0.25">
      <c r="D419" s="48"/>
      <c r="Q419" s="48"/>
    </row>
    <row r="421" spans="4:17" x14ac:dyDescent="0.25">
      <c r="D421" s="48"/>
      <c r="Q421" s="48"/>
    </row>
    <row r="422" spans="4:17" x14ac:dyDescent="0.25">
      <c r="D422" s="48"/>
      <c r="Q422" s="48"/>
    </row>
    <row r="423" spans="4:17" x14ac:dyDescent="0.25">
      <c r="D423" s="48"/>
      <c r="Q423" s="48"/>
    </row>
    <row r="424" spans="4:17" x14ac:dyDescent="0.25">
      <c r="D424" s="48"/>
      <c r="Q424" s="48"/>
    </row>
    <row r="426" spans="4:17" x14ac:dyDescent="0.25">
      <c r="D426" s="48"/>
      <c r="Q426" s="48"/>
    </row>
    <row r="427" spans="4:17" x14ac:dyDescent="0.25">
      <c r="D427" s="48"/>
      <c r="Q427" s="48"/>
    </row>
    <row r="429" spans="4:17" x14ac:dyDescent="0.25">
      <c r="D429" s="48"/>
      <c r="Q429" s="48"/>
    </row>
    <row r="430" spans="4:17" x14ac:dyDescent="0.25">
      <c r="D430" s="48"/>
      <c r="Q430" s="48"/>
    </row>
    <row r="432" spans="4:17" x14ac:dyDescent="0.25">
      <c r="D432" s="48"/>
      <c r="Q432" s="48"/>
    </row>
    <row r="433" spans="4:17" x14ac:dyDescent="0.25">
      <c r="D433" s="48"/>
      <c r="Q433" s="48"/>
    </row>
    <row r="435" spans="4:17" x14ac:dyDescent="0.25">
      <c r="D435" s="48"/>
      <c r="Q435" s="48"/>
    </row>
    <row r="436" spans="4:17" x14ac:dyDescent="0.25">
      <c r="D436" s="48"/>
      <c r="Q436" s="48"/>
    </row>
    <row r="438" spans="4:17" x14ac:dyDescent="0.25">
      <c r="D438" s="48"/>
      <c r="Q438" s="48"/>
    </row>
    <row r="439" spans="4:17" x14ac:dyDescent="0.25">
      <c r="D439" s="48"/>
      <c r="Q439" s="48"/>
    </row>
    <row r="441" spans="4:17" x14ac:dyDescent="0.25">
      <c r="D441" s="48"/>
      <c r="Q441" s="48"/>
    </row>
    <row r="442" spans="4:17" x14ac:dyDescent="0.25">
      <c r="D442" s="48"/>
      <c r="Q442" s="48"/>
    </row>
    <row r="444" spans="4:17" x14ac:dyDescent="0.25">
      <c r="D444" s="48"/>
      <c r="Q444" s="48"/>
    </row>
    <row r="445" spans="4:17" x14ac:dyDescent="0.25">
      <c r="D445" s="48"/>
      <c r="Q445" s="48"/>
    </row>
    <row r="447" spans="4:17" x14ac:dyDescent="0.25">
      <c r="D447" s="48"/>
      <c r="Q447" s="48"/>
    </row>
    <row r="448" spans="4:17" x14ac:dyDescent="0.25">
      <c r="D448" s="48"/>
      <c r="Q448" s="48"/>
    </row>
    <row r="450" spans="4:17" x14ac:dyDescent="0.25">
      <c r="D450" s="48"/>
      <c r="Q450" s="48"/>
    </row>
    <row r="451" spans="4:17" x14ac:dyDescent="0.25">
      <c r="D451" s="48"/>
      <c r="Q451" s="48"/>
    </row>
    <row r="453" spans="4:17" x14ac:dyDescent="0.25">
      <c r="D453" s="48"/>
      <c r="Q453" s="48"/>
    </row>
    <row r="454" spans="4:17" x14ac:dyDescent="0.25">
      <c r="D454" s="48"/>
      <c r="Q454" s="48"/>
    </row>
    <row r="456" spans="4:17" x14ac:dyDescent="0.25">
      <c r="D456" s="48"/>
      <c r="Q456" s="48"/>
    </row>
    <row r="457" spans="4:17" x14ac:dyDescent="0.25">
      <c r="D457" s="48"/>
      <c r="Q457" s="48"/>
    </row>
    <row r="459" spans="4:17" x14ac:dyDescent="0.25">
      <c r="D459" s="48"/>
      <c r="Q459" s="48"/>
    </row>
    <row r="460" spans="4:17" x14ac:dyDescent="0.25">
      <c r="D460" s="48"/>
      <c r="Q460" s="48"/>
    </row>
    <row r="462" spans="4:17" x14ac:dyDescent="0.25">
      <c r="D462" s="48"/>
      <c r="Q462" s="48"/>
    </row>
    <row r="463" spans="4:17" x14ac:dyDescent="0.25">
      <c r="D463" s="48"/>
      <c r="Q463" s="48"/>
    </row>
    <row r="465" spans="4:17" x14ac:dyDescent="0.25">
      <c r="D465" s="48"/>
      <c r="Q465" s="48"/>
    </row>
    <row r="466" spans="4:17" x14ac:dyDescent="0.25">
      <c r="D466" s="48"/>
      <c r="Q466" s="48"/>
    </row>
    <row r="468" spans="4:17" x14ac:dyDescent="0.25">
      <c r="D468" s="48"/>
      <c r="Q468" s="48"/>
    </row>
    <row r="469" spans="4:17" x14ac:dyDescent="0.25">
      <c r="D469" s="48"/>
      <c r="Q469" s="48"/>
    </row>
    <row r="471" spans="4:17" x14ac:dyDescent="0.25">
      <c r="D471" s="48"/>
      <c r="Q471" s="48"/>
    </row>
    <row r="472" spans="4:17" x14ac:dyDescent="0.25">
      <c r="D472" s="48"/>
      <c r="Q472" s="48"/>
    </row>
    <row r="474" spans="4:17" x14ac:dyDescent="0.25">
      <c r="D474" s="48"/>
      <c r="Q474" s="48"/>
    </row>
    <row r="475" spans="4:17" x14ac:dyDescent="0.25">
      <c r="D475" s="48"/>
      <c r="Q475" s="48"/>
    </row>
    <row r="477" spans="4:17" x14ac:dyDescent="0.25">
      <c r="D477" s="48"/>
      <c r="Q477" s="48"/>
    </row>
    <row r="478" spans="4:17" x14ac:dyDescent="0.25">
      <c r="D478" s="48"/>
      <c r="Q478" s="48"/>
    </row>
    <row r="480" spans="4:17" x14ac:dyDescent="0.25">
      <c r="D480" s="48"/>
      <c r="Q480" s="48"/>
    </row>
    <row r="481" spans="4:17" x14ac:dyDescent="0.25">
      <c r="D481" s="48"/>
      <c r="Q481" s="48"/>
    </row>
    <row r="483" spans="4:17" x14ac:dyDescent="0.25">
      <c r="D483" s="48"/>
      <c r="Q483" s="48"/>
    </row>
    <row r="484" spans="4:17" x14ac:dyDescent="0.25">
      <c r="D484" s="48"/>
      <c r="Q484" s="48"/>
    </row>
    <row r="486" spans="4:17" x14ac:dyDescent="0.25">
      <c r="D486" s="48"/>
      <c r="Q486" s="48"/>
    </row>
    <row r="487" spans="4:17" x14ac:dyDescent="0.25">
      <c r="D487" s="48"/>
      <c r="Q487" s="48"/>
    </row>
    <row r="489" spans="4:17" x14ac:dyDescent="0.25">
      <c r="D489" s="48"/>
      <c r="Q489" s="48"/>
    </row>
    <row r="490" spans="4:17" x14ac:dyDescent="0.25">
      <c r="D490" s="48"/>
      <c r="Q490" s="48"/>
    </row>
    <row r="492" spans="4:17" x14ac:dyDescent="0.25">
      <c r="D492" s="48"/>
      <c r="Q492" s="48"/>
    </row>
    <row r="493" spans="4:17" x14ac:dyDescent="0.25">
      <c r="D493" s="48"/>
      <c r="Q493" s="48"/>
    </row>
    <row r="495" spans="4:17" x14ac:dyDescent="0.25">
      <c r="D495" s="48"/>
      <c r="Q495" s="48"/>
    </row>
    <row r="496" spans="4:17" x14ac:dyDescent="0.25">
      <c r="D496" s="48"/>
      <c r="Q496" s="48"/>
    </row>
    <row r="498" spans="4:17" x14ac:dyDescent="0.25">
      <c r="D498" s="48"/>
      <c r="Q498" s="48"/>
    </row>
    <row r="499" spans="4:17" x14ac:dyDescent="0.25">
      <c r="D499" s="48"/>
      <c r="Q499" s="48"/>
    </row>
    <row r="501" spans="4:17" x14ac:dyDescent="0.25">
      <c r="D501" s="48"/>
      <c r="Q501" s="48"/>
    </row>
    <row r="502" spans="4:17" x14ac:dyDescent="0.25">
      <c r="D502" s="48"/>
      <c r="Q502" s="48"/>
    </row>
    <row r="504" spans="4:17" x14ac:dyDescent="0.25">
      <c r="D504" s="48"/>
      <c r="Q504" s="48"/>
    </row>
    <row r="505" spans="4:17" x14ac:dyDescent="0.25">
      <c r="D505" s="48"/>
      <c r="Q505" s="48"/>
    </row>
    <row r="507" spans="4:17" x14ac:dyDescent="0.25">
      <c r="D507" s="48"/>
      <c r="Q507" s="48"/>
    </row>
    <row r="508" spans="4:17" x14ac:dyDescent="0.25">
      <c r="D508" s="48"/>
      <c r="Q508" s="48"/>
    </row>
    <row r="510" spans="4:17" x14ac:dyDescent="0.25">
      <c r="D510" s="48"/>
      <c r="Q510" s="48"/>
    </row>
    <row r="511" spans="4:17" x14ac:dyDescent="0.25">
      <c r="D511" s="48"/>
      <c r="Q511" s="48"/>
    </row>
    <row r="513" spans="4:17" x14ac:dyDescent="0.25">
      <c r="D513" s="48"/>
      <c r="Q513" s="48"/>
    </row>
    <row r="514" spans="4:17" x14ac:dyDescent="0.25">
      <c r="D514" s="48"/>
      <c r="Q514" s="48"/>
    </row>
    <row r="516" spans="4:17" x14ac:dyDescent="0.25">
      <c r="D516" s="48"/>
      <c r="Q516" s="48"/>
    </row>
    <row r="517" spans="4:17" x14ac:dyDescent="0.25">
      <c r="D517" s="48"/>
      <c r="Q517" s="48"/>
    </row>
    <row r="519" spans="4:17" x14ac:dyDescent="0.25">
      <c r="D519" s="48"/>
      <c r="Q519" s="48"/>
    </row>
    <row r="520" spans="4:17" x14ac:dyDescent="0.25">
      <c r="D520" s="48"/>
      <c r="Q520" s="48"/>
    </row>
    <row r="522" spans="4:17" x14ac:dyDescent="0.25">
      <c r="D522" s="48"/>
      <c r="Q522" s="48"/>
    </row>
    <row r="523" spans="4:17" x14ac:dyDescent="0.25">
      <c r="D523" s="48"/>
      <c r="Q523" s="48"/>
    </row>
    <row r="525" spans="4:17" x14ac:dyDescent="0.25">
      <c r="D525" s="48"/>
      <c r="Q525" s="48"/>
    </row>
    <row r="526" spans="4:17" x14ac:dyDescent="0.25">
      <c r="D526" s="48"/>
      <c r="Q526" s="48"/>
    </row>
    <row r="528" spans="4:17" x14ac:dyDescent="0.25">
      <c r="D528" s="48"/>
      <c r="Q528" s="48"/>
    </row>
    <row r="529" spans="4:17" x14ac:dyDescent="0.25">
      <c r="D529" s="48"/>
      <c r="Q529" s="48"/>
    </row>
    <row r="531" spans="4:17" x14ac:dyDescent="0.25">
      <c r="D531" s="48"/>
      <c r="Q531" s="48"/>
    </row>
    <row r="532" spans="4:17" x14ac:dyDescent="0.25">
      <c r="D532" s="48"/>
      <c r="Q532" s="48"/>
    </row>
    <row r="534" spans="4:17" x14ac:dyDescent="0.25">
      <c r="D534" s="48"/>
      <c r="Q534" s="48"/>
    </row>
    <row r="535" spans="4:17" x14ac:dyDescent="0.25">
      <c r="D535" s="48"/>
      <c r="Q535" s="48"/>
    </row>
    <row r="537" spans="4:17" x14ac:dyDescent="0.25">
      <c r="D537" s="48"/>
      <c r="Q537" s="48"/>
    </row>
    <row r="538" spans="4:17" x14ac:dyDescent="0.25">
      <c r="D538" s="48"/>
      <c r="Q538" s="48"/>
    </row>
    <row r="540" spans="4:17" x14ac:dyDescent="0.25">
      <c r="D540" s="48"/>
      <c r="Q540" s="48"/>
    </row>
    <row r="541" spans="4:17" x14ac:dyDescent="0.25">
      <c r="D541" s="48"/>
      <c r="Q541" s="48"/>
    </row>
    <row r="543" spans="4:17" x14ac:dyDescent="0.25">
      <c r="D543" s="48"/>
      <c r="Q543" s="48"/>
    </row>
    <row r="544" spans="4:17" x14ac:dyDescent="0.25">
      <c r="D544" s="48"/>
      <c r="Q544" s="48"/>
    </row>
    <row r="546" spans="4:17" x14ac:dyDescent="0.25">
      <c r="D546" s="48"/>
      <c r="Q546" s="48"/>
    </row>
    <row r="547" spans="4:17" x14ac:dyDescent="0.25">
      <c r="D547" s="48"/>
      <c r="Q547" s="48"/>
    </row>
    <row r="549" spans="4:17" x14ac:dyDescent="0.25">
      <c r="D549" s="48"/>
      <c r="Q549" s="48"/>
    </row>
    <row r="550" spans="4:17" x14ac:dyDescent="0.25">
      <c r="D550" s="48"/>
      <c r="Q550" s="48"/>
    </row>
    <row r="552" spans="4:17" x14ac:dyDescent="0.25">
      <c r="D552" s="48"/>
      <c r="Q552" s="48"/>
    </row>
    <row r="553" spans="4:17" x14ac:dyDescent="0.25">
      <c r="D553" s="48"/>
      <c r="Q553" s="48"/>
    </row>
    <row r="554" spans="4:17" x14ac:dyDescent="0.25">
      <c r="D554" s="48"/>
      <c r="Q554" s="48"/>
    </row>
    <row r="555" spans="4:17" x14ac:dyDescent="0.25">
      <c r="D555" s="48"/>
      <c r="Q555" s="48"/>
    </row>
    <row r="557" spans="4:17" x14ac:dyDescent="0.25">
      <c r="D557" s="48"/>
      <c r="Q557" s="48"/>
    </row>
    <row r="558" spans="4:17" x14ac:dyDescent="0.25">
      <c r="D558" s="48"/>
      <c r="Q558" s="48"/>
    </row>
    <row r="560" spans="4:17" x14ac:dyDescent="0.25">
      <c r="D560" s="48"/>
      <c r="Q560" s="48"/>
    </row>
    <row r="561" spans="4:17" x14ac:dyDescent="0.25">
      <c r="D561" s="48"/>
      <c r="Q561" s="48"/>
    </row>
    <row r="563" spans="4:17" x14ac:dyDescent="0.25">
      <c r="D563" s="48"/>
      <c r="Q563" s="48"/>
    </row>
    <row r="564" spans="4:17" x14ac:dyDescent="0.25">
      <c r="D564" s="48"/>
      <c r="Q564" s="48"/>
    </row>
    <row r="566" spans="4:17" x14ac:dyDescent="0.25">
      <c r="D566" s="48"/>
      <c r="Q566" s="48"/>
    </row>
    <row r="567" spans="4:17" x14ac:dyDescent="0.25">
      <c r="D567" s="48"/>
      <c r="Q567" s="48"/>
    </row>
    <row r="569" spans="4:17" x14ac:dyDescent="0.25">
      <c r="D569" s="48"/>
      <c r="Q569" s="48"/>
    </row>
    <row r="570" spans="4:17" x14ac:dyDescent="0.25">
      <c r="D570" s="48"/>
      <c r="Q570" s="48"/>
    </row>
    <row r="572" spans="4:17" x14ac:dyDescent="0.25">
      <c r="D572" s="48"/>
      <c r="Q572" s="48"/>
    </row>
    <row r="573" spans="4:17" x14ac:dyDescent="0.25">
      <c r="D573" s="48"/>
      <c r="Q573" s="48"/>
    </row>
    <row r="575" spans="4:17" x14ac:dyDescent="0.25">
      <c r="D575" s="48"/>
      <c r="Q575" s="48"/>
    </row>
    <row r="576" spans="4:17" x14ac:dyDescent="0.25">
      <c r="D576" s="48"/>
      <c r="Q576" s="48"/>
    </row>
    <row r="578" spans="4:17" x14ac:dyDescent="0.25">
      <c r="D578" s="48"/>
      <c r="Q578" s="48"/>
    </row>
    <row r="579" spans="4:17" x14ac:dyDescent="0.25">
      <c r="D579" s="48"/>
      <c r="Q579" s="48"/>
    </row>
    <row r="581" spans="4:17" x14ac:dyDescent="0.25">
      <c r="D581" s="48"/>
      <c r="Q581" s="48"/>
    </row>
    <row r="582" spans="4:17" x14ac:dyDescent="0.25">
      <c r="D582" s="48"/>
      <c r="Q582" s="48"/>
    </row>
    <row r="584" spans="4:17" x14ac:dyDescent="0.25">
      <c r="D584" s="48"/>
      <c r="Q584" s="48"/>
    </row>
    <row r="585" spans="4:17" x14ac:dyDescent="0.25">
      <c r="D585" s="48"/>
      <c r="Q585" s="48"/>
    </row>
    <row r="587" spans="4:17" x14ac:dyDescent="0.25">
      <c r="D587" s="48"/>
      <c r="Q587" s="48"/>
    </row>
    <row r="588" spans="4:17" x14ac:dyDescent="0.25">
      <c r="D588" s="48"/>
      <c r="Q588" s="48"/>
    </row>
    <row r="589" spans="4:17" x14ac:dyDescent="0.25">
      <c r="Q589" s="48"/>
    </row>
    <row r="590" spans="4:17" x14ac:dyDescent="0.25">
      <c r="D590" s="48"/>
      <c r="Q590" s="48"/>
    </row>
    <row r="592" spans="4:17" x14ac:dyDescent="0.25">
      <c r="D592" s="48"/>
      <c r="Q592" s="48"/>
    </row>
    <row r="593" spans="4:17" x14ac:dyDescent="0.25">
      <c r="D593" s="48"/>
      <c r="Q593" s="48"/>
    </row>
    <row r="595" spans="4:17" x14ac:dyDescent="0.25">
      <c r="D595" s="48"/>
      <c r="Q595" s="48"/>
    </row>
    <row r="596" spans="4:17" x14ac:dyDescent="0.25">
      <c r="D596" s="48"/>
      <c r="Q596" s="48"/>
    </row>
    <row r="598" spans="4:17" x14ac:dyDescent="0.25">
      <c r="D598" s="48"/>
      <c r="Q598" s="48"/>
    </row>
    <row r="599" spans="4:17" x14ac:dyDescent="0.25">
      <c r="D599" s="48"/>
      <c r="Q599" s="48"/>
    </row>
    <row r="602" spans="4:17" x14ac:dyDescent="0.25">
      <c r="D602" s="48"/>
      <c r="Q602" s="48"/>
    </row>
    <row r="605" spans="4:17" x14ac:dyDescent="0.25">
      <c r="D605" s="48"/>
      <c r="Q605" s="48"/>
    </row>
    <row r="608" spans="4:17" x14ac:dyDescent="0.25">
      <c r="D608" s="48"/>
      <c r="Q608" s="48"/>
    </row>
    <row r="611" spans="4:17" x14ac:dyDescent="0.25">
      <c r="D611" s="48"/>
      <c r="Q611" s="48"/>
    </row>
    <row r="614" spans="4:17" x14ac:dyDescent="0.25">
      <c r="D614" s="48"/>
      <c r="Q614" s="48"/>
    </row>
    <row r="617" spans="4:17" x14ac:dyDescent="0.25">
      <c r="D617" s="48"/>
      <c r="Q617" s="48"/>
    </row>
    <row r="620" spans="4:17" x14ac:dyDescent="0.25">
      <c r="D620" s="48"/>
      <c r="Q620" s="48"/>
    </row>
    <row r="623" spans="4:17" x14ac:dyDescent="0.25">
      <c r="D623" s="48"/>
      <c r="Q623" s="48"/>
    </row>
    <row r="626" spans="4:17" x14ac:dyDescent="0.25">
      <c r="D626" s="48"/>
      <c r="Q626" s="48"/>
    </row>
    <row r="629" spans="4:17" x14ac:dyDescent="0.25">
      <c r="D629" s="48"/>
      <c r="Q629" s="48"/>
    </row>
    <row r="632" spans="4:17" x14ac:dyDescent="0.25">
      <c r="D632" s="48"/>
      <c r="Q632" s="48"/>
    </row>
    <row r="633" spans="4:17" x14ac:dyDescent="0.25">
      <c r="D633" s="48"/>
      <c r="Q633" s="48"/>
    </row>
    <row r="634" spans="4:17" x14ac:dyDescent="0.25">
      <c r="D634" s="48"/>
      <c r="Q634" s="48"/>
    </row>
    <row r="635" spans="4:17" x14ac:dyDescent="0.25">
      <c r="D635" s="48"/>
      <c r="Q635" s="48"/>
    </row>
    <row r="636" spans="4:17" x14ac:dyDescent="0.25">
      <c r="D636" s="48"/>
      <c r="Q636" s="48"/>
    </row>
    <row r="637" spans="4:17" x14ac:dyDescent="0.25">
      <c r="D637" s="48"/>
      <c r="Q637" s="48"/>
    </row>
    <row r="638" spans="4:17" x14ac:dyDescent="0.25">
      <c r="D638" s="48"/>
      <c r="Q638" s="48"/>
    </row>
    <row r="639" spans="4:17" x14ac:dyDescent="0.25">
      <c r="D639" s="48"/>
      <c r="Q639" s="48"/>
    </row>
    <row r="640" spans="4:17" x14ac:dyDescent="0.25">
      <c r="D640" s="48"/>
      <c r="Q640" s="48"/>
    </row>
    <row r="641" spans="4:17" x14ac:dyDescent="0.25">
      <c r="D641" s="48"/>
      <c r="Q641" s="48"/>
    </row>
    <row r="642" spans="4:17" x14ac:dyDescent="0.25">
      <c r="D642" s="48"/>
      <c r="Q642" s="48"/>
    </row>
    <row r="643" spans="4:17" x14ac:dyDescent="0.25">
      <c r="D643" s="48"/>
      <c r="Q643" s="48"/>
    </row>
    <row r="644" spans="4:17" x14ac:dyDescent="0.25">
      <c r="D644" s="48"/>
      <c r="Q644" s="48"/>
    </row>
    <row r="645" spans="4:17" x14ac:dyDescent="0.25">
      <c r="Q645" s="48"/>
    </row>
    <row r="646" spans="4:17" x14ac:dyDescent="0.25">
      <c r="Q646" s="48"/>
    </row>
    <row r="647" spans="4:17" x14ac:dyDescent="0.25">
      <c r="D647" s="48"/>
      <c r="Q647" s="48"/>
    </row>
    <row r="648" spans="4:17" x14ac:dyDescent="0.25">
      <c r="Q648" s="48"/>
    </row>
    <row r="649" spans="4:17" x14ac:dyDescent="0.25">
      <c r="Q649" s="48"/>
    </row>
    <row r="650" spans="4:17" x14ac:dyDescent="0.25">
      <c r="D650" s="48"/>
      <c r="Q650" s="48"/>
    </row>
    <row r="651" spans="4:17" x14ac:dyDescent="0.25">
      <c r="D651" s="48"/>
      <c r="Q651" s="48"/>
    </row>
    <row r="652" spans="4:17" x14ac:dyDescent="0.25">
      <c r="D652" s="48"/>
      <c r="Q652" s="48"/>
    </row>
    <row r="653" spans="4:17" x14ac:dyDescent="0.25">
      <c r="D653" s="48"/>
      <c r="Q653" s="48"/>
    </row>
    <row r="654" spans="4:17" x14ac:dyDescent="0.25">
      <c r="D654" s="48"/>
      <c r="Q654" s="48"/>
    </row>
    <row r="655" spans="4:17" x14ac:dyDescent="0.25">
      <c r="D655" s="48"/>
      <c r="Q655" s="48"/>
    </row>
    <row r="656" spans="4:17" x14ac:dyDescent="0.25">
      <c r="D656" s="48"/>
      <c r="Q656" s="48"/>
    </row>
    <row r="657" spans="4:17" x14ac:dyDescent="0.25">
      <c r="D657" s="48"/>
      <c r="Q657" s="48"/>
    </row>
    <row r="658" spans="4:17" x14ac:dyDescent="0.25">
      <c r="D658" s="48"/>
      <c r="Q658" s="48"/>
    </row>
    <row r="659" spans="4:17" x14ac:dyDescent="0.25">
      <c r="D659" s="48"/>
      <c r="Q659" s="48"/>
    </row>
    <row r="661" spans="4:17" x14ac:dyDescent="0.25">
      <c r="D661" s="48"/>
      <c r="Q661" s="48"/>
    </row>
    <row r="662" spans="4:17" x14ac:dyDescent="0.25">
      <c r="D662" s="48"/>
      <c r="Q662" s="48"/>
    </row>
    <row r="664" spans="4:17" x14ac:dyDescent="0.25">
      <c r="D664" s="48"/>
      <c r="Q664" s="48"/>
    </row>
    <row r="665" spans="4:17" x14ac:dyDescent="0.25">
      <c r="D665" s="48"/>
      <c r="Q665" s="48"/>
    </row>
    <row r="667" spans="4:17" x14ac:dyDescent="0.25">
      <c r="D667" s="48"/>
      <c r="Q667" s="48"/>
    </row>
    <row r="668" spans="4:17" x14ac:dyDescent="0.25">
      <c r="D668" s="48"/>
      <c r="Q668" s="48"/>
    </row>
    <row r="669" spans="4:17" x14ac:dyDescent="0.25">
      <c r="Q669" s="48"/>
    </row>
    <row r="671" spans="4:17" x14ac:dyDescent="0.25">
      <c r="D671" s="48"/>
      <c r="Q671" s="48"/>
    </row>
    <row r="672" spans="4:17" x14ac:dyDescent="0.25">
      <c r="D672" s="48"/>
      <c r="Q672" s="48"/>
    </row>
    <row r="675" spans="4:17" x14ac:dyDescent="0.25">
      <c r="D675" s="48"/>
      <c r="Q675" s="48"/>
    </row>
    <row r="676" spans="4:17" x14ac:dyDescent="0.25">
      <c r="D676" s="48"/>
      <c r="Q676" s="48"/>
    </row>
    <row r="678" spans="4:17" x14ac:dyDescent="0.25">
      <c r="D678" s="48"/>
      <c r="Q678" s="48"/>
    </row>
    <row r="679" spans="4:17" x14ac:dyDescent="0.25">
      <c r="D679" s="48"/>
      <c r="Q679" s="48"/>
    </row>
    <row r="680" spans="4:17" x14ac:dyDescent="0.25">
      <c r="D680" s="48"/>
      <c r="Q680" s="48"/>
    </row>
    <row r="681" spans="4:17" x14ac:dyDescent="0.25">
      <c r="D681" s="48"/>
      <c r="Q681" s="48"/>
    </row>
    <row r="683" spans="4:17" x14ac:dyDescent="0.25">
      <c r="D683" s="48"/>
      <c r="Q683" s="48"/>
    </row>
    <row r="684" spans="4:17" x14ac:dyDescent="0.25">
      <c r="D684" s="48"/>
      <c r="Q684" s="48"/>
    </row>
    <row r="685" spans="4:17" x14ac:dyDescent="0.25">
      <c r="Q685" s="48"/>
    </row>
    <row r="687" spans="4:17" x14ac:dyDescent="0.25">
      <c r="D687" s="48"/>
      <c r="Q687" s="48"/>
    </row>
    <row r="688" spans="4:17" x14ac:dyDescent="0.25">
      <c r="D688" s="48"/>
      <c r="Q688" s="48"/>
    </row>
    <row r="690" spans="4:17" x14ac:dyDescent="0.25">
      <c r="D690" s="48"/>
      <c r="Q690" s="48"/>
    </row>
    <row r="691" spans="4:17" x14ac:dyDescent="0.25">
      <c r="D691" s="48"/>
      <c r="Q691" s="48"/>
    </row>
    <row r="693" spans="4:17" x14ac:dyDescent="0.25">
      <c r="D693" s="48"/>
      <c r="Q693" s="48"/>
    </row>
    <row r="694" spans="4:17" x14ac:dyDescent="0.25">
      <c r="D694" s="48"/>
      <c r="Q694" s="48"/>
    </row>
    <row r="695" spans="4:17" x14ac:dyDescent="0.25">
      <c r="Q695" s="48"/>
    </row>
    <row r="696" spans="4:17" x14ac:dyDescent="0.25">
      <c r="D696" s="48"/>
      <c r="Q696" s="48"/>
    </row>
    <row r="698" spans="4:17" x14ac:dyDescent="0.25">
      <c r="D698" s="48"/>
      <c r="Q698" s="48"/>
    </row>
    <row r="699" spans="4:17" x14ac:dyDescent="0.25">
      <c r="D699" s="48"/>
      <c r="Q699" s="48"/>
    </row>
    <row r="701" spans="4:17" x14ac:dyDescent="0.25">
      <c r="D701" s="48"/>
      <c r="Q701" s="48"/>
    </row>
    <row r="702" spans="4:17" x14ac:dyDescent="0.25">
      <c r="D702" s="48"/>
      <c r="Q702" s="48"/>
    </row>
    <row r="704" spans="4:17" x14ac:dyDescent="0.25">
      <c r="D704" s="48"/>
      <c r="Q704" s="48"/>
    </row>
    <row r="705" spans="4:17" x14ac:dyDescent="0.25">
      <c r="D705" s="48"/>
      <c r="Q705" s="48"/>
    </row>
    <row r="707" spans="4:17" x14ac:dyDescent="0.25">
      <c r="D707" s="48"/>
      <c r="Q707" s="48"/>
    </row>
    <row r="708" spans="4:17" x14ac:dyDescent="0.25">
      <c r="D708" s="48"/>
      <c r="Q708" s="48"/>
    </row>
    <row r="710" spans="4:17" x14ac:dyDescent="0.25">
      <c r="D710" s="48"/>
      <c r="Q710" s="48"/>
    </row>
    <row r="711" spans="4:17" x14ac:dyDescent="0.25">
      <c r="D711" s="48"/>
      <c r="Q711" s="48"/>
    </row>
    <row r="713" spans="4:17" x14ac:dyDescent="0.25">
      <c r="D713" s="48"/>
      <c r="Q713" s="48"/>
    </row>
    <row r="714" spans="4:17" x14ac:dyDescent="0.25">
      <c r="D714" s="48"/>
      <c r="Q714" s="48"/>
    </row>
    <row r="715" spans="4:17" x14ac:dyDescent="0.25">
      <c r="D715" s="48"/>
      <c r="Q715" s="48"/>
    </row>
    <row r="716" spans="4:17" x14ac:dyDescent="0.25">
      <c r="D716" s="48"/>
      <c r="Q716" s="48"/>
    </row>
    <row r="717" spans="4:17" x14ac:dyDescent="0.25">
      <c r="D717" s="48"/>
      <c r="Q717" s="48"/>
    </row>
    <row r="720" spans="4:17" x14ac:dyDescent="0.25">
      <c r="D720" s="48"/>
      <c r="Q720" s="48"/>
    </row>
    <row r="721" spans="4:17" x14ac:dyDescent="0.25">
      <c r="D721" s="48"/>
      <c r="Q721" s="48"/>
    </row>
    <row r="722" spans="4:17" x14ac:dyDescent="0.25">
      <c r="D722" s="48"/>
      <c r="Q722" s="48"/>
    </row>
    <row r="723" spans="4:17" x14ac:dyDescent="0.25">
      <c r="D723" s="48"/>
      <c r="Q723" s="48"/>
    </row>
    <row r="726" spans="4:17" x14ac:dyDescent="0.25">
      <c r="D726" s="48"/>
      <c r="Q726" s="48"/>
    </row>
    <row r="727" spans="4:17" x14ac:dyDescent="0.25">
      <c r="D727" s="48"/>
      <c r="Q727" s="48"/>
    </row>
    <row r="728" spans="4:17" x14ac:dyDescent="0.25">
      <c r="Q728" s="48"/>
    </row>
    <row r="730" spans="4:17" x14ac:dyDescent="0.25">
      <c r="D730" s="48"/>
      <c r="Q730" s="48"/>
    </row>
    <row r="731" spans="4:17" x14ac:dyDescent="0.25">
      <c r="D731" s="48"/>
      <c r="Q731" s="48"/>
    </row>
    <row r="733" spans="4:17" x14ac:dyDescent="0.25">
      <c r="D733" s="48"/>
      <c r="Q733" s="48"/>
    </row>
    <row r="734" spans="4:17" x14ac:dyDescent="0.25">
      <c r="D734" s="48"/>
      <c r="Q734" s="48"/>
    </row>
    <row r="736" spans="4:17" x14ac:dyDescent="0.25">
      <c r="D736" s="48"/>
      <c r="Q736" s="48"/>
    </row>
    <row r="737" spans="4:17" x14ac:dyDescent="0.25">
      <c r="D737" s="48"/>
      <c r="Q737" s="48"/>
    </row>
    <row r="739" spans="4:17" x14ac:dyDescent="0.25">
      <c r="D739" s="48"/>
      <c r="Q739" s="48"/>
    </row>
    <row r="740" spans="4:17" x14ac:dyDescent="0.25">
      <c r="D740" s="48"/>
      <c r="Q740" s="48"/>
    </row>
    <row r="742" spans="4:17" x14ac:dyDescent="0.25">
      <c r="D742" s="48"/>
      <c r="Q742" s="48"/>
    </row>
    <row r="743" spans="4:17" x14ac:dyDescent="0.25">
      <c r="D743" s="48"/>
      <c r="Q743" s="48"/>
    </row>
    <row r="745" spans="4:17" x14ac:dyDescent="0.25">
      <c r="D745" s="48"/>
      <c r="Q745" s="48"/>
    </row>
    <row r="746" spans="4:17" x14ac:dyDescent="0.25">
      <c r="D746" s="48"/>
      <c r="Q746" s="48"/>
    </row>
    <row r="748" spans="4:17" x14ac:dyDescent="0.25">
      <c r="D748" s="48"/>
      <c r="Q748" s="48"/>
    </row>
    <row r="749" spans="4:17" x14ac:dyDescent="0.25">
      <c r="D749" s="48"/>
      <c r="Q749" s="48"/>
    </row>
    <row r="751" spans="4:17" x14ac:dyDescent="0.25">
      <c r="D751" s="48"/>
      <c r="Q751" s="48"/>
    </row>
    <row r="752" spans="4:17" x14ac:dyDescent="0.25">
      <c r="D752" s="48"/>
      <c r="Q752" s="48"/>
    </row>
    <row r="753" spans="4:17" x14ac:dyDescent="0.25">
      <c r="D753" s="48"/>
      <c r="Q753" s="48"/>
    </row>
    <row r="756" spans="4:17" x14ac:dyDescent="0.25">
      <c r="D756" s="48"/>
      <c r="Q756" s="48"/>
    </row>
    <row r="757" spans="4:17" x14ac:dyDescent="0.25">
      <c r="D757" s="48"/>
      <c r="Q757" s="48"/>
    </row>
    <row r="759" spans="4:17" x14ac:dyDescent="0.25">
      <c r="D759" s="48"/>
      <c r="Q759" s="48"/>
    </row>
    <row r="760" spans="4:17" x14ac:dyDescent="0.25">
      <c r="D760" s="48"/>
      <c r="Q760" s="48"/>
    </row>
    <row r="762" spans="4:17" x14ac:dyDescent="0.25">
      <c r="D762" s="48"/>
      <c r="Q762" s="48"/>
    </row>
    <row r="763" spans="4:17" x14ac:dyDescent="0.25">
      <c r="D763" s="48"/>
      <c r="Q763" s="48"/>
    </row>
    <row r="765" spans="4:17" x14ac:dyDescent="0.25">
      <c r="D765" s="48"/>
      <c r="Q765" s="48"/>
    </row>
    <row r="766" spans="4:17" x14ac:dyDescent="0.25">
      <c r="D766" s="48"/>
      <c r="Q766" s="48"/>
    </row>
    <row r="767" spans="4:17" x14ac:dyDescent="0.25">
      <c r="D767" s="48"/>
      <c r="Q767" s="48"/>
    </row>
    <row r="768" spans="4:17" x14ac:dyDescent="0.25">
      <c r="D768" s="48"/>
      <c r="Q768" s="48"/>
    </row>
    <row r="770" spans="4:17" x14ac:dyDescent="0.25">
      <c r="D770" s="48"/>
      <c r="Q770" s="48"/>
    </row>
    <row r="771" spans="4:17" x14ac:dyDescent="0.25">
      <c r="D771" s="48"/>
      <c r="Q771" s="48"/>
    </row>
    <row r="773" spans="4:17" x14ac:dyDescent="0.25">
      <c r="D773" s="48"/>
      <c r="Q773" s="48"/>
    </row>
    <row r="774" spans="4:17" x14ac:dyDescent="0.25">
      <c r="D774" s="48"/>
      <c r="Q774" s="48"/>
    </row>
    <row r="776" spans="4:17" x14ac:dyDescent="0.25">
      <c r="D776" s="48"/>
      <c r="Q776" s="48"/>
    </row>
    <row r="777" spans="4:17" x14ac:dyDescent="0.25">
      <c r="D777" s="48"/>
      <c r="Q777" s="48"/>
    </row>
    <row r="779" spans="4:17" x14ac:dyDescent="0.25">
      <c r="D779" s="48"/>
      <c r="Q779" s="48"/>
    </row>
    <row r="780" spans="4:17" x14ac:dyDescent="0.25">
      <c r="D780" s="48"/>
      <c r="Q780" s="48"/>
    </row>
    <row r="782" spans="4:17" x14ac:dyDescent="0.25">
      <c r="D782" s="48"/>
      <c r="Q782" s="48"/>
    </row>
    <row r="783" spans="4:17" x14ac:dyDescent="0.25">
      <c r="D783" s="48"/>
      <c r="Q783" s="48"/>
    </row>
    <row r="785" spans="4:17" x14ac:dyDescent="0.25">
      <c r="D785" s="48"/>
      <c r="Q785" s="48"/>
    </row>
    <row r="786" spans="4:17" x14ac:dyDescent="0.25">
      <c r="D786" s="48"/>
      <c r="Q786" s="48"/>
    </row>
    <row r="788" spans="4:17" x14ac:dyDescent="0.25">
      <c r="D788" s="48"/>
      <c r="Q788" s="48"/>
    </row>
    <row r="789" spans="4:17" x14ac:dyDescent="0.25">
      <c r="D789" s="48"/>
      <c r="Q789" s="48"/>
    </row>
    <row r="791" spans="4:17" x14ac:dyDescent="0.25">
      <c r="D791" s="48"/>
      <c r="Q791" s="48"/>
    </row>
    <row r="792" spans="4:17" x14ac:dyDescent="0.25">
      <c r="D792" s="48"/>
      <c r="Q792" s="48"/>
    </row>
    <row r="794" spans="4:17" x14ac:dyDescent="0.25">
      <c r="D794" s="48"/>
      <c r="Q794" s="48"/>
    </row>
    <row r="795" spans="4:17" x14ac:dyDescent="0.25">
      <c r="D795" s="48"/>
      <c r="Q795" s="48"/>
    </row>
    <row r="797" spans="4:17" x14ac:dyDescent="0.25">
      <c r="D797" s="48"/>
      <c r="Q797" s="48"/>
    </row>
    <row r="798" spans="4:17" x14ac:dyDescent="0.25">
      <c r="D798" s="48"/>
      <c r="Q798" s="48"/>
    </row>
    <row r="800" spans="4:17" x14ac:dyDescent="0.25">
      <c r="D800" s="48"/>
      <c r="Q800" s="48"/>
    </row>
    <row r="801" spans="4:17" x14ac:dyDescent="0.25">
      <c r="D801" s="48"/>
      <c r="Q801" s="48"/>
    </row>
    <row r="803" spans="4:17" x14ac:dyDescent="0.25">
      <c r="D803" s="48"/>
      <c r="Q803" s="48"/>
    </row>
    <row r="804" spans="4:17" x14ac:dyDescent="0.25">
      <c r="D804" s="48"/>
      <c r="Q804" s="48"/>
    </row>
    <row r="806" spans="4:17" x14ac:dyDescent="0.25">
      <c r="D806" s="48"/>
      <c r="Q806" s="48"/>
    </row>
    <row r="807" spans="4:17" x14ac:dyDescent="0.25">
      <c r="D807" s="48"/>
      <c r="Q807" s="48"/>
    </row>
    <row r="810" spans="4:17" x14ac:dyDescent="0.25">
      <c r="D810" s="48"/>
      <c r="Q810" s="48"/>
    </row>
    <row r="811" spans="4:17" x14ac:dyDescent="0.25">
      <c r="D811" s="48"/>
      <c r="Q811" s="48"/>
    </row>
    <row r="813" spans="4:17" x14ac:dyDescent="0.25">
      <c r="D813" s="48"/>
      <c r="Q813" s="48"/>
    </row>
    <row r="814" spans="4:17" x14ac:dyDescent="0.25">
      <c r="D814" s="48"/>
      <c r="Q814" s="48"/>
    </row>
    <row r="816" spans="4:17" x14ac:dyDescent="0.25">
      <c r="D816" s="48"/>
      <c r="Q816" s="48"/>
    </row>
    <row r="817" spans="4:17" x14ac:dyDescent="0.25">
      <c r="D817" s="48"/>
      <c r="Q817" s="48"/>
    </row>
    <row r="819" spans="4:17" x14ac:dyDescent="0.25">
      <c r="D819" s="48"/>
      <c r="Q819" s="48"/>
    </row>
    <row r="820" spans="4:17" x14ac:dyDescent="0.25">
      <c r="D820" s="48"/>
      <c r="Q820" s="48"/>
    </row>
    <row r="822" spans="4:17" x14ac:dyDescent="0.25">
      <c r="D822" s="48"/>
      <c r="Q822" s="48"/>
    </row>
    <row r="823" spans="4:17" x14ac:dyDescent="0.25">
      <c r="D823" s="48"/>
      <c r="Q823" s="48"/>
    </row>
    <row r="824" spans="4:17" x14ac:dyDescent="0.25">
      <c r="D824" s="48"/>
      <c r="Q824" s="48"/>
    </row>
    <row r="825" spans="4:17" x14ac:dyDescent="0.25">
      <c r="D825" s="48"/>
      <c r="Q825" s="48"/>
    </row>
    <row r="828" spans="4:17" x14ac:dyDescent="0.25">
      <c r="D828" s="48"/>
      <c r="Q828" s="48"/>
    </row>
    <row r="829" spans="4:17" x14ac:dyDescent="0.25">
      <c r="D829" s="48"/>
      <c r="Q829" s="48"/>
    </row>
    <row r="830" spans="4:17" x14ac:dyDescent="0.25">
      <c r="D830" s="48"/>
      <c r="Q830" s="48"/>
    </row>
    <row r="831" spans="4:17" x14ac:dyDescent="0.25">
      <c r="D831" s="48"/>
      <c r="Q831" s="48"/>
    </row>
    <row r="833" spans="4:17" x14ac:dyDescent="0.25">
      <c r="D833" s="48"/>
      <c r="Q833" s="48"/>
    </row>
    <row r="834" spans="4:17" x14ac:dyDescent="0.25">
      <c r="D834" s="48"/>
      <c r="Q834" s="48"/>
    </row>
    <row r="836" spans="4:17" x14ac:dyDescent="0.25">
      <c r="D836" s="48"/>
      <c r="Q836" s="48"/>
    </row>
    <row r="837" spans="4:17" x14ac:dyDescent="0.25">
      <c r="D837" s="48"/>
      <c r="Q837" s="48"/>
    </row>
    <row r="839" spans="4:17" x14ac:dyDescent="0.25">
      <c r="D839" s="48"/>
      <c r="Q839" s="48"/>
    </row>
    <row r="840" spans="4:17" x14ac:dyDescent="0.25">
      <c r="D840" s="48"/>
      <c r="Q840" s="48"/>
    </row>
    <row r="842" spans="4:17" x14ac:dyDescent="0.25">
      <c r="D842" s="48"/>
      <c r="Q842" s="48"/>
    </row>
    <row r="843" spans="4:17" x14ac:dyDescent="0.25">
      <c r="D843" s="48"/>
      <c r="Q843" s="48"/>
    </row>
    <row r="845" spans="4:17" x14ac:dyDescent="0.25">
      <c r="D845" s="48"/>
      <c r="Q845" s="48"/>
    </row>
    <row r="846" spans="4:17" x14ac:dyDescent="0.25">
      <c r="D846" s="48"/>
      <c r="Q846" s="48"/>
    </row>
    <row r="848" spans="4:17" x14ac:dyDescent="0.25">
      <c r="D848" s="48"/>
      <c r="Q848" s="48"/>
    </row>
    <row r="849" spans="4:17" x14ac:dyDescent="0.25">
      <c r="D849" s="48"/>
      <c r="Q849" s="48"/>
    </row>
    <row r="851" spans="4:17" x14ac:dyDescent="0.25">
      <c r="D851" s="48"/>
      <c r="Q851" s="48"/>
    </row>
    <row r="852" spans="4:17" x14ac:dyDescent="0.25">
      <c r="D852" s="48"/>
      <c r="Q852" s="48"/>
    </row>
    <row r="855" spans="4:17" x14ac:dyDescent="0.25">
      <c r="D855" s="48"/>
      <c r="Q855" s="48"/>
    </row>
    <row r="856" spans="4:17" x14ac:dyDescent="0.25">
      <c r="D856" s="48"/>
      <c r="Q856" s="48"/>
    </row>
    <row r="858" spans="4:17" x14ac:dyDescent="0.25">
      <c r="D858" s="48"/>
      <c r="Q858" s="48"/>
    </row>
    <row r="859" spans="4:17" x14ac:dyDescent="0.25">
      <c r="D859" s="48"/>
      <c r="Q859" s="48"/>
    </row>
    <row r="861" spans="4:17" x14ac:dyDescent="0.25">
      <c r="D861" s="48"/>
      <c r="Q861" s="48"/>
    </row>
    <row r="862" spans="4:17" x14ac:dyDescent="0.25">
      <c r="D862" s="48"/>
      <c r="Q862" s="48"/>
    </row>
    <row r="864" spans="4:17" x14ac:dyDescent="0.25">
      <c r="D864" s="48"/>
      <c r="Q864" s="48"/>
    </row>
    <row r="865" spans="4:17" x14ac:dyDescent="0.25">
      <c r="D865" s="48"/>
      <c r="Q865" s="48"/>
    </row>
    <row r="867" spans="4:17" x14ac:dyDescent="0.25">
      <c r="D867" s="48"/>
      <c r="Q867" s="48"/>
    </row>
    <row r="868" spans="4:17" x14ac:dyDescent="0.25">
      <c r="D868" s="48"/>
      <c r="Q868" s="48"/>
    </row>
    <row r="869" spans="4:17" x14ac:dyDescent="0.25">
      <c r="D869" s="48"/>
      <c r="Q869" s="48"/>
    </row>
    <row r="870" spans="4:17" x14ac:dyDescent="0.25">
      <c r="D870" s="48"/>
      <c r="Q870" s="48"/>
    </row>
    <row r="873" spans="4:17" x14ac:dyDescent="0.25">
      <c r="D873" s="48"/>
      <c r="Q873" s="48"/>
    </row>
    <row r="874" spans="4:17" x14ac:dyDescent="0.25">
      <c r="D874" s="48"/>
      <c r="Q874" s="48"/>
    </row>
    <row r="875" spans="4:17" x14ac:dyDescent="0.25">
      <c r="D875" s="48"/>
      <c r="Q875" s="48"/>
    </row>
    <row r="876" spans="4:17" x14ac:dyDescent="0.25">
      <c r="D876" s="48"/>
      <c r="Q876" s="48"/>
    </row>
    <row r="878" spans="4:17" x14ac:dyDescent="0.25">
      <c r="D878" s="48"/>
      <c r="Q878" s="48"/>
    </row>
    <row r="879" spans="4:17" x14ac:dyDescent="0.25">
      <c r="D879" s="48"/>
      <c r="Q879" s="48"/>
    </row>
    <row r="880" spans="4:17" x14ac:dyDescent="0.25">
      <c r="D880" s="48"/>
      <c r="Q880" s="48"/>
    </row>
    <row r="881" spans="4:17" x14ac:dyDescent="0.25">
      <c r="D881" s="48"/>
      <c r="Q881" s="48"/>
    </row>
    <row r="882" spans="4:17" x14ac:dyDescent="0.25">
      <c r="D882" s="48"/>
      <c r="Q882" s="48"/>
    </row>
    <row r="884" spans="4:17" x14ac:dyDescent="0.25">
      <c r="D884" s="48"/>
      <c r="Q884" s="48"/>
    </row>
    <row r="885" spans="4:17" x14ac:dyDescent="0.25">
      <c r="D885" s="48"/>
      <c r="Q885" s="48"/>
    </row>
    <row r="888" spans="4:17" x14ac:dyDescent="0.25">
      <c r="D888" s="48"/>
      <c r="Q888" s="48"/>
    </row>
    <row r="891" spans="4:17" x14ac:dyDescent="0.25">
      <c r="D891" s="48"/>
      <c r="Q891" s="48"/>
    </row>
    <row r="894" spans="4:17" x14ac:dyDescent="0.25">
      <c r="D894" s="48"/>
      <c r="Q894" s="48"/>
    </row>
    <row r="897" spans="4:17" x14ac:dyDescent="0.25">
      <c r="D897" s="48"/>
      <c r="Q897" s="48"/>
    </row>
    <row r="900" spans="4:17" x14ac:dyDescent="0.25">
      <c r="D900" s="48"/>
      <c r="Q900" s="48"/>
    </row>
    <row r="903" spans="4:17" x14ac:dyDescent="0.25">
      <c r="D903" s="48"/>
      <c r="Q903" s="48"/>
    </row>
    <row r="906" spans="4:17" x14ac:dyDescent="0.25">
      <c r="D906" s="48"/>
      <c r="Q906" s="48"/>
    </row>
    <row r="909" spans="4:17" x14ac:dyDescent="0.25">
      <c r="D909" s="48"/>
      <c r="Q909" s="48"/>
    </row>
    <row r="912" spans="4:17" x14ac:dyDescent="0.25">
      <c r="D912" s="48"/>
      <c r="Q912" s="48"/>
    </row>
    <row r="915" spans="4:17" x14ac:dyDescent="0.25">
      <c r="D915" s="48"/>
      <c r="Q915" s="48"/>
    </row>
    <row r="918" spans="4:17" x14ac:dyDescent="0.25">
      <c r="D918" s="48"/>
      <c r="Q918" s="48"/>
    </row>
    <row r="921" spans="4:17" x14ac:dyDescent="0.25">
      <c r="D921" s="48"/>
      <c r="Q921" s="48"/>
    </row>
    <row r="924" spans="4:17" x14ac:dyDescent="0.25">
      <c r="D924" s="48"/>
      <c r="Q924" s="48"/>
    </row>
    <row r="927" spans="4:17" x14ac:dyDescent="0.25">
      <c r="D927" s="48"/>
      <c r="Q927" s="48"/>
    </row>
    <row r="930" spans="4:17" x14ac:dyDescent="0.25">
      <c r="D930" s="48"/>
      <c r="Q930" s="48"/>
    </row>
    <row r="933" spans="4:17" x14ac:dyDescent="0.25">
      <c r="D933" s="48"/>
      <c r="Q933" s="48"/>
    </row>
    <row r="936" spans="4:17" x14ac:dyDescent="0.25">
      <c r="D936" s="48"/>
      <c r="Q936" s="48"/>
    </row>
    <row r="937" spans="4:17" x14ac:dyDescent="0.25">
      <c r="D937" s="48"/>
      <c r="Q937" s="48"/>
    </row>
    <row r="939" spans="4:17" x14ac:dyDescent="0.25">
      <c r="D939" s="48"/>
      <c r="Q939" s="48"/>
    </row>
    <row r="940" spans="4:17" x14ac:dyDescent="0.25">
      <c r="D940" s="48"/>
      <c r="Q940" s="48"/>
    </row>
    <row r="942" spans="4:17" x14ac:dyDescent="0.25">
      <c r="D942" s="48"/>
      <c r="Q942" s="48"/>
    </row>
    <row r="943" spans="4:17" x14ac:dyDescent="0.25">
      <c r="D943" s="48"/>
      <c r="Q943" s="48"/>
    </row>
    <row r="945" spans="4:17" x14ac:dyDescent="0.25">
      <c r="D945" s="48"/>
      <c r="Q945" s="48"/>
    </row>
    <row r="946" spans="4:17" x14ac:dyDescent="0.25">
      <c r="D946" s="48"/>
      <c r="Q946" s="48"/>
    </row>
    <row r="948" spans="4:17" x14ac:dyDescent="0.25">
      <c r="D948" s="48"/>
      <c r="Q948" s="48"/>
    </row>
    <row r="949" spans="4:17" x14ac:dyDescent="0.25">
      <c r="D949" s="48"/>
      <c r="Q949" s="48"/>
    </row>
    <row r="951" spans="4:17" x14ac:dyDescent="0.25">
      <c r="D951" s="48"/>
      <c r="Q951" s="48"/>
    </row>
    <row r="952" spans="4:17" x14ac:dyDescent="0.25">
      <c r="D952" s="48"/>
      <c r="Q952" s="48"/>
    </row>
    <row r="953" spans="4:17" x14ac:dyDescent="0.25">
      <c r="D953" s="48"/>
      <c r="Q953" s="48"/>
    </row>
    <row r="954" spans="4:17" x14ac:dyDescent="0.25">
      <c r="D954" s="48"/>
      <c r="Q954" s="48"/>
    </row>
    <row r="955" spans="4:17" x14ac:dyDescent="0.25">
      <c r="D955" s="48"/>
      <c r="Q955" s="48"/>
    </row>
    <row r="957" spans="4:17" x14ac:dyDescent="0.25">
      <c r="D957" s="48"/>
      <c r="Q957" s="48"/>
    </row>
    <row r="958" spans="4:17" x14ac:dyDescent="0.25">
      <c r="D958" s="48"/>
      <c r="Q958" s="48"/>
    </row>
    <row r="960" spans="4:17" x14ac:dyDescent="0.25">
      <c r="D960" s="48"/>
      <c r="Q960" s="48"/>
    </row>
    <row r="961" spans="4:17" x14ac:dyDescent="0.25">
      <c r="D961" s="48"/>
      <c r="Q961" s="48"/>
    </row>
    <row r="964" spans="4:17" x14ac:dyDescent="0.25">
      <c r="D964" s="48"/>
      <c r="Q964" s="48"/>
    </row>
    <row r="967" spans="4:17" x14ac:dyDescent="0.25">
      <c r="D967" s="48"/>
      <c r="Q967" s="48"/>
    </row>
    <row r="970" spans="4:17" x14ac:dyDescent="0.25">
      <c r="D970" s="48"/>
      <c r="Q970" s="48"/>
    </row>
    <row r="971" spans="4:17" x14ac:dyDescent="0.25">
      <c r="Q971" s="48"/>
    </row>
    <row r="973" spans="4:17" x14ac:dyDescent="0.25">
      <c r="D973" s="48"/>
      <c r="Q973" s="48"/>
    </row>
    <row r="974" spans="4:17" x14ac:dyDescent="0.25">
      <c r="D974" s="48"/>
      <c r="Q974" s="48"/>
    </row>
    <row r="975" spans="4:17" x14ac:dyDescent="0.25">
      <c r="Q975" s="48"/>
    </row>
    <row r="976" spans="4:17" x14ac:dyDescent="0.25">
      <c r="D976" s="48"/>
      <c r="Q976" s="48"/>
    </row>
    <row r="979" spans="4:17" x14ac:dyDescent="0.25">
      <c r="D979" s="48"/>
      <c r="Q979" s="48"/>
    </row>
    <row r="980" spans="4:17" x14ac:dyDescent="0.25">
      <c r="Q980" s="48"/>
    </row>
    <row r="982" spans="4:17" x14ac:dyDescent="0.25">
      <c r="D982" s="48"/>
      <c r="Q982" s="48"/>
    </row>
    <row r="983" spans="4:17" x14ac:dyDescent="0.25">
      <c r="D983" s="48"/>
      <c r="Q983" s="48"/>
    </row>
    <row r="984" spans="4:17" x14ac:dyDescent="0.25">
      <c r="D984" s="48"/>
      <c r="Q984" s="48"/>
    </row>
    <row r="987" spans="4:17" x14ac:dyDescent="0.25">
      <c r="D987" s="48"/>
      <c r="Q987" s="48"/>
    </row>
    <row r="990" spans="4:17" x14ac:dyDescent="0.25">
      <c r="D990" s="48"/>
      <c r="Q990" s="48"/>
    </row>
    <row r="993" spans="4:17" x14ac:dyDescent="0.25">
      <c r="D993" s="48"/>
      <c r="Q993" s="48"/>
    </row>
    <row r="996" spans="4:17" x14ac:dyDescent="0.25">
      <c r="D996" s="48"/>
      <c r="Q996" s="48"/>
    </row>
    <row r="999" spans="4:17" x14ac:dyDescent="0.25">
      <c r="D999" s="48"/>
      <c r="Q999" s="48"/>
    </row>
    <row r="1000" spans="4:17" x14ac:dyDescent="0.25">
      <c r="Q1000" s="48"/>
    </row>
    <row r="1002" spans="4:17" x14ac:dyDescent="0.25">
      <c r="D1002" s="48"/>
      <c r="Q1002" s="48"/>
    </row>
    <row r="1003" spans="4:17" x14ac:dyDescent="0.25">
      <c r="D1003" s="48"/>
      <c r="Q1003" s="48"/>
    </row>
    <row r="1005" spans="4:17" x14ac:dyDescent="0.25">
      <c r="D1005" s="48"/>
      <c r="Q1005" s="48"/>
    </row>
    <row r="1006" spans="4:17" x14ac:dyDescent="0.25">
      <c r="D1006" s="48"/>
      <c r="Q1006" s="48"/>
    </row>
    <row r="1008" spans="4:17" x14ac:dyDescent="0.25">
      <c r="D1008" s="48"/>
      <c r="Q1008" s="48"/>
    </row>
    <row r="1009" spans="4:17" x14ac:dyDescent="0.25">
      <c r="D1009" s="48"/>
      <c r="Q1009" s="48"/>
    </row>
    <row r="1012" spans="4:17" x14ac:dyDescent="0.25">
      <c r="D1012" s="48"/>
      <c r="Q1012" s="48"/>
    </row>
    <row r="1015" spans="4:17" x14ac:dyDescent="0.25">
      <c r="D1015" s="48"/>
      <c r="Q1015" s="48"/>
    </row>
    <row r="1018" spans="4:17" x14ac:dyDescent="0.25">
      <c r="D1018" s="48"/>
      <c r="Q1018" s="48"/>
    </row>
    <row r="1019" spans="4:17" x14ac:dyDescent="0.25">
      <c r="D1019" s="48"/>
      <c r="Q1019" s="48"/>
    </row>
    <row r="1020" spans="4:17" x14ac:dyDescent="0.25">
      <c r="D1020" s="48"/>
      <c r="Q1020" s="48"/>
    </row>
    <row r="1021" spans="4:17" x14ac:dyDescent="0.25">
      <c r="D1021" s="48"/>
      <c r="Q1021" s="48"/>
    </row>
    <row r="1022" spans="4:17" x14ac:dyDescent="0.25">
      <c r="D1022" s="48"/>
      <c r="Q1022" s="48"/>
    </row>
    <row r="1023" spans="4:17" x14ac:dyDescent="0.25">
      <c r="D1023" s="48"/>
      <c r="Q1023" s="48"/>
    </row>
    <row r="1025" spans="4:17" x14ac:dyDescent="0.25">
      <c r="D1025" s="48"/>
      <c r="Q1025" s="48"/>
    </row>
    <row r="1026" spans="4:17" x14ac:dyDescent="0.25">
      <c r="D1026" s="48"/>
      <c r="Q1026" s="48"/>
    </row>
    <row r="1027" spans="4:17" x14ac:dyDescent="0.25">
      <c r="D1027" s="48"/>
      <c r="Q1027" s="48"/>
    </row>
    <row r="1028" spans="4:17" x14ac:dyDescent="0.25">
      <c r="D1028" s="48"/>
      <c r="Q1028" s="48"/>
    </row>
    <row r="1029" spans="4:17" x14ac:dyDescent="0.25">
      <c r="D1029" s="48"/>
      <c r="Q1029" s="48"/>
    </row>
    <row r="1030" spans="4:17" x14ac:dyDescent="0.25">
      <c r="Q1030" s="48"/>
    </row>
    <row r="1031" spans="4:17" x14ac:dyDescent="0.25">
      <c r="D1031" s="48"/>
      <c r="Q1031" s="48"/>
    </row>
    <row r="1032" spans="4:17" x14ac:dyDescent="0.25">
      <c r="Q1032" s="48"/>
    </row>
    <row r="1033" spans="4:17" x14ac:dyDescent="0.25">
      <c r="Q1033" s="48"/>
    </row>
    <row r="1034" spans="4:17" x14ac:dyDescent="0.25">
      <c r="D1034" s="48"/>
      <c r="Q1034" s="48"/>
    </row>
    <row r="1035" spans="4:17" x14ac:dyDescent="0.25">
      <c r="D1035" s="48"/>
      <c r="Q1035" s="48"/>
    </row>
    <row r="1036" spans="4:17" x14ac:dyDescent="0.25">
      <c r="Q1036" s="48"/>
    </row>
    <row r="1038" spans="4:17" x14ac:dyDescent="0.25">
      <c r="D1038" s="48"/>
      <c r="Q1038" s="48"/>
    </row>
    <row r="1039" spans="4:17" x14ac:dyDescent="0.25">
      <c r="D1039" s="48"/>
      <c r="Q1039" s="48"/>
    </row>
    <row r="1040" spans="4:17" x14ac:dyDescent="0.25">
      <c r="Q1040" s="48"/>
    </row>
    <row r="1041" spans="4:17" x14ac:dyDescent="0.25">
      <c r="D1041" s="48"/>
      <c r="Q1041" s="48"/>
    </row>
    <row r="1044" spans="4:17" x14ac:dyDescent="0.25">
      <c r="D1044" s="48"/>
      <c r="Q1044" s="48"/>
    </row>
    <row r="1045" spans="4:17" x14ac:dyDescent="0.25">
      <c r="Q1045" s="48"/>
    </row>
    <row r="1046" spans="4:17" x14ac:dyDescent="0.25">
      <c r="Q1046" s="48"/>
    </row>
    <row r="1047" spans="4:17" x14ac:dyDescent="0.25">
      <c r="D1047" s="48"/>
      <c r="Q1047" s="48"/>
    </row>
    <row r="1048" spans="4:17" x14ac:dyDescent="0.25">
      <c r="Q1048" s="48"/>
    </row>
    <row r="1049" spans="4:17" x14ac:dyDescent="0.25">
      <c r="Q1049" s="48"/>
    </row>
    <row r="1050" spans="4:17" x14ac:dyDescent="0.25">
      <c r="D1050" s="48"/>
      <c r="Q1050" s="48"/>
    </row>
    <row r="1051" spans="4:17" x14ac:dyDescent="0.25">
      <c r="D1051" s="48"/>
      <c r="Q1051" s="48"/>
    </row>
    <row r="1052" spans="4:17" x14ac:dyDescent="0.25">
      <c r="Q1052" s="48"/>
    </row>
    <row r="1053" spans="4:17" x14ac:dyDescent="0.25">
      <c r="Q1053" s="48"/>
    </row>
    <row r="1054" spans="4:17" x14ac:dyDescent="0.25">
      <c r="D1054" s="48"/>
      <c r="Q1054" s="48"/>
    </row>
    <row r="1055" spans="4:17" x14ac:dyDescent="0.25">
      <c r="Q1055" s="48"/>
    </row>
    <row r="1057" spans="4:17" x14ac:dyDescent="0.25">
      <c r="D1057" s="48"/>
      <c r="Q1057" s="48"/>
    </row>
    <row r="1058" spans="4:17" x14ac:dyDescent="0.25">
      <c r="D1058" s="48"/>
      <c r="Q1058" s="48"/>
    </row>
    <row r="1059" spans="4:17" x14ac:dyDescent="0.25">
      <c r="Q1059" s="48"/>
    </row>
    <row r="1060" spans="4:17" x14ac:dyDescent="0.25">
      <c r="Q1060" s="48"/>
    </row>
    <row r="1061" spans="4:17" x14ac:dyDescent="0.25">
      <c r="D1061" s="48"/>
      <c r="Q1061" s="48"/>
    </row>
    <row r="1062" spans="4:17" x14ac:dyDescent="0.25">
      <c r="D1062" s="48"/>
      <c r="Q1062" s="48"/>
    </row>
    <row r="1063" spans="4:17" x14ac:dyDescent="0.25">
      <c r="Q1063" s="48"/>
    </row>
    <row r="1064" spans="4:17" x14ac:dyDescent="0.25">
      <c r="Q1064" s="48"/>
    </row>
    <row r="1065" spans="4:17" x14ac:dyDescent="0.25">
      <c r="D1065" s="48"/>
      <c r="Q1065" s="48"/>
    </row>
    <row r="1067" spans="4:17" x14ac:dyDescent="0.25">
      <c r="D1067" s="48"/>
      <c r="Q1067" s="48"/>
    </row>
    <row r="1068" spans="4:17" x14ac:dyDescent="0.25">
      <c r="D1068" s="48"/>
      <c r="Q1068" s="48"/>
    </row>
    <row r="1070" spans="4:17" x14ac:dyDescent="0.25">
      <c r="D1070" s="48"/>
      <c r="Q1070" s="48"/>
    </row>
    <row r="1071" spans="4:17" x14ac:dyDescent="0.25">
      <c r="D1071" s="48"/>
      <c r="Q1071" s="48"/>
    </row>
    <row r="1073" spans="4:17" x14ac:dyDescent="0.25">
      <c r="D1073" s="48"/>
      <c r="Q1073" s="48"/>
    </row>
    <row r="1074" spans="4:17" x14ac:dyDescent="0.25">
      <c r="D1074" s="48"/>
      <c r="Q1074" s="48"/>
    </row>
    <row r="1075" spans="4:17" x14ac:dyDescent="0.25">
      <c r="D1075" s="48"/>
      <c r="Q1075" s="48"/>
    </row>
    <row r="1076" spans="4:17" x14ac:dyDescent="0.25">
      <c r="D1076" s="48"/>
      <c r="Q1076" s="48"/>
    </row>
    <row r="1077" spans="4:17" x14ac:dyDescent="0.25">
      <c r="D1077" s="48"/>
      <c r="Q1077" s="48"/>
    </row>
    <row r="1078" spans="4:17" x14ac:dyDescent="0.25">
      <c r="D1078" s="48"/>
      <c r="Q1078" s="48"/>
    </row>
    <row r="1080" spans="4:17" x14ac:dyDescent="0.25">
      <c r="D1080" s="48"/>
      <c r="Q1080" s="48"/>
    </row>
    <row r="1081" spans="4:17" x14ac:dyDescent="0.25">
      <c r="D1081" s="48"/>
      <c r="Q1081" s="48"/>
    </row>
    <row r="1082" spans="4:17" x14ac:dyDescent="0.25">
      <c r="Q1082" s="48"/>
    </row>
    <row r="1084" spans="4:17" x14ac:dyDescent="0.25">
      <c r="D1084" s="48"/>
      <c r="Q1084" s="48"/>
    </row>
    <row r="1085" spans="4:17" x14ac:dyDescent="0.25">
      <c r="D1085" s="48"/>
      <c r="Q1085" s="48"/>
    </row>
    <row r="1087" spans="4:17" x14ac:dyDescent="0.25">
      <c r="D1087" s="48"/>
      <c r="Q1087" s="48"/>
    </row>
    <row r="1088" spans="4:17" x14ac:dyDescent="0.25">
      <c r="D1088" s="48"/>
      <c r="Q1088" s="48"/>
    </row>
    <row r="1089" spans="4:17" x14ac:dyDescent="0.25">
      <c r="Q1089" s="48"/>
    </row>
    <row r="1090" spans="4:17" x14ac:dyDescent="0.25">
      <c r="D1090" s="48"/>
      <c r="Q1090" s="48"/>
    </row>
    <row r="1093" spans="4:17" x14ac:dyDescent="0.25">
      <c r="D1093" s="48"/>
      <c r="Q1093" s="48"/>
    </row>
    <row r="1094" spans="4:17" x14ac:dyDescent="0.25">
      <c r="Q1094" s="48"/>
    </row>
    <row r="1095" spans="4:17" x14ac:dyDescent="0.25">
      <c r="Q1095" s="48"/>
    </row>
    <row r="1096" spans="4:17" x14ac:dyDescent="0.25">
      <c r="D1096" s="48"/>
      <c r="Q1096" s="48"/>
    </row>
    <row r="1098" spans="4:17" x14ac:dyDescent="0.25">
      <c r="D1098" s="48"/>
      <c r="Q1098" s="48"/>
    </row>
    <row r="1099" spans="4:17" x14ac:dyDescent="0.25">
      <c r="D1099" s="48"/>
      <c r="Q1099" s="48"/>
    </row>
    <row r="1101" spans="4:17" x14ac:dyDescent="0.25">
      <c r="D1101" s="48"/>
      <c r="Q1101" s="48"/>
    </row>
    <row r="1102" spans="4:17" x14ac:dyDescent="0.25">
      <c r="D1102" s="48"/>
      <c r="Q1102" s="48"/>
    </row>
    <row r="1103" spans="4:17" x14ac:dyDescent="0.25">
      <c r="D1103" s="48"/>
      <c r="Q1103" s="48"/>
    </row>
    <row r="1105" spans="4:17" x14ac:dyDescent="0.25">
      <c r="D1105" s="48"/>
      <c r="Q1105" s="48"/>
    </row>
    <row r="1106" spans="4:17" x14ac:dyDescent="0.25">
      <c r="D1106" s="48"/>
      <c r="Q1106" s="48"/>
    </row>
    <row r="1108" spans="4:17" x14ac:dyDescent="0.25">
      <c r="D1108" s="48"/>
      <c r="Q1108" s="48"/>
    </row>
    <row r="1109" spans="4:17" x14ac:dyDescent="0.25">
      <c r="D1109" s="48"/>
      <c r="Q1109" s="48"/>
    </row>
    <row r="1112" spans="4:17" x14ac:dyDescent="0.25">
      <c r="D1112" s="48"/>
      <c r="Q1112" s="48"/>
    </row>
    <row r="1115" spans="4:17" x14ac:dyDescent="0.25">
      <c r="D1115" s="48"/>
      <c r="Q1115" s="48"/>
    </row>
    <row r="1118" spans="4:17" x14ac:dyDescent="0.25">
      <c r="D1118" s="48"/>
      <c r="Q1118" s="48"/>
    </row>
    <row r="1121" spans="4:17" x14ac:dyDescent="0.25">
      <c r="D1121" s="48"/>
      <c r="Q1121" s="48"/>
    </row>
    <row r="1124" spans="4:17" x14ac:dyDescent="0.25">
      <c r="D1124" s="48"/>
      <c r="Q1124" s="48"/>
    </row>
    <row r="1125" spans="4:17" x14ac:dyDescent="0.25">
      <c r="D1125" s="48"/>
      <c r="Q1125" s="48"/>
    </row>
    <row r="1126" spans="4:17" x14ac:dyDescent="0.25">
      <c r="D1126" s="48"/>
      <c r="Q1126" s="48"/>
    </row>
    <row r="1127" spans="4:17" x14ac:dyDescent="0.25">
      <c r="D1127" s="48"/>
      <c r="Q1127" s="48"/>
    </row>
    <row r="1128" spans="4:17" x14ac:dyDescent="0.25">
      <c r="D1128" s="48"/>
      <c r="Q1128" s="48"/>
    </row>
    <row r="1129" spans="4:17" x14ac:dyDescent="0.25">
      <c r="Q1129" s="48"/>
    </row>
    <row r="1130" spans="4:17" x14ac:dyDescent="0.25">
      <c r="D1130" s="48"/>
      <c r="Q1130" s="48"/>
    </row>
    <row r="1131" spans="4:17" x14ac:dyDescent="0.25">
      <c r="D1131" s="48"/>
      <c r="Q1131" s="48"/>
    </row>
    <row r="1132" spans="4:17" x14ac:dyDescent="0.25">
      <c r="D1132" s="48"/>
      <c r="Q1132" s="48"/>
    </row>
    <row r="1133" spans="4:17" x14ac:dyDescent="0.25">
      <c r="D1133" s="48"/>
      <c r="Q1133" s="48"/>
    </row>
    <row r="1136" spans="4:17" x14ac:dyDescent="0.25">
      <c r="D1136" s="48"/>
      <c r="Q1136" s="48"/>
    </row>
    <row r="1137" spans="4:17" x14ac:dyDescent="0.25">
      <c r="D1137" s="48"/>
      <c r="Q1137" s="48"/>
    </row>
    <row r="1138" spans="4:17" x14ac:dyDescent="0.25">
      <c r="D1138" s="48"/>
      <c r="Q1138" s="48"/>
    </row>
    <row r="1139" spans="4:17" x14ac:dyDescent="0.25">
      <c r="D1139" s="48"/>
      <c r="Q1139" s="48"/>
    </row>
    <row r="1142" spans="4:17" x14ac:dyDescent="0.25">
      <c r="D1142" s="48"/>
      <c r="Q1142" s="48"/>
    </row>
    <row r="1143" spans="4:17" x14ac:dyDescent="0.25">
      <c r="D1143" s="48"/>
      <c r="Q1143" s="48"/>
    </row>
    <row r="1144" spans="4:17" x14ac:dyDescent="0.25">
      <c r="D1144" s="48"/>
      <c r="Q1144" s="48"/>
    </row>
    <row r="1147" spans="4:17" x14ac:dyDescent="0.25">
      <c r="D1147" s="48"/>
      <c r="Q1147" s="48"/>
    </row>
    <row r="1148" spans="4:17" x14ac:dyDescent="0.25">
      <c r="Q1148" s="48"/>
    </row>
    <row r="1150" spans="4:17" x14ac:dyDescent="0.25">
      <c r="D1150" s="48"/>
      <c r="Q1150" s="48"/>
    </row>
    <row r="1151" spans="4:17" x14ac:dyDescent="0.25">
      <c r="D1151" s="48"/>
      <c r="Q1151" s="48"/>
    </row>
    <row r="1153" spans="4:17" x14ac:dyDescent="0.25">
      <c r="D1153" s="48"/>
      <c r="Q1153" s="48"/>
    </row>
    <row r="1154" spans="4:17" x14ac:dyDescent="0.25">
      <c r="D1154" s="48"/>
      <c r="Q1154" s="48"/>
    </row>
    <row r="1155" spans="4:17" x14ac:dyDescent="0.25">
      <c r="Q1155" s="48"/>
    </row>
    <row r="1156" spans="4:17" x14ac:dyDescent="0.25">
      <c r="D1156" s="48"/>
      <c r="Q1156" s="48"/>
    </row>
    <row r="1157" spans="4:17" x14ac:dyDescent="0.25">
      <c r="D1157" s="48"/>
      <c r="Q1157" s="48"/>
    </row>
    <row r="1158" spans="4:17" x14ac:dyDescent="0.25">
      <c r="D1158" s="48"/>
      <c r="Q1158" s="48"/>
    </row>
    <row r="1159" spans="4:17" x14ac:dyDescent="0.25">
      <c r="D1159" s="48"/>
      <c r="Q1159" s="48"/>
    </row>
    <row r="1161" spans="4:17" x14ac:dyDescent="0.25">
      <c r="D1161" s="48"/>
      <c r="Q1161" s="48"/>
    </row>
    <row r="1162" spans="4:17" x14ac:dyDescent="0.25">
      <c r="D1162" s="48"/>
      <c r="Q1162" s="48"/>
    </row>
    <row r="1163" spans="4:17" x14ac:dyDescent="0.25">
      <c r="D1163" s="48"/>
      <c r="Q1163" s="48"/>
    </row>
    <row r="1165" spans="4:17" x14ac:dyDescent="0.25">
      <c r="D1165" s="48"/>
      <c r="Q1165" s="48"/>
    </row>
    <row r="1166" spans="4:17" x14ac:dyDescent="0.25">
      <c r="D1166" s="48"/>
      <c r="Q1166" s="48"/>
    </row>
    <row r="1167" spans="4:17" x14ac:dyDescent="0.25">
      <c r="D1167" s="48"/>
      <c r="Q1167" s="48"/>
    </row>
    <row r="1168" spans="4:17" x14ac:dyDescent="0.25">
      <c r="D1168" s="48"/>
      <c r="Q1168" s="48"/>
    </row>
    <row r="1169" spans="4:17" x14ac:dyDescent="0.25">
      <c r="D1169" s="48"/>
      <c r="Q1169" s="48"/>
    </row>
    <row r="1170" spans="4:17" x14ac:dyDescent="0.25">
      <c r="D1170" s="48"/>
      <c r="Q1170" s="48"/>
    </row>
    <row r="1171" spans="4:17" x14ac:dyDescent="0.25">
      <c r="D1171" s="48"/>
      <c r="Q1171" s="48"/>
    </row>
    <row r="1173" spans="4:17" x14ac:dyDescent="0.25">
      <c r="D1173" s="48"/>
      <c r="Q1173" s="48"/>
    </row>
    <row r="1174" spans="4:17" x14ac:dyDescent="0.25">
      <c r="D1174" s="48"/>
      <c r="Q1174" s="48"/>
    </row>
    <row r="1176" spans="4:17" x14ac:dyDescent="0.25">
      <c r="D1176" s="48"/>
      <c r="Q1176" s="48"/>
    </row>
    <row r="1177" spans="4:17" x14ac:dyDescent="0.25">
      <c r="D1177" s="48"/>
      <c r="Q1177" s="48"/>
    </row>
    <row r="1179" spans="4:17" x14ac:dyDescent="0.25">
      <c r="D1179" s="48"/>
      <c r="Q1179" s="48"/>
    </row>
    <row r="1180" spans="4:17" x14ac:dyDescent="0.25">
      <c r="D1180" s="48"/>
      <c r="Q1180" s="48"/>
    </row>
    <row r="1182" spans="4:17" x14ac:dyDescent="0.25">
      <c r="D1182" s="48"/>
      <c r="Q1182" s="48"/>
    </row>
    <row r="1183" spans="4:17" x14ac:dyDescent="0.25">
      <c r="D1183" s="48"/>
      <c r="Q1183" s="48"/>
    </row>
    <row r="1185" spans="4:17" x14ac:dyDescent="0.25">
      <c r="D1185" s="48"/>
      <c r="Q1185" s="48"/>
    </row>
    <row r="1186" spans="4:17" x14ac:dyDescent="0.25">
      <c r="D1186" s="48"/>
      <c r="Q1186" s="48"/>
    </row>
    <row r="1188" spans="4:17" x14ac:dyDescent="0.25">
      <c r="D1188" s="48"/>
      <c r="Q1188" s="48"/>
    </row>
    <row r="1189" spans="4:17" x14ac:dyDescent="0.25">
      <c r="D1189" s="48"/>
      <c r="Q1189" s="48"/>
    </row>
    <row r="1191" spans="4:17" x14ac:dyDescent="0.25">
      <c r="D1191" s="48"/>
      <c r="Q1191" s="48"/>
    </row>
    <row r="1192" spans="4:17" x14ac:dyDescent="0.25">
      <c r="D1192" s="48"/>
      <c r="Q1192" s="48"/>
    </row>
    <row r="1194" spans="4:17" x14ac:dyDescent="0.25">
      <c r="D1194" s="48"/>
      <c r="Q1194" s="48"/>
    </row>
    <row r="1195" spans="4:17" x14ac:dyDescent="0.25">
      <c r="D1195" s="48"/>
      <c r="Q1195" s="48"/>
    </row>
    <row r="1197" spans="4:17" x14ac:dyDescent="0.25">
      <c r="D1197" s="48"/>
      <c r="Q1197" s="48"/>
    </row>
    <row r="1198" spans="4:17" x14ac:dyDescent="0.25">
      <c r="D1198" s="48"/>
      <c r="Q1198" s="48"/>
    </row>
    <row r="1200" spans="4:17" x14ac:dyDescent="0.25">
      <c r="D1200" s="48"/>
      <c r="Q1200" s="48"/>
    </row>
    <row r="1201" spans="4:17" x14ac:dyDescent="0.25">
      <c r="D1201" s="48"/>
      <c r="Q1201" s="48"/>
    </row>
    <row r="1203" spans="4:17" x14ac:dyDescent="0.25">
      <c r="D1203" s="48"/>
      <c r="Q1203" s="48"/>
    </row>
    <row r="1204" spans="4:17" x14ac:dyDescent="0.25">
      <c r="D1204" s="48"/>
      <c r="Q1204" s="48"/>
    </row>
    <row r="1206" spans="4:17" x14ac:dyDescent="0.25">
      <c r="D1206" s="48"/>
      <c r="Q1206" s="48"/>
    </row>
    <row r="1207" spans="4:17" x14ac:dyDescent="0.25">
      <c r="D1207" s="48"/>
      <c r="Q1207" s="48"/>
    </row>
    <row r="1209" spans="4:17" x14ac:dyDescent="0.25">
      <c r="D1209" s="48"/>
      <c r="Q1209" s="48"/>
    </row>
    <row r="1210" spans="4:17" x14ac:dyDescent="0.25">
      <c r="D1210" s="48"/>
      <c r="Q1210" s="48"/>
    </row>
    <row r="1212" spans="4:17" x14ac:dyDescent="0.25">
      <c r="D1212" s="48"/>
      <c r="Q1212" s="48"/>
    </row>
    <row r="1213" spans="4:17" x14ac:dyDescent="0.25">
      <c r="D1213" s="48"/>
      <c r="Q1213" s="48"/>
    </row>
    <row r="1214" spans="4:17" x14ac:dyDescent="0.25">
      <c r="Q1214" s="48"/>
    </row>
    <row r="1215" spans="4:17" x14ac:dyDescent="0.25">
      <c r="D1215" s="48"/>
      <c r="Q1215" s="48"/>
    </row>
    <row r="1218" spans="4:17" x14ac:dyDescent="0.25">
      <c r="D1218" s="48"/>
      <c r="Q1218" s="48"/>
    </row>
    <row r="1219" spans="4:17" x14ac:dyDescent="0.25">
      <c r="D1219" s="48"/>
      <c r="Q1219" s="48"/>
    </row>
    <row r="1220" spans="4:17" x14ac:dyDescent="0.25">
      <c r="D1220" s="48"/>
      <c r="Q1220" s="48"/>
    </row>
    <row r="1221" spans="4:17" x14ac:dyDescent="0.25">
      <c r="D1221" s="48"/>
      <c r="Q1221" s="48"/>
    </row>
    <row r="1222" spans="4:17" x14ac:dyDescent="0.25">
      <c r="D1222" s="48"/>
      <c r="Q1222" s="48"/>
    </row>
    <row r="1223" spans="4:17" x14ac:dyDescent="0.25">
      <c r="Q1223" s="48"/>
    </row>
    <row r="1224" spans="4:17" x14ac:dyDescent="0.25">
      <c r="D1224" s="48"/>
      <c r="Q1224" s="48"/>
    </row>
    <row r="1225" spans="4:17" x14ac:dyDescent="0.25">
      <c r="D1225" s="48"/>
      <c r="Q1225" s="48"/>
    </row>
    <row r="1226" spans="4:17" x14ac:dyDescent="0.25">
      <c r="D1226" s="48"/>
      <c r="Q1226" s="48"/>
    </row>
    <row r="1228" spans="4:17" x14ac:dyDescent="0.25">
      <c r="D1228" s="48"/>
      <c r="Q1228" s="48"/>
    </row>
    <row r="1229" spans="4:17" x14ac:dyDescent="0.25">
      <c r="D1229" s="48"/>
      <c r="Q1229" s="48"/>
    </row>
    <row r="1230" spans="4:17" x14ac:dyDescent="0.25">
      <c r="D1230" s="48"/>
      <c r="Q1230" s="48"/>
    </row>
    <row r="1231" spans="4:17" x14ac:dyDescent="0.25">
      <c r="D1231" s="48"/>
      <c r="Q1231" s="48"/>
    </row>
    <row r="1232" spans="4:17" x14ac:dyDescent="0.25">
      <c r="D1232" s="48"/>
      <c r="Q1232" s="48"/>
    </row>
    <row r="1233" spans="4:17" x14ac:dyDescent="0.25">
      <c r="D1233" s="48"/>
      <c r="Q1233" s="48"/>
    </row>
    <row r="1234" spans="4:17" x14ac:dyDescent="0.25">
      <c r="D1234" s="48"/>
      <c r="Q1234" s="48"/>
    </row>
    <row r="1235" spans="4:17" x14ac:dyDescent="0.25">
      <c r="Q1235" s="48"/>
    </row>
    <row r="1236" spans="4:17" x14ac:dyDescent="0.25">
      <c r="D1236" s="48"/>
      <c r="Q1236" s="48"/>
    </row>
    <row r="1237" spans="4:17" x14ac:dyDescent="0.25">
      <c r="D1237" s="48"/>
      <c r="Q1237" s="48"/>
    </row>
    <row r="1238" spans="4:17" x14ac:dyDescent="0.25">
      <c r="D1238" s="48"/>
      <c r="Q1238" s="48"/>
    </row>
    <row r="1239" spans="4:17" x14ac:dyDescent="0.25">
      <c r="D1239" s="48"/>
      <c r="Q1239" s="48"/>
    </row>
    <row r="1240" spans="4:17" x14ac:dyDescent="0.25">
      <c r="D1240" s="48"/>
      <c r="Q1240" s="48"/>
    </row>
    <row r="1241" spans="4:17" x14ac:dyDescent="0.25">
      <c r="Q1241" s="48"/>
    </row>
    <row r="1242" spans="4:17" x14ac:dyDescent="0.25">
      <c r="Q1242" s="48"/>
    </row>
    <row r="1243" spans="4:17" x14ac:dyDescent="0.25">
      <c r="D1243" s="48"/>
      <c r="Q1243" s="48"/>
    </row>
    <row r="1246" spans="4:17" x14ac:dyDescent="0.25">
      <c r="D1246" s="48"/>
      <c r="Q1246" s="48"/>
    </row>
    <row r="1247" spans="4:17" x14ac:dyDescent="0.25">
      <c r="Q1247" s="48"/>
    </row>
    <row r="1248" spans="4:17" x14ac:dyDescent="0.25">
      <c r="Q1248" s="48"/>
    </row>
    <row r="1249" spans="4:17" x14ac:dyDescent="0.25">
      <c r="D1249" s="48"/>
      <c r="Q1249" s="48"/>
    </row>
    <row r="1250" spans="4:17" x14ac:dyDescent="0.25">
      <c r="D1250" s="48"/>
      <c r="Q1250" s="48"/>
    </row>
    <row r="1251" spans="4:17" x14ac:dyDescent="0.25">
      <c r="D1251" s="48"/>
      <c r="Q1251" s="48"/>
    </row>
    <row r="1252" spans="4:17" x14ac:dyDescent="0.25">
      <c r="D1252" s="48"/>
      <c r="Q1252" s="48"/>
    </row>
    <row r="1253" spans="4:17" x14ac:dyDescent="0.25">
      <c r="D1253" s="48"/>
      <c r="Q1253" s="48"/>
    </row>
    <row r="1254" spans="4:17" x14ac:dyDescent="0.25">
      <c r="D1254" s="48"/>
      <c r="Q1254" s="48"/>
    </row>
    <row r="1257" spans="4:17" x14ac:dyDescent="0.25">
      <c r="D1257" s="48"/>
      <c r="Q1257" s="48"/>
    </row>
    <row r="1258" spans="4:17" x14ac:dyDescent="0.25">
      <c r="D1258" s="48"/>
      <c r="Q1258" s="48"/>
    </row>
    <row r="1259" spans="4:17" x14ac:dyDescent="0.25">
      <c r="D1259" s="48"/>
      <c r="Q1259" s="48"/>
    </row>
    <row r="1260" spans="4:17" x14ac:dyDescent="0.25">
      <c r="D1260" s="48"/>
      <c r="Q1260" s="48"/>
    </row>
    <row r="1261" spans="4:17" x14ac:dyDescent="0.25">
      <c r="D1261" s="48"/>
      <c r="Q1261" s="48"/>
    </row>
    <row r="1263" spans="4:17" x14ac:dyDescent="0.25">
      <c r="D1263" s="48"/>
      <c r="Q1263" s="48"/>
    </row>
    <row r="1264" spans="4:17" x14ac:dyDescent="0.25">
      <c r="D1264" s="48"/>
      <c r="Q1264" s="48"/>
    </row>
    <row r="1265" spans="4:17" x14ac:dyDescent="0.25">
      <c r="D1265" s="48"/>
      <c r="Q1265" s="48"/>
    </row>
    <row r="1267" spans="4:17" x14ac:dyDescent="0.25">
      <c r="D1267" s="48"/>
      <c r="Q1267" s="48"/>
    </row>
    <row r="1268" spans="4:17" x14ac:dyDescent="0.25">
      <c r="D1268" s="48"/>
      <c r="Q1268" s="48"/>
    </row>
    <row r="1269" spans="4:17" x14ac:dyDescent="0.25">
      <c r="D1269" s="48"/>
      <c r="Q1269" s="48"/>
    </row>
    <row r="1270" spans="4:17" x14ac:dyDescent="0.25">
      <c r="D1270" s="48"/>
      <c r="Q1270" s="48"/>
    </row>
    <row r="1273" spans="4:17" x14ac:dyDescent="0.25">
      <c r="D1273" s="48"/>
      <c r="Q1273" s="48"/>
    </row>
    <row r="1274" spans="4:17" x14ac:dyDescent="0.25">
      <c r="D1274" s="48"/>
      <c r="Q1274" s="48"/>
    </row>
    <row r="1277" spans="4:17" x14ac:dyDescent="0.25">
      <c r="D1277" s="48"/>
      <c r="Q1277" s="48"/>
    </row>
    <row r="1280" spans="4:17" x14ac:dyDescent="0.25">
      <c r="D1280" s="48"/>
      <c r="Q1280" s="48"/>
    </row>
    <row r="1281" spans="4:17" x14ac:dyDescent="0.25">
      <c r="D1281" s="48"/>
      <c r="Q1281" s="48"/>
    </row>
    <row r="1282" spans="4:17" x14ac:dyDescent="0.25">
      <c r="D1282" s="48"/>
      <c r="Q1282" s="48"/>
    </row>
    <row r="1283" spans="4:17" x14ac:dyDescent="0.25">
      <c r="D1283" s="48"/>
      <c r="Q1283" s="48"/>
    </row>
    <row r="1285" spans="4:17" x14ac:dyDescent="0.25">
      <c r="D1285" s="48"/>
      <c r="Q1285" s="48"/>
    </row>
    <row r="1286" spans="4:17" x14ac:dyDescent="0.25">
      <c r="D1286" s="48"/>
      <c r="Q1286" s="48"/>
    </row>
    <row r="1288" spans="4:17" x14ac:dyDescent="0.25">
      <c r="D1288" s="48"/>
      <c r="Q1288" s="48"/>
    </row>
    <row r="1289" spans="4:17" x14ac:dyDescent="0.25">
      <c r="D1289" s="48"/>
      <c r="Q1289" s="48"/>
    </row>
    <row r="1290" spans="4:17" x14ac:dyDescent="0.25">
      <c r="Q1290" s="48"/>
    </row>
    <row r="1291" spans="4:17" x14ac:dyDescent="0.25">
      <c r="D1291" s="48"/>
      <c r="Q1291" s="48"/>
    </row>
    <row r="1293" spans="4:17" x14ac:dyDescent="0.25">
      <c r="D1293" s="48"/>
      <c r="Q1293" s="48"/>
    </row>
    <row r="1294" spans="4:17" x14ac:dyDescent="0.25">
      <c r="D1294" s="48"/>
      <c r="Q1294" s="48"/>
    </row>
    <row r="1297" spans="4:17" x14ac:dyDescent="0.25">
      <c r="D1297" s="48"/>
      <c r="Q1297" s="48"/>
    </row>
    <row r="1300" spans="4:17" x14ac:dyDescent="0.25">
      <c r="D1300" s="48"/>
      <c r="Q1300" s="48"/>
    </row>
    <row r="1301" spans="4:17" x14ac:dyDescent="0.25">
      <c r="Q1301" s="48"/>
    </row>
    <row r="1303" spans="4:17" x14ac:dyDescent="0.25">
      <c r="D1303" s="48"/>
      <c r="Q1303" s="48"/>
    </row>
    <row r="1304" spans="4:17" x14ac:dyDescent="0.25">
      <c r="D1304" s="48"/>
      <c r="Q1304" s="48"/>
    </row>
    <row r="1305" spans="4:17" x14ac:dyDescent="0.25">
      <c r="Q1305" s="48"/>
    </row>
    <row r="1306" spans="4:17" x14ac:dyDescent="0.25">
      <c r="D1306" s="48"/>
      <c r="Q1306" s="48"/>
    </row>
    <row r="1307" spans="4:17" x14ac:dyDescent="0.25">
      <c r="Q1307" s="48"/>
    </row>
    <row r="1309" spans="4:17" x14ac:dyDescent="0.25">
      <c r="D1309" s="48"/>
      <c r="Q1309" s="48"/>
    </row>
    <row r="1310" spans="4:17" x14ac:dyDescent="0.25">
      <c r="D1310" s="48"/>
      <c r="Q1310" s="48"/>
    </row>
    <row r="1311" spans="4:17" x14ac:dyDescent="0.25">
      <c r="Q1311" s="48"/>
    </row>
    <row r="1312" spans="4:17" x14ac:dyDescent="0.25">
      <c r="D1312" s="48"/>
      <c r="Q1312" s="48"/>
    </row>
    <row r="1313" spans="4:17" x14ac:dyDescent="0.25">
      <c r="Q1313" s="48"/>
    </row>
    <row r="1315" spans="4:17" x14ac:dyDescent="0.25">
      <c r="D1315" s="48"/>
      <c r="Q1315" s="48"/>
    </row>
    <row r="1316" spans="4:17" x14ac:dyDescent="0.25">
      <c r="D1316" s="48"/>
      <c r="Q1316" s="48"/>
    </row>
    <row r="1317" spans="4:17" x14ac:dyDescent="0.25">
      <c r="Q1317" s="48"/>
    </row>
    <row r="1318" spans="4:17" x14ac:dyDescent="0.25">
      <c r="D1318" s="48"/>
      <c r="Q1318" s="48"/>
    </row>
    <row r="1319" spans="4:17" x14ac:dyDescent="0.25">
      <c r="Q1319" s="48"/>
    </row>
    <row r="1321" spans="4:17" x14ac:dyDescent="0.25">
      <c r="D1321" s="48"/>
      <c r="Q1321" s="48"/>
    </row>
    <row r="1322" spans="4:17" x14ac:dyDescent="0.25">
      <c r="D1322" s="48"/>
      <c r="Q1322" s="48"/>
    </row>
    <row r="1323" spans="4:17" x14ac:dyDescent="0.25">
      <c r="Q1323" s="48"/>
    </row>
    <row r="1324" spans="4:17" x14ac:dyDescent="0.25">
      <c r="D1324" s="48"/>
      <c r="Q1324" s="48"/>
    </row>
    <row r="1325" spans="4:17" x14ac:dyDescent="0.25">
      <c r="Q1325" s="48"/>
    </row>
    <row r="1327" spans="4:17" x14ac:dyDescent="0.25">
      <c r="D1327" s="48"/>
      <c r="Q1327" s="48"/>
    </row>
    <row r="1328" spans="4:17" x14ac:dyDescent="0.25">
      <c r="D1328" s="48"/>
      <c r="Q1328" s="48"/>
    </row>
    <row r="1330" spans="4:17" x14ac:dyDescent="0.25">
      <c r="D1330" s="48"/>
      <c r="Q1330" s="48"/>
    </row>
    <row r="1331" spans="4:17" x14ac:dyDescent="0.25">
      <c r="D1331" s="48"/>
      <c r="Q1331" s="48"/>
    </row>
    <row r="1333" spans="4:17" x14ac:dyDescent="0.25">
      <c r="D1333" s="48"/>
      <c r="Q1333" s="48"/>
    </row>
    <row r="1334" spans="4:17" x14ac:dyDescent="0.25">
      <c r="D1334" s="48"/>
      <c r="Q1334" s="48"/>
    </row>
    <row r="1336" spans="4:17" x14ac:dyDescent="0.25">
      <c r="D1336" s="48"/>
      <c r="Q1336" s="48"/>
    </row>
    <row r="1337" spans="4:17" x14ac:dyDescent="0.25">
      <c r="D1337" s="48"/>
      <c r="Q1337" s="48"/>
    </row>
    <row r="1339" spans="4:17" x14ac:dyDescent="0.25">
      <c r="D1339" s="48"/>
      <c r="Q1339" s="48"/>
    </row>
    <row r="1340" spans="4:17" x14ac:dyDescent="0.25">
      <c r="D1340" s="48"/>
      <c r="Q1340" s="48"/>
    </row>
    <row r="1342" spans="4:17" x14ac:dyDescent="0.25">
      <c r="D1342" s="48"/>
      <c r="Q1342" s="48"/>
    </row>
    <row r="1343" spans="4:17" x14ac:dyDescent="0.25">
      <c r="D1343" s="48"/>
      <c r="Q1343" s="48"/>
    </row>
    <row r="1345" spans="4:17" x14ac:dyDescent="0.25">
      <c r="D1345" s="48"/>
      <c r="Q1345" s="48"/>
    </row>
    <row r="1346" spans="4:17" x14ac:dyDescent="0.25">
      <c r="D1346" s="48"/>
      <c r="Q1346" s="48"/>
    </row>
    <row r="1348" spans="4:17" x14ac:dyDescent="0.25">
      <c r="D1348" s="48"/>
      <c r="Q1348" s="48"/>
    </row>
    <row r="1349" spans="4:17" x14ac:dyDescent="0.25">
      <c r="D1349" s="48"/>
      <c r="Q1349" s="48"/>
    </row>
    <row r="1351" spans="4:17" x14ac:dyDescent="0.25">
      <c r="D1351" s="48"/>
      <c r="Q1351" s="48"/>
    </row>
    <row r="1352" spans="4:17" x14ac:dyDescent="0.25">
      <c r="D1352" s="48"/>
      <c r="Q1352" s="48"/>
    </row>
    <row r="1354" spans="4:17" x14ac:dyDescent="0.25">
      <c r="D1354" s="48"/>
      <c r="Q1354" s="48"/>
    </row>
    <row r="1355" spans="4:17" x14ac:dyDescent="0.25">
      <c r="D1355" s="48"/>
      <c r="Q1355" s="48"/>
    </row>
    <row r="1357" spans="4:17" x14ac:dyDescent="0.25">
      <c r="D1357" s="48"/>
      <c r="Q1357" s="48"/>
    </row>
    <row r="1358" spans="4:17" x14ac:dyDescent="0.25">
      <c r="D1358" s="48"/>
      <c r="Q1358" s="48"/>
    </row>
    <row r="1360" spans="4:17" x14ac:dyDescent="0.25">
      <c r="D1360" s="48"/>
      <c r="Q1360" s="48"/>
    </row>
    <row r="1361" spans="4:17" x14ac:dyDescent="0.25">
      <c r="D1361" s="48"/>
      <c r="Q1361" s="48"/>
    </row>
    <row r="1363" spans="4:17" x14ac:dyDescent="0.25">
      <c r="D1363" s="48"/>
      <c r="Q1363" s="48"/>
    </row>
    <row r="1364" spans="4:17" x14ac:dyDescent="0.25">
      <c r="D1364" s="48"/>
      <c r="Q1364" s="48"/>
    </row>
    <row r="1365" spans="4:17" x14ac:dyDescent="0.25">
      <c r="Q1365" s="48"/>
    </row>
    <row r="1366" spans="4:17" x14ac:dyDescent="0.25">
      <c r="D1366" s="48"/>
      <c r="Q1366" s="48"/>
    </row>
    <row r="1368" spans="4:17" x14ac:dyDescent="0.25">
      <c r="D1368" s="48"/>
      <c r="Q1368" s="48"/>
    </row>
    <row r="1369" spans="4:17" x14ac:dyDescent="0.25">
      <c r="D1369" s="48"/>
      <c r="Q1369" s="48"/>
    </row>
    <row r="1372" spans="4:17" x14ac:dyDescent="0.25">
      <c r="D1372" s="48"/>
      <c r="Q1372" s="48"/>
    </row>
    <row r="1375" spans="4:17" x14ac:dyDescent="0.25">
      <c r="D1375" s="48"/>
      <c r="Q1375" s="48"/>
    </row>
    <row r="1376" spans="4:17" x14ac:dyDescent="0.25">
      <c r="D1376" s="48"/>
      <c r="Q1376" s="48"/>
    </row>
    <row r="1377" spans="4:17" x14ac:dyDescent="0.25">
      <c r="Q1377" s="48"/>
    </row>
    <row r="1379" spans="4:17" x14ac:dyDescent="0.25">
      <c r="D1379" s="48"/>
      <c r="Q1379" s="48"/>
    </row>
    <row r="1380" spans="4:17" x14ac:dyDescent="0.25">
      <c r="D1380" s="48"/>
      <c r="Q1380" s="48"/>
    </row>
    <row r="1383" spans="4:17" x14ac:dyDescent="0.25">
      <c r="D1383" s="48"/>
      <c r="Q1383" s="48"/>
    </row>
    <row r="1384" spans="4:17" x14ac:dyDescent="0.25">
      <c r="D1384" s="48"/>
      <c r="Q1384" s="48"/>
    </row>
    <row r="1386" spans="4:17" x14ac:dyDescent="0.25">
      <c r="D1386" s="48"/>
      <c r="Q1386" s="48"/>
    </row>
    <row r="1387" spans="4:17" x14ac:dyDescent="0.25">
      <c r="D1387" s="48"/>
      <c r="Q1387" s="48"/>
    </row>
    <row r="1389" spans="4:17" x14ac:dyDescent="0.25">
      <c r="D1389" s="48"/>
      <c r="Q1389" s="48"/>
    </row>
    <row r="1390" spans="4:17" x14ac:dyDescent="0.25">
      <c r="D1390" s="48"/>
      <c r="Q1390" s="48"/>
    </row>
    <row r="1392" spans="4:17" x14ac:dyDescent="0.25">
      <c r="D1392" s="48"/>
      <c r="Q1392" s="48"/>
    </row>
    <row r="1393" spans="4:17" x14ac:dyDescent="0.25">
      <c r="D1393" s="48"/>
      <c r="Q1393" s="48"/>
    </row>
    <row r="1396" spans="4:17" x14ac:dyDescent="0.25">
      <c r="D1396" s="48"/>
      <c r="Q1396" s="48"/>
    </row>
    <row r="1399" spans="4:17" x14ac:dyDescent="0.25">
      <c r="D1399" s="48"/>
      <c r="Q1399" s="48"/>
    </row>
    <row r="1400" spans="4:17" x14ac:dyDescent="0.25">
      <c r="D1400" s="48"/>
      <c r="Q1400" s="48"/>
    </row>
    <row r="1402" spans="4:17" x14ac:dyDescent="0.25">
      <c r="D1402" s="48"/>
      <c r="Q1402" s="48"/>
    </row>
    <row r="1403" spans="4:17" x14ac:dyDescent="0.25">
      <c r="D1403" s="48"/>
      <c r="Q1403" s="48"/>
    </row>
    <row r="1406" spans="4:17" x14ac:dyDescent="0.25">
      <c r="D1406" s="48"/>
      <c r="Q1406" s="48"/>
    </row>
    <row r="1409" spans="4:17" x14ac:dyDescent="0.25">
      <c r="D1409" s="48"/>
      <c r="Q1409" s="48"/>
    </row>
    <row r="1412" spans="4:17" x14ac:dyDescent="0.25">
      <c r="D1412" s="48"/>
      <c r="Q1412" s="48"/>
    </row>
    <row r="1413" spans="4:17" x14ac:dyDescent="0.25">
      <c r="D1413" s="48"/>
      <c r="Q1413" s="48"/>
    </row>
    <row r="1414" spans="4:17" x14ac:dyDescent="0.25">
      <c r="D1414" s="48"/>
      <c r="Q1414" s="48"/>
    </row>
    <row r="1416" spans="4:17" x14ac:dyDescent="0.25">
      <c r="D1416" s="48"/>
      <c r="Q1416" s="48"/>
    </row>
    <row r="1417" spans="4:17" x14ac:dyDescent="0.25">
      <c r="D1417" s="48"/>
      <c r="Q1417" s="48"/>
    </row>
    <row r="1418" spans="4:17" x14ac:dyDescent="0.25">
      <c r="D1418" s="48"/>
      <c r="Q1418" s="48"/>
    </row>
    <row r="1419" spans="4:17" x14ac:dyDescent="0.25">
      <c r="D1419" s="48"/>
      <c r="Q1419" s="48"/>
    </row>
    <row r="1420" spans="4:17" x14ac:dyDescent="0.25">
      <c r="D1420" s="48"/>
      <c r="Q1420" s="48"/>
    </row>
    <row r="1422" spans="4:17" x14ac:dyDescent="0.25">
      <c r="D1422" s="48"/>
      <c r="Q1422" s="48"/>
    </row>
    <row r="1423" spans="4:17" x14ac:dyDescent="0.25">
      <c r="D1423" s="48"/>
      <c r="Q1423" s="48"/>
    </row>
    <row r="1424" spans="4:17" x14ac:dyDescent="0.25">
      <c r="D1424" s="48"/>
      <c r="Q1424" s="48"/>
    </row>
    <row r="1425" spans="4:17" x14ac:dyDescent="0.25">
      <c r="D1425" s="48"/>
      <c r="Q1425" s="48"/>
    </row>
    <row r="1426" spans="4:17" x14ac:dyDescent="0.25">
      <c r="D1426" s="48"/>
      <c r="Q1426" s="48"/>
    </row>
    <row r="1427" spans="4:17" x14ac:dyDescent="0.25">
      <c r="D1427" s="48"/>
      <c r="Q1427" s="48"/>
    </row>
    <row r="1428" spans="4:17" x14ac:dyDescent="0.25">
      <c r="D1428" s="48"/>
      <c r="Q1428" s="48"/>
    </row>
    <row r="1431" spans="4:17" x14ac:dyDescent="0.25">
      <c r="D1431" s="48"/>
      <c r="Q1431" s="48"/>
    </row>
    <row r="1434" spans="4:17" x14ac:dyDescent="0.25">
      <c r="D1434" s="48"/>
      <c r="Q1434" s="48"/>
    </row>
    <row r="1437" spans="4:17" x14ac:dyDescent="0.25">
      <c r="D1437" s="48"/>
      <c r="Q1437" s="48"/>
    </row>
    <row r="1440" spans="4:17" x14ac:dyDescent="0.25">
      <c r="D1440" s="48"/>
      <c r="Q1440" s="48"/>
    </row>
    <row r="1443" spans="4:17" x14ac:dyDescent="0.25">
      <c r="D1443" s="48"/>
      <c r="Q1443" s="48"/>
    </row>
    <row r="1446" spans="4:17" x14ac:dyDescent="0.25">
      <c r="D1446" s="48"/>
      <c r="Q1446" s="48"/>
    </row>
    <row r="1447" spans="4:17" x14ac:dyDescent="0.25">
      <c r="D1447" s="48"/>
      <c r="Q1447" s="48"/>
    </row>
    <row r="1449" spans="4:17" x14ac:dyDescent="0.25">
      <c r="D1449" s="48"/>
      <c r="Q1449" s="48"/>
    </row>
    <row r="1450" spans="4:17" x14ac:dyDescent="0.25">
      <c r="D1450" s="48"/>
      <c r="Q1450" s="48"/>
    </row>
    <row r="1452" spans="4:17" x14ac:dyDescent="0.25">
      <c r="D1452" s="48"/>
      <c r="Q1452" s="48"/>
    </row>
    <row r="1453" spans="4:17" x14ac:dyDescent="0.25">
      <c r="D1453" s="48"/>
      <c r="Q1453" s="48"/>
    </row>
    <row r="1455" spans="4:17" x14ac:dyDescent="0.25">
      <c r="D1455" s="48"/>
      <c r="Q1455" s="48"/>
    </row>
    <row r="1456" spans="4:17" x14ac:dyDescent="0.25">
      <c r="D1456" s="48"/>
      <c r="Q1456" s="48"/>
    </row>
    <row r="1458" spans="4:17" x14ac:dyDescent="0.25">
      <c r="D1458" s="48"/>
      <c r="Q1458" s="48"/>
    </row>
    <row r="1459" spans="4:17" x14ac:dyDescent="0.25">
      <c r="D1459" s="48"/>
      <c r="Q1459" s="48"/>
    </row>
    <row r="1460" spans="4:17" x14ac:dyDescent="0.25">
      <c r="D1460" s="48"/>
      <c r="Q1460" s="48"/>
    </row>
    <row r="1461" spans="4:17" x14ac:dyDescent="0.25">
      <c r="D1461" s="48"/>
      <c r="Q1461" s="48"/>
    </row>
    <row r="1463" spans="4:17" x14ac:dyDescent="0.25">
      <c r="D1463" s="48"/>
      <c r="Q1463" s="48"/>
    </row>
    <row r="1464" spans="4:17" x14ac:dyDescent="0.25">
      <c r="D1464" s="48"/>
      <c r="Q1464" s="48"/>
    </row>
    <row r="1466" spans="4:17" x14ac:dyDescent="0.25">
      <c r="D1466" s="48"/>
      <c r="Q1466" s="48"/>
    </row>
    <row r="1467" spans="4:17" x14ac:dyDescent="0.25">
      <c r="D1467" s="48"/>
      <c r="Q1467" s="48"/>
    </row>
    <row r="1469" spans="4:17" x14ac:dyDescent="0.25">
      <c r="D1469" s="48"/>
      <c r="Q1469" s="48"/>
    </row>
    <row r="1470" spans="4:17" x14ac:dyDescent="0.25">
      <c r="D1470" s="48"/>
      <c r="Q1470" s="48"/>
    </row>
    <row r="1473" spans="4:17" x14ac:dyDescent="0.25">
      <c r="D1473" s="48"/>
      <c r="Q1473" s="48"/>
    </row>
    <row r="1476" spans="4:17" x14ac:dyDescent="0.25">
      <c r="D1476" s="48"/>
      <c r="Q1476" s="48"/>
    </row>
    <row r="1479" spans="4:17" x14ac:dyDescent="0.25">
      <c r="D1479" s="48"/>
      <c r="Q1479" s="48"/>
    </row>
    <row r="1482" spans="4:17" x14ac:dyDescent="0.25">
      <c r="D1482" s="48"/>
      <c r="Q1482" s="48"/>
    </row>
    <row r="1485" spans="4:17" x14ac:dyDescent="0.25">
      <c r="D1485" s="48"/>
      <c r="Q1485" s="48"/>
    </row>
    <row r="1488" spans="4:17" x14ac:dyDescent="0.25">
      <c r="D1488" s="48"/>
      <c r="Q1488" s="48"/>
    </row>
    <row r="1491" spans="4:17" x14ac:dyDescent="0.25">
      <c r="D1491" s="48"/>
      <c r="Q1491" s="48"/>
    </row>
    <row r="1492" spans="4:17" x14ac:dyDescent="0.25">
      <c r="Q1492" s="48"/>
    </row>
    <row r="1494" spans="4:17" x14ac:dyDescent="0.25">
      <c r="D1494" s="48"/>
      <c r="Q1494" s="48"/>
    </row>
    <row r="1495" spans="4:17" x14ac:dyDescent="0.25">
      <c r="D1495" s="48"/>
      <c r="Q1495" s="48"/>
    </row>
    <row r="1497" spans="4:17" x14ac:dyDescent="0.25">
      <c r="D1497" s="48"/>
      <c r="Q1497" s="48"/>
    </row>
    <row r="1498" spans="4:17" x14ac:dyDescent="0.25">
      <c r="D1498" s="48"/>
      <c r="Q1498" s="48"/>
    </row>
    <row r="1499" spans="4:17" x14ac:dyDescent="0.25">
      <c r="Q1499" s="48"/>
    </row>
    <row r="1500" spans="4:17" x14ac:dyDescent="0.25">
      <c r="D1500" s="48"/>
      <c r="Q1500" s="48"/>
    </row>
    <row r="1502" spans="4:17" x14ac:dyDescent="0.25">
      <c r="D1502" s="48"/>
      <c r="Q1502" s="48"/>
    </row>
    <row r="1503" spans="4:17" x14ac:dyDescent="0.25">
      <c r="D1503" s="48"/>
      <c r="Q1503" s="48"/>
    </row>
    <row r="1506" spans="4:17" x14ac:dyDescent="0.25">
      <c r="D1506" s="48"/>
      <c r="Q1506" s="48"/>
    </row>
    <row r="1509" spans="4:17" x14ac:dyDescent="0.25">
      <c r="D1509" s="48"/>
      <c r="Q1509" s="48"/>
    </row>
    <row r="1510" spans="4:17" x14ac:dyDescent="0.25">
      <c r="Q1510" s="48"/>
    </row>
    <row r="1512" spans="4:17" x14ac:dyDescent="0.25">
      <c r="D1512" s="48"/>
      <c r="Q1512" s="48"/>
    </row>
    <row r="1513" spans="4:17" x14ac:dyDescent="0.25">
      <c r="D1513" s="48"/>
      <c r="Q1513" s="48"/>
    </row>
    <row r="1515" spans="4:17" x14ac:dyDescent="0.25">
      <c r="D1515" s="48"/>
      <c r="Q1515" s="48"/>
    </row>
    <row r="1516" spans="4:17" x14ac:dyDescent="0.25">
      <c r="D1516" s="48"/>
      <c r="Q1516" s="48"/>
    </row>
    <row r="1517" spans="4:17" x14ac:dyDescent="0.25">
      <c r="Q1517" s="48"/>
    </row>
    <row r="1518" spans="4:17" x14ac:dyDescent="0.25">
      <c r="D1518" s="48"/>
      <c r="Q1518" s="48"/>
    </row>
    <row r="1520" spans="4:17" x14ac:dyDescent="0.25">
      <c r="D1520" s="48"/>
      <c r="Q1520" s="48"/>
    </row>
    <row r="1521" spans="4:17" x14ac:dyDescent="0.25">
      <c r="D1521" s="48"/>
      <c r="Q1521" s="48"/>
    </row>
    <row r="1523" spans="4:17" x14ac:dyDescent="0.25">
      <c r="D1523" s="48"/>
      <c r="Q1523" s="48"/>
    </row>
    <row r="1524" spans="4:17" x14ac:dyDescent="0.25">
      <c r="D1524" s="48"/>
      <c r="Q1524" s="48"/>
    </row>
    <row r="1526" spans="4:17" x14ac:dyDescent="0.25">
      <c r="D1526" s="48"/>
      <c r="Q1526" s="48"/>
    </row>
    <row r="1527" spans="4:17" x14ac:dyDescent="0.25">
      <c r="D1527" s="48"/>
      <c r="Q1527" s="48"/>
    </row>
    <row r="1529" spans="4:17" x14ac:dyDescent="0.25">
      <c r="D1529" s="48"/>
      <c r="Q1529" s="48"/>
    </row>
    <row r="1530" spans="4:17" x14ac:dyDescent="0.25">
      <c r="D1530" s="48"/>
      <c r="Q1530" s="48"/>
    </row>
    <row r="1532" spans="4:17" x14ac:dyDescent="0.25">
      <c r="D1532" s="48"/>
      <c r="Q1532" s="48"/>
    </row>
    <row r="1533" spans="4:17" x14ac:dyDescent="0.25">
      <c r="D1533" s="48"/>
      <c r="Q1533" s="48"/>
    </row>
    <row r="1535" spans="4:17" x14ac:dyDescent="0.25">
      <c r="D1535" s="48"/>
      <c r="Q1535" s="48"/>
    </row>
    <row r="1536" spans="4:17" x14ac:dyDescent="0.25">
      <c r="D1536" s="48"/>
      <c r="Q1536" s="48"/>
    </row>
    <row r="1538" spans="4:17" x14ac:dyDescent="0.25">
      <c r="D1538" s="48"/>
      <c r="Q1538" s="48"/>
    </row>
    <row r="1539" spans="4:17" x14ac:dyDescent="0.25">
      <c r="D1539" s="48"/>
      <c r="Q1539" s="48"/>
    </row>
    <row r="1540" spans="4:17" x14ac:dyDescent="0.25">
      <c r="Q1540" s="48"/>
    </row>
    <row r="1542" spans="4:17" x14ac:dyDescent="0.25">
      <c r="D1542" s="48"/>
      <c r="Q1542" s="48"/>
    </row>
    <row r="1543" spans="4:17" x14ac:dyDescent="0.25">
      <c r="D1543" s="48"/>
      <c r="Q1543" s="48"/>
    </row>
    <row r="1544" spans="4:17" x14ac:dyDescent="0.25">
      <c r="Q1544" s="48"/>
    </row>
    <row r="1545" spans="4:17" x14ac:dyDescent="0.25">
      <c r="D1545" s="48"/>
      <c r="Q1545" s="48"/>
    </row>
    <row r="1547" spans="4:17" x14ac:dyDescent="0.25">
      <c r="D1547" s="48"/>
      <c r="Q1547" s="48"/>
    </row>
    <row r="1548" spans="4:17" x14ac:dyDescent="0.25">
      <c r="D1548" s="48"/>
      <c r="Q1548" s="48"/>
    </row>
    <row r="1550" spans="4:17" x14ac:dyDescent="0.25">
      <c r="D1550" s="48"/>
      <c r="Q1550" s="48"/>
    </row>
    <row r="1551" spans="4:17" x14ac:dyDescent="0.25">
      <c r="D1551" s="48"/>
      <c r="Q1551" s="48"/>
    </row>
    <row r="1553" spans="4:17" x14ac:dyDescent="0.25">
      <c r="D1553" s="48"/>
      <c r="Q1553" s="48"/>
    </row>
    <row r="1554" spans="4:17" x14ac:dyDescent="0.25">
      <c r="D1554" s="48"/>
      <c r="Q1554" s="48"/>
    </row>
    <row r="1556" spans="4:17" x14ac:dyDescent="0.25">
      <c r="D1556" s="48"/>
      <c r="Q1556" s="48"/>
    </row>
    <row r="1557" spans="4:17" x14ac:dyDescent="0.25">
      <c r="D1557" s="48"/>
      <c r="Q1557" s="48"/>
    </row>
    <row r="1559" spans="4:17" x14ac:dyDescent="0.25">
      <c r="D1559" s="48"/>
      <c r="Q1559" s="48"/>
    </row>
    <row r="1560" spans="4:17" x14ac:dyDescent="0.25">
      <c r="D1560" s="48"/>
      <c r="Q1560" s="48"/>
    </row>
    <row r="1562" spans="4:17" x14ac:dyDescent="0.25">
      <c r="D1562" s="48"/>
      <c r="Q1562" s="48"/>
    </row>
    <row r="1563" spans="4:17" x14ac:dyDescent="0.25">
      <c r="D1563" s="48"/>
      <c r="Q1563" s="48"/>
    </row>
    <row r="1565" spans="4:17" x14ac:dyDescent="0.25">
      <c r="D1565" s="48"/>
      <c r="Q1565" s="48"/>
    </row>
    <row r="1566" spans="4:17" x14ac:dyDescent="0.25">
      <c r="D1566" s="48"/>
      <c r="Q1566" s="48"/>
    </row>
    <row r="1568" spans="4:17" x14ac:dyDescent="0.25">
      <c r="D1568" s="48"/>
      <c r="Q1568" s="48"/>
    </row>
    <row r="1569" spans="4:17" x14ac:dyDescent="0.25">
      <c r="D1569" s="48"/>
      <c r="Q1569" s="48"/>
    </row>
    <row r="1571" spans="4:17" x14ac:dyDescent="0.25">
      <c r="D1571" s="48"/>
      <c r="Q1571" s="48"/>
    </row>
    <row r="1572" spans="4:17" x14ac:dyDescent="0.25">
      <c r="D1572" s="48"/>
      <c r="Q1572" s="48"/>
    </row>
    <row r="1574" spans="4:17" x14ac:dyDescent="0.25">
      <c r="D1574" s="48"/>
      <c r="Q1574" s="48"/>
    </row>
    <row r="1575" spans="4:17" x14ac:dyDescent="0.25">
      <c r="D1575" s="48"/>
      <c r="Q1575" s="48"/>
    </row>
    <row r="1576" spans="4:17" x14ac:dyDescent="0.25">
      <c r="D1576" s="48"/>
      <c r="Q1576" s="48"/>
    </row>
    <row r="1577" spans="4:17" x14ac:dyDescent="0.25">
      <c r="D1577" s="48"/>
      <c r="Q1577" s="48"/>
    </row>
    <row r="1580" spans="4:17" x14ac:dyDescent="0.25">
      <c r="D1580" s="48"/>
      <c r="Q1580" s="48"/>
    </row>
    <row r="1581" spans="4:17" x14ac:dyDescent="0.25">
      <c r="Q1581" s="48"/>
    </row>
    <row r="1583" spans="4:17" x14ac:dyDescent="0.25">
      <c r="D1583" s="48"/>
      <c r="Q1583" s="48"/>
    </row>
    <row r="1584" spans="4:17" x14ac:dyDescent="0.25">
      <c r="D1584" s="48"/>
      <c r="Q1584" s="48"/>
    </row>
    <row r="1586" spans="4:17" x14ac:dyDescent="0.25">
      <c r="D1586" s="48"/>
      <c r="Q1586" s="48"/>
    </row>
    <row r="1587" spans="4:17" x14ac:dyDescent="0.25">
      <c r="D1587" s="48"/>
      <c r="Q1587" s="48"/>
    </row>
    <row r="1590" spans="4:17" x14ac:dyDescent="0.25">
      <c r="D1590" s="48"/>
      <c r="Q1590" s="48"/>
    </row>
    <row r="1593" spans="4:17" x14ac:dyDescent="0.25">
      <c r="D1593" s="48"/>
      <c r="Q1593" s="48"/>
    </row>
    <row r="1596" spans="4:17" x14ac:dyDescent="0.25">
      <c r="D1596" s="48"/>
      <c r="Q1596" s="48"/>
    </row>
    <row r="1599" spans="4:17" x14ac:dyDescent="0.25">
      <c r="D1599" s="48"/>
      <c r="Q1599" s="48"/>
    </row>
    <row r="1600" spans="4:17" x14ac:dyDescent="0.25">
      <c r="Q1600" s="48"/>
    </row>
    <row r="1601" spans="4:17" x14ac:dyDescent="0.25">
      <c r="Q1601" s="48"/>
    </row>
    <row r="1602" spans="4:17" x14ac:dyDescent="0.25">
      <c r="D1602" s="48"/>
      <c r="Q1602" s="48"/>
    </row>
    <row r="1603" spans="4:17" x14ac:dyDescent="0.25">
      <c r="D1603" s="48"/>
      <c r="Q1603" s="48"/>
    </row>
    <row r="1604" spans="4:17" x14ac:dyDescent="0.25">
      <c r="D1604" s="48"/>
      <c r="Q1604" s="48"/>
    </row>
    <row r="1605" spans="4:17" x14ac:dyDescent="0.25">
      <c r="Q1605" s="48"/>
    </row>
    <row r="1606" spans="4:17" x14ac:dyDescent="0.25">
      <c r="D1606" s="48"/>
      <c r="Q1606" s="48"/>
    </row>
    <row r="1607" spans="4:17" x14ac:dyDescent="0.25">
      <c r="Q1607" s="48"/>
    </row>
    <row r="1608" spans="4:17" x14ac:dyDescent="0.25">
      <c r="Q1608" s="48"/>
    </row>
    <row r="1609" spans="4:17" x14ac:dyDescent="0.25">
      <c r="D1609" s="48"/>
      <c r="Q1609" s="48"/>
    </row>
    <row r="1610" spans="4:17" x14ac:dyDescent="0.25">
      <c r="Q1610" s="48"/>
    </row>
    <row r="1611" spans="4:17" x14ac:dyDescent="0.25">
      <c r="Q1611" s="48"/>
    </row>
    <row r="1612" spans="4:17" x14ac:dyDescent="0.25">
      <c r="D1612" s="48"/>
      <c r="Q1612" s="48"/>
    </row>
    <row r="1615" spans="4:17" x14ac:dyDescent="0.25">
      <c r="D1615" s="48"/>
      <c r="Q1615" s="48"/>
    </row>
    <row r="1618" spans="4:17" x14ac:dyDescent="0.25">
      <c r="D1618" s="48"/>
      <c r="Q1618" s="48"/>
    </row>
    <row r="1619" spans="4:17" x14ac:dyDescent="0.25">
      <c r="Q1619" s="48"/>
    </row>
    <row r="1620" spans="4:17" x14ac:dyDescent="0.25">
      <c r="Q1620" s="48"/>
    </row>
    <row r="1621" spans="4:17" x14ac:dyDescent="0.25">
      <c r="D1621" s="48"/>
      <c r="Q1621" s="48"/>
    </row>
    <row r="1623" spans="4:17" x14ac:dyDescent="0.25">
      <c r="D1623" s="48"/>
      <c r="Q1623" s="48"/>
    </row>
    <row r="1624" spans="4:17" x14ac:dyDescent="0.25">
      <c r="D1624" s="48"/>
      <c r="Q1624" s="48"/>
    </row>
    <row r="1625" spans="4:17" x14ac:dyDescent="0.25">
      <c r="Q1625" s="48"/>
    </row>
    <row r="1626" spans="4:17" x14ac:dyDescent="0.25">
      <c r="Q1626" s="48"/>
    </row>
    <row r="1627" spans="4:17" x14ac:dyDescent="0.25">
      <c r="D1627" s="48"/>
      <c r="Q1627" s="48"/>
    </row>
    <row r="1630" spans="4:17" x14ac:dyDescent="0.25">
      <c r="D1630" s="48"/>
      <c r="Q1630" s="48"/>
    </row>
    <row r="1631" spans="4:17" x14ac:dyDescent="0.25">
      <c r="D1631" s="48"/>
      <c r="Q1631" s="48"/>
    </row>
    <row r="1632" spans="4:17" x14ac:dyDescent="0.25">
      <c r="Q1632" s="48"/>
    </row>
    <row r="1633" spans="4:17" x14ac:dyDescent="0.25">
      <c r="Q1633" s="48"/>
    </row>
    <row r="1634" spans="4:17" x14ac:dyDescent="0.25">
      <c r="D1634" s="48"/>
      <c r="Q1634" s="48"/>
    </row>
    <row r="1635" spans="4:17" x14ac:dyDescent="0.25">
      <c r="D1635" s="48"/>
      <c r="Q1635" s="48"/>
    </row>
    <row r="1636" spans="4:17" x14ac:dyDescent="0.25">
      <c r="D1636" s="48"/>
      <c r="Q1636" s="48"/>
    </row>
    <row r="1638" spans="4:17" x14ac:dyDescent="0.25">
      <c r="D1638" s="48"/>
      <c r="Q1638" s="48"/>
    </row>
    <row r="1639" spans="4:17" x14ac:dyDescent="0.25">
      <c r="D1639" s="48"/>
      <c r="Q1639" s="48"/>
    </row>
    <row r="1642" spans="4:17" x14ac:dyDescent="0.25">
      <c r="D1642" s="48"/>
      <c r="Q1642" s="48"/>
    </row>
    <row r="1643" spans="4:17" x14ac:dyDescent="0.25">
      <c r="Q1643" s="48"/>
    </row>
    <row r="1644" spans="4:17" x14ac:dyDescent="0.25">
      <c r="Q1644" s="48"/>
    </row>
    <row r="1645" spans="4:17" x14ac:dyDescent="0.25">
      <c r="D1645" s="48"/>
      <c r="Q1645" s="48"/>
    </row>
    <row r="1647" spans="4:17" x14ac:dyDescent="0.25">
      <c r="D1647" s="48"/>
      <c r="Q1647" s="48"/>
    </row>
    <row r="1648" spans="4:17" x14ac:dyDescent="0.25">
      <c r="D1648" s="48"/>
      <c r="Q1648" s="48"/>
    </row>
    <row r="1651" spans="4:17" x14ac:dyDescent="0.25">
      <c r="D1651" s="48"/>
      <c r="Q1651" s="48"/>
    </row>
    <row r="1652" spans="4:17" x14ac:dyDescent="0.25">
      <c r="D1652" s="48"/>
      <c r="Q1652" s="48"/>
    </row>
    <row r="1654" spans="4:17" x14ac:dyDescent="0.25">
      <c r="D1654" s="48"/>
      <c r="Q1654" s="48"/>
    </row>
    <row r="1655" spans="4:17" x14ac:dyDescent="0.25">
      <c r="D1655" s="48"/>
      <c r="Q1655" s="48"/>
    </row>
    <row r="1657" spans="4:17" x14ac:dyDescent="0.25">
      <c r="D1657" s="48"/>
      <c r="Q1657" s="48"/>
    </row>
    <row r="1658" spans="4:17" x14ac:dyDescent="0.25">
      <c r="D1658" s="48"/>
      <c r="Q1658" s="48"/>
    </row>
    <row r="1660" spans="4:17" x14ac:dyDescent="0.25">
      <c r="D1660" s="48"/>
      <c r="Q1660" s="48"/>
    </row>
    <row r="1661" spans="4:17" x14ac:dyDescent="0.25">
      <c r="D1661" s="48"/>
      <c r="Q1661" s="48"/>
    </row>
    <row r="1662" spans="4:17" x14ac:dyDescent="0.25">
      <c r="Q1662" s="48"/>
    </row>
    <row r="1663" spans="4:17" x14ac:dyDescent="0.25">
      <c r="Q1663" s="48"/>
    </row>
    <row r="1664" spans="4:17" x14ac:dyDescent="0.25">
      <c r="D1664" s="48"/>
      <c r="Q1664" s="48"/>
    </row>
    <row r="1666" spans="4:17" x14ac:dyDescent="0.25">
      <c r="D1666" s="48"/>
      <c r="Q1666" s="48"/>
    </row>
    <row r="1667" spans="4:17" x14ac:dyDescent="0.25">
      <c r="D1667" s="48"/>
      <c r="Q1667" s="48"/>
    </row>
    <row r="1668" spans="4:17" x14ac:dyDescent="0.25">
      <c r="Q1668" s="48"/>
    </row>
    <row r="1669" spans="4:17" x14ac:dyDescent="0.25">
      <c r="Q1669" s="48"/>
    </row>
    <row r="1670" spans="4:17" x14ac:dyDescent="0.25">
      <c r="D1670" s="48"/>
      <c r="Q1670" s="48"/>
    </row>
    <row r="1671" spans="4:17" x14ac:dyDescent="0.25">
      <c r="Q1671" s="48"/>
    </row>
    <row r="1672" spans="4:17" x14ac:dyDescent="0.25">
      <c r="Q1672" s="48"/>
    </row>
    <row r="1673" spans="4:17" x14ac:dyDescent="0.25">
      <c r="D1673" s="48"/>
      <c r="Q1673" s="48"/>
    </row>
    <row r="1674" spans="4:17" x14ac:dyDescent="0.25">
      <c r="D1674" s="48"/>
      <c r="Q1674" s="48"/>
    </row>
    <row r="1675" spans="4:17" x14ac:dyDescent="0.25">
      <c r="D1675" s="48"/>
      <c r="Q1675" s="48"/>
    </row>
    <row r="1676" spans="4:17" x14ac:dyDescent="0.25">
      <c r="D1676" s="48"/>
      <c r="Q1676" s="48"/>
    </row>
    <row r="1677" spans="4:17" x14ac:dyDescent="0.25">
      <c r="D1677" s="48"/>
      <c r="Q1677" s="48"/>
    </row>
    <row r="1678" spans="4:17" x14ac:dyDescent="0.25">
      <c r="D1678" s="48"/>
      <c r="Q1678" s="48"/>
    </row>
    <row r="1681" spans="4:17" x14ac:dyDescent="0.25">
      <c r="D1681" s="48"/>
      <c r="Q1681" s="48"/>
    </row>
    <row r="1682" spans="4:17" x14ac:dyDescent="0.25">
      <c r="Q1682" s="48"/>
    </row>
    <row r="1684" spans="4:17" x14ac:dyDescent="0.25">
      <c r="D1684" s="48"/>
      <c r="Q1684" s="48"/>
    </row>
    <row r="1685" spans="4:17" x14ac:dyDescent="0.25">
      <c r="D1685" s="48"/>
      <c r="Q1685" s="48"/>
    </row>
    <row r="1686" spans="4:17" x14ac:dyDescent="0.25">
      <c r="Q1686" s="48"/>
    </row>
    <row r="1687" spans="4:17" x14ac:dyDescent="0.25">
      <c r="Q1687" s="48"/>
    </row>
    <row r="1688" spans="4:17" x14ac:dyDescent="0.25">
      <c r="D1688" s="48"/>
      <c r="Q1688" s="48"/>
    </row>
    <row r="1689" spans="4:17" x14ac:dyDescent="0.25">
      <c r="D1689" s="48"/>
      <c r="Q1689" s="48"/>
    </row>
    <row r="1690" spans="4:17" x14ac:dyDescent="0.25">
      <c r="D1690" s="48"/>
      <c r="Q1690" s="48"/>
    </row>
    <row r="1691" spans="4:17" x14ac:dyDescent="0.25">
      <c r="D1691" s="48"/>
      <c r="Q1691" s="48"/>
    </row>
    <row r="1692" spans="4:17" x14ac:dyDescent="0.25">
      <c r="D1692" s="48"/>
      <c r="Q1692" s="48"/>
    </row>
    <row r="1693" spans="4:17" x14ac:dyDescent="0.25">
      <c r="D1693" s="48"/>
      <c r="Q1693" s="48"/>
    </row>
    <row r="1694" spans="4:17" x14ac:dyDescent="0.25">
      <c r="Q1694" s="48"/>
    </row>
    <row r="1695" spans="4:17" x14ac:dyDescent="0.25">
      <c r="Q1695" s="48"/>
    </row>
    <row r="1696" spans="4:17" x14ac:dyDescent="0.25">
      <c r="D1696" s="48"/>
      <c r="Q1696" s="48"/>
    </row>
    <row r="1697" spans="4:17" x14ac:dyDescent="0.25">
      <c r="D1697" s="48"/>
      <c r="Q1697" s="48"/>
    </row>
    <row r="1698" spans="4:17" x14ac:dyDescent="0.25">
      <c r="D1698" s="48"/>
      <c r="Q1698" s="48"/>
    </row>
    <row r="1699" spans="4:17" x14ac:dyDescent="0.25">
      <c r="D1699" s="48"/>
      <c r="Q1699" s="48"/>
    </row>
    <row r="1700" spans="4:17" x14ac:dyDescent="0.25">
      <c r="Q1700" s="48"/>
    </row>
    <row r="1701" spans="4:17" x14ac:dyDescent="0.25">
      <c r="Q1701" s="48"/>
    </row>
    <row r="1702" spans="4:17" x14ac:dyDescent="0.25">
      <c r="D1702" s="48"/>
      <c r="Q1702" s="48"/>
    </row>
    <row r="1704" spans="4:17" x14ac:dyDescent="0.25">
      <c r="D1704" s="48"/>
      <c r="Q1704" s="48"/>
    </row>
    <row r="1705" spans="4:17" x14ac:dyDescent="0.25">
      <c r="D1705" s="48"/>
      <c r="Q1705" s="48"/>
    </row>
    <row r="1706" spans="4:17" x14ac:dyDescent="0.25">
      <c r="D1706" s="48"/>
      <c r="Q1706" s="48"/>
    </row>
    <row r="1707" spans="4:17" x14ac:dyDescent="0.25">
      <c r="Q1707" s="48"/>
    </row>
    <row r="1709" spans="4:17" x14ac:dyDescent="0.25">
      <c r="D1709" s="48"/>
      <c r="Q1709" s="48"/>
    </row>
    <row r="1710" spans="4:17" x14ac:dyDescent="0.25">
      <c r="D1710" s="48"/>
      <c r="Q1710" s="48"/>
    </row>
    <row r="1711" spans="4:17" x14ac:dyDescent="0.25">
      <c r="Q1711" s="48"/>
    </row>
    <row r="1712" spans="4:17" x14ac:dyDescent="0.25">
      <c r="D1712" s="48"/>
      <c r="Q1712" s="48"/>
    </row>
    <row r="1713" spans="4:17" x14ac:dyDescent="0.25">
      <c r="Q1713" s="48"/>
    </row>
    <row r="1715" spans="4:17" x14ac:dyDescent="0.25">
      <c r="D1715" s="48"/>
      <c r="Q1715" s="48"/>
    </row>
    <row r="1716" spans="4:17" x14ac:dyDescent="0.25">
      <c r="D1716" s="48"/>
      <c r="Q1716" s="48"/>
    </row>
    <row r="1717" spans="4:17" x14ac:dyDescent="0.25">
      <c r="Q1717" s="48"/>
    </row>
    <row r="1718" spans="4:17" x14ac:dyDescent="0.25">
      <c r="D1718" s="48"/>
      <c r="Q1718" s="48"/>
    </row>
    <row r="1720" spans="4:17" x14ac:dyDescent="0.25">
      <c r="D1720" s="48"/>
      <c r="Q1720" s="48"/>
    </row>
    <row r="1721" spans="4:17" x14ac:dyDescent="0.25">
      <c r="D1721" s="48"/>
      <c r="Q1721" s="48"/>
    </row>
    <row r="1723" spans="4:17" x14ac:dyDescent="0.25">
      <c r="D1723" s="48"/>
      <c r="Q1723" s="48"/>
    </row>
    <row r="1724" spans="4:17" x14ac:dyDescent="0.25">
      <c r="D1724" s="48"/>
      <c r="Q1724" s="48"/>
    </row>
    <row r="1725" spans="4:17" x14ac:dyDescent="0.25">
      <c r="Q1725" s="48"/>
    </row>
    <row r="1727" spans="4:17" x14ac:dyDescent="0.25">
      <c r="D1727" s="48"/>
      <c r="Q1727" s="48"/>
    </row>
    <row r="1728" spans="4:17" x14ac:dyDescent="0.25">
      <c r="D1728" s="48"/>
      <c r="Q1728" s="48"/>
    </row>
    <row r="1730" spans="4:17" x14ac:dyDescent="0.25">
      <c r="D1730" s="48"/>
      <c r="Q1730" s="48"/>
    </row>
    <row r="1731" spans="4:17" x14ac:dyDescent="0.25">
      <c r="D1731" s="48"/>
      <c r="Q1731" s="48"/>
    </row>
    <row r="1733" spans="4:17" x14ac:dyDescent="0.25">
      <c r="D1733" s="48"/>
      <c r="Q1733" s="48"/>
    </row>
    <row r="1734" spans="4:17" x14ac:dyDescent="0.25">
      <c r="D1734" s="48"/>
      <c r="Q1734" s="48"/>
    </row>
    <row r="1737" spans="4:17" x14ac:dyDescent="0.25">
      <c r="D1737" s="48"/>
      <c r="Q1737" s="48"/>
    </row>
    <row r="1740" spans="4:17" x14ac:dyDescent="0.25">
      <c r="D1740" s="48"/>
      <c r="Q1740" s="48"/>
    </row>
    <row r="1741" spans="4:17" x14ac:dyDescent="0.25">
      <c r="D1741" s="48"/>
      <c r="Q1741" s="48"/>
    </row>
    <row r="1744" spans="4:17" x14ac:dyDescent="0.25">
      <c r="D1744" s="48"/>
      <c r="Q1744" s="48"/>
    </row>
    <row r="1747" spans="4:17" x14ac:dyDescent="0.25">
      <c r="D1747" s="48"/>
      <c r="Q1747" s="48"/>
    </row>
    <row r="1750" spans="4:17" x14ac:dyDescent="0.25">
      <c r="D1750" s="48"/>
      <c r="Q1750" s="48"/>
    </row>
    <row r="1753" spans="4:17" x14ac:dyDescent="0.25">
      <c r="D1753" s="48"/>
      <c r="Q1753" s="48"/>
    </row>
    <row r="1756" spans="4:17" x14ac:dyDescent="0.25">
      <c r="D1756" s="48"/>
      <c r="Q1756" s="48"/>
    </row>
    <row r="1759" spans="4:17" x14ac:dyDescent="0.25">
      <c r="D1759" s="48"/>
      <c r="Q1759" s="48"/>
    </row>
    <row r="1760" spans="4:17" x14ac:dyDescent="0.25">
      <c r="D1760" s="48"/>
      <c r="Q1760" s="48"/>
    </row>
    <row r="1763" spans="4:17" x14ac:dyDescent="0.25">
      <c r="D1763" s="48"/>
      <c r="Q1763" s="48"/>
    </row>
    <row r="1766" spans="4:17" x14ac:dyDescent="0.25">
      <c r="D1766" s="48"/>
      <c r="Q1766" s="48"/>
    </row>
    <row r="1769" spans="4:17" x14ac:dyDescent="0.25">
      <c r="D1769" s="48"/>
      <c r="Q1769" s="48"/>
    </row>
    <row r="1772" spans="4:17" x14ac:dyDescent="0.25">
      <c r="D1772" s="48"/>
      <c r="Q1772" s="48"/>
    </row>
    <row r="1775" spans="4:17" x14ac:dyDescent="0.25">
      <c r="D1775" s="48"/>
      <c r="Q1775" s="48"/>
    </row>
    <row r="1778" spans="4:17" x14ac:dyDescent="0.25">
      <c r="D1778" s="48"/>
      <c r="Q1778" s="48"/>
    </row>
    <row r="1781" spans="4:17" x14ac:dyDescent="0.25">
      <c r="D1781" s="48"/>
      <c r="Q1781" s="48"/>
    </row>
    <row r="1784" spans="4:17" x14ac:dyDescent="0.25">
      <c r="D1784" s="48"/>
      <c r="Q1784" s="48"/>
    </row>
    <row r="1787" spans="4:17" x14ac:dyDescent="0.25">
      <c r="D1787" s="48"/>
      <c r="Q1787" s="48"/>
    </row>
    <row r="1790" spans="4:17" x14ac:dyDescent="0.25">
      <c r="D1790" s="48"/>
      <c r="Q1790" s="48"/>
    </row>
    <row r="1791" spans="4:17" x14ac:dyDescent="0.25">
      <c r="D1791" s="48"/>
      <c r="Q1791" s="48"/>
    </row>
    <row r="1793" spans="4:17" x14ac:dyDescent="0.25">
      <c r="D1793" s="48"/>
      <c r="Q1793" s="48"/>
    </row>
    <row r="1794" spans="4:17" x14ac:dyDescent="0.25">
      <c r="D1794" s="48"/>
      <c r="Q1794" s="48"/>
    </row>
    <row r="1795" spans="4:17" x14ac:dyDescent="0.25">
      <c r="D1795" s="48"/>
      <c r="Q1795" s="48"/>
    </row>
    <row r="1796" spans="4:17" x14ac:dyDescent="0.25">
      <c r="D1796" s="48"/>
      <c r="Q1796" s="48"/>
    </row>
    <row r="1797" spans="4:17" x14ac:dyDescent="0.25">
      <c r="Q1797" s="48"/>
    </row>
    <row r="1798" spans="4:17" x14ac:dyDescent="0.25">
      <c r="D1798" s="48"/>
      <c r="Q1798" s="48"/>
    </row>
    <row r="1799" spans="4:17" x14ac:dyDescent="0.25">
      <c r="Q1799" s="48"/>
    </row>
    <row r="1800" spans="4:17" x14ac:dyDescent="0.25">
      <c r="Q1800" s="48"/>
    </row>
    <row r="1801" spans="4:17" x14ac:dyDescent="0.25">
      <c r="D1801" s="48"/>
      <c r="Q1801" s="48"/>
    </row>
    <row r="1802" spans="4:17" x14ac:dyDescent="0.25">
      <c r="Q1802" s="48"/>
    </row>
    <row r="1803" spans="4:17" x14ac:dyDescent="0.25">
      <c r="Q1803" s="48"/>
    </row>
    <row r="1804" spans="4:17" x14ac:dyDescent="0.25">
      <c r="D1804" s="48"/>
      <c r="Q1804" s="48"/>
    </row>
    <row r="1806" spans="4:17" x14ac:dyDescent="0.25">
      <c r="D1806" s="48"/>
      <c r="Q1806" s="48"/>
    </row>
    <row r="1807" spans="4:17" x14ac:dyDescent="0.25">
      <c r="D1807" s="48"/>
      <c r="Q1807" s="48"/>
    </row>
    <row r="1809" spans="4:17" x14ac:dyDescent="0.25">
      <c r="D1809" s="48"/>
      <c r="Q1809" s="48"/>
    </row>
    <row r="1810" spans="4:17" x14ac:dyDescent="0.25">
      <c r="D1810" s="48"/>
      <c r="Q1810" s="48"/>
    </row>
    <row r="1813" spans="4:17" x14ac:dyDescent="0.25">
      <c r="D1813" s="48"/>
      <c r="Q1813" s="48"/>
    </row>
    <row r="1816" spans="4:17" x14ac:dyDescent="0.25">
      <c r="D1816" s="48"/>
      <c r="Q1816" s="48"/>
    </row>
    <row r="1819" spans="4:17" x14ac:dyDescent="0.25">
      <c r="D1819" s="48"/>
      <c r="Q1819" s="48"/>
    </row>
    <row r="1822" spans="4:17" x14ac:dyDescent="0.25">
      <c r="D1822" s="48"/>
      <c r="Q1822" s="48"/>
    </row>
    <row r="1825" spans="4:17" x14ac:dyDescent="0.25">
      <c r="D1825" s="48"/>
      <c r="Q1825" s="48"/>
    </row>
    <row r="1828" spans="4:17" x14ac:dyDescent="0.25">
      <c r="D1828" s="48"/>
      <c r="Q1828" s="48"/>
    </row>
    <row r="1831" spans="4:17" x14ac:dyDescent="0.25">
      <c r="D1831" s="48"/>
      <c r="Q1831" s="48"/>
    </row>
    <row r="1834" spans="4:17" x14ac:dyDescent="0.25">
      <c r="D1834" s="48"/>
      <c r="Q1834" s="48"/>
    </row>
    <row r="1835" spans="4:17" x14ac:dyDescent="0.25">
      <c r="Q1835" s="48"/>
    </row>
    <row r="1836" spans="4:17" x14ac:dyDescent="0.25">
      <c r="Q1836" s="48"/>
    </row>
    <row r="1837" spans="4:17" x14ac:dyDescent="0.25">
      <c r="D1837" s="48"/>
      <c r="Q1837" s="48"/>
    </row>
    <row r="1838" spans="4:17" x14ac:dyDescent="0.25">
      <c r="D1838" s="48"/>
      <c r="Q1838" s="48"/>
    </row>
    <row r="1839" spans="4:17" x14ac:dyDescent="0.25">
      <c r="D1839" s="48"/>
      <c r="Q1839" s="48"/>
    </row>
    <row r="1841" spans="4:17" x14ac:dyDescent="0.25">
      <c r="D1841" s="48"/>
      <c r="Q1841" s="48"/>
    </row>
    <row r="1842" spans="4:17" x14ac:dyDescent="0.25">
      <c r="D1842" s="48"/>
      <c r="Q1842" s="48"/>
    </row>
    <row r="1843" spans="4:17" x14ac:dyDescent="0.25">
      <c r="D1843" s="48"/>
      <c r="Q1843" s="48"/>
    </row>
    <row r="1844" spans="4:17" x14ac:dyDescent="0.25">
      <c r="Q1844" s="48"/>
    </row>
    <row r="1845" spans="4:17" x14ac:dyDescent="0.25">
      <c r="Q1845" s="48"/>
    </row>
    <row r="1846" spans="4:17" x14ac:dyDescent="0.25">
      <c r="D1846" s="48"/>
      <c r="Q1846" s="48"/>
    </row>
    <row r="1847" spans="4:17" x14ac:dyDescent="0.25">
      <c r="D1847" s="48"/>
      <c r="Q1847" s="48"/>
    </row>
    <row r="1848" spans="4:17" x14ac:dyDescent="0.25">
      <c r="D1848" s="48"/>
      <c r="Q1848" s="48"/>
    </row>
    <row r="1849" spans="4:17" x14ac:dyDescent="0.25">
      <c r="Q1849" s="48"/>
    </row>
    <row r="1850" spans="4:17" x14ac:dyDescent="0.25">
      <c r="D1850" s="48"/>
      <c r="Q1850" s="48"/>
    </row>
    <row r="1851" spans="4:17" x14ac:dyDescent="0.25">
      <c r="D1851" s="48"/>
      <c r="Q1851" s="48"/>
    </row>
    <row r="1852" spans="4:17" x14ac:dyDescent="0.25">
      <c r="D1852" s="48"/>
      <c r="Q1852" s="48"/>
    </row>
    <row r="1853" spans="4:17" x14ac:dyDescent="0.25">
      <c r="D1853" s="48"/>
      <c r="Q1853" s="48"/>
    </row>
    <row r="1854" spans="4:17" x14ac:dyDescent="0.25">
      <c r="Q1854" s="48"/>
    </row>
    <row r="1855" spans="4:17" x14ac:dyDescent="0.25">
      <c r="Q1855" s="48"/>
    </row>
    <row r="1856" spans="4:17" x14ac:dyDescent="0.25">
      <c r="D1856" s="48"/>
      <c r="Q1856" s="48"/>
    </row>
    <row r="1857" spans="4:17" x14ac:dyDescent="0.25">
      <c r="D1857" s="48"/>
      <c r="Q1857" s="48"/>
    </row>
    <row r="1858" spans="4:17" x14ac:dyDescent="0.25">
      <c r="D1858" s="48"/>
      <c r="Q1858" s="48"/>
    </row>
    <row r="1859" spans="4:17" x14ac:dyDescent="0.25">
      <c r="D1859" s="48"/>
      <c r="Q1859" s="48"/>
    </row>
    <row r="1860" spans="4:17" x14ac:dyDescent="0.25">
      <c r="Q1860" s="48"/>
    </row>
    <row r="1861" spans="4:17" x14ac:dyDescent="0.25">
      <c r="Q1861" s="48"/>
    </row>
    <row r="1862" spans="4:17" x14ac:dyDescent="0.25">
      <c r="D1862" s="48"/>
      <c r="Q1862" s="48"/>
    </row>
    <row r="1863" spans="4:17" x14ac:dyDescent="0.25">
      <c r="Q1863" s="48"/>
    </row>
    <row r="1864" spans="4:17" x14ac:dyDescent="0.25">
      <c r="Q1864" s="48"/>
    </row>
    <row r="1865" spans="4:17" x14ac:dyDescent="0.25">
      <c r="D1865" s="48"/>
      <c r="Q1865" s="48"/>
    </row>
    <row r="1866" spans="4:17" x14ac:dyDescent="0.25">
      <c r="Q1866" s="48"/>
    </row>
    <row r="1867" spans="4:17" x14ac:dyDescent="0.25">
      <c r="Q1867" s="48"/>
    </row>
    <row r="1868" spans="4:17" x14ac:dyDescent="0.25">
      <c r="D1868" s="48"/>
      <c r="Q1868" s="48"/>
    </row>
    <row r="1870" spans="4:17" x14ac:dyDescent="0.25">
      <c r="D1870" s="48"/>
      <c r="Q1870" s="48"/>
    </row>
    <row r="1871" spans="4:17" x14ac:dyDescent="0.25">
      <c r="D1871" s="48"/>
      <c r="Q1871" s="48"/>
    </row>
    <row r="1873" spans="4:17" x14ac:dyDescent="0.25">
      <c r="D1873" s="48"/>
      <c r="Q1873" s="48"/>
    </row>
    <row r="1874" spans="4:17" x14ac:dyDescent="0.25">
      <c r="D1874" s="48"/>
      <c r="Q1874" s="48"/>
    </row>
    <row r="1876" spans="4:17" x14ac:dyDescent="0.25">
      <c r="D1876" s="48"/>
      <c r="Q1876" s="48"/>
    </row>
    <row r="1877" spans="4:17" x14ac:dyDescent="0.25">
      <c r="D1877" s="48"/>
      <c r="Q1877" s="48"/>
    </row>
    <row r="1878" spans="4:17" x14ac:dyDescent="0.25">
      <c r="D1878" s="48"/>
      <c r="Q1878" s="48"/>
    </row>
    <row r="1879" spans="4:17" x14ac:dyDescent="0.25">
      <c r="D1879" s="48"/>
      <c r="Q1879" s="48"/>
    </row>
    <row r="1881" spans="4:17" x14ac:dyDescent="0.25">
      <c r="D1881" s="48"/>
      <c r="Q1881" s="48"/>
    </row>
    <row r="1882" spans="4:17" x14ac:dyDescent="0.25">
      <c r="D1882" s="48"/>
      <c r="Q1882" s="48"/>
    </row>
    <row r="1884" spans="4:17" x14ac:dyDescent="0.25">
      <c r="D1884" s="48"/>
      <c r="Q1884" s="48"/>
    </row>
    <row r="1885" spans="4:17" x14ac:dyDescent="0.25">
      <c r="D1885" s="48"/>
      <c r="Q1885" s="48"/>
    </row>
    <row r="1887" spans="4:17" x14ac:dyDescent="0.25">
      <c r="D1887" s="48"/>
      <c r="Q1887" s="48"/>
    </row>
    <row r="1888" spans="4:17" x14ac:dyDescent="0.25">
      <c r="D1888" s="48"/>
      <c r="Q1888" s="48"/>
    </row>
    <row r="1890" spans="4:17" x14ac:dyDescent="0.25">
      <c r="D1890" s="48"/>
      <c r="Q1890" s="48"/>
    </row>
    <row r="1891" spans="4:17" x14ac:dyDescent="0.25">
      <c r="D1891" s="48"/>
      <c r="Q1891" s="48"/>
    </row>
    <row r="1894" spans="4:17" x14ac:dyDescent="0.25">
      <c r="D1894" s="48"/>
      <c r="Q1894" s="48"/>
    </row>
    <row r="1895" spans="4:17" x14ac:dyDescent="0.25">
      <c r="Q1895" s="48"/>
    </row>
    <row r="1896" spans="4:17" x14ac:dyDescent="0.25">
      <c r="Q1896" s="48"/>
    </row>
    <row r="1897" spans="4:17" x14ac:dyDescent="0.25">
      <c r="D1897" s="48"/>
      <c r="Q1897" s="48"/>
    </row>
    <row r="1898" spans="4:17" x14ac:dyDescent="0.25">
      <c r="Q1898" s="48"/>
    </row>
    <row r="1899" spans="4:17" x14ac:dyDescent="0.25">
      <c r="Q1899" s="48"/>
    </row>
    <row r="1900" spans="4:17" x14ac:dyDescent="0.25">
      <c r="D1900" s="48"/>
      <c r="Q1900" s="48"/>
    </row>
    <row r="1901" spans="4:17" x14ac:dyDescent="0.25">
      <c r="Q1901" s="48"/>
    </row>
    <row r="1902" spans="4:17" x14ac:dyDescent="0.25">
      <c r="Q1902" s="48"/>
    </row>
    <row r="1903" spans="4:17" x14ac:dyDescent="0.25">
      <c r="D1903" s="48"/>
      <c r="Q1903" s="48"/>
    </row>
    <row r="1904" spans="4:17" x14ac:dyDescent="0.25">
      <c r="Q1904" s="48"/>
    </row>
    <row r="1905" spans="4:17" x14ac:dyDescent="0.25">
      <c r="Q1905" s="48"/>
    </row>
    <row r="1906" spans="4:17" x14ac:dyDescent="0.25">
      <c r="D1906" s="48"/>
      <c r="Q1906" s="48"/>
    </row>
    <row r="1909" spans="4:17" x14ac:dyDescent="0.25">
      <c r="D1909" s="48"/>
      <c r="Q1909" s="48"/>
    </row>
    <row r="1910" spans="4:17" x14ac:dyDescent="0.25">
      <c r="Q1910" s="48"/>
    </row>
    <row r="1911" spans="4:17" x14ac:dyDescent="0.25">
      <c r="Q1911" s="48"/>
    </row>
    <row r="1912" spans="4:17" x14ac:dyDescent="0.25">
      <c r="D1912" s="48"/>
      <c r="Q1912" s="48"/>
    </row>
    <row r="1913" spans="4:17" x14ac:dyDescent="0.25">
      <c r="Q1913" s="48"/>
    </row>
    <row r="1914" spans="4:17" x14ac:dyDescent="0.25">
      <c r="Q1914" s="48"/>
    </row>
    <row r="1915" spans="4:17" x14ac:dyDescent="0.25">
      <c r="D1915" s="48"/>
      <c r="Q1915" s="48"/>
    </row>
    <row r="1916" spans="4:17" x14ac:dyDescent="0.25">
      <c r="Q1916" s="48"/>
    </row>
    <row r="1918" spans="4:17" x14ac:dyDescent="0.25">
      <c r="D1918" s="48"/>
      <c r="Q1918" s="48"/>
    </row>
    <row r="1919" spans="4:17" x14ac:dyDescent="0.25">
      <c r="D1919" s="48"/>
      <c r="Q1919" s="48"/>
    </row>
    <row r="1920" spans="4:17" x14ac:dyDescent="0.25">
      <c r="Q1920" s="48"/>
    </row>
    <row r="1921" spans="4:17" x14ac:dyDescent="0.25">
      <c r="D1921" s="48"/>
      <c r="Q1921" s="48"/>
    </row>
    <row r="1922" spans="4:17" x14ac:dyDescent="0.25">
      <c r="D1922" s="48"/>
      <c r="Q1922" s="48"/>
    </row>
    <row r="1923" spans="4:17" x14ac:dyDescent="0.25">
      <c r="Q1923" s="48"/>
    </row>
    <row r="1924" spans="4:17" x14ac:dyDescent="0.25">
      <c r="Q1924" s="48"/>
    </row>
    <row r="1925" spans="4:17" x14ac:dyDescent="0.25">
      <c r="D1925" s="48"/>
      <c r="Q1925" s="48"/>
    </row>
    <row r="1928" spans="4:17" x14ac:dyDescent="0.25">
      <c r="D1928" s="48"/>
      <c r="Q1928" s="48"/>
    </row>
    <row r="1929" spans="4:17" x14ac:dyDescent="0.25">
      <c r="D1929" s="48"/>
      <c r="Q1929" s="48"/>
    </row>
    <row r="1930" spans="4:17" x14ac:dyDescent="0.25">
      <c r="Q1930" s="48"/>
    </row>
    <row r="1931" spans="4:17" x14ac:dyDescent="0.25">
      <c r="Q1931" s="48"/>
    </row>
    <row r="1932" spans="4:17" x14ac:dyDescent="0.25">
      <c r="D1932" s="48"/>
      <c r="Q1932" s="48"/>
    </row>
    <row r="1933" spans="4:17" x14ac:dyDescent="0.25">
      <c r="Q1933" s="48"/>
    </row>
    <row r="1935" spans="4:17" x14ac:dyDescent="0.25">
      <c r="D1935" s="48"/>
      <c r="Q1935" s="48"/>
    </row>
    <row r="1936" spans="4:17" x14ac:dyDescent="0.25">
      <c r="D1936" s="48"/>
      <c r="Q1936" s="48"/>
    </row>
    <row r="1938" spans="4:17" x14ac:dyDescent="0.25">
      <c r="D1938" s="48"/>
      <c r="Q1938" s="48"/>
    </row>
    <row r="1939" spans="4:17" x14ac:dyDescent="0.25">
      <c r="D1939" s="48"/>
      <c r="Q1939" s="48"/>
    </row>
    <row r="1940" spans="4:17" x14ac:dyDescent="0.25">
      <c r="Q1940" s="48"/>
    </row>
    <row r="1941" spans="4:17" x14ac:dyDescent="0.25">
      <c r="D1941" s="48"/>
      <c r="Q1941" s="48"/>
    </row>
    <row r="1943" spans="4:17" x14ac:dyDescent="0.25">
      <c r="D1943" s="48"/>
      <c r="Q1943" s="48"/>
    </row>
    <row r="1944" spans="4:17" x14ac:dyDescent="0.25">
      <c r="D1944" s="48"/>
      <c r="Q1944" s="48"/>
    </row>
    <row r="1945" spans="4:17" x14ac:dyDescent="0.25">
      <c r="Q1945" s="48"/>
    </row>
    <row r="1946" spans="4:17" x14ac:dyDescent="0.25">
      <c r="Q1946" s="48"/>
    </row>
    <row r="1947" spans="4:17" x14ac:dyDescent="0.25">
      <c r="D1947" s="48"/>
      <c r="Q1947" s="48"/>
    </row>
    <row r="1948" spans="4:17" x14ac:dyDescent="0.25">
      <c r="Q1948" s="48"/>
    </row>
    <row r="1949" spans="4:17" x14ac:dyDescent="0.25">
      <c r="Q1949" s="48"/>
    </row>
    <row r="1950" spans="4:17" x14ac:dyDescent="0.25">
      <c r="D1950" s="48"/>
      <c r="Q1950" s="48"/>
    </row>
    <row r="1951" spans="4:17" x14ac:dyDescent="0.25">
      <c r="Q1951" s="48"/>
    </row>
    <row r="1952" spans="4:17" x14ac:dyDescent="0.25">
      <c r="Q1952" s="48"/>
    </row>
    <row r="1953" spans="4:17" x14ac:dyDescent="0.25">
      <c r="D1953" s="48"/>
      <c r="Q1953" s="48"/>
    </row>
    <row r="1954" spans="4:17" x14ac:dyDescent="0.25">
      <c r="D1954" s="48"/>
      <c r="Q1954" s="48"/>
    </row>
    <row r="1955" spans="4:17" x14ac:dyDescent="0.25">
      <c r="Q1955" s="48"/>
    </row>
    <row r="1956" spans="4:17" x14ac:dyDescent="0.25">
      <c r="Q1956" s="48"/>
    </row>
    <row r="1957" spans="4:17" x14ac:dyDescent="0.25">
      <c r="D1957" s="48"/>
      <c r="Q1957" s="48"/>
    </row>
    <row r="1958" spans="4:17" x14ac:dyDescent="0.25">
      <c r="Q1958" s="48"/>
    </row>
    <row r="1960" spans="4:17" x14ac:dyDescent="0.25">
      <c r="D1960" s="48"/>
      <c r="Q1960" s="48"/>
    </row>
    <row r="1961" spans="4:17" x14ac:dyDescent="0.25">
      <c r="D1961" s="48"/>
      <c r="Q1961" s="48"/>
    </row>
    <row r="1963" spans="4:17" x14ac:dyDescent="0.25">
      <c r="D1963" s="48"/>
      <c r="Q1963" s="48"/>
    </row>
    <row r="1964" spans="4:17" x14ac:dyDescent="0.25">
      <c r="D1964" s="48"/>
      <c r="Q1964" s="48"/>
    </row>
    <row r="1966" spans="4:17" x14ac:dyDescent="0.25">
      <c r="D1966" s="48"/>
      <c r="Q1966" s="48"/>
    </row>
    <row r="1967" spans="4:17" x14ac:dyDescent="0.25">
      <c r="D1967" s="48"/>
      <c r="Q1967" s="48"/>
    </row>
    <row r="1969" spans="4:17" x14ac:dyDescent="0.25">
      <c r="D1969" s="48"/>
      <c r="Q1969" s="48"/>
    </row>
    <row r="1970" spans="4:17" x14ac:dyDescent="0.25">
      <c r="D1970" s="48"/>
      <c r="Q1970" s="48"/>
    </row>
    <row r="1972" spans="4:17" x14ac:dyDescent="0.25">
      <c r="D1972" s="48"/>
      <c r="Q1972" s="48"/>
    </row>
    <row r="1973" spans="4:17" x14ac:dyDescent="0.25">
      <c r="D1973" s="48"/>
      <c r="Q1973" s="48"/>
    </row>
    <row r="1976" spans="4:17" x14ac:dyDescent="0.25">
      <c r="D1976" s="48"/>
      <c r="Q1976" s="48"/>
    </row>
    <row r="1979" spans="4:17" x14ac:dyDescent="0.25">
      <c r="D1979" s="48"/>
      <c r="Q1979" s="48"/>
    </row>
    <row r="1982" spans="4:17" x14ac:dyDescent="0.25">
      <c r="D1982" s="48"/>
      <c r="Q1982" s="48"/>
    </row>
    <row r="1985" spans="4:17" x14ac:dyDescent="0.25">
      <c r="D1985" s="48"/>
      <c r="Q1985" s="48"/>
    </row>
    <row r="1988" spans="4:17" x14ac:dyDescent="0.25">
      <c r="D1988" s="48"/>
      <c r="Q1988" s="48"/>
    </row>
    <row r="1991" spans="4:17" x14ac:dyDescent="0.25">
      <c r="D1991" s="48"/>
      <c r="Q1991" s="48"/>
    </row>
    <row r="1994" spans="4:17" x14ac:dyDescent="0.25">
      <c r="D1994" s="48"/>
      <c r="Q1994" s="48"/>
    </row>
    <row r="1997" spans="4:17" x14ac:dyDescent="0.25">
      <c r="D1997" s="48"/>
      <c r="Q1997" s="48"/>
    </row>
    <row r="2000" spans="4:17" x14ac:dyDescent="0.25">
      <c r="D2000" s="48"/>
      <c r="Q2000" s="48"/>
    </row>
    <row r="2003" spans="4:17" x14ac:dyDescent="0.25">
      <c r="D2003" s="48"/>
      <c r="Q2003" s="48"/>
    </row>
    <row r="2006" spans="4:17" x14ac:dyDescent="0.25">
      <c r="D2006" s="48"/>
      <c r="Q2006" s="48"/>
    </row>
    <row r="2009" spans="4:17" x14ac:dyDescent="0.25">
      <c r="D2009" s="48"/>
      <c r="Q2009" s="48"/>
    </row>
    <row r="2012" spans="4:17" x14ac:dyDescent="0.25">
      <c r="D2012" s="48"/>
      <c r="Q2012" s="48"/>
    </row>
    <row r="2015" spans="4:17" x14ac:dyDescent="0.25">
      <c r="D2015" s="48"/>
      <c r="Q2015" s="48"/>
    </row>
    <row r="2016" spans="4:17" x14ac:dyDescent="0.25">
      <c r="Q2016" s="48"/>
    </row>
    <row r="2019" spans="4:17" x14ac:dyDescent="0.25">
      <c r="D2019" s="48"/>
      <c r="Q2019" s="48"/>
    </row>
    <row r="2022" spans="4:17" x14ac:dyDescent="0.25">
      <c r="D2022" s="48"/>
      <c r="Q2022" s="48"/>
    </row>
    <row r="2025" spans="4:17" x14ac:dyDescent="0.25">
      <c r="D2025" s="48"/>
      <c r="Q2025" s="48"/>
    </row>
    <row r="2028" spans="4:17" x14ac:dyDescent="0.25">
      <c r="D2028" s="48"/>
      <c r="Q2028" s="48"/>
    </row>
    <row r="2031" spans="4:17" x14ac:dyDescent="0.25">
      <c r="D2031" s="48"/>
      <c r="Q2031" s="48"/>
    </row>
    <row r="2034" spans="4:17" x14ac:dyDescent="0.25">
      <c r="D2034" s="48"/>
      <c r="Q2034" s="48"/>
    </row>
    <row r="2037" spans="4:17" x14ac:dyDescent="0.25">
      <c r="D2037" s="48"/>
      <c r="Q2037" s="48"/>
    </row>
    <row r="2040" spans="4:17" x14ac:dyDescent="0.25">
      <c r="D2040" s="48"/>
      <c r="Q2040" s="48"/>
    </row>
    <row r="2043" spans="4:17" x14ac:dyDescent="0.25">
      <c r="D2043" s="48"/>
      <c r="Q2043" s="48"/>
    </row>
    <row r="2044" spans="4:17" x14ac:dyDescent="0.25">
      <c r="Q2044" s="48"/>
    </row>
    <row r="2047" spans="4:17" x14ac:dyDescent="0.25">
      <c r="D2047" s="48"/>
      <c r="Q2047" s="48"/>
    </row>
    <row r="2050" spans="4:17" x14ac:dyDescent="0.25">
      <c r="D2050" s="48"/>
      <c r="Q2050" s="48"/>
    </row>
    <row r="2053" spans="4:17" x14ac:dyDescent="0.25">
      <c r="D2053" s="48"/>
      <c r="Q2053" s="48"/>
    </row>
    <row r="2056" spans="4:17" x14ac:dyDescent="0.25">
      <c r="D2056" s="48"/>
      <c r="Q2056" s="48"/>
    </row>
    <row r="2059" spans="4:17" x14ac:dyDescent="0.25">
      <c r="D2059" s="48"/>
      <c r="Q2059" s="48"/>
    </row>
    <row r="2060" spans="4:17" x14ac:dyDescent="0.25">
      <c r="Q2060" s="48"/>
    </row>
    <row r="2061" spans="4:17" x14ac:dyDescent="0.25">
      <c r="Q2061" s="48"/>
    </row>
    <row r="2062" spans="4:17" x14ac:dyDescent="0.25">
      <c r="Q2062" s="48"/>
    </row>
    <row r="2063" spans="4:17" x14ac:dyDescent="0.25">
      <c r="Q2063" s="48"/>
    </row>
    <row r="2064" spans="4:17" x14ac:dyDescent="0.25">
      <c r="Q2064" s="48"/>
    </row>
    <row r="2065" spans="4:17" x14ac:dyDescent="0.25">
      <c r="Q2065" s="48"/>
    </row>
    <row r="2068" spans="4:17" x14ac:dyDescent="0.25">
      <c r="D2068" s="48"/>
      <c r="Q2068" s="48"/>
    </row>
    <row r="2071" spans="4:17" x14ac:dyDescent="0.25">
      <c r="D2071" s="48"/>
      <c r="Q2071" s="48"/>
    </row>
    <row r="2074" spans="4:17" x14ac:dyDescent="0.25">
      <c r="D2074" s="48"/>
      <c r="Q2074" s="48"/>
    </row>
    <row r="2077" spans="4:17" x14ac:dyDescent="0.25">
      <c r="D2077" s="48"/>
      <c r="Q2077" s="48"/>
    </row>
    <row r="2078" spans="4:17" x14ac:dyDescent="0.25">
      <c r="Q2078" s="48"/>
    </row>
    <row r="2079" spans="4:17" x14ac:dyDescent="0.25">
      <c r="Q2079" s="48"/>
    </row>
    <row r="2082" spans="4:17" x14ac:dyDescent="0.25">
      <c r="D2082" s="48"/>
      <c r="Q2082" s="48"/>
    </row>
    <row r="2085" spans="4:17" x14ac:dyDescent="0.25">
      <c r="D2085" s="48"/>
      <c r="Q2085" s="48"/>
    </row>
    <row r="2086" spans="4:17" x14ac:dyDescent="0.25">
      <c r="Q2086" s="48"/>
    </row>
    <row r="2089" spans="4:17" x14ac:dyDescent="0.25">
      <c r="D2089" s="48"/>
      <c r="Q2089" s="48"/>
    </row>
    <row r="2090" spans="4:17" x14ac:dyDescent="0.25">
      <c r="Q2090" s="48"/>
    </row>
    <row r="2091" spans="4:17" x14ac:dyDescent="0.25">
      <c r="Q2091" s="48"/>
    </row>
    <row r="2094" spans="4:17" x14ac:dyDescent="0.25">
      <c r="D2094" s="48"/>
      <c r="Q2094" s="48"/>
    </row>
    <row r="2097" spans="4:17" x14ac:dyDescent="0.25">
      <c r="D2097" s="48"/>
      <c r="Q2097" s="48"/>
    </row>
    <row r="2100" spans="4:17" x14ac:dyDescent="0.25">
      <c r="D2100" s="48"/>
      <c r="Q2100" s="48"/>
    </row>
    <row r="2101" spans="4:17" x14ac:dyDescent="0.25">
      <c r="Q2101" s="48"/>
    </row>
    <row r="2102" spans="4:17" x14ac:dyDescent="0.25">
      <c r="Q2102" s="48"/>
    </row>
    <row r="2105" spans="4:17" x14ac:dyDescent="0.25">
      <c r="D2105" s="48"/>
      <c r="Q2105" s="48"/>
    </row>
    <row r="2106" spans="4:17" x14ac:dyDescent="0.25">
      <c r="Q2106" s="48"/>
    </row>
    <row r="2107" spans="4:17" x14ac:dyDescent="0.25">
      <c r="Q2107" s="48"/>
    </row>
    <row r="2108" spans="4:17" x14ac:dyDescent="0.25">
      <c r="Q2108" s="48"/>
    </row>
    <row r="2111" spans="4:17" x14ac:dyDescent="0.25">
      <c r="D2111" s="48"/>
      <c r="Q2111" s="48"/>
    </row>
    <row r="2114" spans="4:17" x14ac:dyDescent="0.25">
      <c r="D2114" s="48"/>
      <c r="Q2114" s="48"/>
    </row>
    <row r="2117" spans="4:17" x14ac:dyDescent="0.25">
      <c r="D2117" s="48"/>
      <c r="Q2117" s="48"/>
    </row>
    <row r="2120" spans="4:17" x14ac:dyDescent="0.25">
      <c r="D2120" s="48"/>
      <c r="Q2120" s="48"/>
    </row>
    <row r="2123" spans="4:17" x14ac:dyDescent="0.25">
      <c r="D2123" s="48"/>
      <c r="Q2123" s="48"/>
    </row>
    <row r="2126" spans="4:17" x14ac:dyDescent="0.25">
      <c r="D2126" s="48"/>
      <c r="Q2126" s="48"/>
    </row>
    <row r="2129" spans="4:17" x14ac:dyDescent="0.25">
      <c r="D2129" s="48"/>
      <c r="Q2129" s="48"/>
    </row>
    <row r="2130" spans="4:17" x14ac:dyDescent="0.25">
      <c r="Q2130" s="48"/>
    </row>
    <row r="2131" spans="4:17" x14ac:dyDescent="0.25">
      <c r="Q2131" s="48"/>
    </row>
    <row r="2134" spans="4:17" x14ac:dyDescent="0.25">
      <c r="D2134" s="48"/>
      <c r="Q2134" s="48"/>
    </row>
    <row r="2135" spans="4:17" x14ac:dyDescent="0.25">
      <c r="Q2135" s="48"/>
    </row>
    <row r="2136" spans="4:17" x14ac:dyDescent="0.25">
      <c r="Q2136" s="48"/>
    </row>
    <row r="2137" spans="4:17" x14ac:dyDescent="0.25">
      <c r="Q2137" s="48"/>
    </row>
    <row r="2138" spans="4:17" x14ac:dyDescent="0.25">
      <c r="Q2138" s="48"/>
    </row>
    <row r="2139" spans="4:17" x14ac:dyDescent="0.25">
      <c r="Q2139" s="48"/>
    </row>
    <row r="2140" spans="4:17" x14ac:dyDescent="0.25">
      <c r="Q2140" s="48"/>
    </row>
    <row r="2141" spans="4:17" x14ac:dyDescent="0.25">
      <c r="Q2141" s="48"/>
    </row>
    <row r="2142" spans="4:17" x14ac:dyDescent="0.25">
      <c r="Q2142" s="48"/>
    </row>
    <row r="2143" spans="4:17" x14ac:dyDescent="0.25">
      <c r="Q2143" s="48"/>
    </row>
    <row r="2146" spans="4:17" x14ac:dyDescent="0.25">
      <c r="D2146" s="48"/>
      <c r="Q2146" s="48"/>
    </row>
    <row r="2147" spans="4:17" x14ac:dyDescent="0.25">
      <c r="Q2147" s="48"/>
    </row>
    <row r="2148" spans="4:17" x14ac:dyDescent="0.25">
      <c r="Q2148" s="48"/>
    </row>
    <row r="2149" spans="4:17" x14ac:dyDescent="0.25">
      <c r="Q2149" s="48"/>
    </row>
    <row r="2150" spans="4:17" x14ac:dyDescent="0.25">
      <c r="Q2150" s="48"/>
    </row>
    <row r="2151" spans="4:17" x14ac:dyDescent="0.25">
      <c r="Q2151" s="48"/>
    </row>
    <row r="2152" spans="4:17" x14ac:dyDescent="0.25">
      <c r="Q2152" s="48"/>
    </row>
    <row r="2153" spans="4:17" x14ac:dyDescent="0.25">
      <c r="Q2153" s="48"/>
    </row>
    <row r="2154" spans="4:17" x14ac:dyDescent="0.25">
      <c r="Q2154" s="48"/>
    </row>
    <row r="2155" spans="4:17" x14ac:dyDescent="0.25">
      <c r="Q2155" s="48"/>
    </row>
    <row r="2156" spans="4:17" x14ac:dyDescent="0.25">
      <c r="Q2156" s="48"/>
    </row>
    <row r="2157" spans="4:17" x14ac:dyDescent="0.25">
      <c r="Q2157" s="48"/>
    </row>
    <row r="2158" spans="4:17" x14ac:dyDescent="0.25">
      <c r="Q2158" s="48"/>
    </row>
    <row r="2159" spans="4:17" x14ac:dyDescent="0.25">
      <c r="Q2159" s="48"/>
    </row>
    <row r="2160" spans="4:17" x14ac:dyDescent="0.25">
      <c r="Q2160" s="48"/>
    </row>
    <row r="2161" spans="4:17" x14ac:dyDescent="0.25">
      <c r="Q2161" s="48"/>
    </row>
    <row r="2162" spans="4:17" x14ac:dyDescent="0.25">
      <c r="Q2162" s="48"/>
    </row>
    <row r="2165" spans="4:17" x14ac:dyDescent="0.25">
      <c r="D2165" s="48"/>
      <c r="Q2165" s="48"/>
    </row>
    <row r="2166" spans="4:17" x14ac:dyDescent="0.25">
      <c r="Q2166" s="48"/>
    </row>
    <row r="2167" spans="4:17" x14ac:dyDescent="0.25">
      <c r="Q2167" s="48"/>
    </row>
    <row r="2168" spans="4:17" x14ac:dyDescent="0.25">
      <c r="Q2168" s="48"/>
    </row>
    <row r="2169" spans="4:17" x14ac:dyDescent="0.25">
      <c r="Q2169" s="48"/>
    </row>
    <row r="2170" spans="4:17" x14ac:dyDescent="0.25">
      <c r="Q2170" s="48"/>
    </row>
    <row r="2171" spans="4:17" x14ac:dyDescent="0.25">
      <c r="Q2171" s="48"/>
    </row>
    <row r="2174" spans="4:17" x14ac:dyDescent="0.25">
      <c r="D2174" s="48"/>
      <c r="Q2174" s="48"/>
    </row>
    <row r="2175" spans="4:17" x14ac:dyDescent="0.25">
      <c r="Q2175" s="48"/>
    </row>
    <row r="2176" spans="4:17" x14ac:dyDescent="0.25">
      <c r="Q2176" s="48"/>
    </row>
    <row r="2177" spans="4:17" x14ac:dyDescent="0.25">
      <c r="Q2177" s="48"/>
    </row>
    <row r="2180" spans="4:17" x14ac:dyDescent="0.25">
      <c r="D2180" s="48"/>
      <c r="Q2180" s="48"/>
    </row>
    <row r="2181" spans="4:17" x14ac:dyDescent="0.25">
      <c r="Q2181" s="48"/>
    </row>
    <row r="2184" spans="4:17" x14ac:dyDescent="0.25">
      <c r="D2184" s="48"/>
      <c r="Q2184" s="48"/>
    </row>
    <row r="2187" spans="4:17" x14ac:dyDescent="0.25">
      <c r="D2187" s="48"/>
      <c r="Q2187" s="48"/>
    </row>
    <row r="2188" spans="4:17" x14ac:dyDescent="0.25">
      <c r="Q2188" s="48"/>
    </row>
    <row r="2191" spans="4:17" x14ac:dyDescent="0.25">
      <c r="D2191" s="48"/>
      <c r="Q2191" s="48"/>
    </row>
    <row r="2192" spans="4:17" x14ac:dyDescent="0.25">
      <c r="Q2192" s="48"/>
    </row>
    <row r="2193" spans="4:17" x14ac:dyDescent="0.25">
      <c r="Q2193" s="48"/>
    </row>
    <row r="2196" spans="4:17" x14ac:dyDescent="0.25">
      <c r="D2196" s="48"/>
      <c r="Q2196" s="48"/>
    </row>
    <row r="2199" spans="4:17" x14ac:dyDescent="0.25">
      <c r="D2199" s="48"/>
      <c r="Q2199" s="48"/>
    </row>
    <row r="2200" spans="4:17" x14ac:dyDescent="0.25">
      <c r="Q2200" s="48"/>
    </row>
    <row r="2203" spans="4:17" x14ac:dyDescent="0.25">
      <c r="D2203" s="48"/>
      <c r="Q2203" s="48"/>
    </row>
    <row r="2206" spans="4:17" x14ac:dyDescent="0.25">
      <c r="D2206" s="48"/>
      <c r="Q2206" s="48"/>
    </row>
    <row r="2209" spans="4:17" x14ac:dyDescent="0.25">
      <c r="D2209" s="48"/>
      <c r="Q2209" s="48"/>
    </row>
    <row r="2212" spans="4:17" x14ac:dyDescent="0.25">
      <c r="D2212" s="48"/>
      <c r="Q2212" s="48"/>
    </row>
    <row r="2215" spans="4:17" x14ac:dyDescent="0.25">
      <c r="D2215" s="48"/>
      <c r="Q2215" s="48"/>
    </row>
    <row r="2216" spans="4:17" x14ac:dyDescent="0.25">
      <c r="Q2216" s="48"/>
    </row>
    <row r="2219" spans="4:17" x14ac:dyDescent="0.25">
      <c r="D2219" s="48"/>
      <c r="Q2219" s="48"/>
    </row>
    <row r="2220" spans="4:17" x14ac:dyDescent="0.25">
      <c r="Q2220" s="48"/>
    </row>
    <row r="2223" spans="4:17" x14ac:dyDescent="0.25">
      <c r="D2223" s="48"/>
      <c r="Q2223" s="48"/>
    </row>
    <row r="2226" spans="4:17" x14ac:dyDescent="0.25">
      <c r="D2226" s="48"/>
      <c r="Q2226" s="48"/>
    </row>
    <row r="2229" spans="4:17" x14ac:dyDescent="0.25">
      <c r="D2229" s="48"/>
      <c r="Q2229" s="48"/>
    </row>
    <row r="2232" spans="4:17" x14ac:dyDescent="0.25">
      <c r="D2232" s="48"/>
      <c r="Q2232" s="48"/>
    </row>
    <row r="2235" spans="4:17" x14ac:dyDescent="0.25">
      <c r="D2235" s="48"/>
      <c r="Q2235" s="48"/>
    </row>
    <row r="2236" spans="4:17" x14ac:dyDescent="0.25">
      <c r="Q2236" s="48"/>
    </row>
    <row r="2239" spans="4:17" x14ac:dyDescent="0.25">
      <c r="D2239" s="48"/>
      <c r="Q2239" s="48"/>
    </row>
    <row r="2240" spans="4:17" x14ac:dyDescent="0.25">
      <c r="Q2240" s="48"/>
    </row>
    <row r="2243" spans="4:17" x14ac:dyDescent="0.25">
      <c r="D2243" s="48"/>
      <c r="Q2243" s="48"/>
    </row>
    <row r="2244" spans="4:17" x14ac:dyDescent="0.25">
      <c r="Q2244" s="48"/>
    </row>
    <row r="2247" spans="4:17" x14ac:dyDescent="0.25">
      <c r="D2247" s="48"/>
      <c r="Q2247" s="48"/>
    </row>
    <row r="2250" spans="4:17" x14ac:dyDescent="0.25">
      <c r="D2250" s="48"/>
      <c r="Q2250" s="48"/>
    </row>
    <row r="2253" spans="4:17" x14ac:dyDescent="0.25">
      <c r="D2253" s="48"/>
      <c r="Q2253" s="48"/>
    </row>
    <row r="2256" spans="4:17" x14ac:dyDescent="0.25">
      <c r="D2256" s="48"/>
      <c r="Q2256" s="48"/>
    </row>
    <row r="2259" spans="4:17" x14ac:dyDescent="0.25">
      <c r="D2259" s="48"/>
      <c r="Q2259" s="48"/>
    </row>
    <row r="2260" spans="4:17" x14ac:dyDescent="0.25">
      <c r="Q2260" s="48"/>
    </row>
    <row r="2263" spans="4:17" x14ac:dyDescent="0.25">
      <c r="D2263" s="48"/>
      <c r="Q2263" s="48"/>
    </row>
    <row r="2266" spans="4:17" x14ac:dyDescent="0.25">
      <c r="D2266" s="48"/>
      <c r="Q2266" s="48"/>
    </row>
    <row r="2267" spans="4:17" x14ac:dyDescent="0.25">
      <c r="Q2267" s="48"/>
    </row>
    <row r="2270" spans="4:17" x14ac:dyDescent="0.25">
      <c r="D2270" s="48"/>
      <c r="Q2270" s="48"/>
    </row>
    <row r="2273" spans="4:17" x14ac:dyDescent="0.25">
      <c r="D2273" s="48"/>
      <c r="Q2273" s="48"/>
    </row>
    <row r="2276" spans="4:17" x14ac:dyDescent="0.25">
      <c r="D2276" s="48"/>
      <c r="Q2276" s="48"/>
    </row>
    <row r="2279" spans="4:17" x14ac:dyDescent="0.25">
      <c r="D2279" s="48"/>
      <c r="Q2279" s="48"/>
    </row>
    <row r="2282" spans="4:17" x14ac:dyDescent="0.25">
      <c r="D2282" s="48"/>
      <c r="Q2282" s="48"/>
    </row>
    <row r="2285" spans="4:17" x14ac:dyDescent="0.25">
      <c r="D2285" s="48"/>
      <c r="Q2285" s="48"/>
    </row>
    <row r="2288" spans="4:17" x14ac:dyDescent="0.25">
      <c r="D2288" s="48"/>
      <c r="Q2288" s="48"/>
    </row>
    <row r="2291" spans="4:17" x14ac:dyDescent="0.25">
      <c r="D2291" s="48"/>
      <c r="Q2291" s="48"/>
    </row>
    <row r="2294" spans="4:17" x14ac:dyDescent="0.25">
      <c r="D2294" s="48"/>
      <c r="Q2294" s="48"/>
    </row>
    <row r="2297" spans="4:17" x14ac:dyDescent="0.25">
      <c r="D2297" s="48"/>
      <c r="Q2297" s="48"/>
    </row>
    <row r="2298" spans="4:17" x14ac:dyDescent="0.25">
      <c r="Q2298" s="48"/>
    </row>
    <row r="2301" spans="4:17" x14ac:dyDescent="0.25">
      <c r="D2301" s="48"/>
      <c r="Q2301" s="48"/>
    </row>
    <row r="2302" spans="4:17" x14ac:dyDescent="0.25">
      <c r="Q2302" s="48"/>
    </row>
    <row r="2305" spans="4:17" x14ac:dyDescent="0.25">
      <c r="D2305" s="48"/>
      <c r="Q2305" s="48"/>
    </row>
    <row r="2308" spans="4:17" x14ac:dyDescent="0.25">
      <c r="D2308" s="48"/>
      <c r="Q2308" s="48"/>
    </row>
    <row r="2311" spans="4:17" x14ac:dyDescent="0.25">
      <c r="D2311" s="48"/>
      <c r="Q2311" s="48"/>
    </row>
    <row r="2312" spans="4:17" x14ac:dyDescent="0.25">
      <c r="Q2312" s="48"/>
    </row>
    <row r="2315" spans="4:17" x14ac:dyDescent="0.25">
      <c r="D2315" s="48"/>
      <c r="Q2315" s="48"/>
    </row>
    <row r="2318" spans="4:17" x14ac:dyDescent="0.25">
      <c r="D2318" s="48"/>
      <c r="Q2318" s="48"/>
    </row>
    <row r="2321" spans="4:17" x14ac:dyDescent="0.25">
      <c r="D2321" s="48"/>
      <c r="Q2321" s="48"/>
    </row>
    <row r="2322" spans="4:17" x14ac:dyDescent="0.25">
      <c r="Q2322" s="48"/>
    </row>
    <row r="2323" spans="4:17" x14ac:dyDescent="0.25">
      <c r="Q2323" s="48"/>
    </row>
    <row r="2324" spans="4:17" x14ac:dyDescent="0.25">
      <c r="Q2324" s="48"/>
    </row>
    <row r="2327" spans="4:17" x14ac:dyDescent="0.25">
      <c r="D2327" s="48"/>
      <c r="Q2327" s="48"/>
    </row>
    <row r="2330" spans="4:17" x14ac:dyDescent="0.25">
      <c r="D2330" s="48"/>
      <c r="Q2330" s="48"/>
    </row>
    <row r="2333" spans="4:17" x14ac:dyDescent="0.25">
      <c r="D2333" s="48"/>
      <c r="Q2333" s="48"/>
    </row>
    <row r="2336" spans="4:17" x14ac:dyDescent="0.25">
      <c r="D2336" s="48"/>
      <c r="Q2336" s="48"/>
    </row>
    <row r="2339" spans="4:17" x14ac:dyDescent="0.25">
      <c r="D2339" s="48"/>
      <c r="Q2339" s="48"/>
    </row>
    <row r="2342" spans="4:17" x14ac:dyDescent="0.25">
      <c r="D2342" s="48"/>
      <c r="Q2342" s="48"/>
    </row>
    <row r="2343" spans="4:17" x14ac:dyDescent="0.25">
      <c r="Q2343" s="48"/>
    </row>
    <row r="2346" spans="4:17" x14ac:dyDescent="0.25">
      <c r="D2346" s="48"/>
      <c r="Q2346" s="48"/>
    </row>
    <row r="2349" spans="4:17" x14ac:dyDescent="0.25">
      <c r="D2349" s="48"/>
      <c r="Q2349" s="48"/>
    </row>
    <row r="2352" spans="4:17" x14ac:dyDescent="0.25">
      <c r="D2352" s="48"/>
      <c r="Q2352" s="48"/>
    </row>
    <row r="2353" spans="4:17" x14ac:dyDescent="0.25">
      <c r="Q2353" s="48"/>
    </row>
    <row r="2354" spans="4:17" x14ac:dyDescent="0.25">
      <c r="Q2354" s="48"/>
    </row>
    <row r="2357" spans="4:17" x14ac:dyDescent="0.25">
      <c r="D2357" s="48"/>
      <c r="Q2357" s="48"/>
    </row>
    <row r="2360" spans="4:17" x14ac:dyDescent="0.25">
      <c r="D2360" s="48"/>
      <c r="Q2360" s="48"/>
    </row>
    <row r="2363" spans="4:17" x14ac:dyDescent="0.25">
      <c r="D2363" s="48"/>
      <c r="Q2363" s="48"/>
    </row>
    <row r="2366" spans="4:17" x14ac:dyDescent="0.25">
      <c r="D2366" s="48"/>
      <c r="Q2366" s="48"/>
    </row>
    <row r="2367" spans="4:17" x14ac:dyDescent="0.25">
      <c r="Q2367" s="48"/>
    </row>
    <row r="2368" spans="4:17" x14ac:dyDescent="0.25">
      <c r="Q2368" s="48"/>
    </row>
    <row r="2371" spans="4:17" x14ac:dyDescent="0.25">
      <c r="D2371" s="48"/>
      <c r="Q2371" s="48"/>
    </row>
    <row r="2372" spans="4:17" x14ac:dyDescent="0.25">
      <c r="Q2372" s="48"/>
    </row>
    <row r="2373" spans="4:17" x14ac:dyDescent="0.25">
      <c r="Q2373" s="48"/>
    </row>
    <row r="2376" spans="4:17" x14ac:dyDescent="0.25">
      <c r="D2376" s="48"/>
      <c r="Q2376" s="48"/>
    </row>
    <row r="2379" spans="4:17" x14ac:dyDescent="0.25">
      <c r="D2379" s="48"/>
      <c r="Q2379" s="48"/>
    </row>
    <row r="2382" spans="4:17" x14ac:dyDescent="0.25">
      <c r="D2382" s="48"/>
      <c r="Q2382" s="48"/>
    </row>
    <row r="2383" spans="4:17" x14ac:dyDescent="0.25">
      <c r="Q2383" s="48"/>
    </row>
    <row r="2386" spans="4:17" x14ac:dyDescent="0.25">
      <c r="D2386" s="48"/>
      <c r="Q2386" s="48"/>
    </row>
    <row r="2389" spans="4:17" x14ac:dyDescent="0.25">
      <c r="D2389" s="48"/>
      <c r="Q2389" s="48"/>
    </row>
    <row r="2390" spans="4:17" x14ac:dyDescent="0.25">
      <c r="Q2390" s="48"/>
    </row>
    <row r="2393" spans="4:17" x14ac:dyDescent="0.25">
      <c r="D2393" s="48"/>
      <c r="Q2393" s="48"/>
    </row>
    <row r="2396" spans="4:17" x14ac:dyDescent="0.25">
      <c r="D2396" s="48"/>
      <c r="Q2396" s="48"/>
    </row>
    <row r="2399" spans="4:17" x14ac:dyDescent="0.25">
      <c r="D2399" s="48"/>
      <c r="Q2399" s="48"/>
    </row>
    <row r="2402" spans="4:17" x14ac:dyDescent="0.25">
      <c r="D2402" s="48"/>
      <c r="Q2402" s="48"/>
    </row>
    <row r="2405" spans="4:17" x14ac:dyDescent="0.25">
      <c r="D2405" s="48"/>
      <c r="Q2405" s="48"/>
    </row>
    <row r="2408" spans="4:17" x14ac:dyDescent="0.25">
      <c r="D2408" s="48"/>
      <c r="Q2408" s="48"/>
    </row>
    <row r="2409" spans="4:17" x14ac:dyDescent="0.25">
      <c r="Q2409" s="48"/>
    </row>
    <row r="2412" spans="4:17" x14ac:dyDescent="0.25">
      <c r="D2412" s="48"/>
      <c r="Q2412" s="48"/>
    </row>
    <row r="2413" spans="4:17" x14ac:dyDescent="0.25">
      <c r="Q2413" s="48"/>
    </row>
    <row r="2416" spans="4:17" x14ac:dyDescent="0.25">
      <c r="D2416" s="48"/>
      <c r="Q2416" s="48"/>
    </row>
    <row r="2419" spans="4:17" x14ac:dyDescent="0.25">
      <c r="D2419" s="48"/>
      <c r="Q2419" s="48"/>
    </row>
    <row r="2422" spans="4:17" x14ac:dyDescent="0.25">
      <c r="D2422" s="48"/>
      <c r="Q2422" s="48"/>
    </row>
    <row r="2423" spans="4:17" x14ac:dyDescent="0.25">
      <c r="Q2423" s="48"/>
    </row>
    <row r="2426" spans="4:17" x14ac:dyDescent="0.25">
      <c r="D2426" s="48"/>
      <c r="Q2426" s="48"/>
    </row>
    <row r="2429" spans="4:17" x14ac:dyDescent="0.25">
      <c r="D2429" s="48"/>
      <c r="Q2429" s="48"/>
    </row>
    <row r="2432" spans="4:17" x14ac:dyDescent="0.25">
      <c r="D2432" s="48"/>
      <c r="Q2432" s="48"/>
    </row>
    <row r="2435" spans="4:17" x14ac:dyDescent="0.25">
      <c r="D2435" s="48"/>
      <c r="Q2435" s="48"/>
    </row>
    <row r="2436" spans="4:17" x14ac:dyDescent="0.25">
      <c r="Q2436" s="48"/>
    </row>
    <row r="2439" spans="4:17" x14ac:dyDescent="0.25">
      <c r="D2439" s="48"/>
      <c r="Q2439" s="48"/>
    </row>
    <row r="2440" spans="4:17" x14ac:dyDescent="0.25">
      <c r="Q2440" s="48"/>
    </row>
    <row r="2443" spans="4:17" x14ac:dyDescent="0.25">
      <c r="D2443" s="48"/>
      <c r="Q2443" s="48"/>
    </row>
    <row r="2446" spans="4:17" x14ac:dyDescent="0.25">
      <c r="D2446" s="48"/>
      <c r="Q2446" s="48"/>
    </row>
    <row r="2449" spans="4:17" x14ac:dyDescent="0.25">
      <c r="D2449" s="48"/>
      <c r="Q2449" s="48"/>
    </row>
    <row r="2452" spans="4:17" x14ac:dyDescent="0.25">
      <c r="D2452" s="48"/>
      <c r="Q2452" s="48"/>
    </row>
    <row r="2455" spans="4:17" x14ac:dyDescent="0.25">
      <c r="D2455" s="48"/>
      <c r="Q2455" s="48"/>
    </row>
    <row r="2458" spans="4:17" x14ac:dyDescent="0.25">
      <c r="D2458" s="48"/>
      <c r="Q2458" s="48"/>
    </row>
    <row r="2461" spans="4:17" x14ac:dyDescent="0.25">
      <c r="D2461" s="48"/>
      <c r="Q2461" s="48"/>
    </row>
    <row r="2462" spans="4:17" x14ac:dyDescent="0.25">
      <c r="Q2462" s="48"/>
    </row>
    <row r="2465" spans="4:17" x14ac:dyDescent="0.25">
      <c r="D2465" s="48"/>
      <c r="Q2465" s="48"/>
    </row>
    <row r="2468" spans="4:17" x14ac:dyDescent="0.25">
      <c r="D2468" s="48"/>
      <c r="Q2468" s="48"/>
    </row>
    <row r="2469" spans="4:17" x14ac:dyDescent="0.25">
      <c r="Q2469" s="48"/>
    </row>
    <row r="2470" spans="4:17" x14ac:dyDescent="0.25">
      <c r="Q2470" s="48"/>
    </row>
    <row r="2471" spans="4:17" x14ac:dyDescent="0.25">
      <c r="Q2471" s="48"/>
    </row>
    <row r="2474" spans="4:17" x14ac:dyDescent="0.25">
      <c r="D2474" s="48"/>
      <c r="Q2474" s="48"/>
    </row>
    <row r="2475" spans="4:17" x14ac:dyDescent="0.25">
      <c r="Q2475" s="48"/>
    </row>
    <row r="2476" spans="4:17" x14ac:dyDescent="0.25">
      <c r="Q2476" s="48"/>
    </row>
    <row r="2479" spans="4:17" x14ac:dyDescent="0.25">
      <c r="D2479" s="48"/>
      <c r="Q2479" s="48"/>
    </row>
    <row r="2482" spans="4:17" x14ac:dyDescent="0.25">
      <c r="D2482" s="48"/>
      <c r="Q2482" s="48"/>
    </row>
    <row r="2485" spans="4:17" x14ac:dyDescent="0.25">
      <c r="D2485" s="48"/>
      <c r="Q2485" s="48"/>
    </row>
    <row r="2488" spans="4:17" x14ac:dyDescent="0.25">
      <c r="D2488" s="48"/>
      <c r="Q2488" s="48"/>
    </row>
    <row r="2489" spans="4:17" x14ac:dyDescent="0.25">
      <c r="Q2489" s="48"/>
    </row>
    <row r="2492" spans="4:17" x14ac:dyDescent="0.25">
      <c r="D2492" s="48"/>
      <c r="Q2492" s="48"/>
    </row>
    <row r="2495" spans="4:17" x14ac:dyDescent="0.25">
      <c r="D2495" s="48"/>
      <c r="Q2495" s="48"/>
    </row>
    <row r="2498" spans="4:17" x14ac:dyDescent="0.25">
      <c r="D2498" s="48"/>
      <c r="Q2498" s="48"/>
    </row>
    <row r="2501" spans="4:17" x14ac:dyDescent="0.25">
      <c r="D2501" s="48"/>
      <c r="Q2501" s="48"/>
    </row>
    <row r="2504" spans="4:17" x14ac:dyDescent="0.25">
      <c r="D2504" s="48"/>
      <c r="Q2504" s="48"/>
    </row>
    <row r="2507" spans="4:17" x14ac:dyDescent="0.25">
      <c r="D2507" s="48"/>
      <c r="Q2507" s="48"/>
    </row>
    <row r="2508" spans="4:17" x14ac:dyDescent="0.25">
      <c r="Q2508" s="48"/>
    </row>
    <row r="2509" spans="4:17" x14ac:dyDescent="0.25">
      <c r="Q2509" s="48"/>
    </row>
    <row r="2512" spans="4:17" x14ac:dyDescent="0.25">
      <c r="D2512" s="48"/>
      <c r="Q2512" s="48"/>
    </row>
    <row r="2515" spans="4:17" x14ac:dyDescent="0.25">
      <c r="D2515" s="48"/>
      <c r="Q2515" s="48"/>
    </row>
    <row r="2516" spans="4:17" x14ac:dyDescent="0.25">
      <c r="Q2516" s="48"/>
    </row>
    <row r="2519" spans="4:17" x14ac:dyDescent="0.25">
      <c r="D2519" s="48"/>
      <c r="Q2519" s="48"/>
    </row>
    <row r="2522" spans="4:17" x14ac:dyDescent="0.25">
      <c r="D2522" s="48"/>
      <c r="Q2522" s="48"/>
    </row>
    <row r="2525" spans="4:17" x14ac:dyDescent="0.25">
      <c r="D2525" s="48"/>
      <c r="Q2525" s="48"/>
    </row>
    <row r="2528" spans="4:17" x14ac:dyDescent="0.25">
      <c r="D2528" s="48"/>
      <c r="Q2528" s="48"/>
    </row>
    <row r="2531" spans="4:17" x14ac:dyDescent="0.25">
      <c r="D2531" s="48"/>
      <c r="Q2531" s="48"/>
    </row>
    <row r="2534" spans="4:17" x14ac:dyDescent="0.25">
      <c r="D2534" s="48"/>
      <c r="Q2534" s="48"/>
    </row>
    <row r="2535" spans="4:17" x14ac:dyDescent="0.25">
      <c r="Q2535" s="48"/>
    </row>
    <row r="2536" spans="4:17" x14ac:dyDescent="0.25">
      <c r="Q2536" s="48"/>
    </row>
    <row r="2537" spans="4:17" x14ac:dyDescent="0.25">
      <c r="Q2537" s="48"/>
    </row>
    <row r="2538" spans="4:17" x14ac:dyDescent="0.25">
      <c r="Q2538" s="48"/>
    </row>
    <row r="2539" spans="4:17" x14ac:dyDescent="0.25">
      <c r="Q2539" s="48"/>
    </row>
    <row r="2540" spans="4:17" x14ac:dyDescent="0.25">
      <c r="Q2540" s="48"/>
    </row>
    <row r="2543" spans="4:17" x14ac:dyDescent="0.25">
      <c r="D2543" s="48"/>
      <c r="Q2543" s="48"/>
    </row>
    <row r="2544" spans="4:17" x14ac:dyDescent="0.25">
      <c r="Q2544" s="48"/>
    </row>
    <row r="2545" spans="4:17" x14ac:dyDescent="0.25">
      <c r="Q2545" s="48"/>
    </row>
    <row r="2546" spans="4:17" x14ac:dyDescent="0.25">
      <c r="Q2546" s="48"/>
    </row>
    <row r="2547" spans="4:17" x14ac:dyDescent="0.25">
      <c r="Q2547" s="48"/>
    </row>
    <row r="2548" spans="4:17" x14ac:dyDescent="0.25">
      <c r="Q2548" s="48"/>
    </row>
    <row r="2549" spans="4:17" x14ac:dyDescent="0.25">
      <c r="Q2549" s="48"/>
    </row>
    <row r="2552" spans="4:17" x14ac:dyDescent="0.25">
      <c r="D2552" s="48"/>
      <c r="Q2552" s="48"/>
    </row>
    <row r="2553" spans="4:17" x14ac:dyDescent="0.25">
      <c r="Q2553" s="48"/>
    </row>
    <row r="2554" spans="4:17" x14ac:dyDescent="0.25">
      <c r="Q2554" s="48"/>
    </row>
    <row r="2555" spans="4:17" x14ac:dyDescent="0.25">
      <c r="Q2555" s="48"/>
    </row>
    <row r="2556" spans="4:17" x14ac:dyDescent="0.25">
      <c r="Q2556" s="48"/>
    </row>
    <row r="2557" spans="4:17" x14ac:dyDescent="0.25">
      <c r="Q2557" s="48"/>
    </row>
    <row r="2558" spans="4:17" x14ac:dyDescent="0.25">
      <c r="Q2558" s="48"/>
    </row>
    <row r="2559" spans="4:17" x14ac:dyDescent="0.25">
      <c r="Q2559" s="48"/>
    </row>
    <row r="2560" spans="4:17" x14ac:dyDescent="0.25">
      <c r="Q2560" s="48"/>
    </row>
    <row r="2561" spans="4:17" x14ac:dyDescent="0.25">
      <c r="Q2561" s="48"/>
    </row>
    <row r="2562" spans="4:17" x14ac:dyDescent="0.25">
      <c r="Q2562" s="48"/>
    </row>
    <row r="2565" spans="4:17" x14ac:dyDescent="0.25">
      <c r="D2565" s="48"/>
      <c r="Q2565" s="48"/>
    </row>
    <row r="2566" spans="4:17" x14ac:dyDescent="0.25">
      <c r="Q2566" s="48"/>
    </row>
    <row r="2567" spans="4:17" x14ac:dyDescent="0.25">
      <c r="Q2567" s="48"/>
    </row>
    <row r="2570" spans="4:17" x14ac:dyDescent="0.25">
      <c r="D2570" s="48"/>
      <c r="Q2570" s="48"/>
    </row>
    <row r="2571" spans="4:17" x14ac:dyDescent="0.25">
      <c r="Q2571" s="48"/>
    </row>
    <row r="2574" spans="4:17" x14ac:dyDescent="0.25">
      <c r="D2574" s="48"/>
      <c r="Q2574" s="48"/>
    </row>
    <row r="2575" spans="4:17" x14ac:dyDescent="0.25">
      <c r="Q2575" s="48"/>
    </row>
    <row r="2576" spans="4:17" x14ac:dyDescent="0.25">
      <c r="Q2576" s="48"/>
    </row>
    <row r="2577" spans="4:17" x14ac:dyDescent="0.25">
      <c r="Q2577" s="48"/>
    </row>
    <row r="2580" spans="4:17" x14ac:dyDescent="0.25">
      <c r="D2580" s="48"/>
      <c r="Q2580" s="48"/>
    </row>
    <row r="2583" spans="4:17" x14ac:dyDescent="0.25">
      <c r="D2583" s="48"/>
      <c r="Q2583" s="48"/>
    </row>
    <row r="2586" spans="4:17" x14ac:dyDescent="0.25">
      <c r="D2586" s="48"/>
      <c r="Q2586" s="48"/>
    </row>
    <row r="2589" spans="4:17" x14ac:dyDescent="0.25">
      <c r="D2589" s="48"/>
      <c r="Q2589" s="48"/>
    </row>
    <row r="2592" spans="4:17" x14ac:dyDescent="0.25">
      <c r="D2592" s="48"/>
      <c r="Q2592" s="48"/>
    </row>
    <row r="2595" spans="4:17" x14ac:dyDescent="0.25">
      <c r="D2595" s="48"/>
      <c r="Q2595" s="48"/>
    </row>
    <row r="2598" spans="4:17" x14ac:dyDescent="0.25">
      <c r="D2598" s="48"/>
      <c r="Q2598" s="48"/>
    </row>
    <row r="2599" spans="4:17" x14ac:dyDescent="0.25">
      <c r="Q2599" s="48"/>
    </row>
    <row r="2602" spans="4:17" x14ac:dyDescent="0.25">
      <c r="D2602" s="48"/>
      <c r="Q2602" s="48"/>
    </row>
    <row r="2605" spans="4:17" x14ac:dyDescent="0.25">
      <c r="D2605" s="48"/>
      <c r="Q2605" s="48"/>
    </row>
    <row r="2608" spans="4:17" x14ac:dyDescent="0.25">
      <c r="D2608" s="48"/>
      <c r="Q2608" s="48"/>
    </row>
    <row r="2611" spans="4:17" x14ac:dyDescent="0.25">
      <c r="D2611" s="48"/>
      <c r="Q2611" s="48"/>
    </row>
    <row r="2612" spans="4:17" x14ac:dyDescent="0.25">
      <c r="Q2612" s="48"/>
    </row>
    <row r="2613" spans="4:17" x14ac:dyDescent="0.25">
      <c r="Q2613" s="48"/>
    </row>
    <row r="2616" spans="4:17" x14ac:dyDescent="0.25">
      <c r="D2616" s="48"/>
      <c r="Q2616" s="48"/>
    </row>
    <row r="2619" spans="4:17" x14ac:dyDescent="0.25">
      <c r="D2619" s="48"/>
      <c r="Q2619" s="48"/>
    </row>
    <row r="2622" spans="4:17" x14ac:dyDescent="0.25">
      <c r="D2622" s="48"/>
      <c r="Q2622" s="48"/>
    </row>
    <row r="2625" spans="4:17" x14ac:dyDescent="0.25">
      <c r="D2625" s="48"/>
      <c r="Q2625" s="48"/>
    </row>
    <row r="2628" spans="4:17" x14ac:dyDescent="0.25">
      <c r="D2628" s="48"/>
      <c r="Q2628" s="48"/>
    </row>
    <row r="2629" spans="4:17" x14ac:dyDescent="0.25">
      <c r="Q2629" s="48"/>
    </row>
    <row r="2630" spans="4:17" x14ac:dyDescent="0.25">
      <c r="Q2630" s="48"/>
    </row>
    <row r="2633" spans="4:17" x14ac:dyDescent="0.25">
      <c r="D2633" s="48"/>
      <c r="Q2633" s="48"/>
    </row>
    <row r="2634" spans="4:17" x14ac:dyDescent="0.25">
      <c r="Q2634" s="48"/>
    </row>
    <row r="2637" spans="4:17" x14ac:dyDescent="0.25">
      <c r="D2637" s="48"/>
      <c r="Q2637" s="48"/>
    </row>
    <row r="2638" spans="4:17" x14ac:dyDescent="0.25">
      <c r="Q2638" s="48"/>
    </row>
    <row r="2639" spans="4:17" x14ac:dyDescent="0.25">
      <c r="Q2639" s="48"/>
    </row>
    <row r="2642" spans="4:17" x14ac:dyDescent="0.25">
      <c r="D2642" s="48"/>
      <c r="Q2642" s="48"/>
    </row>
    <row r="2643" spans="4:17" x14ac:dyDescent="0.25">
      <c r="Q2643" s="48"/>
    </row>
    <row r="2646" spans="4:17" x14ac:dyDescent="0.25">
      <c r="D2646" s="48"/>
      <c r="Q2646" s="48"/>
    </row>
    <row r="2649" spans="4:17" x14ac:dyDescent="0.25">
      <c r="D2649" s="48"/>
      <c r="Q2649" s="48"/>
    </row>
    <row r="2652" spans="4:17" x14ac:dyDescent="0.25">
      <c r="D2652" s="48"/>
      <c r="Q2652" s="48"/>
    </row>
    <row r="2655" spans="4:17" x14ac:dyDescent="0.25">
      <c r="D2655" s="48"/>
      <c r="Q2655" s="48"/>
    </row>
    <row r="2658" spans="4:17" x14ac:dyDescent="0.25">
      <c r="D2658" s="48"/>
      <c r="Q2658" s="48"/>
    </row>
    <row r="2661" spans="4:17" x14ac:dyDescent="0.25">
      <c r="D2661" s="48"/>
      <c r="Q2661" s="48"/>
    </row>
    <row r="2664" spans="4:17" x14ac:dyDescent="0.25">
      <c r="D2664" s="48"/>
      <c r="Q2664" s="48"/>
    </row>
    <row r="2665" spans="4:17" x14ac:dyDescent="0.25">
      <c r="Q2665" s="48"/>
    </row>
    <row r="2668" spans="4:17" x14ac:dyDescent="0.25">
      <c r="D2668" s="48"/>
      <c r="Q2668" s="48"/>
    </row>
    <row r="2669" spans="4:17" x14ac:dyDescent="0.25">
      <c r="Q2669" s="48"/>
    </row>
    <row r="2672" spans="4:17" x14ac:dyDescent="0.25">
      <c r="D2672" s="48"/>
      <c r="Q2672" s="48"/>
    </row>
    <row r="2673" spans="4:17" x14ac:dyDescent="0.25">
      <c r="Q2673" s="48"/>
    </row>
    <row r="2674" spans="4:17" x14ac:dyDescent="0.25">
      <c r="Q2674" s="48"/>
    </row>
    <row r="2677" spans="4:17" x14ac:dyDescent="0.25">
      <c r="D2677" s="48"/>
      <c r="Q2677" s="48"/>
    </row>
    <row r="2680" spans="4:17" x14ac:dyDescent="0.25">
      <c r="D2680" s="48"/>
      <c r="Q2680" s="48"/>
    </row>
    <row r="2683" spans="4:17" x14ac:dyDescent="0.25">
      <c r="D2683" s="48"/>
      <c r="Q2683" s="48"/>
    </row>
    <row r="2686" spans="4:17" x14ac:dyDescent="0.25">
      <c r="D2686" s="48"/>
      <c r="Q2686" s="48"/>
    </row>
    <row r="2689" spans="4:17" x14ac:dyDescent="0.25">
      <c r="D2689" s="48"/>
      <c r="Q2689" s="48"/>
    </row>
    <row r="2690" spans="4:17" x14ac:dyDescent="0.25">
      <c r="Q2690" s="48"/>
    </row>
    <row r="2691" spans="4:17" x14ac:dyDescent="0.25">
      <c r="Q2691" s="48"/>
    </row>
    <row r="2692" spans="4:17" x14ac:dyDescent="0.25">
      <c r="Q2692" s="48"/>
    </row>
    <row r="2695" spans="4:17" x14ac:dyDescent="0.25">
      <c r="D2695" s="48"/>
      <c r="Q2695" s="48"/>
    </row>
    <row r="2696" spans="4:17" x14ac:dyDescent="0.25">
      <c r="Q2696" s="48"/>
    </row>
    <row r="2699" spans="4:17" x14ac:dyDescent="0.25">
      <c r="D2699" s="48"/>
      <c r="Q2699" s="48"/>
    </row>
    <row r="2700" spans="4:17" x14ac:dyDescent="0.25">
      <c r="Q2700" s="48"/>
    </row>
    <row r="2703" spans="4:17" x14ac:dyDescent="0.25">
      <c r="D2703" s="48"/>
      <c r="Q2703" s="48"/>
    </row>
    <row r="2706" spans="4:17" x14ac:dyDescent="0.25">
      <c r="D2706" s="48"/>
      <c r="Q2706" s="48"/>
    </row>
    <row r="2709" spans="4:17" x14ac:dyDescent="0.25">
      <c r="D2709" s="48"/>
      <c r="Q2709" s="48"/>
    </row>
    <row r="2712" spans="4:17" x14ac:dyDescent="0.25">
      <c r="D2712" s="48"/>
      <c r="Q2712" s="48"/>
    </row>
    <row r="2713" spans="4:17" x14ac:dyDescent="0.25">
      <c r="Q2713" s="48"/>
    </row>
    <row r="2716" spans="4:17" x14ac:dyDescent="0.25">
      <c r="D2716" s="48"/>
      <c r="Q2716" s="48"/>
    </row>
    <row r="2719" spans="4:17" x14ac:dyDescent="0.25">
      <c r="D2719" s="48"/>
      <c r="Q2719" s="48"/>
    </row>
    <row r="2722" spans="4:17" x14ac:dyDescent="0.25">
      <c r="D2722" s="48"/>
      <c r="Q2722" s="48"/>
    </row>
    <row r="2725" spans="4:17" x14ac:dyDescent="0.25">
      <c r="D2725" s="48"/>
      <c r="Q2725" s="48"/>
    </row>
    <row r="2726" spans="4:17" x14ac:dyDescent="0.25">
      <c r="Q2726" s="48"/>
    </row>
    <row r="2727" spans="4:17" x14ac:dyDescent="0.25">
      <c r="Q2727" s="48"/>
    </row>
    <row r="2730" spans="4:17" x14ac:dyDescent="0.25">
      <c r="D2730" s="48"/>
      <c r="Q2730" s="48"/>
    </row>
    <row r="2731" spans="4:17" x14ac:dyDescent="0.25">
      <c r="Q2731" s="48"/>
    </row>
    <row r="2732" spans="4:17" x14ac:dyDescent="0.25">
      <c r="Q2732" s="48"/>
    </row>
    <row r="2733" spans="4:17" x14ac:dyDescent="0.25">
      <c r="Q2733" s="48"/>
    </row>
    <row r="2736" spans="4:17" x14ac:dyDescent="0.25">
      <c r="D2736" s="48"/>
      <c r="Q2736" s="48"/>
    </row>
    <row r="2737" spans="4:17" x14ac:dyDescent="0.25">
      <c r="Q2737" s="48"/>
    </row>
    <row r="2738" spans="4:17" x14ac:dyDescent="0.25">
      <c r="Q2738" s="48"/>
    </row>
    <row r="2739" spans="4:17" x14ac:dyDescent="0.25">
      <c r="Q2739" s="48"/>
    </row>
    <row r="2742" spans="4:17" x14ac:dyDescent="0.25">
      <c r="D2742" s="48"/>
      <c r="Q2742" s="48"/>
    </row>
    <row r="2743" spans="4:17" x14ac:dyDescent="0.25">
      <c r="Q2743" s="48"/>
    </row>
    <row r="2744" spans="4:17" x14ac:dyDescent="0.25">
      <c r="Q2744" s="48"/>
    </row>
    <row r="2745" spans="4:17" x14ac:dyDescent="0.25">
      <c r="Q2745" s="48"/>
    </row>
    <row r="2746" spans="4:17" x14ac:dyDescent="0.25">
      <c r="Q2746" s="48"/>
    </row>
    <row r="2749" spans="4:17" x14ac:dyDescent="0.25">
      <c r="D2749" s="48"/>
      <c r="Q2749" s="48"/>
    </row>
    <row r="2752" spans="4:17" x14ac:dyDescent="0.25">
      <c r="D2752" s="48"/>
      <c r="Q2752" s="48"/>
    </row>
    <row r="2755" spans="4:17" x14ac:dyDescent="0.25">
      <c r="D2755" s="48"/>
      <c r="Q2755" s="48"/>
    </row>
    <row r="2758" spans="4:17" x14ac:dyDescent="0.25">
      <c r="D2758" s="48"/>
      <c r="Q2758" s="48"/>
    </row>
    <row r="2761" spans="4:17" x14ac:dyDescent="0.25">
      <c r="D2761" s="48"/>
      <c r="Q2761" s="48"/>
    </row>
    <row r="2762" spans="4:17" x14ac:dyDescent="0.25">
      <c r="Q2762" s="48"/>
    </row>
    <row r="2765" spans="4:17" x14ac:dyDescent="0.25">
      <c r="D2765" s="48"/>
      <c r="Q2765" s="48"/>
    </row>
    <row r="2766" spans="4:17" x14ac:dyDescent="0.25">
      <c r="Q2766" s="48"/>
    </row>
    <row r="2769" spans="4:17" x14ac:dyDescent="0.25">
      <c r="D2769" s="48"/>
      <c r="Q2769" s="48"/>
    </row>
    <row r="2772" spans="4:17" x14ac:dyDescent="0.25">
      <c r="D2772" s="48"/>
      <c r="Q2772" s="48"/>
    </row>
    <row r="2775" spans="4:17" x14ac:dyDescent="0.25">
      <c r="D2775" s="48"/>
      <c r="Q2775" s="48"/>
    </row>
    <row r="2778" spans="4:17" x14ac:dyDescent="0.25">
      <c r="D2778" s="48"/>
      <c r="Q2778" s="48"/>
    </row>
    <row r="2781" spans="4:17" x14ac:dyDescent="0.25">
      <c r="D2781" s="48"/>
      <c r="Q2781" s="48"/>
    </row>
    <row r="2784" spans="4:17" x14ac:dyDescent="0.25">
      <c r="D2784" s="48"/>
      <c r="Q2784" s="48"/>
    </row>
    <row r="2787" spans="4:17" x14ac:dyDescent="0.25">
      <c r="D2787" s="48"/>
      <c r="Q2787" s="48"/>
    </row>
    <row r="2790" spans="4:17" x14ac:dyDescent="0.25">
      <c r="D2790" s="48"/>
      <c r="Q2790" s="48"/>
    </row>
    <row r="2793" spans="4:17" x14ac:dyDescent="0.25">
      <c r="D2793" s="48"/>
      <c r="Q2793" s="48"/>
    </row>
    <row r="2796" spans="4:17" x14ac:dyDescent="0.25">
      <c r="D2796" s="48"/>
      <c r="Q2796" s="48"/>
    </row>
    <row r="2799" spans="4:17" x14ac:dyDescent="0.25">
      <c r="D2799" s="48"/>
      <c r="Q2799" s="48"/>
    </row>
    <row r="2802" spans="4:17" x14ac:dyDescent="0.25">
      <c r="D2802" s="48"/>
      <c r="Q2802" s="48"/>
    </row>
    <row r="2803" spans="4:17" x14ac:dyDescent="0.25">
      <c r="Q2803" s="48"/>
    </row>
    <row r="2804" spans="4:17" x14ac:dyDescent="0.25">
      <c r="Q2804" s="48"/>
    </row>
    <row r="2807" spans="4:17" x14ac:dyDescent="0.25">
      <c r="D2807" s="48"/>
      <c r="Q2807" s="48"/>
    </row>
    <row r="2808" spans="4:17" x14ac:dyDescent="0.25">
      <c r="Q2808" s="48"/>
    </row>
    <row r="2811" spans="4:17" x14ac:dyDescent="0.25">
      <c r="D2811" s="48"/>
      <c r="Q2811" s="48"/>
    </row>
    <row r="2812" spans="4:17" x14ac:dyDescent="0.25">
      <c r="Q2812" s="48"/>
    </row>
    <row r="2815" spans="4:17" x14ac:dyDescent="0.25">
      <c r="D2815" s="48"/>
      <c r="Q2815" s="48"/>
    </row>
    <row r="2818" spans="4:17" x14ac:dyDescent="0.25">
      <c r="D2818" s="48"/>
      <c r="Q2818" s="48"/>
    </row>
    <row r="2821" spans="4:17" x14ac:dyDescent="0.25">
      <c r="D2821" s="48"/>
      <c r="Q2821" s="48"/>
    </row>
    <row r="2824" spans="4:17" x14ac:dyDescent="0.25">
      <c r="D2824" s="48"/>
      <c r="Q2824" s="48"/>
    </row>
    <row r="2825" spans="4:17" x14ac:dyDescent="0.25">
      <c r="Q2825" s="48"/>
    </row>
    <row r="2828" spans="4:17" x14ac:dyDescent="0.25">
      <c r="D2828" s="48"/>
      <c r="Q2828" s="48"/>
    </row>
    <row r="2831" spans="4:17" x14ac:dyDescent="0.25">
      <c r="D2831" s="48"/>
      <c r="Q2831" s="48"/>
    </row>
    <row r="2832" spans="4:17" x14ac:dyDescent="0.25">
      <c r="Q2832" s="48"/>
    </row>
    <row r="2835" spans="4:17" x14ac:dyDescent="0.25">
      <c r="D2835" s="48"/>
      <c r="Q2835" s="48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AD6"/>
  <sheetViews>
    <sheetView workbookViewId="0">
      <selection activeCell="V6" sqref="V6"/>
    </sheetView>
  </sheetViews>
  <sheetFormatPr defaultRowHeight="15" x14ac:dyDescent="0.25"/>
  <sheetData>
    <row r="1" spans="3:30" x14ac:dyDescent="0.25">
      <c r="V1" s="1">
        <f>COUNTA(Y:Y)+2</f>
        <v>2</v>
      </c>
    </row>
    <row r="2" spans="3:30" x14ac:dyDescent="0.25">
      <c r="V2" s="1">
        <f>COUNTA(SPEC!A:A)+1</f>
        <v>1</v>
      </c>
    </row>
    <row r="3" spans="3:30" x14ac:dyDescent="0.25">
      <c r="C3" s="1"/>
      <c r="V3" s="1">
        <f>COUNTA(Final!O:O)+1</f>
        <v>2</v>
      </c>
      <c r="Y3" s="1"/>
      <c r="Z3" s="1"/>
      <c r="AC3" s="1"/>
    </row>
    <row r="4" spans="3:30" x14ac:dyDescent="0.25">
      <c r="C4" s="1"/>
      <c r="V4" s="1">
        <f>COUNTA('Incoming Material Report'!K:K)+4000</f>
        <v>4000</v>
      </c>
      <c r="Y4" s="1"/>
      <c r="Z4" s="1"/>
      <c r="AC4" s="1"/>
    </row>
    <row r="5" spans="3:30" x14ac:dyDescent="0.25">
      <c r="C5" s="1"/>
      <c r="D5" s="1"/>
      <c r="U5" s="1"/>
      <c r="V5" s="1">
        <f>COUNTA(Data!A:A)</f>
        <v>0</v>
      </c>
      <c r="Y5" s="1"/>
      <c r="Z5" s="1"/>
      <c r="AA5" s="1"/>
      <c r="AC5" s="1"/>
      <c r="AD5" s="1"/>
    </row>
    <row r="6" spans="3:30" x14ac:dyDescent="0.25">
      <c r="V6" s="32">
        <f>COUNTA('GRPO Wiz'!B:B)+1</f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"/>
  <sheetViews>
    <sheetView workbookViewId="0">
      <selection sqref="A1:XFD1048576"/>
    </sheetView>
  </sheetViews>
  <sheetFormatPr defaultRowHeight="15" x14ac:dyDescent="0.25"/>
  <cols>
    <col min="1" max="1" width="9.140625" style="1" customWidth="1"/>
  </cols>
  <sheetData>
    <row r="1" spans="2:10" x14ac:dyDescent="0.25">
      <c r="B1" s="1"/>
      <c r="C1" s="1"/>
      <c r="D1" s="1"/>
      <c r="E1" s="1"/>
      <c r="H1" s="1"/>
      <c r="I1" s="1"/>
      <c r="J1" s="1"/>
    </row>
    <row r="2" spans="2:10" x14ac:dyDescent="0.25">
      <c r="B2" s="1"/>
      <c r="C2" s="1"/>
      <c r="D2" s="1"/>
      <c r="E2" s="1"/>
      <c r="H2" s="1"/>
      <c r="I2" s="1"/>
      <c r="J2" s="1"/>
    </row>
    <row r="3" spans="2:10" x14ac:dyDescent="0.25">
      <c r="B3" s="1"/>
      <c r="C3" s="1"/>
      <c r="D3" s="1"/>
      <c r="E3" s="1"/>
      <c r="H3" s="1"/>
      <c r="I3" s="1"/>
      <c r="J3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0"/>
  <sheetViews>
    <sheetView workbookViewId="0">
      <selection sqref="A1:XFD1048576"/>
    </sheetView>
  </sheetViews>
  <sheetFormatPr defaultRowHeight="15" x14ac:dyDescent="0.25"/>
  <cols>
    <col min="1" max="1" width="45.85546875" style="1" customWidth="1"/>
  </cols>
  <sheetData>
    <row r="1" spans="2:2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C2" s="1"/>
    </row>
    <row r="3" spans="2:24" x14ac:dyDescent="0.25">
      <c r="B3" s="1"/>
      <c r="C3" s="1"/>
    </row>
    <row r="4" spans="2:24" x14ac:dyDescent="0.25">
      <c r="B4" s="1"/>
      <c r="C4" s="1"/>
    </row>
    <row r="5" spans="2:24" x14ac:dyDescent="0.25">
      <c r="B5" s="1"/>
      <c r="C5" s="1"/>
    </row>
    <row r="6" spans="2:24" x14ac:dyDescent="0.25">
      <c r="B6" s="1"/>
      <c r="C6" s="1"/>
      <c r="D6" s="1"/>
      <c r="E6" s="1"/>
    </row>
    <row r="7" spans="2:24" x14ac:dyDescent="0.25">
      <c r="B7" s="1"/>
      <c r="C7" s="1"/>
      <c r="D7" s="1"/>
      <c r="E7" s="1"/>
      <c r="F7" s="1"/>
      <c r="G7" s="1"/>
      <c r="H7" s="1"/>
      <c r="I7" s="1"/>
      <c r="J7" s="1"/>
    </row>
    <row r="8" spans="2:24" x14ac:dyDescent="0.25">
      <c r="B8" s="1"/>
      <c r="C8" s="1"/>
      <c r="D8" s="1"/>
      <c r="E8" s="1"/>
      <c r="F8" s="1"/>
      <c r="G8" s="1"/>
      <c r="H8" s="1"/>
    </row>
    <row r="9" spans="2:24" x14ac:dyDescent="0.25">
      <c r="B9" s="1"/>
      <c r="C9" s="1"/>
      <c r="D9" s="1"/>
      <c r="E9" s="1"/>
      <c r="F9" s="1"/>
    </row>
    <row r="10" spans="2:24" x14ac:dyDescent="0.25">
      <c r="B10" s="1"/>
    </row>
    <row r="11" spans="2:24" x14ac:dyDescent="0.25">
      <c r="B11" s="1"/>
      <c r="C11" s="1"/>
    </row>
    <row r="12" spans="2:24" x14ac:dyDescent="0.25">
      <c r="B12" s="1"/>
      <c r="C12" s="1"/>
      <c r="D12" s="1"/>
      <c r="E12" s="1"/>
    </row>
    <row r="13" spans="2:24" x14ac:dyDescent="0.25">
      <c r="B13" s="1"/>
      <c r="C13" s="1"/>
      <c r="D13" s="1"/>
    </row>
    <row r="14" spans="2:24" x14ac:dyDescent="0.25">
      <c r="B14" s="1"/>
      <c r="C14" s="1"/>
      <c r="D14" s="1"/>
      <c r="E14" s="1"/>
      <c r="F14" s="1"/>
      <c r="G14" s="1"/>
      <c r="H14" s="1"/>
    </row>
    <row r="15" spans="2:2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2:14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2:14" x14ac:dyDescent="0.25">
      <c r="B18" s="1"/>
      <c r="C18" s="1"/>
    </row>
    <row r="19" spans="2:14" x14ac:dyDescent="0.25">
      <c r="B19" s="1"/>
      <c r="C19" s="1"/>
    </row>
    <row r="20" spans="2:14" x14ac:dyDescent="0.25">
      <c r="B20" s="1"/>
      <c r="C20" s="1"/>
      <c r="D20" s="1"/>
      <c r="E20" s="1"/>
      <c r="F20" s="1"/>
      <c r="G20" s="1"/>
    </row>
    <row r="21" spans="2:14" x14ac:dyDescent="0.25">
      <c r="B21" s="1"/>
      <c r="C21" s="1"/>
      <c r="D21" s="1"/>
      <c r="E21" s="1"/>
      <c r="F21" s="1"/>
    </row>
    <row r="22" spans="2:14" x14ac:dyDescent="0.25">
      <c r="B22" s="1"/>
      <c r="C22" s="1"/>
      <c r="D22" s="1"/>
    </row>
    <row r="24" spans="2:14" x14ac:dyDescent="0.25">
      <c r="B24" s="1"/>
      <c r="C24" s="1"/>
      <c r="D24" s="1"/>
    </row>
    <row r="25" spans="2:14" x14ac:dyDescent="0.25">
      <c r="B25" s="1"/>
      <c r="C25" s="1"/>
      <c r="D25" s="1"/>
      <c r="E25" s="1"/>
      <c r="F25" s="1"/>
      <c r="G25" s="1"/>
      <c r="H25" s="1"/>
    </row>
    <row r="26" spans="2:14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8" spans="2:14" x14ac:dyDescent="0.25">
      <c r="B28" s="1"/>
      <c r="C28" s="1"/>
      <c r="D28" s="1"/>
    </row>
    <row r="29" spans="2:14" x14ac:dyDescent="0.25">
      <c r="B29" s="1"/>
      <c r="C29" s="1"/>
      <c r="D29" s="1"/>
      <c r="E29" s="1"/>
      <c r="F29" s="1"/>
      <c r="G29" s="1"/>
      <c r="H29" s="1"/>
    </row>
    <row r="30" spans="2:14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4" x14ac:dyDescent="0.25">
      <c r="B31" s="1"/>
      <c r="C31" s="1"/>
    </row>
    <row r="32" spans="2:14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8" x14ac:dyDescent="0.25">
      <c r="B33" s="1"/>
      <c r="C33" s="1"/>
      <c r="D33" s="1"/>
      <c r="E33" s="1"/>
      <c r="F33" s="1"/>
      <c r="G33" s="1"/>
    </row>
    <row r="34" spans="2:8" x14ac:dyDescent="0.25">
      <c r="B34" s="1"/>
      <c r="C34" s="1"/>
    </row>
    <row r="35" spans="2:8" x14ac:dyDescent="0.25">
      <c r="B35" s="1"/>
      <c r="C35" s="1"/>
      <c r="D35" s="1"/>
      <c r="E35" s="1"/>
      <c r="F35" s="1"/>
    </row>
    <row r="36" spans="2:8" x14ac:dyDescent="0.25">
      <c r="B36" s="1"/>
      <c r="C36" s="1"/>
    </row>
    <row r="37" spans="2:8" x14ac:dyDescent="0.25">
      <c r="B37" s="1"/>
      <c r="C37" s="1"/>
      <c r="D37" s="1"/>
    </row>
    <row r="39" spans="2:8" x14ac:dyDescent="0.25">
      <c r="B39" s="1"/>
      <c r="C39" s="1"/>
    </row>
    <row r="40" spans="2:8" x14ac:dyDescent="0.25">
      <c r="B40" s="1"/>
      <c r="C40" s="1"/>
      <c r="D40" s="1"/>
      <c r="E40" s="1"/>
      <c r="F40" s="1"/>
      <c r="G40" s="1"/>
      <c r="H40" s="1"/>
    </row>
    <row r="41" spans="2:8" x14ac:dyDescent="0.25">
      <c r="B41" s="1"/>
      <c r="C41" s="1"/>
      <c r="D41" s="1"/>
      <c r="E41" s="1"/>
      <c r="F41" s="1"/>
      <c r="G41" s="1"/>
      <c r="H41" s="1"/>
    </row>
    <row r="42" spans="2:8" x14ac:dyDescent="0.25">
      <c r="B42" s="1"/>
      <c r="C42" s="1"/>
      <c r="D42" s="1"/>
      <c r="E42" s="1"/>
      <c r="F42" s="1"/>
      <c r="G42" s="1"/>
    </row>
    <row r="43" spans="2:8" x14ac:dyDescent="0.25">
      <c r="B43" s="1"/>
      <c r="C43" s="1"/>
      <c r="D43" s="1"/>
      <c r="E43" s="1"/>
      <c r="F43" s="1"/>
      <c r="G43" s="1"/>
    </row>
    <row r="44" spans="2:8" x14ac:dyDescent="0.25">
      <c r="B44" s="1"/>
      <c r="C44" s="1"/>
      <c r="D44" s="1"/>
      <c r="E44" s="1"/>
      <c r="F44" s="1"/>
    </row>
    <row r="46" spans="2:8" x14ac:dyDescent="0.25">
      <c r="B46" s="1"/>
      <c r="C46" s="1"/>
      <c r="D46" s="1"/>
      <c r="E46" s="1"/>
      <c r="F46" s="1"/>
      <c r="G46" s="1"/>
    </row>
    <row r="47" spans="2:8" x14ac:dyDescent="0.25">
      <c r="B47" s="1"/>
      <c r="C47" s="1"/>
      <c r="D47" s="1"/>
    </row>
    <row r="48" spans="2:8" x14ac:dyDescent="0.25">
      <c r="B48" s="1"/>
      <c r="C48" s="1"/>
      <c r="D48" s="1"/>
    </row>
    <row r="49" spans="2:24" x14ac:dyDescent="0.25">
      <c r="B49" s="1"/>
      <c r="C49" s="1"/>
      <c r="D49" s="1"/>
    </row>
    <row r="50" spans="2:24" x14ac:dyDescent="0.25">
      <c r="B50" s="1"/>
      <c r="C50" s="1"/>
    </row>
    <row r="51" spans="2:24" x14ac:dyDescent="0.25">
      <c r="B51" s="1"/>
      <c r="C51" s="1"/>
      <c r="D51" s="1"/>
      <c r="E51" s="1"/>
      <c r="F51" s="1"/>
      <c r="G51" s="1"/>
      <c r="H51" s="1"/>
    </row>
    <row r="52" spans="2:24" x14ac:dyDescent="0.25">
      <c r="B52" s="1"/>
    </row>
    <row r="53" spans="2:24" x14ac:dyDescent="0.25">
      <c r="B53" s="1"/>
    </row>
    <row r="56" spans="2:24" x14ac:dyDescent="0.25">
      <c r="B56" s="1"/>
      <c r="C56" s="1"/>
      <c r="D56" s="1"/>
    </row>
    <row r="57" spans="2:24" x14ac:dyDescent="0.25">
      <c r="B57" s="1"/>
    </row>
    <row r="58" spans="2:24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24" x14ac:dyDescent="0.25">
      <c r="B60" s="1"/>
      <c r="C60" s="1"/>
      <c r="D60" s="1"/>
      <c r="E60" s="1"/>
      <c r="F60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S2" sqref="S2:S184"/>
    </sheetView>
  </sheetViews>
  <sheetFormatPr defaultRowHeight="15" x14ac:dyDescent="0.25"/>
  <sheetData>
    <row r="1" spans="1:19" x14ac:dyDescent="0.25">
      <c r="N1" s="1">
        <f>COUNTA(A:A)+2</f>
        <v>2</v>
      </c>
    </row>
    <row r="2" spans="1:19" x14ac:dyDescent="0.25">
      <c r="A2" s="1"/>
      <c r="B2" s="1"/>
      <c r="C2" s="1"/>
      <c r="D2" s="1"/>
      <c r="E2" s="1"/>
      <c r="F2" s="1"/>
      <c r="O2" s="1" t="str">
        <f t="shared" ref="O2:O33" si="0">D2&amp;E2</f>
        <v/>
      </c>
      <c r="P2" s="1" t="str">
        <f t="shared" ref="P2:P33" si="1">IF(C2="","",C2)</f>
        <v/>
      </c>
      <c r="Q2" s="1" t="str">
        <f>IF(O2="","",IF(OR(ISNA(VLOOKUP(O2,Final!T:T,1,FALSE)),R2="Duplicate"),"NA",VLOOKUP(O2,Final!T:T,1,FALSE)))</f>
        <v/>
      </c>
      <c r="R2" t="str">
        <f>IF(AND(COUNTIF($S$2:$S2, $S2)&gt;1,S2&lt;&gt;""), "Duplicate", "")</f>
        <v/>
      </c>
      <c r="S2" t="str">
        <f>D2&amp;E2</f>
        <v/>
      </c>
    </row>
    <row r="3" spans="1:19" x14ac:dyDescent="0.25">
      <c r="A3" s="1"/>
      <c r="B3" s="1"/>
      <c r="C3" s="1"/>
      <c r="D3" s="1"/>
      <c r="E3" s="1"/>
      <c r="F3" s="1"/>
      <c r="O3" s="1" t="str">
        <f t="shared" si="0"/>
        <v/>
      </c>
      <c r="P3" s="1" t="str">
        <f t="shared" si="1"/>
        <v/>
      </c>
      <c r="Q3" s="1" t="str">
        <f>IF(O3="","",IF(OR(ISNA(VLOOKUP(O3,Final!T:T,1,FALSE)),R3="Duplicate"),"NA",VLOOKUP(O3,Final!T:T,1,FALSE)))</f>
        <v/>
      </c>
      <c r="R3" t="str">
        <f>IF(AND(COUNTIF($S$2:$S3, $S3)&gt;1,S3&lt;&gt;""), "Duplicate", "")</f>
        <v/>
      </c>
      <c r="S3" t="str">
        <f t="shared" ref="S3:S66" si="2">D3&amp;E3</f>
        <v/>
      </c>
    </row>
    <row r="4" spans="1:19" x14ac:dyDescent="0.25">
      <c r="A4" s="1"/>
      <c r="B4" s="1"/>
      <c r="C4" s="1"/>
      <c r="D4" s="1"/>
      <c r="E4" s="1"/>
      <c r="F4" s="1"/>
      <c r="O4" s="1" t="str">
        <f t="shared" si="0"/>
        <v/>
      </c>
      <c r="P4" s="1" t="str">
        <f t="shared" si="1"/>
        <v/>
      </c>
      <c r="Q4" s="1" t="str">
        <f>IF(O4="","",IF(OR(ISNA(VLOOKUP(O4,Final!T:T,1,FALSE)),R4="Duplicate"),"NA",VLOOKUP(O4,Final!T:T,1,FALSE)))</f>
        <v/>
      </c>
      <c r="R4" t="str">
        <f>IF(AND(COUNTIF($S$2:$S4, $S4)&gt;1,S4&lt;&gt;""), "Duplicate", "")</f>
        <v/>
      </c>
      <c r="S4" t="str">
        <f t="shared" si="2"/>
        <v/>
      </c>
    </row>
    <row r="5" spans="1:19" x14ac:dyDescent="0.25">
      <c r="O5" s="1" t="str">
        <f t="shared" si="0"/>
        <v/>
      </c>
      <c r="P5" s="1" t="str">
        <f t="shared" si="1"/>
        <v/>
      </c>
      <c r="Q5" s="1" t="str">
        <f>IF(O5="","",IF(OR(ISNA(VLOOKUP(O5,Final!T:T,1,FALSE)),R5="Duplicate"),"NA",VLOOKUP(O5,Final!T:T,1,FALSE)))</f>
        <v/>
      </c>
      <c r="R5" t="str">
        <f>IF(AND(COUNTIF($S$2:$S5, $S5)&gt;1,S5&lt;&gt;""), "Duplicate", "")</f>
        <v/>
      </c>
      <c r="S5" t="str">
        <f t="shared" si="2"/>
        <v/>
      </c>
    </row>
    <row r="6" spans="1:19" x14ac:dyDescent="0.25">
      <c r="O6" s="1" t="str">
        <f t="shared" si="0"/>
        <v/>
      </c>
      <c r="P6" s="1" t="str">
        <f t="shared" si="1"/>
        <v/>
      </c>
      <c r="Q6" s="1" t="str">
        <f>IF(O6="","",IF(OR(ISNA(VLOOKUP(O6,Final!T:T,1,FALSE)),R6="Duplicate"),"NA",VLOOKUP(O6,Final!T:T,1,FALSE)))</f>
        <v/>
      </c>
      <c r="R6" t="str">
        <f>IF(AND(COUNTIF($S$2:$S6, $S6)&gt;1,S6&lt;&gt;""), "Duplicate", "")</f>
        <v/>
      </c>
      <c r="S6" t="str">
        <f t="shared" si="2"/>
        <v/>
      </c>
    </row>
    <row r="7" spans="1:19" x14ac:dyDescent="0.25">
      <c r="O7" s="1" t="str">
        <f t="shared" si="0"/>
        <v/>
      </c>
      <c r="P7" s="1" t="str">
        <f t="shared" si="1"/>
        <v/>
      </c>
      <c r="Q7" s="1" t="str">
        <f>IF(O7="","",IF(OR(ISNA(VLOOKUP(O7,Final!T:T,1,FALSE)),R7="Duplicate"),"NA",VLOOKUP(O7,Final!T:T,1,FALSE)))</f>
        <v/>
      </c>
      <c r="R7" t="str">
        <f>IF(AND(COUNTIF($S$2:$S7, $S7)&gt;1,S7&lt;&gt;""), "Duplicate", "")</f>
        <v/>
      </c>
      <c r="S7" t="str">
        <f t="shared" si="2"/>
        <v/>
      </c>
    </row>
    <row r="8" spans="1:19" x14ac:dyDescent="0.25">
      <c r="O8" s="1" t="str">
        <f t="shared" si="0"/>
        <v/>
      </c>
      <c r="P8" s="1" t="str">
        <f t="shared" si="1"/>
        <v/>
      </c>
      <c r="Q8" s="1" t="str">
        <f>IF(O8="","",IF(OR(ISNA(VLOOKUP(O8,Final!T:T,1,FALSE)),R8="Duplicate"),"NA",VLOOKUP(O8,Final!T:T,1,FALSE)))</f>
        <v/>
      </c>
      <c r="R8" t="str">
        <f>IF(AND(COUNTIF($S$2:$S8, $S8)&gt;1,S8&lt;&gt;""), "Duplicate", "")</f>
        <v/>
      </c>
      <c r="S8" t="str">
        <f t="shared" si="2"/>
        <v/>
      </c>
    </row>
    <row r="9" spans="1:19" x14ac:dyDescent="0.25">
      <c r="O9" s="1" t="str">
        <f t="shared" si="0"/>
        <v/>
      </c>
      <c r="P9" s="1" t="str">
        <f t="shared" si="1"/>
        <v/>
      </c>
      <c r="Q9" s="1" t="str">
        <f>IF(O9="","",IF(OR(ISNA(VLOOKUP(O9,Final!T:T,1,FALSE)),R9="Duplicate"),"NA",VLOOKUP(O9,Final!T:T,1,FALSE)))</f>
        <v/>
      </c>
      <c r="R9" t="str">
        <f>IF(AND(COUNTIF($S$2:$S9, $S9)&gt;1,S9&lt;&gt;""), "Duplicate", "")</f>
        <v/>
      </c>
      <c r="S9" t="str">
        <f t="shared" si="2"/>
        <v/>
      </c>
    </row>
    <row r="10" spans="1:19" x14ac:dyDescent="0.25">
      <c r="O10" s="1" t="str">
        <f t="shared" si="0"/>
        <v/>
      </c>
      <c r="P10" s="1" t="str">
        <f t="shared" si="1"/>
        <v/>
      </c>
      <c r="Q10" s="1" t="str">
        <f>IF(O10="","",IF(OR(ISNA(VLOOKUP(O10,Final!T:T,1,FALSE)),R10="Duplicate"),"NA",VLOOKUP(O10,Final!T:T,1,FALSE)))</f>
        <v/>
      </c>
      <c r="R10" t="str">
        <f>IF(AND(COUNTIF($S$2:$S10, $S10)&gt;1,S10&lt;&gt;""), "Duplicate", "")</f>
        <v/>
      </c>
      <c r="S10" t="str">
        <f t="shared" si="2"/>
        <v/>
      </c>
    </row>
    <row r="11" spans="1:19" x14ac:dyDescent="0.25">
      <c r="O11" s="1" t="str">
        <f t="shared" si="0"/>
        <v/>
      </c>
      <c r="P11" s="1" t="str">
        <f t="shared" si="1"/>
        <v/>
      </c>
      <c r="Q11" s="1" t="str">
        <f>IF(O11="","",IF(OR(ISNA(VLOOKUP(O11,Final!T:T,1,FALSE)),R11="Duplicate"),"NA",VLOOKUP(O11,Final!T:T,1,FALSE)))</f>
        <v/>
      </c>
      <c r="R11" t="str">
        <f>IF(AND(COUNTIF($S$2:$S11, $S11)&gt;1,S11&lt;&gt;""), "Duplicate", "")</f>
        <v/>
      </c>
      <c r="S11" t="str">
        <f t="shared" si="2"/>
        <v/>
      </c>
    </row>
    <row r="12" spans="1:19" x14ac:dyDescent="0.25">
      <c r="O12" s="1" t="str">
        <f t="shared" si="0"/>
        <v/>
      </c>
      <c r="P12" s="1" t="str">
        <f t="shared" si="1"/>
        <v/>
      </c>
      <c r="Q12" s="1" t="str">
        <f>IF(O12="","",IF(OR(ISNA(VLOOKUP(O12,Final!T:T,1,FALSE)),R12="Duplicate"),"NA",VLOOKUP(O12,Final!T:T,1,FALSE)))</f>
        <v/>
      </c>
      <c r="R12" t="str">
        <f>IF(AND(COUNTIF($S$2:$S12, $S12)&gt;1,S12&lt;&gt;""), "Duplicate", "")</f>
        <v/>
      </c>
      <c r="S12" t="str">
        <f t="shared" si="2"/>
        <v/>
      </c>
    </row>
    <row r="13" spans="1:19" x14ac:dyDescent="0.25">
      <c r="O13" s="1" t="str">
        <f t="shared" si="0"/>
        <v/>
      </c>
      <c r="P13" s="1" t="str">
        <f t="shared" si="1"/>
        <v/>
      </c>
      <c r="Q13" s="1" t="str">
        <f>IF(O13="","",IF(OR(ISNA(VLOOKUP(O13,Final!T:T,1,FALSE)),R13="Duplicate"),"NA",VLOOKUP(O13,Final!T:T,1,FALSE)))</f>
        <v/>
      </c>
      <c r="R13" t="str">
        <f>IF(AND(COUNTIF($S$2:$S13, $S13)&gt;1,S13&lt;&gt;""), "Duplicate", "")</f>
        <v/>
      </c>
      <c r="S13" t="str">
        <f t="shared" si="2"/>
        <v/>
      </c>
    </row>
    <row r="14" spans="1:19" x14ac:dyDescent="0.25">
      <c r="O14" s="1" t="str">
        <f t="shared" si="0"/>
        <v/>
      </c>
      <c r="P14" s="1" t="str">
        <f t="shared" si="1"/>
        <v/>
      </c>
      <c r="Q14" s="1" t="str">
        <f>IF(O14="","",IF(OR(ISNA(VLOOKUP(O14,Final!T:T,1,FALSE)),R14="Duplicate"),"NA",VLOOKUP(O14,Final!T:T,1,FALSE)))</f>
        <v/>
      </c>
      <c r="R14" t="str">
        <f>IF(AND(COUNTIF($S$2:$S14, $S14)&gt;1,S14&lt;&gt;""), "Duplicate", "")</f>
        <v/>
      </c>
      <c r="S14" t="str">
        <f t="shared" si="2"/>
        <v/>
      </c>
    </row>
    <row r="15" spans="1:19" x14ac:dyDescent="0.25">
      <c r="O15" s="1" t="str">
        <f t="shared" si="0"/>
        <v/>
      </c>
      <c r="P15" s="1" t="str">
        <f t="shared" si="1"/>
        <v/>
      </c>
      <c r="Q15" s="1" t="str">
        <f>IF(O15="","",IF(OR(ISNA(VLOOKUP(O15,Final!T:T,1,FALSE)),R15="Duplicate"),"NA",VLOOKUP(O15,Final!T:T,1,FALSE)))</f>
        <v/>
      </c>
      <c r="R15" t="str">
        <f>IF(AND(COUNTIF($S$2:$S15, $S15)&gt;1,S15&lt;&gt;""), "Duplicate", "")</f>
        <v/>
      </c>
      <c r="S15" t="str">
        <f t="shared" si="2"/>
        <v/>
      </c>
    </row>
    <row r="16" spans="1:19" x14ac:dyDescent="0.25">
      <c r="O16" s="1" t="str">
        <f t="shared" si="0"/>
        <v/>
      </c>
      <c r="P16" s="1" t="str">
        <f t="shared" si="1"/>
        <v/>
      </c>
      <c r="Q16" s="1" t="str">
        <f>IF(O16="","",IF(OR(ISNA(VLOOKUP(O16,Final!T:T,1,FALSE)),R16="Duplicate"),"NA",VLOOKUP(O16,Final!T:T,1,FALSE)))</f>
        <v/>
      </c>
      <c r="R16" t="str">
        <f>IF(AND(COUNTIF($S$2:$S16, $S16)&gt;1,S16&lt;&gt;""), "Duplicate", "")</f>
        <v/>
      </c>
      <c r="S16" t="str">
        <f t="shared" si="2"/>
        <v/>
      </c>
    </row>
    <row r="17" spans="15:19" x14ac:dyDescent="0.25">
      <c r="O17" s="1" t="str">
        <f t="shared" si="0"/>
        <v/>
      </c>
      <c r="P17" s="1" t="str">
        <f t="shared" si="1"/>
        <v/>
      </c>
      <c r="Q17" s="1" t="str">
        <f>IF(O17="","",IF(OR(ISNA(VLOOKUP(O17,Final!T:T,1,FALSE)),R17="Duplicate"),"NA",VLOOKUP(O17,Final!T:T,1,FALSE)))</f>
        <v/>
      </c>
      <c r="R17" t="str">
        <f>IF(AND(COUNTIF($S$2:$S17, $S17)&gt;1,S17&lt;&gt;""), "Duplicate", "")</f>
        <v/>
      </c>
      <c r="S17" t="str">
        <f t="shared" si="2"/>
        <v/>
      </c>
    </row>
    <row r="18" spans="15:19" x14ac:dyDescent="0.25">
      <c r="O18" s="1" t="str">
        <f t="shared" si="0"/>
        <v/>
      </c>
      <c r="P18" s="1" t="str">
        <f t="shared" si="1"/>
        <v/>
      </c>
      <c r="Q18" s="1" t="str">
        <f>IF(O18="","",IF(OR(ISNA(VLOOKUP(O18,Final!T:T,1,FALSE)),R18="Duplicate"),"NA",VLOOKUP(O18,Final!T:T,1,FALSE)))</f>
        <v/>
      </c>
      <c r="R18" t="str">
        <f>IF(AND(COUNTIF($S$2:$S18, $S18)&gt;1,S18&lt;&gt;""), "Duplicate", "")</f>
        <v/>
      </c>
      <c r="S18" t="str">
        <f t="shared" si="2"/>
        <v/>
      </c>
    </row>
    <row r="19" spans="15:19" x14ac:dyDescent="0.25">
      <c r="O19" s="1" t="str">
        <f t="shared" si="0"/>
        <v/>
      </c>
      <c r="P19" s="1" t="str">
        <f t="shared" si="1"/>
        <v/>
      </c>
      <c r="Q19" s="1" t="str">
        <f>IF(O19="","",IF(OR(ISNA(VLOOKUP(O19,Final!T:T,1,FALSE)),R19="Duplicate"),"NA",VLOOKUP(O19,Final!T:T,1,FALSE)))</f>
        <v/>
      </c>
      <c r="R19" t="str">
        <f>IF(AND(COUNTIF($S$2:$S19, $S19)&gt;1,S19&lt;&gt;""), "Duplicate", "")</f>
        <v/>
      </c>
      <c r="S19" t="str">
        <f t="shared" si="2"/>
        <v/>
      </c>
    </row>
    <row r="20" spans="15:19" x14ac:dyDescent="0.25">
      <c r="O20" s="1" t="str">
        <f t="shared" si="0"/>
        <v/>
      </c>
      <c r="P20" s="1" t="str">
        <f t="shared" si="1"/>
        <v/>
      </c>
      <c r="Q20" s="1" t="str">
        <f>IF(O20="","",IF(OR(ISNA(VLOOKUP(O20,Final!T:T,1,FALSE)),R20="Duplicate"),"NA",VLOOKUP(O20,Final!T:T,1,FALSE)))</f>
        <v/>
      </c>
      <c r="R20" t="str">
        <f>IF(AND(COUNTIF($S$2:$S20, $S20)&gt;1,S20&lt;&gt;""), "Duplicate", "")</f>
        <v/>
      </c>
      <c r="S20" t="str">
        <f t="shared" si="2"/>
        <v/>
      </c>
    </row>
    <row r="21" spans="15:19" x14ac:dyDescent="0.25">
      <c r="O21" s="1" t="str">
        <f t="shared" si="0"/>
        <v/>
      </c>
      <c r="P21" s="1" t="str">
        <f t="shared" si="1"/>
        <v/>
      </c>
      <c r="Q21" s="1" t="str">
        <f>IF(O21="","",IF(OR(ISNA(VLOOKUP(O21,Final!T:T,1,FALSE)),R21="Duplicate"),"NA",VLOOKUP(O21,Final!T:T,1,FALSE)))</f>
        <v/>
      </c>
      <c r="R21" t="str">
        <f>IF(AND(COUNTIF($S$2:$S21, $S21)&gt;1,S21&lt;&gt;""), "Duplicate", "")</f>
        <v/>
      </c>
      <c r="S21" t="str">
        <f t="shared" si="2"/>
        <v/>
      </c>
    </row>
    <row r="22" spans="15:19" x14ac:dyDescent="0.25">
      <c r="O22" s="1" t="str">
        <f t="shared" si="0"/>
        <v/>
      </c>
      <c r="P22" s="1" t="str">
        <f t="shared" si="1"/>
        <v/>
      </c>
      <c r="Q22" s="1" t="str">
        <f>IF(O22="","",IF(OR(ISNA(VLOOKUP(O22,Final!T:T,1,FALSE)),R22="Duplicate"),"NA",VLOOKUP(O22,Final!T:T,1,FALSE)))</f>
        <v/>
      </c>
      <c r="R22" t="str">
        <f>IF(AND(COUNTIF($S$2:$S22, $S22)&gt;1,S22&lt;&gt;""), "Duplicate", "")</f>
        <v/>
      </c>
      <c r="S22" t="str">
        <f t="shared" si="2"/>
        <v/>
      </c>
    </row>
    <row r="23" spans="15:19" x14ac:dyDescent="0.25">
      <c r="O23" s="1" t="str">
        <f t="shared" si="0"/>
        <v/>
      </c>
      <c r="P23" s="1" t="str">
        <f t="shared" si="1"/>
        <v/>
      </c>
      <c r="Q23" s="1" t="str">
        <f>IF(O23="","",IF(OR(ISNA(VLOOKUP(O23,Final!T:T,1,FALSE)),R23="Duplicate"),"NA",VLOOKUP(O23,Final!T:T,1,FALSE)))</f>
        <v/>
      </c>
      <c r="R23" t="str">
        <f>IF(AND(COUNTIF($S$2:$S23, $S23)&gt;1,S23&lt;&gt;""), "Duplicate", "")</f>
        <v/>
      </c>
      <c r="S23" t="str">
        <f t="shared" si="2"/>
        <v/>
      </c>
    </row>
    <row r="24" spans="15:19" x14ac:dyDescent="0.25">
      <c r="O24" s="1" t="str">
        <f t="shared" si="0"/>
        <v/>
      </c>
      <c r="P24" s="1" t="str">
        <f t="shared" si="1"/>
        <v/>
      </c>
      <c r="Q24" s="1" t="str">
        <f>IF(O24="","",IF(OR(ISNA(VLOOKUP(O24,Final!T:T,1,FALSE)),R24="Duplicate"),"NA",VLOOKUP(O24,Final!T:T,1,FALSE)))</f>
        <v/>
      </c>
      <c r="R24" t="str">
        <f>IF(AND(COUNTIF($S$2:$S24, $S24)&gt;1,S24&lt;&gt;""), "Duplicate", "")</f>
        <v/>
      </c>
      <c r="S24" t="str">
        <f t="shared" si="2"/>
        <v/>
      </c>
    </row>
    <row r="25" spans="15:19" x14ac:dyDescent="0.25">
      <c r="O25" s="1" t="str">
        <f t="shared" si="0"/>
        <v/>
      </c>
      <c r="P25" s="1" t="str">
        <f t="shared" si="1"/>
        <v/>
      </c>
      <c r="Q25" s="1" t="str">
        <f>IF(O25="","",IF(OR(ISNA(VLOOKUP(O25,Final!T:T,1,FALSE)),R25="Duplicate"),"NA",VLOOKUP(O25,Final!T:T,1,FALSE)))</f>
        <v/>
      </c>
      <c r="R25" t="str">
        <f>IF(AND(COUNTIF($S$2:$S25, $S25)&gt;1,S25&lt;&gt;""), "Duplicate", "")</f>
        <v/>
      </c>
      <c r="S25" t="str">
        <f t="shared" si="2"/>
        <v/>
      </c>
    </row>
    <row r="26" spans="15:19" x14ac:dyDescent="0.25">
      <c r="O26" s="1" t="str">
        <f t="shared" si="0"/>
        <v/>
      </c>
      <c r="P26" s="1" t="str">
        <f t="shared" si="1"/>
        <v/>
      </c>
      <c r="Q26" s="1" t="str">
        <f>IF(O26="","",IF(OR(ISNA(VLOOKUP(O26,Final!T:T,1,FALSE)),R26="Duplicate"),"NA",VLOOKUP(O26,Final!T:T,1,FALSE)))</f>
        <v/>
      </c>
      <c r="R26" t="str">
        <f>IF(AND(COUNTIF($S$2:$S26, $S26)&gt;1,S26&lt;&gt;""), "Duplicate", "")</f>
        <v/>
      </c>
      <c r="S26" t="str">
        <f t="shared" si="2"/>
        <v/>
      </c>
    </row>
    <row r="27" spans="15:19" x14ac:dyDescent="0.25">
      <c r="O27" s="1" t="str">
        <f t="shared" si="0"/>
        <v/>
      </c>
      <c r="P27" s="1" t="str">
        <f t="shared" si="1"/>
        <v/>
      </c>
      <c r="Q27" s="1" t="str">
        <f>IF(O27="","",IF(OR(ISNA(VLOOKUP(O27,Final!T:T,1,FALSE)),R27="Duplicate"),"NA",VLOOKUP(O27,Final!T:T,1,FALSE)))</f>
        <v/>
      </c>
      <c r="R27" t="str">
        <f>IF(AND(COUNTIF($S$2:$S27, $S27)&gt;1,S27&lt;&gt;""), "Duplicate", "")</f>
        <v/>
      </c>
      <c r="S27" t="str">
        <f t="shared" si="2"/>
        <v/>
      </c>
    </row>
    <row r="28" spans="15:19" x14ac:dyDescent="0.25">
      <c r="O28" s="1" t="str">
        <f t="shared" si="0"/>
        <v/>
      </c>
      <c r="P28" s="1" t="str">
        <f t="shared" si="1"/>
        <v/>
      </c>
      <c r="Q28" s="1" t="str">
        <f>IF(O28="","",IF(OR(ISNA(VLOOKUP(O28,Final!T:T,1,FALSE)),R28="Duplicate"),"NA",VLOOKUP(O28,Final!T:T,1,FALSE)))</f>
        <v/>
      </c>
      <c r="R28" t="str">
        <f>IF(AND(COUNTIF($S$2:$S28, $S28)&gt;1,S28&lt;&gt;""), "Duplicate", "")</f>
        <v/>
      </c>
      <c r="S28" t="str">
        <f t="shared" si="2"/>
        <v/>
      </c>
    </row>
    <row r="29" spans="15:19" x14ac:dyDescent="0.25">
      <c r="O29" s="1" t="str">
        <f t="shared" si="0"/>
        <v/>
      </c>
      <c r="P29" s="1" t="str">
        <f t="shared" si="1"/>
        <v/>
      </c>
      <c r="Q29" s="1" t="str">
        <f>IF(O29="","",IF(OR(ISNA(VLOOKUP(O29,Final!T:T,1,FALSE)),R29="Duplicate"),"NA",VLOOKUP(O29,Final!T:T,1,FALSE)))</f>
        <v/>
      </c>
      <c r="R29" t="str">
        <f>IF(AND(COUNTIF($S$2:$S29, $S29)&gt;1,S29&lt;&gt;""), "Duplicate", "")</f>
        <v/>
      </c>
      <c r="S29" t="str">
        <f t="shared" si="2"/>
        <v/>
      </c>
    </row>
    <row r="30" spans="15:19" x14ac:dyDescent="0.25">
      <c r="O30" s="1" t="str">
        <f t="shared" si="0"/>
        <v/>
      </c>
      <c r="P30" s="1" t="str">
        <f t="shared" si="1"/>
        <v/>
      </c>
      <c r="Q30" s="1" t="str">
        <f>IF(O30="","",IF(OR(ISNA(VLOOKUP(O30,Final!T:T,1,FALSE)),R30="Duplicate"),"NA",VLOOKUP(O30,Final!T:T,1,FALSE)))</f>
        <v/>
      </c>
      <c r="R30" t="str">
        <f>IF(AND(COUNTIF($S$2:$S30, $S30)&gt;1,S30&lt;&gt;""), "Duplicate", "")</f>
        <v/>
      </c>
      <c r="S30" t="str">
        <f t="shared" si="2"/>
        <v/>
      </c>
    </row>
    <row r="31" spans="15:19" x14ac:dyDescent="0.25">
      <c r="O31" s="1" t="str">
        <f t="shared" si="0"/>
        <v/>
      </c>
      <c r="P31" s="1" t="str">
        <f t="shared" si="1"/>
        <v/>
      </c>
      <c r="Q31" s="1" t="str">
        <f>IF(O31="","",IF(OR(ISNA(VLOOKUP(O31,Final!T:T,1,FALSE)),R31="Duplicate"),"NA",VLOOKUP(O31,Final!T:T,1,FALSE)))</f>
        <v/>
      </c>
      <c r="R31" t="str">
        <f>IF(AND(COUNTIF($S$2:$S31, $S31)&gt;1,S31&lt;&gt;""), "Duplicate", "")</f>
        <v/>
      </c>
      <c r="S31" t="str">
        <f t="shared" si="2"/>
        <v/>
      </c>
    </row>
    <row r="32" spans="15:19" x14ac:dyDescent="0.25">
      <c r="O32" s="1" t="str">
        <f t="shared" si="0"/>
        <v/>
      </c>
      <c r="P32" s="1" t="str">
        <f t="shared" si="1"/>
        <v/>
      </c>
      <c r="Q32" s="1" t="str">
        <f>IF(O32="","",IF(OR(ISNA(VLOOKUP(O32,Final!T:T,1,FALSE)),R32="Duplicate"),"NA",VLOOKUP(O32,Final!T:T,1,FALSE)))</f>
        <v/>
      </c>
      <c r="R32" t="str">
        <f>IF(AND(COUNTIF($S$2:$S32, $S32)&gt;1,S32&lt;&gt;""), "Duplicate", "")</f>
        <v/>
      </c>
      <c r="S32" t="str">
        <f t="shared" si="2"/>
        <v/>
      </c>
    </row>
    <row r="33" spans="15:19" x14ac:dyDescent="0.25">
      <c r="O33" s="1" t="str">
        <f t="shared" si="0"/>
        <v/>
      </c>
      <c r="P33" s="1" t="str">
        <f t="shared" si="1"/>
        <v/>
      </c>
      <c r="Q33" s="1" t="str">
        <f>IF(O33="","",IF(OR(ISNA(VLOOKUP(O33,Final!T:T,1,FALSE)),R33="Duplicate"),"NA",VLOOKUP(O33,Final!T:T,1,FALSE)))</f>
        <v/>
      </c>
      <c r="R33" t="str">
        <f>IF(AND(COUNTIF($S$2:$S33, $S33)&gt;1,S33&lt;&gt;""), "Duplicate", "")</f>
        <v/>
      </c>
      <c r="S33" t="str">
        <f t="shared" si="2"/>
        <v/>
      </c>
    </row>
    <row r="34" spans="15:19" x14ac:dyDescent="0.25">
      <c r="O34" s="1" t="str">
        <f t="shared" ref="O34:O65" si="3">D34&amp;E34</f>
        <v/>
      </c>
      <c r="P34" s="1" t="str">
        <f t="shared" ref="P34:P65" si="4">IF(C34="","",C34)</f>
        <v/>
      </c>
      <c r="Q34" s="1" t="str">
        <f>IF(O34="","",IF(OR(ISNA(VLOOKUP(O34,Final!T:T,1,FALSE)),R34="Duplicate"),"NA",VLOOKUP(O34,Final!T:T,1,FALSE)))</f>
        <v/>
      </c>
      <c r="R34" t="str">
        <f>IF(AND(COUNTIF($S$2:$S34, $S34)&gt;1,S34&lt;&gt;""), "Duplicate", "")</f>
        <v/>
      </c>
      <c r="S34" t="str">
        <f t="shared" si="2"/>
        <v/>
      </c>
    </row>
    <row r="35" spans="15:19" x14ac:dyDescent="0.25">
      <c r="O35" s="1" t="str">
        <f t="shared" si="3"/>
        <v/>
      </c>
      <c r="P35" s="1" t="str">
        <f t="shared" si="4"/>
        <v/>
      </c>
      <c r="Q35" s="1" t="str">
        <f>IF(O35="","",IF(OR(ISNA(VLOOKUP(O35,Final!T:T,1,FALSE)),R35="Duplicate"),"NA",VLOOKUP(O35,Final!T:T,1,FALSE)))</f>
        <v/>
      </c>
      <c r="R35" t="str">
        <f>IF(AND(COUNTIF($S$2:$S35, $S35)&gt;1,S35&lt;&gt;""), "Duplicate", "")</f>
        <v/>
      </c>
      <c r="S35" t="str">
        <f t="shared" si="2"/>
        <v/>
      </c>
    </row>
    <row r="36" spans="15:19" x14ac:dyDescent="0.25">
      <c r="O36" s="1" t="str">
        <f t="shared" si="3"/>
        <v/>
      </c>
      <c r="P36" s="1" t="str">
        <f t="shared" si="4"/>
        <v/>
      </c>
      <c r="Q36" s="1" t="str">
        <f>IF(O36="","",IF(OR(ISNA(VLOOKUP(O36,Final!T:T,1,FALSE)),R36="Duplicate"),"NA",VLOOKUP(O36,Final!T:T,1,FALSE)))</f>
        <v/>
      </c>
      <c r="R36" t="str">
        <f>IF(AND(COUNTIF($S$2:$S36, $S36)&gt;1,S36&lt;&gt;""), "Duplicate", "")</f>
        <v/>
      </c>
      <c r="S36" t="str">
        <f t="shared" si="2"/>
        <v/>
      </c>
    </row>
    <row r="37" spans="15:19" x14ac:dyDescent="0.25">
      <c r="O37" s="1" t="str">
        <f t="shared" si="3"/>
        <v/>
      </c>
      <c r="P37" s="1" t="str">
        <f t="shared" si="4"/>
        <v/>
      </c>
      <c r="Q37" s="1" t="str">
        <f>IF(O37="","",IF(OR(ISNA(VLOOKUP(O37,Final!T:T,1,FALSE)),R37="Duplicate"),"NA",VLOOKUP(O37,Final!T:T,1,FALSE)))</f>
        <v/>
      </c>
      <c r="R37" t="str">
        <f>IF(AND(COUNTIF($S$2:$S37, $S37)&gt;1,S37&lt;&gt;""), "Duplicate", "")</f>
        <v/>
      </c>
      <c r="S37" t="str">
        <f t="shared" si="2"/>
        <v/>
      </c>
    </row>
    <row r="38" spans="15:19" x14ac:dyDescent="0.25">
      <c r="O38" s="1" t="str">
        <f t="shared" si="3"/>
        <v/>
      </c>
      <c r="P38" s="1" t="str">
        <f t="shared" si="4"/>
        <v/>
      </c>
      <c r="Q38" s="1" t="str">
        <f>IF(O38="","",IF(OR(ISNA(VLOOKUP(O38,Final!T:T,1,FALSE)),R38="Duplicate"),"NA",VLOOKUP(O38,Final!T:T,1,FALSE)))</f>
        <v/>
      </c>
      <c r="R38" t="str">
        <f>IF(AND(COUNTIF($S$2:$S38, $S38)&gt;1,S38&lt;&gt;""), "Duplicate", "")</f>
        <v/>
      </c>
      <c r="S38" t="str">
        <f t="shared" si="2"/>
        <v/>
      </c>
    </row>
    <row r="39" spans="15:19" x14ac:dyDescent="0.25">
      <c r="O39" s="1" t="str">
        <f t="shared" si="3"/>
        <v/>
      </c>
      <c r="P39" s="1" t="str">
        <f t="shared" si="4"/>
        <v/>
      </c>
      <c r="Q39" s="1" t="str">
        <f>IF(O39="","",IF(OR(ISNA(VLOOKUP(O39,Final!T:T,1,FALSE)),R39="Duplicate"),"NA",VLOOKUP(O39,Final!T:T,1,FALSE)))</f>
        <v/>
      </c>
      <c r="R39" t="str">
        <f>IF(AND(COUNTIF($S$2:$S39, $S39)&gt;1,S39&lt;&gt;""), "Duplicate", "")</f>
        <v/>
      </c>
      <c r="S39" t="str">
        <f t="shared" si="2"/>
        <v/>
      </c>
    </row>
    <row r="40" spans="15:19" x14ac:dyDescent="0.25">
      <c r="O40" s="1" t="str">
        <f t="shared" si="3"/>
        <v/>
      </c>
      <c r="P40" s="1" t="str">
        <f t="shared" si="4"/>
        <v/>
      </c>
      <c r="Q40" s="1" t="str">
        <f>IF(O40="","",IF(OR(ISNA(VLOOKUP(O40,Final!T:T,1,FALSE)),R40="Duplicate"),"NA",VLOOKUP(O40,Final!T:T,1,FALSE)))</f>
        <v/>
      </c>
      <c r="R40" t="str">
        <f>IF(AND(COUNTIF($S$2:$S40, $S40)&gt;1,S40&lt;&gt;""), "Duplicate", "")</f>
        <v/>
      </c>
      <c r="S40" t="str">
        <f t="shared" si="2"/>
        <v/>
      </c>
    </row>
    <row r="41" spans="15:19" x14ac:dyDescent="0.25">
      <c r="O41" s="1" t="str">
        <f t="shared" si="3"/>
        <v/>
      </c>
      <c r="P41" s="1" t="str">
        <f t="shared" si="4"/>
        <v/>
      </c>
      <c r="Q41" s="1" t="str">
        <f>IF(O41="","",IF(OR(ISNA(VLOOKUP(O41,Final!T:T,1,FALSE)),R41="Duplicate"),"NA",VLOOKUP(O41,Final!T:T,1,FALSE)))</f>
        <v/>
      </c>
      <c r="R41" t="str">
        <f>IF(AND(COUNTIF($S$2:$S41, $S41)&gt;1,S41&lt;&gt;""), "Duplicate", "")</f>
        <v/>
      </c>
      <c r="S41" t="str">
        <f t="shared" si="2"/>
        <v/>
      </c>
    </row>
    <row r="42" spans="15:19" x14ac:dyDescent="0.25">
      <c r="O42" s="1" t="str">
        <f t="shared" si="3"/>
        <v/>
      </c>
      <c r="P42" s="1" t="str">
        <f t="shared" si="4"/>
        <v/>
      </c>
      <c r="Q42" s="1" t="str">
        <f>IF(O42="","",IF(OR(ISNA(VLOOKUP(O42,Final!T:T,1,FALSE)),R42="Duplicate"),"NA",VLOOKUP(O42,Final!T:T,1,FALSE)))</f>
        <v/>
      </c>
      <c r="R42" t="str">
        <f>IF(AND(COUNTIF($S$2:$S42, $S42)&gt;1,S42&lt;&gt;""), "Duplicate", "")</f>
        <v/>
      </c>
      <c r="S42" t="str">
        <f t="shared" si="2"/>
        <v/>
      </c>
    </row>
    <row r="43" spans="15:19" x14ac:dyDescent="0.25">
      <c r="O43" s="1" t="str">
        <f t="shared" si="3"/>
        <v/>
      </c>
      <c r="P43" s="1" t="str">
        <f t="shared" si="4"/>
        <v/>
      </c>
      <c r="Q43" s="1" t="str">
        <f>IF(O43="","",IF(OR(ISNA(VLOOKUP(O43,Final!T:T,1,FALSE)),R43="Duplicate"),"NA",VLOOKUP(O43,Final!T:T,1,FALSE)))</f>
        <v/>
      </c>
      <c r="R43" t="str">
        <f>IF(AND(COUNTIF($S$2:$S43, $S43)&gt;1,S43&lt;&gt;""), "Duplicate", "")</f>
        <v/>
      </c>
      <c r="S43" t="str">
        <f t="shared" si="2"/>
        <v/>
      </c>
    </row>
    <row r="44" spans="15:19" x14ac:dyDescent="0.25">
      <c r="O44" s="1" t="str">
        <f t="shared" si="3"/>
        <v/>
      </c>
      <c r="P44" s="1" t="str">
        <f t="shared" si="4"/>
        <v/>
      </c>
      <c r="Q44" s="1" t="str">
        <f>IF(O44="","",IF(OR(ISNA(VLOOKUP(O44,Final!T:T,1,FALSE)),R44="Duplicate"),"NA",VLOOKUP(O44,Final!T:T,1,FALSE)))</f>
        <v/>
      </c>
      <c r="R44" t="str">
        <f>IF(AND(COUNTIF($S$2:$S44, $S44)&gt;1,S44&lt;&gt;""), "Duplicate", "")</f>
        <v/>
      </c>
      <c r="S44" t="str">
        <f t="shared" si="2"/>
        <v/>
      </c>
    </row>
    <row r="45" spans="15:19" x14ac:dyDescent="0.25">
      <c r="O45" s="1" t="str">
        <f t="shared" si="3"/>
        <v/>
      </c>
      <c r="P45" s="1" t="str">
        <f t="shared" si="4"/>
        <v/>
      </c>
      <c r="Q45" s="1" t="str">
        <f>IF(O45="","",IF(OR(ISNA(VLOOKUP(O45,Final!T:T,1,FALSE)),R45="Duplicate"),"NA",VLOOKUP(O45,Final!T:T,1,FALSE)))</f>
        <v/>
      </c>
      <c r="R45" t="str">
        <f>IF(AND(COUNTIF($S$2:$S45, $S45)&gt;1,S45&lt;&gt;""), "Duplicate", "")</f>
        <v/>
      </c>
      <c r="S45" t="str">
        <f t="shared" si="2"/>
        <v/>
      </c>
    </row>
    <row r="46" spans="15:19" x14ac:dyDescent="0.25">
      <c r="O46" s="1" t="str">
        <f t="shared" si="3"/>
        <v/>
      </c>
      <c r="P46" s="1" t="str">
        <f t="shared" si="4"/>
        <v/>
      </c>
      <c r="Q46" s="1" t="str">
        <f>IF(O46="","",IF(OR(ISNA(VLOOKUP(O46,Final!T:T,1,FALSE)),R46="Duplicate"),"NA",VLOOKUP(O46,Final!T:T,1,FALSE)))</f>
        <v/>
      </c>
      <c r="R46" t="str">
        <f>IF(AND(COUNTIF($S$2:$S46, $S46)&gt;1,S46&lt;&gt;""), "Duplicate", "")</f>
        <v/>
      </c>
      <c r="S46" t="str">
        <f t="shared" si="2"/>
        <v/>
      </c>
    </row>
    <row r="47" spans="15:19" x14ac:dyDescent="0.25">
      <c r="O47" s="1" t="str">
        <f t="shared" si="3"/>
        <v/>
      </c>
      <c r="P47" s="1" t="str">
        <f t="shared" si="4"/>
        <v/>
      </c>
      <c r="Q47" s="1" t="str">
        <f>IF(O47="","",IF(OR(ISNA(VLOOKUP(O47,Final!T:T,1,FALSE)),R47="Duplicate"),"NA",VLOOKUP(O47,Final!T:T,1,FALSE)))</f>
        <v/>
      </c>
      <c r="R47" t="str">
        <f>IF(AND(COUNTIF($S$2:$S47, $S47)&gt;1,S47&lt;&gt;""), "Duplicate", "")</f>
        <v/>
      </c>
      <c r="S47" t="str">
        <f t="shared" si="2"/>
        <v/>
      </c>
    </row>
    <row r="48" spans="15:19" x14ac:dyDescent="0.25">
      <c r="O48" s="1" t="str">
        <f t="shared" si="3"/>
        <v/>
      </c>
      <c r="P48" s="1" t="str">
        <f t="shared" si="4"/>
        <v/>
      </c>
      <c r="Q48" s="1" t="str">
        <f>IF(O48="","",IF(OR(ISNA(VLOOKUP(O48,Final!T:T,1,FALSE)),R48="Duplicate"),"NA",VLOOKUP(O48,Final!T:T,1,FALSE)))</f>
        <v/>
      </c>
      <c r="R48" t="str">
        <f>IF(AND(COUNTIF($S$2:$S48, $S48)&gt;1,S48&lt;&gt;""), "Duplicate", "")</f>
        <v/>
      </c>
      <c r="S48" t="str">
        <f t="shared" si="2"/>
        <v/>
      </c>
    </row>
    <row r="49" spans="15:19" x14ac:dyDescent="0.25">
      <c r="O49" s="1" t="str">
        <f t="shared" si="3"/>
        <v/>
      </c>
      <c r="P49" s="1" t="str">
        <f t="shared" si="4"/>
        <v/>
      </c>
      <c r="Q49" s="1" t="str">
        <f>IF(O49="","",IF(OR(ISNA(VLOOKUP(O49,Final!T:T,1,FALSE)),R49="Duplicate"),"NA",VLOOKUP(O49,Final!T:T,1,FALSE)))</f>
        <v/>
      </c>
      <c r="R49" t="str">
        <f>IF(AND(COUNTIF($S$2:$S49, $S49)&gt;1,S49&lt;&gt;""), "Duplicate", "")</f>
        <v/>
      </c>
      <c r="S49" t="str">
        <f t="shared" si="2"/>
        <v/>
      </c>
    </row>
    <row r="50" spans="15:19" x14ac:dyDescent="0.25">
      <c r="O50" s="1" t="str">
        <f t="shared" si="3"/>
        <v/>
      </c>
      <c r="P50" s="1" t="str">
        <f t="shared" si="4"/>
        <v/>
      </c>
      <c r="Q50" s="1" t="str">
        <f>IF(O50="","",IF(OR(ISNA(VLOOKUP(O50,Final!T:T,1,FALSE)),R50="Duplicate"),"NA",VLOOKUP(O50,Final!T:T,1,FALSE)))</f>
        <v/>
      </c>
      <c r="R50" t="str">
        <f>IF(AND(COUNTIF($S$2:$S50, $S50)&gt;1,S50&lt;&gt;""), "Duplicate", "")</f>
        <v/>
      </c>
      <c r="S50" t="str">
        <f t="shared" si="2"/>
        <v/>
      </c>
    </row>
    <row r="51" spans="15:19" x14ac:dyDescent="0.25">
      <c r="O51" s="1" t="str">
        <f t="shared" si="3"/>
        <v/>
      </c>
      <c r="P51" s="1" t="str">
        <f t="shared" si="4"/>
        <v/>
      </c>
      <c r="Q51" s="1" t="str">
        <f>IF(O51="","",IF(OR(ISNA(VLOOKUP(O51,Final!T:T,1,FALSE)),R51="Duplicate"),"NA",VLOOKUP(O51,Final!T:T,1,FALSE)))</f>
        <v/>
      </c>
      <c r="R51" t="str">
        <f>IF(AND(COUNTIF($S$2:$S51, $S51)&gt;1,S51&lt;&gt;""), "Duplicate", "")</f>
        <v/>
      </c>
      <c r="S51" t="str">
        <f t="shared" si="2"/>
        <v/>
      </c>
    </row>
    <row r="52" spans="15:19" x14ac:dyDescent="0.25">
      <c r="O52" s="1" t="str">
        <f t="shared" si="3"/>
        <v/>
      </c>
      <c r="P52" s="1" t="str">
        <f t="shared" si="4"/>
        <v/>
      </c>
      <c r="Q52" s="1" t="str">
        <f>IF(O52="","",IF(OR(ISNA(VLOOKUP(O52,Final!T:T,1,FALSE)),R52="Duplicate"),"NA",VLOOKUP(O52,Final!T:T,1,FALSE)))</f>
        <v/>
      </c>
      <c r="R52" t="str">
        <f>IF(AND(COUNTIF($S$2:$S52, $S52)&gt;1,S52&lt;&gt;""), "Duplicate", "")</f>
        <v/>
      </c>
      <c r="S52" t="str">
        <f t="shared" si="2"/>
        <v/>
      </c>
    </row>
    <row r="53" spans="15:19" x14ac:dyDescent="0.25">
      <c r="O53" s="1" t="str">
        <f t="shared" si="3"/>
        <v/>
      </c>
      <c r="P53" s="1" t="str">
        <f t="shared" si="4"/>
        <v/>
      </c>
      <c r="Q53" s="1" t="str">
        <f>IF(O53="","",IF(OR(ISNA(VLOOKUP(O53,Final!T:T,1,FALSE)),R53="Duplicate"),"NA",VLOOKUP(O53,Final!T:T,1,FALSE)))</f>
        <v/>
      </c>
      <c r="R53" t="str">
        <f>IF(AND(COUNTIF($S$2:$S53, $S53)&gt;1,S53&lt;&gt;""), "Duplicate", "")</f>
        <v/>
      </c>
      <c r="S53" t="str">
        <f t="shared" si="2"/>
        <v/>
      </c>
    </row>
    <row r="54" spans="15:19" x14ac:dyDescent="0.25">
      <c r="O54" s="1" t="str">
        <f t="shared" si="3"/>
        <v/>
      </c>
      <c r="P54" s="1" t="str">
        <f t="shared" si="4"/>
        <v/>
      </c>
      <c r="Q54" s="1" t="str">
        <f>IF(O54="","",IF(OR(ISNA(VLOOKUP(O54,Final!T:T,1,FALSE)),R54="Duplicate"),"NA",VLOOKUP(O54,Final!T:T,1,FALSE)))</f>
        <v/>
      </c>
      <c r="R54" t="str">
        <f>IF(AND(COUNTIF($S$2:$S54, $S54)&gt;1,S54&lt;&gt;""), "Duplicate", "")</f>
        <v/>
      </c>
      <c r="S54" t="str">
        <f t="shared" si="2"/>
        <v/>
      </c>
    </row>
    <row r="55" spans="15:19" x14ac:dyDescent="0.25">
      <c r="O55" s="1" t="str">
        <f t="shared" si="3"/>
        <v/>
      </c>
      <c r="P55" s="1" t="str">
        <f t="shared" si="4"/>
        <v/>
      </c>
      <c r="Q55" s="1" t="str">
        <f>IF(O55="","",IF(OR(ISNA(VLOOKUP(O55,Final!T:T,1,FALSE)),R55="Duplicate"),"NA",VLOOKUP(O55,Final!T:T,1,FALSE)))</f>
        <v/>
      </c>
      <c r="R55" t="str">
        <f>IF(AND(COUNTIF($S$2:$S55, $S55)&gt;1,S55&lt;&gt;""), "Duplicate", "")</f>
        <v/>
      </c>
      <c r="S55" t="str">
        <f t="shared" si="2"/>
        <v/>
      </c>
    </row>
    <row r="56" spans="15:19" x14ac:dyDescent="0.25">
      <c r="O56" s="1" t="str">
        <f t="shared" si="3"/>
        <v/>
      </c>
      <c r="P56" s="1" t="str">
        <f t="shared" si="4"/>
        <v/>
      </c>
      <c r="Q56" s="1" t="str">
        <f>IF(O56="","",IF(OR(ISNA(VLOOKUP(O56,Final!T:T,1,FALSE)),R56="Duplicate"),"NA",VLOOKUP(O56,Final!T:T,1,FALSE)))</f>
        <v/>
      </c>
      <c r="R56" t="str">
        <f>IF(AND(COUNTIF($S$2:$S56, $S56)&gt;1,S56&lt;&gt;""), "Duplicate", "")</f>
        <v/>
      </c>
      <c r="S56" t="str">
        <f t="shared" si="2"/>
        <v/>
      </c>
    </row>
    <row r="57" spans="15:19" x14ac:dyDescent="0.25">
      <c r="O57" s="1" t="str">
        <f t="shared" si="3"/>
        <v/>
      </c>
      <c r="P57" s="1" t="str">
        <f t="shared" si="4"/>
        <v/>
      </c>
      <c r="Q57" s="1" t="str">
        <f>IF(O57="","",IF(OR(ISNA(VLOOKUP(O57,Final!T:T,1,FALSE)),R57="Duplicate"),"NA",VLOOKUP(O57,Final!T:T,1,FALSE)))</f>
        <v/>
      </c>
      <c r="R57" t="str">
        <f>IF(AND(COUNTIF($S$2:$S57, $S57)&gt;1,S57&lt;&gt;""), "Duplicate", "")</f>
        <v/>
      </c>
      <c r="S57" t="str">
        <f t="shared" si="2"/>
        <v/>
      </c>
    </row>
    <row r="58" spans="15:19" x14ac:dyDescent="0.25">
      <c r="O58" s="1" t="str">
        <f t="shared" si="3"/>
        <v/>
      </c>
      <c r="P58" s="1" t="str">
        <f t="shared" si="4"/>
        <v/>
      </c>
      <c r="Q58" s="1" t="str">
        <f>IF(O58="","",IF(OR(ISNA(VLOOKUP(O58,Final!T:T,1,FALSE)),R58="Duplicate"),"NA",VLOOKUP(O58,Final!T:T,1,FALSE)))</f>
        <v/>
      </c>
      <c r="R58" t="str">
        <f>IF(AND(COUNTIF($S$2:$S58, $S58)&gt;1,S58&lt;&gt;""), "Duplicate", "")</f>
        <v/>
      </c>
      <c r="S58" t="str">
        <f t="shared" si="2"/>
        <v/>
      </c>
    </row>
    <row r="59" spans="15:19" x14ac:dyDescent="0.25">
      <c r="O59" s="1" t="str">
        <f t="shared" si="3"/>
        <v/>
      </c>
      <c r="P59" s="1" t="str">
        <f t="shared" si="4"/>
        <v/>
      </c>
      <c r="Q59" s="1" t="str">
        <f>IF(O59="","",IF(OR(ISNA(VLOOKUP(O59,Final!T:T,1,FALSE)),R59="Duplicate"),"NA",VLOOKUP(O59,Final!T:T,1,FALSE)))</f>
        <v/>
      </c>
      <c r="R59" t="str">
        <f>IF(AND(COUNTIF($S$2:$S59, $S59)&gt;1,S59&lt;&gt;""), "Duplicate", "")</f>
        <v/>
      </c>
      <c r="S59" t="str">
        <f t="shared" si="2"/>
        <v/>
      </c>
    </row>
    <row r="60" spans="15:19" x14ac:dyDescent="0.25">
      <c r="O60" s="1" t="str">
        <f t="shared" si="3"/>
        <v/>
      </c>
      <c r="P60" s="1" t="str">
        <f t="shared" si="4"/>
        <v/>
      </c>
      <c r="Q60" s="1" t="str">
        <f>IF(O60="","",IF(OR(ISNA(VLOOKUP(O60,Final!T:T,1,FALSE)),R60="Duplicate"),"NA",VLOOKUP(O60,Final!T:T,1,FALSE)))</f>
        <v/>
      </c>
      <c r="R60" t="str">
        <f>IF(AND(COUNTIF($S$2:$S60, $S60)&gt;1,S60&lt;&gt;""), "Duplicate", "")</f>
        <v/>
      </c>
      <c r="S60" t="str">
        <f t="shared" si="2"/>
        <v/>
      </c>
    </row>
    <row r="61" spans="15:19" x14ac:dyDescent="0.25">
      <c r="O61" s="1" t="str">
        <f t="shared" si="3"/>
        <v/>
      </c>
      <c r="P61" s="1" t="str">
        <f t="shared" si="4"/>
        <v/>
      </c>
      <c r="Q61" s="1" t="str">
        <f>IF(O61="","",IF(OR(ISNA(VLOOKUP(O61,Final!T:T,1,FALSE)),R61="Duplicate"),"NA",VLOOKUP(O61,Final!T:T,1,FALSE)))</f>
        <v/>
      </c>
      <c r="R61" t="str">
        <f>IF(AND(COUNTIF($S$2:$S61, $S61)&gt;1,S61&lt;&gt;""), "Duplicate", "")</f>
        <v/>
      </c>
      <c r="S61" t="str">
        <f t="shared" si="2"/>
        <v/>
      </c>
    </row>
    <row r="62" spans="15:19" x14ac:dyDescent="0.25">
      <c r="O62" s="1" t="str">
        <f t="shared" si="3"/>
        <v/>
      </c>
      <c r="P62" s="1" t="str">
        <f t="shared" si="4"/>
        <v/>
      </c>
      <c r="Q62" s="1" t="str">
        <f>IF(O62="","",IF(OR(ISNA(VLOOKUP(O62,Final!T:T,1,FALSE)),R62="Duplicate"),"NA",VLOOKUP(O62,Final!T:T,1,FALSE)))</f>
        <v/>
      </c>
      <c r="R62" t="str">
        <f>IF(AND(COUNTIF($S$2:$S62, $S62)&gt;1,S62&lt;&gt;""), "Duplicate", "")</f>
        <v/>
      </c>
      <c r="S62" t="str">
        <f t="shared" si="2"/>
        <v/>
      </c>
    </row>
    <row r="63" spans="15:19" x14ac:dyDescent="0.25">
      <c r="O63" s="1" t="str">
        <f t="shared" si="3"/>
        <v/>
      </c>
      <c r="P63" s="1" t="str">
        <f t="shared" si="4"/>
        <v/>
      </c>
      <c r="Q63" s="1" t="str">
        <f>IF(O63="","",IF(OR(ISNA(VLOOKUP(O63,Final!T:T,1,FALSE)),R63="Duplicate"),"NA",VLOOKUP(O63,Final!T:T,1,FALSE)))</f>
        <v/>
      </c>
      <c r="R63" t="str">
        <f>IF(AND(COUNTIF($S$2:$S63, $S63)&gt;1,S63&lt;&gt;""), "Duplicate", "")</f>
        <v/>
      </c>
      <c r="S63" t="str">
        <f t="shared" si="2"/>
        <v/>
      </c>
    </row>
    <row r="64" spans="15:19" x14ac:dyDescent="0.25">
      <c r="O64" s="1" t="str">
        <f t="shared" si="3"/>
        <v/>
      </c>
      <c r="P64" s="1" t="str">
        <f t="shared" si="4"/>
        <v/>
      </c>
      <c r="Q64" s="1" t="str">
        <f>IF(O64="","",IF(OR(ISNA(VLOOKUP(O64,Final!T:T,1,FALSE)),R64="Duplicate"),"NA",VLOOKUP(O64,Final!T:T,1,FALSE)))</f>
        <v/>
      </c>
      <c r="R64" t="str">
        <f>IF(AND(COUNTIF($S$2:$S64, $S64)&gt;1,S64&lt;&gt;""), "Duplicate", "")</f>
        <v/>
      </c>
      <c r="S64" t="str">
        <f t="shared" si="2"/>
        <v/>
      </c>
    </row>
    <row r="65" spans="15:19" x14ac:dyDescent="0.25">
      <c r="O65" s="1" t="str">
        <f t="shared" si="3"/>
        <v/>
      </c>
      <c r="P65" s="1" t="str">
        <f t="shared" si="4"/>
        <v/>
      </c>
      <c r="Q65" s="1" t="str">
        <f>IF(O65="","",IF(OR(ISNA(VLOOKUP(O65,Final!T:T,1,FALSE)),R65="Duplicate"),"NA",VLOOKUP(O65,Final!T:T,1,FALSE)))</f>
        <v/>
      </c>
      <c r="R65" t="str">
        <f>IF(AND(COUNTIF($S$2:$S65, $S65)&gt;1,S65&lt;&gt;""), "Duplicate", "")</f>
        <v/>
      </c>
      <c r="S65" t="str">
        <f t="shared" si="2"/>
        <v/>
      </c>
    </row>
    <row r="66" spans="15:19" x14ac:dyDescent="0.25">
      <c r="O66" s="1" t="str">
        <f t="shared" ref="O66:O97" si="5">D66&amp;E66</f>
        <v/>
      </c>
      <c r="P66" s="1" t="str">
        <f t="shared" ref="P66:P97" si="6">IF(C66="","",C66)</f>
        <v/>
      </c>
      <c r="Q66" s="1" t="str">
        <f>IF(O66="","",IF(OR(ISNA(VLOOKUP(O66,Final!T:T,1,FALSE)),R66="Duplicate"),"NA",VLOOKUP(O66,Final!T:T,1,FALSE)))</f>
        <v/>
      </c>
      <c r="R66" t="str">
        <f>IF(AND(COUNTIF($S$2:$S66, $S66)&gt;1,S66&lt;&gt;""), "Duplicate", "")</f>
        <v/>
      </c>
      <c r="S66" t="str">
        <f t="shared" si="2"/>
        <v/>
      </c>
    </row>
    <row r="67" spans="15:19" x14ac:dyDescent="0.25">
      <c r="O67" s="1" t="str">
        <f t="shared" si="5"/>
        <v/>
      </c>
      <c r="P67" s="1" t="str">
        <f t="shared" si="6"/>
        <v/>
      </c>
      <c r="Q67" s="1" t="str">
        <f>IF(O67="","",IF(OR(ISNA(VLOOKUP(O67,Final!T:T,1,FALSE)),R67="Duplicate"),"NA",VLOOKUP(O67,Final!T:T,1,FALSE)))</f>
        <v/>
      </c>
      <c r="R67" t="str">
        <f>IF(AND(COUNTIF($S$2:$S67, $S67)&gt;1,S67&lt;&gt;""), "Duplicate", "")</f>
        <v/>
      </c>
      <c r="S67" t="str">
        <f t="shared" ref="S67:S130" si="7">D67&amp;E67</f>
        <v/>
      </c>
    </row>
    <row r="68" spans="15:19" x14ac:dyDescent="0.25">
      <c r="O68" s="1" t="str">
        <f t="shared" si="5"/>
        <v/>
      </c>
      <c r="P68" s="1" t="str">
        <f t="shared" si="6"/>
        <v/>
      </c>
      <c r="Q68" s="1" t="str">
        <f>IF(O68="","",IF(OR(ISNA(VLOOKUP(O68,Final!T:T,1,FALSE)),R68="Duplicate"),"NA",VLOOKUP(O68,Final!T:T,1,FALSE)))</f>
        <v/>
      </c>
      <c r="R68" t="str">
        <f>IF(AND(COUNTIF($S$2:$S68, $S68)&gt;1,S68&lt;&gt;""), "Duplicate", "")</f>
        <v/>
      </c>
      <c r="S68" t="str">
        <f t="shared" si="7"/>
        <v/>
      </c>
    </row>
    <row r="69" spans="15:19" x14ac:dyDescent="0.25">
      <c r="O69" s="1" t="str">
        <f t="shared" si="5"/>
        <v/>
      </c>
      <c r="P69" s="1" t="str">
        <f t="shared" si="6"/>
        <v/>
      </c>
      <c r="Q69" s="1" t="str">
        <f>IF(O69="","",IF(OR(ISNA(VLOOKUP(O69,Final!T:T,1,FALSE)),R69="Duplicate"),"NA",VLOOKUP(O69,Final!T:T,1,FALSE)))</f>
        <v/>
      </c>
      <c r="R69" t="str">
        <f>IF(AND(COUNTIF($S$2:$S69, $S69)&gt;1,S69&lt;&gt;""), "Duplicate", "")</f>
        <v/>
      </c>
      <c r="S69" t="str">
        <f t="shared" si="7"/>
        <v/>
      </c>
    </row>
    <row r="70" spans="15:19" x14ac:dyDescent="0.25">
      <c r="O70" s="1" t="str">
        <f t="shared" si="5"/>
        <v/>
      </c>
      <c r="P70" s="1" t="str">
        <f t="shared" si="6"/>
        <v/>
      </c>
      <c r="Q70" s="1" t="str">
        <f>IF(O70="","",IF(OR(ISNA(VLOOKUP(O70,Final!T:T,1,FALSE)),R70="Duplicate"),"NA",VLOOKUP(O70,Final!T:T,1,FALSE)))</f>
        <v/>
      </c>
      <c r="R70" t="str">
        <f>IF(AND(COUNTIF($S$2:$S70, $S70)&gt;1,S70&lt;&gt;""), "Duplicate", "")</f>
        <v/>
      </c>
      <c r="S70" t="str">
        <f t="shared" si="7"/>
        <v/>
      </c>
    </row>
    <row r="71" spans="15:19" x14ac:dyDescent="0.25">
      <c r="O71" s="1" t="str">
        <f t="shared" si="5"/>
        <v/>
      </c>
      <c r="P71" s="1" t="str">
        <f t="shared" si="6"/>
        <v/>
      </c>
      <c r="Q71" s="1" t="str">
        <f>IF(O71="","",IF(OR(ISNA(VLOOKUP(O71,Final!T:T,1,FALSE)),R71="Duplicate"),"NA",VLOOKUP(O71,Final!T:T,1,FALSE)))</f>
        <v/>
      </c>
      <c r="R71" t="str">
        <f>IF(AND(COUNTIF($S$2:$S71, $S71)&gt;1,S71&lt;&gt;""), "Duplicate", "")</f>
        <v/>
      </c>
      <c r="S71" t="str">
        <f t="shared" si="7"/>
        <v/>
      </c>
    </row>
    <row r="72" spans="15:19" x14ac:dyDescent="0.25">
      <c r="O72" s="1" t="str">
        <f t="shared" si="5"/>
        <v/>
      </c>
      <c r="P72" s="1" t="str">
        <f t="shared" si="6"/>
        <v/>
      </c>
      <c r="Q72" s="1" t="str">
        <f>IF(O72="","",IF(OR(ISNA(VLOOKUP(O72,Final!T:T,1,FALSE)),R72="Duplicate"),"NA",VLOOKUP(O72,Final!T:T,1,FALSE)))</f>
        <v/>
      </c>
      <c r="R72" t="str">
        <f>IF(AND(COUNTIF($S$2:$S72, $S72)&gt;1,S72&lt;&gt;""), "Duplicate", "")</f>
        <v/>
      </c>
      <c r="S72" t="str">
        <f t="shared" si="7"/>
        <v/>
      </c>
    </row>
    <row r="73" spans="15:19" x14ac:dyDescent="0.25">
      <c r="O73" s="1" t="str">
        <f t="shared" si="5"/>
        <v/>
      </c>
      <c r="P73" s="1" t="str">
        <f t="shared" si="6"/>
        <v/>
      </c>
      <c r="Q73" s="1" t="str">
        <f>IF(O73="","",IF(OR(ISNA(VLOOKUP(O73,Final!T:T,1,FALSE)),R73="Duplicate"),"NA",VLOOKUP(O73,Final!T:T,1,FALSE)))</f>
        <v/>
      </c>
      <c r="R73" t="str">
        <f>IF(AND(COUNTIF($S$2:$S73, $S73)&gt;1,S73&lt;&gt;""), "Duplicate", "")</f>
        <v/>
      </c>
      <c r="S73" t="str">
        <f t="shared" si="7"/>
        <v/>
      </c>
    </row>
    <row r="74" spans="15:19" x14ac:dyDescent="0.25">
      <c r="O74" s="1" t="str">
        <f t="shared" si="5"/>
        <v/>
      </c>
      <c r="P74" s="1" t="str">
        <f t="shared" si="6"/>
        <v/>
      </c>
      <c r="Q74" s="1" t="str">
        <f>IF(O74="","",IF(OR(ISNA(VLOOKUP(O74,Final!T:T,1,FALSE)),R74="Duplicate"),"NA",VLOOKUP(O74,Final!T:T,1,FALSE)))</f>
        <v/>
      </c>
      <c r="R74" t="str">
        <f>IF(AND(COUNTIF($S$2:$S74, $S74)&gt;1,S74&lt;&gt;""), "Duplicate", "")</f>
        <v/>
      </c>
      <c r="S74" t="str">
        <f t="shared" si="7"/>
        <v/>
      </c>
    </row>
    <row r="75" spans="15:19" x14ac:dyDescent="0.25">
      <c r="O75" s="1" t="str">
        <f t="shared" si="5"/>
        <v/>
      </c>
      <c r="P75" s="1" t="str">
        <f t="shared" si="6"/>
        <v/>
      </c>
      <c r="Q75" s="1" t="str">
        <f>IF(O75="","",IF(OR(ISNA(VLOOKUP(O75,Final!T:T,1,FALSE)),R75="Duplicate"),"NA",VLOOKUP(O75,Final!T:T,1,FALSE)))</f>
        <v/>
      </c>
      <c r="R75" t="str">
        <f>IF(AND(COUNTIF($S$2:$S75, $S75)&gt;1,S75&lt;&gt;""), "Duplicate", "")</f>
        <v/>
      </c>
      <c r="S75" t="str">
        <f t="shared" si="7"/>
        <v/>
      </c>
    </row>
    <row r="76" spans="15:19" x14ac:dyDescent="0.25">
      <c r="O76" s="1" t="str">
        <f t="shared" si="5"/>
        <v/>
      </c>
      <c r="P76" s="1" t="str">
        <f t="shared" si="6"/>
        <v/>
      </c>
      <c r="Q76" s="1" t="str">
        <f>IF(O76="","",IF(OR(ISNA(VLOOKUP(O76,Final!T:T,1,FALSE)),R76="Duplicate"),"NA",VLOOKUP(O76,Final!T:T,1,FALSE)))</f>
        <v/>
      </c>
      <c r="R76" t="str">
        <f>IF(AND(COUNTIF($S$2:$S76, $S76)&gt;1,S76&lt;&gt;""), "Duplicate", "")</f>
        <v/>
      </c>
      <c r="S76" t="str">
        <f t="shared" si="7"/>
        <v/>
      </c>
    </row>
    <row r="77" spans="15:19" x14ac:dyDescent="0.25">
      <c r="O77" s="1" t="str">
        <f t="shared" si="5"/>
        <v/>
      </c>
      <c r="P77" s="1" t="str">
        <f t="shared" si="6"/>
        <v/>
      </c>
      <c r="Q77" s="1" t="str">
        <f>IF(O77="","",IF(OR(ISNA(VLOOKUP(O77,Final!T:T,1,FALSE)),R77="Duplicate"),"NA",VLOOKUP(O77,Final!T:T,1,FALSE)))</f>
        <v/>
      </c>
      <c r="R77" t="str">
        <f>IF(AND(COUNTIF($S$2:$S77, $S77)&gt;1,S77&lt;&gt;""), "Duplicate", "")</f>
        <v/>
      </c>
      <c r="S77" t="str">
        <f t="shared" si="7"/>
        <v/>
      </c>
    </row>
    <row r="78" spans="15:19" x14ac:dyDescent="0.25">
      <c r="O78" s="1" t="str">
        <f t="shared" si="5"/>
        <v/>
      </c>
      <c r="P78" s="1" t="str">
        <f t="shared" si="6"/>
        <v/>
      </c>
      <c r="Q78" s="1" t="str">
        <f>IF(O78="","",IF(OR(ISNA(VLOOKUP(O78,Final!T:T,1,FALSE)),R78="Duplicate"),"NA",VLOOKUP(O78,Final!T:T,1,FALSE)))</f>
        <v/>
      </c>
      <c r="R78" t="str">
        <f>IF(AND(COUNTIF($S$2:$S78, $S78)&gt;1,S78&lt;&gt;""), "Duplicate", "")</f>
        <v/>
      </c>
      <c r="S78" t="str">
        <f t="shared" si="7"/>
        <v/>
      </c>
    </row>
    <row r="79" spans="15:19" x14ac:dyDescent="0.25">
      <c r="O79" s="1" t="str">
        <f t="shared" si="5"/>
        <v/>
      </c>
      <c r="P79" s="1" t="str">
        <f t="shared" si="6"/>
        <v/>
      </c>
      <c r="Q79" s="1" t="str">
        <f>IF(O79="","",IF(OR(ISNA(VLOOKUP(O79,Final!T:T,1,FALSE)),R79="Duplicate"),"NA",VLOOKUP(O79,Final!T:T,1,FALSE)))</f>
        <v/>
      </c>
      <c r="R79" t="str">
        <f>IF(AND(COUNTIF($S$2:$S79, $S79)&gt;1,S79&lt;&gt;""), "Duplicate", "")</f>
        <v/>
      </c>
      <c r="S79" t="str">
        <f t="shared" si="7"/>
        <v/>
      </c>
    </row>
    <row r="80" spans="15:19" x14ac:dyDescent="0.25">
      <c r="O80" s="1" t="str">
        <f t="shared" si="5"/>
        <v/>
      </c>
      <c r="P80" s="1" t="str">
        <f t="shared" si="6"/>
        <v/>
      </c>
      <c r="Q80" s="1" t="str">
        <f>IF(O80="","",IF(OR(ISNA(VLOOKUP(O80,Final!T:T,1,FALSE)),R80="Duplicate"),"NA",VLOOKUP(O80,Final!T:T,1,FALSE)))</f>
        <v/>
      </c>
      <c r="R80" t="str">
        <f>IF(AND(COUNTIF($S$2:$S80, $S80)&gt;1,S80&lt;&gt;""), "Duplicate", "")</f>
        <v/>
      </c>
      <c r="S80" t="str">
        <f t="shared" si="7"/>
        <v/>
      </c>
    </row>
    <row r="81" spans="15:19" x14ac:dyDescent="0.25">
      <c r="O81" s="1" t="str">
        <f t="shared" si="5"/>
        <v/>
      </c>
      <c r="P81" s="1" t="str">
        <f t="shared" si="6"/>
        <v/>
      </c>
      <c r="Q81" s="1" t="str">
        <f>IF(O81="","",IF(OR(ISNA(VLOOKUP(O81,Final!T:T,1,FALSE)),R81="Duplicate"),"NA",VLOOKUP(O81,Final!T:T,1,FALSE)))</f>
        <v/>
      </c>
      <c r="R81" t="str">
        <f>IF(AND(COUNTIF($S$2:$S81, $S81)&gt;1,S81&lt;&gt;""), "Duplicate", "")</f>
        <v/>
      </c>
      <c r="S81" t="str">
        <f t="shared" si="7"/>
        <v/>
      </c>
    </row>
    <row r="82" spans="15:19" x14ac:dyDescent="0.25">
      <c r="O82" s="1" t="str">
        <f t="shared" si="5"/>
        <v/>
      </c>
      <c r="P82" s="1" t="str">
        <f t="shared" si="6"/>
        <v/>
      </c>
      <c r="Q82" s="1" t="str">
        <f>IF(O82="","",IF(OR(ISNA(VLOOKUP(O82,Final!T:T,1,FALSE)),R82="Duplicate"),"NA",VLOOKUP(O82,Final!T:T,1,FALSE)))</f>
        <v/>
      </c>
      <c r="R82" t="str">
        <f>IF(AND(COUNTIF($S$2:$S82, $S82)&gt;1,S82&lt;&gt;""), "Duplicate", "")</f>
        <v/>
      </c>
      <c r="S82" t="str">
        <f t="shared" si="7"/>
        <v/>
      </c>
    </row>
    <row r="83" spans="15:19" x14ac:dyDescent="0.25">
      <c r="O83" s="1" t="str">
        <f t="shared" si="5"/>
        <v/>
      </c>
      <c r="P83" s="1" t="str">
        <f t="shared" si="6"/>
        <v/>
      </c>
      <c r="Q83" s="1" t="str">
        <f>IF(O83="","",IF(OR(ISNA(VLOOKUP(O83,Final!T:T,1,FALSE)),R83="Duplicate"),"NA",VLOOKUP(O83,Final!T:T,1,FALSE)))</f>
        <v/>
      </c>
      <c r="R83" t="str">
        <f>IF(AND(COUNTIF($S$2:$S83, $S83)&gt;1,S83&lt;&gt;""), "Duplicate", "")</f>
        <v/>
      </c>
      <c r="S83" t="str">
        <f t="shared" si="7"/>
        <v/>
      </c>
    </row>
    <row r="84" spans="15:19" x14ac:dyDescent="0.25">
      <c r="O84" s="1" t="str">
        <f t="shared" si="5"/>
        <v/>
      </c>
      <c r="P84" s="1" t="str">
        <f t="shared" si="6"/>
        <v/>
      </c>
      <c r="Q84" s="1" t="str">
        <f>IF(O84="","",IF(OR(ISNA(VLOOKUP(O84,Final!T:T,1,FALSE)),R84="Duplicate"),"NA",VLOOKUP(O84,Final!T:T,1,FALSE)))</f>
        <v/>
      </c>
      <c r="R84" t="str">
        <f>IF(AND(COUNTIF($S$2:$S84, $S84)&gt;1,S84&lt;&gt;""), "Duplicate", "")</f>
        <v/>
      </c>
      <c r="S84" t="str">
        <f t="shared" si="7"/>
        <v/>
      </c>
    </row>
    <row r="85" spans="15:19" x14ac:dyDescent="0.25">
      <c r="O85" s="1" t="str">
        <f t="shared" si="5"/>
        <v/>
      </c>
      <c r="P85" s="1" t="str">
        <f t="shared" si="6"/>
        <v/>
      </c>
      <c r="Q85" s="1" t="str">
        <f>IF(O85="","",IF(OR(ISNA(VLOOKUP(O85,Final!T:T,1,FALSE)),R85="Duplicate"),"NA",VLOOKUP(O85,Final!T:T,1,FALSE)))</f>
        <v/>
      </c>
      <c r="R85" t="str">
        <f>IF(AND(COUNTIF($S$2:$S85, $S85)&gt;1,S85&lt;&gt;""), "Duplicate", "")</f>
        <v/>
      </c>
      <c r="S85" t="str">
        <f t="shared" si="7"/>
        <v/>
      </c>
    </row>
    <row r="86" spans="15:19" x14ac:dyDescent="0.25">
      <c r="O86" s="1" t="str">
        <f t="shared" si="5"/>
        <v/>
      </c>
      <c r="P86" s="1" t="str">
        <f t="shared" si="6"/>
        <v/>
      </c>
      <c r="Q86" s="1" t="str">
        <f>IF(O86="","",IF(OR(ISNA(VLOOKUP(O86,Final!T:T,1,FALSE)),R86="Duplicate"),"NA",VLOOKUP(O86,Final!T:T,1,FALSE)))</f>
        <v/>
      </c>
      <c r="R86" t="str">
        <f>IF(AND(COUNTIF($S$2:$S86, $S86)&gt;1,S86&lt;&gt;""), "Duplicate", "")</f>
        <v/>
      </c>
      <c r="S86" t="str">
        <f t="shared" si="7"/>
        <v/>
      </c>
    </row>
    <row r="87" spans="15:19" x14ac:dyDescent="0.25">
      <c r="O87" s="1" t="str">
        <f t="shared" si="5"/>
        <v/>
      </c>
      <c r="P87" s="1" t="str">
        <f t="shared" si="6"/>
        <v/>
      </c>
      <c r="Q87" s="1" t="str">
        <f>IF(O87="","",IF(OR(ISNA(VLOOKUP(O87,Final!T:T,1,FALSE)),R87="Duplicate"),"NA",VLOOKUP(O87,Final!T:T,1,FALSE)))</f>
        <v/>
      </c>
      <c r="R87" t="str">
        <f>IF(AND(COUNTIF($S$2:$S87, $S87)&gt;1,S87&lt;&gt;""), "Duplicate", "")</f>
        <v/>
      </c>
      <c r="S87" t="str">
        <f t="shared" si="7"/>
        <v/>
      </c>
    </row>
    <row r="88" spans="15:19" x14ac:dyDescent="0.25">
      <c r="O88" s="1" t="str">
        <f t="shared" si="5"/>
        <v/>
      </c>
      <c r="P88" s="1" t="str">
        <f t="shared" si="6"/>
        <v/>
      </c>
      <c r="Q88" s="1" t="str">
        <f>IF(O88="","",IF(OR(ISNA(VLOOKUP(O88,Final!T:T,1,FALSE)),R88="Duplicate"),"NA",VLOOKUP(O88,Final!T:T,1,FALSE)))</f>
        <v/>
      </c>
      <c r="R88" t="str">
        <f>IF(AND(COUNTIF($S$2:$S88, $S88)&gt;1,S88&lt;&gt;""), "Duplicate", "")</f>
        <v/>
      </c>
      <c r="S88" t="str">
        <f t="shared" si="7"/>
        <v/>
      </c>
    </row>
    <row r="89" spans="15:19" x14ac:dyDescent="0.25">
      <c r="O89" s="1" t="str">
        <f t="shared" si="5"/>
        <v/>
      </c>
      <c r="P89" s="1" t="str">
        <f t="shared" si="6"/>
        <v/>
      </c>
      <c r="Q89" s="1" t="str">
        <f>IF(O89="","",IF(OR(ISNA(VLOOKUP(O89,Final!T:T,1,FALSE)),R89="Duplicate"),"NA",VLOOKUP(O89,Final!T:T,1,FALSE)))</f>
        <v/>
      </c>
      <c r="R89" t="str">
        <f>IF(AND(COUNTIF($S$2:$S89, $S89)&gt;1,S89&lt;&gt;""), "Duplicate", "")</f>
        <v/>
      </c>
      <c r="S89" t="str">
        <f t="shared" si="7"/>
        <v/>
      </c>
    </row>
    <row r="90" spans="15:19" x14ac:dyDescent="0.25">
      <c r="O90" s="1" t="str">
        <f t="shared" si="5"/>
        <v/>
      </c>
      <c r="P90" s="1" t="str">
        <f t="shared" si="6"/>
        <v/>
      </c>
      <c r="Q90" s="1" t="str">
        <f>IF(O90="","",IF(OR(ISNA(VLOOKUP(O90,Final!T:T,1,FALSE)),R90="Duplicate"),"NA",VLOOKUP(O90,Final!T:T,1,FALSE)))</f>
        <v/>
      </c>
      <c r="R90" t="str">
        <f>IF(AND(COUNTIF($S$2:$S90, $S90)&gt;1,S90&lt;&gt;""), "Duplicate", "")</f>
        <v/>
      </c>
      <c r="S90" t="str">
        <f t="shared" si="7"/>
        <v/>
      </c>
    </row>
    <row r="91" spans="15:19" x14ac:dyDescent="0.25">
      <c r="O91" s="1" t="str">
        <f t="shared" si="5"/>
        <v/>
      </c>
      <c r="P91" s="1" t="str">
        <f t="shared" si="6"/>
        <v/>
      </c>
      <c r="Q91" s="1" t="str">
        <f>IF(O91="","",IF(OR(ISNA(VLOOKUP(O91,Final!T:T,1,FALSE)),R91="Duplicate"),"NA",VLOOKUP(O91,Final!T:T,1,FALSE)))</f>
        <v/>
      </c>
      <c r="R91" t="str">
        <f>IF(AND(COUNTIF($S$2:$S91, $S91)&gt;1,S91&lt;&gt;""), "Duplicate", "")</f>
        <v/>
      </c>
      <c r="S91" t="str">
        <f t="shared" si="7"/>
        <v/>
      </c>
    </row>
    <row r="92" spans="15:19" x14ac:dyDescent="0.25">
      <c r="O92" s="1" t="str">
        <f t="shared" si="5"/>
        <v/>
      </c>
      <c r="P92" s="1" t="str">
        <f t="shared" si="6"/>
        <v/>
      </c>
      <c r="Q92" s="1" t="str">
        <f>IF(O92="","",IF(OR(ISNA(VLOOKUP(O92,Final!T:T,1,FALSE)),R92="Duplicate"),"NA",VLOOKUP(O92,Final!T:T,1,FALSE)))</f>
        <v/>
      </c>
      <c r="R92" t="str">
        <f>IF(AND(COUNTIF($S$2:$S92, $S92)&gt;1,S92&lt;&gt;""), "Duplicate", "")</f>
        <v/>
      </c>
      <c r="S92" t="str">
        <f t="shared" si="7"/>
        <v/>
      </c>
    </row>
    <row r="93" spans="15:19" x14ac:dyDescent="0.25">
      <c r="O93" s="1" t="str">
        <f t="shared" si="5"/>
        <v/>
      </c>
      <c r="P93" s="1" t="str">
        <f t="shared" si="6"/>
        <v/>
      </c>
      <c r="Q93" s="1" t="str">
        <f>IF(O93="","",IF(OR(ISNA(VLOOKUP(O93,Final!T:T,1,FALSE)),R93="Duplicate"),"NA",VLOOKUP(O93,Final!T:T,1,FALSE)))</f>
        <v/>
      </c>
      <c r="R93" t="str">
        <f>IF(AND(COUNTIF($S$2:$S93, $S93)&gt;1,S93&lt;&gt;""), "Duplicate", "")</f>
        <v/>
      </c>
      <c r="S93" t="str">
        <f t="shared" si="7"/>
        <v/>
      </c>
    </row>
    <row r="94" spans="15:19" x14ac:dyDescent="0.25">
      <c r="O94" s="1" t="str">
        <f t="shared" si="5"/>
        <v/>
      </c>
      <c r="P94" s="1" t="str">
        <f t="shared" si="6"/>
        <v/>
      </c>
      <c r="Q94" s="1" t="str">
        <f>IF(O94="","",IF(OR(ISNA(VLOOKUP(O94,Final!T:T,1,FALSE)),R94="Duplicate"),"NA",VLOOKUP(O94,Final!T:T,1,FALSE)))</f>
        <v/>
      </c>
      <c r="R94" t="str">
        <f>IF(AND(COUNTIF($S$2:$S94, $S94)&gt;1,S94&lt;&gt;""), "Duplicate", "")</f>
        <v/>
      </c>
      <c r="S94" t="str">
        <f t="shared" si="7"/>
        <v/>
      </c>
    </row>
    <row r="95" spans="15:19" x14ac:dyDescent="0.25">
      <c r="O95" s="1" t="str">
        <f t="shared" si="5"/>
        <v/>
      </c>
      <c r="P95" s="1" t="str">
        <f t="shared" si="6"/>
        <v/>
      </c>
      <c r="Q95" s="1" t="str">
        <f>IF(O95="","",IF(OR(ISNA(VLOOKUP(O95,Final!T:T,1,FALSE)),R95="Duplicate"),"NA",VLOOKUP(O95,Final!T:T,1,FALSE)))</f>
        <v/>
      </c>
      <c r="R95" t="str">
        <f>IF(AND(COUNTIF($S$2:$S95, $S95)&gt;1,S95&lt;&gt;""), "Duplicate", "")</f>
        <v/>
      </c>
      <c r="S95" t="str">
        <f t="shared" si="7"/>
        <v/>
      </c>
    </row>
    <row r="96" spans="15:19" x14ac:dyDescent="0.25">
      <c r="O96" s="1" t="str">
        <f t="shared" si="5"/>
        <v/>
      </c>
      <c r="P96" s="1" t="str">
        <f t="shared" si="6"/>
        <v/>
      </c>
      <c r="Q96" s="1" t="str">
        <f>IF(O96="","",IF(OR(ISNA(VLOOKUP(O96,Final!T:T,1,FALSE)),R96="Duplicate"),"NA",VLOOKUP(O96,Final!T:T,1,FALSE)))</f>
        <v/>
      </c>
      <c r="R96" t="str">
        <f>IF(AND(COUNTIF($S$2:$S96, $S96)&gt;1,S96&lt;&gt;""), "Duplicate", "")</f>
        <v/>
      </c>
      <c r="S96" t="str">
        <f t="shared" si="7"/>
        <v/>
      </c>
    </row>
    <row r="97" spans="15:19" x14ac:dyDescent="0.25">
      <c r="O97" s="1" t="str">
        <f t="shared" si="5"/>
        <v/>
      </c>
      <c r="P97" s="1" t="str">
        <f t="shared" si="6"/>
        <v/>
      </c>
      <c r="Q97" s="1" t="str">
        <f>IF(O97="","",IF(OR(ISNA(VLOOKUP(O97,Final!T:T,1,FALSE)),R97="Duplicate"),"NA",VLOOKUP(O97,Final!T:T,1,FALSE)))</f>
        <v/>
      </c>
      <c r="R97" t="str">
        <f>IF(AND(COUNTIF($S$2:$S97, $S97)&gt;1,S97&lt;&gt;""), "Duplicate", "")</f>
        <v/>
      </c>
      <c r="S97" t="str">
        <f t="shared" si="7"/>
        <v/>
      </c>
    </row>
    <row r="98" spans="15:19" x14ac:dyDescent="0.25">
      <c r="O98" s="1" t="str">
        <f t="shared" ref="O98:O129" si="8">D98&amp;E98</f>
        <v/>
      </c>
      <c r="P98" s="1" t="str">
        <f t="shared" ref="P98:P129" si="9">IF(C98="","",C98)</f>
        <v/>
      </c>
      <c r="Q98" s="1" t="str">
        <f>IF(O98="","",IF(OR(ISNA(VLOOKUP(O98,Final!T:T,1,FALSE)),R98="Duplicate"),"NA",VLOOKUP(O98,Final!T:T,1,FALSE)))</f>
        <v/>
      </c>
      <c r="R98" t="str">
        <f>IF(AND(COUNTIF($S$2:$S98, $S98)&gt;1,S98&lt;&gt;""), "Duplicate", "")</f>
        <v/>
      </c>
      <c r="S98" t="str">
        <f t="shared" si="7"/>
        <v/>
      </c>
    </row>
    <row r="99" spans="15:19" x14ac:dyDescent="0.25">
      <c r="O99" s="1" t="str">
        <f t="shared" si="8"/>
        <v/>
      </c>
      <c r="P99" s="1" t="str">
        <f t="shared" si="9"/>
        <v/>
      </c>
      <c r="Q99" s="1" t="str">
        <f>IF(O99="","",IF(OR(ISNA(VLOOKUP(O99,Final!T:T,1,FALSE)),R99="Duplicate"),"NA",VLOOKUP(O99,Final!T:T,1,FALSE)))</f>
        <v/>
      </c>
      <c r="R99" t="str">
        <f>IF(AND(COUNTIF($S$2:$S99, $S99)&gt;1,S99&lt;&gt;""), "Duplicate", "")</f>
        <v/>
      </c>
      <c r="S99" t="str">
        <f t="shared" si="7"/>
        <v/>
      </c>
    </row>
    <row r="100" spans="15:19" x14ac:dyDescent="0.25">
      <c r="O100" s="1" t="str">
        <f t="shared" si="8"/>
        <v/>
      </c>
      <c r="P100" s="1" t="str">
        <f t="shared" si="9"/>
        <v/>
      </c>
      <c r="Q100" s="1" t="str">
        <f>IF(O100="","",IF(OR(ISNA(VLOOKUP(O100,Final!T:T,1,FALSE)),R100="Duplicate"),"NA",VLOOKUP(O100,Final!T:T,1,FALSE)))</f>
        <v/>
      </c>
      <c r="R100" t="str">
        <f>IF(AND(COUNTIF($S$2:$S100, $S100)&gt;1,S100&lt;&gt;""), "Duplicate", "")</f>
        <v/>
      </c>
      <c r="S100" t="str">
        <f t="shared" si="7"/>
        <v/>
      </c>
    </row>
    <row r="101" spans="15:19" x14ac:dyDescent="0.25">
      <c r="O101" s="1" t="str">
        <f t="shared" si="8"/>
        <v/>
      </c>
      <c r="P101" s="1" t="str">
        <f t="shared" si="9"/>
        <v/>
      </c>
      <c r="Q101" s="1" t="str">
        <f>IF(O101="","",IF(OR(ISNA(VLOOKUP(O101,Final!T:T,1,FALSE)),R101="Duplicate"),"NA",VLOOKUP(O101,Final!T:T,1,FALSE)))</f>
        <v/>
      </c>
      <c r="R101" t="str">
        <f>IF(AND(COUNTIF($S$2:$S101, $S101)&gt;1,S101&lt;&gt;""), "Duplicate", "")</f>
        <v/>
      </c>
      <c r="S101" t="str">
        <f t="shared" si="7"/>
        <v/>
      </c>
    </row>
    <row r="102" spans="15:19" x14ac:dyDescent="0.25">
      <c r="O102" s="1" t="str">
        <f t="shared" si="8"/>
        <v/>
      </c>
      <c r="P102" s="1" t="str">
        <f t="shared" si="9"/>
        <v/>
      </c>
      <c r="Q102" s="1" t="str">
        <f>IF(O102="","",IF(OR(ISNA(VLOOKUP(O102,Final!T:T,1,FALSE)),R102="Duplicate"),"NA",VLOOKUP(O102,Final!T:T,1,FALSE)))</f>
        <v/>
      </c>
      <c r="R102" t="str">
        <f>IF(AND(COUNTIF($S$2:$S102, $S102)&gt;1,S102&lt;&gt;""), "Duplicate", "")</f>
        <v/>
      </c>
      <c r="S102" t="str">
        <f t="shared" si="7"/>
        <v/>
      </c>
    </row>
    <row r="103" spans="15:19" x14ac:dyDescent="0.25">
      <c r="O103" s="1" t="str">
        <f t="shared" si="8"/>
        <v/>
      </c>
      <c r="P103" s="1" t="str">
        <f t="shared" si="9"/>
        <v/>
      </c>
      <c r="Q103" s="1" t="str">
        <f>IF(O103="","",IF(OR(ISNA(VLOOKUP(O103,Final!T:T,1,FALSE)),R103="Duplicate"),"NA",VLOOKUP(O103,Final!T:T,1,FALSE)))</f>
        <v/>
      </c>
      <c r="R103" t="str">
        <f>IF(AND(COUNTIF($S$2:$S103, $S103)&gt;1,S103&lt;&gt;""), "Duplicate", "")</f>
        <v/>
      </c>
      <c r="S103" t="str">
        <f t="shared" si="7"/>
        <v/>
      </c>
    </row>
    <row r="104" spans="15:19" x14ac:dyDescent="0.25">
      <c r="O104" s="1" t="str">
        <f t="shared" si="8"/>
        <v/>
      </c>
      <c r="P104" s="1" t="str">
        <f t="shared" si="9"/>
        <v/>
      </c>
      <c r="Q104" s="1" t="str">
        <f>IF(O104="","",IF(OR(ISNA(VLOOKUP(O104,Final!T:T,1,FALSE)),R104="Duplicate"),"NA",VLOOKUP(O104,Final!T:T,1,FALSE)))</f>
        <v/>
      </c>
      <c r="R104" t="str">
        <f>IF(AND(COUNTIF($S$2:$S104, $S104)&gt;1,S104&lt;&gt;""), "Duplicate", "")</f>
        <v/>
      </c>
      <c r="S104" t="str">
        <f t="shared" si="7"/>
        <v/>
      </c>
    </row>
    <row r="105" spans="15:19" x14ac:dyDescent="0.25">
      <c r="O105" s="1" t="str">
        <f t="shared" si="8"/>
        <v/>
      </c>
      <c r="P105" s="1" t="str">
        <f t="shared" si="9"/>
        <v/>
      </c>
      <c r="Q105" s="1" t="str">
        <f>IF(O105="","",IF(OR(ISNA(VLOOKUP(O105,Final!T:T,1,FALSE)),R105="Duplicate"),"NA",VLOOKUP(O105,Final!T:T,1,FALSE)))</f>
        <v/>
      </c>
      <c r="R105" t="str">
        <f>IF(AND(COUNTIF($S$2:$S105, $S105)&gt;1,S105&lt;&gt;""), "Duplicate", "")</f>
        <v/>
      </c>
      <c r="S105" t="str">
        <f t="shared" si="7"/>
        <v/>
      </c>
    </row>
    <row r="106" spans="15:19" x14ac:dyDescent="0.25">
      <c r="O106" s="1" t="str">
        <f t="shared" si="8"/>
        <v/>
      </c>
      <c r="P106" s="1" t="str">
        <f t="shared" si="9"/>
        <v/>
      </c>
      <c r="Q106" s="1" t="str">
        <f>IF(O106="","",IF(OR(ISNA(VLOOKUP(O106,Final!T:T,1,FALSE)),R106="Duplicate"),"NA",VLOOKUP(O106,Final!T:T,1,FALSE)))</f>
        <v/>
      </c>
      <c r="R106" t="str">
        <f>IF(AND(COUNTIF($S$2:$S106, $S106)&gt;1,S106&lt;&gt;""), "Duplicate", "")</f>
        <v/>
      </c>
      <c r="S106" t="str">
        <f t="shared" si="7"/>
        <v/>
      </c>
    </row>
    <row r="107" spans="15:19" x14ac:dyDescent="0.25">
      <c r="O107" s="1" t="str">
        <f t="shared" si="8"/>
        <v/>
      </c>
      <c r="P107" s="1" t="str">
        <f t="shared" si="9"/>
        <v/>
      </c>
      <c r="Q107" s="1" t="str">
        <f>IF(O107="","",IF(OR(ISNA(VLOOKUP(O107,Final!T:T,1,FALSE)),R107="Duplicate"),"NA",VLOOKUP(O107,Final!T:T,1,FALSE)))</f>
        <v/>
      </c>
      <c r="R107" t="str">
        <f>IF(AND(COUNTIF($S$2:$S107, $S107)&gt;1,S107&lt;&gt;""), "Duplicate", "")</f>
        <v/>
      </c>
      <c r="S107" t="str">
        <f t="shared" si="7"/>
        <v/>
      </c>
    </row>
    <row r="108" spans="15:19" x14ac:dyDescent="0.25">
      <c r="O108" s="1" t="str">
        <f t="shared" si="8"/>
        <v/>
      </c>
      <c r="P108" s="1" t="str">
        <f t="shared" si="9"/>
        <v/>
      </c>
      <c r="Q108" s="1" t="str">
        <f>IF(O108="","",IF(OR(ISNA(VLOOKUP(O108,Final!T:T,1,FALSE)),R108="Duplicate"),"NA",VLOOKUP(O108,Final!T:T,1,FALSE)))</f>
        <v/>
      </c>
      <c r="R108" t="str">
        <f>IF(AND(COUNTIF($S$2:$S108, $S108)&gt;1,S108&lt;&gt;""), "Duplicate", "")</f>
        <v/>
      </c>
      <c r="S108" t="str">
        <f t="shared" si="7"/>
        <v/>
      </c>
    </row>
    <row r="109" spans="15:19" x14ac:dyDescent="0.25">
      <c r="O109" s="1" t="str">
        <f t="shared" si="8"/>
        <v/>
      </c>
      <c r="P109" s="1" t="str">
        <f t="shared" si="9"/>
        <v/>
      </c>
      <c r="Q109" s="1" t="str">
        <f>IF(O109="","",IF(OR(ISNA(VLOOKUP(O109,Final!T:T,1,FALSE)),R109="Duplicate"),"NA",VLOOKUP(O109,Final!T:T,1,FALSE)))</f>
        <v/>
      </c>
      <c r="R109" t="str">
        <f>IF(AND(COUNTIF($S$2:$S109, $S109)&gt;1,S109&lt;&gt;""), "Duplicate", "")</f>
        <v/>
      </c>
      <c r="S109" t="str">
        <f t="shared" si="7"/>
        <v/>
      </c>
    </row>
    <row r="110" spans="15:19" x14ac:dyDescent="0.25">
      <c r="O110" s="1" t="str">
        <f t="shared" si="8"/>
        <v/>
      </c>
      <c r="P110" s="1" t="str">
        <f t="shared" si="9"/>
        <v/>
      </c>
      <c r="Q110" s="1" t="str">
        <f>IF(O110="","",IF(OR(ISNA(VLOOKUP(O110,Final!T:T,1,FALSE)),R110="Duplicate"),"NA",VLOOKUP(O110,Final!T:T,1,FALSE)))</f>
        <v/>
      </c>
      <c r="R110" t="str">
        <f>IF(AND(COUNTIF($S$2:$S110, $S110)&gt;1,S110&lt;&gt;""), "Duplicate", "")</f>
        <v/>
      </c>
      <c r="S110" t="str">
        <f t="shared" si="7"/>
        <v/>
      </c>
    </row>
    <row r="111" spans="15:19" x14ac:dyDescent="0.25">
      <c r="O111" s="1" t="str">
        <f t="shared" si="8"/>
        <v/>
      </c>
      <c r="P111" s="1" t="str">
        <f t="shared" si="9"/>
        <v/>
      </c>
      <c r="Q111" s="1" t="str">
        <f>IF(O111="","",IF(OR(ISNA(VLOOKUP(O111,Final!T:T,1,FALSE)),R111="Duplicate"),"NA",VLOOKUP(O111,Final!T:T,1,FALSE)))</f>
        <v/>
      </c>
      <c r="R111" t="str">
        <f>IF(AND(COUNTIF($S$2:$S111, $S111)&gt;1,S111&lt;&gt;""), "Duplicate", "")</f>
        <v/>
      </c>
      <c r="S111" t="str">
        <f t="shared" si="7"/>
        <v/>
      </c>
    </row>
    <row r="112" spans="15:19" x14ac:dyDescent="0.25">
      <c r="O112" s="1" t="str">
        <f t="shared" si="8"/>
        <v/>
      </c>
      <c r="P112" s="1" t="str">
        <f t="shared" si="9"/>
        <v/>
      </c>
      <c r="Q112" s="1" t="str">
        <f>IF(O112="","",IF(OR(ISNA(VLOOKUP(O112,Final!T:T,1,FALSE)),R112="Duplicate"),"NA",VLOOKUP(O112,Final!T:T,1,FALSE)))</f>
        <v/>
      </c>
      <c r="R112" t="str">
        <f>IF(AND(COUNTIF($S$2:$S112, $S112)&gt;1,S112&lt;&gt;""), "Duplicate", "")</f>
        <v/>
      </c>
      <c r="S112" t="str">
        <f t="shared" si="7"/>
        <v/>
      </c>
    </row>
    <row r="113" spans="15:19" x14ac:dyDescent="0.25">
      <c r="O113" s="1" t="str">
        <f t="shared" si="8"/>
        <v/>
      </c>
      <c r="P113" s="1" t="str">
        <f t="shared" si="9"/>
        <v/>
      </c>
      <c r="Q113" s="1" t="str">
        <f>IF(O113="","",IF(OR(ISNA(VLOOKUP(O113,Final!T:T,1,FALSE)),R113="Duplicate"),"NA",VLOOKUP(O113,Final!T:T,1,FALSE)))</f>
        <v/>
      </c>
      <c r="R113" t="str">
        <f>IF(AND(COUNTIF($S$2:$S113, $S113)&gt;1,S113&lt;&gt;""), "Duplicate", "")</f>
        <v/>
      </c>
      <c r="S113" t="str">
        <f t="shared" si="7"/>
        <v/>
      </c>
    </row>
    <row r="114" spans="15:19" x14ac:dyDescent="0.25">
      <c r="O114" s="1" t="str">
        <f t="shared" si="8"/>
        <v/>
      </c>
      <c r="P114" s="1" t="str">
        <f t="shared" si="9"/>
        <v/>
      </c>
      <c r="Q114" s="1" t="str">
        <f>IF(O114="","",IF(OR(ISNA(VLOOKUP(O114,Final!T:T,1,FALSE)),R114="Duplicate"),"NA",VLOOKUP(O114,Final!T:T,1,FALSE)))</f>
        <v/>
      </c>
      <c r="R114" t="str">
        <f>IF(AND(COUNTIF($S$2:$S114, $S114)&gt;1,S114&lt;&gt;""), "Duplicate", "")</f>
        <v/>
      </c>
      <c r="S114" t="str">
        <f t="shared" si="7"/>
        <v/>
      </c>
    </row>
    <row r="115" spans="15:19" x14ac:dyDescent="0.25">
      <c r="O115" s="1" t="str">
        <f t="shared" si="8"/>
        <v/>
      </c>
      <c r="P115" s="1" t="str">
        <f t="shared" si="9"/>
        <v/>
      </c>
      <c r="Q115" s="1" t="str">
        <f>IF(O115="","",IF(OR(ISNA(VLOOKUP(O115,Final!T:T,1,FALSE)),R115="Duplicate"),"NA",VLOOKUP(O115,Final!T:T,1,FALSE)))</f>
        <v/>
      </c>
      <c r="R115" t="str">
        <f>IF(AND(COUNTIF($S$2:$S115, $S115)&gt;1,S115&lt;&gt;""), "Duplicate", "")</f>
        <v/>
      </c>
      <c r="S115" t="str">
        <f t="shared" si="7"/>
        <v/>
      </c>
    </row>
    <row r="116" spans="15:19" x14ac:dyDescent="0.25">
      <c r="O116" s="1" t="str">
        <f t="shared" si="8"/>
        <v/>
      </c>
      <c r="P116" s="1" t="str">
        <f t="shared" si="9"/>
        <v/>
      </c>
      <c r="Q116" s="1" t="str">
        <f>IF(O116="","",IF(OR(ISNA(VLOOKUP(O116,Final!T:T,1,FALSE)),R116="Duplicate"),"NA",VLOOKUP(O116,Final!T:T,1,FALSE)))</f>
        <v/>
      </c>
      <c r="R116" t="str">
        <f>IF(AND(COUNTIF($S$2:$S116, $S116)&gt;1,S116&lt;&gt;""), "Duplicate", "")</f>
        <v/>
      </c>
      <c r="S116" t="str">
        <f t="shared" si="7"/>
        <v/>
      </c>
    </row>
    <row r="117" spans="15:19" x14ac:dyDescent="0.25">
      <c r="O117" s="1" t="str">
        <f t="shared" si="8"/>
        <v/>
      </c>
      <c r="P117" s="1" t="str">
        <f t="shared" si="9"/>
        <v/>
      </c>
      <c r="Q117" s="1" t="str">
        <f>IF(O117="","",IF(OR(ISNA(VLOOKUP(O117,Final!T:T,1,FALSE)),R117="Duplicate"),"NA",VLOOKUP(O117,Final!T:T,1,FALSE)))</f>
        <v/>
      </c>
      <c r="R117" t="str">
        <f>IF(AND(COUNTIF($S$2:$S117, $S117)&gt;1,S117&lt;&gt;""), "Duplicate", "")</f>
        <v/>
      </c>
      <c r="S117" t="str">
        <f t="shared" si="7"/>
        <v/>
      </c>
    </row>
    <row r="118" spans="15:19" x14ac:dyDescent="0.25">
      <c r="O118" s="1" t="str">
        <f t="shared" si="8"/>
        <v/>
      </c>
      <c r="P118" s="1" t="str">
        <f t="shared" si="9"/>
        <v/>
      </c>
      <c r="Q118" s="1" t="str">
        <f>IF(O118="","",IF(OR(ISNA(VLOOKUP(O118,Final!T:T,1,FALSE)),R118="Duplicate"),"NA",VLOOKUP(O118,Final!T:T,1,FALSE)))</f>
        <v/>
      </c>
      <c r="R118" t="str">
        <f>IF(AND(COUNTIF($S$2:$S118, $S118)&gt;1,S118&lt;&gt;""), "Duplicate", "")</f>
        <v/>
      </c>
      <c r="S118" t="str">
        <f t="shared" si="7"/>
        <v/>
      </c>
    </row>
    <row r="119" spans="15:19" x14ac:dyDescent="0.25">
      <c r="O119" s="1" t="str">
        <f t="shared" si="8"/>
        <v/>
      </c>
      <c r="P119" s="1" t="str">
        <f t="shared" si="9"/>
        <v/>
      </c>
      <c r="Q119" s="1" t="str">
        <f>IF(O119="","",IF(OR(ISNA(VLOOKUP(O119,Final!T:T,1,FALSE)),R119="Duplicate"),"NA",VLOOKUP(O119,Final!T:T,1,FALSE)))</f>
        <v/>
      </c>
      <c r="R119" t="str">
        <f>IF(AND(COUNTIF($S$2:$S119, $S119)&gt;1,S119&lt;&gt;""), "Duplicate", "")</f>
        <v/>
      </c>
      <c r="S119" t="str">
        <f t="shared" si="7"/>
        <v/>
      </c>
    </row>
    <row r="120" spans="15:19" x14ac:dyDescent="0.25">
      <c r="O120" s="1" t="str">
        <f t="shared" si="8"/>
        <v/>
      </c>
      <c r="P120" s="1" t="str">
        <f t="shared" si="9"/>
        <v/>
      </c>
      <c r="Q120" s="1" t="str">
        <f>IF(O120="","",IF(OR(ISNA(VLOOKUP(O120,Final!T:T,1,FALSE)),R120="Duplicate"),"NA",VLOOKUP(O120,Final!T:T,1,FALSE)))</f>
        <v/>
      </c>
      <c r="R120" t="str">
        <f>IF(AND(COUNTIF($S$2:$S120, $S120)&gt;1,S120&lt;&gt;""), "Duplicate", "")</f>
        <v/>
      </c>
      <c r="S120" t="str">
        <f t="shared" si="7"/>
        <v/>
      </c>
    </row>
    <row r="121" spans="15:19" x14ac:dyDescent="0.25">
      <c r="O121" s="1" t="str">
        <f t="shared" si="8"/>
        <v/>
      </c>
      <c r="P121" s="1" t="str">
        <f t="shared" si="9"/>
        <v/>
      </c>
      <c r="Q121" s="1" t="str">
        <f>IF(O121="","",IF(OR(ISNA(VLOOKUP(O121,Final!T:T,1,FALSE)),R121="Duplicate"),"NA",VLOOKUP(O121,Final!T:T,1,FALSE)))</f>
        <v/>
      </c>
      <c r="R121" t="str">
        <f>IF(AND(COUNTIF($S$2:$S121, $S121)&gt;1,S121&lt;&gt;""), "Duplicate", "")</f>
        <v/>
      </c>
      <c r="S121" t="str">
        <f t="shared" si="7"/>
        <v/>
      </c>
    </row>
    <row r="122" spans="15:19" x14ac:dyDescent="0.25">
      <c r="O122" s="1" t="str">
        <f t="shared" si="8"/>
        <v/>
      </c>
      <c r="P122" s="1" t="str">
        <f t="shared" si="9"/>
        <v/>
      </c>
      <c r="Q122" s="1" t="str">
        <f>IF(O122="","",IF(OR(ISNA(VLOOKUP(O122,Final!T:T,1,FALSE)),R122="Duplicate"),"NA",VLOOKUP(O122,Final!T:T,1,FALSE)))</f>
        <v/>
      </c>
      <c r="R122" t="str">
        <f>IF(AND(COUNTIF($S$2:$S122, $S122)&gt;1,S122&lt;&gt;""), "Duplicate", "")</f>
        <v/>
      </c>
      <c r="S122" t="str">
        <f t="shared" si="7"/>
        <v/>
      </c>
    </row>
    <row r="123" spans="15:19" x14ac:dyDescent="0.25">
      <c r="O123" s="1" t="str">
        <f t="shared" si="8"/>
        <v/>
      </c>
      <c r="P123" s="1" t="str">
        <f t="shared" si="9"/>
        <v/>
      </c>
      <c r="Q123" s="1" t="str">
        <f>IF(O123="","",IF(OR(ISNA(VLOOKUP(O123,Final!T:T,1,FALSE)),R123="Duplicate"),"NA",VLOOKUP(O123,Final!T:T,1,FALSE)))</f>
        <v/>
      </c>
      <c r="R123" t="str">
        <f>IF(AND(COUNTIF($S$2:$S123, $S123)&gt;1,S123&lt;&gt;""), "Duplicate", "")</f>
        <v/>
      </c>
      <c r="S123" t="str">
        <f t="shared" si="7"/>
        <v/>
      </c>
    </row>
    <row r="124" spans="15:19" x14ac:dyDescent="0.25">
      <c r="O124" s="1" t="str">
        <f t="shared" si="8"/>
        <v/>
      </c>
      <c r="P124" s="1" t="str">
        <f t="shared" si="9"/>
        <v/>
      </c>
      <c r="Q124" s="1" t="str">
        <f>IF(O124="","",IF(OR(ISNA(VLOOKUP(O124,Final!T:T,1,FALSE)),R124="Duplicate"),"NA",VLOOKUP(O124,Final!T:T,1,FALSE)))</f>
        <v/>
      </c>
      <c r="R124" t="str">
        <f>IF(AND(COUNTIF($S$2:$S124, $S124)&gt;1,S124&lt;&gt;""), "Duplicate", "")</f>
        <v/>
      </c>
      <c r="S124" t="str">
        <f t="shared" si="7"/>
        <v/>
      </c>
    </row>
    <row r="125" spans="15:19" x14ac:dyDescent="0.25">
      <c r="O125" s="1" t="str">
        <f t="shared" si="8"/>
        <v/>
      </c>
      <c r="P125" s="1" t="str">
        <f t="shared" si="9"/>
        <v/>
      </c>
      <c r="Q125" s="1" t="str">
        <f>IF(O125="","",IF(OR(ISNA(VLOOKUP(O125,Final!T:T,1,FALSE)),R125="Duplicate"),"NA",VLOOKUP(O125,Final!T:T,1,FALSE)))</f>
        <v/>
      </c>
      <c r="R125" t="str">
        <f>IF(AND(COUNTIF($S$2:$S125, $S125)&gt;1,S125&lt;&gt;""), "Duplicate", "")</f>
        <v/>
      </c>
      <c r="S125" t="str">
        <f t="shared" si="7"/>
        <v/>
      </c>
    </row>
    <row r="126" spans="15:19" x14ac:dyDescent="0.25">
      <c r="O126" s="1" t="str">
        <f t="shared" si="8"/>
        <v/>
      </c>
      <c r="P126" s="1" t="str">
        <f t="shared" si="9"/>
        <v/>
      </c>
      <c r="Q126" s="1" t="str">
        <f>IF(O126="","",IF(OR(ISNA(VLOOKUP(O126,Final!T:T,1,FALSE)),R126="Duplicate"),"NA",VLOOKUP(O126,Final!T:T,1,FALSE)))</f>
        <v/>
      </c>
      <c r="R126" t="str">
        <f>IF(AND(COUNTIF($S$2:$S126, $S126)&gt;1,S126&lt;&gt;""), "Duplicate", "")</f>
        <v/>
      </c>
      <c r="S126" t="str">
        <f t="shared" si="7"/>
        <v/>
      </c>
    </row>
    <row r="127" spans="15:19" x14ac:dyDescent="0.25">
      <c r="O127" s="1" t="str">
        <f t="shared" si="8"/>
        <v/>
      </c>
      <c r="P127" s="1" t="str">
        <f t="shared" si="9"/>
        <v/>
      </c>
      <c r="Q127" s="1" t="str">
        <f>IF(O127="","",IF(OR(ISNA(VLOOKUP(O127,Final!T:T,1,FALSE)),R127="Duplicate"),"NA",VLOOKUP(O127,Final!T:T,1,FALSE)))</f>
        <v/>
      </c>
      <c r="R127" t="str">
        <f>IF(AND(COUNTIF($S$2:$S127, $S127)&gt;1,S127&lt;&gt;""), "Duplicate", "")</f>
        <v/>
      </c>
      <c r="S127" t="str">
        <f t="shared" si="7"/>
        <v/>
      </c>
    </row>
    <row r="128" spans="15:19" x14ac:dyDescent="0.25">
      <c r="O128" s="1" t="str">
        <f t="shared" si="8"/>
        <v/>
      </c>
      <c r="P128" s="1" t="str">
        <f t="shared" si="9"/>
        <v/>
      </c>
      <c r="Q128" s="1" t="str">
        <f>IF(O128="","",IF(OR(ISNA(VLOOKUP(O128,Final!T:T,1,FALSE)),R128="Duplicate"),"NA",VLOOKUP(O128,Final!T:T,1,FALSE)))</f>
        <v/>
      </c>
      <c r="R128" t="str">
        <f>IF(AND(COUNTIF($S$2:$S128, $S128)&gt;1,S128&lt;&gt;""), "Duplicate", "")</f>
        <v/>
      </c>
      <c r="S128" t="str">
        <f t="shared" si="7"/>
        <v/>
      </c>
    </row>
    <row r="129" spans="15:19" x14ac:dyDescent="0.25">
      <c r="O129" s="1" t="str">
        <f t="shared" si="8"/>
        <v/>
      </c>
      <c r="P129" s="1" t="str">
        <f t="shared" si="9"/>
        <v/>
      </c>
      <c r="Q129" s="1" t="str">
        <f>IF(O129="","",IF(OR(ISNA(VLOOKUP(O129,Final!T:T,1,FALSE)),R129="Duplicate"),"NA",VLOOKUP(O129,Final!T:T,1,FALSE)))</f>
        <v/>
      </c>
      <c r="R129" t="str">
        <f>IF(AND(COUNTIF($S$2:$S129, $S129)&gt;1,S129&lt;&gt;""), "Duplicate", "")</f>
        <v/>
      </c>
      <c r="S129" t="str">
        <f t="shared" si="7"/>
        <v/>
      </c>
    </row>
    <row r="130" spans="15:19" x14ac:dyDescent="0.25">
      <c r="O130" s="1" t="str">
        <f t="shared" ref="O130:O161" si="10">D130&amp;E130</f>
        <v/>
      </c>
      <c r="P130" s="1" t="str">
        <f t="shared" ref="P130:P161" si="11">IF(C130="","",C130)</f>
        <v/>
      </c>
      <c r="Q130" s="1" t="str">
        <f>IF(O130="","",IF(OR(ISNA(VLOOKUP(O130,Final!T:T,1,FALSE)),R130="Duplicate"),"NA",VLOOKUP(O130,Final!T:T,1,FALSE)))</f>
        <v/>
      </c>
      <c r="R130" t="str">
        <f>IF(AND(COUNTIF($S$2:$S130, $S130)&gt;1,S130&lt;&gt;""), "Duplicate", "")</f>
        <v/>
      </c>
      <c r="S130" t="str">
        <f t="shared" si="7"/>
        <v/>
      </c>
    </row>
    <row r="131" spans="15:19" x14ac:dyDescent="0.25">
      <c r="O131" s="1" t="str">
        <f t="shared" si="10"/>
        <v/>
      </c>
      <c r="P131" s="1" t="str">
        <f t="shared" si="11"/>
        <v/>
      </c>
      <c r="Q131" s="1" t="str">
        <f>IF(O131="","",IF(OR(ISNA(VLOOKUP(O131,Final!T:T,1,FALSE)),R131="Duplicate"),"NA",VLOOKUP(O131,Final!T:T,1,FALSE)))</f>
        <v/>
      </c>
      <c r="R131" t="str">
        <f>IF(AND(COUNTIF($S$2:$S131, $S131)&gt;1,S131&lt;&gt;""), "Duplicate", "")</f>
        <v/>
      </c>
      <c r="S131" t="str">
        <f t="shared" ref="S131:S184" si="12">D131&amp;E131</f>
        <v/>
      </c>
    </row>
    <row r="132" spans="15:19" x14ac:dyDescent="0.25">
      <c r="O132" s="1" t="str">
        <f t="shared" si="10"/>
        <v/>
      </c>
      <c r="P132" s="1" t="str">
        <f t="shared" si="11"/>
        <v/>
      </c>
      <c r="Q132" s="1" t="str">
        <f>IF(O132="","",IF(OR(ISNA(VLOOKUP(O132,Final!T:T,1,FALSE)),R132="Duplicate"),"NA",VLOOKUP(O132,Final!T:T,1,FALSE)))</f>
        <v/>
      </c>
      <c r="R132" t="str">
        <f>IF(AND(COUNTIF($S$2:$S132, $S132)&gt;1,S132&lt;&gt;""), "Duplicate", "")</f>
        <v/>
      </c>
      <c r="S132" t="str">
        <f t="shared" si="12"/>
        <v/>
      </c>
    </row>
    <row r="133" spans="15:19" x14ac:dyDescent="0.25">
      <c r="O133" s="1" t="str">
        <f t="shared" si="10"/>
        <v/>
      </c>
      <c r="P133" s="1" t="str">
        <f t="shared" si="11"/>
        <v/>
      </c>
      <c r="Q133" s="1" t="str">
        <f>IF(O133="","",IF(OR(ISNA(VLOOKUP(O133,Final!T:T,1,FALSE)),R133="Duplicate"),"NA",VLOOKUP(O133,Final!T:T,1,FALSE)))</f>
        <v/>
      </c>
      <c r="R133" t="str">
        <f>IF(AND(COUNTIF($S$2:$S133, $S133)&gt;1,S133&lt;&gt;""), "Duplicate", "")</f>
        <v/>
      </c>
      <c r="S133" t="str">
        <f t="shared" si="12"/>
        <v/>
      </c>
    </row>
    <row r="134" spans="15:19" x14ac:dyDescent="0.25">
      <c r="O134" s="1" t="str">
        <f t="shared" si="10"/>
        <v/>
      </c>
      <c r="P134" s="1" t="str">
        <f t="shared" si="11"/>
        <v/>
      </c>
      <c r="Q134" s="1" t="str">
        <f>IF(O134="","",IF(OR(ISNA(VLOOKUP(O134,Final!T:T,1,FALSE)),R134="Duplicate"),"NA",VLOOKUP(O134,Final!T:T,1,FALSE)))</f>
        <v/>
      </c>
      <c r="R134" t="str">
        <f>IF(AND(COUNTIF($S$2:$S134, $S134)&gt;1,S134&lt;&gt;""), "Duplicate", "")</f>
        <v/>
      </c>
      <c r="S134" t="str">
        <f t="shared" si="12"/>
        <v/>
      </c>
    </row>
    <row r="135" spans="15:19" x14ac:dyDescent="0.25">
      <c r="O135" s="1" t="str">
        <f t="shared" si="10"/>
        <v/>
      </c>
      <c r="P135" s="1" t="str">
        <f t="shared" si="11"/>
        <v/>
      </c>
      <c r="Q135" s="1" t="str">
        <f>IF(O135="","",IF(OR(ISNA(VLOOKUP(O135,Final!T:T,1,FALSE)),R135="Duplicate"),"NA",VLOOKUP(O135,Final!T:T,1,FALSE)))</f>
        <v/>
      </c>
      <c r="R135" t="str">
        <f>IF(AND(COUNTIF($S$2:$S135, $S135)&gt;1,S135&lt;&gt;""), "Duplicate", "")</f>
        <v/>
      </c>
      <c r="S135" t="str">
        <f t="shared" si="12"/>
        <v/>
      </c>
    </row>
    <row r="136" spans="15:19" x14ac:dyDescent="0.25">
      <c r="O136" s="1" t="str">
        <f t="shared" si="10"/>
        <v/>
      </c>
      <c r="P136" s="1" t="str">
        <f t="shared" si="11"/>
        <v/>
      </c>
      <c r="Q136" s="1" t="str">
        <f>IF(O136="","",IF(OR(ISNA(VLOOKUP(O136,Final!T:T,1,FALSE)),R136="Duplicate"),"NA",VLOOKUP(O136,Final!T:T,1,FALSE)))</f>
        <v/>
      </c>
      <c r="R136" t="str">
        <f>IF(AND(COUNTIF($S$2:$S136, $S136)&gt;1,S136&lt;&gt;""), "Duplicate", "")</f>
        <v/>
      </c>
      <c r="S136" t="str">
        <f t="shared" si="12"/>
        <v/>
      </c>
    </row>
    <row r="137" spans="15:19" x14ac:dyDescent="0.25">
      <c r="O137" s="1" t="str">
        <f t="shared" si="10"/>
        <v/>
      </c>
      <c r="P137" s="1" t="str">
        <f t="shared" si="11"/>
        <v/>
      </c>
      <c r="Q137" s="1" t="str">
        <f>IF(O137="","",IF(OR(ISNA(VLOOKUP(O137,Final!T:T,1,FALSE)),R137="Duplicate"),"NA",VLOOKUP(O137,Final!T:T,1,FALSE)))</f>
        <v/>
      </c>
      <c r="R137" t="str">
        <f>IF(AND(COUNTIF($S$2:$S137, $S137)&gt;1,S137&lt;&gt;""), "Duplicate", "")</f>
        <v/>
      </c>
      <c r="S137" t="str">
        <f t="shared" si="12"/>
        <v/>
      </c>
    </row>
    <row r="138" spans="15:19" x14ac:dyDescent="0.25">
      <c r="O138" s="1" t="str">
        <f t="shared" si="10"/>
        <v/>
      </c>
      <c r="P138" s="1" t="str">
        <f t="shared" si="11"/>
        <v/>
      </c>
      <c r="Q138" s="1" t="str">
        <f>IF(O138="","",IF(OR(ISNA(VLOOKUP(O138,Final!T:T,1,FALSE)),R138="Duplicate"),"NA",VLOOKUP(O138,Final!T:T,1,FALSE)))</f>
        <v/>
      </c>
      <c r="R138" t="str">
        <f>IF(AND(COUNTIF($S$2:$S138, $S138)&gt;1,S138&lt;&gt;""), "Duplicate", "")</f>
        <v/>
      </c>
      <c r="S138" t="str">
        <f t="shared" si="12"/>
        <v/>
      </c>
    </row>
    <row r="139" spans="15:19" x14ac:dyDescent="0.25">
      <c r="O139" s="1" t="str">
        <f t="shared" si="10"/>
        <v/>
      </c>
      <c r="P139" s="1" t="str">
        <f t="shared" si="11"/>
        <v/>
      </c>
      <c r="Q139" s="1" t="str">
        <f>IF(O139="","",IF(OR(ISNA(VLOOKUP(O139,Final!T:T,1,FALSE)),R139="Duplicate"),"NA",VLOOKUP(O139,Final!T:T,1,FALSE)))</f>
        <v/>
      </c>
      <c r="R139" t="str">
        <f>IF(AND(COUNTIF($S$2:$S139, $S139)&gt;1,S139&lt;&gt;""), "Duplicate", "")</f>
        <v/>
      </c>
      <c r="S139" t="str">
        <f t="shared" si="12"/>
        <v/>
      </c>
    </row>
    <row r="140" spans="15:19" x14ac:dyDescent="0.25">
      <c r="O140" s="1" t="str">
        <f t="shared" si="10"/>
        <v/>
      </c>
      <c r="P140" s="1" t="str">
        <f t="shared" si="11"/>
        <v/>
      </c>
      <c r="Q140" s="1" t="str">
        <f>IF(O140="","",IF(OR(ISNA(VLOOKUP(O140,Final!T:T,1,FALSE)),R140="Duplicate"),"NA",VLOOKUP(O140,Final!T:T,1,FALSE)))</f>
        <v/>
      </c>
      <c r="R140" t="str">
        <f>IF(AND(COUNTIF($S$2:$S140, $S140)&gt;1,S140&lt;&gt;""), "Duplicate", "")</f>
        <v/>
      </c>
      <c r="S140" t="str">
        <f t="shared" si="12"/>
        <v/>
      </c>
    </row>
    <row r="141" spans="15:19" x14ac:dyDescent="0.25">
      <c r="O141" s="1" t="str">
        <f t="shared" si="10"/>
        <v/>
      </c>
      <c r="P141" s="1" t="str">
        <f t="shared" si="11"/>
        <v/>
      </c>
      <c r="Q141" s="1" t="str">
        <f>IF(O141="","",IF(OR(ISNA(VLOOKUP(O141,Final!T:T,1,FALSE)),R141="Duplicate"),"NA",VLOOKUP(O141,Final!T:T,1,FALSE)))</f>
        <v/>
      </c>
      <c r="R141" t="str">
        <f>IF(AND(COUNTIF($S$2:$S141, $S141)&gt;1,S141&lt;&gt;""), "Duplicate", "")</f>
        <v/>
      </c>
      <c r="S141" t="str">
        <f t="shared" si="12"/>
        <v/>
      </c>
    </row>
    <row r="142" spans="15:19" x14ac:dyDescent="0.25">
      <c r="O142" s="1" t="str">
        <f t="shared" si="10"/>
        <v/>
      </c>
      <c r="P142" s="1" t="str">
        <f t="shared" si="11"/>
        <v/>
      </c>
      <c r="Q142" s="1" t="str">
        <f>IF(O142="","",IF(OR(ISNA(VLOOKUP(O142,Final!T:T,1,FALSE)),R142="Duplicate"),"NA",VLOOKUP(O142,Final!T:T,1,FALSE)))</f>
        <v/>
      </c>
      <c r="R142" t="str">
        <f>IF(AND(COUNTIF($S$2:$S142, $S142)&gt;1,S142&lt;&gt;""), "Duplicate", "")</f>
        <v/>
      </c>
      <c r="S142" t="str">
        <f t="shared" si="12"/>
        <v/>
      </c>
    </row>
    <row r="143" spans="15:19" x14ac:dyDescent="0.25">
      <c r="O143" s="1" t="str">
        <f t="shared" si="10"/>
        <v/>
      </c>
      <c r="P143" s="1" t="str">
        <f t="shared" si="11"/>
        <v/>
      </c>
      <c r="Q143" s="1" t="str">
        <f>IF(O143="","",IF(OR(ISNA(VLOOKUP(O143,Final!T:T,1,FALSE)),R143="Duplicate"),"NA",VLOOKUP(O143,Final!T:T,1,FALSE)))</f>
        <v/>
      </c>
      <c r="R143" t="str">
        <f>IF(AND(COUNTIF($S$2:$S143, $S143)&gt;1,S143&lt;&gt;""), "Duplicate", "")</f>
        <v/>
      </c>
      <c r="S143" t="str">
        <f t="shared" si="12"/>
        <v/>
      </c>
    </row>
    <row r="144" spans="15:19" x14ac:dyDescent="0.25">
      <c r="O144" s="1" t="str">
        <f t="shared" si="10"/>
        <v/>
      </c>
      <c r="P144" s="1" t="str">
        <f t="shared" si="11"/>
        <v/>
      </c>
      <c r="Q144" s="1" t="str">
        <f>IF(O144="","",IF(OR(ISNA(VLOOKUP(O144,Final!T:T,1,FALSE)),R144="Duplicate"),"NA",VLOOKUP(O144,Final!T:T,1,FALSE)))</f>
        <v/>
      </c>
      <c r="R144" t="str">
        <f>IF(AND(COUNTIF($S$2:$S144, $S144)&gt;1,S144&lt;&gt;""), "Duplicate", "")</f>
        <v/>
      </c>
      <c r="S144" t="str">
        <f t="shared" si="12"/>
        <v/>
      </c>
    </row>
    <row r="145" spans="15:19" x14ac:dyDescent="0.25">
      <c r="O145" s="1" t="str">
        <f t="shared" si="10"/>
        <v/>
      </c>
      <c r="P145" s="1" t="str">
        <f t="shared" si="11"/>
        <v/>
      </c>
      <c r="Q145" s="1" t="str">
        <f>IF(O145="","",IF(OR(ISNA(VLOOKUP(O145,Final!T:T,1,FALSE)),R145="Duplicate"),"NA",VLOOKUP(O145,Final!T:T,1,FALSE)))</f>
        <v/>
      </c>
      <c r="R145" t="str">
        <f>IF(AND(COUNTIF($S$2:$S145, $S145)&gt;1,S145&lt;&gt;""), "Duplicate", "")</f>
        <v/>
      </c>
      <c r="S145" t="str">
        <f t="shared" si="12"/>
        <v/>
      </c>
    </row>
    <row r="146" spans="15:19" x14ac:dyDescent="0.25">
      <c r="O146" s="1" t="str">
        <f t="shared" si="10"/>
        <v/>
      </c>
      <c r="P146" s="1" t="str">
        <f t="shared" si="11"/>
        <v/>
      </c>
      <c r="Q146" s="1" t="str">
        <f>IF(O146="","",IF(OR(ISNA(VLOOKUP(O146,Final!T:T,1,FALSE)),R146="Duplicate"),"NA",VLOOKUP(O146,Final!T:T,1,FALSE)))</f>
        <v/>
      </c>
      <c r="R146" t="str">
        <f>IF(AND(COUNTIF($S$2:$S146, $S146)&gt;1,S146&lt;&gt;""), "Duplicate", "")</f>
        <v/>
      </c>
      <c r="S146" t="str">
        <f t="shared" si="12"/>
        <v/>
      </c>
    </row>
    <row r="147" spans="15:19" x14ac:dyDescent="0.25">
      <c r="O147" s="1" t="str">
        <f t="shared" si="10"/>
        <v/>
      </c>
      <c r="P147" s="1" t="str">
        <f t="shared" si="11"/>
        <v/>
      </c>
      <c r="Q147" s="1" t="str">
        <f>IF(O147="","",IF(OR(ISNA(VLOOKUP(O147,Final!T:T,1,FALSE)),R147="Duplicate"),"NA",VLOOKUP(O147,Final!T:T,1,FALSE)))</f>
        <v/>
      </c>
      <c r="R147" t="str">
        <f>IF(AND(COUNTIF($S$2:$S147, $S147)&gt;1,S147&lt;&gt;""), "Duplicate", "")</f>
        <v/>
      </c>
      <c r="S147" t="str">
        <f t="shared" si="12"/>
        <v/>
      </c>
    </row>
    <row r="148" spans="15:19" x14ac:dyDescent="0.25">
      <c r="O148" s="1" t="str">
        <f t="shared" si="10"/>
        <v/>
      </c>
      <c r="P148" s="1" t="str">
        <f t="shared" si="11"/>
        <v/>
      </c>
      <c r="Q148" s="1" t="str">
        <f>IF(O148="","",IF(OR(ISNA(VLOOKUP(O148,Final!T:T,1,FALSE)),R148="Duplicate"),"NA",VLOOKUP(O148,Final!T:T,1,FALSE)))</f>
        <v/>
      </c>
      <c r="R148" t="str">
        <f>IF(AND(COUNTIF($S$2:$S148, $S148)&gt;1,S148&lt;&gt;""), "Duplicate", "")</f>
        <v/>
      </c>
      <c r="S148" t="str">
        <f t="shared" si="12"/>
        <v/>
      </c>
    </row>
    <row r="149" spans="15:19" x14ac:dyDescent="0.25">
      <c r="O149" s="1" t="str">
        <f t="shared" si="10"/>
        <v/>
      </c>
      <c r="P149" s="1" t="str">
        <f t="shared" si="11"/>
        <v/>
      </c>
      <c r="Q149" s="1" t="str">
        <f>IF(O149="","",IF(OR(ISNA(VLOOKUP(O149,Final!T:T,1,FALSE)),R149="Duplicate"),"NA",VLOOKUP(O149,Final!T:T,1,FALSE)))</f>
        <v/>
      </c>
      <c r="R149" t="str">
        <f>IF(AND(COUNTIF($S$2:$S149, $S149)&gt;1,S149&lt;&gt;""), "Duplicate", "")</f>
        <v/>
      </c>
      <c r="S149" t="str">
        <f t="shared" si="12"/>
        <v/>
      </c>
    </row>
    <row r="150" spans="15:19" x14ac:dyDescent="0.25">
      <c r="O150" s="1" t="str">
        <f t="shared" si="10"/>
        <v/>
      </c>
      <c r="P150" s="1" t="str">
        <f t="shared" si="11"/>
        <v/>
      </c>
      <c r="Q150" s="1" t="str">
        <f>IF(O150="","",IF(OR(ISNA(VLOOKUP(O150,Final!T:T,1,FALSE)),R150="Duplicate"),"NA",VLOOKUP(O150,Final!T:T,1,FALSE)))</f>
        <v/>
      </c>
      <c r="R150" t="str">
        <f>IF(AND(COUNTIF($S$2:$S150, $S150)&gt;1,S150&lt;&gt;""), "Duplicate", "")</f>
        <v/>
      </c>
      <c r="S150" t="str">
        <f t="shared" si="12"/>
        <v/>
      </c>
    </row>
    <row r="151" spans="15:19" x14ac:dyDescent="0.25">
      <c r="O151" s="1" t="str">
        <f t="shared" si="10"/>
        <v/>
      </c>
      <c r="P151" s="1" t="str">
        <f t="shared" si="11"/>
        <v/>
      </c>
      <c r="Q151" s="1" t="str">
        <f>IF(O151="","",IF(OR(ISNA(VLOOKUP(O151,Final!T:T,1,FALSE)),R151="Duplicate"),"NA",VLOOKUP(O151,Final!T:T,1,FALSE)))</f>
        <v/>
      </c>
      <c r="R151" t="str">
        <f>IF(AND(COUNTIF($S$2:$S151, $S151)&gt;1,S151&lt;&gt;""), "Duplicate", "")</f>
        <v/>
      </c>
      <c r="S151" t="str">
        <f t="shared" si="12"/>
        <v/>
      </c>
    </row>
    <row r="152" spans="15:19" x14ac:dyDescent="0.25">
      <c r="O152" s="1" t="str">
        <f t="shared" si="10"/>
        <v/>
      </c>
      <c r="P152" s="1" t="str">
        <f t="shared" si="11"/>
        <v/>
      </c>
      <c r="Q152" s="1" t="str">
        <f>IF(O152="","",IF(OR(ISNA(VLOOKUP(O152,Final!T:T,1,FALSE)),R152="Duplicate"),"NA",VLOOKUP(O152,Final!T:T,1,FALSE)))</f>
        <v/>
      </c>
      <c r="R152" t="str">
        <f>IF(AND(COUNTIF($S$2:$S152, $S152)&gt;1,S152&lt;&gt;""), "Duplicate", "")</f>
        <v/>
      </c>
      <c r="S152" t="str">
        <f t="shared" si="12"/>
        <v/>
      </c>
    </row>
    <row r="153" spans="15:19" x14ac:dyDescent="0.25">
      <c r="O153" s="1" t="str">
        <f t="shared" si="10"/>
        <v/>
      </c>
      <c r="P153" s="1" t="str">
        <f t="shared" si="11"/>
        <v/>
      </c>
      <c r="Q153" s="1" t="str">
        <f>IF(O153="","",IF(OR(ISNA(VLOOKUP(O153,Final!T:T,1,FALSE)),R153="Duplicate"),"NA",VLOOKUP(O153,Final!T:T,1,FALSE)))</f>
        <v/>
      </c>
      <c r="R153" t="str">
        <f>IF(AND(COUNTIF($S$2:$S153, $S153)&gt;1,S153&lt;&gt;""), "Duplicate", "")</f>
        <v/>
      </c>
      <c r="S153" t="str">
        <f t="shared" si="12"/>
        <v/>
      </c>
    </row>
    <row r="154" spans="15:19" x14ac:dyDescent="0.25">
      <c r="O154" s="1" t="str">
        <f t="shared" si="10"/>
        <v/>
      </c>
      <c r="P154" s="1" t="str">
        <f t="shared" si="11"/>
        <v/>
      </c>
      <c r="Q154" s="1" t="str">
        <f>IF(O154="","",IF(OR(ISNA(VLOOKUP(O154,Final!T:T,1,FALSE)),R154="Duplicate"),"NA",VLOOKUP(O154,Final!T:T,1,FALSE)))</f>
        <v/>
      </c>
      <c r="R154" t="str">
        <f>IF(AND(COUNTIF($S$2:$S154, $S154)&gt;1,S154&lt;&gt;""), "Duplicate", "")</f>
        <v/>
      </c>
      <c r="S154" t="str">
        <f t="shared" si="12"/>
        <v/>
      </c>
    </row>
    <row r="155" spans="15:19" x14ac:dyDescent="0.25">
      <c r="O155" s="1" t="str">
        <f t="shared" si="10"/>
        <v/>
      </c>
      <c r="P155" s="1" t="str">
        <f t="shared" si="11"/>
        <v/>
      </c>
      <c r="Q155" s="1" t="str">
        <f>IF(O155="","",IF(OR(ISNA(VLOOKUP(O155,Final!T:T,1,FALSE)),R155="Duplicate"),"NA",VLOOKUP(O155,Final!T:T,1,FALSE)))</f>
        <v/>
      </c>
      <c r="R155" t="str">
        <f>IF(AND(COUNTIF($S$2:$S155, $S155)&gt;1,S155&lt;&gt;""), "Duplicate", "")</f>
        <v/>
      </c>
      <c r="S155" t="str">
        <f t="shared" si="12"/>
        <v/>
      </c>
    </row>
    <row r="156" spans="15:19" x14ac:dyDescent="0.25">
      <c r="O156" s="1" t="str">
        <f t="shared" si="10"/>
        <v/>
      </c>
      <c r="P156" s="1" t="str">
        <f t="shared" si="11"/>
        <v/>
      </c>
      <c r="Q156" s="1" t="str">
        <f>IF(O156="","",IF(OR(ISNA(VLOOKUP(O156,Final!T:T,1,FALSE)),R156="Duplicate"),"NA",VLOOKUP(O156,Final!T:T,1,FALSE)))</f>
        <v/>
      </c>
      <c r="R156" t="str">
        <f>IF(AND(COUNTIF($S$2:$S156, $S156)&gt;1,S156&lt;&gt;""), "Duplicate", "")</f>
        <v/>
      </c>
      <c r="S156" t="str">
        <f t="shared" si="12"/>
        <v/>
      </c>
    </row>
    <row r="157" spans="15:19" x14ac:dyDescent="0.25">
      <c r="O157" s="1" t="str">
        <f t="shared" si="10"/>
        <v/>
      </c>
      <c r="P157" s="1" t="str">
        <f t="shared" si="11"/>
        <v/>
      </c>
      <c r="Q157" s="1" t="str">
        <f>IF(O157="","",IF(OR(ISNA(VLOOKUP(O157,Final!T:T,1,FALSE)),R157="Duplicate"),"NA",VLOOKUP(O157,Final!T:T,1,FALSE)))</f>
        <v/>
      </c>
      <c r="R157" t="str">
        <f>IF(AND(COUNTIF($S$2:$S157, $S157)&gt;1,S157&lt;&gt;""), "Duplicate", "")</f>
        <v/>
      </c>
      <c r="S157" t="str">
        <f t="shared" si="12"/>
        <v/>
      </c>
    </row>
    <row r="158" spans="15:19" x14ac:dyDescent="0.25">
      <c r="O158" s="1" t="str">
        <f t="shared" si="10"/>
        <v/>
      </c>
      <c r="P158" s="1" t="str">
        <f t="shared" si="11"/>
        <v/>
      </c>
      <c r="Q158" s="1" t="str">
        <f>IF(O158="","",IF(OR(ISNA(VLOOKUP(O158,Final!T:T,1,FALSE)),R158="Duplicate"),"NA",VLOOKUP(O158,Final!T:T,1,FALSE)))</f>
        <v/>
      </c>
      <c r="R158" t="str">
        <f>IF(AND(COUNTIF($S$2:$S158, $S158)&gt;1,S158&lt;&gt;""), "Duplicate", "")</f>
        <v/>
      </c>
      <c r="S158" t="str">
        <f t="shared" si="12"/>
        <v/>
      </c>
    </row>
    <row r="159" spans="15:19" x14ac:dyDescent="0.25">
      <c r="O159" s="1" t="str">
        <f t="shared" si="10"/>
        <v/>
      </c>
      <c r="P159" s="1" t="str">
        <f t="shared" si="11"/>
        <v/>
      </c>
      <c r="Q159" s="1" t="str">
        <f>IF(O159="","",IF(OR(ISNA(VLOOKUP(O159,Final!T:T,1,FALSE)),R159="Duplicate"),"NA",VLOOKUP(O159,Final!T:T,1,FALSE)))</f>
        <v/>
      </c>
      <c r="R159" t="str">
        <f>IF(AND(COUNTIF($S$2:$S159, $S159)&gt;1,S159&lt;&gt;""), "Duplicate", "")</f>
        <v/>
      </c>
      <c r="S159" t="str">
        <f t="shared" si="12"/>
        <v/>
      </c>
    </row>
    <row r="160" spans="15:19" x14ac:dyDescent="0.25">
      <c r="O160" s="1" t="str">
        <f t="shared" si="10"/>
        <v/>
      </c>
      <c r="P160" s="1" t="str">
        <f t="shared" si="11"/>
        <v/>
      </c>
      <c r="Q160" s="1" t="str">
        <f>IF(O160="","",IF(OR(ISNA(VLOOKUP(O160,Final!T:T,1,FALSE)),R160="Duplicate"),"NA",VLOOKUP(O160,Final!T:T,1,FALSE)))</f>
        <v/>
      </c>
      <c r="R160" t="str">
        <f>IF(AND(COUNTIF($S$2:$S160, $S160)&gt;1,S160&lt;&gt;""), "Duplicate", "")</f>
        <v/>
      </c>
      <c r="S160" t="str">
        <f t="shared" si="12"/>
        <v/>
      </c>
    </row>
    <row r="161" spans="15:19" x14ac:dyDescent="0.25">
      <c r="O161" s="1" t="str">
        <f t="shared" si="10"/>
        <v/>
      </c>
      <c r="P161" s="1" t="str">
        <f t="shared" si="11"/>
        <v/>
      </c>
      <c r="Q161" s="1" t="str">
        <f>IF(O161="","",IF(OR(ISNA(VLOOKUP(O161,Final!T:T,1,FALSE)),R161="Duplicate"),"NA",VLOOKUP(O161,Final!T:T,1,FALSE)))</f>
        <v/>
      </c>
      <c r="R161" t="str">
        <f>IF(AND(COUNTIF($S$2:$S161, $S161)&gt;1,S161&lt;&gt;""), "Duplicate", "")</f>
        <v/>
      </c>
      <c r="S161" t="str">
        <f t="shared" si="12"/>
        <v/>
      </c>
    </row>
    <row r="162" spans="15:19" x14ac:dyDescent="0.25">
      <c r="O162" s="1" t="str">
        <f t="shared" ref="O162:O184" si="13">D162&amp;E162</f>
        <v/>
      </c>
      <c r="P162" s="1" t="str">
        <f t="shared" ref="P162:P184" si="14">IF(C162="","",C162)</f>
        <v/>
      </c>
      <c r="Q162" s="1" t="str">
        <f>IF(O162="","",IF(OR(ISNA(VLOOKUP(O162,Final!T:T,1,FALSE)),R162="Duplicate"),"NA",VLOOKUP(O162,Final!T:T,1,FALSE)))</f>
        <v/>
      </c>
      <c r="R162" t="str">
        <f>IF(AND(COUNTIF($S$2:$S162, $S162)&gt;1,S162&lt;&gt;""), "Duplicate", "")</f>
        <v/>
      </c>
      <c r="S162" t="str">
        <f t="shared" si="12"/>
        <v/>
      </c>
    </row>
    <row r="163" spans="15:19" x14ac:dyDescent="0.25">
      <c r="O163" s="1" t="str">
        <f t="shared" si="13"/>
        <v/>
      </c>
      <c r="P163" s="1" t="str">
        <f t="shared" si="14"/>
        <v/>
      </c>
      <c r="Q163" s="1" t="str">
        <f>IF(O163="","",IF(OR(ISNA(VLOOKUP(O163,Final!T:T,1,FALSE)),R163="Duplicate"),"NA",VLOOKUP(O163,Final!T:T,1,FALSE)))</f>
        <v/>
      </c>
      <c r="R163" t="str">
        <f>IF(AND(COUNTIF($S$2:$S163, $S163)&gt;1,S163&lt;&gt;""), "Duplicate", "")</f>
        <v/>
      </c>
      <c r="S163" t="str">
        <f t="shared" si="12"/>
        <v/>
      </c>
    </row>
    <row r="164" spans="15:19" x14ac:dyDescent="0.25">
      <c r="O164" s="1" t="str">
        <f t="shared" si="13"/>
        <v/>
      </c>
      <c r="P164" s="1" t="str">
        <f t="shared" si="14"/>
        <v/>
      </c>
      <c r="Q164" s="1" t="str">
        <f>IF(O164="","",IF(OR(ISNA(VLOOKUP(O164,Final!T:T,1,FALSE)),R164="Duplicate"),"NA",VLOOKUP(O164,Final!T:T,1,FALSE)))</f>
        <v/>
      </c>
      <c r="R164" t="str">
        <f>IF(AND(COUNTIF($S$2:$S164, $S164)&gt;1,S164&lt;&gt;""), "Duplicate", "")</f>
        <v/>
      </c>
      <c r="S164" t="str">
        <f t="shared" si="12"/>
        <v/>
      </c>
    </row>
    <row r="165" spans="15:19" x14ac:dyDescent="0.25">
      <c r="O165" s="1" t="str">
        <f t="shared" si="13"/>
        <v/>
      </c>
      <c r="P165" s="1" t="str">
        <f t="shared" si="14"/>
        <v/>
      </c>
      <c r="Q165" s="1" t="str">
        <f>IF(O165="","",IF(OR(ISNA(VLOOKUP(O165,Final!T:T,1,FALSE)),R165="Duplicate"),"NA",VLOOKUP(O165,Final!T:T,1,FALSE)))</f>
        <v/>
      </c>
      <c r="R165" t="str">
        <f>IF(AND(COUNTIF($S$2:$S165, $S165)&gt;1,S165&lt;&gt;""), "Duplicate", "")</f>
        <v/>
      </c>
      <c r="S165" t="str">
        <f t="shared" si="12"/>
        <v/>
      </c>
    </row>
    <row r="166" spans="15:19" x14ac:dyDescent="0.25">
      <c r="O166" s="1" t="str">
        <f t="shared" si="13"/>
        <v/>
      </c>
      <c r="P166" s="1" t="str">
        <f t="shared" si="14"/>
        <v/>
      </c>
      <c r="Q166" s="1" t="str">
        <f>IF(O166="","",IF(OR(ISNA(VLOOKUP(O166,Final!T:T,1,FALSE)),R166="Duplicate"),"NA",VLOOKUP(O166,Final!T:T,1,FALSE)))</f>
        <v/>
      </c>
      <c r="R166" t="str">
        <f>IF(AND(COUNTIF($S$2:$S166, $S166)&gt;1,S166&lt;&gt;""), "Duplicate", "")</f>
        <v/>
      </c>
      <c r="S166" t="str">
        <f t="shared" si="12"/>
        <v/>
      </c>
    </row>
    <row r="167" spans="15:19" x14ac:dyDescent="0.25">
      <c r="O167" s="1" t="str">
        <f t="shared" si="13"/>
        <v/>
      </c>
      <c r="P167" s="1" t="str">
        <f t="shared" si="14"/>
        <v/>
      </c>
      <c r="Q167" s="1" t="str">
        <f>IF(O167="","",IF(OR(ISNA(VLOOKUP(O167,Final!T:T,1,FALSE)),R167="Duplicate"),"NA",VLOOKUP(O167,Final!T:T,1,FALSE)))</f>
        <v/>
      </c>
      <c r="R167" t="str">
        <f>IF(AND(COUNTIF($S$2:$S167, $S167)&gt;1,S167&lt;&gt;""), "Duplicate", "")</f>
        <v/>
      </c>
      <c r="S167" t="str">
        <f t="shared" si="12"/>
        <v/>
      </c>
    </row>
    <row r="168" spans="15:19" x14ac:dyDescent="0.25">
      <c r="O168" s="1" t="str">
        <f t="shared" si="13"/>
        <v/>
      </c>
      <c r="P168" s="1" t="str">
        <f t="shared" si="14"/>
        <v/>
      </c>
      <c r="Q168" s="1" t="str">
        <f>IF(O168="","",IF(OR(ISNA(VLOOKUP(O168,Final!T:T,1,FALSE)),R168="Duplicate"),"NA",VLOOKUP(O168,Final!T:T,1,FALSE)))</f>
        <v/>
      </c>
      <c r="R168" t="str">
        <f>IF(AND(COUNTIF($S$2:$S168, $S168)&gt;1,S168&lt;&gt;""), "Duplicate", "")</f>
        <v/>
      </c>
      <c r="S168" t="str">
        <f t="shared" si="12"/>
        <v/>
      </c>
    </row>
    <row r="169" spans="15:19" x14ac:dyDescent="0.25">
      <c r="O169" s="1" t="str">
        <f t="shared" si="13"/>
        <v/>
      </c>
      <c r="P169" s="1" t="str">
        <f t="shared" si="14"/>
        <v/>
      </c>
      <c r="Q169" s="1" t="str">
        <f>IF(O169="","",IF(OR(ISNA(VLOOKUP(O169,Final!T:T,1,FALSE)),R169="Duplicate"),"NA",VLOOKUP(O169,Final!T:T,1,FALSE)))</f>
        <v/>
      </c>
      <c r="R169" t="str">
        <f>IF(AND(COUNTIF($S$2:$S169, $S169)&gt;1,S169&lt;&gt;""), "Duplicate", "")</f>
        <v/>
      </c>
      <c r="S169" t="str">
        <f t="shared" si="12"/>
        <v/>
      </c>
    </row>
    <row r="170" spans="15:19" x14ac:dyDescent="0.25">
      <c r="O170" s="1" t="str">
        <f t="shared" si="13"/>
        <v/>
      </c>
      <c r="P170" s="1" t="str">
        <f t="shared" si="14"/>
        <v/>
      </c>
      <c r="Q170" s="1" t="str">
        <f>IF(O170="","",IF(OR(ISNA(VLOOKUP(O170,Final!T:T,1,FALSE)),R170="Duplicate"),"NA",VLOOKUP(O170,Final!T:T,1,FALSE)))</f>
        <v/>
      </c>
      <c r="R170" t="str">
        <f>IF(AND(COUNTIF($S$2:$S170, $S170)&gt;1,S170&lt;&gt;""), "Duplicate", "")</f>
        <v/>
      </c>
      <c r="S170" t="str">
        <f t="shared" si="12"/>
        <v/>
      </c>
    </row>
    <row r="171" spans="15:19" x14ac:dyDescent="0.25">
      <c r="O171" s="1" t="str">
        <f t="shared" si="13"/>
        <v/>
      </c>
      <c r="P171" s="1" t="str">
        <f t="shared" si="14"/>
        <v/>
      </c>
      <c r="Q171" s="1" t="str">
        <f>IF(O171="","",IF(OR(ISNA(VLOOKUP(O171,Final!T:T,1,FALSE)),R171="Duplicate"),"NA",VLOOKUP(O171,Final!T:T,1,FALSE)))</f>
        <v/>
      </c>
      <c r="R171" t="str">
        <f>IF(AND(COUNTIF($S$2:$S171, $S171)&gt;1,S171&lt;&gt;""), "Duplicate", "")</f>
        <v/>
      </c>
      <c r="S171" t="str">
        <f t="shared" si="12"/>
        <v/>
      </c>
    </row>
    <row r="172" spans="15:19" x14ac:dyDescent="0.25">
      <c r="O172" s="1" t="str">
        <f t="shared" si="13"/>
        <v/>
      </c>
      <c r="P172" s="1" t="str">
        <f t="shared" si="14"/>
        <v/>
      </c>
      <c r="Q172" s="1" t="str">
        <f>IF(O172="","",IF(OR(ISNA(VLOOKUP(O172,Final!T:T,1,FALSE)),R172="Duplicate"),"NA",VLOOKUP(O172,Final!T:T,1,FALSE)))</f>
        <v/>
      </c>
      <c r="R172" t="str">
        <f>IF(AND(COUNTIF($S$2:$S172, $S172)&gt;1,S172&lt;&gt;""), "Duplicate", "")</f>
        <v/>
      </c>
      <c r="S172" t="str">
        <f t="shared" si="12"/>
        <v/>
      </c>
    </row>
    <row r="173" spans="15:19" x14ac:dyDescent="0.25">
      <c r="O173" s="1" t="str">
        <f t="shared" si="13"/>
        <v/>
      </c>
      <c r="P173" s="1" t="str">
        <f t="shared" si="14"/>
        <v/>
      </c>
      <c r="Q173" s="1" t="str">
        <f>IF(O173="","",IF(OR(ISNA(VLOOKUP(O173,Final!T:T,1,FALSE)),R173="Duplicate"),"NA",VLOOKUP(O173,Final!T:T,1,FALSE)))</f>
        <v/>
      </c>
      <c r="R173" t="str">
        <f>IF(AND(COUNTIF($S$2:$S173, $S173)&gt;1,S173&lt;&gt;""), "Duplicate", "")</f>
        <v/>
      </c>
      <c r="S173" t="str">
        <f t="shared" si="12"/>
        <v/>
      </c>
    </row>
    <row r="174" spans="15:19" x14ac:dyDescent="0.25">
      <c r="O174" s="1" t="str">
        <f t="shared" si="13"/>
        <v/>
      </c>
      <c r="P174" s="1" t="str">
        <f t="shared" si="14"/>
        <v/>
      </c>
      <c r="Q174" s="1" t="str">
        <f>IF(O174="","",IF(OR(ISNA(VLOOKUP(O174,Final!T:T,1,FALSE)),R174="Duplicate"),"NA",VLOOKUP(O174,Final!T:T,1,FALSE)))</f>
        <v/>
      </c>
      <c r="R174" t="str">
        <f>IF(AND(COUNTIF($S$2:$S174, $S174)&gt;1,S174&lt;&gt;""), "Duplicate", "")</f>
        <v/>
      </c>
      <c r="S174" t="str">
        <f t="shared" si="12"/>
        <v/>
      </c>
    </row>
    <row r="175" spans="15:19" x14ac:dyDescent="0.25">
      <c r="O175" s="1" t="str">
        <f t="shared" si="13"/>
        <v/>
      </c>
      <c r="P175" s="1" t="str">
        <f t="shared" si="14"/>
        <v/>
      </c>
      <c r="Q175" s="1" t="str">
        <f>IF(O175="","",IF(OR(ISNA(VLOOKUP(O175,Final!T:T,1,FALSE)),R175="Duplicate"),"NA",VLOOKUP(O175,Final!T:T,1,FALSE)))</f>
        <v/>
      </c>
      <c r="R175" t="str">
        <f>IF(AND(COUNTIF($S$2:$S175, $S175)&gt;1,S175&lt;&gt;""), "Duplicate", "")</f>
        <v/>
      </c>
      <c r="S175" t="str">
        <f t="shared" si="12"/>
        <v/>
      </c>
    </row>
    <row r="176" spans="15:19" x14ac:dyDescent="0.25">
      <c r="O176" s="1" t="str">
        <f t="shared" si="13"/>
        <v/>
      </c>
      <c r="P176" s="1" t="str">
        <f t="shared" si="14"/>
        <v/>
      </c>
      <c r="Q176" s="1" t="str">
        <f>IF(O176="","",IF(OR(ISNA(VLOOKUP(O176,Final!T:T,1,FALSE)),R176="Duplicate"),"NA",VLOOKUP(O176,Final!T:T,1,FALSE)))</f>
        <v/>
      </c>
      <c r="R176" t="str">
        <f>IF(AND(COUNTIF($S$2:$S176, $S176)&gt;1,S176&lt;&gt;""), "Duplicate", "")</f>
        <v/>
      </c>
      <c r="S176" t="str">
        <f t="shared" si="12"/>
        <v/>
      </c>
    </row>
    <row r="177" spans="15:19" x14ac:dyDescent="0.25">
      <c r="O177" s="1" t="str">
        <f t="shared" si="13"/>
        <v/>
      </c>
      <c r="P177" s="1" t="str">
        <f t="shared" si="14"/>
        <v/>
      </c>
      <c r="Q177" s="1" t="str">
        <f>IF(O177="","",IF(OR(ISNA(VLOOKUP(O177,Final!T:T,1,FALSE)),R177="Duplicate"),"NA",VLOOKUP(O177,Final!T:T,1,FALSE)))</f>
        <v/>
      </c>
      <c r="R177" t="str">
        <f>IF(AND(COUNTIF($S$2:$S177, $S177)&gt;1,S177&lt;&gt;""), "Duplicate", "")</f>
        <v/>
      </c>
      <c r="S177" t="str">
        <f t="shared" si="12"/>
        <v/>
      </c>
    </row>
    <row r="178" spans="15:19" x14ac:dyDescent="0.25">
      <c r="O178" s="1" t="str">
        <f t="shared" si="13"/>
        <v/>
      </c>
      <c r="P178" s="1" t="str">
        <f t="shared" si="14"/>
        <v/>
      </c>
      <c r="Q178" s="1" t="str">
        <f>IF(O178="","",IF(OR(ISNA(VLOOKUP(O178,Final!T:T,1,FALSE)),R178="Duplicate"),"NA",VLOOKUP(O178,Final!T:T,1,FALSE)))</f>
        <v/>
      </c>
      <c r="R178" t="str">
        <f>IF(AND(COUNTIF($S$2:$S178, $S178)&gt;1,S178&lt;&gt;""), "Duplicate", "")</f>
        <v/>
      </c>
      <c r="S178" t="str">
        <f t="shared" si="12"/>
        <v/>
      </c>
    </row>
    <row r="179" spans="15:19" x14ac:dyDescent="0.25">
      <c r="O179" s="1" t="str">
        <f t="shared" si="13"/>
        <v/>
      </c>
      <c r="P179" s="1" t="str">
        <f t="shared" si="14"/>
        <v/>
      </c>
      <c r="Q179" s="1" t="str">
        <f>IF(O179="","",IF(OR(ISNA(VLOOKUP(O179,Final!T:T,1,FALSE)),R179="Duplicate"),"NA",VLOOKUP(O179,Final!T:T,1,FALSE)))</f>
        <v/>
      </c>
      <c r="R179" t="str">
        <f>IF(AND(COUNTIF($S$2:$S179, $S179)&gt;1,S179&lt;&gt;""), "Duplicate", "")</f>
        <v/>
      </c>
      <c r="S179" t="str">
        <f t="shared" si="12"/>
        <v/>
      </c>
    </row>
    <row r="180" spans="15:19" x14ac:dyDescent="0.25">
      <c r="O180" s="1" t="str">
        <f t="shared" si="13"/>
        <v/>
      </c>
      <c r="P180" s="1" t="str">
        <f t="shared" si="14"/>
        <v/>
      </c>
      <c r="Q180" s="1" t="str">
        <f>IF(O180="","",IF(OR(ISNA(VLOOKUP(O180,Final!T:T,1,FALSE)),R180="Duplicate"),"NA",VLOOKUP(O180,Final!T:T,1,FALSE)))</f>
        <v/>
      </c>
      <c r="R180" t="str">
        <f>IF(AND(COUNTIF($S$2:$S180, $S180)&gt;1,S180&lt;&gt;""), "Duplicate", "")</f>
        <v/>
      </c>
      <c r="S180" t="str">
        <f t="shared" si="12"/>
        <v/>
      </c>
    </row>
    <row r="181" spans="15:19" x14ac:dyDescent="0.25">
      <c r="O181" s="1" t="str">
        <f t="shared" si="13"/>
        <v/>
      </c>
      <c r="P181" s="1" t="str">
        <f t="shared" si="14"/>
        <v/>
      </c>
      <c r="Q181" s="1" t="str">
        <f>IF(O181="","",IF(OR(ISNA(VLOOKUP(O181,Final!T:T,1,FALSE)),R181="Duplicate"),"NA",VLOOKUP(O181,Final!T:T,1,FALSE)))</f>
        <v/>
      </c>
      <c r="R181" t="str">
        <f>IF(AND(COUNTIF($S$2:$S181, $S181)&gt;1,S181&lt;&gt;""), "Duplicate", "")</f>
        <v/>
      </c>
      <c r="S181" t="str">
        <f t="shared" si="12"/>
        <v/>
      </c>
    </row>
    <row r="182" spans="15:19" x14ac:dyDescent="0.25">
      <c r="O182" s="1" t="str">
        <f t="shared" si="13"/>
        <v/>
      </c>
      <c r="P182" s="1" t="str">
        <f t="shared" si="14"/>
        <v/>
      </c>
      <c r="Q182" s="1" t="str">
        <f>IF(O182="","",IF(OR(ISNA(VLOOKUP(O182,Final!T:T,1,FALSE)),R182="Duplicate"),"NA",VLOOKUP(O182,Final!T:T,1,FALSE)))</f>
        <v/>
      </c>
      <c r="R182" t="str">
        <f>IF(AND(COUNTIF($S$2:$S182, $S182)&gt;1,S182&lt;&gt;""), "Duplicate", "")</f>
        <v/>
      </c>
      <c r="S182" t="str">
        <f t="shared" si="12"/>
        <v/>
      </c>
    </row>
    <row r="183" spans="15:19" x14ac:dyDescent="0.25">
      <c r="O183" s="1" t="str">
        <f t="shared" si="13"/>
        <v/>
      </c>
      <c r="P183" s="1" t="str">
        <f t="shared" si="14"/>
        <v/>
      </c>
      <c r="Q183" s="1" t="str">
        <f>IF(O183="","",IF(OR(ISNA(VLOOKUP(O183,Final!T:T,1,FALSE)),R183="Duplicate"),"NA",VLOOKUP(O183,Final!T:T,1,FALSE)))</f>
        <v/>
      </c>
      <c r="R183" t="str">
        <f>IF(AND(COUNTIF($S$2:$S183, $S183)&gt;1,S183&lt;&gt;""), "Duplicate", "")</f>
        <v/>
      </c>
      <c r="S183" t="str">
        <f t="shared" si="12"/>
        <v/>
      </c>
    </row>
    <row r="184" spans="15:19" x14ac:dyDescent="0.25">
      <c r="O184" s="1" t="str">
        <f t="shared" si="13"/>
        <v/>
      </c>
      <c r="P184" s="1" t="str">
        <f t="shared" si="14"/>
        <v/>
      </c>
      <c r="Q184" s="1" t="str">
        <f>IF(O184="","",IF(OR(ISNA(VLOOKUP(O184,Final!T:T,1,FALSE)),R184="Duplicate"),"NA",VLOOKUP(O184,Final!T:T,1,FALSE)))</f>
        <v/>
      </c>
      <c r="R184" t="str">
        <f>IF(AND(COUNTIF($S$2:$S184, $S184)&gt;1,S184&lt;&gt;""), "Duplicate", "")</f>
        <v/>
      </c>
      <c r="S184" t="str">
        <f t="shared" si="12"/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2:C176"/>
  <sheetViews>
    <sheetView topLeftCell="A130" workbookViewId="0">
      <selection activeCell="S2" sqref="S2:S184"/>
    </sheetView>
  </sheetViews>
  <sheetFormatPr defaultRowHeight="15" x14ac:dyDescent="0.25"/>
  <sheetData>
    <row r="2" spans="3:3" x14ac:dyDescent="0.25">
      <c r="C2">
        <f>COUNTIF(A:A,A:A)</f>
        <v>0</v>
      </c>
    </row>
    <row r="3" spans="3:3" x14ac:dyDescent="0.25">
      <c r="C3">
        <f t="shared" ref="C3:C66" si="0">COUNTIF(A:A,A:A)</f>
        <v>0</v>
      </c>
    </row>
    <row r="4" spans="3:3" x14ac:dyDescent="0.25">
      <c r="C4">
        <f t="shared" si="0"/>
        <v>0</v>
      </c>
    </row>
    <row r="5" spans="3:3" x14ac:dyDescent="0.25">
      <c r="C5">
        <f t="shared" si="0"/>
        <v>0</v>
      </c>
    </row>
    <row r="6" spans="3:3" x14ac:dyDescent="0.25">
      <c r="C6">
        <f t="shared" si="0"/>
        <v>0</v>
      </c>
    </row>
    <row r="7" spans="3:3" x14ac:dyDescent="0.25">
      <c r="C7">
        <f t="shared" si="0"/>
        <v>0</v>
      </c>
    </row>
    <row r="8" spans="3:3" x14ac:dyDescent="0.25">
      <c r="C8">
        <f t="shared" si="0"/>
        <v>0</v>
      </c>
    </row>
    <row r="9" spans="3:3" x14ac:dyDescent="0.25">
      <c r="C9">
        <f t="shared" si="0"/>
        <v>0</v>
      </c>
    </row>
    <row r="10" spans="3:3" x14ac:dyDescent="0.25">
      <c r="C10">
        <f t="shared" si="0"/>
        <v>0</v>
      </c>
    </row>
    <row r="11" spans="3:3" x14ac:dyDescent="0.25">
      <c r="C11">
        <f t="shared" si="0"/>
        <v>0</v>
      </c>
    </row>
    <row r="12" spans="3:3" x14ac:dyDescent="0.25">
      <c r="C12">
        <f t="shared" si="0"/>
        <v>0</v>
      </c>
    </row>
    <row r="13" spans="3:3" x14ac:dyDescent="0.25">
      <c r="C13">
        <f t="shared" si="0"/>
        <v>0</v>
      </c>
    </row>
    <row r="14" spans="3:3" x14ac:dyDescent="0.25">
      <c r="C14">
        <f t="shared" si="0"/>
        <v>0</v>
      </c>
    </row>
    <row r="15" spans="3:3" x14ac:dyDescent="0.25">
      <c r="C15">
        <f t="shared" si="0"/>
        <v>0</v>
      </c>
    </row>
    <row r="16" spans="3:3" x14ac:dyDescent="0.25">
      <c r="C16">
        <f t="shared" si="0"/>
        <v>0</v>
      </c>
    </row>
    <row r="17" spans="3:3" x14ac:dyDescent="0.25">
      <c r="C17">
        <f t="shared" si="0"/>
        <v>0</v>
      </c>
    </row>
    <row r="18" spans="3:3" x14ac:dyDescent="0.25">
      <c r="C18">
        <f t="shared" si="0"/>
        <v>0</v>
      </c>
    </row>
    <row r="19" spans="3:3" x14ac:dyDescent="0.25">
      <c r="C19">
        <f t="shared" si="0"/>
        <v>0</v>
      </c>
    </row>
    <row r="20" spans="3:3" x14ac:dyDescent="0.25">
      <c r="C20">
        <f t="shared" si="0"/>
        <v>0</v>
      </c>
    </row>
    <row r="21" spans="3:3" x14ac:dyDescent="0.25">
      <c r="C21">
        <f t="shared" si="0"/>
        <v>0</v>
      </c>
    </row>
    <row r="22" spans="3:3" x14ac:dyDescent="0.25">
      <c r="C22">
        <f t="shared" si="0"/>
        <v>0</v>
      </c>
    </row>
    <row r="23" spans="3:3" x14ac:dyDescent="0.25">
      <c r="C23">
        <f t="shared" si="0"/>
        <v>0</v>
      </c>
    </row>
    <row r="24" spans="3:3" x14ac:dyDescent="0.25">
      <c r="C24">
        <f t="shared" si="0"/>
        <v>0</v>
      </c>
    </row>
    <row r="25" spans="3:3" x14ac:dyDescent="0.25">
      <c r="C25">
        <f t="shared" si="0"/>
        <v>0</v>
      </c>
    </row>
    <row r="26" spans="3:3" x14ac:dyDescent="0.25">
      <c r="C26">
        <f t="shared" si="0"/>
        <v>0</v>
      </c>
    </row>
    <row r="27" spans="3:3" x14ac:dyDescent="0.25">
      <c r="C27">
        <f t="shared" si="0"/>
        <v>0</v>
      </c>
    </row>
    <row r="28" spans="3:3" x14ac:dyDescent="0.25">
      <c r="C28">
        <f t="shared" si="0"/>
        <v>0</v>
      </c>
    </row>
    <row r="29" spans="3:3" x14ac:dyDescent="0.25">
      <c r="C29">
        <f t="shared" si="0"/>
        <v>0</v>
      </c>
    </row>
    <row r="30" spans="3:3" x14ac:dyDescent="0.25">
      <c r="C30">
        <f t="shared" si="0"/>
        <v>0</v>
      </c>
    </row>
    <row r="31" spans="3:3" x14ac:dyDescent="0.25">
      <c r="C31">
        <f t="shared" si="0"/>
        <v>0</v>
      </c>
    </row>
    <row r="32" spans="3:3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COUNTIF(A:A,A:A)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76" si="2">COUNTIF(A:A,A:A)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activeCell="D21" sqref="D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</vt:lpstr>
      <vt:lpstr>GRPO Pass Line Items</vt:lpstr>
      <vt:lpstr>GRPO Pass Line Items with Slash</vt:lpstr>
      <vt:lpstr>Config GRPO</vt:lpstr>
      <vt:lpstr>Validation GRPO</vt:lpstr>
      <vt:lpstr>Final GRPO</vt:lpstr>
      <vt:lpstr>GRPO Wiz Individual</vt:lpstr>
      <vt:lpstr>Logs</vt:lpstr>
      <vt:lpstr>Validation</vt:lpstr>
      <vt:lpstr>Split_WO_Size</vt:lpstr>
      <vt:lpstr>Config</vt:lpstr>
      <vt:lpstr>Final</vt:lpstr>
      <vt:lpstr>Split_W_Size</vt:lpstr>
      <vt:lpstr>Split_W_OnlySize</vt:lpstr>
      <vt:lpstr>Split_W_OnlySizeIGST</vt:lpstr>
      <vt:lpstr>Split_W_OnlyMatvalue</vt:lpstr>
      <vt:lpstr>AP</vt:lpstr>
      <vt:lpstr>Tax</vt:lpstr>
      <vt:lpstr>GRPO Wiz</vt:lpstr>
      <vt:lpstr>Incoming Material Report</vt:lpstr>
      <vt:lpstr>MASTER</vt:lpstr>
      <vt:lpstr>SPEC</vt:lpstr>
      <vt:lpstr>Details</vt:lpstr>
      <vt:lpstr>CoilNo</vt:lpstr>
      <vt:lpstr>count</vt:lpstr>
      <vt:lpstr>HSN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2020-12-15T18:23:26Z</dcterms:created>
  <dcterms:modified xsi:type="dcterms:W3CDTF">2022-02-01T08:37:47Z</dcterms:modified>
</cp:coreProperties>
</file>