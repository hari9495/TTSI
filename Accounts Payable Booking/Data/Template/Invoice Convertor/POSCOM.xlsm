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20" tabRatio="878" activeTab="1"/>
  </bookViews>
  <sheets>
    <sheet name="Data" sheetId="1" r:id="rId1"/>
    <sheet name="Config" sheetId="5" r:id="rId2"/>
    <sheet name="Logs" sheetId="19" r:id="rId3"/>
    <sheet name="Validation" sheetId="18" r:id="rId4"/>
    <sheet name="Split_WO_Size" sheetId="20" r:id="rId5"/>
    <sheet name="Final" sheetId="4" r:id="rId6"/>
    <sheet name="Split_W_Size" sheetId="3" r:id="rId7"/>
    <sheet name="Split_W_OnlySize" sheetId="10" r:id="rId8"/>
    <sheet name="Split_W_OnlyMatvalue" sheetId="15" r:id="rId9"/>
    <sheet name="AP" sheetId="16" r:id="rId10"/>
    <sheet name="Tax" sheetId="17" r:id="rId11"/>
    <sheet name="GRPO Wiz" sheetId="12" r:id="rId12"/>
    <sheet name="Incoming Material Report" sheetId="11" r:id="rId13"/>
    <sheet name="MASTER" sheetId="7" r:id="rId14"/>
    <sheet name="SPEC" sheetId="8" r:id="rId15"/>
    <sheet name="Details" sheetId="6" r:id="rId16"/>
    <sheet name="CoilNo" sheetId="9" r:id="rId17"/>
    <sheet name="count" sheetId="21" r:id="rId18"/>
    <sheet name="HSN" sheetId="22" r:id="rId1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5" l="1"/>
  <c r="BX725" i="12" l="1"/>
  <c r="BW725" i="12"/>
  <c r="BV725" i="12"/>
  <c r="BU725" i="12"/>
  <c r="BT725" i="12"/>
  <c r="BS725" i="12"/>
  <c r="BR725" i="12"/>
  <c r="BQ725" i="12"/>
  <c r="BP725" i="12"/>
  <c r="BO725" i="12"/>
  <c r="BN725" i="12"/>
  <c r="BM725" i="12"/>
  <c r="BL725" i="12"/>
  <c r="BK725" i="12"/>
  <c r="BJ725" i="12"/>
  <c r="BI725" i="12"/>
  <c r="BH725" i="12"/>
  <c r="BG725" i="12"/>
  <c r="BF725" i="12"/>
  <c r="BX724" i="12"/>
  <c r="BW724" i="12"/>
  <c r="BV724" i="12"/>
  <c r="BU724" i="12"/>
  <c r="BT724" i="12"/>
  <c r="BS724" i="12"/>
  <c r="BR724" i="12"/>
  <c r="BQ724" i="12"/>
  <c r="BP724" i="12"/>
  <c r="BO724" i="12"/>
  <c r="BN724" i="12"/>
  <c r="BM724" i="12"/>
  <c r="BL724" i="12"/>
  <c r="BK724" i="12"/>
  <c r="BJ724" i="12"/>
  <c r="BI724" i="12"/>
  <c r="BH724" i="12"/>
  <c r="BG724" i="12"/>
  <c r="BF724" i="12"/>
  <c r="BX723" i="12"/>
  <c r="BW723" i="12"/>
  <c r="BV723" i="12"/>
  <c r="BU723" i="12"/>
  <c r="BT723" i="12"/>
  <c r="BS723" i="12"/>
  <c r="BR723" i="12"/>
  <c r="BQ723" i="12"/>
  <c r="BP723" i="12"/>
  <c r="BO723" i="12"/>
  <c r="BN723" i="12"/>
  <c r="BM723" i="12"/>
  <c r="BL723" i="12"/>
  <c r="BK723" i="12"/>
  <c r="BJ723" i="12"/>
  <c r="BI723" i="12"/>
  <c r="BH723" i="12"/>
  <c r="BG723" i="12"/>
  <c r="BF723" i="12"/>
  <c r="BX722" i="12"/>
  <c r="BW722" i="12"/>
  <c r="BV722" i="12"/>
  <c r="BU722" i="12"/>
  <c r="BT722" i="12"/>
  <c r="BS722" i="12"/>
  <c r="BR722" i="12"/>
  <c r="BQ722" i="12"/>
  <c r="BP722" i="12"/>
  <c r="BO722" i="12"/>
  <c r="BN722" i="12"/>
  <c r="BM722" i="12"/>
  <c r="BL722" i="12"/>
  <c r="BK722" i="12"/>
  <c r="BJ722" i="12"/>
  <c r="BI722" i="12"/>
  <c r="BH722" i="12"/>
  <c r="BG722" i="12"/>
  <c r="BF722" i="12"/>
  <c r="BX721" i="12"/>
  <c r="BW721" i="12"/>
  <c r="BV721" i="12"/>
  <c r="BU721" i="12"/>
  <c r="BT721" i="12"/>
  <c r="BS721" i="12"/>
  <c r="BR721" i="12"/>
  <c r="BQ721" i="12"/>
  <c r="BP721" i="12"/>
  <c r="BO721" i="12"/>
  <c r="BN721" i="12"/>
  <c r="BM721" i="12"/>
  <c r="BL721" i="12"/>
  <c r="BK721" i="12"/>
  <c r="BJ721" i="12"/>
  <c r="BI721" i="12"/>
  <c r="BH721" i="12"/>
  <c r="BG721" i="12"/>
  <c r="BF721" i="12"/>
  <c r="BX720" i="12"/>
  <c r="BW720" i="12"/>
  <c r="BV720" i="12"/>
  <c r="BU720" i="12"/>
  <c r="BT720" i="12"/>
  <c r="BS720" i="12"/>
  <c r="BR720" i="12"/>
  <c r="BQ720" i="12"/>
  <c r="BP720" i="12"/>
  <c r="BO720" i="12"/>
  <c r="BN720" i="12"/>
  <c r="BM720" i="12"/>
  <c r="BL720" i="12"/>
  <c r="BK720" i="12"/>
  <c r="BJ720" i="12"/>
  <c r="BI720" i="12"/>
  <c r="BH720" i="12"/>
  <c r="BG720" i="12"/>
  <c r="BF720" i="12"/>
  <c r="BX719" i="12"/>
  <c r="BW719" i="12"/>
  <c r="BV719" i="12"/>
  <c r="BU719" i="12"/>
  <c r="BT719" i="12"/>
  <c r="BS719" i="12"/>
  <c r="BR719" i="12"/>
  <c r="BQ719" i="12"/>
  <c r="BP719" i="12"/>
  <c r="BO719" i="12"/>
  <c r="BN719" i="12"/>
  <c r="BM719" i="12"/>
  <c r="BL719" i="12"/>
  <c r="BK719" i="12"/>
  <c r="BJ719" i="12"/>
  <c r="BI719" i="12"/>
  <c r="BH719" i="12"/>
  <c r="BG719" i="12"/>
  <c r="BF719" i="12"/>
  <c r="BX718" i="12"/>
  <c r="BW718" i="12"/>
  <c r="BV718" i="12"/>
  <c r="BU718" i="12"/>
  <c r="BT718" i="12"/>
  <c r="BS718" i="12"/>
  <c r="BR718" i="12"/>
  <c r="BQ718" i="12"/>
  <c r="BP718" i="12"/>
  <c r="BO718" i="12"/>
  <c r="BN718" i="12"/>
  <c r="BM718" i="12"/>
  <c r="BL718" i="12"/>
  <c r="BK718" i="12"/>
  <c r="BJ718" i="12"/>
  <c r="BI718" i="12"/>
  <c r="BH718" i="12"/>
  <c r="BG718" i="12"/>
  <c r="BF718" i="12"/>
  <c r="BX717" i="12"/>
  <c r="BW717" i="12"/>
  <c r="BV717" i="12"/>
  <c r="BU717" i="12"/>
  <c r="BT717" i="12"/>
  <c r="BS717" i="12"/>
  <c r="BR717" i="12"/>
  <c r="BQ717" i="12"/>
  <c r="BP717" i="12"/>
  <c r="BO717" i="12"/>
  <c r="BN717" i="12"/>
  <c r="BM717" i="12"/>
  <c r="BL717" i="12"/>
  <c r="BK717" i="12"/>
  <c r="BJ717" i="12"/>
  <c r="BI717" i="12"/>
  <c r="BH717" i="12"/>
  <c r="BG717" i="12"/>
  <c r="BF717" i="12"/>
  <c r="BX716" i="12"/>
  <c r="BW716" i="12"/>
  <c r="BV716" i="12"/>
  <c r="BU716" i="12"/>
  <c r="BT716" i="12"/>
  <c r="BS716" i="12"/>
  <c r="BR716" i="12"/>
  <c r="BQ716" i="12"/>
  <c r="BP716" i="12"/>
  <c r="BO716" i="12"/>
  <c r="BN716" i="12"/>
  <c r="BM716" i="12"/>
  <c r="BL716" i="12"/>
  <c r="BK716" i="12"/>
  <c r="BJ716" i="12"/>
  <c r="BI716" i="12"/>
  <c r="BH716" i="12"/>
  <c r="BG716" i="12"/>
  <c r="BF716" i="12"/>
  <c r="BX715" i="12"/>
  <c r="BW715" i="12"/>
  <c r="BV715" i="12"/>
  <c r="BU715" i="12"/>
  <c r="BT715" i="12"/>
  <c r="BS715" i="12"/>
  <c r="BR715" i="12"/>
  <c r="BQ715" i="12"/>
  <c r="BP715" i="12"/>
  <c r="BO715" i="12"/>
  <c r="BN715" i="12"/>
  <c r="BM715" i="12"/>
  <c r="BL715" i="12"/>
  <c r="BK715" i="12"/>
  <c r="BJ715" i="12"/>
  <c r="BI715" i="12"/>
  <c r="BH715" i="12"/>
  <c r="BG715" i="12"/>
  <c r="BF715" i="12"/>
  <c r="BX714" i="12"/>
  <c r="BW714" i="12"/>
  <c r="BV714" i="12"/>
  <c r="BU714" i="12"/>
  <c r="BT714" i="12"/>
  <c r="BS714" i="12"/>
  <c r="BR714" i="12"/>
  <c r="BQ714" i="12"/>
  <c r="BP714" i="12"/>
  <c r="BO714" i="12"/>
  <c r="BN714" i="12"/>
  <c r="BM714" i="12"/>
  <c r="BL714" i="12"/>
  <c r="BK714" i="12"/>
  <c r="BJ714" i="12"/>
  <c r="BI714" i="12"/>
  <c r="BH714" i="12"/>
  <c r="BG714" i="12"/>
  <c r="BF714" i="12"/>
  <c r="BX713" i="12"/>
  <c r="BW713" i="12"/>
  <c r="BV713" i="12"/>
  <c r="BU713" i="12"/>
  <c r="BT713" i="12"/>
  <c r="BS713" i="12"/>
  <c r="BR713" i="12"/>
  <c r="BQ713" i="12"/>
  <c r="BP713" i="12"/>
  <c r="BO713" i="12"/>
  <c r="BN713" i="12"/>
  <c r="BM713" i="12"/>
  <c r="BL713" i="12"/>
  <c r="BK713" i="12"/>
  <c r="BJ713" i="12"/>
  <c r="BI713" i="12"/>
  <c r="BH713" i="12"/>
  <c r="BG713" i="12"/>
  <c r="BF713" i="12"/>
  <c r="BX712" i="12"/>
  <c r="BW712" i="12"/>
  <c r="BV712" i="12"/>
  <c r="BU712" i="12"/>
  <c r="BT712" i="12"/>
  <c r="BS712" i="12"/>
  <c r="BR712" i="12"/>
  <c r="BQ712" i="12"/>
  <c r="BP712" i="12"/>
  <c r="BO712" i="12"/>
  <c r="BN712" i="12"/>
  <c r="BM712" i="12"/>
  <c r="BL712" i="12"/>
  <c r="BK712" i="12"/>
  <c r="BJ712" i="12"/>
  <c r="BI712" i="12"/>
  <c r="BH712" i="12"/>
  <c r="BG712" i="12"/>
  <c r="BF712" i="12"/>
  <c r="BX711" i="12"/>
  <c r="BW711" i="12"/>
  <c r="BV711" i="12"/>
  <c r="BU711" i="12"/>
  <c r="BT711" i="12"/>
  <c r="BS711" i="12"/>
  <c r="BR711" i="12"/>
  <c r="BQ711" i="12"/>
  <c r="BP711" i="12"/>
  <c r="BO711" i="12"/>
  <c r="BN711" i="12"/>
  <c r="BM711" i="12"/>
  <c r="BL711" i="12"/>
  <c r="BK711" i="12"/>
  <c r="BJ711" i="12"/>
  <c r="BI711" i="12"/>
  <c r="BH711" i="12"/>
  <c r="BG711" i="12"/>
  <c r="BF711" i="12"/>
  <c r="BX710" i="12"/>
  <c r="BW710" i="12"/>
  <c r="BV710" i="12"/>
  <c r="BU710" i="12"/>
  <c r="BT710" i="12"/>
  <c r="BS710" i="12"/>
  <c r="BR710" i="12"/>
  <c r="BQ710" i="12"/>
  <c r="BP710" i="12"/>
  <c r="BO710" i="12"/>
  <c r="BN710" i="12"/>
  <c r="BM710" i="12"/>
  <c r="BL710" i="12"/>
  <c r="BK710" i="12"/>
  <c r="BJ710" i="12"/>
  <c r="BI710" i="12"/>
  <c r="BH710" i="12"/>
  <c r="BG710" i="12"/>
  <c r="BF710" i="12"/>
  <c r="BX709" i="12"/>
  <c r="BW709" i="12"/>
  <c r="BV709" i="12"/>
  <c r="BU709" i="12"/>
  <c r="BT709" i="12"/>
  <c r="BS709" i="12"/>
  <c r="BR709" i="12"/>
  <c r="BQ709" i="12"/>
  <c r="BP709" i="12"/>
  <c r="BO709" i="12"/>
  <c r="BN709" i="12"/>
  <c r="BM709" i="12"/>
  <c r="BL709" i="12"/>
  <c r="BK709" i="12"/>
  <c r="BJ709" i="12"/>
  <c r="BI709" i="12"/>
  <c r="BH709" i="12"/>
  <c r="BG709" i="12"/>
  <c r="BF709" i="12"/>
  <c r="BX708" i="12"/>
  <c r="BW708" i="12"/>
  <c r="BV708" i="12"/>
  <c r="BU708" i="12"/>
  <c r="BT708" i="12"/>
  <c r="BS708" i="12"/>
  <c r="BR708" i="12"/>
  <c r="BQ708" i="12"/>
  <c r="BP708" i="12"/>
  <c r="BO708" i="12"/>
  <c r="BN708" i="12"/>
  <c r="BM708" i="12"/>
  <c r="BL708" i="12"/>
  <c r="BK708" i="12"/>
  <c r="BJ708" i="12"/>
  <c r="BI708" i="12"/>
  <c r="BH708" i="12"/>
  <c r="BG708" i="12"/>
  <c r="BF708" i="12"/>
  <c r="BX707" i="12"/>
  <c r="BW707" i="12"/>
  <c r="BV707" i="12"/>
  <c r="BU707" i="12"/>
  <c r="BT707" i="12"/>
  <c r="BS707" i="12"/>
  <c r="BR707" i="12"/>
  <c r="BQ707" i="12"/>
  <c r="BP707" i="12"/>
  <c r="BO707" i="12"/>
  <c r="BN707" i="12"/>
  <c r="BM707" i="12"/>
  <c r="BL707" i="12"/>
  <c r="BK707" i="12"/>
  <c r="BJ707" i="12"/>
  <c r="BI707" i="12"/>
  <c r="BH707" i="12"/>
  <c r="BG707" i="12"/>
  <c r="BF707" i="12"/>
  <c r="BX706" i="12"/>
  <c r="BW706" i="12"/>
  <c r="BV706" i="12"/>
  <c r="BU706" i="12"/>
  <c r="BT706" i="12"/>
  <c r="BS706" i="12"/>
  <c r="BR706" i="12"/>
  <c r="BQ706" i="12"/>
  <c r="BP706" i="12"/>
  <c r="BO706" i="12"/>
  <c r="BN706" i="12"/>
  <c r="BM706" i="12"/>
  <c r="BL706" i="12"/>
  <c r="BK706" i="12"/>
  <c r="BJ706" i="12"/>
  <c r="BI706" i="12"/>
  <c r="BH706" i="12"/>
  <c r="BG706" i="12"/>
  <c r="BF706" i="12"/>
  <c r="BX705" i="12"/>
  <c r="BW705" i="12"/>
  <c r="BV705" i="12"/>
  <c r="BU705" i="12"/>
  <c r="BT705" i="12"/>
  <c r="BS705" i="12"/>
  <c r="BR705" i="12"/>
  <c r="BQ705" i="12"/>
  <c r="BP705" i="12"/>
  <c r="BO705" i="12"/>
  <c r="BN705" i="12"/>
  <c r="BM705" i="12"/>
  <c r="BL705" i="12"/>
  <c r="BK705" i="12"/>
  <c r="BJ705" i="12"/>
  <c r="BI705" i="12"/>
  <c r="BH705" i="12"/>
  <c r="BG705" i="12"/>
  <c r="BF705" i="12"/>
  <c r="BX704" i="12"/>
  <c r="BW704" i="12"/>
  <c r="BV704" i="12"/>
  <c r="BU704" i="12"/>
  <c r="BT704" i="12"/>
  <c r="BS704" i="12"/>
  <c r="BR704" i="12"/>
  <c r="BQ704" i="12"/>
  <c r="BP704" i="12"/>
  <c r="BO704" i="12"/>
  <c r="BN704" i="12"/>
  <c r="BM704" i="12"/>
  <c r="BL704" i="12"/>
  <c r="BK704" i="12"/>
  <c r="BJ704" i="12"/>
  <c r="BI704" i="12"/>
  <c r="BH704" i="12"/>
  <c r="BG704" i="12"/>
  <c r="BF704" i="12"/>
  <c r="BX703" i="12"/>
  <c r="BW703" i="12"/>
  <c r="BV703" i="12"/>
  <c r="BU703" i="12"/>
  <c r="BT703" i="12"/>
  <c r="BS703" i="12"/>
  <c r="BR703" i="12"/>
  <c r="BQ703" i="12"/>
  <c r="BP703" i="12"/>
  <c r="BO703" i="12"/>
  <c r="BN703" i="12"/>
  <c r="BM703" i="12"/>
  <c r="BL703" i="12"/>
  <c r="BK703" i="12"/>
  <c r="BJ703" i="12"/>
  <c r="BI703" i="12"/>
  <c r="BH703" i="12"/>
  <c r="BG703" i="12"/>
  <c r="BF703" i="12"/>
  <c r="BX702" i="12"/>
  <c r="BW702" i="12"/>
  <c r="BV702" i="12"/>
  <c r="BU702" i="12"/>
  <c r="BT702" i="12"/>
  <c r="BS702" i="12"/>
  <c r="BR702" i="12"/>
  <c r="BQ702" i="12"/>
  <c r="BP702" i="12"/>
  <c r="BO702" i="12"/>
  <c r="BN702" i="12"/>
  <c r="BM702" i="12"/>
  <c r="BL702" i="12"/>
  <c r="BK702" i="12"/>
  <c r="BJ702" i="12"/>
  <c r="BI702" i="12"/>
  <c r="BH702" i="12"/>
  <c r="BG702" i="12"/>
  <c r="BF702" i="12"/>
  <c r="BX701" i="12"/>
  <c r="BW701" i="12"/>
  <c r="BV701" i="12"/>
  <c r="BU701" i="12"/>
  <c r="BT701" i="12"/>
  <c r="BS701" i="12"/>
  <c r="BR701" i="12"/>
  <c r="BQ701" i="12"/>
  <c r="BP701" i="12"/>
  <c r="BO701" i="12"/>
  <c r="BN701" i="12"/>
  <c r="BM701" i="12"/>
  <c r="BL701" i="12"/>
  <c r="BK701" i="12"/>
  <c r="BJ701" i="12"/>
  <c r="BI701" i="12"/>
  <c r="BH701" i="12"/>
  <c r="BG701" i="12"/>
  <c r="BF701" i="12"/>
  <c r="BX700" i="12"/>
  <c r="BW700" i="12"/>
  <c r="BV700" i="12"/>
  <c r="BU700" i="12"/>
  <c r="BT700" i="12"/>
  <c r="BS700" i="12"/>
  <c r="BR700" i="12"/>
  <c r="BQ700" i="12"/>
  <c r="BP700" i="12"/>
  <c r="BO700" i="12"/>
  <c r="BN700" i="12"/>
  <c r="BM700" i="12"/>
  <c r="BL700" i="12"/>
  <c r="BK700" i="12"/>
  <c r="BJ700" i="12"/>
  <c r="BI700" i="12"/>
  <c r="BH700" i="12"/>
  <c r="BG700" i="12"/>
  <c r="BF700" i="12"/>
  <c r="BX699" i="12"/>
  <c r="BW699" i="12"/>
  <c r="BV699" i="12"/>
  <c r="BU699" i="12"/>
  <c r="BT699" i="12"/>
  <c r="BS699" i="12"/>
  <c r="BR699" i="12"/>
  <c r="BQ699" i="12"/>
  <c r="BP699" i="12"/>
  <c r="BO699" i="12"/>
  <c r="BN699" i="12"/>
  <c r="BM699" i="12"/>
  <c r="BL699" i="12"/>
  <c r="BK699" i="12"/>
  <c r="BJ699" i="12"/>
  <c r="BI699" i="12"/>
  <c r="BH699" i="12"/>
  <c r="BG699" i="12"/>
  <c r="BF699" i="12"/>
  <c r="BX698" i="12"/>
  <c r="BW698" i="12"/>
  <c r="BV698" i="12"/>
  <c r="BU698" i="12"/>
  <c r="BT698" i="12"/>
  <c r="BS698" i="12"/>
  <c r="BR698" i="12"/>
  <c r="BQ698" i="12"/>
  <c r="BP698" i="12"/>
  <c r="BO698" i="12"/>
  <c r="BN698" i="12"/>
  <c r="BM698" i="12"/>
  <c r="BL698" i="12"/>
  <c r="BK698" i="12"/>
  <c r="BJ698" i="12"/>
  <c r="BI698" i="12"/>
  <c r="BH698" i="12"/>
  <c r="BG698" i="12"/>
  <c r="BF698" i="12"/>
  <c r="BX697" i="12"/>
  <c r="BW697" i="12"/>
  <c r="BV697" i="12"/>
  <c r="BU697" i="12"/>
  <c r="BT697" i="12"/>
  <c r="BS697" i="12"/>
  <c r="BR697" i="12"/>
  <c r="BQ697" i="12"/>
  <c r="BP697" i="12"/>
  <c r="BO697" i="12"/>
  <c r="BN697" i="12"/>
  <c r="BM697" i="12"/>
  <c r="BL697" i="12"/>
  <c r="BK697" i="12"/>
  <c r="BJ697" i="12"/>
  <c r="BI697" i="12"/>
  <c r="BH697" i="12"/>
  <c r="BG697" i="12"/>
  <c r="BF697" i="12"/>
  <c r="BX696" i="12"/>
  <c r="BW696" i="12"/>
  <c r="BV696" i="12"/>
  <c r="BU696" i="12"/>
  <c r="BT696" i="12"/>
  <c r="BS696" i="12"/>
  <c r="BR696" i="12"/>
  <c r="BQ696" i="12"/>
  <c r="BP696" i="12"/>
  <c r="BO696" i="12"/>
  <c r="BN696" i="12"/>
  <c r="BM696" i="12"/>
  <c r="BL696" i="12"/>
  <c r="BK696" i="12"/>
  <c r="BJ696" i="12"/>
  <c r="BI696" i="12"/>
  <c r="BH696" i="12"/>
  <c r="BG696" i="12"/>
  <c r="BF696" i="12"/>
  <c r="BX695" i="12"/>
  <c r="BW695" i="12"/>
  <c r="BV695" i="12"/>
  <c r="BU695" i="12"/>
  <c r="BT695" i="12"/>
  <c r="BS695" i="12"/>
  <c r="BR695" i="12"/>
  <c r="BQ695" i="12"/>
  <c r="BP695" i="12"/>
  <c r="BO695" i="12"/>
  <c r="BN695" i="12"/>
  <c r="BM695" i="12"/>
  <c r="BL695" i="12"/>
  <c r="BK695" i="12"/>
  <c r="BJ695" i="12"/>
  <c r="BI695" i="12"/>
  <c r="BH695" i="12"/>
  <c r="BG695" i="12"/>
  <c r="BF695" i="12"/>
  <c r="BX694" i="12"/>
  <c r="BW694" i="12"/>
  <c r="BV694" i="12"/>
  <c r="BU694" i="12"/>
  <c r="BT694" i="12"/>
  <c r="BS694" i="12"/>
  <c r="BR694" i="12"/>
  <c r="BQ694" i="12"/>
  <c r="BP694" i="12"/>
  <c r="BO694" i="12"/>
  <c r="BN694" i="12"/>
  <c r="BM694" i="12"/>
  <c r="BL694" i="12"/>
  <c r="BK694" i="12"/>
  <c r="BJ694" i="12"/>
  <c r="BI694" i="12"/>
  <c r="BH694" i="12"/>
  <c r="BG694" i="12"/>
  <c r="BF694" i="12"/>
  <c r="BX693" i="12"/>
  <c r="BW693" i="12"/>
  <c r="BV693" i="12"/>
  <c r="BU693" i="12"/>
  <c r="BT693" i="12"/>
  <c r="BS693" i="12"/>
  <c r="BR693" i="12"/>
  <c r="BQ693" i="12"/>
  <c r="BP693" i="12"/>
  <c r="BO693" i="12"/>
  <c r="BN693" i="12"/>
  <c r="BM693" i="12"/>
  <c r="BL693" i="12"/>
  <c r="BK693" i="12"/>
  <c r="BJ693" i="12"/>
  <c r="BI693" i="12"/>
  <c r="BH693" i="12"/>
  <c r="BG693" i="12"/>
  <c r="BF693" i="12"/>
  <c r="BX692" i="12"/>
  <c r="BW692" i="12"/>
  <c r="BV692" i="12"/>
  <c r="BU692" i="12"/>
  <c r="BT692" i="12"/>
  <c r="BS692" i="12"/>
  <c r="BR692" i="12"/>
  <c r="BQ692" i="12"/>
  <c r="BP692" i="12"/>
  <c r="BO692" i="12"/>
  <c r="BN692" i="12"/>
  <c r="BM692" i="12"/>
  <c r="BL692" i="12"/>
  <c r="BK692" i="12"/>
  <c r="BJ692" i="12"/>
  <c r="BI692" i="12"/>
  <c r="BH692" i="12"/>
  <c r="BG692" i="12"/>
  <c r="BF692" i="12"/>
  <c r="BX691" i="12"/>
  <c r="BW691" i="12"/>
  <c r="BV691" i="12"/>
  <c r="BU691" i="12"/>
  <c r="BT691" i="12"/>
  <c r="BS691" i="12"/>
  <c r="BR691" i="12"/>
  <c r="BQ691" i="12"/>
  <c r="BP691" i="12"/>
  <c r="BO691" i="12"/>
  <c r="BN691" i="12"/>
  <c r="BM691" i="12"/>
  <c r="BL691" i="12"/>
  <c r="BK691" i="12"/>
  <c r="BJ691" i="12"/>
  <c r="BI691" i="12"/>
  <c r="BH691" i="12"/>
  <c r="BG691" i="12"/>
  <c r="BF691" i="12"/>
  <c r="BX690" i="12"/>
  <c r="BW690" i="12"/>
  <c r="BV690" i="12"/>
  <c r="BU690" i="12"/>
  <c r="BT690" i="12"/>
  <c r="BS690" i="12"/>
  <c r="BR690" i="12"/>
  <c r="BQ690" i="12"/>
  <c r="BP690" i="12"/>
  <c r="BO690" i="12"/>
  <c r="BN690" i="12"/>
  <c r="BM690" i="12"/>
  <c r="BL690" i="12"/>
  <c r="BK690" i="12"/>
  <c r="BJ690" i="12"/>
  <c r="BI690" i="12"/>
  <c r="BH690" i="12"/>
  <c r="BG690" i="12"/>
  <c r="BF690" i="12"/>
  <c r="BX689" i="12"/>
  <c r="BW689" i="12"/>
  <c r="BV689" i="12"/>
  <c r="BU689" i="12"/>
  <c r="BT689" i="12"/>
  <c r="BS689" i="12"/>
  <c r="BR689" i="12"/>
  <c r="BQ689" i="12"/>
  <c r="BP689" i="12"/>
  <c r="BO689" i="12"/>
  <c r="BN689" i="12"/>
  <c r="BM689" i="12"/>
  <c r="BL689" i="12"/>
  <c r="BK689" i="12"/>
  <c r="BJ689" i="12"/>
  <c r="BI689" i="12"/>
  <c r="BH689" i="12"/>
  <c r="BG689" i="12"/>
  <c r="BF689" i="12"/>
  <c r="BX688" i="12"/>
  <c r="BW688" i="12"/>
  <c r="BV688" i="12"/>
  <c r="BU688" i="12"/>
  <c r="BT688" i="12"/>
  <c r="BS688" i="12"/>
  <c r="BR688" i="12"/>
  <c r="BQ688" i="12"/>
  <c r="BP688" i="12"/>
  <c r="BO688" i="12"/>
  <c r="BN688" i="12"/>
  <c r="BM688" i="12"/>
  <c r="BL688" i="12"/>
  <c r="BK688" i="12"/>
  <c r="BJ688" i="12"/>
  <c r="BI688" i="12"/>
  <c r="BH688" i="12"/>
  <c r="BG688" i="12"/>
  <c r="BF688" i="12"/>
  <c r="BX687" i="12"/>
  <c r="BW687" i="12"/>
  <c r="BV687" i="12"/>
  <c r="BU687" i="12"/>
  <c r="BT687" i="12"/>
  <c r="BS687" i="12"/>
  <c r="BR687" i="12"/>
  <c r="BQ687" i="12"/>
  <c r="BP687" i="12"/>
  <c r="BO687" i="12"/>
  <c r="BN687" i="12"/>
  <c r="BM687" i="12"/>
  <c r="BL687" i="12"/>
  <c r="BK687" i="12"/>
  <c r="BJ687" i="12"/>
  <c r="BI687" i="12"/>
  <c r="BH687" i="12"/>
  <c r="BG687" i="12"/>
  <c r="BF687" i="12"/>
  <c r="BX686" i="12"/>
  <c r="BW686" i="12"/>
  <c r="BV686" i="12"/>
  <c r="BU686" i="12"/>
  <c r="BT686" i="12"/>
  <c r="BS686" i="12"/>
  <c r="BR686" i="12"/>
  <c r="BQ686" i="12"/>
  <c r="BP686" i="12"/>
  <c r="BO686" i="12"/>
  <c r="BN686" i="12"/>
  <c r="BM686" i="12"/>
  <c r="BL686" i="12"/>
  <c r="BK686" i="12"/>
  <c r="BJ686" i="12"/>
  <c r="BI686" i="12"/>
  <c r="BH686" i="12"/>
  <c r="BG686" i="12"/>
  <c r="BF686" i="12"/>
  <c r="BX685" i="12"/>
  <c r="BW685" i="12"/>
  <c r="BV685" i="12"/>
  <c r="BU685" i="12"/>
  <c r="BT685" i="12"/>
  <c r="BS685" i="12"/>
  <c r="BR685" i="12"/>
  <c r="BQ685" i="12"/>
  <c r="BP685" i="12"/>
  <c r="BO685" i="12"/>
  <c r="BN685" i="12"/>
  <c r="BM685" i="12"/>
  <c r="BL685" i="12"/>
  <c r="BK685" i="12"/>
  <c r="BJ685" i="12"/>
  <c r="BI685" i="12"/>
  <c r="BH685" i="12"/>
  <c r="BG685" i="12"/>
  <c r="BF685" i="12"/>
  <c r="BX684" i="12"/>
  <c r="BW684" i="12"/>
  <c r="BV684" i="12"/>
  <c r="BU684" i="12"/>
  <c r="BT684" i="12"/>
  <c r="BS684" i="12"/>
  <c r="BR684" i="12"/>
  <c r="BQ684" i="12"/>
  <c r="BP684" i="12"/>
  <c r="BO684" i="12"/>
  <c r="BN684" i="12"/>
  <c r="BM684" i="12"/>
  <c r="BL684" i="12"/>
  <c r="BK684" i="12"/>
  <c r="BJ684" i="12"/>
  <c r="BI684" i="12"/>
  <c r="BH684" i="12"/>
  <c r="BG684" i="12"/>
  <c r="BF684" i="12"/>
  <c r="BX683" i="12"/>
  <c r="BW683" i="12"/>
  <c r="BV683" i="12"/>
  <c r="BU683" i="12"/>
  <c r="BT683" i="12"/>
  <c r="BS683" i="12"/>
  <c r="BR683" i="12"/>
  <c r="BQ683" i="12"/>
  <c r="BP683" i="12"/>
  <c r="BO683" i="12"/>
  <c r="BN683" i="12"/>
  <c r="BM683" i="12"/>
  <c r="BL683" i="12"/>
  <c r="BK683" i="12"/>
  <c r="BJ683" i="12"/>
  <c r="BI683" i="12"/>
  <c r="BH683" i="12"/>
  <c r="BG683" i="12"/>
  <c r="BF683" i="12"/>
  <c r="BX682" i="12"/>
  <c r="BW682" i="12"/>
  <c r="BV682" i="12"/>
  <c r="BU682" i="12"/>
  <c r="BT682" i="12"/>
  <c r="BS682" i="12"/>
  <c r="BR682" i="12"/>
  <c r="BQ682" i="12"/>
  <c r="BP682" i="12"/>
  <c r="BO682" i="12"/>
  <c r="BN682" i="12"/>
  <c r="BM682" i="12"/>
  <c r="BL682" i="12"/>
  <c r="BK682" i="12"/>
  <c r="BJ682" i="12"/>
  <c r="BI682" i="12"/>
  <c r="BH682" i="12"/>
  <c r="BG682" i="12"/>
  <c r="BF682" i="12"/>
  <c r="BX681" i="12"/>
  <c r="BW681" i="12"/>
  <c r="BV681" i="12"/>
  <c r="BU681" i="12"/>
  <c r="BT681" i="12"/>
  <c r="BS681" i="12"/>
  <c r="BR681" i="12"/>
  <c r="BQ681" i="12"/>
  <c r="BP681" i="12"/>
  <c r="BO681" i="12"/>
  <c r="BN681" i="12"/>
  <c r="BM681" i="12"/>
  <c r="BL681" i="12"/>
  <c r="BK681" i="12"/>
  <c r="BJ681" i="12"/>
  <c r="BI681" i="12"/>
  <c r="BH681" i="12"/>
  <c r="BG681" i="12"/>
  <c r="BF681" i="12"/>
  <c r="BX680" i="12"/>
  <c r="BW680" i="12"/>
  <c r="BV680" i="12"/>
  <c r="BU680" i="12"/>
  <c r="BT680" i="12"/>
  <c r="BS680" i="12"/>
  <c r="BR680" i="12"/>
  <c r="BQ680" i="12"/>
  <c r="BP680" i="12"/>
  <c r="BO680" i="12"/>
  <c r="BN680" i="12"/>
  <c r="BM680" i="12"/>
  <c r="BL680" i="12"/>
  <c r="BK680" i="12"/>
  <c r="BJ680" i="12"/>
  <c r="BI680" i="12"/>
  <c r="BH680" i="12"/>
  <c r="BG680" i="12"/>
  <c r="BF680" i="12"/>
  <c r="BX679" i="12"/>
  <c r="BW679" i="12"/>
  <c r="BV679" i="12"/>
  <c r="BU679" i="12"/>
  <c r="BT679" i="12"/>
  <c r="BS679" i="12"/>
  <c r="BR679" i="12"/>
  <c r="BQ679" i="12"/>
  <c r="BP679" i="12"/>
  <c r="BO679" i="12"/>
  <c r="BN679" i="12"/>
  <c r="BM679" i="12"/>
  <c r="BL679" i="12"/>
  <c r="BK679" i="12"/>
  <c r="BJ679" i="12"/>
  <c r="BI679" i="12"/>
  <c r="BH679" i="12"/>
  <c r="BG679" i="12"/>
  <c r="BF679" i="12"/>
  <c r="BX678" i="12"/>
  <c r="BW678" i="12"/>
  <c r="BV678" i="12"/>
  <c r="BU678" i="12"/>
  <c r="BT678" i="12"/>
  <c r="BS678" i="12"/>
  <c r="BR678" i="12"/>
  <c r="BQ678" i="12"/>
  <c r="BP678" i="12"/>
  <c r="BO678" i="12"/>
  <c r="BN678" i="12"/>
  <c r="BM678" i="12"/>
  <c r="BL678" i="12"/>
  <c r="BK678" i="12"/>
  <c r="BJ678" i="12"/>
  <c r="BI678" i="12"/>
  <c r="BH678" i="12"/>
  <c r="BG678" i="12"/>
  <c r="BF678" i="12"/>
  <c r="BX677" i="12"/>
  <c r="BW677" i="12"/>
  <c r="BV677" i="12"/>
  <c r="BU677" i="12"/>
  <c r="BT677" i="12"/>
  <c r="BS677" i="12"/>
  <c r="BR677" i="12"/>
  <c r="BQ677" i="12"/>
  <c r="BP677" i="12"/>
  <c r="BO677" i="12"/>
  <c r="BN677" i="12"/>
  <c r="BM677" i="12"/>
  <c r="BL677" i="12"/>
  <c r="BK677" i="12"/>
  <c r="BJ677" i="12"/>
  <c r="BI677" i="12"/>
  <c r="BH677" i="12"/>
  <c r="BG677" i="12"/>
  <c r="BF677" i="12"/>
  <c r="BX676" i="12"/>
  <c r="BW676" i="12"/>
  <c r="BV676" i="12"/>
  <c r="BU676" i="12"/>
  <c r="BT676" i="12"/>
  <c r="BS676" i="12"/>
  <c r="BR676" i="12"/>
  <c r="BQ676" i="12"/>
  <c r="BP676" i="12"/>
  <c r="BO676" i="12"/>
  <c r="BN676" i="12"/>
  <c r="BM676" i="12"/>
  <c r="BL676" i="12"/>
  <c r="BK676" i="12"/>
  <c r="BJ676" i="12"/>
  <c r="BI676" i="12"/>
  <c r="BH676" i="12"/>
  <c r="BG676" i="12"/>
  <c r="BF676" i="12"/>
  <c r="BX675" i="12"/>
  <c r="BW675" i="12"/>
  <c r="BV675" i="12"/>
  <c r="BU675" i="12"/>
  <c r="BT675" i="12"/>
  <c r="BS675" i="12"/>
  <c r="BR675" i="12"/>
  <c r="BQ675" i="12"/>
  <c r="BP675" i="12"/>
  <c r="BO675" i="12"/>
  <c r="BN675" i="12"/>
  <c r="BM675" i="12"/>
  <c r="BL675" i="12"/>
  <c r="BK675" i="12"/>
  <c r="BJ675" i="12"/>
  <c r="BI675" i="12"/>
  <c r="BH675" i="12"/>
  <c r="BG675" i="12"/>
  <c r="BF675" i="12"/>
  <c r="BX674" i="12"/>
  <c r="BW674" i="12"/>
  <c r="BV674" i="12"/>
  <c r="BU674" i="12"/>
  <c r="BT674" i="12"/>
  <c r="BS674" i="12"/>
  <c r="BR674" i="12"/>
  <c r="BQ674" i="12"/>
  <c r="BP674" i="12"/>
  <c r="BO674" i="12"/>
  <c r="BN674" i="12"/>
  <c r="BM674" i="12"/>
  <c r="BL674" i="12"/>
  <c r="BK674" i="12"/>
  <c r="BJ674" i="12"/>
  <c r="BI674" i="12"/>
  <c r="BH674" i="12"/>
  <c r="BG674" i="12"/>
  <c r="BF674" i="12"/>
  <c r="BX673" i="12"/>
  <c r="BW673" i="12"/>
  <c r="BV673" i="12"/>
  <c r="BU673" i="12"/>
  <c r="BT673" i="12"/>
  <c r="BS673" i="12"/>
  <c r="BR673" i="12"/>
  <c r="BQ673" i="12"/>
  <c r="BP673" i="12"/>
  <c r="BO673" i="12"/>
  <c r="BN673" i="12"/>
  <c r="BM673" i="12"/>
  <c r="BL673" i="12"/>
  <c r="BK673" i="12"/>
  <c r="BJ673" i="12"/>
  <c r="BI673" i="12"/>
  <c r="BH673" i="12"/>
  <c r="BG673" i="12"/>
  <c r="BF673" i="12"/>
  <c r="BX672" i="12"/>
  <c r="BW672" i="12"/>
  <c r="BV672" i="12"/>
  <c r="BU672" i="12"/>
  <c r="BT672" i="12"/>
  <c r="BS672" i="12"/>
  <c r="BR672" i="12"/>
  <c r="BQ672" i="12"/>
  <c r="BP672" i="12"/>
  <c r="BO672" i="12"/>
  <c r="BN672" i="12"/>
  <c r="BM672" i="12"/>
  <c r="BL672" i="12"/>
  <c r="BK672" i="12"/>
  <c r="BJ672" i="12"/>
  <c r="BI672" i="12"/>
  <c r="BH672" i="12"/>
  <c r="BG672" i="12"/>
  <c r="BF672" i="12"/>
  <c r="BX671" i="12"/>
  <c r="BW671" i="12"/>
  <c r="BV671" i="12"/>
  <c r="BU671" i="12"/>
  <c r="BT671" i="12"/>
  <c r="BS671" i="12"/>
  <c r="BR671" i="12"/>
  <c r="BQ671" i="12"/>
  <c r="BP671" i="12"/>
  <c r="BO671" i="12"/>
  <c r="BN671" i="12"/>
  <c r="BM671" i="12"/>
  <c r="BL671" i="12"/>
  <c r="BK671" i="12"/>
  <c r="BJ671" i="12"/>
  <c r="BI671" i="12"/>
  <c r="BH671" i="12"/>
  <c r="BG671" i="12"/>
  <c r="BF671" i="12"/>
  <c r="BX670" i="12"/>
  <c r="BW670" i="12"/>
  <c r="BV670" i="12"/>
  <c r="BU670" i="12"/>
  <c r="BT670" i="12"/>
  <c r="BS670" i="12"/>
  <c r="BR670" i="12"/>
  <c r="BQ670" i="12"/>
  <c r="BP670" i="12"/>
  <c r="BO670" i="12"/>
  <c r="BN670" i="12"/>
  <c r="BM670" i="12"/>
  <c r="BL670" i="12"/>
  <c r="BK670" i="12"/>
  <c r="BJ670" i="12"/>
  <c r="BI670" i="12"/>
  <c r="BH670" i="12"/>
  <c r="BG670" i="12"/>
  <c r="BF670" i="12"/>
  <c r="BX669" i="12"/>
  <c r="BW669" i="12"/>
  <c r="BV669" i="12"/>
  <c r="BU669" i="12"/>
  <c r="BT669" i="12"/>
  <c r="BS669" i="12"/>
  <c r="BR669" i="12"/>
  <c r="BQ669" i="12"/>
  <c r="BP669" i="12"/>
  <c r="BO669" i="12"/>
  <c r="BN669" i="12"/>
  <c r="BM669" i="12"/>
  <c r="BL669" i="12"/>
  <c r="BK669" i="12"/>
  <c r="BJ669" i="12"/>
  <c r="BI669" i="12"/>
  <c r="BH669" i="12"/>
  <c r="BG669" i="12"/>
  <c r="BF669" i="12"/>
  <c r="BX668" i="12"/>
  <c r="BW668" i="12"/>
  <c r="BV668" i="12"/>
  <c r="BU668" i="12"/>
  <c r="BT668" i="12"/>
  <c r="BS668" i="12"/>
  <c r="BR668" i="12"/>
  <c r="BQ668" i="12"/>
  <c r="BP668" i="12"/>
  <c r="BO668" i="12"/>
  <c r="BN668" i="12"/>
  <c r="BM668" i="12"/>
  <c r="BL668" i="12"/>
  <c r="BK668" i="12"/>
  <c r="BJ668" i="12"/>
  <c r="BI668" i="12"/>
  <c r="BH668" i="12"/>
  <c r="BG668" i="12"/>
  <c r="BF668" i="12"/>
  <c r="BX667" i="12"/>
  <c r="BW667" i="12"/>
  <c r="BV667" i="12"/>
  <c r="BU667" i="12"/>
  <c r="BT667" i="12"/>
  <c r="BS667" i="12"/>
  <c r="BR667" i="12"/>
  <c r="BQ667" i="12"/>
  <c r="BP667" i="12"/>
  <c r="BO667" i="12"/>
  <c r="BN667" i="12"/>
  <c r="BM667" i="12"/>
  <c r="BL667" i="12"/>
  <c r="BK667" i="12"/>
  <c r="BJ667" i="12"/>
  <c r="BI667" i="12"/>
  <c r="BH667" i="12"/>
  <c r="BG667" i="12"/>
  <c r="BF667" i="12"/>
  <c r="BX666" i="12"/>
  <c r="BW666" i="12"/>
  <c r="BV666" i="12"/>
  <c r="BU666" i="12"/>
  <c r="BT666" i="12"/>
  <c r="BS666" i="12"/>
  <c r="BR666" i="12"/>
  <c r="BQ666" i="12"/>
  <c r="BP666" i="12"/>
  <c r="BO666" i="12"/>
  <c r="BN666" i="12"/>
  <c r="BM666" i="12"/>
  <c r="BL666" i="12"/>
  <c r="BK666" i="12"/>
  <c r="BJ666" i="12"/>
  <c r="BI666" i="12"/>
  <c r="BH666" i="12"/>
  <c r="BG666" i="12"/>
  <c r="BF666" i="12"/>
  <c r="BX665" i="12"/>
  <c r="BW665" i="12"/>
  <c r="BV665" i="12"/>
  <c r="BU665" i="12"/>
  <c r="BT665" i="12"/>
  <c r="BS665" i="12"/>
  <c r="BR665" i="12"/>
  <c r="BQ665" i="12"/>
  <c r="BP665" i="12"/>
  <c r="BO665" i="12"/>
  <c r="BN665" i="12"/>
  <c r="BM665" i="12"/>
  <c r="BL665" i="12"/>
  <c r="BK665" i="12"/>
  <c r="BJ665" i="12"/>
  <c r="BI665" i="12"/>
  <c r="BH665" i="12"/>
  <c r="BG665" i="12"/>
  <c r="BF665" i="12"/>
  <c r="BX664" i="12"/>
  <c r="BW664" i="12"/>
  <c r="BV664" i="12"/>
  <c r="BU664" i="12"/>
  <c r="BT664" i="12"/>
  <c r="BS664" i="12"/>
  <c r="BR664" i="12"/>
  <c r="BQ664" i="12"/>
  <c r="BP664" i="12"/>
  <c r="BO664" i="12"/>
  <c r="BN664" i="12"/>
  <c r="BM664" i="12"/>
  <c r="BL664" i="12"/>
  <c r="BK664" i="12"/>
  <c r="BJ664" i="12"/>
  <c r="BI664" i="12"/>
  <c r="BH664" i="12"/>
  <c r="BG664" i="12"/>
  <c r="BF664" i="12"/>
  <c r="BX663" i="12"/>
  <c r="BW663" i="12"/>
  <c r="BV663" i="12"/>
  <c r="BU663" i="12"/>
  <c r="BT663" i="12"/>
  <c r="BS663" i="12"/>
  <c r="BR663" i="12"/>
  <c r="BQ663" i="12"/>
  <c r="BP663" i="12"/>
  <c r="BO663" i="12"/>
  <c r="BN663" i="12"/>
  <c r="BM663" i="12"/>
  <c r="BL663" i="12"/>
  <c r="BK663" i="12"/>
  <c r="BJ663" i="12"/>
  <c r="BI663" i="12"/>
  <c r="BH663" i="12"/>
  <c r="BG663" i="12"/>
  <c r="BF663" i="12"/>
  <c r="BX662" i="12"/>
  <c r="BW662" i="12"/>
  <c r="BV662" i="12"/>
  <c r="BU662" i="12"/>
  <c r="BT662" i="12"/>
  <c r="BS662" i="12"/>
  <c r="BR662" i="12"/>
  <c r="BQ662" i="12"/>
  <c r="BP662" i="12"/>
  <c r="BO662" i="12"/>
  <c r="BN662" i="12"/>
  <c r="BM662" i="12"/>
  <c r="BL662" i="12"/>
  <c r="BK662" i="12"/>
  <c r="BJ662" i="12"/>
  <c r="BI662" i="12"/>
  <c r="BH662" i="12"/>
  <c r="BG662" i="12"/>
  <c r="BF662" i="12"/>
  <c r="BX661" i="12"/>
  <c r="BW661" i="12"/>
  <c r="BV661" i="12"/>
  <c r="BU661" i="12"/>
  <c r="BT661" i="12"/>
  <c r="BS661" i="12"/>
  <c r="BR661" i="12"/>
  <c r="BQ661" i="12"/>
  <c r="BP661" i="12"/>
  <c r="BO661" i="12"/>
  <c r="BN661" i="12"/>
  <c r="BM661" i="12"/>
  <c r="BL661" i="12"/>
  <c r="BK661" i="12"/>
  <c r="BJ661" i="12"/>
  <c r="BI661" i="12"/>
  <c r="BH661" i="12"/>
  <c r="BG661" i="12"/>
  <c r="BF661" i="12"/>
  <c r="BX660" i="12"/>
  <c r="BW660" i="12"/>
  <c r="BV660" i="12"/>
  <c r="BU660" i="12"/>
  <c r="BT660" i="12"/>
  <c r="BS660" i="12"/>
  <c r="BR660" i="12"/>
  <c r="BQ660" i="12"/>
  <c r="BP660" i="12"/>
  <c r="BO660" i="12"/>
  <c r="BN660" i="12"/>
  <c r="BM660" i="12"/>
  <c r="BL660" i="12"/>
  <c r="BK660" i="12"/>
  <c r="BJ660" i="12"/>
  <c r="BI660" i="12"/>
  <c r="BH660" i="12"/>
  <c r="BG660" i="12"/>
  <c r="BF660" i="12"/>
  <c r="BX659" i="12"/>
  <c r="BW659" i="12"/>
  <c r="BV659" i="12"/>
  <c r="BU659" i="12"/>
  <c r="BT659" i="12"/>
  <c r="BS659" i="12"/>
  <c r="BR659" i="12"/>
  <c r="BQ659" i="12"/>
  <c r="BP659" i="12"/>
  <c r="BO659" i="12"/>
  <c r="BN659" i="12"/>
  <c r="BM659" i="12"/>
  <c r="BL659" i="12"/>
  <c r="BK659" i="12"/>
  <c r="BJ659" i="12"/>
  <c r="BI659" i="12"/>
  <c r="BH659" i="12"/>
  <c r="BG659" i="12"/>
  <c r="BF659" i="12"/>
  <c r="BX658" i="12"/>
  <c r="BW658" i="12"/>
  <c r="BV658" i="12"/>
  <c r="BU658" i="12"/>
  <c r="BT658" i="12"/>
  <c r="BS658" i="12"/>
  <c r="BR658" i="12"/>
  <c r="BQ658" i="12"/>
  <c r="BP658" i="12"/>
  <c r="BO658" i="12"/>
  <c r="BN658" i="12"/>
  <c r="BM658" i="12"/>
  <c r="BL658" i="12"/>
  <c r="BK658" i="12"/>
  <c r="BJ658" i="12"/>
  <c r="BI658" i="12"/>
  <c r="BH658" i="12"/>
  <c r="BG658" i="12"/>
  <c r="BF658" i="12"/>
  <c r="BX657" i="12"/>
  <c r="BW657" i="12"/>
  <c r="BV657" i="12"/>
  <c r="BU657" i="12"/>
  <c r="BT657" i="12"/>
  <c r="BS657" i="12"/>
  <c r="BR657" i="12"/>
  <c r="BQ657" i="12"/>
  <c r="BP657" i="12"/>
  <c r="BO657" i="12"/>
  <c r="BN657" i="12"/>
  <c r="BM657" i="12"/>
  <c r="BL657" i="12"/>
  <c r="BK657" i="12"/>
  <c r="BJ657" i="12"/>
  <c r="BI657" i="12"/>
  <c r="BH657" i="12"/>
  <c r="BG657" i="12"/>
  <c r="BF657" i="12"/>
  <c r="BX656" i="12"/>
  <c r="BW656" i="12"/>
  <c r="BV656" i="12"/>
  <c r="BU656" i="12"/>
  <c r="BT656" i="12"/>
  <c r="BS656" i="12"/>
  <c r="BR656" i="12"/>
  <c r="BQ656" i="12"/>
  <c r="BP656" i="12"/>
  <c r="BO656" i="12"/>
  <c r="BN656" i="12"/>
  <c r="BM656" i="12"/>
  <c r="BL656" i="12"/>
  <c r="BK656" i="12"/>
  <c r="BJ656" i="12"/>
  <c r="BI656" i="12"/>
  <c r="BH656" i="12"/>
  <c r="BG656" i="12"/>
  <c r="BF656" i="12"/>
  <c r="BX655" i="12"/>
  <c r="BW655" i="12"/>
  <c r="BV655" i="12"/>
  <c r="BU655" i="12"/>
  <c r="BT655" i="12"/>
  <c r="BS655" i="12"/>
  <c r="BR655" i="12"/>
  <c r="BQ655" i="12"/>
  <c r="BP655" i="12"/>
  <c r="BO655" i="12"/>
  <c r="BN655" i="12"/>
  <c r="BM655" i="12"/>
  <c r="BL655" i="12"/>
  <c r="BK655" i="12"/>
  <c r="BJ655" i="12"/>
  <c r="BI655" i="12"/>
  <c r="BH655" i="12"/>
  <c r="BG655" i="12"/>
  <c r="BF655" i="12"/>
  <c r="BX654" i="12"/>
  <c r="BW654" i="12"/>
  <c r="BV654" i="12"/>
  <c r="BU654" i="12"/>
  <c r="BT654" i="12"/>
  <c r="BS654" i="12"/>
  <c r="BR654" i="12"/>
  <c r="BQ654" i="12"/>
  <c r="BP654" i="12"/>
  <c r="BO654" i="12"/>
  <c r="BN654" i="12"/>
  <c r="BM654" i="12"/>
  <c r="BL654" i="12"/>
  <c r="BK654" i="12"/>
  <c r="BJ654" i="12"/>
  <c r="BI654" i="12"/>
  <c r="BH654" i="12"/>
  <c r="BG654" i="12"/>
  <c r="BF654" i="12"/>
  <c r="BX653" i="12"/>
  <c r="BW653" i="12"/>
  <c r="BV653" i="12"/>
  <c r="BU653" i="12"/>
  <c r="BT653" i="12"/>
  <c r="BS653" i="12"/>
  <c r="BR653" i="12"/>
  <c r="BQ653" i="12"/>
  <c r="BP653" i="12"/>
  <c r="BO653" i="12"/>
  <c r="BN653" i="12"/>
  <c r="BM653" i="12"/>
  <c r="BL653" i="12"/>
  <c r="BK653" i="12"/>
  <c r="BJ653" i="12"/>
  <c r="BI653" i="12"/>
  <c r="BH653" i="12"/>
  <c r="BG653" i="12"/>
  <c r="BF653" i="12"/>
  <c r="BX652" i="12"/>
  <c r="BW652" i="12"/>
  <c r="BV652" i="12"/>
  <c r="BU652" i="12"/>
  <c r="BT652" i="12"/>
  <c r="BS652" i="12"/>
  <c r="BR652" i="12"/>
  <c r="BQ652" i="12"/>
  <c r="BP652" i="12"/>
  <c r="BO652" i="12"/>
  <c r="BN652" i="12"/>
  <c r="BM652" i="12"/>
  <c r="BL652" i="12"/>
  <c r="BK652" i="12"/>
  <c r="BJ652" i="12"/>
  <c r="BI652" i="12"/>
  <c r="BH652" i="12"/>
  <c r="BG652" i="12"/>
  <c r="BF652" i="12"/>
  <c r="BX651" i="12"/>
  <c r="BW651" i="12"/>
  <c r="BV651" i="12"/>
  <c r="BU651" i="12"/>
  <c r="BT651" i="12"/>
  <c r="BS651" i="12"/>
  <c r="BR651" i="12"/>
  <c r="BQ651" i="12"/>
  <c r="BP651" i="12"/>
  <c r="BO651" i="12"/>
  <c r="BN651" i="12"/>
  <c r="BM651" i="12"/>
  <c r="BL651" i="12"/>
  <c r="BK651" i="12"/>
  <c r="BJ651" i="12"/>
  <c r="BI651" i="12"/>
  <c r="BH651" i="12"/>
  <c r="BG651" i="12"/>
  <c r="BF651" i="12"/>
  <c r="BX650" i="12"/>
  <c r="BW650" i="12"/>
  <c r="BV650" i="12"/>
  <c r="BU650" i="12"/>
  <c r="BT650" i="12"/>
  <c r="BS650" i="12"/>
  <c r="BR650" i="12"/>
  <c r="BQ650" i="12"/>
  <c r="BP650" i="12"/>
  <c r="BO650" i="12"/>
  <c r="BN650" i="12"/>
  <c r="BM650" i="12"/>
  <c r="BL650" i="12"/>
  <c r="BK650" i="12"/>
  <c r="BJ650" i="12"/>
  <c r="BI650" i="12"/>
  <c r="BH650" i="12"/>
  <c r="BG650" i="12"/>
  <c r="BF650" i="12"/>
  <c r="BX649" i="12"/>
  <c r="BW649" i="12"/>
  <c r="BV649" i="12"/>
  <c r="BU649" i="12"/>
  <c r="BT649" i="12"/>
  <c r="BS649" i="12"/>
  <c r="BR649" i="12"/>
  <c r="BQ649" i="12"/>
  <c r="BP649" i="12"/>
  <c r="BO649" i="12"/>
  <c r="BN649" i="12"/>
  <c r="BM649" i="12"/>
  <c r="BL649" i="12"/>
  <c r="BK649" i="12"/>
  <c r="BJ649" i="12"/>
  <c r="BI649" i="12"/>
  <c r="BH649" i="12"/>
  <c r="BG649" i="12"/>
  <c r="BF649" i="12"/>
  <c r="BX648" i="12"/>
  <c r="BW648" i="12"/>
  <c r="BV648" i="12"/>
  <c r="BU648" i="12"/>
  <c r="BT648" i="12"/>
  <c r="BS648" i="12"/>
  <c r="BR648" i="12"/>
  <c r="BQ648" i="12"/>
  <c r="BP648" i="12"/>
  <c r="BO648" i="12"/>
  <c r="BN648" i="12"/>
  <c r="BM648" i="12"/>
  <c r="BL648" i="12"/>
  <c r="BK648" i="12"/>
  <c r="BJ648" i="12"/>
  <c r="BI648" i="12"/>
  <c r="BH648" i="12"/>
  <c r="BG648" i="12"/>
  <c r="BF648" i="12"/>
  <c r="BX647" i="12"/>
  <c r="BW647" i="12"/>
  <c r="BV647" i="12"/>
  <c r="BU647" i="12"/>
  <c r="BT647" i="12"/>
  <c r="BS647" i="12"/>
  <c r="BR647" i="12"/>
  <c r="BQ647" i="12"/>
  <c r="BP647" i="12"/>
  <c r="BO647" i="12"/>
  <c r="BN647" i="12"/>
  <c r="BM647" i="12"/>
  <c r="BL647" i="12"/>
  <c r="BK647" i="12"/>
  <c r="BJ647" i="12"/>
  <c r="BI647" i="12"/>
  <c r="BH647" i="12"/>
  <c r="BG647" i="12"/>
  <c r="BF647" i="12"/>
  <c r="BX646" i="12"/>
  <c r="BW646" i="12"/>
  <c r="BV646" i="12"/>
  <c r="BU646" i="12"/>
  <c r="BT646" i="12"/>
  <c r="BS646" i="12"/>
  <c r="BR646" i="12"/>
  <c r="BQ646" i="12"/>
  <c r="BP646" i="12"/>
  <c r="BO646" i="12"/>
  <c r="BN646" i="12"/>
  <c r="BM646" i="12"/>
  <c r="BL646" i="12"/>
  <c r="BK646" i="12"/>
  <c r="BJ646" i="12"/>
  <c r="BI646" i="12"/>
  <c r="BH646" i="12"/>
  <c r="BG646" i="12"/>
  <c r="BF646" i="12"/>
  <c r="BX645" i="12"/>
  <c r="BW645" i="12"/>
  <c r="BV645" i="12"/>
  <c r="BU645" i="12"/>
  <c r="BT645" i="12"/>
  <c r="BS645" i="12"/>
  <c r="BR645" i="12"/>
  <c r="BQ645" i="12"/>
  <c r="BP645" i="12"/>
  <c r="BO645" i="12"/>
  <c r="BN645" i="12"/>
  <c r="BM645" i="12"/>
  <c r="BL645" i="12"/>
  <c r="BK645" i="12"/>
  <c r="BJ645" i="12"/>
  <c r="BI645" i="12"/>
  <c r="BH645" i="12"/>
  <c r="BG645" i="12"/>
  <c r="BF645" i="12"/>
  <c r="BX644" i="12"/>
  <c r="BW644" i="12"/>
  <c r="BV644" i="12"/>
  <c r="BU644" i="12"/>
  <c r="BT644" i="12"/>
  <c r="BS644" i="12"/>
  <c r="BR644" i="12"/>
  <c r="BQ644" i="12"/>
  <c r="BP644" i="12"/>
  <c r="BO644" i="12"/>
  <c r="BN644" i="12"/>
  <c r="BM644" i="12"/>
  <c r="BL644" i="12"/>
  <c r="BK644" i="12"/>
  <c r="BJ644" i="12"/>
  <c r="BI644" i="12"/>
  <c r="BH644" i="12"/>
  <c r="BG644" i="12"/>
  <c r="BF644" i="12"/>
  <c r="BX643" i="12"/>
  <c r="BW643" i="12"/>
  <c r="BV643" i="12"/>
  <c r="BU643" i="12"/>
  <c r="BT643" i="12"/>
  <c r="BS643" i="12"/>
  <c r="BR643" i="12"/>
  <c r="BQ643" i="12"/>
  <c r="BP643" i="12"/>
  <c r="BO643" i="12"/>
  <c r="BN643" i="12"/>
  <c r="BM643" i="12"/>
  <c r="BL643" i="12"/>
  <c r="BK643" i="12"/>
  <c r="BJ643" i="12"/>
  <c r="BI643" i="12"/>
  <c r="BH643" i="12"/>
  <c r="BG643" i="12"/>
  <c r="BF643" i="12"/>
  <c r="BX642" i="12"/>
  <c r="BW642" i="12"/>
  <c r="BV642" i="12"/>
  <c r="BU642" i="12"/>
  <c r="BT642" i="12"/>
  <c r="BS642" i="12"/>
  <c r="BR642" i="12"/>
  <c r="BQ642" i="12"/>
  <c r="BP642" i="12"/>
  <c r="BO642" i="12"/>
  <c r="BN642" i="12"/>
  <c r="BM642" i="12"/>
  <c r="BL642" i="12"/>
  <c r="BK642" i="12"/>
  <c r="BJ642" i="12"/>
  <c r="BI642" i="12"/>
  <c r="BH642" i="12"/>
  <c r="BG642" i="12"/>
  <c r="BF642" i="12"/>
  <c r="BX641" i="12"/>
  <c r="BW641" i="12"/>
  <c r="BV641" i="12"/>
  <c r="BU641" i="12"/>
  <c r="BT641" i="12"/>
  <c r="BS641" i="12"/>
  <c r="BR641" i="12"/>
  <c r="BQ641" i="12"/>
  <c r="BP641" i="12"/>
  <c r="BO641" i="12"/>
  <c r="BN641" i="12"/>
  <c r="BM641" i="12"/>
  <c r="BL641" i="12"/>
  <c r="BK641" i="12"/>
  <c r="BJ641" i="12"/>
  <c r="BI641" i="12"/>
  <c r="BH641" i="12"/>
  <c r="BG641" i="12"/>
  <c r="BF641" i="12"/>
  <c r="BX640" i="12"/>
  <c r="BW640" i="12"/>
  <c r="BV640" i="12"/>
  <c r="BU640" i="12"/>
  <c r="BT640" i="12"/>
  <c r="BS640" i="12"/>
  <c r="BR640" i="12"/>
  <c r="BQ640" i="12"/>
  <c r="BP640" i="12"/>
  <c r="BO640" i="12"/>
  <c r="BN640" i="12"/>
  <c r="BM640" i="12"/>
  <c r="BL640" i="12"/>
  <c r="BK640" i="12"/>
  <c r="BJ640" i="12"/>
  <c r="BI640" i="12"/>
  <c r="BH640" i="12"/>
  <c r="BG640" i="12"/>
  <c r="BF640" i="12"/>
  <c r="BX639" i="12"/>
  <c r="BW639" i="12"/>
  <c r="BV639" i="12"/>
  <c r="BU639" i="12"/>
  <c r="BT639" i="12"/>
  <c r="BS639" i="12"/>
  <c r="BR639" i="12"/>
  <c r="BQ639" i="12"/>
  <c r="BP639" i="12"/>
  <c r="BO639" i="12"/>
  <c r="BN639" i="12"/>
  <c r="BM639" i="12"/>
  <c r="BL639" i="12"/>
  <c r="BK639" i="12"/>
  <c r="BJ639" i="12"/>
  <c r="BI639" i="12"/>
  <c r="BH639" i="12"/>
  <c r="BG639" i="12"/>
  <c r="BF639" i="12"/>
  <c r="BX638" i="12"/>
  <c r="BW638" i="12"/>
  <c r="BV638" i="12"/>
  <c r="BU638" i="12"/>
  <c r="BT638" i="12"/>
  <c r="BS638" i="12"/>
  <c r="BR638" i="12"/>
  <c r="BQ638" i="12"/>
  <c r="BP638" i="12"/>
  <c r="BO638" i="12"/>
  <c r="BN638" i="12"/>
  <c r="BM638" i="12"/>
  <c r="BL638" i="12"/>
  <c r="BK638" i="12"/>
  <c r="BJ638" i="12"/>
  <c r="BI638" i="12"/>
  <c r="BH638" i="12"/>
  <c r="BG638" i="12"/>
  <c r="BF638" i="12"/>
  <c r="BX637" i="12"/>
  <c r="BW637" i="12"/>
  <c r="BV637" i="12"/>
  <c r="BU637" i="12"/>
  <c r="BT637" i="12"/>
  <c r="BS637" i="12"/>
  <c r="BR637" i="12"/>
  <c r="BQ637" i="12"/>
  <c r="BP637" i="12"/>
  <c r="BO637" i="12"/>
  <c r="BN637" i="12"/>
  <c r="BM637" i="12"/>
  <c r="BL637" i="12"/>
  <c r="BK637" i="12"/>
  <c r="BJ637" i="12"/>
  <c r="BI637" i="12"/>
  <c r="BH637" i="12"/>
  <c r="BG637" i="12"/>
  <c r="BF637" i="12"/>
  <c r="BX636" i="12"/>
  <c r="BW636" i="12"/>
  <c r="BV636" i="12"/>
  <c r="BU636" i="12"/>
  <c r="BT636" i="12"/>
  <c r="BS636" i="12"/>
  <c r="BR636" i="12"/>
  <c r="BQ636" i="12"/>
  <c r="BP636" i="12"/>
  <c r="BO636" i="12"/>
  <c r="BN636" i="12"/>
  <c r="BM636" i="12"/>
  <c r="BL636" i="12"/>
  <c r="BK636" i="12"/>
  <c r="BJ636" i="12"/>
  <c r="BI636" i="12"/>
  <c r="BH636" i="12"/>
  <c r="BG636" i="12"/>
  <c r="BF636" i="12"/>
  <c r="BX635" i="12"/>
  <c r="BW635" i="12"/>
  <c r="BV635" i="12"/>
  <c r="BU635" i="12"/>
  <c r="BT635" i="12"/>
  <c r="BS635" i="12"/>
  <c r="BR635" i="12"/>
  <c r="BQ635" i="12"/>
  <c r="BP635" i="12"/>
  <c r="BO635" i="12"/>
  <c r="BN635" i="12"/>
  <c r="BM635" i="12"/>
  <c r="BL635" i="12"/>
  <c r="BK635" i="12"/>
  <c r="BJ635" i="12"/>
  <c r="BI635" i="12"/>
  <c r="BH635" i="12"/>
  <c r="BG635" i="12"/>
  <c r="BF635" i="12"/>
  <c r="BX634" i="12"/>
  <c r="BW634" i="12"/>
  <c r="BV634" i="12"/>
  <c r="BU634" i="12"/>
  <c r="BT634" i="12"/>
  <c r="BS634" i="12"/>
  <c r="BR634" i="12"/>
  <c r="BQ634" i="12"/>
  <c r="BP634" i="12"/>
  <c r="BO634" i="12"/>
  <c r="BN634" i="12"/>
  <c r="BM634" i="12"/>
  <c r="BL634" i="12"/>
  <c r="BK634" i="12"/>
  <c r="BJ634" i="12"/>
  <c r="BI634" i="12"/>
  <c r="BH634" i="12"/>
  <c r="BG634" i="12"/>
  <c r="BF634" i="12"/>
  <c r="BX633" i="12"/>
  <c r="BW633" i="12"/>
  <c r="BV633" i="12"/>
  <c r="BU633" i="12"/>
  <c r="BT633" i="12"/>
  <c r="BS633" i="12"/>
  <c r="BR633" i="12"/>
  <c r="BQ633" i="12"/>
  <c r="BP633" i="12"/>
  <c r="BO633" i="12"/>
  <c r="BN633" i="12"/>
  <c r="BM633" i="12"/>
  <c r="BL633" i="12"/>
  <c r="BK633" i="12"/>
  <c r="BJ633" i="12"/>
  <c r="BI633" i="12"/>
  <c r="BH633" i="12"/>
  <c r="BG633" i="12"/>
  <c r="BF633" i="12"/>
  <c r="BX632" i="12"/>
  <c r="BW632" i="12"/>
  <c r="BV632" i="12"/>
  <c r="BU632" i="12"/>
  <c r="BT632" i="12"/>
  <c r="BS632" i="12"/>
  <c r="BR632" i="12"/>
  <c r="BQ632" i="12"/>
  <c r="BP632" i="12"/>
  <c r="BO632" i="12"/>
  <c r="BN632" i="12"/>
  <c r="BM632" i="12"/>
  <c r="BL632" i="12"/>
  <c r="BK632" i="12"/>
  <c r="BJ632" i="12"/>
  <c r="BI632" i="12"/>
  <c r="BH632" i="12"/>
  <c r="BG632" i="12"/>
  <c r="BF632" i="12"/>
  <c r="BX631" i="12"/>
  <c r="BW631" i="12"/>
  <c r="BV631" i="12"/>
  <c r="BU631" i="12"/>
  <c r="BT631" i="12"/>
  <c r="BS631" i="12"/>
  <c r="BR631" i="12"/>
  <c r="BQ631" i="12"/>
  <c r="BP631" i="12"/>
  <c r="BO631" i="12"/>
  <c r="BN631" i="12"/>
  <c r="BM631" i="12"/>
  <c r="BL631" i="12"/>
  <c r="BK631" i="12"/>
  <c r="BJ631" i="12"/>
  <c r="BI631" i="12"/>
  <c r="BH631" i="12"/>
  <c r="BG631" i="12"/>
  <c r="BF631" i="12"/>
  <c r="BX630" i="12"/>
  <c r="BW630" i="12"/>
  <c r="BV630" i="12"/>
  <c r="BU630" i="12"/>
  <c r="BT630" i="12"/>
  <c r="BS630" i="12"/>
  <c r="BR630" i="12"/>
  <c r="BQ630" i="12"/>
  <c r="BP630" i="12"/>
  <c r="BO630" i="12"/>
  <c r="BN630" i="12"/>
  <c r="BM630" i="12"/>
  <c r="BL630" i="12"/>
  <c r="BK630" i="12"/>
  <c r="BJ630" i="12"/>
  <c r="BI630" i="12"/>
  <c r="BH630" i="12"/>
  <c r="BG630" i="12"/>
  <c r="BF630" i="12"/>
  <c r="BX629" i="12"/>
  <c r="BW629" i="12"/>
  <c r="BV629" i="12"/>
  <c r="BU629" i="12"/>
  <c r="BT629" i="12"/>
  <c r="BS629" i="12"/>
  <c r="BR629" i="12"/>
  <c r="BQ629" i="12"/>
  <c r="BP629" i="12"/>
  <c r="BO629" i="12"/>
  <c r="BN629" i="12"/>
  <c r="BM629" i="12"/>
  <c r="BL629" i="12"/>
  <c r="BK629" i="12"/>
  <c r="BJ629" i="12"/>
  <c r="BI629" i="12"/>
  <c r="BH629" i="12"/>
  <c r="BG629" i="12"/>
  <c r="BF629" i="12"/>
  <c r="BX628" i="12"/>
  <c r="BW628" i="12"/>
  <c r="BV628" i="12"/>
  <c r="BU628" i="12"/>
  <c r="BT628" i="12"/>
  <c r="BS628" i="12"/>
  <c r="BR628" i="12"/>
  <c r="BQ628" i="12"/>
  <c r="BP628" i="12"/>
  <c r="BO628" i="12"/>
  <c r="BN628" i="12"/>
  <c r="BM628" i="12"/>
  <c r="BL628" i="12"/>
  <c r="BK628" i="12"/>
  <c r="BJ628" i="12"/>
  <c r="BI628" i="12"/>
  <c r="BH628" i="12"/>
  <c r="BG628" i="12"/>
  <c r="BF628" i="12"/>
  <c r="BX627" i="12"/>
  <c r="BW627" i="12"/>
  <c r="BV627" i="12"/>
  <c r="BU627" i="12"/>
  <c r="BT627" i="12"/>
  <c r="BS627" i="12"/>
  <c r="BR627" i="12"/>
  <c r="BQ627" i="12"/>
  <c r="BP627" i="12"/>
  <c r="BO627" i="12"/>
  <c r="BN627" i="12"/>
  <c r="BM627" i="12"/>
  <c r="BL627" i="12"/>
  <c r="BK627" i="12"/>
  <c r="BJ627" i="12"/>
  <c r="BI627" i="12"/>
  <c r="BH627" i="12"/>
  <c r="BG627" i="12"/>
  <c r="BF627" i="12"/>
  <c r="BX626" i="12"/>
  <c r="BW626" i="12"/>
  <c r="BV626" i="12"/>
  <c r="BU626" i="12"/>
  <c r="BT626" i="12"/>
  <c r="BS626" i="12"/>
  <c r="BR626" i="12"/>
  <c r="BQ626" i="12"/>
  <c r="BP626" i="12"/>
  <c r="BO626" i="12"/>
  <c r="BN626" i="12"/>
  <c r="BM626" i="12"/>
  <c r="BL626" i="12"/>
  <c r="BK626" i="12"/>
  <c r="BJ626" i="12"/>
  <c r="BI626" i="12"/>
  <c r="BH626" i="12"/>
  <c r="BG626" i="12"/>
  <c r="BF626" i="12"/>
  <c r="BX625" i="12"/>
  <c r="BW625" i="12"/>
  <c r="BV625" i="12"/>
  <c r="BU625" i="12"/>
  <c r="BT625" i="12"/>
  <c r="BS625" i="12"/>
  <c r="BR625" i="12"/>
  <c r="BQ625" i="12"/>
  <c r="BP625" i="12"/>
  <c r="BO625" i="12"/>
  <c r="BN625" i="12"/>
  <c r="BM625" i="12"/>
  <c r="BL625" i="12"/>
  <c r="BK625" i="12"/>
  <c r="BJ625" i="12"/>
  <c r="BI625" i="12"/>
  <c r="BH625" i="12"/>
  <c r="BG625" i="12"/>
  <c r="BF625" i="12"/>
  <c r="BX624" i="12"/>
  <c r="BW624" i="12"/>
  <c r="BV624" i="12"/>
  <c r="BU624" i="12"/>
  <c r="BT624" i="12"/>
  <c r="BS624" i="12"/>
  <c r="BR624" i="12"/>
  <c r="BQ624" i="12"/>
  <c r="BP624" i="12"/>
  <c r="BO624" i="12"/>
  <c r="BN624" i="12"/>
  <c r="BM624" i="12"/>
  <c r="BL624" i="12"/>
  <c r="BK624" i="12"/>
  <c r="BJ624" i="12"/>
  <c r="BI624" i="12"/>
  <c r="BH624" i="12"/>
  <c r="BG624" i="12"/>
  <c r="BF624" i="12"/>
  <c r="BX623" i="12"/>
  <c r="BW623" i="12"/>
  <c r="BV623" i="12"/>
  <c r="BU623" i="12"/>
  <c r="BT623" i="12"/>
  <c r="BS623" i="12"/>
  <c r="BR623" i="12"/>
  <c r="BQ623" i="12"/>
  <c r="BP623" i="12"/>
  <c r="BO623" i="12"/>
  <c r="BN623" i="12"/>
  <c r="BM623" i="12"/>
  <c r="BL623" i="12"/>
  <c r="BK623" i="12"/>
  <c r="BJ623" i="12"/>
  <c r="BI623" i="12"/>
  <c r="BH623" i="12"/>
  <c r="BG623" i="12"/>
  <c r="BF623" i="12"/>
  <c r="BX622" i="12"/>
  <c r="BW622" i="12"/>
  <c r="BV622" i="12"/>
  <c r="BU622" i="12"/>
  <c r="BT622" i="12"/>
  <c r="BS622" i="12"/>
  <c r="BR622" i="12"/>
  <c r="BQ622" i="12"/>
  <c r="BP622" i="12"/>
  <c r="BO622" i="12"/>
  <c r="BN622" i="12"/>
  <c r="BM622" i="12"/>
  <c r="BL622" i="12"/>
  <c r="BK622" i="12"/>
  <c r="BJ622" i="12"/>
  <c r="BI622" i="12"/>
  <c r="BH622" i="12"/>
  <c r="BG622" i="12"/>
  <c r="BF622" i="12"/>
  <c r="BX621" i="12"/>
  <c r="BW621" i="12"/>
  <c r="BV621" i="12"/>
  <c r="BU621" i="12"/>
  <c r="BT621" i="12"/>
  <c r="BS621" i="12"/>
  <c r="BR621" i="12"/>
  <c r="BQ621" i="12"/>
  <c r="BP621" i="12"/>
  <c r="BO621" i="12"/>
  <c r="BN621" i="12"/>
  <c r="BM621" i="12"/>
  <c r="BL621" i="12"/>
  <c r="BK621" i="12"/>
  <c r="BJ621" i="12"/>
  <c r="BI621" i="12"/>
  <c r="BH621" i="12"/>
  <c r="BG621" i="12"/>
  <c r="BF621" i="12"/>
  <c r="BX620" i="12"/>
  <c r="BW620" i="12"/>
  <c r="BV620" i="12"/>
  <c r="BU620" i="12"/>
  <c r="BT620" i="12"/>
  <c r="BS620" i="12"/>
  <c r="BR620" i="12"/>
  <c r="BQ620" i="12"/>
  <c r="BP620" i="12"/>
  <c r="BO620" i="12"/>
  <c r="BN620" i="12"/>
  <c r="BM620" i="12"/>
  <c r="BL620" i="12"/>
  <c r="BK620" i="12"/>
  <c r="BJ620" i="12"/>
  <c r="BI620" i="12"/>
  <c r="BH620" i="12"/>
  <c r="BG620" i="12"/>
  <c r="BF620" i="12"/>
  <c r="BX619" i="12"/>
  <c r="BW619" i="12"/>
  <c r="BV619" i="12"/>
  <c r="BU619" i="12"/>
  <c r="BT619" i="12"/>
  <c r="BS619" i="12"/>
  <c r="BR619" i="12"/>
  <c r="BQ619" i="12"/>
  <c r="BP619" i="12"/>
  <c r="BO619" i="12"/>
  <c r="BN619" i="12"/>
  <c r="BM619" i="12"/>
  <c r="BL619" i="12"/>
  <c r="BK619" i="12"/>
  <c r="BJ619" i="12"/>
  <c r="BI619" i="12"/>
  <c r="BH619" i="12"/>
  <c r="BG619" i="12"/>
  <c r="BF619" i="12"/>
  <c r="BX618" i="12"/>
  <c r="BW618" i="12"/>
  <c r="BV618" i="12"/>
  <c r="BU618" i="12"/>
  <c r="BT618" i="12"/>
  <c r="BS618" i="12"/>
  <c r="BR618" i="12"/>
  <c r="BQ618" i="12"/>
  <c r="BP618" i="12"/>
  <c r="BO618" i="12"/>
  <c r="BN618" i="12"/>
  <c r="BM618" i="12"/>
  <c r="BL618" i="12"/>
  <c r="BK618" i="12"/>
  <c r="BJ618" i="12"/>
  <c r="BI618" i="12"/>
  <c r="BH618" i="12"/>
  <c r="BG618" i="12"/>
  <c r="BF618" i="12"/>
  <c r="BX617" i="12"/>
  <c r="BW617" i="12"/>
  <c r="BV617" i="12"/>
  <c r="BU617" i="12"/>
  <c r="BT617" i="12"/>
  <c r="BS617" i="12"/>
  <c r="BR617" i="12"/>
  <c r="BQ617" i="12"/>
  <c r="BP617" i="12"/>
  <c r="BO617" i="12"/>
  <c r="BN617" i="12"/>
  <c r="BM617" i="12"/>
  <c r="BL617" i="12"/>
  <c r="BK617" i="12"/>
  <c r="BJ617" i="12"/>
  <c r="BI617" i="12"/>
  <c r="BH617" i="12"/>
  <c r="BG617" i="12"/>
  <c r="BF617" i="12"/>
  <c r="BX616" i="12"/>
  <c r="BW616" i="12"/>
  <c r="BV616" i="12"/>
  <c r="BU616" i="12"/>
  <c r="BT616" i="12"/>
  <c r="BS616" i="12"/>
  <c r="BR616" i="12"/>
  <c r="BQ616" i="12"/>
  <c r="BP616" i="12"/>
  <c r="BO616" i="12"/>
  <c r="BN616" i="12"/>
  <c r="BM616" i="12"/>
  <c r="BL616" i="12"/>
  <c r="BK616" i="12"/>
  <c r="BJ616" i="12"/>
  <c r="BI616" i="12"/>
  <c r="BH616" i="12"/>
  <c r="BG616" i="12"/>
  <c r="BF616" i="12"/>
  <c r="BX615" i="12"/>
  <c r="BW615" i="12"/>
  <c r="BV615" i="12"/>
  <c r="BU615" i="12"/>
  <c r="BT615" i="12"/>
  <c r="BS615" i="12"/>
  <c r="BR615" i="12"/>
  <c r="BQ615" i="12"/>
  <c r="BP615" i="12"/>
  <c r="BO615" i="12"/>
  <c r="BN615" i="12"/>
  <c r="BM615" i="12"/>
  <c r="BL615" i="12"/>
  <c r="BK615" i="12"/>
  <c r="BJ615" i="12"/>
  <c r="BI615" i="12"/>
  <c r="BH615" i="12"/>
  <c r="BG615" i="12"/>
  <c r="BF615" i="12"/>
  <c r="BX614" i="12"/>
  <c r="BW614" i="12"/>
  <c r="BV614" i="12"/>
  <c r="BU614" i="12"/>
  <c r="BT614" i="12"/>
  <c r="BS614" i="12"/>
  <c r="BR614" i="12"/>
  <c r="BQ614" i="12"/>
  <c r="BP614" i="12"/>
  <c r="BO614" i="12"/>
  <c r="BN614" i="12"/>
  <c r="BM614" i="12"/>
  <c r="BL614" i="12"/>
  <c r="BK614" i="12"/>
  <c r="BJ614" i="12"/>
  <c r="BI614" i="12"/>
  <c r="BH614" i="12"/>
  <c r="BG614" i="12"/>
  <c r="BF614" i="12"/>
  <c r="BX613" i="12"/>
  <c r="BW613" i="12"/>
  <c r="BV613" i="12"/>
  <c r="BU613" i="12"/>
  <c r="BT613" i="12"/>
  <c r="BS613" i="12"/>
  <c r="BR613" i="12"/>
  <c r="BQ613" i="12"/>
  <c r="BP613" i="12"/>
  <c r="BO613" i="12"/>
  <c r="BN613" i="12"/>
  <c r="BM613" i="12"/>
  <c r="BL613" i="12"/>
  <c r="BK613" i="12"/>
  <c r="BJ613" i="12"/>
  <c r="BI613" i="12"/>
  <c r="BH613" i="12"/>
  <c r="BG613" i="12"/>
  <c r="BF613" i="12"/>
  <c r="BX612" i="12"/>
  <c r="BW612" i="12"/>
  <c r="BV612" i="12"/>
  <c r="BU612" i="12"/>
  <c r="BT612" i="12"/>
  <c r="BS612" i="12"/>
  <c r="BR612" i="12"/>
  <c r="BQ612" i="12"/>
  <c r="BP612" i="12"/>
  <c r="BO612" i="12"/>
  <c r="BN612" i="12"/>
  <c r="BM612" i="12"/>
  <c r="BL612" i="12"/>
  <c r="BK612" i="12"/>
  <c r="BJ612" i="12"/>
  <c r="BI612" i="12"/>
  <c r="BH612" i="12"/>
  <c r="BG612" i="12"/>
  <c r="BF612" i="12"/>
  <c r="BX611" i="12"/>
  <c r="BW611" i="12"/>
  <c r="BV611" i="12"/>
  <c r="BU611" i="12"/>
  <c r="BT611" i="12"/>
  <c r="BS611" i="12"/>
  <c r="BR611" i="12"/>
  <c r="BQ611" i="12"/>
  <c r="BP611" i="12"/>
  <c r="BO611" i="12"/>
  <c r="BN611" i="12"/>
  <c r="BM611" i="12"/>
  <c r="BL611" i="12"/>
  <c r="BK611" i="12"/>
  <c r="BJ611" i="12"/>
  <c r="BI611" i="12"/>
  <c r="BH611" i="12"/>
  <c r="BG611" i="12"/>
  <c r="BF611" i="12"/>
  <c r="BX610" i="12"/>
  <c r="BW610" i="12"/>
  <c r="BV610" i="12"/>
  <c r="BU610" i="12"/>
  <c r="BT610" i="12"/>
  <c r="BS610" i="12"/>
  <c r="BR610" i="12"/>
  <c r="BQ610" i="12"/>
  <c r="BP610" i="12"/>
  <c r="BO610" i="12"/>
  <c r="BN610" i="12"/>
  <c r="BM610" i="12"/>
  <c r="BL610" i="12"/>
  <c r="BK610" i="12"/>
  <c r="BJ610" i="12"/>
  <c r="BI610" i="12"/>
  <c r="BH610" i="12"/>
  <c r="BG610" i="12"/>
  <c r="BF610" i="12"/>
  <c r="BX609" i="12"/>
  <c r="BW609" i="12"/>
  <c r="BV609" i="12"/>
  <c r="BU609" i="12"/>
  <c r="BT609" i="12"/>
  <c r="BS609" i="12"/>
  <c r="BR609" i="12"/>
  <c r="BQ609" i="12"/>
  <c r="BP609" i="12"/>
  <c r="BO609" i="12"/>
  <c r="BN609" i="12"/>
  <c r="BM609" i="12"/>
  <c r="BL609" i="12"/>
  <c r="BK609" i="12"/>
  <c r="BJ609" i="12"/>
  <c r="BI609" i="12"/>
  <c r="BH609" i="12"/>
  <c r="BG609" i="12"/>
  <c r="BF609" i="12"/>
  <c r="BX608" i="12"/>
  <c r="BW608" i="12"/>
  <c r="BV608" i="12"/>
  <c r="BU608" i="12"/>
  <c r="BT608" i="12"/>
  <c r="BS608" i="12"/>
  <c r="BR608" i="12"/>
  <c r="BQ608" i="12"/>
  <c r="BP608" i="12"/>
  <c r="BO608" i="12"/>
  <c r="BN608" i="12"/>
  <c r="BM608" i="12"/>
  <c r="BL608" i="12"/>
  <c r="BK608" i="12"/>
  <c r="BJ608" i="12"/>
  <c r="BI608" i="12"/>
  <c r="BH608" i="12"/>
  <c r="BG608" i="12"/>
  <c r="BF608" i="12"/>
  <c r="BX607" i="12"/>
  <c r="BW607" i="12"/>
  <c r="BV607" i="12"/>
  <c r="BU607" i="12"/>
  <c r="BT607" i="12"/>
  <c r="BS607" i="12"/>
  <c r="BR607" i="12"/>
  <c r="BQ607" i="12"/>
  <c r="BP607" i="12"/>
  <c r="BO607" i="12"/>
  <c r="BN607" i="12"/>
  <c r="BM607" i="12"/>
  <c r="BL607" i="12"/>
  <c r="BK607" i="12"/>
  <c r="BJ607" i="12"/>
  <c r="BI607" i="12"/>
  <c r="BH607" i="12"/>
  <c r="BG607" i="12"/>
  <c r="BF607" i="12"/>
  <c r="BX606" i="12"/>
  <c r="BW606" i="12"/>
  <c r="BV606" i="12"/>
  <c r="BU606" i="12"/>
  <c r="BT606" i="12"/>
  <c r="BS606" i="12"/>
  <c r="BR606" i="12"/>
  <c r="BQ606" i="12"/>
  <c r="BP606" i="12"/>
  <c r="BO606" i="12"/>
  <c r="BN606" i="12"/>
  <c r="BM606" i="12"/>
  <c r="BL606" i="12"/>
  <c r="BK606" i="12"/>
  <c r="BJ606" i="12"/>
  <c r="BI606" i="12"/>
  <c r="BH606" i="12"/>
  <c r="BG606" i="12"/>
  <c r="BF606" i="12"/>
  <c r="BX605" i="12"/>
  <c r="BW605" i="12"/>
  <c r="BV605" i="12"/>
  <c r="BU605" i="12"/>
  <c r="BT605" i="12"/>
  <c r="BS605" i="12"/>
  <c r="BR605" i="12"/>
  <c r="BQ605" i="12"/>
  <c r="BP605" i="12"/>
  <c r="BO605" i="12"/>
  <c r="BN605" i="12"/>
  <c r="BM605" i="12"/>
  <c r="BL605" i="12"/>
  <c r="BK605" i="12"/>
  <c r="BJ605" i="12"/>
  <c r="BI605" i="12"/>
  <c r="BH605" i="12"/>
  <c r="BG605" i="12"/>
  <c r="BF605" i="12"/>
  <c r="BX604" i="12"/>
  <c r="BW604" i="12"/>
  <c r="BV604" i="12"/>
  <c r="BU604" i="12"/>
  <c r="BT604" i="12"/>
  <c r="BS604" i="12"/>
  <c r="BR604" i="12"/>
  <c r="BQ604" i="12"/>
  <c r="BP604" i="12"/>
  <c r="BO604" i="12"/>
  <c r="BN604" i="12"/>
  <c r="BM604" i="12"/>
  <c r="BL604" i="12"/>
  <c r="BK604" i="12"/>
  <c r="BJ604" i="12"/>
  <c r="BI604" i="12"/>
  <c r="BH604" i="12"/>
  <c r="BG604" i="12"/>
  <c r="BF604" i="12"/>
  <c r="BX603" i="12"/>
  <c r="BW603" i="12"/>
  <c r="BV603" i="12"/>
  <c r="BU603" i="12"/>
  <c r="BT603" i="12"/>
  <c r="BS603" i="12"/>
  <c r="BR603" i="12"/>
  <c r="BQ603" i="12"/>
  <c r="BP603" i="12"/>
  <c r="BO603" i="12"/>
  <c r="BN603" i="12"/>
  <c r="BM603" i="12"/>
  <c r="BL603" i="12"/>
  <c r="BK603" i="12"/>
  <c r="BJ603" i="12"/>
  <c r="BI603" i="12"/>
  <c r="BH603" i="12"/>
  <c r="BG603" i="12"/>
  <c r="BF603" i="12"/>
  <c r="BX602" i="12"/>
  <c r="BW602" i="12"/>
  <c r="BV602" i="12"/>
  <c r="BU602" i="12"/>
  <c r="BT602" i="12"/>
  <c r="BS602" i="12"/>
  <c r="BR602" i="12"/>
  <c r="BQ602" i="12"/>
  <c r="BP602" i="12"/>
  <c r="BO602" i="12"/>
  <c r="BN602" i="12"/>
  <c r="BM602" i="12"/>
  <c r="BL602" i="12"/>
  <c r="BK602" i="12"/>
  <c r="BJ602" i="12"/>
  <c r="BI602" i="12"/>
  <c r="BH602" i="12"/>
  <c r="BG602" i="12"/>
  <c r="BF602" i="12"/>
  <c r="BX601" i="12"/>
  <c r="BW601" i="12"/>
  <c r="BV601" i="12"/>
  <c r="BU601" i="12"/>
  <c r="BT601" i="12"/>
  <c r="BS601" i="12"/>
  <c r="BR601" i="12"/>
  <c r="BQ601" i="12"/>
  <c r="BP601" i="12"/>
  <c r="BO601" i="12"/>
  <c r="BN601" i="12"/>
  <c r="BM601" i="12"/>
  <c r="BL601" i="12"/>
  <c r="BK601" i="12"/>
  <c r="BJ601" i="12"/>
  <c r="BI601" i="12"/>
  <c r="BH601" i="12"/>
  <c r="BG601" i="12"/>
  <c r="BF601" i="12"/>
  <c r="BX600" i="12"/>
  <c r="BW600" i="12"/>
  <c r="BV600" i="12"/>
  <c r="BU600" i="12"/>
  <c r="BT600" i="12"/>
  <c r="BS600" i="12"/>
  <c r="BR600" i="12"/>
  <c r="BQ600" i="12"/>
  <c r="BP600" i="12"/>
  <c r="BO600" i="12"/>
  <c r="BN600" i="12"/>
  <c r="BM600" i="12"/>
  <c r="BL600" i="12"/>
  <c r="BK600" i="12"/>
  <c r="BJ600" i="12"/>
  <c r="BI600" i="12"/>
  <c r="BH600" i="12"/>
  <c r="BG600" i="12"/>
  <c r="BF600" i="12"/>
  <c r="BX599" i="12"/>
  <c r="BW599" i="12"/>
  <c r="BV599" i="12"/>
  <c r="BU599" i="12"/>
  <c r="BT599" i="12"/>
  <c r="BS599" i="12"/>
  <c r="BR599" i="12"/>
  <c r="BQ599" i="12"/>
  <c r="BP599" i="12"/>
  <c r="BO599" i="12"/>
  <c r="BN599" i="12"/>
  <c r="BM599" i="12"/>
  <c r="BL599" i="12"/>
  <c r="BK599" i="12"/>
  <c r="BJ599" i="12"/>
  <c r="BI599" i="12"/>
  <c r="BH599" i="12"/>
  <c r="BG599" i="12"/>
  <c r="BF599" i="12"/>
  <c r="BX598" i="12"/>
  <c r="BW598" i="12"/>
  <c r="BV598" i="12"/>
  <c r="BU598" i="12"/>
  <c r="BT598" i="12"/>
  <c r="BS598" i="12"/>
  <c r="BR598" i="12"/>
  <c r="BQ598" i="12"/>
  <c r="BP598" i="12"/>
  <c r="BO598" i="12"/>
  <c r="BN598" i="12"/>
  <c r="BM598" i="12"/>
  <c r="BL598" i="12"/>
  <c r="BK598" i="12"/>
  <c r="BJ598" i="12"/>
  <c r="BI598" i="12"/>
  <c r="BH598" i="12"/>
  <c r="BG598" i="12"/>
  <c r="BF598" i="12"/>
  <c r="BX597" i="12"/>
  <c r="BW597" i="12"/>
  <c r="BV597" i="12"/>
  <c r="BU597" i="12"/>
  <c r="BT597" i="12"/>
  <c r="BS597" i="12"/>
  <c r="BR597" i="12"/>
  <c r="BQ597" i="12"/>
  <c r="BP597" i="12"/>
  <c r="BO597" i="12"/>
  <c r="BN597" i="12"/>
  <c r="BM597" i="12"/>
  <c r="BL597" i="12"/>
  <c r="BK597" i="12"/>
  <c r="BJ597" i="12"/>
  <c r="BI597" i="12"/>
  <c r="BH597" i="12"/>
  <c r="BG597" i="12"/>
  <c r="BF597" i="12"/>
  <c r="BX596" i="12"/>
  <c r="BW596" i="12"/>
  <c r="BV596" i="12"/>
  <c r="BU596" i="12"/>
  <c r="BT596" i="12"/>
  <c r="BS596" i="12"/>
  <c r="BR596" i="12"/>
  <c r="BQ596" i="12"/>
  <c r="BP596" i="12"/>
  <c r="BO596" i="12"/>
  <c r="BN596" i="12"/>
  <c r="BM596" i="12"/>
  <c r="BL596" i="12"/>
  <c r="BK596" i="12"/>
  <c r="BJ596" i="12"/>
  <c r="BI596" i="12"/>
  <c r="BH596" i="12"/>
  <c r="BG596" i="12"/>
  <c r="BF596" i="12"/>
  <c r="BX595" i="12"/>
  <c r="BW595" i="12"/>
  <c r="BV595" i="12"/>
  <c r="BU595" i="12"/>
  <c r="BT595" i="12"/>
  <c r="BS595" i="12"/>
  <c r="BR595" i="12"/>
  <c r="BQ595" i="12"/>
  <c r="BP595" i="12"/>
  <c r="BO595" i="12"/>
  <c r="BN595" i="12"/>
  <c r="BM595" i="12"/>
  <c r="BL595" i="12"/>
  <c r="BK595" i="12"/>
  <c r="BJ595" i="12"/>
  <c r="BI595" i="12"/>
  <c r="BH595" i="12"/>
  <c r="BG595" i="12"/>
  <c r="BF595" i="12"/>
  <c r="BX594" i="12"/>
  <c r="BW594" i="12"/>
  <c r="BV594" i="12"/>
  <c r="BU594" i="12"/>
  <c r="BT594" i="12"/>
  <c r="BS594" i="12"/>
  <c r="BR594" i="12"/>
  <c r="BQ594" i="12"/>
  <c r="BP594" i="12"/>
  <c r="BO594" i="12"/>
  <c r="BN594" i="12"/>
  <c r="BM594" i="12"/>
  <c r="BL594" i="12"/>
  <c r="BK594" i="12"/>
  <c r="BJ594" i="12"/>
  <c r="BI594" i="12"/>
  <c r="BH594" i="12"/>
  <c r="BG594" i="12"/>
  <c r="BF594" i="12"/>
  <c r="BX593" i="12"/>
  <c r="BW593" i="12"/>
  <c r="BV593" i="12"/>
  <c r="BU593" i="12"/>
  <c r="BT593" i="12"/>
  <c r="BS593" i="12"/>
  <c r="BR593" i="12"/>
  <c r="BQ593" i="12"/>
  <c r="BP593" i="12"/>
  <c r="BO593" i="12"/>
  <c r="BN593" i="12"/>
  <c r="BM593" i="12"/>
  <c r="BL593" i="12"/>
  <c r="BK593" i="12"/>
  <c r="BJ593" i="12"/>
  <c r="BI593" i="12"/>
  <c r="BH593" i="12"/>
  <c r="BG593" i="12"/>
  <c r="BF593" i="12"/>
  <c r="BX592" i="12"/>
  <c r="BW592" i="12"/>
  <c r="BV592" i="12"/>
  <c r="BU592" i="12"/>
  <c r="BT592" i="12"/>
  <c r="BS592" i="12"/>
  <c r="BR592" i="12"/>
  <c r="BQ592" i="12"/>
  <c r="BP592" i="12"/>
  <c r="BO592" i="12"/>
  <c r="BN592" i="12"/>
  <c r="BM592" i="12"/>
  <c r="BL592" i="12"/>
  <c r="BK592" i="12"/>
  <c r="BJ592" i="12"/>
  <c r="BI592" i="12"/>
  <c r="BH592" i="12"/>
  <c r="BG592" i="12"/>
  <c r="BF592" i="12"/>
  <c r="BX591" i="12"/>
  <c r="BW591" i="12"/>
  <c r="BV591" i="12"/>
  <c r="BU591" i="12"/>
  <c r="BT591" i="12"/>
  <c r="BS591" i="12"/>
  <c r="BR591" i="12"/>
  <c r="BQ591" i="12"/>
  <c r="BP591" i="12"/>
  <c r="BO591" i="12"/>
  <c r="BN591" i="12"/>
  <c r="BM591" i="12"/>
  <c r="BL591" i="12"/>
  <c r="BK591" i="12"/>
  <c r="BJ591" i="12"/>
  <c r="BI591" i="12"/>
  <c r="BH591" i="12"/>
  <c r="BG591" i="12"/>
  <c r="BF591" i="12"/>
  <c r="BX590" i="12"/>
  <c r="BW590" i="12"/>
  <c r="BV590" i="12"/>
  <c r="BU590" i="12"/>
  <c r="BT590" i="12"/>
  <c r="BS590" i="12"/>
  <c r="BR590" i="12"/>
  <c r="BQ590" i="12"/>
  <c r="BP590" i="12"/>
  <c r="BO590" i="12"/>
  <c r="BN590" i="12"/>
  <c r="BM590" i="12"/>
  <c r="BL590" i="12"/>
  <c r="BK590" i="12"/>
  <c r="BJ590" i="12"/>
  <c r="BI590" i="12"/>
  <c r="BH590" i="12"/>
  <c r="BG590" i="12"/>
  <c r="BF590" i="12"/>
  <c r="BX589" i="12"/>
  <c r="BW589" i="12"/>
  <c r="BV589" i="12"/>
  <c r="BU589" i="12"/>
  <c r="BT589" i="12"/>
  <c r="BS589" i="12"/>
  <c r="BR589" i="12"/>
  <c r="BQ589" i="12"/>
  <c r="BP589" i="12"/>
  <c r="BO589" i="12"/>
  <c r="BN589" i="12"/>
  <c r="BM589" i="12"/>
  <c r="BL589" i="12"/>
  <c r="BK589" i="12"/>
  <c r="BJ589" i="12"/>
  <c r="BI589" i="12"/>
  <c r="BH589" i="12"/>
  <c r="BG589" i="12"/>
  <c r="BF589" i="12"/>
  <c r="BX588" i="12"/>
  <c r="BW588" i="12"/>
  <c r="BV588" i="12"/>
  <c r="BU588" i="12"/>
  <c r="BT588" i="12"/>
  <c r="BS588" i="12"/>
  <c r="BR588" i="12"/>
  <c r="BQ588" i="12"/>
  <c r="BP588" i="12"/>
  <c r="BO588" i="12"/>
  <c r="BN588" i="12"/>
  <c r="BM588" i="12"/>
  <c r="BL588" i="12"/>
  <c r="BK588" i="12"/>
  <c r="BJ588" i="12"/>
  <c r="BI588" i="12"/>
  <c r="BH588" i="12"/>
  <c r="BG588" i="12"/>
  <c r="BF588" i="12"/>
  <c r="BX587" i="12"/>
  <c r="BW587" i="12"/>
  <c r="BV587" i="12"/>
  <c r="BU587" i="12"/>
  <c r="BT587" i="12"/>
  <c r="BS587" i="12"/>
  <c r="BR587" i="12"/>
  <c r="BQ587" i="12"/>
  <c r="BP587" i="12"/>
  <c r="BO587" i="12"/>
  <c r="BN587" i="12"/>
  <c r="BM587" i="12"/>
  <c r="BL587" i="12"/>
  <c r="BK587" i="12"/>
  <c r="BJ587" i="12"/>
  <c r="BI587" i="12"/>
  <c r="BH587" i="12"/>
  <c r="BG587" i="12"/>
  <c r="BF587" i="12"/>
  <c r="BX586" i="12"/>
  <c r="BW586" i="12"/>
  <c r="BV586" i="12"/>
  <c r="BU586" i="12"/>
  <c r="BT586" i="12"/>
  <c r="BS586" i="12"/>
  <c r="BR586" i="12"/>
  <c r="BQ586" i="12"/>
  <c r="BP586" i="12"/>
  <c r="BO586" i="12"/>
  <c r="BN586" i="12"/>
  <c r="BM586" i="12"/>
  <c r="BL586" i="12"/>
  <c r="BK586" i="12"/>
  <c r="BJ586" i="12"/>
  <c r="BI586" i="12"/>
  <c r="BH586" i="12"/>
  <c r="BG586" i="12"/>
  <c r="BF586" i="12"/>
  <c r="BX585" i="12"/>
  <c r="BW585" i="12"/>
  <c r="BV585" i="12"/>
  <c r="BU585" i="12"/>
  <c r="BT585" i="12"/>
  <c r="BS585" i="12"/>
  <c r="BR585" i="12"/>
  <c r="BQ585" i="12"/>
  <c r="BP585" i="12"/>
  <c r="BO585" i="12"/>
  <c r="BN585" i="12"/>
  <c r="BM585" i="12"/>
  <c r="BL585" i="12"/>
  <c r="BK585" i="12"/>
  <c r="BJ585" i="12"/>
  <c r="BI585" i="12"/>
  <c r="BH585" i="12"/>
  <c r="BG585" i="12"/>
  <c r="BF585" i="12"/>
  <c r="BX584" i="12"/>
  <c r="BW584" i="12"/>
  <c r="BV584" i="12"/>
  <c r="BU584" i="12"/>
  <c r="BT584" i="12"/>
  <c r="BS584" i="12"/>
  <c r="BR584" i="12"/>
  <c r="BQ584" i="12"/>
  <c r="BP584" i="12"/>
  <c r="BO584" i="12"/>
  <c r="BN584" i="12"/>
  <c r="BM584" i="12"/>
  <c r="BL584" i="12"/>
  <c r="BK584" i="12"/>
  <c r="BJ584" i="12"/>
  <c r="BI584" i="12"/>
  <c r="BH584" i="12"/>
  <c r="BG584" i="12"/>
  <c r="BF584" i="12"/>
  <c r="BX583" i="12"/>
  <c r="BW583" i="12"/>
  <c r="BV583" i="12"/>
  <c r="BU583" i="12"/>
  <c r="BT583" i="12"/>
  <c r="BS583" i="12"/>
  <c r="BR583" i="12"/>
  <c r="BQ583" i="12"/>
  <c r="BP583" i="12"/>
  <c r="BO583" i="12"/>
  <c r="BN583" i="12"/>
  <c r="BM583" i="12"/>
  <c r="BL583" i="12"/>
  <c r="BK583" i="12"/>
  <c r="BJ583" i="12"/>
  <c r="BI583" i="12"/>
  <c r="BH583" i="12"/>
  <c r="BG583" i="12"/>
  <c r="BF583" i="12"/>
  <c r="BX582" i="12"/>
  <c r="BW582" i="12"/>
  <c r="BV582" i="12"/>
  <c r="BU582" i="12"/>
  <c r="BT582" i="12"/>
  <c r="BS582" i="12"/>
  <c r="BR582" i="12"/>
  <c r="BQ582" i="12"/>
  <c r="BP582" i="12"/>
  <c r="BO582" i="12"/>
  <c r="BN582" i="12"/>
  <c r="BM582" i="12"/>
  <c r="BL582" i="12"/>
  <c r="BK582" i="12"/>
  <c r="BJ582" i="12"/>
  <c r="BI582" i="12"/>
  <c r="BH582" i="12"/>
  <c r="BG582" i="12"/>
  <c r="BF582" i="12"/>
  <c r="BX581" i="12"/>
  <c r="BW581" i="12"/>
  <c r="BV581" i="12"/>
  <c r="BU581" i="12"/>
  <c r="BT581" i="12"/>
  <c r="BS581" i="12"/>
  <c r="BR581" i="12"/>
  <c r="BQ581" i="12"/>
  <c r="BP581" i="12"/>
  <c r="BO581" i="12"/>
  <c r="BN581" i="12"/>
  <c r="BM581" i="12"/>
  <c r="BL581" i="12"/>
  <c r="BK581" i="12"/>
  <c r="BJ581" i="12"/>
  <c r="BI581" i="12"/>
  <c r="BH581" i="12"/>
  <c r="BG581" i="12"/>
  <c r="BF581" i="12"/>
  <c r="BX580" i="12"/>
  <c r="BW580" i="12"/>
  <c r="BV580" i="12"/>
  <c r="BU580" i="12"/>
  <c r="BT580" i="12"/>
  <c r="BS580" i="12"/>
  <c r="BR580" i="12"/>
  <c r="BQ580" i="12"/>
  <c r="BP580" i="12"/>
  <c r="BO580" i="12"/>
  <c r="BN580" i="12"/>
  <c r="BM580" i="12"/>
  <c r="BL580" i="12"/>
  <c r="BK580" i="12"/>
  <c r="BJ580" i="12"/>
  <c r="BI580" i="12"/>
  <c r="BH580" i="12"/>
  <c r="BG580" i="12"/>
  <c r="BF580" i="12"/>
  <c r="BX579" i="12"/>
  <c r="BW579" i="12"/>
  <c r="BV579" i="12"/>
  <c r="BU579" i="12"/>
  <c r="BT579" i="12"/>
  <c r="BS579" i="12"/>
  <c r="BR579" i="12"/>
  <c r="BQ579" i="12"/>
  <c r="BP579" i="12"/>
  <c r="BO579" i="12"/>
  <c r="BN579" i="12"/>
  <c r="BM579" i="12"/>
  <c r="BL579" i="12"/>
  <c r="BK579" i="12"/>
  <c r="BJ579" i="12"/>
  <c r="BI579" i="12"/>
  <c r="BH579" i="12"/>
  <c r="BG579" i="12"/>
  <c r="BF579" i="12"/>
  <c r="BX578" i="12"/>
  <c r="BW578" i="12"/>
  <c r="BV578" i="12"/>
  <c r="BU578" i="12"/>
  <c r="BT578" i="12"/>
  <c r="BS578" i="12"/>
  <c r="BR578" i="12"/>
  <c r="BQ578" i="12"/>
  <c r="BP578" i="12"/>
  <c r="BO578" i="12"/>
  <c r="BN578" i="12"/>
  <c r="BM578" i="12"/>
  <c r="BL578" i="12"/>
  <c r="BK578" i="12"/>
  <c r="BJ578" i="12"/>
  <c r="BI578" i="12"/>
  <c r="BH578" i="12"/>
  <c r="BG578" i="12"/>
  <c r="BF578" i="12"/>
  <c r="BX577" i="12"/>
  <c r="BW577" i="12"/>
  <c r="BV577" i="12"/>
  <c r="BU577" i="12"/>
  <c r="BT577" i="12"/>
  <c r="BS577" i="12"/>
  <c r="BR577" i="12"/>
  <c r="BQ577" i="12"/>
  <c r="BP577" i="12"/>
  <c r="BO577" i="12"/>
  <c r="BN577" i="12"/>
  <c r="BM577" i="12"/>
  <c r="BL577" i="12"/>
  <c r="BK577" i="12"/>
  <c r="BJ577" i="12"/>
  <c r="BI577" i="12"/>
  <c r="BH577" i="12"/>
  <c r="BG577" i="12"/>
  <c r="BF577" i="12"/>
  <c r="BX576" i="12"/>
  <c r="BW576" i="12"/>
  <c r="BV576" i="12"/>
  <c r="BU576" i="12"/>
  <c r="BT576" i="12"/>
  <c r="BS576" i="12"/>
  <c r="BR576" i="12"/>
  <c r="BQ576" i="12"/>
  <c r="BP576" i="12"/>
  <c r="BO576" i="12"/>
  <c r="BN576" i="12"/>
  <c r="BM576" i="12"/>
  <c r="BL576" i="12"/>
  <c r="BK576" i="12"/>
  <c r="BJ576" i="12"/>
  <c r="BI576" i="12"/>
  <c r="BH576" i="12"/>
  <c r="BG576" i="12"/>
  <c r="BF576" i="12"/>
  <c r="BX575" i="12"/>
  <c r="BW575" i="12"/>
  <c r="BV575" i="12"/>
  <c r="BU575" i="12"/>
  <c r="BT575" i="12"/>
  <c r="BS575" i="12"/>
  <c r="BR575" i="12"/>
  <c r="BQ575" i="12"/>
  <c r="BP575" i="12"/>
  <c r="BO575" i="12"/>
  <c r="BN575" i="12"/>
  <c r="BM575" i="12"/>
  <c r="BL575" i="12"/>
  <c r="BK575" i="12"/>
  <c r="BJ575" i="12"/>
  <c r="BI575" i="12"/>
  <c r="BH575" i="12"/>
  <c r="BG575" i="12"/>
  <c r="BF575" i="12"/>
  <c r="BX574" i="12"/>
  <c r="BW574" i="12"/>
  <c r="BV574" i="12"/>
  <c r="BU574" i="12"/>
  <c r="BT574" i="12"/>
  <c r="BS574" i="12"/>
  <c r="BR574" i="12"/>
  <c r="BQ574" i="12"/>
  <c r="BP574" i="12"/>
  <c r="BO574" i="12"/>
  <c r="BN574" i="12"/>
  <c r="BM574" i="12"/>
  <c r="BL574" i="12"/>
  <c r="BK574" i="12"/>
  <c r="BJ574" i="12"/>
  <c r="BI574" i="12"/>
  <c r="BH574" i="12"/>
  <c r="BG574" i="12"/>
  <c r="BF574" i="12"/>
  <c r="BX573" i="12"/>
  <c r="BW573" i="12"/>
  <c r="BV573" i="12"/>
  <c r="BU573" i="12"/>
  <c r="BT573" i="12"/>
  <c r="BS573" i="12"/>
  <c r="BR573" i="12"/>
  <c r="BQ573" i="12"/>
  <c r="BP573" i="12"/>
  <c r="BO573" i="12"/>
  <c r="BN573" i="12"/>
  <c r="BM573" i="12"/>
  <c r="BL573" i="12"/>
  <c r="BK573" i="12"/>
  <c r="BJ573" i="12"/>
  <c r="BI573" i="12"/>
  <c r="BH573" i="12"/>
  <c r="BG573" i="12"/>
  <c r="BF573" i="12"/>
  <c r="BX572" i="12"/>
  <c r="BW572" i="12"/>
  <c r="BV572" i="12"/>
  <c r="BU572" i="12"/>
  <c r="BT572" i="12"/>
  <c r="BS572" i="12"/>
  <c r="BR572" i="12"/>
  <c r="BQ572" i="12"/>
  <c r="BP572" i="12"/>
  <c r="BO572" i="12"/>
  <c r="BN572" i="12"/>
  <c r="BM572" i="12"/>
  <c r="BL572" i="12"/>
  <c r="BK572" i="12"/>
  <c r="BJ572" i="12"/>
  <c r="BI572" i="12"/>
  <c r="BH572" i="12"/>
  <c r="BG572" i="12"/>
  <c r="BF572" i="12"/>
  <c r="BX571" i="12"/>
  <c r="BW571" i="12"/>
  <c r="BV571" i="12"/>
  <c r="BU571" i="12"/>
  <c r="BT571" i="12"/>
  <c r="BS571" i="12"/>
  <c r="BR571" i="12"/>
  <c r="BQ571" i="12"/>
  <c r="BP571" i="12"/>
  <c r="BO571" i="12"/>
  <c r="BN571" i="12"/>
  <c r="BM571" i="12"/>
  <c r="BL571" i="12"/>
  <c r="BK571" i="12"/>
  <c r="BJ571" i="12"/>
  <c r="BI571" i="12"/>
  <c r="BH571" i="12"/>
  <c r="BG571" i="12"/>
  <c r="BF571" i="12"/>
  <c r="BX570" i="12"/>
  <c r="BW570" i="12"/>
  <c r="BV570" i="12"/>
  <c r="BU570" i="12"/>
  <c r="BT570" i="12"/>
  <c r="BS570" i="12"/>
  <c r="BR570" i="12"/>
  <c r="BQ570" i="12"/>
  <c r="BP570" i="12"/>
  <c r="BO570" i="12"/>
  <c r="BN570" i="12"/>
  <c r="BM570" i="12"/>
  <c r="BL570" i="12"/>
  <c r="BK570" i="12"/>
  <c r="BJ570" i="12"/>
  <c r="BI570" i="12"/>
  <c r="BH570" i="12"/>
  <c r="BG570" i="12"/>
  <c r="BF570" i="12"/>
  <c r="BX569" i="12"/>
  <c r="BW569" i="12"/>
  <c r="BV569" i="12"/>
  <c r="BU569" i="12"/>
  <c r="BT569" i="12"/>
  <c r="BS569" i="12"/>
  <c r="BR569" i="12"/>
  <c r="BQ569" i="12"/>
  <c r="BP569" i="12"/>
  <c r="BO569" i="12"/>
  <c r="BN569" i="12"/>
  <c r="BM569" i="12"/>
  <c r="BL569" i="12"/>
  <c r="BK569" i="12"/>
  <c r="BJ569" i="12"/>
  <c r="BI569" i="12"/>
  <c r="BH569" i="12"/>
  <c r="BG569" i="12"/>
  <c r="BF569" i="12"/>
  <c r="BX568" i="12"/>
  <c r="BW568" i="12"/>
  <c r="BV568" i="12"/>
  <c r="BU568" i="12"/>
  <c r="BT568" i="12"/>
  <c r="BS568" i="12"/>
  <c r="BR568" i="12"/>
  <c r="BQ568" i="12"/>
  <c r="BP568" i="12"/>
  <c r="BO568" i="12"/>
  <c r="BN568" i="12"/>
  <c r="BM568" i="12"/>
  <c r="BL568" i="12"/>
  <c r="BK568" i="12"/>
  <c r="BJ568" i="12"/>
  <c r="BI568" i="12"/>
  <c r="BH568" i="12"/>
  <c r="BG568" i="12"/>
  <c r="BF568" i="12"/>
  <c r="BX567" i="12"/>
  <c r="BW567" i="12"/>
  <c r="BV567" i="12"/>
  <c r="BU567" i="12"/>
  <c r="BT567" i="12"/>
  <c r="BS567" i="12"/>
  <c r="BR567" i="12"/>
  <c r="BQ567" i="12"/>
  <c r="BP567" i="12"/>
  <c r="BO567" i="12"/>
  <c r="BN567" i="12"/>
  <c r="BM567" i="12"/>
  <c r="BL567" i="12"/>
  <c r="BK567" i="12"/>
  <c r="BJ567" i="12"/>
  <c r="BI567" i="12"/>
  <c r="BH567" i="12"/>
  <c r="BG567" i="12"/>
  <c r="BF567" i="12"/>
  <c r="BX566" i="12"/>
  <c r="BW566" i="12"/>
  <c r="BV566" i="12"/>
  <c r="BU566" i="12"/>
  <c r="BT566" i="12"/>
  <c r="BS566" i="12"/>
  <c r="BR566" i="12"/>
  <c r="BQ566" i="12"/>
  <c r="BP566" i="12"/>
  <c r="BO566" i="12"/>
  <c r="BN566" i="12"/>
  <c r="BM566" i="12"/>
  <c r="BL566" i="12"/>
  <c r="BK566" i="12"/>
  <c r="BJ566" i="12"/>
  <c r="BI566" i="12"/>
  <c r="BH566" i="12"/>
  <c r="BG566" i="12"/>
  <c r="BF566" i="12"/>
  <c r="BX565" i="12"/>
  <c r="BW565" i="12"/>
  <c r="BV565" i="12"/>
  <c r="BU565" i="12"/>
  <c r="BT565" i="12"/>
  <c r="BS565" i="12"/>
  <c r="BR565" i="12"/>
  <c r="BQ565" i="12"/>
  <c r="BP565" i="12"/>
  <c r="BO565" i="12"/>
  <c r="BN565" i="12"/>
  <c r="BM565" i="12"/>
  <c r="BL565" i="12"/>
  <c r="BK565" i="12"/>
  <c r="BJ565" i="12"/>
  <c r="BI565" i="12"/>
  <c r="BH565" i="12"/>
  <c r="BG565" i="12"/>
  <c r="BF565" i="12"/>
  <c r="BX564" i="12"/>
  <c r="BW564" i="12"/>
  <c r="BV564" i="12"/>
  <c r="BU564" i="12"/>
  <c r="BT564" i="12"/>
  <c r="BS564" i="12"/>
  <c r="BR564" i="12"/>
  <c r="BQ564" i="12"/>
  <c r="BP564" i="12"/>
  <c r="BO564" i="12"/>
  <c r="BN564" i="12"/>
  <c r="BM564" i="12"/>
  <c r="BL564" i="12"/>
  <c r="BK564" i="12"/>
  <c r="BJ564" i="12"/>
  <c r="BI564" i="12"/>
  <c r="BH564" i="12"/>
  <c r="BG564" i="12"/>
  <c r="BF564" i="12"/>
  <c r="BX563" i="12"/>
  <c r="BW563" i="12"/>
  <c r="BV563" i="12"/>
  <c r="BU563" i="12"/>
  <c r="BT563" i="12"/>
  <c r="BS563" i="12"/>
  <c r="BR563" i="12"/>
  <c r="BQ563" i="12"/>
  <c r="BP563" i="12"/>
  <c r="BO563" i="12"/>
  <c r="BN563" i="12"/>
  <c r="BM563" i="12"/>
  <c r="BL563" i="12"/>
  <c r="BK563" i="12"/>
  <c r="BJ563" i="12"/>
  <c r="BI563" i="12"/>
  <c r="BH563" i="12"/>
  <c r="BG563" i="12"/>
  <c r="BF563" i="12"/>
  <c r="BX562" i="12"/>
  <c r="BW562" i="12"/>
  <c r="BV562" i="12"/>
  <c r="BU562" i="12"/>
  <c r="BT562" i="12"/>
  <c r="BS562" i="12"/>
  <c r="BR562" i="12"/>
  <c r="BQ562" i="12"/>
  <c r="BP562" i="12"/>
  <c r="BO562" i="12"/>
  <c r="BN562" i="12"/>
  <c r="BM562" i="12"/>
  <c r="BL562" i="12"/>
  <c r="BK562" i="12"/>
  <c r="BJ562" i="12"/>
  <c r="BI562" i="12"/>
  <c r="BH562" i="12"/>
  <c r="BG562" i="12"/>
  <c r="BF562" i="12"/>
  <c r="BX561" i="12"/>
  <c r="BW561" i="12"/>
  <c r="BV561" i="12"/>
  <c r="BU561" i="12"/>
  <c r="BT561" i="12"/>
  <c r="BS561" i="12"/>
  <c r="BR561" i="12"/>
  <c r="BQ561" i="12"/>
  <c r="BP561" i="12"/>
  <c r="BO561" i="12"/>
  <c r="BN561" i="12"/>
  <c r="BM561" i="12"/>
  <c r="BL561" i="12"/>
  <c r="BK561" i="12"/>
  <c r="BJ561" i="12"/>
  <c r="BI561" i="12"/>
  <c r="BH561" i="12"/>
  <c r="BG561" i="12"/>
  <c r="BF561" i="12"/>
  <c r="BX560" i="12"/>
  <c r="BW560" i="12"/>
  <c r="BV560" i="12"/>
  <c r="BU560" i="12"/>
  <c r="BT560" i="12"/>
  <c r="BS560" i="12"/>
  <c r="BR560" i="12"/>
  <c r="BQ560" i="12"/>
  <c r="BP560" i="12"/>
  <c r="BO560" i="12"/>
  <c r="BN560" i="12"/>
  <c r="BM560" i="12"/>
  <c r="BL560" i="12"/>
  <c r="BK560" i="12"/>
  <c r="BJ560" i="12"/>
  <c r="BI560" i="12"/>
  <c r="BH560" i="12"/>
  <c r="BG560" i="12"/>
  <c r="BF560" i="12"/>
  <c r="BX559" i="12"/>
  <c r="BW559" i="12"/>
  <c r="BV559" i="12"/>
  <c r="BU559" i="12"/>
  <c r="BT559" i="12"/>
  <c r="BS559" i="12"/>
  <c r="BR559" i="12"/>
  <c r="BQ559" i="12"/>
  <c r="BP559" i="12"/>
  <c r="BO559" i="12"/>
  <c r="BN559" i="12"/>
  <c r="BM559" i="12"/>
  <c r="BL559" i="12"/>
  <c r="BK559" i="12"/>
  <c r="BJ559" i="12"/>
  <c r="BI559" i="12"/>
  <c r="BH559" i="12"/>
  <c r="BG559" i="12"/>
  <c r="BF559" i="12"/>
  <c r="BX558" i="12"/>
  <c r="BW558" i="12"/>
  <c r="BV558" i="12"/>
  <c r="BU558" i="12"/>
  <c r="BT558" i="12"/>
  <c r="BS558" i="12"/>
  <c r="BR558" i="12"/>
  <c r="BQ558" i="12"/>
  <c r="BP558" i="12"/>
  <c r="BO558" i="12"/>
  <c r="BN558" i="12"/>
  <c r="BM558" i="12"/>
  <c r="BL558" i="12"/>
  <c r="BK558" i="12"/>
  <c r="BJ558" i="12"/>
  <c r="BI558" i="12"/>
  <c r="BH558" i="12"/>
  <c r="BG558" i="12"/>
  <c r="BF558" i="12"/>
  <c r="BX557" i="12"/>
  <c r="BW557" i="12"/>
  <c r="BV557" i="12"/>
  <c r="BU557" i="12"/>
  <c r="BT557" i="12"/>
  <c r="BS557" i="12"/>
  <c r="BR557" i="12"/>
  <c r="BQ557" i="12"/>
  <c r="BP557" i="12"/>
  <c r="BO557" i="12"/>
  <c r="BN557" i="12"/>
  <c r="BM557" i="12"/>
  <c r="BL557" i="12"/>
  <c r="BK557" i="12"/>
  <c r="BJ557" i="12"/>
  <c r="BI557" i="12"/>
  <c r="BH557" i="12"/>
  <c r="BG557" i="12"/>
  <c r="BF557" i="12"/>
  <c r="BX556" i="12"/>
  <c r="BW556" i="12"/>
  <c r="BV556" i="12"/>
  <c r="BU556" i="12"/>
  <c r="BT556" i="12"/>
  <c r="BS556" i="12"/>
  <c r="BR556" i="12"/>
  <c r="BQ556" i="12"/>
  <c r="BP556" i="12"/>
  <c r="BO556" i="12"/>
  <c r="BN556" i="12"/>
  <c r="BM556" i="12"/>
  <c r="BL556" i="12"/>
  <c r="BK556" i="12"/>
  <c r="BJ556" i="12"/>
  <c r="BI556" i="12"/>
  <c r="BH556" i="12"/>
  <c r="BG556" i="12"/>
  <c r="BF556" i="12"/>
  <c r="BX555" i="12"/>
  <c r="BW555" i="12"/>
  <c r="BV555" i="12"/>
  <c r="BU555" i="12"/>
  <c r="BT555" i="12"/>
  <c r="BS555" i="12"/>
  <c r="BR555" i="12"/>
  <c r="BQ555" i="12"/>
  <c r="BP555" i="12"/>
  <c r="BO555" i="12"/>
  <c r="BN555" i="12"/>
  <c r="BM555" i="12"/>
  <c r="BL555" i="12"/>
  <c r="BK555" i="12"/>
  <c r="BJ555" i="12"/>
  <c r="BI555" i="12"/>
  <c r="BH555" i="12"/>
  <c r="BG555" i="12"/>
  <c r="BF555" i="12"/>
  <c r="BX554" i="12"/>
  <c r="BW554" i="12"/>
  <c r="BV554" i="12"/>
  <c r="BU554" i="12"/>
  <c r="BT554" i="12"/>
  <c r="BS554" i="12"/>
  <c r="BR554" i="12"/>
  <c r="BQ554" i="12"/>
  <c r="BP554" i="12"/>
  <c r="BO554" i="12"/>
  <c r="BN554" i="12"/>
  <c r="BM554" i="12"/>
  <c r="BL554" i="12"/>
  <c r="BK554" i="12"/>
  <c r="BJ554" i="12"/>
  <c r="BI554" i="12"/>
  <c r="BH554" i="12"/>
  <c r="BG554" i="12"/>
  <c r="BF554" i="12"/>
  <c r="BX553" i="12"/>
  <c r="BW553" i="12"/>
  <c r="BV553" i="12"/>
  <c r="BU553" i="12"/>
  <c r="BT553" i="12"/>
  <c r="BS553" i="12"/>
  <c r="BR553" i="12"/>
  <c r="BQ553" i="12"/>
  <c r="BP553" i="12"/>
  <c r="BO553" i="12"/>
  <c r="BN553" i="12"/>
  <c r="BM553" i="12"/>
  <c r="BL553" i="12"/>
  <c r="BK553" i="12"/>
  <c r="BJ553" i="12"/>
  <c r="BI553" i="12"/>
  <c r="BH553" i="12"/>
  <c r="BG553" i="12"/>
  <c r="BF553" i="12"/>
  <c r="BX552" i="12"/>
  <c r="BW552" i="12"/>
  <c r="BV552" i="12"/>
  <c r="BU552" i="12"/>
  <c r="BT552" i="12"/>
  <c r="BS552" i="12"/>
  <c r="BR552" i="12"/>
  <c r="BQ552" i="12"/>
  <c r="BP552" i="12"/>
  <c r="BO552" i="12"/>
  <c r="BN552" i="12"/>
  <c r="BM552" i="12"/>
  <c r="BL552" i="12"/>
  <c r="BK552" i="12"/>
  <c r="BJ552" i="12"/>
  <c r="BI552" i="12"/>
  <c r="BH552" i="12"/>
  <c r="BG552" i="12"/>
  <c r="BF552" i="12"/>
  <c r="BX551" i="12"/>
  <c r="BW551" i="12"/>
  <c r="BV551" i="12"/>
  <c r="BU551" i="12"/>
  <c r="BT551" i="12"/>
  <c r="BS551" i="12"/>
  <c r="BR551" i="12"/>
  <c r="BQ551" i="12"/>
  <c r="BP551" i="12"/>
  <c r="BO551" i="12"/>
  <c r="BN551" i="12"/>
  <c r="BM551" i="12"/>
  <c r="BL551" i="12"/>
  <c r="BK551" i="12"/>
  <c r="BJ551" i="12"/>
  <c r="BI551" i="12"/>
  <c r="BH551" i="12"/>
  <c r="BG551" i="12"/>
  <c r="BF551" i="12"/>
  <c r="BX550" i="12"/>
  <c r="BW550" i="12"/>
  <c r="BV550" i="12"/>
  <c r="BU550" i="12"/>
  <c r="BT550" i="12"/>
  <c r="BS550" i="12"/>
  <c r="BR550" i="12"/>
  <c r="BQ550" i="12"/>
  <c r="BP550" i="12"/>
  <c r="BO550" i="12"/>
  <c r="BN550" i="12"/>
  <c r="BM550" i="12"/>
  <c r="BL550" i="12"/>
  <c r="BK550" i="12"/>
  <c r="BJ550" i="12"/>
  <c r="BI550" i="12"/>
  <c r="BH550" i="12"/>
  <c r="BG550" i="12"/>
  <c r="BF550" i="12"/>
  <c r="BX549" i="12"/>
  <c r="BW549" i="12"/>
  <c r="BV549" i="12"/>
  <c r="BU549" i="12"/>
  <c r="BT549" i="12"/>
  <c r="BS549" i="12"/>
  <c r="BR549" i="12"/>
  <c r="BQ549" i="12"/>
  <c r="BP549" i="12"/>
  <c r="BO549" i="12"/>
  <c r="BN549" i="12"/>
  <c r="BM549" i="12"/>
  <c r="BL549" i="12"/>
  <c r="BK549" i="12"/>
  <c r="BJ549" i="12"/>
  <c r="BI549" i="12"/>
  <c r="BH549" i="12"/>
  <c r="BG549" i="12"/>
  <c r="BF549" i="12"/>
  <c r="BX548" i="12"/>
  <c r="BW548" i="12"/>
  <c r="BV548" i="12"/>
  <c r="BU548" i="12"/>
  <c r="BT548" i="12"/>
  <c r="BS548" i="12"/>
  <c r="BR548" i="12"/>
  <c r="BQ548" i="12"/>
  <c r="BP548" i="12"/>
  <c r="BO548" i="12"/>
  <c r="BN548" i="12"/>
  <c r="BM548" i="12"/>
  <c r="BL548" i="12"/>
  <c r="BK548" i="12"/>
  <c r="BJ548" i="12"/>
  <c r="BI548" i="12"/>
  <c r="BH548" i="12"/>
  <c r="BG548" i="12"/>
  <c r="BF548" i="12"/>
  <c r="BX547" i="12"/>
  <c r="BW547" i="12"/>
  <c r="BV547" i="12"/>
  <c r="BU547" i="12"/>
  <c r="BT547" i="12"/>
  <c r="BS547" i="12"/>
  <c r="BR547" i="12"/>
  <c r="BQ547" i="12"/>
  <c r="BP547" i="12"/>
  <c r="BO547" i="12"/>
  <c r="BN547" i="12"/>
  <c r="BM547" i="12"/>
  <c r="BL547" i="12"/>
  <c r="BK547" i="12"/>
  <c r="BJ547" i="12"/>
  <c r="BI547" i="12"/>
  <c r="BH547" i="12"/>
  <c r="BG547" i="12"/>
  <c r="BF547" i="12"/>
  <c r="BX546" i="12"/>
  <c r="BW546" i="12"/>
  <c r="BV546" i="12"/>
  <c r="BU546" i="12"/>
  <c r="BT546" i="12"/>
  <c r="BS546" i="12"/>
  <c r="BR546" i="12"/>
  <c r="BQ546" i="12"/>
  <c r="BP546" i="12"/>
  <c r="BO546" i="12"/>
  <c r="BN546" i="12"/>
  <c r="BM546" i="12"/>
  <c r="BL546" i="12"/>
  <c r="BK546" i="12"/>
  <c r="BJ546" i="12"/>
  <c r="BI546" i="12"/>
  <c r="BH546" i="12"/>
  <c r="BG546" i="12"/>
  <c r="BF546" i="12"/>
  <c r="BX545" i="12"/>
  <c r="BW545" i="12"/>
  <c r="BV545" i="12"/>
  <c r="BU545" i="12"/>
  <c r="BT545" i="12"/>
  <c r="BS545" i="12"/>
  <c r="BR545" i="12"/>
  <c r="BQ545" i="12"/>
  <c r="BP545" i="12"/>
  <c r="BO545" i="12"/>
  <c r="BN545" i="12"/>
  <c r="BM545" i="12"/>
  <c r="BL545" i="12"/>
  <c r="BK545" i="12"/>
  <c r="BJ545" i="12"/>
  <c r="BI545" i="12"/>
  <c r="BH545" i="12"/>
  <c r="BG545" i="12"/>
  <c r="BF545" i="12"/>
  <c r="BX544" i="12"/>
  <c r="BW544" i="12"/>
  <c r="BV544" i="12"/>
  <c r="BU544" i="12"/>
  <c r="BT544" i="12"/>
  <c r="BS544" i="12"/>
  <c r="BR544" i="12"/>
  <c r="BQ544" i="12"/>
  <c r="BP544" i="12"/>
  <c r="BO544" i="12"/>
  <c r="BN544" i="12"/>
  <c r="BM544" i="12"/>
  <c r="BL544" i="12"/>
  <c r="BK544" i="12"/>
  <c r="BJ544" i="12"/>
  <c r="BI544" i="12"/>
  <c r="BH544" i="12"/>
  <c r="BG544" i="12"/>
  <c r="BF544" i="12"/>
  <c r="BX543" i="12"/>
  <c r="BW543" i="12"/>
  <c r="BV543" i="12"/>
  <c r="BU543" i="12"/>
  <c r="BT543" i="12"/>
  <c r="BS543" i="12"/>
  <c r="BR543" i="12"/>
  <c r="BQ543" i="12"/>
  <c r="BP543" i="12"/>
  <c r="BO543" i="12"/>
  <c r="BN543" i="12"/>
  <c r="BM543" i="12"/>
  <c r="BL543" i="12"/>
  <c r="BK543" i="12"/>
  <c r="BJ543" i="12"/>
  <c r="BI543" i="12"/>
  <c r="BH543" i="12"/>
  <c r="BG543" i="12"/>
  <c r="BF543" i="12"/>
  <c r="BX542" i="12"/>
  <c r="BW542" i="12"/>
  <c r="BV542" i="12"/>
  <c r="BU542" i="12"/>
  <c r="BT542" i="12"/>
  <c r="BS542" i="12"/>
  <c r="BR542" i="12"/>
  <c r="BQ542" i="12"/>
  <c r="BP542" i="12"/>
  <c r="BO542" i="12"/>
  <c r="BN542" i="12"/>
  <c r="BM542" i="12"/>
  <c r="BL542" i="12"/>
  <c r="BK542" i="12"/>
  <c r="BJ542" i="12"/>
  <c r="BI542" i="12"/>
  <c r="BH542" i="12"/>
  <c r="BG542" i="12"/>
  <c r="BF542" i="12"/>
  <c r="BX541" i="12"/>
  <c r="BW541" i="12"/>
  <c r="BV541" i="12"/>
  <c r="BU541" i="12"/>
  <c r="BT541" i="12"/>
  <c r="BS541" i="12"/>
  <c r="BR541" i="12"/>
  <c r="BQ541" i="12"/>
  <c r="BP541" i="12"/>
  <c r="BO541" i="12"/>
  <c r="BN541" i="12"/>
  <c r="BM541" i="12"/>
  <c r="BL541" i="12"/>
  <c r="BK541" i="12"/>
  <c r="BJ541" i="12"/>
  <c r="BI541" i="12"/>
  <c r="BH541" i="12"/>
  <c r="BG541" i="12"/>
  <c r="BF541" i="12"/>
  <c r="BX540" i="12"/>
  <c r="BW540" i="12"/>
  <c r="BV540" i="12"/>
  <c r="BU540" i="12"/>
  <c r="BT540" i="12"/>
  <c r="BS540" i="12"/>
  <c r="BR540" i="12"/>
  <c r="BQ540" i="12"/>
  <c r="BP540" i="12"/>
  <c r="BO540" i="12"/>
  <c r="BN540" i="12"/>
  <c r="BM540" i="12"/>
  <c r="BL540" i="12"/>
  <c r="BK540" i="12"/>
  <c r="BJ540" i="12"/>
  <c r="BI540" i="12"/>
  <c r="BH540" i="12"/>
  <c r="BG540" i="12"/>
  <c r="BF540" i="12"/>
  <c r="BX539" i="12"/>
  <c r="BW539" i="12"/>
  <c r="BV539" i="12"/>
  <c r="BU539" i="12"/>
  <c r="BT539" i="12"/>
  <c r="BS539" i="12"/>
  <c r="BR539" i="12"/>
  <c r="BQ539" i="12"/>
  <c r="BP539" i="12"/>
  <c r="BO539" i="12"/>
  <c r="BN539" i="12"/>
  <c r="BM539" i="12"/>
  <c r="BL539" i="12"/>
  <c r="BK539" i="12"/>
  <c r="BJ539" i="12"/>
  <c r="BI539" i="12"/>
  <c r="BH539" i="12"/>
  <c r="BG539" i="12"/>
  <c r="BF539" i="12"/>
  <c r="BX538" i="12"/>
  <c r="BW538" i="12"/>
  <c r="BV538" i="12"/>
  <c r="BU538" i="12"/>
  <c r="BT538" i="12"/>
  <c r="BS538" i="12"/>
  <c r="BR538" i="12"/>
  <c r="BQ538" i="12"/>
  <c r="BP538" i="12"/>
  <c r="BO538" i="12"/>
  <c r="BN538" i="12"/>
  <c r="BM538" i="12"/>
  <c r="BL538" i="12"/>
  <c r="BK538" i="12"/>
  <c r="BJ538" i="12"/>
  <c r="BI538" i="12"/>
  <c r="BH538" i="12"/>
  <c r="BG538" i="12"/>
  <c r="BF538" i="12"/>
  <c r="BX537" i="12"/>
  <c r="BW537" i="12"/>
  <c r="BV537" i="12"/>
  <c r="BU537" i="12"/>
  <c r="BT537" i="12"/>
  <c r="BS537" i="12"/>
  <c r="BR537" i="12"/>
  <c r="BQ537" i="12"/>
  <c r="BP537" i="12"/>
  <c r="BO537" i="12"/>
  <c r="BN537" i="12"/>
  <c r="BM537" i="12"/>
  <c r="BL537" i="12"/>
  <c r="BK537" i="12"/>
  <c r="BJ537" i="12"/>
  <c r="BI537" i="12"/>
  <c r="BH537" i="12"/>
  <c r="BG537" i="12"/>
  <c r="BF537" i="12"/>
  <c r="BX536" i="12"/>
  <c r="BW536" i="12"/>
  <c r="BV536" i="12"/>
  <c r="BU536" i="12"/>
  <c r="BT536" i="12"/>
  <c r="BS536" i="12"/>
  <c r="BR536" i="12"/>
  <c r="BQ536" i="12"/>
  <c r="BP536" i="12"/>
  <c r="BO536" i="12"/>
  <c r="BN536" i="12"/>
  <c r="BM536" i="12"/>
  <c r="BL536" i="12"/>
  <c r="BK536" i="12"/>
  <c r="BJ536" i="12"/>
  <c r="BI536" i="12"/>
  <c r="BH536" i="12"/>
  <c r="BG536" i="12"/>
  <c r="BF536" i="12"/>
  <c r="BX535" i="12"/>
  <c r="BW535" i="12"/>
  <c r="BV535" i="12"/>
  <c r="BU535" i="12"/>
  <c r="BT535" i="12"/>
  <c r="BS535" i="12"/>
  <c r="BR535" i="12"/>
  <c r="BQ535" i="12"/>
  <c r="BP535" i="12"/>
  <c r="BO535" i="12"/>
  <c r="BN535" i="12"/>
  <c r="BM535" i="12"/>
  <c r="BL535" i="12"/>
  <c r="BK535" i="12"/>
  <c r="BJ535" i="12"/>
  <c r="BI535" i="12"/>
  <c r="BH535" i="12"/>
  <c r="BG535" i="12"/>
  <c r="BF535" i="12"/>
  <c r="BX534" i="12"/>
  <c r="BW534" i="12"/>
  <c r="BV534" i="12"/>
  <c r="BU534" i="12"/>
  <c r="BT534" i="12"/>
  <c r="BS534" i="12"/>
  <c r="BR534" i="12"/>
  <c r="BQ534" i="12"/>
  <c r="BP534" i="12"/>
  <c r="BO534" i="12"/>
  <c r="BN534" i="12"/>
  <c r="BM534" i="12"/>
  <c r="BL534" i="12"/>
  <c r="BK534" i="12"/>
  <c r="BJ534" i="12"/>
  <c r="BI534" i="12"/>
  <c r="BH534" i="12"/>
  <c r="BG534" i="12"/>
  <c r="BF534" i="12"/>
  <c r="BX533" i="12"/>
  <c r="BW533" i="12"/>
  <c r="BV533" i="12"/>
  <c r="BU533" i="12"/>
  <c r="BT533" i="12"/>
  <c r="BS533" i="12"/>
  <c r="BR533" i="12"/>
  <c r="BQ533" i="12"/>
  <c r="BP533" i="12"/>
  <c r="BO533" i="12"/>
  <c r="BN533" i="12"/>
  <c r="BM533" i="12"/>
  <c r="BL533" i="12"/>
  <c r="BK533" i="12"/>
  <c r="BJ533" i="12"/>
  <c r="BI533" i="12"/>
  <c r="BH533" i="12"/>
  <c r="BG533" i="12"/>
  <c r="BF533" i="12"/>
  <c r="BX532" i="12"/>
  <c r="BW532" i="12"/>
  <c r="BV532" i="12"/>
  <c r="BU532" i="12"/>
  <c r="BT532" i="12"/>
  <c r="BS532" i="12"/>
  <c r="BR532" i="12"/>
  <c r="BQ532" i="12"/>
  <c r="BP532" i="12"/>
  <c r="BO532" i="12"/>
  <c r="BN532" i="12"/>
  <c r="BM532" i="12"/>
  <c r="BL532" i="12"/>
  <c r="BK532" i="12"/>
  <c r="BJ532" i="12"/>
  <c r="BI532" i="12"/>
  <c r="BH532" i="12"/>
  <c r="BG532" i="12"/>
  <c r="BF532" i="12"/>
  <c r="BX531" i="12"/>
  <c r="BW531" i="12"/>
  <c r="BV531" i="12"/>
  <c r="BU531" i="12"/>
  <c r="BT531" i="12"/>
  <c r="BS531" i="12"/>
  <c r="BR531" i="12"/>
  <c r="BQ531" i="12"/>
  <c r="BP531" i="12"/>
  <c r="BO531" i="12"/>
  <c r="BN531" i="12"/>
  <c r="BM531" i="12"/>
  <c r="BL531" i="12"/>
  <c r="BK531" i="12"/>
  <c r="BJ531" i="12"/>
  <c r="BI531" i="12"/>
  <c r="BH531" i="12"/>
  <c r="BG531" i="12"/>
  <c r="BF531" i="12"/>
  <c r="BX530" i="12"/>
  <c r="BW530" i="12"/>
  <c r="BV530" i="12"/>
  <c r="BU530" i="12"/>
  <c r="BT530" i="12"/>
  <c r="BS530" i="12"/>
  <c r="BR530" i="12"/>
  <c r="BQ530" i="12"/>
  <c r="BP530" i="12"/>
  <c r="BO530" i="12"/>
  <c r="BN530" i="12"/>
  <c r="BM530" i="12"/>
  <c r="BL530" i="12"/>
  <c r="BK530" i="12"/>
  <c r="BJ530" i="12"/>
  <c r="BI530" i="12"/>
  <c r="BH530" i="12"/>
  <c r="BG530" i="12"/>
  <c r="BF530" i="12"/>
  <c r="BX529" i="12"/>
  <c r="BW529" i="12"/>
  <c r="BV529" i="12"/>
  <c r="BU529" i="12"/>
  <c r="BT529" i="12"/>
  <c r="BS529" i="12"/>
  <c r="BR529" i="12"/>
  <c r="BQ529" i="12"/>
  <c r="BP529" i="12"/>
  <c r="BO529" i="12"/>
  <c r="BN529" i="12"/>
  <c r="BM529" i="12"/>
  <c r="BL529" i="12"/>
  <c r="BK529" i="12"/>
  <c r="BJ529" i="12"/>
  <c r="BI529" i="12"/>
  <c r="BH529" i="12"/>
  <c r="BG529" i="12"/>
  <c r="BF529" i="12"/>
  <c r="BX528" i="12"/>
  <c r="BW528" i="12"/>
  <c r="BV528" i="12"/>
  <c r="BU528" i="12"/>
  <c r="BT528" i="12"/>
  <c r="BS528" i="12"/>
  <c r="BR528" i="12"/>
  <c r="BQ528" i="12"/>
  <c r="BP528" i="12"/>
  <c r="BO528" i="12"/>
  <c r="BN528" i="12"/>
  <c r="BM528" i="12"/>
  <c r="BL528" i="12"/>
  <c r="BK528" i="12"/>
  <c r="BJ528" i="12"/>
  <c r="BI528" i="12"/>
  <c r="BH528" i="12"/>
  <c r="BG528" i="12"/>
  <c r="BF528" i="12"/>
  <c r="BX527" i="12"/>
  <c r="BW527" i="12"/>
  <c r="BV527" i="12"/>
  <c r="BU527" i="12"/>
  <c r="BT527" i="12"/>
  <c r="BS527" i="12"/>
  <c r="BR527" i="12"/>
  <c r="BQ527" i="12"/>
  <c r="BP527" i="12"/>
  <c r="BO527" i="12"/>
  <c r="BN527" i="12"/>
  <c r="BM527" i="12"/>
  <c r="BL527" i="12"/>
  <c r="BK527" i="12"/>
  <c r="BJ527" i="12"/>
  <c r="BI527" i="12"/>
  <c r="BH527" i="12"/>
  <c r="BG527" i="12"/>
  <c r="BF527" i="12"/>
  <c r="BX526" i="12"/>
  <c r="BW526" i="12"/>
  <c r="BV526" i="12"/>
  <c r="BU526" i="12"/>
  <c r="BT526" i="12"/>
  <c r="BS526" i="12"/>
  <c r="BR526" i="12"/>
  <c r="BQ526" i="12"/>
  <c r="BP526" i="12"/>
  <c r="BO526" i="12"/>
  <c r="BN526" i="12"/>
  <c r="BM526" i="12"/>
  <c r="BL526" i="12"/>
  <c r="BK526" i="12"/>
  <c r="BJ526" i="12"/>
  <c r="BI526" i="12"/>
  <c r="BH526" i="12"/>
  <c r="BG526" i="12"/>
  <c r="BF526" i="12"/>
  <c r="BX525" i="12"/>
  <c r="BW525" i="12"/>
  <c r="BV525" i="12"/>
  <c r="BU525" i="12"/>
  <c r="BT525" i="12"/>
  <c r="BS525" i="12"/>
  <c r="BR525" i="12"/>
  <c r="BQ525" i="12"/>
  <c r="BP525" i="12"/>
  <c r="BO525" i="12"/>
  <c r="BN525" i="12"/>
  <c r="BM525" i="12"/>
  <c r="BL525" i="12"/>
  <c r="BK525" i="12"/>
  <c r="BJ525" i="12"/>
  <c r="BI525" i="12"/>
  <c r="BH525" i="12"/>
  <c r="BG525" i="12"/>
  <c r="BF525" i="12"/>
  <c r="BX524" i="12"/>
  <c r="BW524" i="12"/>
  <c r="BV524" i="12"/>
  <c r="BU524" i="12"/>
  <c r="BT524" i="12"/>
  <c r="BS524" i="12"/>
  <c r="BR524" i="12"/>
  <c r="BQ524" i="12"/>
  <c r="BP524" i="12"/>
  <c r="BO524" i="12"/>
  <c r="BN524" i="12"/>
  <c r="BM524" i="12"/>
  <c r="BL524" i="12"/>
  <c r="BK524" i="12"/>
  <c r="BJ524" i="12"/>
  <c r="BI524" i="12"/>
  <c r="BH524" i="12"/>
  <c r="BG524" i="12"/>
  <c r="BF524" i="12"/>
  <c r="BX523" i="12"/>
  <c r="BW523" i="12"/>
  <c r="BV523" i="12"/>
  <c r="BU523" i="12"/>
  <c r="BT523" i="12"/>
  <c r="BS523" i="12"/>
  <c r="BR523" i="12"/>
  <c r="BQ523" i="12"/>
  <c r="BP523" i="12"/>
  <c r="BO523" i="12"/>
  <c r="BN523" i="12"/>
  <c r="BM523" i="12"/>
  <c r="BL523" i="12"/>
  <c r="BK523" i="12"/>
  <c r="BJ523" i="12"/>
  <c r="BI523" i="12"/>
  <c r="BH523" i="12"/>
  <c r="BG523" i="12"/>
  <c r="BF523" i="12"/>
  <c r="BX522" i="12"/>
  <c r="BW522" i="12"/>
  <c r="BV522" i="12"/>
  <c r="BU522" i="12"/>
  <c r="BT522" i="12"/>
  <c r="BS522" i="12"/>
  <c r="BR522" i="12"/>
  <c r="BQ522" i="12"/>
  <c r="BP522" i="12"/>
  <c r="BO522" i="12"/>
  <c r="BN522" i="12"/>
  <c r="BM522" i="12"/>
  <c r="BL522" i="12"/>
  <c r="BK522" i="12"/>
  <c r="BJ522" i="12"/>
  <c r="BI522" i="12"/>
  <c r="BH522" i="12"/>
  <c r="BG522" i="12"/>
  <c r="BF522" i="12"/>
  <c r="BX521" i="12"/>
  <c r="BW521" i="12"/>
  <c r="BV521" i="12"/>
  <c r="BU521" i="12"/>
  <c r="BT521" i="12"/>
  <c r="BS521" i="12"/>
  <c r="BR521" i="12"/>
  <c r="BQ521" i="12"/>
  <c r="BP521" i="12"/>
  <c r="BO521" i="12"/>
  <c r="BN521" i="12"/>
  <c r="BM521" i="12"/>
  <c r="BL521" i="12"/>
  <c r="BK521" i="12"/>
  <c r="BJ521" i="12"/>
  <c r="BI521" i="12"/>
  <c r="BH521" i="12"/>
  <c r="BG521" i="12"/>
  <c r="BF521" i="12"/>
  <c r="BX520" i="12"/>
  <c r="BW520" i="12"/>
  <c r="BV520" i="12"/>
  <c r="BU520" i="12"/>
  <c r="BT520" i="12"/>
  <c r="BS520" i="12"/>
  <c r="BR520" i="12"/>
  <c r="BQ520" i="12"/>
  <c r="BP520" i="12"/>
  <c r="BO520" i="12"/>
  <c r="BN520" i="12"/>
  <c r="BM520" i="12"/>
  <c r="BL520" i="12"/>
  <c r="BK520" i="12"/>
  <c r="BJ520" i="12"/>
  <c r="BI520" i="12"/>
  <c r="BH520" i="12"/>
  <c r="BG520" i="12"/>
  <c r="BF520" i="12"/>
  <c r="BX519" i="12"/>
  <c r="BW519" i="12"/>
  <c r="BV519" i="12"/>
  <c r="BU519" i="12"/>
  <c r="BT519" i="12"/>
  <c r="BS519" i="12"/>
  <c r="BR519" i="12"/>
  <c r="BQ519" i="12"/>
  <c r="BP519" i="12"/>
  <c r="BO519" i="12"/>
  <c r="BN519" i="12"/>
  <c r="BM519" i="12"/>
  <c r="BL519" i="12"/>
  <c r="BK519" i="12"/>
  <c r="BJ519" i="12"/>
  <c r="BI519" i="12"/>
  <c r="BH519" i="12"/>
  <c r="BG519" i="12"/>
  <c r="BF519" i="12"/>
  <c r="BX518" i="12"/>
  <c r="BW518" i="12"/>
  <c r="BV518" i="12"/>
  <c r="BU518" i="12"/>
  <c r="BT518" i="12"/>
  <c r="BS518" i="12"/>
  <c r="BR518" i="12"/>
  <c r="BQ518" i="12"/>
  <c r="BP518" i="12"/>
  <c r="BO518" i="12"/>
  <c r="BN518" i="12"/>
  <c r="BM518" i="12"/>
  <c r="BL518" i="12"/>
  <c r="BK518" i="12"/>
  <c r="BJ518" i="12"/>
  <c r="BI518" i="12"/>
  <c r="BH518" i="12"/>
  <c r="BG518" i="12"/>
  <c r="BF518" i="12"/>
  <c r="BX517" i="12"/>
  <c r="BW517" i="12"/>
  <c r="BV517" i="12"/>
  <c r="BU517" i="12"/>
  <c r="BT517" i="12"/>
  <c r="BS517" i="12"/>
  <c r="BR517" i="12"/>
  <c r="BQ517" i="12"/>
  <c r="BP517" i="12"/>
  <c r="BO517" i="12"/>
  <c r="BN517" i="12"/>
  <c r="BM517" i="12"/>
  <c r="BL517" i="12"/>
  <c r="BK517" i="12"/>
  <c r="BJ517" i="12"/>
  <c r="BI517" i="12"/>
  <c r="BH517" i="12"/>
  <c r="BG517" i="12"/>
  <c r="BF517" i="12"/>
  <c r="BX516" i="12"/>
  <c r="BW516" i="12"/>
  <c r="BV516" i="12"/>
  <c r="BU516" i="12"/>
  <c r="BT516" i="12"/>
  <c r="BS516" i="12"/>
  <c r="BR516" i="12"/>
  <c r="BQ516" i="12"/>
  <c r="BP516" i="12"/>
  <c r="BO516" i="12"/>
  <c r="BN516" i="12"/>
  <c r="BM516" i="12"/>
  <c r="BL516" i="12"/>
  <c r="BK516" i="12"/>
  <c r="BJ516" i="12"/>
  <c r="BI516" i="12"/>
  <c r="BH516" i="12"/>
  <c r="BG516" i="12"/>
  <c r="BF516" i="12"/>
  <c r="BX515" i="12"/>
  <c r="BW515" i="12"/>
  <c r="BV515" i="12"/>
  <c r="BU515" i="12"/>
  <c r="BT515" i="12"/>
  <c r="BS515" i="12"/>
  <c r="BR515" i="12"/>
  <c r="BQ515" i="12"/>
  <c r="BP515" i="12"/>
  <c r="BO515" i="12"/>
  <c r="BN515" i="12"/>
  <c r="BM515" i="12"/>
  <c r="BL515" i="12"/>
  <c r="BK515" i="12"/>
  <c r="BJ515" i="12"/>
  <c r="BI515" i="12"/>
  <c r="BH515" i="12"/>
  <c r="BG515" i="12"/>
  <c r="BF515" i="12"/>
  <c r="BX514" i="12"/>
  <c r="BW514" i="12"/>
  <c r="BV514" i="12"/>
  <c r="BU514" i="12"/>
  <c r="BT514" i="12"/>
  <c r="BS514" i="12"/>
  <c r="BR514" i="12"/>
  <c r="BQ514" i="12"/>
  <c r="BP514" i="12"/>
  <c r="BO514" i="12"/>
  <c r="BN514" i="12"/>
  <c r="BM514" i="12"/>
  <c r="BL514" i="12"/>
  <c r="BK514" i="12"/>
  <c r="BJ514" i="12"/>
  <c r="BI514" i="12"/>
  <c r="BH514" i="12"/>
  <c r="BG514" i="12"/>
  <c r="BF514" i="12"/>
  <c r="BX513" i="12"/>
  <c r="BW513" i="12"/>
  <c r="BV513" i="12"/>
  <c r="BU513" i="12"/>
  <c r="BT513" i="12"/>
  <c r="BS513" i="12"/>
  <c r="BR513" i="12"/>
  <c r="BQ513" i="12"/>
  <c r="BP513" i="12"/>
  <c r="BO513" i="12"/>
  <c r="BN513" i="12"/>
  <c r="BM513" i="12"/>
  <c r="BL513" i="12"/>
  <c r="BK513" i="12"/>
  <c r="BJ513" i="12"/>
  <c r="BI513" i="12"/>
  <c r="BH513" i="12"/>
  <c r="BG513" i="12"/>
  <c r="BF513" i="12"/>
  <c r="BX512" i="12"/>
  <c r="BW512" i="12"/>
  <c r="BV512" i="12"/>
  <c r="BU512" i="12"/>
  <c r="BT512" i="12"/>
  <c r="BS512" i="12"/>
  <c r="BR512" i="12"/>
  <c r="BQ512" i="12"/>
  <c r="BP512" i="12"/>
  <c r="BO512" i="12"/>
  <c r="BN512" i="12"/>
  <c r="BM512" i="12"/>
  <c r="BL512" i="12"/>
  <c r="BK512" i="12"/>
  <c r="BJ512" i="12"/>
  <c r="BI512" i="12"/>
  <c r="BH512" i="12"/>
  <c r="BG512" i="12"/>
  <c r="BF512" i="12"/>
  <c r="BX511" i="12"/>
  <c r="BW511" i="12"/>
  <c r="BV511" i="12"/>
  <c r="BU511" i="12"/>
  <c r="BT511" i="12"/>
  <c r="BS511" i="12"/>
  <c r="BR511" i="12"/>
  <c r="BQ511" i="12"/>
  <c r="BP511" i="12"/>
  <c r="BO511" i="12"/>
  <c r="BN511" i="12"/>
  <c r="BM511" i="12"/>
  <c r="BL511" i="12"/>
  <c r="BK511" i="12"/>
  <c r="BJ511" i="12"/>
  <c r="BI511" i="12"/>
  <c r="BH511" i="12"/>
  <c r="BG511" i="12"/>
  <c r="BF511" i="12"/>
  <c r="BX510" i="12"/>
  <c r="BW510" i="12"/>
  <c r="BV510" i="12"/>
  <c r="BU510" i="12"/>
  <c r="BT510" i="12"/>
  <c r="BS510" i="12"/>
  <c r="BR510" i="12"/>
  <c r="BQ510" i="12"/>
  <c r="BP510" i="12"/>
  <c r="BO510" i="12"/>
  <c r="BN510" i="12"/>
  <c r="BM510" i="12"/>
  <c r="BL510" i="12"/>
  <c r="BK510" i="12"/>
  <c r="BJ510" i="12"/>
  <c r="BI510" i="12"/>
  <c r="BH510" i="12"/>
  <c r="BG510" i="12"/>
  <c r="BF510" i="12"/>
  <c r="BX509" i="12"/>
  <c r="BW509" i="12"/>
  <c r="BV509" i="12"/>
  <c r="BU509" i="12"/>
  <c r="BT509" i="12"/>
  <c r="BS509" i="12"/>
  <c r="BR509" i="12"/>
  <c r="BQ509" i="12"/>
  <c r="BP509" i="12"/>
  <c r="BO509" i="12"/>
  <c r="BN509" i="12"/>
  <c r="BM509" i="12"/>
  <c r="BL509" i="12"/>
  <c r="BK509" i="12"/>
  <c r="BJ509" i="12"/>
  <c r="BI509" i="12"/>
  <c r="BH509" i="12"/>
  <c r="BG509" i="12"/>
  <c r="BF509" i="12"/>
  <c r="BX508" i="12"/>
  <c r="BW508" i="12"/>
  <c r="BV508" i="12"/>
  <c r="BU508" i="12"/>
  <c r="BT508" i="12"/>
  <c r="BS508" i="12"/>
  <c r="BR508" i="12"/>
  <c r="BQ508" i="12"/>
  <c r="BP508" i="12"/>
  <c r="BO508" i="12"/>
  <c r="BN508" i="12"/>
  <c r="BM508" i="12"/>
  <c r="BL508" i="12"/>
  <c r="BK508" i="12"/>
  <c r="BJ508" i="12"/>
  <c r="BI508" i="12"/>
  <c r="BH508" i="12"/>
  <c r="BG508" i="12"/>
  <c r="BF508" i="12"/>
  <c r="BX507" i="12"/>
  <c r="BW507" i="12"/>
  <c r="BV507" i="12"/>
  <c r="BU507" i="12"/>
  <c r="BT507" i="12"/>
  <c r="BS507" i="12"/>
  <c r="BR507" i="12"/>
  <c r="BQ507" i="12"/>
  <c r="BP507" i="12"/>
  <c r="BO507" i="12"/>
  <c r="BN507" i="12"/>
  <c r="BM507" i="12"/>
  <c r="BL507" i="12"/>
  <c r="BK507" i="12"/>
  <c r="BJ507" i="12"/>
  <c r="BI507" i="12"/>
  <c r="BH507" i="12"/>
  <c r="BG507" i="12"/>
  <c r="BF507" i="12"/>
  <c r="BX506" i="12"/>
  <c r="BW506" i="12"/>
  <c r="BV506" i="12"/>
  <c r="BU506" i="12"/>
  <c r="BT506" i="12"/>
  <c r="BS506" i="12"/>
  <c r="BR506" i="12"/>
  <c r="BQ506" i="12"/>
  <c r="BP506" i="12"/>
  <c r="BO506" i="12"/>
  <c r="BN506" i="12"/>
  <c r="BM506" i="12"/>
  <c r="BL506" i="12"/>
  <c r="BK506" i="12"/>
  <c r="BJ506" i="12"/>
  <c r="BI506" i="12"/>
  <c r="BH506" i="12"/>
  <c r="BG506" i="12"/>
  <c r="BF506" i="12"/>
  <c r="BX505" i="12"/>
  <c r="BW505" i="12"/>
  <c r="BV505" i="12"/>
  <c r="BU505" i="12"/>
  <c r="BT505" i="12"/>
  <c r="BS505" i="12"/>
  <c r="BR505" i="12"/>
  <c r="BQ505" i="12"/>
  <c r="BP505" i="12"/>
  <c r="BO505" i="12"/>
  <c r="BN505" i="12"/>
  <c r="BM505" i="12"/>
  <c r="BL505" i="12"/>
  <c r="BK505" i="12"/>
  <c r="BJ505" i="12"/>
  <c r="BI505" i="12"/>
  <c r="BH505" i="12"/>
  <c r="BG505" i="12"/>
  <c r="BF505" i="12"/>
  <c r="BX504" i="12"/>
  <c r="BW504" i="12"/>
  <c r="BV504" i="12"/>
  <c r="BU504" i="12"/>
  <c r="BT504" i="12"/>
  <c r="BS504" i="12"/>
  <c r="BR504" i="12"/>
  <c r="BQ504" i="12"/>
  <c r="BP504" i="12"/>
  <c r="BO504" i="12"/>
  <c r="BN504" i="12"/>
  <c r="BM504" i="12"/>
  <c r="BL504" i="12"/>
  <c r="BK504" i="12"/>
  <c r="BJ504" i="12"/>
  <c r="BI504" i="12"/>
  <c r="BH504" i="12"/>
  <c r="BG504" i="12"/>
  <c r="BF504" i="12"/>
  <c r="BX503" i="12"/>
  <c r="BW503" i="12"/>
  <c r="BV503" i="12"/>
  <c r="BU503" i="12"/>
  <c r="BT503" i="12"/>
  <c r="BS503" i="12"/>
  <c r="BR503" i="12"/>
  <c r="BQ503" i="12"/>
  <c r="BP503" i="12"/>
  <c r="BO503" i="12"/>
  <c r="BN503" i="12"/>
  <c r="BM503" i="12"/>
  <c r="BL503" i="12"/>
  <c r="BK503" i="12"/>
  <c r="BJ503" i="12"/>
  <c r="BI503" i="12"/>
  <c r="BH503" i="12"/>
  <c r="BG503" i="12"/>
  <c r="BF503" i="12"/>
  <c r="BX502" i="12"/>
  <c r="BW502" i="12"/>
  <c r="BV502" i="12"/>
  <c r="BU502" i="12"/>
  <c r="BT502" i="12"/>
  <c r="BS502" i="12"/>
  <c r="BR502" i="12"/>
  <c r="BQ502" i="12"/>
  <c r="BP502" i="12"/>
  <c r="BO502" i="12"/>
  <c r="BN502" i="12"/>
  <c r="BM502" i="12"/>
  <c r="BL502" i="12"/>
  <c r="BK502" i="12"/>
  <c r="BJ502" i="12"/>
  <c r="BI502" i="12"/>
  <c r="BH502" i="12"/>
  <c r="BG502" i="12"/>
  <c r="BF502" i="12"/>
  <c r="BX501" i="12"/>
  <c r="BW501" i="12"/>
  <c r="BV501" i="12"/>
  <c r="BU501" i="12"/>
  <c r="BT501" i="12"/>
  <c r="BS501" i="12"/>
  <c r="BR501" i="12"/>
  <c r="BQ501" i="12"/>
  <c r="BP501" i="12"/>
  <c r="BO501" i="12"/>
  <c r="BN501" i="12"/>
  <c r="BM501" i="12"/>
  <c r="BL501" i="12"/>
  <c r="BK501" i="12"/>
  <c r="BJ501" i="12"/>
  <c r="BI501" i="12"/>
  <c r="BH501" i="12"/>
  <c r="BG501" i="12"/>
  <c r="BF501" i="12"/>
  <c r="BX500" i="12"/>
  <c r="BW500" i="12"/>
  <c r="BV500" i="12"/>
  <c r="BU500" i="12"/>
  <c r="BT500" i="12"/>
  <c r="BS500" i="12"/>
  <c r="BR500" i="12"/>
  <c r="BQ500" i="12"/>
  <c r="BP500" i="12"/>
  <c r="BO500" i="12"/>
  <c r="BN500" i="12"/>
  <c r="BM500" i="12"/>
  <c r="BL500" i="12"/>
  <c r="BK500" i="12"/>
  <c r="BJ500" i="12"/>
  <c r="BI500" i="12"/>
  <c r="BH500" i="12"/>
  <c r="BG500" i="12"/>
  <c r="BF500" i="12"/>
  <c r="BX499" i="12"/>
  <c r="BW499" i="12"/>
  <c r="BV499" i="12"/>
  <c r="BU499" i="12"/>
  <c r="BT499" i="12"/>
  <c r="BS499" i="12"/>
  <c r="BR499" i="12"/>
  <c r="BQ499" i="12"/>
  <c r="BP499" i="12"/>
  <c r="BO499" i="12"/>
  <c r="BN499" i="12"/>
  <c r="BM499" i="12"/>
  <c r="BL499" i="12"/>
  <c r="BK499" i="12"/>
  <c r="BJ499" i="12"/>
  <c r="BI499" i="12"/>
  <c r="BH499" i="12"/>
  <c r="BG499" i="12"/>
  <c r="BF499" i="12"/>
  <c r="BX498" i="12"/>
  <c r="BW498" i="12"/>
  <c r="BV498" i="12"/>
  <c r="BU498" i="12"/>
  <c r="BT498" i="12"/>
  <c r="BS498" i="12"/>
  <c r="BR498" i="12"/>
  <c r="BQ498" i="12"/>
  <c r="BP498" i="12"/>
  <c r="BO498" i="12"/>
  <c r="BN498" i="12"/>
  <c r="BM498" i="12"/>
  <c r="BL498" i="12"/>
  <c r="BK498" i="12"/>
  <c r="BJ498" i="12"/>
  <c r="BI498" i="12"/>
  <c r="BH498" i="12"/>
  <c r="BG498" i="12"/>
  <c r="BF498" i="12"/>
  <c r="BX497" i="12"/>
  <c r="BW497" i="12"/>
  <c r="BV497" i="12"/>
  <c r="BU497" i="12"/>
  <c r="BT497" i="12"/>
  <c r="BS497" i="12"/>
  <c r="BR497" i="12"/>
  <c r="BQ497" i="12"/>
  <c r="BP497" i="12"/>
  <c r="BO497" i="12"/>
  <c r="BN497" i="12"/>
  <c r="BM497" i="12"/>
  <c r="BL497" i="12"/>
  <c r="BK497" i="12"/>
  <c r="BJ497" i="12"/>
  <c r="BI497" i="12"/>
  <c r="BH497" i="12"/>
  <c r="BG497" i="12"/>
  <c r="BF497" i="12"/>
  <c r="BX496" i="12"/>
  <c r="BW496" i="12"/>
  <c r="BV496" i="12"/>
  <c r="BU496" i="12"/>
  <c r="BT496" i="12"/>
  <c r="BS496" i="12"/>
  <c r="BR496" i="12"/>
  <c r="BQ496" i="12"/>
  <c r="BP496" i="12"/>
  <c r="BO496" i="12"/>
  <c r="BN496" i="12"/>
  <c r="BM496" i="12"/>
  <c r="BL496" i="12"/>
  <c r="BK496" i="12"/>
  <c r="BJ496" i="12"/>
  <c r="BI496" i="12"/>
  <c r="BH496" i="12"/>
  <c r="BG496" i="12"/>
  <c r="BF496" i="12"/>
  <c r="BX495" i="12"/>
  <c r="BW495" i="12"/>
  <c r="BV495" i="12"/>
  <c r="BU495" i="12"/>
  <c r="BT495" i="12"/>
  <c r="BS495" i="12"/>
  <c r="BR495" i="12"/>
  <c r="BQ495" i="12"/>
  <c r="BP495" i="12"/>
  <c r="BO495" i="12"/>
  <c r="BN495" i="12"/>
  <c r="BM495" i="12"/>
  <c r="BL495" i="12"/>
  <c r="BK495" i="12"/>
  <c r="BJ495" i="12"/>
  <c r="BI495" i="12"/>
  <c r="BH495" i="12"/>
  <c r="BG495" i="12"/>
  <c r="BF495" i="12"/>
  <c r="BX494" i="12"/>
  <c r="BW494" i="12"/>
  <c r="BV494" i="12"/>
  <c r="BU494" i="12"/>
  <c r="BT494" i="12"/>
  <c r="BS494" i="12"/>
  <c r="BR494" i="12"/>
  <c r="BQ494" i="12"/>
  <c r="BP494" i="12"/>
  <c r="BO494" i="12"/>
  <c r="BN494" i="12"/>
  <c r="BM494" i="12"/>
  <c r="BL494" i="12"/>
  <c r="BK494" i="12"/>
  <c r="BJ494" i="12"/>
  <c r="BI494" i="12"/>
  <c r="BH494" i="12"/>
  <c r="BG494" i="12"/>
  <c r="BF494" i="12"/>
  <c r="BX493" i="12"/>
  <c r="BW493" i="12"/>
  <c r="BV493" i="12"/>
  <c r="BU493" i="12"/>
  <c r="BT493" i="12"/>
  <c r="BS493" i="12"/>
  <c r="BR493" i="12"/>
  <c r="BQ493" i="12"/>
  <c r="BP493" i="12"/>
  <c r="BO493" i="12"/>
  <c r="BN493" i="12"/>
  <c r="BM493" i="12"/>
  <c r="BL493" i="12"/>
  <c r="BK493" i="12"/>
  <c r="BJ493" i="12"/>
  <c r="BI493" i="12"/>
  <c r="BH493" i="12"/>
  <c r="BG493" i="12"/>
  <c r="BF493" i="12"/>
  <c r="BX492" i="12"/>
  <c r="BW492" i="12"/>
  <c r="BV492" i="12"/>
  <c r="BU492" i="12"/>
  <c r="BT492" i="12"/>
  <c r="BS492" i="12"/>
  <c r="BR492" i="12"/>
  <c r="BQ492" i="12"/>
  <c r="BP492" i="12"/>
  <c r="BO492" i="12"/>
  <c r="BN492" i="12"/>
  <c r="BM492" i="12"/>
  <c r="BL492" i="12"/>
  <c r="BK492" i="12"/>
  <c r="BJ492" i="12"/>
  <c r="BI492" i="12"/>
  <c r="BH492" i="12"/>
  <c r="BG492" i="12"/>
  <c r="BF492" i="12"/>
  <c r="BX491" i="12"/>
  <c r="BW491" i="12"/>
  <c r="BV491" i="12"/>
  <c r="BU491" i="12"/>
  <c r="BT491" i="12"/>
  <c r="BS491" i="12"/>
  <c r="BR491" i="12"/>
  <c r="BQ491" i="12"/>
  <c r="BP491" i="12"/>
  <c r="BO491" i="12"/>
  <c r="BN491" i="12"/>
  <c r="BM491" i="12"/>
  <c r="BL491" i="12"/>
  <c r="BK491" i="12"/>
  <c r="BJ491" i="12"/>
  <c r="BI491" i="12"/>
  <c r="BH491" i="12"/>
  <c r="BG491" i="12"/>
  <c r="BF491" i="12"/>
  <c r="BX490" i="12"/>
  <c r="BW490" i="12"/>
  <c r="BV490" i="12"/>
  <c r="BU490" i="12"/>
  <c r="BT490" i="12"/>
  <c r="BS490" i="12"/>
  <c r="BR490" i="12"/>
  <c r="BQ490" i="12"/>
  <c r="BP490" i="12"/>
  <c r="BO490" i="12"/>
  <c r="BN490" i="12"/>
  <c r="BM490" i="12"/>
  <c r="BL490" i="12"/>
  <c r="BK490" i="12"/>
  <c r="BJ490" i="12"/>
  <c r="BI490" i="12"/>
  <c r="BH490" i="12"/>
  <c r="BG490" i="12"/>
  <c r="BF490" i="12"/>
  <c r="BX489" i="12"/>
  <c r="BW489" i="12"/>
  <c r="BV489" i="12"/>
  <c r="BU489" i="12"/>
  <c r="BT489" i="12"/>
  <c r="BS489" i="12"/>
  <c r="BR489" i="12"/>
  <c r="BQ489" i="12"/>
  <c r="BP489" i="12"/>
  <c r="BO489" i="12"/>
  <c r="BN489" i="12"/>
  <c r="BM489" i="12"/>
  <c r="BL489" i="12"/>
  <c r="BK489" i="12"/>
  <c r="BJ489" i="12"/>
  <c r="BI489" i="12"/>
  <c r="BH489" i="12"/>
  <c r="BG489" i="12"/>
  <c r="BF489" i="12"/>
  <c r="BX488" i="12"/>
  <c r="BW488" i="12"/>
  <c r="BV488" i="12"/>
  <c r="BU488" i="12"/>
  <c r="BT488" i="12"/>
  <c r="BS488" i="12"/>
  <c r="BR488" i="12"/>
  <c r="BQ488" i="12"/>
  <c r="BP488" i="12"/>
  <c r="BO488" i="12"/>
  <c r="BN488" i="12"/>
  <c r="BM488" i="12"/>
  <c r="BL488" i="12"/>
  <c r="BK488" i="12"/>
  <c r="BJ488" i="12"/>
  <c r="BI488" i="12"/>
  <c r="BH488" i="12"/>
  <c r="BG488" i="12"/>
  <c r="BF488" i="12"/>
  <c r="BX487" i="12"/>
  <c r="BW487" i="12"/>
  <c r="BV487" i="12"/>
  <c r="BU487" i="12"/>
  <c r="BT487" i="12"/>
  <c r="BS487" i="12"/>
  <c r="BR487" i="12"/>
  <c r="BQ487" i="12"/>
  <c r="BP487" i="12"/>
  <c r="BO487" i="12"/>
  <c r="BN487" i="12"/>
  <c r="BM487" i="12"/>
  <c r="BL487" i="12"/>
  <c r="BK487" i="12"/>
  <c r="BJ487" i="12"/>
  <c r="BI487" i="12"/>
  <c r="BH487" i="12"/>
  <c r="BG487" i="12"/>
  <c r="BF487" i="12"/>
  <c r="BX486" i="12"/>
  <c r="BW486" i="12"/>
  <c r="BV486" i="12"/>
  <c r="BU486" i="12"/>
  <c r="BT486" i="12"/>
  <c r="BS486" i="12"/>
  <c r="BR486" i="12"/>
  <c r="BQ486" i="12"/>
  <c r="BP486" i="12"/>
  <c r="BO486" i="12"/>
  <c r="BN486" i="12"/>
  <c r="BM486" i="12"/>
  <c r="BL486" i="12"/>
  <c r="BK486" i="12"/>
  <c r="BJ486" i="12"/>
  <c r="BI486" i="12"/>
  <c r="BH486" i="12"/>
  <c r="BG486" i="12"/>
  <c r="BF486" i="12"/>
  <c r="BX485" i="12"/>
  <c r="BW485" i="12"/>
  <c r="BV485" i="12"/>
  <c r="BU485" i="12"/>
  <c r="BT485" i="12"/>
  <c r="BS485" i="12"/>
  <c r="BR485" i="12"/>
  <c r="BQ485" i="12"/>
  <c r="BP485" i="12"/>
  <c r="BO485" i="12"/>
  <c r="BN485" i="12"/>
  <c r="BM485" i="12"/>
  <c r="BL485" i="12"/>
  <c r="BK485" i="12"/>
  <c r="BJ485" i="12"/>
  <c r="BI485" i="12"/>
  <c r="BH485" i="12"/>
  <c r="BG485" i="12"/>
  <c r="BF485" i="12"/>
  <c r="BX484" i="12"/>
  <c r="BW484" i="12"/>
  <c r="BV484" i="12"/>
  <c r="BU484" i="12"/>
  <c r="BT484" i="12"/>
  <c r="BS484" i="12"/>
  <c r="BR484" i="12"/>
  <c r="BQ484" i="12"/>
  <c r="BP484" i="12"/>
  <c r="BO484" i="12"/>
  <c r="BN484" i="12"/>
  <c r="BM484" i="12"/>
  <c r="BL484" i="12"/>
  <c r="BK484" i="12"/>
  <c r="BJ484" i="12"/>
  <c r="BI484" i="12"/>
  <c r="BH484" i="12"/>
  <c r="BG484" i="12"/>
  <c r="BF484" i="12"/>
  <c r="BX483" i="12"/>
  <c r="BW483" i="12"/>
  <c r="BV483" i="12"/>
  <c r="BU483" i="12"/>
  <c r="BT483" i="12"/>
  <c r="BS483" i="12"/>
  <c r="BR483" i="12"/>
  <c r="BQ483" i="12"/>
  <c r="BP483" i="12"/>
  <c r="BO483" i="12"/>
  <c r="BN483" i="12"/>
  <c r="BM483" i="12"/>
  <c r="BL483" i="12"/>
  <c r="BK483" i="12"/>
  <c r="BJ483" i="12"/>
  <c r="BI483" i="12"/>
  <c r="BH483" i="12"/>
  <c r="BG483" i="12"/>
  <c r="BF483" i="12"/>
  <c r="BX482" i="12"/>
  <c r="BW482" i="12"/>
  <c r="BV482" i="12"/>
  <c r="BU482" i="12"/>
  <c r="BT482" i="12"/>
  <c r="BS482" i="12"/>
  <c r="BR482" i="12"/>
  <c r="BQ482" i="12"/>
  <c r="BP482" i="12"/>
  <c r="BO482" i="12"/>
  <c r="BN482" i="12"/>
  <c r="BM482" i="12"/>
  <c r="BL482" i="12"/>
  <c r="BK482" i="12"/>
  <c r="BJ482" i="12"/>
  <c r="BI482" i="12"/>
  <c r="BH482" i="12"/>
  <c r="BG482" i="12"/>
  <c r="BF482" i="12"/>
  <c r="BX481" i="12"/>
  <c r="BW481" i="12"/>
  <c r="BV481" i="12"/>
  <c r="BU481" i="12"/>
  <c r="BT481" i="12"/>
  <c r="BS481" i="12"/>
  <c r="BR481" i="12"/>
  <c r="BQ481" i="12"/>
  <c r="BP481" i="12"/>
  <c r="BO481" i="12"/>
  <c r="BN481" i="12"/>
  <c r="BM481" i="12"/>
  <c r="BL481" i="12"/>
  <c r="BK481" i="12"/>
  <c r="BJ481" i="12"/>
  <c r="BI481" i="12"/>
  <c r="BH481" i="12"/>
  <c r="BG481" i="12"/>
  <c r="BF481" i="12"/>
  <c r="BX480" i="12"/>
  <c r="BW480" i="12"/>
  <c r="BV480" i="12"/>
  <c r="BU480" i="12"/>
  <c r="BT480" i="12"/>
  <c r="BS480" i="12"/>
  <c r="BR480" i="12"/>
  <c r="BQ480" i="12"/>
  <c r="BP480" i="12"/>
  <c r="BO480" i="12"/>
  <c r="BN480" i="12"/>
  <c r="BM480" i="12"/>
  <c r="BL480" i="12"/>
  <c r="BK480" i="12"/>
  <c r="BJ480" i="12"/>
  <c r="BI480" i="12"/>
  <c r="BH480" i="12"/>
  <c r="BG480" i="12"/>
  <c r="BF480" i="12"/>
  <c r="BX479" i="12"/>
  <c r="BW479" i="12"/>
  <c r="BV479" i="12"/>
  <c r="BU479" i="12"/>
  <c r="BT479" i="12"/>
  <c r="BS479" i="12"/>
  <c r="BR479" i="12"/>
  <c r="BQ479" i="12"/>
  <c r="BP479" i="12"/>
  <c r="BO479" i="12"/>
  <c r="BN479" i="12"/>
  <c r="BM479" i="12"/>
  <c r="BL479" i="12"/>
  <c r="BK479" i="12"/>
  <c r="BJ479" i="12"/>
  <c r="BI479" i="12"/>
  <c r="BH479" i="12"/>
  <c r="BG479" i="12"/>
  <c r="BF479" i="12"/>
  <c r="BX478" i="12"/>
  <c r="BW478" i="12"/>
  <c r="BV478" i="12"/>
  <c r="BU478" i="12"/>
  <c r="BT478" i="12"/>
  <c r="BS478" i="12"/>
  <c r="BR478" i="12"/>
  <c r="BQ478" i="12"/>
  <c r="BP478" i="12"/>
  <c r="BO478" i="12"/>
  <c r="BN478" i="12"/>
  <c r="BM478" i="12"/>
  <c r="BL478" i="12"/>
  <c r="BK478" i="12"/>
  <c r="BJ478" i="12"/>
  <c r="BI478" i="12"/>
  <c r="BH478" i="12"/>
  <c r="BG478" i="12"/>
  <c r="BF478" i="12"/>
  <c r="BX477" i="12"/>
  <c r="BW477" i="12"/>
  <c r="BV477" i="12"/>
  <c r="BU477" i="12"/>
  <c r="BT477" i="12"/>
  <c r="BS477" i="12"/>
  <c r="BR477" i="12"/>
  <c r="BQ477" i="12"/>
  <c r="BP477" i="12"/>
  <c r="BO477" i="12"/>
  <c r="BN477" i="12"/>
  <c r="BM477" i="12"/>
  <c r="BL477" i="12"/>
  <c r="BK477" i="12"/>
  <c r="BJ477" i="12"/>
  <c r="BI477" i="12"/>
  <c r="BH477" i="12"/>
  <c r="BG477" i="12"/>
  <c r="BF477" i="12"/>
  <c r="BX476" i="12"/>
  <c r="BW476" i="12"/>
  <c r="BV476" i="12"/>
  <c r="BU476" i="12"/>
  <c r="BT476" i="12"/>
  <c r="BS476" i="12"/>
  <c r="BR476" i="12"/>
  <c r="BQ476" i="12"/>
  <c r="BP476" i="12"/>
  <c r="BO476" i="12"/>
  <c r="BN476" i="12"/>
  <c r="BM476" i="12"/>
  <c r="BL476" i="12"/>
  <c r="BK476" i="12"/>
  <c r="BJ476" i="12"/>
  <c r="BI476" i="12"/>
  <c r="BH476" i="12"/>
  <c r="BG476" i="12"/>
  <c r="BF476" i="12"/>
  <c r="BX475" i="12"/>
  <c r="BW475" i="12"/>
  <c r="BV475" i="12"/>
  <c r="BU475" i="12"/>
  <c r="BT475" i="12"/>
  <c r="BS475" i="12"/>
  <c r="BR475" i="12"/>
  <c r="BQ475" i="12"/>
  <c r="BP475" i="12"/>
  <c r="BO475" i="12"/>
  <c r="BN475" i="12"/>
  <c r="BM475" i="12"/>
  <c r="BL475" i="12"/>
  <c r="BK475" i="12"/>
  <c r="BJ475" i="12"/>
  <c r="BI475" i="12"/>
  <c r="BH475" i="12"/>
  <c r="BG475" i="12"/>
  <c r="BF475" i="12"/>
  <c r="BX474" i="12"/>
  <c r="BW474" i="12"/>
  <c r="BV474" i="12"/>
  <c r="BU474" i="12"/>
  <c r="BT474" i="12"/>
  <c r="BS474" i="12"/>
  <c r="BR474" i="12"/>
  <c r="BQ474" i="12"/>
  <c r="BP474" i="12"/>
  <c r="BO474" i="12"/>
  <c r="BN474" i="12"/>
  <c r="BM474" i="12"/>
  <c r="BL474" i="12"/>
  <c r="BK474" i="12"/>
  <c r="BJ474" i="12"/>
  <c r="BI474" i="12"/>
  <c r="BH474" i="12"/>
  <c r="BG474" i="12"/>
  <c r="BF474" i="12"/>
  <c r="BX473" i="12"/>
  <c r="BW473" i="12"/>
  <c r="BV473" i="12"/>
  <c r="BU473" i="12"/>
  <c r="BT473" i="12"/>
  <c r="BS473" i="12"/>
  <c r="BR473" i="12"/>
  <c r="BQ473" i="12"/>
  <c r="BP473" i="12"/>
  <c r="BO473" i="12"/>
  <c r="BN473" i="12"/>
  <c r="BM473" i="12"/>
  <c r="BL473" i="12"/>
  <c r="BK473" i="12"/>
  <c r="BJ473" i="12"/>
  <c r="BI473" i="12"/>
  <c r="BH473" i="12"/>
  <c r="BG473" i="12"/>
  <c r="BF473" i="12"/>
  <c r="BX472" i="12"/>
  <c r="BW472" i="12"/>
  <c r="BV472" i="12"/>
  <c r="BU472" i="12"/>
  <c r="BT472" i="12"/>
  <c r="BS472" i="12"/>
  <c r="BR472" i="12"/>
  <c r="BQ472" i="12"/>
  <c r="BP472" i="12"/>
  <c r="BO472" i="12"/>
  <c r="BN472" i="12"/>
  <c r="BM472" i="12"/>
  <c r="BL472" i="12"/>
  <c r="BK472" i="12"/>
  <c r="BJ472" i="12"/>
  <c r="BI472" i="12"/>
  <c r="BH472" i="12"/>
  <c r="BG472" i="12"/>
  <c r="BF472" i="12"/>
  <c r="BX471" i="12"/>
  <c r="BW471" i="12"/>
  <c r="BV471" i="12"/>
  <c r="BU471" i="12"/>
  <c r="BT471" i="12"/>
  <c r="BS471" i="12"/>
  <c r="BR471" i="12"/>
  <c r="BQ471" i="12"/>
  <c r="BP471" i="12"/>
  <c r="BO471" i="12"/>
  <c r="BN471" i="12"/>
  <c r="BM471" i="12"/>
  <c r="BL471" i="12"/>
  <c r="BK471" i="12"/>
  <c r="BJ471" i="12"/>
  <c r="BI471" i="12"/>
  <c r="BH471" i="12"/>
  <c r="BG471" i="12"/>
  <c r="BF471" i="12"/>
  <c r="BX470" i="12"/>
  <c r="BW470" i="12"/>
  <c r="BV470" i="12"/>
  <c r="BU470" i="12"/>
  <c r="BT470" i="12"/>
  <c r="BS470" i="12"/>
  <c r="BR470" i="12"/>
  <c r="BQ470" i="12"/>
  <c r="BP470" i="12"/>
  <c r="BO470" i="12"/>
  <c r="BN470" i="12"/>
  <c r="BM470" i="12"/>
  <c r="BL470" i="12"/>
  <c r="BK470" i="12"/>
  <c r="BJ470" i="12"/>
  <c r="BI470" i="12"/>
  <c r="BH470" i="12"/>
  <c r="BG470" i="12"/>
  <c r="BF470" i="12"/>
  <c r="BX469" i="12"/>
  <c r="BW469" i="12"/>
  <c r="BV469" i="12"/>
  <c r="BU469" i="12"/>
  <c r="BT469" i="12"/>
  <c r="BS469" i="12"/>
  <c r="BR469" i="12"/>
  <c r="BQ469" i="12"/>
  <c r="BP469" i="12"/>
  <c r="BO469" i="12"/>
  <c r="BN469" i="12"/>
  <c r="BM469" i="12"/>
  <c r="BL469" i="12"/>
  <c r="BK469" i="12"/>
  <c r="BJ469" i="12"/>
  <c r="BI469" i="12"/>
  <c r="BH469" i="12"/>
  <c r="BG469" i="12"/>
  <c r="BF469" i="12"/>
  <c r="BX468" i="12"/>
  <c r="BW468" i="12"/>
  <c r="BV468" i="12"/>
  <c r="BU468" i="12"/>
  <c r="BT468" i="12"/>
  <c r="BS468" i="12"/>
  <c r="BR468" i="12"/>
  <c r="BQ468" i="12"/>
  <c r="BP468" i="12"/>
  <c r="BO468" i="12"/>
  <c r="BN468" i="12"/>
  <c r="BM468" i="12"/>
  <c r="BL468" i="12"/>
  <c r="BK468" i="12"/>
  <c r="BJ468" i="12"/>
  <c r="BI468" i="12"/>
  <c r="BH468" i="12"/>
  <c r="BG468" i="12"/>
  <c r="BF468" i="12"/>
  <c r="BX467" i="12"/>
  <c r="BW467" i="12"/>
  <c r="BV467" i="12"/>
  <c r="BU467" i="12"/>
  <c r="BT467" i="12"/>
  <c r="BS467" i="12"/>
  <c r="BR467" i="12"/>
  <c r="BQ467" i="12"/>
  <c r="BP467" i="12"/>
  <c r="BO467" i="12"/>
  <c r="BN467" i="12"/>
  <c r="BM467" i="12"/>
  <c r="BL467" i="12"/>
  <c r="BK467" i="12"/>
  <c r="BJ467" i="12"/>
  <c r="BI467" i="12"/>
  <c r="BH467" i="12"/>
  <c r="BG467" i="12"/>
  <c r="BF467" i="12"/>
  <c r="BX466" i="12"/>
  <c r="BW466" i="12"/>
  <c r="BV466" i="12"/>
  <c r="BU466" i="12"/>
  <c r="BT466" i="12"/>
  <c r="BS466" i="12"/>
  <c r="BR466" i="12"/>
  <c r="BQ466" i="12"/>
  <c r="BP466" i="12"/>
  <c r="BO466" i="12"/>
  <c r="BN466" i="12"/>
  <c r="BM466" i="12"/>
  <c r="BL466" i="12"/>
  <c r="BK466" i="12"/>
  <c r="BJ466" i="12"/>
  <c r="BI466" i="12"/>
  <c r="BH466" i="12"/>
  <c r="BG466" i="12"/>
  <c r="BF466" i="12"/>
  <c r="BX465" i="12"/>
  <c r="BW465" i="12"/>
  <c r="BV465" i="12"/>
  <c r="BU465" i="12"/>
  <c r="BT465" i="12"/>
  <c r="BS465" i="12"/>
  <c r="BR465" i="12"/>
  <c r="BQ465" i="12"/>
  <c r="BP465" i="12"/>
  <c r="BO465" i="12"/>
  <c r="BN465" i="12"/>
  <c r="BM465" i="12"/>
  <c r="BL465" i="12"/>
  <c r="BK465" i="12"/>
  <c r="BJ465" i="12"/>
  <c r="BI465" i="12"/>
  <c r="BH465" i="12"/>
  <c r="BG465" i="12"/>
  <c r="BF465" i="12"/>
  <c r="BX464" i="12"/>
  <c r="BW464" i="12"/>
  <c r="BV464" i="12"/>
  <c r="BU464" i="12"/>
  <c r="BT464" i="12"/>
  <c r="BS464" i="12"/>
  <c r="BR464" i="12"/>
  <c r="BQ464" i="12"/>
  <c r="BP464" i="12"/>
  <c r="BO464" i="12"/>
  <c r="BN464" i="12"/>
  <c r="BM464" i="12"/>
  <c r="BL464" i="12"/>
  <c r="BK464" i="12"/>
  <c r="BJ464" i="12"/>
  <c r="BI464" i="12"/>
  <c r="BH464" i="12"/>
  <c r="BG464" i="12"/>
  <c r="BF464" i="12"/>
  <c r="BX463" i="12"/>
  <c r="BW463" i="12"/>
  <c r="BV463" i="12"/>
  <c r="BU463" i="12"/>
  <c r="BT463" i="12"/>
  <c r="BS463" i="12"/>
  <c r="BR463" i="12"/>
  <c r="BQ463" i="12"/>
  <c r="BP463" i="12"/>
  <c r="BO463" i="12"/>
  <c r="BN463" i="12"/>
  <c r="BM463" i="12"/>
  <c r="BL463" i="12"/>
  <c r="BK463" i="12"/>
  <c r="BJ463" i="12"/>
  <c r="BI463" i="12"/>
  <c r="BH463" i="12"/>
  <c r="BG463" i="12"/>
  <c r="BF463" i="12"/>
  <c r="BX462" i="12"/>
  <c r="BW462" i="12"/>
  <c r="BV462" i="12"/>
  <c r="BU462" i="12"/>
  <c r="BT462" i="12"/>
  <c r="BS462" i="12"/>
  <c r="BR462" i="12"/>
  <c r="BQ462" i="12"/>
  <c r="BP462" i="12"/>
  <c r="BO462" i="12"/>
  <c r="BN462" i="12"/>
  <c r="BM462" i="12"/>
  <c r="BL462" i="12"/>
  <c r="BK462" i="12"/>
  <c r="BJ462" i="12"/>
  <c r="BI462" i="12"/>
  <c r="BH462" i="12"/>
  <c r="BG462" i="12"/>
  <c r="BF462" i="12"/>
  <c r="BX461" i="12"/>
  <c r="BW461" i="12"/>
  <c r="BV461" i="12"/>
  <c r="BU461" i="12"/>
  <c r="BT461" i="12"/>
  <c r="BS461" i="12"/>
  <c r="BR461" i="12"/>
  <c r="BQ461" i="12"/>
  <c r="BP461" i="12"/>
  <c r="BO461" i="12"/>
  <c r="BN461" i="12"/>
  <c r="BM461" i="12"/>
  <c r="BL461" i="12"/>
  <c r="BK461" i="12"/>
  <c r="BJ461" i="12"/>
  <c r="BI461" i="12"/>
  <c r="BH461" i="12"/>
  <c r="BG461" i="12"/>
  <c r="BF461" i="12"/>
  <c r="BX460" i="12"/>
  <c r="BW460" i="12"/>
  <c r="BV460" i="12"/>
  <c r="BU460" i="12"/>
  <c r="BT460" i="12"/>
  <c r="BS460" i="12"/>
  <c r="BR460" i="12"/>
  <c r="BQ460" i="12"/>
  <c r="BP460" i="12"/>
  <c r="BO460" i="12"/>
  <c r="BN460" i="12"/>
  <c r="BM460" i="12"/>
  <c r="BL460" i="12"/>
  <c r="BK460" i="12"/>
  <c r="BJ460" i="12"/>
  <c r="BI460" i="12"/>
  <c r="BH460" i="12"/>
  <c r="BG460" i="12"/>
  <c r="BF460" i="12"/>
  <c r="BX459" i="12"/>
  <c r="BW459" i="12"/>
  <c r="BV459" i="12"/>
  <c r="BU459" i="12"/>
  <c r="BT459" i="12"/>
  <c r="BS459" i="12"/>
  <c r="BR459" i="12"/>
  <c r="BQ459" i="12"/>
  <c r="BP459" i="12"/>
  <c r="BO459" i="12"/>
  <c r="BN459" i="12"/>
  <c r="BM459" i="12"/>
  <c r="BL459" i="12"/>
  <c r="BK459" i="12"/>
  <c r="BJ459" i="12"/>
  <c r="BI459" i="12"/>
  <c r="BH459" i="12"/>
  <c r="BG459" i="12"/>
  <c r="BF459" i="12"/>
  <c r="BX458" i="12"/>
  <c r="BW458" i="12"/>
  <c r="BV458" i="12"/>
  <c r="BU458" i="12"/>
  <c r="BT458" i="12"/>
  <c r="BS458" i="12"/>
  <c r="BR458" i="12"/>
  <c r="BQ458" i="12"/>
  <c r="BP458" i="12"/>
  <c r="BO458" i="12"/>
  <c r="BN458" i="12"/>
  <c r="BM458" i="12"/>
  <c r="BL458" i="12"/>
  <c r="BK458" i="12"/>
  <c r="BJ458" i="12"/>
  <c r="BI458" i="12"/>
  <c r="BH458" i="12"/>
  <c r="BG458" i="12"/>
  <c r="BF458" i="12"/>
  <c r="BX457" i="12"/>
  <c r="BW457" i="12"/>
  <c r="BV457" i="12"/>
  <c r="BU457" i="12"/>
  <c r="BT457" i="12"/>
  <c r="BS457" i="12"/>
  <c r="BR457" i="12"/>
  <c r="BQ457" i="12"/>
  <c r="BP457" i="12"/>
  <c r="BO457" i="12"/>
  <c r="BN457" i="12"/>
  <c r="BM457" i="12"/>
  <c r="BL457" i="12"/>
  <c r="BK457" i="12"/>
  <c r="BJ457" i="12"/>
  <c r="BI457" i="12"/>
  <c r="BH457" i="12"/>
  <c r="BG457" i="12"/>
  <c r="BF457" i="12"/>
  <c r="BX456" i="12"/>
  <c r="BW456" i="12"/>
  <c r="BV456" i="12"/>
  <c r="BU456" i="12"/>
  <c r="BT456" i="12"/>
  <c r="BS456" i="12"/>
  <c r="BR456" i="12"/>
  <c r="BQ456" i="12"/>
  <c r="BP456" i="12"/>
  <c r="BO456" i="12"/>
  <c r="BN456" i="12"/>
  <c r="BM456" i="12"/>
  <c r="BL456" i="12"/>
  <c r="BK456" i="12"/>
  <c r="BJ456" i="12"/>
  <c r="BI456" i="12"/>
  <c r="BH456" i="12"/>
  <c r="BG456" i="12"/>
  <c r="BF456" i="12"/>
  <c r="BX455" i="12"/>
  <c r="BW455" i="12"/>
  <c r="BV455" i="12"/>
  <c r="BU455" i="12"/>
  <c r="BT455" i="12"/>
  <c r="BS455" i="12"/>
  <c r="BR455" i="12"/>
  <c r="BQ455" i="12"/>
  <c r="BP455" i="12"/>
  <c r="BO455" i="12"/>
  <c r="BN455" i="12"/>
  <c r="BM455" i="12"/>
  <c r="BL455" i="12"/>
  <c r="BK455" i="12"/>
  <c r="BJ455" i="12"/>
  <c r="BI455" i="12"/>
  <c r="BH455" i="12"/>
  <c r="BG455" i="12"/>
  <c r="BF455" i="12"/>
  <c r="BX454" i="12"/>
  <c r="BW454" i="12"/>
  <c r="BV454" i="12"/>
  <c r="BU454" i="12"/>
  <c r="BT454" i="12"/>
  <c r="BS454" i="12"/>
  <c r="BR454" i="12"/>
  <c r="BQ454" i="12"/>
  <c r="BP454" i="12"/>
  <c r="BO454" i="12"/>
  <c r="BN454" i="12"/>
  <c r="BM454" i="12"/>
  <c r="BL454" i="12"/>
  <c r="BK454" i="12"/>
  <c r="BJ454" i="12"/>
  <c r="BI454" i="12"/>
  <c r="BH454" i="12"/>
  <c r="BG454" i="12"/>
  <c r="BF454" i="12"/>
  <c r="BX453" i="12"/>
  <c r="BW453" i="12"/>
  <c r="BV453" i="12"/>
  <c r="BU453" i="12"/>
  <c r="BT453" i="12"/>
  <c r="BS453" i="12"/>
  <c r="BR453" i="12"/>
  <c r="BQ453" i="12"/>
  <c r="BP453" i="12"/>
  <c r="BO453" i="12"/>
  <c r="BN453" i="12"/>
  <c r="BM453" i="12"/>
  <c r="BL453" i="12"/>
  <c r="BK453" i="12"/>
  <c r="BJ453" i="12"/>
  <c r="BI453" i="12"/>
  <c r="BH453" i="12"/>
  <c r="BG453" i="12"/>
  <c r="BF453" i="12"/>
  <c r="BX452" i="12"/>
  <c r="BW452" i="12"/>
  <c r="BV452" i="12"/>
  <c r="BU452" i="12"/>
  <c r="BT452" i="12"/>
  <c r="BS452" i="12"/>
  <c r="BR452" i="12"/>
  <c r="BQ452" i="12"/>
  <c r="BP452" i="12"/>
  <c r="BO452" i="12"/>
  <c r="BN452" i="12"/>
  <c r="BM452" i="12"/>
  <c r="BL452" i="12"/>
  <c r="BK452" i="12"/>
  <c r="BJ452" i="12"/>
  <c r="BI452" i="12"/>
  <c r="BH452" i="12"/>
  <c r="BG452" i="12"/>
  <c r="BF452" i="12"/>
  <c r="BX451" i="12"/>
  <c r="BW451" i="12"/>
  <c r="BV451" i="12"/>
  <c r="BU451" i="12"/>
  <c r="BT451" i="12"/>
  <c r="BS451" i="12"/>
  <c r="BR451" i="12"/>
  <c r="BQ451" i="12"/>
  <c r="BP451" i="12"/>
  <c r="BO451" i="12"/>
  <c r="BN451" i="12"/>
  <c r="BM451" i="12"/>
  <c r="BL451" i="12"/>
  <c r="BK451" i="12"/>
  <c r="BJ451" i="12"/>
  <c r="BI451" i="12"/>
  <c r="BH451" i="12"/>
  <c r="BG451" i="12"/>
  <c r="BF451" i="12"/>
  <c r="BX450" i="12"/>
  <c r="BW450" i="12"/>
  <c r="BV450" i="12"/>
  <c r="BU450" i="12"/>
  <c r="BT450" i="12"/>
  <c r="BS450" i="12"/>
  <c r="BR450" i="12"/>
  <c r="BQ450" i="12"/>
  <c r="BP450" i="12"/>
  <c r="BO450" i="12"/>
  <c r="BN450" i="12"/>
  <c r="BM450" i="12"/>
  <c r="BL450" i="12"/>
  <c r="BK450" i="12"/>
  <c r="BJ450" i="12"/>
  <c r="BI450" i="12"/>
  <c r="BH450" i="12"/>
  <c r="BG450" i="12"/>
  <c r="BF450" i="12"/>
  <c r="BX449" i="12"/>
  <c r="BW449" i="12"/>
  <c r="BV449" i="12"/>
  <c r="BU449" i="12"/>
  <c r="BT449" i="12"/>
  <c r="BS449" i="12"/>
  <c r="BR449" i="12"/>
  <c r="BQ449" i="12"/>
  <c r="BP449" i="12"/>
  <c r="BO449" i="12"/>
  <c r="BN449" i="12"/>
  <c r="BM449" i="12"/>
  <c r="BL449" i="12"/>
  <c r="BK449" i="12"/>
  <c r="BJ449" i="12"/>
  <c r="BI449" i="12"/>
  <c r="BH449" i="12"/>
  <c r="BG449" i="12"/>
  <c r="BF449" i="12"/>
  <c r="BX448" i="12"/>
  <c r="BW448" i="12"/>
  <c r="BV448" i="12"/>
  <c r="BU448" i="12"/>
  <c r="BT448" i="12"/>
  <c r="BS448" i="12"/>
  <c r="BR448" i="12"/>
  <c r="BQ448" i="12"/>
  <c r="BP448" i="12"/>
  <c r="BO448" i="12"/>
  <c r="BN448" i="12"/>
  <c r="BM448" i="12"/>
  <c r="BL448" i="12"/>
  <c r="BK448" i="12"/>
  <c r="BJ448" i="12"/>
  <c r="BI448" i="12"/>
  <c r="BH448" i="12"/>
  <c r="BG448" i="12"/>
  <c r="BF448" i="12"/>
  <c r="BX447" i="12"/>
  <c r="BW447" i="12"/>
  <c r="BV447" i="12"/>
  <c r="BU447" i="12"/>
  <c r="BT447" i="12"/>
  <c r="BS447" i="12"/>
  <c r="BR447" i="12"/>
  <c r="BQ447" i="12"/>
  <c r="BP447" i="12"/>
  <c r="BO447" i="12"/>
  <c r="BN447" i="12"/>
  <c r="BM447" i="12"/>
  <c r="BL447" i="12"/>
  <c r="BK447" i="12"/>
  <c r="BJ447" i="12"/>
  <c r="BI447" i="12"/>
  <c r="BH447" i="12"/>
  <c r="BG447" i="12"/>
  <c r="BF447" i="12"/>
  <c r="BX446" i="12"/>
  <c r="BW446" i="12"/>
  <c r="BV446" i="12"/>
  <c r="BU446" i="12"/>
  <c r="BT446" i="12"/>
  <c r="BS446" i="12"/>
  <c r="BR446" i="12"/>
  <c r="BQ446" i="12"/>
  <c r="BP446" i="12"/>
  <c r="BO446" i="12"/>
  <c r="BN446" i="12"/>
  <c r="BM446" i="12"/>
  <c r="BL446" i="12"/>
  <c r="BK446" i="12"/>
  <c r="BJ446" i="12"/>
  <c r="BI446" i="12"/>
  <c r="BH446" i="12"/>
  <c r="BG446" i="12"/>
  <c r="BF446" i="12"/>
  <c r="BX445" i="12"/>
  <c r="BW445" i="12"/>
  <c r="BV445" i="12"/>
  <c r="BU445" i="12"/>
  <c r="BT445" i="12"/>
  <c r="BS445" i="12"/>
  <c r="BR445" i="12"/>
  <c r="BQ445" i="12"/>
  <c r="BP445" i="12"/>
  <c r="BO445" i="12"/>
  <c r="BN445" i="12"/>
  <c r="BM445" i="12"/>
  <c r="BL445" i="12"/>
  <c r="BK445" i="12"/>
  <c r="BJ445" i="12"/>
  <c r="BI445" i="12"/>
  <c r="BH445" i="12"/>
  <c r="BG445" i="12"/>
  <c r="BF445" i="12"/>
  <c r="BX444" i="12"/>
  <c r="BW444" i="12"/>
  <c r="BV444" i="12"/>
  <c r="BU444" i="12"/>
  <c r="BT444" i="12"/>
  <c r="BS444" i="12"/>
  <c r="BR444" i="12"/>
  <c r="BQ444" i="12"/>
  <c r="BP444" i="12"/>
  <c r="BO444" i="12"/>
  <c r="BN444" i="12"/>
  <c r="BM444" i="12"/>
  <c r="BL444" i="12"/>
  <c r="BK444" i="12"/>
  <c r="BJ444" i="12"/>
  <c r="BI444" i="12"/>
  <c r="BH444" i="12"/>
  <c r="BG444" i="12"/>
  <c r="BF444" i="12"/>
  <c r="BX443" i="12"/>
  <c r="BW443" i="12"/>
  <c r="BV443" i="12"/>
  <c r="BU443" i="12"/>
  <c r="BT443" i="12"/>
  <c r="BS443" i="12"/>
  <c r="BR443" i="12"/>
  <c r="BQ443" i="12"/>
  <c r="BP443" i="12"/>
  <c r="BO443" i="12"/>
  <c r="BN443" i="12"/>
  <c r="BM443" i="12"/>
  <c r="BL443" i="12"/>
  <c r="BK443" i="12"/>
  <c r="BJ443" i="12"/>
  <c r="BI443" i="12"/>
  <c r="BH443" i="12"/>
  <c r="BG443" i="12"/>
  <c r="BF443" i="12"/>
  <c r="BX442" i="12"/>
  <c r="BW442" i="12"/>
  <c r="BV442" i="12"/>
  <c r="BU442" i="12"/>
  <c r="BT442" i="12"/>
  <c r="BS442" i="12"/>
  <c r="BR442" i="12"/>
  <c r="BQ442" i="12"/>
  <c r="BP442" i="12"/>
  <c r="BO442" i="12"/>
  <c r="BN442" i="12"/>
  <c r="BM442" i="12"/>
  <c r="BL442" i="12"/>
  <c r="BK442" i="12"/>
  <c r="BJ442" i="12"/>
  <c r="BI442" i="12"/>
  <c r="BH442" i="12"/>
  <c r="BG442" i="12"/>
  <c r="BF442" i="12"/>
  <c r="BX441" i="12"/>
  <c r="BW441" i="12"/>
  <c r="BV441" i="12"/>
  <c r="BU441" i="12"/>
  <c r="BT441" i="12"/>
  <c r="BS441" i="12"/>
  <c r="BR441" i="12"/>
  <c r="BQ441" i="12"/>
  <c r="BP441" i="12"/>
  <c r="BO441" i="12"/>
  <c r="BN441" i="12"/>
  <c r="BM441" i="12"/>
  <c r="BL441" i="12"/>
  <c r="BK441" i="12"/>
  <c r="BJ441" i="12"/>
  <c r="BI441" i="12"/>
  <c r="BH441" i="12"/>
  <c r="BG441" i="12"/>
  <c r="BF441" i="12"/>
  <c r="BX440" i="12"/>
  <c r="BW440" i="12"/>
  <c r="BV440" i="12"/>
  <c r="BU440" i="12"/>
  <c r="BT440" i="12"/>
  <c r="BS440" i="12"/>
  <c r="BR440" i="12"/>
  <c r="BQ440" i="12"/>
  <c r="BP440" i="12"/>
  <c r="BO440" i="12"/>
  <c r="BN440" i="12"/>
  <c r="BM440" i="12"/>
  <c r="BL440" i="12"/>
  <c r="BK440" i="12"/>
  <c r="BJ440" i="12"/>
  <c r="BI440" i="12"/>
  <c r="BH440" i="12"/>
  <c r="BG440" i="12"/>
  <c r="BF440" i="12"/>
  <c r="BX439" i="12"/>
  <c r="BW439" i="12"/>
  <c r="BV439" i="12"/>
  <c r="BU439" i="12"/>
  <c r="BT439" i="12"/>
  <c r="BS439" i="12"/>
  <c r="BR439" i="12"/>
  <c r="BQ439" i="12"/>
  <c r="BP439" i="12"/>
  <c r="BO439" i="12"/>
  <c r="BN439" i="12"/>
  <c r="BM439" i="12"/>
  <c r="BL439" i="12"/>
  <c r="BK439" i="12"/>
  <c r="BJ439" i="12"/>
  <c r="BI439" i="12"/>
  <c r="BH439" i="12"/>
  <c r="BG439" i="12"/>
  <c r="BF439" i="12"/>
  <c r="BX438" i="12"/>
  <c r="BW438" i="12"/>
  <c r="BV438" i="12"/>
  <c r="BU438" i="12"/>
  <c r="BT438" i="12"/>
  <c r="BS438" i="12"/>
  <c r="BR438" i="12"/>
  <c r="BQ438" i="12"/>
  <c r="BP438" i="12"/>
  <c r="BO438" i="12"/>
  <c r="BN438" i="12"/>
  <c r="BM438" i="12"/>
  <c r="BL438" i="12"/>
  <c r="BK438" i="12"/>
  <c r="BJ438" i="12"/>
  <c r="BI438" i="12"/>
  <c r="BH438" i="12"/>
  <c r="BG438" i="12"/>
  <c r="BF438" i="12"/>
  <c r="BX437" i="12"/>
  <c r="BW437" i="12"/>
  <c r="BV437" i="12"/>
  <c r="BU437" i="12"/>
  <c r="BT437" i="12"/>
  <c r="BS437" i="12"/>
  <c r="BR437" i="12"/>
  <c r="BQ437" i="12"/>
  <c r="BP437" i="12"/>
  <c r="BO437" i="12"/>
  <c r="BN437" i="12"/>
  <c r="BM437" i="12"/>
  <c r="BL437" i="12"/>
  <c r="BK437" i="12"/>
  <c r="BJ437" i="12"/>
  <c r="BI437" i="12"/>
  <c r="BH437" i="12"/>
  <c r="BG437" i="12"/>
  <c r="BF437" i="12"/>
  <c r="BX436" i="12"/>
  <c r="BW436" i="12"/>
  <c r="BV436" i="12"/>
  <c r="BU436" i="12"/>
  <c r="BT436" i="12"/>
  <c r="BS436" i="12"/>
  <c r="BR436" i="12"/>
  <c r="BQ436" i="12"/>
  <c r="BP436" i="12"/>
  <c r="BO436" i="12"/>
  <c r="BN436" i="12"/>
  <c r="BM436" i="12"/>
  <c r="BL436" i="12"/>
  <c r="BK436" i="12"/>
  <c r="BJ436" i="12"/>
  <c r="BI436" i="12"/>
  <c r="BH436" i="12"/>
  <c r="BG436" i="12"/>
  <c r="BF436" i="12"/>
  <c r="BX435" i="12"/>
  <c r="BW435" i="12"/>
  <c r="BV435" i="12"/>
  <c r="BU435" i="12"/>
  <c r="BT435" i="12"/>
  <c r="BS435" i="12"/>
  <c r="BR435" i="12"/>
  <c r="BQ435" i="12"/>
  <c r="BP435" i="12"/>
  <c r="BO435" i="12"/>
  <c r="BN435" i="12"/>
  <c r="BM435" i="12"/>
  <c r="BL435" i="12"/>
  <c r="BK435" i="12"/>
  <c r="BJ435" i="12"/>
  <c r="BI435" i="12"/>
  <c r="BH435" i="12"/>
  <c r="BG435" i="12"/>
  <c r="BF435" i="12"/>
  <c r="BX434" i="12"/>
  <c r="BW434" i="12"/>
  <c r="BV434" i="12"/>
  <c r="BU434" i="12"/>
  <c r="BT434" i="12"/>
  <c r="BS434" i="12"/>
  <c r="BR434" i="12"/>
  <c r="BQ434" i="12"/>
  <c r="BP434" i="12"/>
  <c r="BO434" i="12"/>
  <c r="BN434" i="12"/>
  <c r="BM434" i="12"/>
  <c r="BL434" i="12"/>
  <c r="BK434" i="12"/>
  <c r="BJ434" i="12"/>
  <c r="BI434" i="12"/>
  <c r="BH434" i="12"/>
  <c r="BG434" i="12"/>
  <c r="BF434" i="12"/>
  <c r="BX433" i="12"/>
  <c r="BW433" i="12"/>
  <c r="BV433" i="12"/>
  <c r="BU433" i="12"/>
  <c r="BT433" i="12"/>
  <c r="BS433" i="12"/>
  <c r="BR433" i="12"/>
  <c r="BQ433" i="12"/>
  <c r="BP433" i="12"/>
  <c r="BO433" i="12"/>
  <c r="BN433" i="12"/>
  <c r="BM433" i="12"/>
  <c r="BL433" i="12"/>
  <c r="BK433" i="12"/>
  <c r="BJ433" i="12"/>
  <c r="BI433" i="12"/>
  <c r="BH433" i="12"/>
  <c r="BG433" i="12"/>
  <c r="BF433" i="12"/>
  <c r="BX432" i="12"/>
  <c r="BW432" i="12"/>
  <c r="BV432" i="12"/>
  <c r="BU432" i="12"/>
  <c r="BT432" i="12"/>
  <c r="BS432" i="12"/>
  <c r="BR432" i="12"/>
  <c r="BQ432" i="12"/>
  <c r="BP432" i="12"/>
  <c r="BO432" i="12"/>
  <c r="BN432" i="12"/>
  <c r="BM432" i="12"/>
  <c r="BL432" i="12"/>
  <c r="BK432" i="12"/>
  <c r="BJ432" i="12"/>
  <c r="BI432" i="12"/>
  <c r="BH432" i="12"/>
  <c r="BG432" i="12"/>
  <c r="BF432" i="12"/>
  <c r="BX431" i="12"/>
  <c r="BW431" i="12"/>
  <c r="BV431" i="12"/>
  <c r="BU431" i="12"/>
  <c r="BT431" i="12"/>
  <c r="BS431" i="12"/>
  <c r="BR431" i="12"/>
  <c r="BQ431" i="12"/>
  <c r="BP431" i="12"/>
  <c r="BO431" i="12"/>
  <c r="BN431" i="12"/>
  <c r="BM431" i="12"/>
  <c r="BL431" i="12"/>
  <c r="BK431" i="12"/>
  <c r="BJ431" i="12"/>
  <c r="BI431" i="12"/>
  <c r="BH431" i="12"/>
  <c r="BG431" i="12"/>
  <c r="BF431" i="12"/>
  <c r="BX430" i="12"/>
  <c r="BW430" i="12"/>
  <c r="BV430" i="12"/>
  <c r="BU430" i="12"/>
  <c r="BT430" i="12"/>
  <c r="BS430" i="12"/>
  <c r="BR430" i="12"/>
  <c r="BQ430" i="12"/>
  <c r="BP430" i="12"/>
  <c r="BO430" i="12"/>
  <c r="BN430" i="12"/>
  <c r="BM430" i="12"/>
  <c r="BL430" i="12"/>
  <c r="BK430" i="12"/>
  <c r="BJ430" i="12"/>
  <c r="BI430" i="12"/>
  <c r="BH430" i="12"/>
  <c r="BG430" i="12"/>
  <c r="BF430" i="12"/>
  <c r="BX429" i="12"/>
  <c r="BW429" i="12"/>
  <c r="BV429" i="12"/>
  <c r="BU429" i="12"/>
  <c r="BT429" i="12"/>
  <c r="BS429" i="12"/>
  <c r="BR429" i="12"/>
  <c r="BQ429" i="12"/>
  <c r="BP429" i="12"/>
  <c r="BO429" i="12"/>
  <c r="BN429" i="12"/>
  <c r="BM429" i="12"/>
  <c r="BL429" i="12"/>
  <c r="BK429" i="12"/>
  <c r="BJ429" i="12"/>
  <c r="BI429" i="12"/>
  <c r="BH429" i="12"/>
  <c r="BG429" i="12"/>
  <c r="BF429" i="12"/>
  <c r="BX428" i="12"/>
  <c r="BW428" i="12"/>
  <c r="BV428" i="12"/>
  <c r="BU428" i="12"/>
  <c r="BT428" i="12"/>
  <c r="BS428" i="12"/>
  <c r="BR428" i="12"/>
  <c r="BQ428" i="12"/>
  <c r="BP428" i="12"/>
  <c r="BO428" i="12"/>
  <c r="BN428" i="12"/>
  <c r="BM428" i="12"/>
  <c r="BL428" i="12"/>
  <c r="BK428" i="12"/>
  <c r="BJ428" i="12"/>
  <c r="BI428" i="12"/>
  <c r="BH428" i="12"/>
  <c r="BG428" i="12"/>
  <c r="BF428" i="12"/>
  <c r="BX427" i="12"/>
  <c r="BW427" i="12"/>
  <c r="BV427" i="12"/>
  <c r="BU427" i="12"/>
  <c r="BT427" i="12"/>
  <c r="BS427" i="12"/>
  <c r="BR427" i="12"/>
  <c r="BQ427" i="12"/>
  <c r="BP427" i="12"/>
  <c r="BO427" i="12"/>
  <c r="BN427" i="12"/>
  <c r="BM427" i="12"/>
  <c r="BL427" i="12"/>
  <c r="BK427" i="12"/>
  <c r="BJ427" i="12"/>
  <c r="BI427" i="12"/>
  <c r="BH427" i="12"/>
  <c r="BG427" i="12"/>
  <c r="BF427" i="12"/>
  <c r="BX426" i="12"/>
  <c r="BW426" i="12"/>
  <c r="BV426" i="12"/>
  <c r="BU426" i="12"/>
  <c r="BT426" i="12"/>
  <c r="BS426" i="12"/>
  <c r="BR426" i="12"/>
  <c r="BQ426" i="12"/>
  <c r="BP426" i="12"/>
  <c r="BO426" i="12"/>
  <c r="BN426" i="12"/>
  <c r="BM426" i="12"/>
  <c r="BL426" i="12"/>
  <c r="BK426" i="12"/>
  <c r="BJ426" i="12"/>
  <c r="BI426" i="12"/>
  <c r="BH426" i="12"/>
  <c r="BG426" i="12"/>
  <c r="BF426" i="12"/>
  <c r="BX425" i="12"/>
  <c r="BW425" i="12"/>
  <c r="BV425" i="12"/>
  <c r="BU425" i="12"/>
  <c r="BT425" i="12"/>
  <c r="BS425" i="12"/>
  <c r="BR425" i="12"/>
  <c r="BQ425" i="12"/>
  <c r="BP425" i="12"/>
  <c r="BO425" i="12"/>
  <c r="BN425" i="12"/>
  <c r="BM425" i="12"/>
  <c r="BL425" i="12"/>
  <c r="BK425" i="12"/>
  <c r="BJ425" i="12"/>
  <c r="BI425" i="12"/>
  <c r="BH425" i="12"/>
  <c r="BG425" i="12"/>
  <c r="BF425" i="12"/>
  <c r="BX424" i="12"/>
  <c r="BW424" i="12"/>
  <c r="BV424" i="12"/>
  <c r="BU424" i="12"/>
  <c r="BT424" i="12"/>
  <c r="BS424" i="12"/>
  <c r="BR424" i="12"/>
  <c r="BQ424" i="12"/>
  <c r="BP424" i="12"/>
  <c r="BO424" i="12"/>
  <c r="BN424" i="12"/>
  <c r="BM424" i="12"/>
  <c r="BL424" i="12"/>
  <c r="BK424" i="12"/>
  <c r="BJ424" i="12"/>
  <c r="BI424" i="12"/>
  <c r="BH424" i="12"/>
  <c r="BG424" i="12"/>
  <c r="BF424" i="12"/>
  <c r="BX423" i="12"/>
  <c r="BW423" i="12"/>
  <c r="BV423" i="12"/>
  <c r="BU423" i="12"/>
  <c r="BT423" i="12"/>
  <c r="BS423" i="12"/>
  <c r="BR423" i="12"/>
  <c r="BQ423" i="12"/>
  <c r="BP423" i="12"/>
  <c r="BO423" i="12"/>
  <c r="BN423" i="12"/>
  <c r="BM423" i="12"/>
  <c r="BL423" i="12"/>
  <c r="BK423" i="12"/>
  <c r="BJ423" i="12"/>
  <c r="BI423" i="12"/>
  <c r="BH423" i="12"/>
  <c r="BG423" i="12"/>
  <c r="BF423" i="12"/>
  <c r="BX422" i="12"/>
  <c r="BW422" i="12"/>
  <c r="BV422" i="12"/>
  <c r="BU422" i="12"/>
  <c r="BT422" i="12"/>
  <c r="BS422" i="12"/>
  <c r="BR422" i="12"/>
  <c r="BQ422" i="12"/>
  <c r="BP422" i="12"/>
  <c r="BO422" i="12"/>
  <c r="BN422" i="12"/>
  <c r="BM422" i="12"/>
  <c r="BL422" i="12"/>
  <c r="BK422" i="12"/>
  <c r="BJ422" i="12"/>
  <c r="BI422" i="12"/>
  <c r="BH422" i="12"/>
  <c r="BG422" i="12"/>
  <c r="BF422" i="12"/>
  <c r="BX421" i="12"/>
  <c r="BW421" i="12"/>
  <c r="BV421" i="12"/>
  <c r="BU421" i="12"/>
  <c r="BT421" i="12"/>
  <c r="BS421" i="12"/>
  <c r="BR421" i="12"/>
  <c r="BQ421" i="12"/>
  <c r="BP421" i="12"/>
  <c r="BO421" i="12"/>
  <c r="BN421" i="12"/>
  <c r="BM421" i="12"/>
  <c r="BL421" i="12"/>
  <c r="BK421" i="12"/>
  <c r="BJ421" i="12"/>
  <c r="BI421" i="12"/>
  <c r="BH421" i="12"/>
  <c r="BG421" i="12"/>
  <c r="BF421" i="12"/>
  <c r="BX420" i="12"/>
  <c r="BW420" i="12"/>
  <c r="BV420" i="12"/>
  <c r="BU420" i="12"/>
  <c r="BT420" i="12"/>
  <c r="BS420" i="12"/>
  <c r="BR420" i="12"/>
  <c r="BQ420" i="12"/>
  <c r="BP420" i="12"/>
  <c r="BO420" i="12"/>
  <c r="BN420" i="12"/>
  <c r="BM420" i="12"/>
  <c r="BL420" i="12"/>
  <c r="BK420" i="12"/>
  <c r="BJ420" i="12"/>
  <c r="BI420" i="12"/>
  <c r="BH420" i="12"/>
  <c r="BG420" i="12"/>
  <c r="BF420" i="12"/>
  <c r="BX419" i="12"/>
  <c r="BW419" i="12"/>
  <c r="BV419" i="12"/>
  <c r="BU419" i="12"/>
  <c r="BT419" i="12"/>
  <c r="BS419" i="12"/>
  <c r="BR419" i="12"/>
  <c r="BQ419" i="12"/>
  <c r="BP419" i="12"/>
  <c r="BO419" i="12"/>
  <c r="BN419" i="12"/>
  <c r="BM419" i="12"/>
  <c r="BL419" i="12"/>
  <c r="BK419" i="12"/>
  <c r="BJ419" i="12"/>
  <c r="BI419" i="12"/>
  <c r="BH419" i="12"/>
  <c r="BG419" i="12"/>
  <c r="BF419" i="12"/>
  <c r="BX418" i="12"/>
  <c r="BW418" i="12"/>
  <c r="BV418" i="12"/>
  <c r="BU418" i="12"/>
  <c r="BT418" i="12"/>
  <c r="BS418" i="12"/>
  <c r="BR418" i="12"/>
  <c r="BQ418" i="12"/>
  <c r="BP418" i="12"/>
  <c r="BO418" i="12"/>
  <c r="BN418" i="12"/>
  <c r="BM418" i="12"/>
  <c r="BL418" i="12"/>
  <c r="BK418" i="12"/>
  <c r="BJ418" i="12"/>
  <c r="BI418" i="12"/>
  <c r="BH418" i="12"/>
  <c r="BG418" i="12"/>
  <c r="BF418" i="12"/>
  <c r="BX417" i="12"/>
  <c r="BW417" i="12"/>
  <c r="BV417" i="12"/>
  <c r="BU417" i="12"/>
  <c r="BT417" i="12"/>
  <c r="BS417" i="12"/>
  <c r="BR417" i="12"/>
  <c r="BQ417" i="12"/>
  <c r="BP417" i="12"/>
  <c r="BO417" i="12"/>
  <c r="BN417" i="12"/>
  <c r="BM417" i="12"/>
  <c r="BL417" i="12"/>
  <c r="BK417" i="12"/>
  <c r="BJ417" i="12"/>
  <c r="BI417" i="12"/>
  <c r="BH417" i="12"/>
  <c r="BG417" i="12"/>
  <c r="BF417" i="12"/>
  <c r="BX416" i="12"/>
  <c r="BW416" i="12"/>
  <c r="BV416" i="12"/>
  <c r="BU416" i="12"/>
  <c r="BT416" i="12"/>
  <c r="BS416" i="12"/>
  <c r="BR416" i="12"/>
  <c r="BQ416" i="12"/>
  <c r="BP416" i="12"/>
  <c r="BO416" i="12"/>
  <c r="BN416" i="12"/>
  <c r="BM416" i="12"/>
  <c r="BL416" i="12"/>
  <c r="BK416" i="12"/>
  <c r="BJ416" i="12"/>
  <c r="BI416" i="12"/>
  <c r="BH416" i="12"/>
  <c r="BG416" i="12"/>
  <c r="BF416" i="12"/>
  <c r="BX415" i="12"/>
  <c r="BW415" i="12"/>
  <c r="BV415" i="12"/>
  <c r="BU415" i="12"/>
  <c r="BT415" i="12"/>
  <c r="BS415" i="12"/>
  <c r="BR415" i="12"/>
  <c r="BQ415" i="12"/>
  <c r="BP415" i="12"/>
  <c r="BO415" i="12"/>
  <c r="BN415" i="12"/>
  <c r="BM415" i="12"/>
  <c r="BL415" i="12"/>
  <c r="BK415" i="12"/>
  <c r="BJ415" i="12"/>
  <c r="BI415" i="12"/>
  <c r="BH415" i="12"/>
  <c r="BG415" i="12"/>
  <c r="BF415" i="12"/>
  <c r="BX414" i="12"/>
  <c r="BW414" i="12"/>
  <c r="BV414" i="12"/>
  <c r="BU414" i="12"/>
  <c r="BT414" i="12"/>
  <c r="BS414" i="12"/>
  <c r="BR414" i="12"/>
  <c r="BQ414" i="12"/>
  <c r="BP414" i="12"/>
  <c r="BO414" i="12"/>
  <c r="BN414" i="12"/>
  <c r="BM414" i="12"/>
  <c r="BL414" i="12"/>
  <c r="BK414" i="12"/>
  <c r="BJ414" i="12"/>
  <c r="BI414" i="12"/>
  <c r="BH414" i="12"/>
  <c r="BG414" i="12"/>
  <c r="BF414" i="12"/>
  <c r="BX413" i="12"/>
  <c r="BW413" i="12"/>
  <c r="BV413" i="12"/>
  <c r="BU413" i="12"/>
  <c r="BT413" i="12"/>
  <c r="BS413" i="12"/>
  <c r="BR413" i="12"/>
  <c r="BQ413" i="12"/>
  <c r="BP413" i="12"/>
  <c r="BO413" i="12"/>
  <c r="BN413" i="12"/>
  <c r="BM413" i="12"/>
  <c r="BL413" i="12"/>
  <c r="BK413" i="12"/>
  <c r="BJ413" i="12"/>
  <c r="BI413" i="12"/>
  <c r="BH413" i="12"/>
  <c r="BG413" i="12"/>
  <c r="BF413" i="12"/>
  <c r="BX412" i="12"/>
  <c r="BW412" i="12"/>
  <c r="BV412" i="12"/>
  <c r="BU412" i="12"/>
  <c r="BT412" i="12"/>
  <c r="BS412" i="12"/>
  <c r="BR412" i="12"/>
  <c r="BQ412" i="12"/>
  <c r="BP412" i="12"/>
  <c r="BO412" i="12"/>
  <c r="BN412" i="12"/>
  <c r="BM412" i="12"/>
  <c r="BL412" i="12"/>
  <c r="BK412" i="12"/>
  <c r="BJ412" i="12"/>
  <c r="BI412" i="12"/>
  <c r="BH412" i="12"/>
  <c r="BG412" i="12"/>
  <c r="BF412" i="12"/>
  <c r="BX411" i="12"/>
  <c r="BW411" i="12"/>
  <c r="BV411" i="12"/>
  <c r="BU411" i="12"/>
  <c r="BT411" i="12"/>
  <c r="BS411" i="12"/>
  <c r="BR411" i="12"/>
  <c r="BQ411" i="12"/>
  <c r="BP411" i="12"/>
  <c r="BO411" i="12"/>
  <c r="BN411" i="12"/>
  <c r="BM411" i="12"/>
  <c r="BL411" i="12"/>
  <c r="BK411" i="12"/>
  <c r="BJ411" i="12"/>
  <c r="BI411" i="12"/>
  <c r="BH411" i="12"/>
  <c r="BG411" i="12"/>
  <c r="BF411" i="12"/>
  <c r="BX410" i="12"/>
  <c r="BW410" i="12"/>
  <c r="BV410" i="12"/>
  <c r="BU410" i="12"/>
  <c r="BT410" i="12"/>
  <c r="BS410" i="12"/>
  <c r="BR410" i="12"/>
  <c r="BQ410" i="12"/>
  <c r="BP410" i="12"/>
  <c r="BO410" i="12"/>
  <c r="BN410" i="12"/>
  <c r="BM410" i="12"/>
  <c r="BL410" i="12"/>
  <c r="BK410" i="12"/>
  <c r="BJ410" i="12"/>
  <c r="BI410" i="12"/>
  <c r="BH410" i="12"/>
  <c r="BG410" i="12"/>
  <c r="BF410" i="12"/>
  <c r="BX409" i="12"/>
  <c r="BW409" i="12"/>
  <c r="BV409" i="12"/>
  <c r="BU409" i="12"/>
  <c r="BT409" i="12"/>
  <c r="BS409" i="12"/>
  <c r="BR409" i="12"/>
  <c r="BQ409" i="12"/>
  <c r="BP409" i="12"/>
  <c r="BO409" i="12"/>
  <c r="BN409" i="12"/>
  <c r="BM409" i="12"/>
  <c r="BL409" i="12"/>
  <c r="BK409" i="12"/>
  <c r="BJ409" i="12"/>
  <c r="BI409" i="12"/>
  <c r="BH409" i="12"/>
  <c r="BG409" i="12"/>
  <c r="BF409" i="12"/>
  <c r="BX408" i="12"/>
  <c r="BW408" i="12"/>
  <c r="BV408" i="12"/>
  <c r="BU408" i="12"/>
  <c r="BT408" i="12"/>
  <c r="BS408" i="12"/>
  <c r="BR408" i="12"/>
  <c r="BQ408" i="12"/>
  <c r="BP408" i="12"/>
  <c r="BO408" i="12"/>
  <c r="BN408" i="12"/>
  <c r="BM408" i="12"/>
  <c r="BL408" i="12"/>
  <c r="BK408" i="12"/>
  <c r="BJ408" i="12"/>
  <c r="BI408" i="12"/>
  <c r="BH408" i="12"/>
  <c r="BG408" i="12"/>
  <c r="BF408" i="12"/>
  <c r="BX407" i="12"/>
  <c r="BW407" i="12"/>
  <c r="BV407" i="12"/>
  <c r="BU407" i="12"/>
  <c r="BT407" i="12"/>
  <c r="BS407" i="12"/>
  <c r="BR407" i="12"/>
  <c r="BQ407" i="12"/>
  <c r="BP407" i="12"/>
  <c r="BO407" i="12"/>
  <c r="BN407" i="12"/>
  <c r="BM407" i="12"/>
  <c r="BL407" i="12"/>
  <c r="BK407" i="12"/>
  <c r="BJ407" i="12"/>
  <c r="BI407" i="12"/>
  <c r="BH407" i="12"/>
  <c r="BG407" i="12"/>
  <c r="BF407" i="12"/>
  <c r="BX406" i="12"/>
  <c r="BW406" i="12"/>
  <c r="BV406" i="12"/>
  <c r="BU406" i="12"/>
  <c r="BT406" i="12"/>
  <c r="BS406" i="12"/>
  <c r="BR406" i="12"/>
  <c r="BQ406" i="12"/>
  <c r="BP406" i="12"/>
  <c r="BO406" i="12"/>
  <c r="BN406" i="12"/>
  <c r="BM406" i="12"/>
  <c r="BL406" i="12"/>
  <c r="BK406" i="12"/>
  <c r="BJ406" i="12"/>
  <c r="BI406" i="12"/>
  <c r="BH406" i="12"/>
  <c r="BG406" i="12"/>
  <c r="BF406" i="12"/>
  <c r="BX405" i="12"/>
  <c r="BW405" i="12"/>
  <c r="BV405" i="12"/>
  <c r="BU405" i="12"/>
  <c r="BT405" i="12"/>
  <c r="BS405" i="12"/>
  <c r="BR405" i="12"/>
  <c r="BQ405" i="12"/>
  <c r="BP405" i="12"/>
  <c r="BO405" i="12"/>
  <c r="BN405" i="12"/>
  <c r="BM405" i="12"/>
  <c r="BL405" i="12"/>
  <c r="BK405" i="12"/>
  <c r="BJ405" i="12"/>
  <c r="BI405" i="12"/>
  <c r="BH405" i="12"/>
  <c r="BG405" i="12"/>
  <c r="BF405" i="12"/>
  <c r="BX404" i="12"/>
  <c r="BW404" i="12"/>
  <c r="BV404" i="12"/>
  <c r="BU404" i="12"/>
  <c r="BT404" i="12"/>
  <c r="BS404" i="12"/>
  <c r="BR404" i="12"/>
  <c r="BQ404" i="12"/>
  <c r="BP404" i="12"/>
  <c r="BO404" i="12"/>
  <c r="BN404" i="12"/>
  <c r="BM404" i="12"/>
  <c r="BL404" i="12"/>
  <c r="BK404" i="12"/>
  <c r="BJ404" i="12"/>
  <c r="BI404" i="12"/>
  <c r="BH404" i="12"/>
  <c r="BG404" i="12"/>
  <c r="BF404" i="12"/>
  <c r="BX403" i="12"/>
  <c r="BW403" i="12"/>
  <c r="BV403" i="12"/>
  <c r="BU403" i="12"/>
  <c r="BT403" i="12"/>
  <c r="BS403" i="12"/>
  <c r="BR403" i="12"/>
  <c r="BQ403" i="12"/>
  <c r="BP403" i="12"/>
  <c r="BO403" i="12"/>
  <c r="BN403" i="12"/>
  <c r="BM403" i="12"/>
  <c r="BL403" i="12"/>
  <c r="BK403" i="12"/>
  <c r="BJ403" i="12"/>
  <c r="BI403" i="12"/>
  <c r="BH403" i="12"/>
  <c r="BG403" i="12"/>
  <c r="BF403" i="12"/>
  <c r="BX402" i="12"/>
  <c r="BW402" i="12"/>
  <c r="BV402" i="12"/>
  <c r="BU402" i="12"/>
  <c r="BT402" i="12"/>
  <c r="BS402" i="12"/>
  <c r="BR402" i="12"/>
  <c r="BQ402" i="12"/>
  <c r="BP402" i="12"/>
  <c r="BO402" i="12"/>
  <c r="BN402" i="12"/>
  <c r="BM402" i="12"/>
  <c r="BL402" i="12"/>
  <c r="BK402" i="12"/>
  <c r="BJ402" i="12"/>
  <c r="BI402" i="12"/>
  <c r="BH402" i="12"/>
  <c r="BG402" i="12"/>
  <c r="BF402" i="12"/>
  <c r="BX401" i="12"/>
  <c r="BW401" i="12"/>
  <c r="BV401" i="12"/>
  <c r="BU401" i="12"/>
  <c r="BT401" i="12"/>
  <c r="BS401" i="12"/>
  <c r="BR401" i="12"/>
  <c r="BQ401" i="12"/>
  <c r="BP401" i="12"/>
  <c r="BO401" i="12"/>
  <c r="BN401" i="12"/>
  <c r="BM401" i="12"/>
  <c r="BL401" i="12"/>
  <c r="BK401" i="12"/>
  <c r="BJ401" i="12"/>
  <c r="BI401" i="12"/>
  <c r="BH401" i="12"/>
  <c r="BG401" i="12"/>
  <c r="BF401" i="12"/>
  <c r="BX400" i="12"/>
  <c r="BW400" i="12"/>
  <c r="BV400" i="12"/>
  <c r="BU400" i="12"/>
  <c r="BT400" i="12"/>
  <c r="BS400" i="12"/>
  <c r="BR400" i="12"/>
  <c r="BQ400" i="12"/>
  <c r="BP400" i="12"/>
  <c r="BO400" i="12"/>
  <c r="BN400" i="12"/>
  <c r="BM400" i="12"/>
  <c r="BL400" i="12"/>
  <c r="BK400" i="12"/>
  <c r="BJ400" i="12"/>
  <c r="BI400" i="12"/>
  <c r="BH400" i="12"/>
  <c r="BG400" i="12"/>
  <c r="BF400" i="12"/>
  <c r="BX399" i="12"/>
  <c r="BW399" i="12"/>
  <c r="BV399" i="12"/>
  <c r="BU399" i="12"/>
  <c r="BT399" i="12"/>
  <c r="BS399" i="12"/>
  <c r="BR399" i="12"/>
  <c r="BQ399" i="12"/>
  <c r="BP399" i="12"/>
  <c r="BO399" i="12"/>
  <c r="BN399" i="12"/>
  <c r="BM399" i="12"/>
  <c r="BL399" i="12"/>
  <c r="BK399" i="12"/>
  <c r="BJ399" i="12"/>
  <c r="BI399" i="12"/>
  <c r="BH399" i="12"/>
  <c r="BG399" i="12"/>
  <c r="BF399" i="12"/>
  <c r="BX398" i="12"/>
  <c r="BW398" i="12"/>
  <c r="BV398" i="12"/>
  <c r="BU398" i="12"/>
  <c r="BT398" i="12"/>
  <c r="BS398" i="12"/>
  <c r="BR398" i="12"/>
  <c r="BQ398" i="12"/>
  <c r="BP398" i="12"/>
  <c r="BO398" i="12"/>
  <c r="BN398" i="12"/>
  <c r="BM398" i="12"/>
  <c r="BL398" i="12"/>
  <c r="BK398" i="12"/>
  <c r="BJ398" i="12"/>
  <c r="BI398" i="12"/>
  <c r="BH398" i="12"/>
  <c r="BG398" i="12"/>
  <c r="BF398" i="12"/>
  <c r="BX397" i="12"/>
  <c r="BW397" i="12"/>
  <c r="BV397" i="12"/>
  <c r="BU397" i="12"/>
  <c r="BT397" i="12"/>
  <c r="BS397" i="12"/>
  <c r="BR397" i="12"/>
  <c r="BQ397" i="12"/>
  <c r="BP397" i="12"/>
  <c r="BO397" i="12"/>
  <c r="BN397" i="12"/>
  <c r="BM397" i="12"/>
  <c r="BL397" i="12"/>
  <c r="BK397" i="12"/>
  <c r="BJ397" i="12"/>
  <c r="BI397" i="12"/>
  <c r="BH397" i="12"/>
  <c r="BG397" i="12"/>
  <c r="BF397" i="12"/>
  <c r="BX396" i="12"/>
  <c r="BW396" i="12"/>
  <c r="BV396" i="12"/>
  <c r="BU396" i="12"/>
  <c r="BT396" i="12"/>
  <c r="BS396" i="12"/>
  <c r="BR396" i="12"/>
  <c r="BQ396" i="12"/>
  <c r="BP396" i="12"/>
  <c r="BO396" i="12"/>
  <c r="BN396" i="12"/>
  <c r="BM396" i="12"/>
  <c r="BL396" i="12"/>
  <c r="BK396" i="12"/>
  <c r="BJ396" i="12"/>
  <c r="BI396" i="12"/>
  <c r="BH396" i="12"/>
  <c r="BG396" i="12"/>
  <c r="BF396" i="12"/>
  <c r="BX395" i="12"/>
  <c r="BW395" i="12"/>
  <c r="BV395" i="12"/>
  <c r="BU395" i="12"/>
  <c r="BT395" i="12"/>
  <c r="BS395" i="12"/>
  <c r="BR395" i="12"/>
  <c r="BQ395" i="12"/>
  <c r="BP395" i="12"/>
  <c r="BO395" i="12"/>
  <c r="BN395" i="12"/>
  <c r="BM395" i="12"/>
  <c r="BL395" i="12"/>
  <c r="BK395" i="12"/>
  <c r="BJ395" i="12"/>
  <c r="BI395" i="12"/>
  <c r="BH395" i="12"/>
  <c r="BG395" i="12"/>
  <c r="BF395" i="12"/>
  <c r="BX394" i="12"/>
  <c r="BW394" i="12"/>
  <c r="BV394" i="12"/>
  <c r="BU394" i="12"/>
  <c r="BT394" i="12"/>
  <c r="BS394" i="12"/>
  <c r="BR394" i="12"/>
  <c r="BQ394" i="12"/>
  <c r="BP394" i="12"/>
  <c r="BO394" i="12"/>
  <c r="BN394" i="12"/>
  <c r="BM394" i="12"/>
  <c r="BL394" i="12"/>
  <c r="BK394" i="12"/>
  <c r="BJ394" i="12"/>
  <c r="BI394" i="12"/>
  <c r="BH394" i="12"/>
  <c r="BG394" i="12"/>
  <c r="BF394" i="12"/>
  <c r="BX393" i="12"/>
  <c r="BW393" i="12"/>
  <c r="BV393" i="12"/>
  <c r="BU393" i="12"/>
  <c r="BT393" i="12"/>
  <c r="BS393" i="12"/>
  <c r="BR393" i="12"/>
  <c r="BQ393" i="12"/>
  <c r="BP393" i="12"/>
  <c r="BO393" i="12"/>
  <c r="BN393" i="12"/>
  <c r="BM393" i="12"/>
  <c r="BL393" i="12"/>
  <c r="BK393" i="12"/>
  <c r="BJ393" i="12"/>
  <c r="BI393" i="12"/>
  <c r="BH393" i="12"/>
  <c r="BG393" i="12"/>
  <c r="BF393" i="12"/>
  <c r="BX392" i="12"/>
  <c r="BW392" i="12"/>
  <c r="BV392" i="12"/>
  <c r="BU392" i="12"/>
  <c r="BT392" i="12"/>
  <c r="BS392" i="12"/>
  <c r="BR392" i="12"/>
  <c r="BQ392" i="12"/>
  <c r="BP392" i="12"/>
  <c r="BO392" i="12"/>
  <c r="BN392" i="12"/>
  <c r="BM392" i="12"/>
  <c r="BL392" i="12"/>
  <c r="BK392" i="12"/>
  <c r="BJ392" i="12"/>
  <c r="BI392" i="12"/>
  <c r="BH392" i="12"/>
  <c r="BG392" i="12"/>
  <c r="BF392" i="12"/>
  <c r="BX391" i="12"/>
  <c r="BW391" i="12"/>
  <c r="BV391" i="12"/>
  <c r="BU391" i="12"/>
  <c r="BT391" i="12"/>
  <c r="BS391" i="12"/>
  <c r="BR391" i="12"/>
  <c r="BQ391" i="12"/>
  <c r="BP391" i="12"/>
  <c r="BO391" i="12"/>
  <c r="BN391" i="12"/>
  <c r="BM391" i="12"/>
  <c r="BL391" i="12"/>
  <c r="BK391" i="12"/>
  <c r="BJ391" i="12"/>
  <c r="BI391" i="12"/>
  <c r="BH391" i="12"/>
  <c r="BG391" i="12"/>
  <c r="BF391" i="12"/>
  <c r="BX390" i="12"/>
  <c r="BW390" i="12"/>
  <c r="BV390" i="12"/>
  <c r="BU390" i="12"/>
  <c r="BT390" i="12"/>
  <c r="BS390" i="12"/>
  <c r="BR390" i="12"/>
  <c r="BQ390" i="12"/>
  <c r="BP390" i="12"/>
  <c r="BO390" i="12"/>
  <c r="BN390" i="12"/>
  <c r="BM390" i="12"/>
  <c r="BL390" i="12"/>
  <c r="BK390" i="12"/>
  <c r="BJ390" i="12"/>
  <c r="BI390" i="12"/>
  <c r="BH390" i="12"/>
  <c r="BG390" i="12"/>
  <c r="BF390" i="12"/>
  <c r="BX389" i="12"/>
  <c r="BW389" i="12"/>
  <c r="BV389" i="12"/>
  <c r="BU389" i="12"/>
  <c r="BT389" i="12"/>
  <c r="BS389" i="12"/>
  <c r="BR389" i="12"/>
  <c r="BQ389" i="12"/>
  <c r="BP389" i="12"/>
  <c r="BO389" i="12"/>
  <c r="BN389" i="12"/>
  <c r="BM389" i="12"/>
  <c r="BL389" i="12"/>
  <c r="BK389" i="12"/>
  <c r="BJ389" i="12"/>
  <c r="BI389" i="12"/>
  <c r="BH389" i="12"/>
  <c r="BG389" i="12"/>
  <c r="BF389" i="12"/>
  <c r="BX388" i="12"/>
  <c r="BW388" i="12"/>
  <c r="BV388" i="12"/>
  <c r="BU388" i="12"/>
  <c r="BT388" i="12"/>
  <c r="BS388" i="12"/>
  <c r="BR388" i="12"/>
  <c r="BQ388" i="12"/>
  <c r="BP388" i="12"/>
  <c r="BO388" i="12"/>
  <c r="BN388" i="12"/>
  <c r="BM388" i="12"/>
  <c r="BL388" i="12"/>
  <c r="BK388" i="12"/>
  <c r="BJ388" i="12"/>
  <c r="BI388" i="12"/>
  <c r="BH388" i="12"/>
  <c r="BG388" i="12"/>
  <c r="BF388" i="12"/>
  <c r="BX387" i="12"/>
  <c r="BW387" i="12"/>
  <c r="BV387" i="12"/>
  <c r="BU387" i="12"/>
  <c r="BT387" i="12"/>
  <c r="BS387" i="12"/>
  <c r="BR387" i="12"/>
  <c r="BQ387" i="12"/>
  <c r="BP387" i="12"/>
  <c r="BO387" i="12"/>
  <c r="BN387" i="12"/>
  <c r="BM387" i="12"/>
  <c r="BL387" i="12"/>
  <c r="BK387" i="12"/>
  <c r="BJ387" i="12"/>
  <c r="BI387" i="12"/>
  <c r="BH387" i="12"/>
  <c r="BG387" i="12"/>
  <c r="BF387" i="12"/>
  <c r="BX386" i="12"/>
  <c r="BW386" i="12"/>
  <c r="BV386" i="12"/>
  <c r="BU386" i="12"/>
  <c r="BT386" i="12"/>
  <c r="BS386" i="12"/>
  <c r="BR386" i="12"/>
  <c r="BQ386" i="12"/>
  <c r="BP386" i="12"/>
  <c r="BO386" i="12"/>
  <c r="BN386" i="12"/>
  <c r="BM386" i="12"/>
  <c r="BL386" i="12"/>
  <c r="BK386" i="12"/>
  <c r="BJ386" i="12"/>
  <c r="BI386" i="12"/>
  <c r="BH386" i="12"/>
  <c r="BG386" i="12"/>
  <c r="BF386" i="12"/>
  <c r="BX385" i="12"/>
  <c r="BW385" i="12"/>
  <c r="BV385" i="12"/>
  <c r="BU385" i="12"/>
  <c r="BT385" i="12"/>
  <c r="BS385" i="12"/>
  <c r="BR385" i="12"/>
  <c r="BQ385" i="12"/>
  <c r="BP385" i="12"/>
  <c r="BO385" i="12"/>
  <c r="BN385" i="12"/>
  <c r="BM385" i="12"/>
  <c r="BL385" i="12"/>
  <c r="BK385" i="12"/>
  <c r="BJ385" i="12"/>
  <c r="BI385" i="12"/>
  <c r="BH385" i="12"/>
  <c r="BG385" i="12"/>
  <c r="BF385" i="12"/>
  <c r="BX384" i="12"/>
  <c r="BW384" i="12"/>
  <c r="BV384" i="12"/>
  <c r="BU384" i="12"/>
  <c r="BT384" i="12"/>
  <c r="BS384" i="12"/>
  <c r="BR384" i="12"/>
  <c r="BQ384" i="12"/>
  <c r="BP384" i="12"/>
  <c r="BO384" i="12"/>
  <c r="BN384" i="12"/>
  <c r="BM384" i="12"/>
  <c r="BL384" i="12"/>
  <c r="BK384" i="12"/>
  <c r="BJ384" i="12"/>
  <c r="BI384" i="12"/>
  <c r="BH384" i="12"/>
  <c r="BG384" i="12"/>
  <c r="BF384" i="12"/>
  <c r="BX383" i="12"/>
  <c r="BW383" i="12"/>
  <c r="BV383" i="12"/>
  <c r="BU383" i="12"/>
  <c r="BT383" i="12"/>
  <c r="BS383" i="12"/>
  <c r="BR383" i="12"/>
  <c r="BQ383" i="12"/>
  <c r="BP383" i="12"/>
  <c r="BO383" i="12"/>
  <c r="BN383" i="12"/>
  <c r="BM383" i="12"/>
  <c r="BL383" i="12"/>
  <c r="BK383" i="12"/>
  <c r="BJ383" i="12"/>
  <c r="BI383" i="12"/>
  <c r="BH383" i="12"/>
  <c r="BG383" i="12"/>
  <c r="BF383" i="12"/>
  <c r="BX382" i="12"/>
  <c r="BW382" i="12"/>
  <c r="BV382" i="12"/>
  <c r="BU382" i="12"/>
  <c r="BT382" i="12"/>
  <c r="BS382" i="12"/>
  <c r="BR382" i="12"/>
  <c r="BQ382" i="12"/>
  <c r="BP382" i="12"/>
  <c r="BO382" i="12"/>
  <c r="BN382" i="12"/>
  <c r="BM382" i="12"/>
  <c r="BL382" i="12"/>
  <c r="BK382" i="12"/>
  <c r="BJ382" i="12"/>
  <c r="BI382" i="12"/>
  <c r="BH382" i="12"/>
  <c r="BG382" i="12"/>
  <c r="BF382" i="12"/>
  <c r="BX381" i="12"/>
  <c r="BW381" i="12"/>
  <c r="BV381" i="12"/>
  <c r="BU381" i="12"/>
  <c r="BT381" i="12"/>
  <c r="BS381" i="12"/>
  <c r="BR381" i="12"/>
  <c r="BQ381" i="12"/>
  <c r="BP381" i="12"/>
  <c r="BO381" i="12"/>
  <c r="BN381" i="12"/>
  <c r="BM381" i="12"/>
  <c r="BL381" i="12"/>
  <c r="BK381" i="12"/>
  <c r="BJ381" i="12"/>
  <c r="BI381" i="12"/>
  <c r="BH381" i="12"/>
  <c r="BG381" i="12"/>
  <c r="BF381" i="12"/>
  <c r="BX380" i="12"/>
  <c r="BW380" i="12"/>
  <c r="BV380" i="12"/>
  <c r="BU380" i="12"/>
  <c r="BT380" i="12"/>
  <c r="BS380" i="12"/>
  <c r="BR380" i="12"/>
  <c r="BQ380" i="12"/>
  <c r="BP380" i="12"/>
  <c r="BO380" i="12"/>
  <c r="BN380" i="12"/>
  <c r="BM380" i="12"/>
  <c r="BL380" i="12"/>
  <c r="BK380" i="12"/>
  <c r="BJ380" i="12"/>
  <c r="BI380" i="12"/>
  <c r="BH380" i="12"/>
  <c r="BG380" i="12"/>
  <c r="BF380" i="12"/>
  <c r="BX379" i="12"/>
  <c r="BW379" i="12"/>
  <c r="BV379" i="12"/>
  <c r="BU379" i="12"/>
  <c r="BT379" i="12"/>
  <c r="BS379" i="12"/>
  <c r="BR379" i="12"/>
  <c r="BQ379" i="12"/>
  <c r="BP379" i="12"/>
  <c r="BO379" i="12"/>
  <c r="BN379" i="12"/>
  <c r="BM379" i="12"/>
  <c r="BL379" i="12"/>
  <c r="BK379" i="12"/>
  <c r="BJ379" i="12"/>
  <c r="BI379" i="12"/>
  <c r="BH379" i="12"/>
  <c r="BG379" i="12"/>
  <c r="BF379" i="12"/>
  <c r="BX378" i="12"/>
  <c r="BW378" i="12"/>
  <c r="BV378" i="12"/>
  <c r="BU378" i="12"/>
  <c r="BT378" i="12"/>
  <c r="BS378" i="12"/>
  <c r="BR378" i="12"/>
  <c r="BQ378" i="12"/>
  <c r="BP378" i="12"/>
  <c r="BO378" i="12"/>
  <c r="BN378" i="12"/>
  <c r="BM378" i="12"/>
  <c r="BL378" i="12"/>
  <c r="BK378" i="12"/>
  <c r="BJ378" i="12"/>
  <c r="BI378" i="12"/>
  <c r="BH378" i="12"/>
  <c r="BG378" i="12"/>
  <c r="BF378" i="12"/>
  <c r="BX377" i="12"/>
  <c r="BW377" i="12"/>
  <c r="BV377" i="12"/>
  <c r="BU377" i="12"/>
  <c r="BT377" i="12"/>
  <c r="BS377" i="12"/>
  <c r="BR377" i="12"/>
  <c r="BQ377" i="12"/>
  <c r="BP377" i="12"/>
  <c r="BO377" i="12"/>
  <c r="BN377" i="12"/>
  <c r="BM377" i="12"/>
  <c r="BL377" i="12"/>
  <c r="BK377" i="12"/>
  <c r="BJ377" i="12"/>
  <c r="BI377" i="12"/>
  <c r="BH377" i="12"/>
  <c r="BG377" i="12"/>
  <c r="BF377" i="12"/>
  <c r="BX376" i="12"/>
  <c r="BW376" i="12"/>
  <c r="BV376" i="12"/>
  <c r="BU376" i="12"/>
  <c r="BT376" i="12"/>
  <c r="BS376" i="12"/>
  <c r="BR376" i="12"/>
  <c r="BQ376" i="12"/>
  <c r="BP376" i="12"/>
  <c r="BO376" i="12"/>
  <c r="BN376" i="12"/>
  <c r="BM376" i="12"/>
  <c r="BL376" i="12"/>
  <c r="BK376" i="12"/>
  <c r="BJ376" i="12"/>
  <c r="BI376" i="12"/>
  <c r="BH376" i="12"/>
  <c r="BG376" i="12"/>
  <c r="BF376" i="12"/>
  <c r="BX375" i="12"/>
  <c r="BW375" i="12"/>
  <c r="BV375" i="12"/>
  <c r="BU375" i="12"/>
  <c r="BT375" i="12"/>
  <c r="BS375" i="12"/>
  <c r="BR375" i="12"/>
  <c r="BQ375" i="12"/>
  <c r="BP375" i="12"/>
  <c r="BO375" i="12"/>
  <c r="BN375" i="12"/>
  <c r="BM375" i="12"/>
  <c r="BL375" i="12"/>
  <c r="BK375" i="12"/>
  <c r="BJ375" i="12"/>
  <c r="BI375" i="12"/>
  <c r="BH375" i="12"/>
  <c r="BG375" i="12"/>
  <c r="BF375" i="12"/>
  <c r="BX374" i="12"/>
  <c r="BW374" i="12"/>
  <c r="BV374" i="12"/>
  <c r="BU374" i="12"/>
  <c r="BT374" i="12"/>
  <c r="BS374" i="12"/>
  <c r="BR374" i="12"/>
  <c r="BQ374" i="12"/>
  <c r="BP374" i="12"/>
  <c r="BO374" i="12"/>
  <c r="BN374" i="12"/>
  <c r="BM374" i="12"/>
  <c r="BL374" i="12"/>
  <c r="BK374" i="12"/>
  <c r="BJ374" i="12"/>
  <c r="BI374" i="12"/>
  <c r="BH374" i="12"/>
  <c r="BG374" i="12"/>
  <c r="BF374" i="12"/>
  <c r="BX373" i="12"/>
  <c r="BW373" i="12"/>
  <c r="BV373" i="12"/>
  <c r="BU373" i="12"/>
  <c r="BT373" i="12"/>
  <c r="BS373" i="12"/>
  <c r="BR373" i="12"/>
  <c r="BQ373" i="12"/>
  <c r="BP373" i="12"/>
  <c r="BO373" i="12"/>
  <c r="BN373" i="12"/>
  <c r="BM373" i="12"/>
  <c r="BL373" i="12"/>
  <c r="BK373" i="12"/>
  <c r="BJ373" i="12"/>
  <c r="BI373" i="12"/>
  <c r="BH373" i="12"/>
  <c r="BG373" i="12"/>
  <c r="BF373" i="12"/>
  <c r="BX372" i="12"/>
  <c r="BW372" i="12"/>
  <c r="BV372" i="12"/>
  <c r="BU372" i="12"/>
  <c r="BT372" i="12"/>
  <c r="BS372" i="12"/>
  <c r="BR372" i="12"/>
  <c r="BQ372" i="12"/>
  <c r="BP372" i="12"/>
  <c r="BO372" i="12"/>
  <c r="BN372" i="12"/>
  <c r="BM372" i="12"/>
  <c r="BL372" i="12"/>
  <c r="BK372" i="12"/>
  <c r="BJ372" i="12"/>
  <c r="BI372" i="12"/>
  <c r="BH372" i="12"/>
  <c r="BG372" i="12"/>
  <c r="BF372" i="12"/>
  <c r="BX371" i="12"/>
  <c r="BW371" i="12"/>
  <c r="BV371" i="12"/>
  <c r="BU371" i="12"/>
  <c r="BT371" i="12"/>
  <c r="BS371" i="12"/>
  <c r="BR371" i="12"/>
  <c r="BQ371" i="12"/>
  <c r="BP371" i="12"/>
  <c r="BO371" i="12"/>
  <c r="BN371" i="12"/>
  <c r="BM371" i="12"/>
  <c r="BL371" i="12"/>
  <c r="BK371" i="12"/>
  <c r="BJ371" i="12"/>
  <c r="BI371" i="12"/>
  <c r="BH371" i="12"/>
  <c r="BG371" i="12"/>
  <c r="BF371" i="12"/>
  <c r="BX370" i="12"/>
  <c r="BW370" i="12"/>
  <c r="BV370" i="12"/>
  <c r="BU370" i="12"/>
  <c r="BT370" i="12"/>
  <c r="BS370" i="12"/>
  <c r="BR370" i="12"/>
  <c r="BQ370" i="12"/>
  <c r="BP370" i="12"/>
  <c r="BO370" i="12"/>
  <c r="BN370" i="12"/>
  <c r="BM370" i="12"/>
  <c r="BL370" i="12"/>
  <c r="BK370" i="12"/>
  <c r="BJ370" i="12"/>
  <c r="BI370" i="12"/>
  <c r="BH370" i="12"/>
  <c r="BG370" i="12"/>
  <c r="BF370" i="12"/>
  <c r="BX369" i="12"/>
  <c r="BW369" i="12"/>
  <c r="BV369" i="12"/>
  <c r="BU369" i="12"/>
  <c r="BT369" i="12"/>
  <c r="BS369" i="12"/>
  <c r="BR369" i="12"/>
  <c r="BQ369" i="12"/>
  <c r="BP369" i="12"/>
  <c r="BO369" i="12"/>
  <c r="BN369" i="12"/>
  <c r="BM369" i="12"/>
  <c r="BL369" i="12"/>
  <c r="BK369" i="12"/>
  <c r="BJ369" i="12"/>
  <c r="BI369" i="12"/>
  <c r="BH369" i="12"/>
  <c r="BG369" i="12"/>
  <c r="BF369" i="12"/>
  <c r="BX368" i="12"/>
  <c r="BW368" i="12"/>
  <c r="BV368" i="12"/>
  <c r="BU368" i="12"/>
  <c r="BT368" i="12"/>
  <c r="BS368" i="12"/>
  <c r="BR368" i="12"/>
  <c r="BQ368" i="12"/>
  <c r="BP368" i="12"/>
  <c r="BO368" i="12"/>
  <c r="BN368" i="12"/>
  <c r="BM368" i="12"/>
  <c r="BL368" i="12"/>
  <c r="BK368" i="12"/>
  <c r="BJ368" i="12"/>
  <c r="BI368" i="12"/>
  <c r="BH368" i="12"/>
  <c r="BG368" i="12"/>
  <c r="BF368" i="12"/>
  <c r="BX367" i="12"/>
  <c r="BW367" i="12"/>
  <c r="BV367" i="12"/>
  <c r="BU367" i="12"/>
  <c r="BT367" i="12"/>
  <c r="BS367" i="12"/>
  <c r="BR367" i="12"/>
  <c r="BQ367" i="12"/>
  <c r="BP367" i="12"/>
  <c r="BO367" i="12"/>
  <c r="BN367" i="12"/>
  <c r="BM367" i="12"/>
  <c r="BL367" i="12"/>
  <c r="BK367" i="12"/>
  <c r="BJ367" i="12"/>
  <c r="BI367" i="12"/>
  <c r="BH367" i="12"/>
  <c r="BG367" i="12"/>
  <c r="BF367" i="12"/>
  <c r="BX366" i="12"/>
  <c r="BW366" i="12"/>
  <c r="BV366" i="12"/>
  <c r="BU366" i="12"/>
  <c r="BT366" i="12"/>
  <c r="BS366" i="12"/>
  <c r="BR366" i="12"/>
  <c r="BQ366" i="12"/>
  <c r="BP366" i="12"/>
  <c r="BO366" i="12"/>
  <c r="BN366" i="12"/>
  <c r="BM366" i="12"/>
  <c r="BL366" i="12"/>
  <c r="BK366" i="12"/>
  <c r="BJ366" i="12"/>
  <c r="BI366" i="12"/>
  <c r="BH366" i="12"/>
  <c r="BG366" i="12"/>
  <c r="BF366" i="12"/>
  <c r="BX365" i="12"/>
  <c r="BW365" i="12"/>
  <c r="BV365" i="12"/>
  <c r="BU365" i="12"/>
  <c r="BT365" i="12"/>
  <c r="BS365" i="12"/>
  <c r="BR365" i="12"/>
  <c r="BQ365" i="12"/>
  <c r="BP365" i="12"/>
  <c r="BO365" i="12"/>
  <c r="BN365" i="12"/>
  <c r="BM365" i="12"/>
  <c r="BL365" i="12"/>
  <c r="BK365" i="12"/>
  <c r="BJ365" i="12"/>
  <c r="BI365" i="12"/>
  <c r="BH365" i="12"/>
  <c r="BG365" i="12"/>
  <c r="BF365" i="12"/>
  <c r="BX364" i="12"/>
  <c r="BW364" i="12"/>
  <c r="BV364" i="12"/>
  <c r="BU364" i="12"/>
  <c r="BT364" i="12"/>
  <c r="BS364" i="12"/>
  <c r="BR364" i="12"/>
  <c r="BQ364" i="12"/>
  <c r="BP364" i="12"/>
  <c r="BO364" i="12"/>
  <c r="BN364" i="12"/>
  <c r="BM364" i="12"/>
  <c r="BL364" i="12"/>
  <c r="BK364" i="12"/>
  <c r="BJ364" i="12"/>
  <c r="BI364" i="12"/>
  <c r="BH364" i="12"/>
  <c r="BG364" i="12"/>
  <c r="BF364" i="12"/>
  <c r="BX363" i="12"/>
  <c r="BW363" i="12"/>
  <c r="BV363" i="12"/>
  <c r="BU363" i="12"/>
  <c r="BT363" i="12"/>
  <c r="BS363" i="12"/>
  <c r="BR363" i="12"/>
  <c r="BQ363" i="12"/>
  <c r="BP363" i="12"/>
  <c r="BO363" i="12"/>
  <c r="BN363" i="12"/>
  <c r="BM363" i="12"/>
  <c r="BL363" i="12"/>
  <c r="BK363" i="12"/>
  <c r="BJ363" i="12"/>
  <c r="BI363" i="12"/>
  <c r="BH363" i="12"/>
  <c r="BG363" i="12"/>
  <c r="BF363" i="12"/>
  <c r="BX362" i="12"/>
  <c r="BW362" i="12"/>
  <c r="BV362" i="12"/>
  <c r="BU362" i="12"/>
  <c r="BT362" i="12"/>
  <c r="BS362" i="12"/>
  <c r="BR362" i="12"/>
  <c r="BQ362" i="12"/>
  <c r="BP362" i="12"/>
  <c r="BO362" i="12"/>
  <c r="BN362" i="12"/>
  <c r="BM362" i="12"/>
  <c r="BL362" i="12"/>
  <c r="BK362" i="12"/>
  <c r="BJ362" i="12"/>
  <c r="BI362" i="12"/>
  <c r="BH362" i="12"/>
  <c r="BG362" i="12"/>
  <c r="BF362" i="12"/>
  <c r="BX361" i="12"/>
  <c r="BW361" i="12"/>
  <c r="BV361" i="12"/>
  <c r="BU361" i="12"/>
  <c r="BT361" i="12"/>
  <c r="BS361" i="12"/>
  <c r="BR361" i="12"/>
  <c r="BQ361" i="12"/>
  <c r="BP361" i="12"/>
  <c r="BO361" i="12"/>
  <c r="BN361" i="12"/>
  <c r="BM361" i="12"/>
  <c r="BL361" i="12"/>
  <c r="BK361" i="12"/>
  <c r="BJ361" i="12"/>
  <c r="BI361" i="12"/>
  <c r="BH361" i="12"/>
  <c r="BG361" i="12"/>
  <c r="BF361" i="12"/>
  <c r="BX360" i="12"/>
  <c r="BW360" i="12"/>
  <c r="BV360" i="12"/>
  <c r="BU360" i="12"/>
  <c r="BT360" i="12"/>
  <c r="BS360" i="12"/>
  <c r="BR360" i="12"/>
  <c r="BQ360" i="12"/>
  <c r="BP360" i="12"/>
  <c r="BO360" i="12"/>
  <c r="BN360" i="12"/>
  <c r="BM360" i="12"/>
  <c r="BL360" i="12"/>
  <c r="BK360" i="12"/>
  <c r="BJ360" i="12"/>
  <c r="BI360" i="12"/>
  <c r="BH360" i="12"/>
  <c r="BG360" i="12"/>
  <c r="BF360" i="12"/>
  <c r="BX359" i="12"/>
  <c r="BW359" i="12"/>
  <c r="BV359" i="12"/>
  <c r="BU359" i="12"/>
  <c r="BT359" i="12"/>
  <c r="BS359" i="12"/>
  <c r="BR359" i="12"/>
  <c r="BQ359" i="12"/>
  <c r="BP359" i="12"/>
  <c r="BO359" i="12"/>
  <c r="BN359" i="12"/>
  <c r="BM359" i="12"/>
  <c r="BL359" i="12"/>
  <c r="BK359" i="12"/>
  <c r="BJ359" i="12"/>
  <c r="BI359" i="12"/>
  <c r="BH359" i="12"/>
  <c r="BG359" i="12"/>
  <c r="BF359" i="12"/>
  <c r="BX358" i="12"/>
  <c r="BW358" i="12"/>
  <c r="BV358" i="12"/>
  <c r="BU358" i="12"/>
  <c r="BT358" i="12"/>
  <c r="BS358" i="12"/>
  <c r="BR358" i="12"/>
  <c r="BQ358" i="12"/>
  <c r="BP358" i="12"/>
  <c r="BO358" i="12"/>
  <c r="BN358" i="12"/>
  <c r="BM358" i="12"/>
  <c r="BL358" i="12"/>
  <c r="BK358" i="12"/>
  <c r="BJ358" i="12"/>
  <c r="BI358" i="12"/>
  <c r="BH358" i="12"/>
  <c r="BG358" i="12"/>
  <c r="BF358" i="12"/>
  <c r="BX357" i="12"/>
  <c r="BW357" i="12"/>
  <c r="BV357" i="12"/>
  <c r="BU357" i="12"/>
  <c r="BT357" i="12"/>
  <c r="BS357" i="12"/>
  <c r="BR357" i="12"/>
  <c r="BQ357" i="12"/>
  <c r="BP357" i="12"/>
  <c r="BO357" i="12"/>
  <c r="BN357" i="12"/>
  <c r="BM357" i="12"/>
  <c r="BL357" i="12"/>
  <c r="BK357" i="12"/>
  <c r="BJ357" i="12"/>
  <c r="BI357" i="12"/>
  <c r="BH357" i="12"/>
  <c r="BG357" i="12"/>
  <c r="BF357" i="12"/>
  <c r="BX356" i="12"/>
  <c r="BW356" i="12"/>
  <c r="BV356" i="12"/>
  <c r="BU356" i="12"/>
  <c r="BT356" i="12"/>
  <c r="BS356" i="12"/>
  <c r="BR356" i="12"/>
  <c r="BQ356" i="12"/>
  <c r="BP356" i="12"/>
  <c r="BO356" i="12"/>
  <c r="BN356" i="12"/>
  <c r="BM356" i="12"/>
  <c r="BL356" i="12"/>
  <c r="BK356" i="12"/>
  <c r="BJ356" i="12"/>
  <c r="BI356" i="12"/>
  <c r="BH356" i="12"/>
  <c r="BG356" i="12"/>
  <c r="BF356" i="12"/>
  <c r="BX355" i="12"/>
  <c r="BW355" i="12"/>
  <c r="BV355" i="12"/>
  <c r="BU355" i="12"/>
  <c r="BT355" i="12"/>
  <c r="BS355" i="12"/>
  <c r="BR355" i="12"/>
  <c r="BQ355" i="12"/>
  <c r="BP355" i="12"/>
  <c r="BO355" i="12"/>
  <c r="BN355" i="12"/>
  <c r="BM355" i="12"/>
  <c r="BL355" i="12"/>
  <c r="BK355" i="12"/>
  <c r="BJ355" i="12"/>
  <c r="BI355" i="12"/>
  <c r="BH355" i="12"/>
  <c r="BG355" i="12"/>
  <c r="BF355" i="12"/>
  <c r="BX354" i="12"/>
  <c r="BW354" i="12"/>
  <c r="BV354" i="12"/>
  <c r="BU354" i="12"/>
  <c r="BT354" i="12"/>
  <c r="BS354" i="12"/>
  <c r="BR354" i="12"/>
  <c r="BQ354" i="12"/>
  <c r="BP354" i="12"/>
  <c r="BO354" i="12"/>
  <c r="BN354" i="12"/>
  <c r="BM354" i="12"/>
  <c r="BL354" i="12"/>
  <c r="BK354" i="12"/>
  <c r="BJ354" i="12"/>
  <c r="BI354" i="12"/>
  <c r="BH354" i="12"/>
  <c r="BG354" i="12"/>
  <c r="BF354" i="12"/>
  <c r="BX353" i="12"/>
  <c r="BW353" i="12"/>
  <c r="BV353" i="12"/>
  <c r="BU353" i="12"/>
  <c r="BT353" i="12"/>
  <c r="BS353" i="12"/>
  <c r="BR353" i="12"/>
  <c r="BQ353" i="12"/>
  <c r="BP353" i="12"/>
  <c r="BO353" i="12"/>
  <c r="BN353" i="12"/>
  <c r="BM353" i="12"/>
  <c r="BL353" i="12"/>
  <c r="BK353" i="12"/>
  <c r="BJ353" i="12"/>
  <c r="BI353" i="12"/>
  <c r="BH353" i="12"/>
  <c r="BG353" i="12"/>
  <c r="BF353" i="12"/>
  <c r="BX352" i="12"/>
  <c r="BW352" i="12"/>
  <c r="BV352" i="12"/>
  <c r="BU352" i="12"/>
  <c r="BT352" i="12"/>
  <c r="BS352" i="12"/>
  <c r="BR352" i="12"/>
  <c r="BQ352" i="12"/>
  <c r="BP352" i="12"/>
  <c r="BO352" i="12"/>
  <c r="BN352" i="12"/>
  <c r="BM352" i="12"/>
  <c r="BL352" i="12"/>
  <c r="BK352" i="12"/>
  <c r="BJ352" i="12"/>
  <c r="BI352" i="12"/>
  <c r="BH352" i="12"/>
  <c r="BG352" i="12"/>
  <c r="BF352" i="12"/>
  <c r="BX351" i="12"/>
  <c r="BW351" i="12"/>
  <c r="BV351" i="12"/>
  <c r="BU351" i="12"/>
  <c r="BT351" i="12"/>
  <c r="BS351" i="12"/>
  <c r="BR351" i="12"/>
  <c r="BQ351" i="12"/>
  <c r="BP351" i="12"/>
  <c r="BO351" i="12"/>
  <c r="BN351" i="12"/>
  <c r="BM351" i="12"/>
  <c r="BL351" i="12"/>
  <c r="BK351" i="12"/>
  <c r="BJ351" i="12"/>
  <c r="BI351" i="12"/>
  <c r="BH351" i="12"/>
  <c r="BG351" i="12"/>
  <c r="BF351" i="12"/>
  <c r="BX350" i="12"/>
  <c r="BW350" i="12"/>
  <c r="BV350" i="12"/>
  <c r="BU350" i="12"/>
  <c r="BT350" i="12"/>
  <c r="BS350" i="12"/>
  <c r="BR350" i="12"/>
  <c r="BQ350" i="12"/>
  <c r="BP350" i="12"/>
  <c r="BO350" i="12"/>
  <c r="BN350" i="12"/>
  <c r="BM350" i="12"/>
  <c r="BL350" i="12"/>
  <c r="BK350" i="12"/>
  <c r="BJ350" i="12"/>
  <c r="BI350" i="12"/>
  <c r="BH350" i="12"/>
  <c r="BG350" i="12"/>
  <c r="BF350" i="12"/>
  <c r="BX349" i="12"/>
  <c r="BW349" i="12"/>
  <c r="BV349" i="12"/>
  <c r="BU349" i="12"/>
  <c r="BT349" i="12"/>
  <c r="BS349" i="12"/>
  <c r="BR349" i="12"/>
  <c r="BQ349" i="12"/>
  <c r="BP349" i="12"/>
  <c r="BO349" i="12"/>
  <c r="BN349" i="12"/>
  <c r="BM349" i="12"/>
  <c r="BL349" i="12"/>
  <c r="BK349" i="12"/>
  <c r="BJ349" i="12"/>
  <c r="BI349" i="12"/>
  <c r="BH349" i="12"/>
  <c r="BG349" i="12"/>
  <c r="BF349" i="12"/>
  <c r="BX348" i="12"/>
  <c r="BW348" i="12"/>
  <c r="BV348" i="12"/>
  <c r="BU348" i="12"/>
  <c r="BT348" i="12"/>
  <c r="BS348" i="12"/>
  <c r="BR348" i="12"/>
  <c r="BQ348" i="12"/>
  <c r="BP348" i="12"/>
  <c r="BO348" i="12"/>
  <c r="BN348" i="12"/>
  <c r="BM348" i="12"/>
  <c r="BL348" i="12"/>
  <c r="BK348" i="12"/>
  <c r="BJ348" i="12"/>
  <c r="BI348" i="12"/>
  <c r="BH348" i="12"/>
  <c r="BG348" i="12"/>
  <c r="BF348" i="12"/>
  <c r="BX347" i="12"/>
  <c r="BW347" i="12"/>
  <c r="BV347" i="12"/>
  <c r="BU347" i="12"/>
  <c r="BT347" i="12"/>
  <c r="BS347" i="12"/>
  <c r="BR347" i="12"/>
  <c r="BQ347" i="12"/>
  <c r="BP347" i="12"/>
  <c r="BO347" i="12"/>
  <c r="BN347" i="12"/>
  <c r="BM347" i="12"/>
  <c r="BL347" i="12"/>
  <c r="BK347" i="12"/>
  <c r="BJ347" i="12"/>
  <c r="BI347" i="12"/>
  <c r="BH347" i="12"/>
  <c r="BG347" i="12"/>
  <c r="BF347" i="12"/>
  <c r="BX346" i="12"/>
  <c r="BW346" i="12"/>
  <c r="BV346" i="12"/>
  <c r="BU346" i="12"/>
  <c r="BT346" i="12"/>
  <c r="BS346" i="12"/>
  <c r="BR346" i="12"/>
  <c r="BQ346" i="12"/>
  <c r="BP346" i="12"/>
  <c r="BO346" i="12"/>
  <c r="BN346" i="12"/>
  <c r="BM346" i="12"/>
  <c r="BL346" i="12"/>
  <c r="BK346" i="12"/>
  <c r="BJ346" i="12"/>
  <c r="BI346" i="12"/>
  <c r="BH346" i="12"/>
  <c r="BG346" i="12"/>
  <c r="BF346" i="12"/>
  <c r="BX345" i="12"/>
  <c r="BW345" i="12"/>
  <c r="BV345" i="12"/>
  <c r="BU345" i="12"/>
  <c r="BT345" i="12"/>
  <c r="BS345" i="12"/>
  <c r="BR345" i="12"/>
  <c r="BQ345" i="12"/>
  <c r="BP345" i="12"/>
  <c r="BO345" i="12"/>
  <c r="BN345" i="12"/>
  <c r="BM345" i="12"/>
  <c r="BL345" i="12"/>
  <c r="BK345" i="12"/>
  <c r="BJ345" i="12"/>
  <c r="BI345" i="12"/>
  <c r="BH345" i="12"/>
  <c r="BG345" i="12"/>
  <c r="BF345" i="12"/>
  <c r="BX344" i="12"/>
  <c r="BW344" i="12"/>
  <c r="BV344" i="12"/>
  <c r="BU344" i="12"/>
  <c r="BT344" i="12"/>
  <c r="BS344" i="12"/>
  <c r="BR344" i="12"/>
  <c r="BQ344" i="12"/>
  <c r="BP344" i="12"/>
  <c r="BO344" i="12"/>
  <c r="BN344" i="12"/>
  <c r="BM344" i="12"/>
  <c r="BL344" i="12"/>
  <c r="BK344" i="12"/>
  <c r="BJ344" i="12"/>
  <c r="BI344" i="12"/>
  <c r="BH344" i="12"/>
  <c r="BG344" i="12"/>
  <c r="BF344" i="12"/>
  <c r="BX343" i="12"/>
  <c r="BW343" i="12"/>
  <c r="BV343" i="12"/>
  <c r="BU343" i="12"/>
  <c r="BT343" i="12"/>
  <c r="BS343" i="12"/>
  <c r="BR343" i="12"/>
  <c r="BQ343" i="12"/>
  <c r="BP343" i="12"/>
  <c r="BO343" i="12"/>
  <c r="BN343" i="12"/>
  <c r="BM343" i="12"/>
  <c r="BL343" i="12"/>
  <c r="BK343" i="12"/>
  <c r="BJ343" i="12"/>
  <c r="BI343" i="12"/>
  <c r="BH343" i="12"/>
  <c r="BG343" i="12"/>
  <c r="BF343" i="12"/>
  <c r="BX342" i="12"/>
  <c r="BW342" i="12"/>
  <c r="BV342" i="12"/>
  <c r="BU342" i="12"/>
  <c r="BT342" i="12"/>
  <c r="BS342" i="12"/>
  <c r="BR342" i="12"/>
  <c r="BQ342" i="12"/>
  <c r="BP342" i="12"/>
  <c r="BO342" i="12"/>
  <c r="BN342" i="12"/>
  <c r="BM342" i="12"/>
  <c r="BL342" i="12"/>
  <c r="BK342" i="12"/>
  <c r="BJ342" i="12"/>
  <c r="BI342" i="12"/>
  <c r="BH342" i="12"/>
  <c r="BG342" i="12"/>
  <c r="BF342" i="12"/>
  <c r="BX341" i="12"/>
  <c r="BW341" i="12"/>
  <c r="BV341" i="12"/>
  <c r="BU341" i="12"/>
  <c r="BT341" i="12"/>
  <c r="BS341" i="12"/>
  <c r="BR341" i="12"/>
  <c r="BQ341" i="12"/>
  <c r="BP341" i="12"/>
  <c r="BO341" i="12"/>
  <c r="BN341" i="12"/>
  <c r="BM341" i="12"/>
  <c r="BL341" i="12"/>
  <c r="BK341" i="12"/>
  <c r="BJ341" i="12"/>
  <c r="BI341" i="12"/>
  <c r="BH341" i="12"/>
  <c r="BG341" i="12"/>
  <c r="BF341" i="12"/>
  <c r="BX340" i="12"/>
  <c r="BW340" i="12"/>
  <c r="BV340" i="12"/>
  <c r="BU340" i="12"/>
  <c r="BT340" i="12"/>
  <c r="BS340" i="12"/>
  <c r="BR340" i="12"/>
  <c r="BQ340" i="12"/>
  <c r="BP340" i="12"/>
  <c r="BO340" i="12"/>
  <c r="BN340" i="12"/>
  <c r="BM340" i="12"/>
  <c r="BL340" i="12"/>
  <c r="BK340" i="12"/>
  <c r="BJ340" i="12"/>
  <c r="BI340" i="12"/>
  <c r="BH340" i="12"/>
  <c r="BG340" i="12"/>
  <c r="BF340" i="12"/>
  <c r="BX339" i="12"/>
  <c r="BW339" i="12"/>
  <c r="BV339" i="12"/>
  <c r="BU339" i="12"/>
  <c r="BT339" i="12"/>
  <c r="BS339" i="12"/>
  <c r="BR339" i="12"/>
  <c r="BQ339" i="12"/>
  <c r="BP339" i="12"/>
  <c r="BO339" i="12"/>
  <c r="BN339" i="12"/>
  <c r="BM339" i="12"/>
  <c r="BL339" i="12"/>
  <c r="BK339" i="12"/>
  <c r="BJ339" i="12"/>
  <c r="BI339" i="12"/>
  <c r="BH339" i="12"/>
  <c r="BG339" i="12"/>
  <c r="BF339" i="12"/>
  <c r="BX338" i="12"/>
  <c r="BW338" i="12"/>
  <c r="BV338" i="12"/>
  <c r="BU338" i="12"/>
  <c r="BT338" i="12"/>
  <c r="BS338" i="12"/>
  <c r="BR338" i="12"/>
  <c r="BQ338" i="12"/>
  <c r="BP338" i="12"/>
  <c r="BO338" i="12"/>
  <c r="BN338" i="12"/>
  <c r="BM338" i="12"/>
  <c r="BL338" i="12"/>
  <c r="BK338" i="12"/>
  <c r="BJ338" i="12"/>
  <c r="BI338" i="12"/>
  <c r="BH338" i="12"/>
  <c r="BG338" i="12"/>
  <c r="BF338" i="12"/>
  <c r="BX337" i="12"/>
  <c r="BW337" i="12"/>
  <c r="BV337" i="12"/>
  <c r="BU337" i="12"/>
  <c r="BT337" i="12"/>
  <c r="BS337" i="12"/>
  <c r="BR337" i="12"/>
  <c r="BQ337" i="12"/>
  <c r="BP337" i="12"/>
  <c r="BO337" i="12"/>
  <c r="BN337" i="12"/>
  <c r="BM337" i="12"/>
  <c r="BL337" i="12"/>
  <c r="BK337" i="12"/>
  <c r="BJ337" i="12"/>
  <c r="BI337" i="12"/>
  <c r="BH337" i="12"/>
  <c r="BG337" i="12"/>
  <c r="BF337" i="12"/>
  <c r="BX336" i="12"/>
  <c r="BW336" i="12"/>
  <c r="BV336" i="12"/>
  <c r="BU336" i="12"/>
  <c r="BT336" i="12"/>
  <c r="BS336" i="12"/>
  <c r="BR336" i="12"/>
  <c r="BQ336" i="12"/>
  <c r="BP336" i="12"/>
  <c r="BO336" i="12"/>
  <c r="BN336" i="12"/>
  <c r="BM336" i="12"/>
  <c r="BL336" i="12"/>
  <c r="BK336" i="12"/>
  <c r="BJ336" i="12"/>
  <c r="BI336" i="12"/>
  <c r="BH336" i="12"/>
  <c r="BG336" i="12"/>
  <c r="BF336" i="12"/>
  <c r="BX335" i="12"/>
  <c r="BW335" i="12"/>
  <c r="BV335" i="12"/>
  <c r="BU335" i="12"/>
  <c r="BT335" i="12"/>
  <c r="BS335" i="12"/>
  <c r="BR335" i="12"/>
  <c r="BQ335" i="12"/>
  <c r="BP335" i="12"/>
  <c r="BO335" i="12"/>
  <c r="BN335" i="12"/>
  <c r="BM335" i="12"/>
  <c r="BL335" i="12"/>
  <c r="BK335" i="12"/>
  <c r="BJ335" i="12"/>
  <c r="BI335" i="12"/>
  <c r="BH335" i="12"/>
  <c r="BG335" i="12"/>
  <c r="BF335" i="12"/>
  <c r="BX334" i="12"/>
  <c r="BW334" i="12"/>
  <c r="BV334" i="12"/>
  <c r="BU334" i="12"/>
  <c r="BT334" i="12"/>
  <c r="BS334" i="12"/>
  <c r="BR334" i="12"/>
  <c r="BQ334" i="12"/>
  <c r="BP334" i="12"/>
  <c r="BO334" i="12"/>
  <c r="BN334" i="12"/>
  <c r="BM334" i="12"/>
  <c r="BL334" i="12"/>
  <c r="BK334" i="12"/>
  <c r="BJ334" i="12"/>
  <c r="BI334" i="12"/>
  <c r="BH334" i="12"/>
  <c r="BG334" i="12"/>
  <c r="BF334" i="12"/>
  <c r="BX333" i="12"/>
  <c r="BW333" i="12"/>
  <c r="BV333" i="12"/>
  <c r="BU333" i="12"/>
  <c r="BT333" i="12"/>
  <c r="BS333" i="12"/>
  <c r="BR333" i="12"/>
  <c r="BQ333" i="12"/>
  <c r="BP333" i="12"/>
  <c r="BO333" i="12"/>
  <c r="BN333" i="12"/>
  <c r="BM333" i="12"/>
  <c r="BL333" i="12"/>
  <c r="BK333" i="12"/>
  <c r="BJ333" i="12"/>
  <c r="BI333" i="12"/>
  <c r="BH333" i="12"/>
  <c r="BG333" i="12"/>
  <c r="BF333" i="12"/>
  <c r="BX332" i="12"/>
  <c r="BW332" i="12"/>
  <c r="BV332" i="12"/>
  <c r="BU332" i="12"/>
  <c r="BT332" i="12"/>
  <c r="BS332" i="12"/>
  <c r="BR332" i="12"/>
  <c r="BQ332" i="12"/>
  <c r="BP332" i="12"/>
  <c r="BO332" i="12"/>
  <c r="BN332" i="12"/>
  <c r="BM332" i="12"/>
  <c r="BL332" i="12"/>
  <c r="BK332" i="12"/>
  <c r="BJ332" i="12"/>
  <c r="BI332" i="12"/>
  <c r="BH332" i="12"/>
  <c r="BG332" i="12"/>
  <c r="BF332" i="12"/>
  <c r="BX331" i="12"/>
  <c r="BW331" i="12"/>
  <c r="BV331" i="12"/>
  <c r="BU331" i="12"/>
  <c r="BT331" i="12"/>
  <c r="BS331" i="12"/>
  <c r="BR331" i="12"/>
  <c r="BQ331" i="12"/>
  <c r="BP331" i="12"/>
  <c r="BO331" i="12"/>
  <c r="BN331" i="12"/>
  <c r="BM331" i="12"/>
  <c r="BL331" i="12"/>
  <c r="BK331" i="12"/>
  <c r="BJ331" i="12"/>
  <c r="BI331" i="12"/>
  <c r="BH331" i="12"/>
  <c r="BG331" i="12"/>
  <c r="BF331" i="12"/>
  <c r="BX330" i="12"/>
  <c r="BW330" i="12"/>
  <c r="BV330" i="12"/>
  <c r="BU330" i="12"/>
  <c r="BT330" i="12"/>
  <c r="BS330" i="12"/>
  <c r="BR330" i="12"/>
  <c r="BQ330" i="12"/>
  <c r="BP330" i="12"/>
  <c r="BO330" i="12"/>
  <c r="BN330" i="12"/>
  <c r="BM330" i="12"/>
  <c r="BL330" i="12"/>
  <c r="BK330" i="12"/>
  <c r="BJ330" i="12"/>
  <c r="BI330" i="12"/>
  <c r="BH330" i="12"/>
  <c r="BG330" i="12"/>
  <c r="BF330" i="12"/>
  <c r="BX329" i="12"/>
  <c r="BW329" i="12"/>
  <c r="BV329" i="12"/>
  <c r="BU329" i="12"/>
  <c r="BT329" i="12"/>
  <c r="BS329" i="12"/>
  <c r="BR329" i="12"/>
  <c r="BQ329" i="12"/>
  <c r="BP329" i="12"/>
  <c r="BO329" i="12"/>
  <c r="BN329" i="12"/>
  <c r="BM329" i="12"/>
  <c r="BL329" i="12"/>
  <c r="BK329" i="12"/>
  <c r="BJ329" i="12"/>
  <c r="BI329" i="12"/>
  <c r="BH329" i="12"/>
  <c r="BG329" i="12"/>
  <c r="BF329" i="12"/>
  <c r="BX328" i="12"/>
  <c r="BW328" i="12"/>
  <c r="BV328" i="12"/>
  <c r="BU328" i="12"/>
  <c r="BT328" i="12"/>
  <c r="BS328" i="12"/>
  <c r="BR328" i="12"/>
  <c r="BQ328" i="12"/>
  <c r="BP328" i="12"/>
  <c r="BO328" i="12"/>
  <c r="BN328" i="12"/>
  <c r="BM328" i="12"/>
  <c r="BL328" i="12"/>
  <c r="BK328" i="12"/>
  <c r="BJ328" i="12"/>
  <c r="BI328" i="12"/>
  <c r="BH328" i="12"/>
  <c r="BG328" i="12"/>
  <c r="BF328" i="12"/>
  <c r="BX327" i="12"/>
  <c r="BW327" i="12"/>
  <c r="BV327" i="12"/>
  <c r="BU327" i="12"/>
  <c r="BT327" i="12"/>
  <c r="BS327" i="12"/>
  <c r="BR327" i="12"/>
  <c r="BQ327" i="12"/>
  <c r="BP327" i="12"/>
  <c r="BO327" i="12"/>
  <c r="BN327" i="12"/>
  <c r="BM327" i="12"/>
  <c r="BL327" i="12"/>
  <c r="BK327" i="12"/>
  <c r="BJ327" i="12"/>
  <c r="BI327" i="12"/>
  <c r="BH327" i="12"/>
  <c r="BG327" i="12"/>
  <c r="BF327" i="12"/>
  <c r="BX326" i="12"/>
  <c r="BW326" i="12"/>
  <c r="BV326" i="12"/>
  <c r="BU326" i="12"/>
  <c r="BT326" i="12"/>
  <c r="BS326" i="12"/>
  <c r="BR326" i="12"/>
  <c r="BQ326" i="12"/>
  <c r="BP326" i="12"/>
  <c r="BO326" i="12"/>
  <c r="BN326" i="12"/>
  <c r="BM326" i="12"/>
  <c r="BL326" i="12"/>
  <c r="BK326" i="12"/>
  <c r="BJ326" i="12"/>
  <c r="BI326" i="12"/>
  <c r="BH326" i="12"/>
  <c r="BG326" i="12"/>
  <c r="BF326" i="12"/>
  <c r="BX325" i="12"/>
  <c r="BW325" i="12"/>
  <c r="BV325" i="12"/>
  <c r="BU325" i="12"/>
  <c r="BT325" i="12"/>
  <c r="BS325" i="12"/>
  <c r="BR325" i="12"/>
  <c r="BQ325" i="12"/>
  <c r="BP325" i="12"/>
  <c r="BO325" i="12"/>
  <c r="BN325" i="12"/>
  <c r="BM325" i="12"/>
  <c r="BL325" i="12"/>
  <c r="BK325" i="12"/>
  <c r="BJ325" i="12"/>
  <c r="BI325" i="12"/>
  <c r="BH325" i="12"/>
  <c r="BG325" i="12"/>
  <c r="BF325" i="12"/>
  <c r="BX324" i="12"/>
  <c r="BW324" i="12"/>
  <c r="BV324" i="12"/>
  <c r="BU324" i="12"/>
  <c r="BT324" i="12"/>
  <c r="BS324" i="12"/>
  <c r="BR324" i="12"/>
  <c r="BQ324" i="12"/>
  <c r="BP324" i="12"/>
  <c r="BO324" i="12"/>
  <c r="BN324" i="12"/>
  <c r="BM324" i="12"/>
  <c r="BL324" i="12"/>
  <c r="BK324" i="12"/>
  <c r="BJ324" i="12"/>
  <c r="BI324" i="12"/>
  <c r="BH324" i="12"/>
  <c r="BG324" i="12"/>
  <c r="BF324" i="12"/>
  <c r="BX323" i="12"/>
  <c r="BW323" i="12"/>
  <c r="BV323" i="12"/>
  <c r="BU323" i="12"/>
  <c r="BT323" i="12"/>
  <c r="BS323" i="12"/>
  <c r="BR323" i="12"/>
  <c r="BQ323" i="12"/>
  <c r="BP323" i="12"/>
  <c r="BO323" i="12"/>
  <c r="BN323" i="12"/>
  <c r="BM323" i="12"/>
  <c r="BL323" i="12"/>
  <c r="BK323" i="12"/>
  <c r="BJ323" i="12"/>
  <c r="BI323" i="12"/>
  <c r="BH323" i="12"/>
  <c r="BG323" i="12"/>
  <c r="BF323" i="12"/>
  <c r="BX322" i="12"/>
  <c r="BW322" i="12"/>
  <c r="BV322" i="12"/>
  <c r="BU322" i="12"/>
  <c r="BT322" i="12"/>
  <c r="BS322" i="12"/>
  <c r="BR322" i="12"/>
  <c r="BQ322" i="12"/>
  <c r="BP322" i="12"/>
  <c r="BO322" i="12"/>
  <c r="BN322" i="12"/>
  <c r="BM322" i="12"/>
  <c r="BL322" i="12"/>
  <c r="BK322" i="12"/>
  <c r="BJ322" i="12"/>
  <c r="BI322" i="12"/>
  <c r="BH322" i="12"/>
  <c r="BG322" i="12"/>
  <c r="BF322" i="12"/>
  <c r="BX321" i="12"/>
  <c r="BW321" i="12"/>
  <c r="BV321" i="12"/>
  <c r="BU321" i="12"/>
  <c r="BT321" i="12"/>
  <c r="BS321" i="12"/>
  <c r="BR321" i="12"/>
  <c r="BQ321" i="12"/>
  <c r="BP321" i="12"/>
  <c r="BO321" i="12"/>
  <c r="BN321" i="12"/>
  <c r="BM321" i="12"/>
  <c r="BL321" i="12"/>
  <c r="BK321" i="12"/>
  <c r="BJ321" i="12"/>
  <c r="BI321" i="12"/>
  <c r="BH321" i="12"/>
  <c r="BG321" i="12"/>
  <c r="BF321" i="12"/>
  <c r="BX320" i="12"/>
  <c r="BW320" i="12"/>
  <c r="BV320" i="12"/>
  <c r="BU320" i="12"/>
  <c r="BT320" i="12"/>
  <c r="BS320" i="12"/>
  <c r="BR320" i="12"/>
  <c r="BQ320" i="12"/>
  <c r="BP320" i="12"/>
  <c r="BO320" i="12"/>
  <c r="BN320" i="12"/>
  <c r="BM320" i="12"/>
  <c r="BL320" i="12"/>
  <c r="BK320" i="12"/>
  <c r="BJ320" i="12"/>
  <c r="BI320" i="12"/>
  <c r="BH320" i="12"/>
  <c r="BG320" i="12"/>
  <c r="BF320" i="12"/>
  <c r="BX319" i="12"/>
  <c r="BW319" i="12"/>
  <c r="BV319" i="12"/>
  <c r="BU319" i="12"/>
  <c r="BT319" i="12"/>
  <c r="BS319" i="12"/>
  <c r="BR319" i="12"/>
  <c r="BQ319" i="12"/>
  <c r="BP319" i="12"/>
  <c r="BO319" i="12"/>
  <c r="BN319" i="12"/>
  <c r="BM319" i="12"/>
  <c r="BL319" i="12"/>
  <c r="BK319" i="12"/>
  <c r="BJ319" i="12"/>
  <c r="BI319" i="12"/>
  <c r="BH319" i="12"/>
  <c r="BG319" i="12"/>
  <c r="BF319" i="12"/>
  <c r="BX318" i="12"/>
  <c r="BW318" i="12"/>
  <c r="BV318" i="12"/>
  <c r="BU318" i="12"/>
  <c r="BT318" i="12"/>
  <c r="BS318" i="12"/>
  <c r="BR318" i="12"/>
  <c r="BQ318" i="12"/>
  <c r="BP318" i="12"/>
  <c r="BO318" i="12"/>
  <c r="BN318" i="12"/>
  <c r="BM318" i="12"/>
  <c r="BL318" i="12"/>
  <c r="BK318" i="12"/>
  <c r="BJ318" i="12"/>
  <c r="BI318" i="12"/>
  <c r="BH318" i="12"/>
  <c r="BG318" i="12"/>
  <c r="BF318" i="12"/>
  <c r="BX317" i="12"/>
  <c r="BW317" i="12"/>
  <c r="BV317" i="12"/>
  <c r="BU317" i="12"/>
  <c r="BT317" i="12"/>
  <c r="BS317" i="12"/>
  <c r="BR317" i="12"/>
  <c r="BQ317" i="12"/>
  <c r="BP317" i="12"/>
  <c r="BO317" i="12"/>
  <c r="BN317" i="12"/>
  <c r="BM317" i="12"/>
  <c r="BL317" i="12"/>
  <c r="BK317" i="12"/>
  <c r="BJ317" i="12"/>
  <c r="BI317" i="12"/>
  <c r="BH317" i="12"/>
  <c r="BG317" i="12"/>
  <c r="BF317" i="12"/>
  <c r="BX316" i="12"/>
  <c r="BW316" i="12"/>
  <c r="BV316" i="12"/>
  <c r="BU316" i="12"/>
  <c r="BT316" i="12"/>
  <c r="BS316" i="12"/>
  <c r="BR316" i="12"/>
  <c r="BQ316" i="12"/>
  <c r="BP316" i="12"/>
  <c r="BO316" i="12"/>
  <c r="BN316" i="12"/>
  <c r="BM316" i="12"/>
  <c r="BL316" i="12"/>
  <c r="BK316" i="12"/>
  <c r="BJ316" i="12"/>
  <c r="BI316" i="12"/>
  <c r="BH316" i="12"/>
  <c r="BG316" i="12"/>
  <c r="BF316" i="12"/>
  <c r="BX315" i="12"/>
  <c r="BW315" i="12"/>
  <c r="BV315" i="12"/>
  <c r="BU315" i="12"/>
  <c r="BT315" i="12"/>
  <c r="BS315" i="12"/>
  <c r="BR315" i="12"/>
  <c r="BQ315" i="12"/>
  <c r="BP315" i="12"/>
  <c r="BO315" i="12"/>
  <c r="BN315" i="12"/>
  <c r="BM315" i="12"/>
  <c r="BL315" i="12"/>
  <c r="BK315" i="12"/>
  <c r="BJ315" i="12"/>
  <c r="BI315" i="12"/>
  <c r="BH315" i="12"/>
  <c r="BG315" i="12"/>
  <c r="BF315" i="12"/>
  <c r="BX314" i="12"/>
  <c r="BW314" i="12"/>
  <c r="BV314" i="12"/>
  <c r="BU314" i="12"/>
  <c r="BT314" i="12"/>
  <c r="BS314" i="12"/>
  <c r="BR314" i="12"/>
  <c r="BQ314" i="12"/>
  <c r="BP314" i="12"/>
  <c r="BO314" i="12"/>
  <c r="BN314" i="12"/>
  <c r="BM314" i="12"/>
  <c r="BL314" i="12"/>
  <c r="BK314" i="12"/>
  <c r="BJ314" i="12"/>
  <c r="BI314" i="12"/>
  <c r="BH314" i="12"/>
  <c r="BG314" i="12"/>
  <c r="BF314" i="12"/>
  <c r="BX313" i="12"/>
  <c r="BW313" i="12"/>
  <c r="BV313" i="12"/>
  <c r="BU313" i="12"/>
  <c r="BT313" i="12"/>
  <c r="BS313" i="12"/>
  <c r="BR313" i="12"/>
  <c r="BQ313" i="12"/>
  <c r="BP313" i="12"/>
  <c r="BO313" i="12"/>
  <c r="BN313" i="12"/>
  <c r="BM313" i="12"/>
  <c r="BL313" i="12"/>
  <c r="BK313" i="12"/>
  <c r="BJ313" i="12"/>
  <c r="BI313" i="12"/>
  <c r="BH313" i="12"/>
  <c r="BG313" i="12"/>
  <c r="BF313" i="12"/>
  <c r="BX312" i="12"/>
  <c r="BW312" i="12"/>
  <c r="BV312" i="12"/>
  <c r="BU312" i="12"/>
  <c r="BT312" i="12"/>
  <c r="BS312" i="12"/>
  <c r="BR312" i="12"/>
  <c r="BQ312" i="12"/>
  <c r="BP312" i="12"/>
  <c r="BO312" i="12"/>
  <c r="BN312" i="12"/>
  <c r="BM312" i="12"/>
  <c r="BL312" i="12"/>
  <c r="BK312" i="12"/>
  <c r="BJ312" i="12"/>
  <c r="BI312" i="12"/>
  <c r="BH312" i="12"/>
  <c r="BG312" i="12"/>
  <c r="BF312" i="12"/>
  <c r="BX311" i="12"/>
  <c r="BW311" i="12"/>
  <c r="BV311" i="12"/>
  <c r="BU311" i="12"/>
  <c r="BT311" i="12"/>
  <c r="BS311" i="12"/>
  <c r="BR311" i="12"/>
  <c r="BQ311" i="12"/>
  <c r="BP311" i="12"/>
  <c r="BO311" i="12"/>
  <c r="BN311" i="12"/>
  <c r="BM311" i="12"/>
  <c r="BL311" i="12"/>
  <c r="BK311" i="12"/>
  <c r="BJ311" i="12"/>
  <c r="BI311" i="12"/>
  <c r="BH311" i="12"/>
  <c r="BG311" i="12"/>
  <c r="BF311" i="12"/>
  <c r="BX310" i="12"/>
  <c r="BW310" i="12"/>
  <c r="BV310" i="12"/>
  <c r="BU310" i="12"/>
  <c r="BT310" i="12"/>
  <c r="BS310" i="12"/>
  <c r="BR310" i="12"/>
  <c r="BQ310" i="12"/>
  <c r="BP310" i="12"/>
  <c r="BO310" i="12"/>
  <c r="BN310" i="12"/>
  <c r="BM310" i="12"/>
  <c r="BL310" i="12"/>
  <c r="BK310" i="12"/>
  <c r="BJ310" i="12"/>
  <c r="BI310" i="12"/>
  <c r="BH310" i="12"/>
  <c r="BG310" i="12"/>
  <c r="BF310" i="12"/>
  <c r="BX309" i="12"/>
  <c r="BW309" i="12"/>
  <c r="BV309" i="12"/>
  <c r="BU309" i="12"/>
  <c r="BT309" i="12"/>
  <c r="BS309" i="12"/>
  <c r="BR309" i="12"/>
  <c r="BQ309" i="12"/>
  <c r="BP309" i="12"/>
  <c r="BO309" i="12"/>
  <c r="BN309" i="12"/>
  <c r="BM309" i="12"/>
  <c r="BL309" i="12"/>
  <c r="BK309" i="12"/>
  <c r="BJ309" i="12"/>
  <c r="BI309" i="12"/>
  <c r="BH309" i="12"/>
  <c r="BG309" i="12"/>
  <c r="BF309" i="12"/>
  <c r="BX308" i="12"/>
  <c r="BW308" i="12"/>
  <c r="BV308" i="12"/>
  <c r="BU308" i="12"/>
  <c r="BT308" i="12"/>
  <c r="BS308" i="12"/>
  <c r="BR308" i="12"/>
  <c r="BQ308" i="12"/>
  <c r="BP308" i="12"/>
  <c r="BO308" i="12"/>
  <c r="BN308" i="12"/>
  <c r="BM308" i="12"/>
  <c r="BL308" i="12"/>
  <c r="BK308" i="12"/>
  <c r="BJ308" i="12"/>
  <c r="BI308" i="12"/>
  <c r="BH308" i="12"/>
  <c r="BG308" i="12"/>
  <c r="BF308" i="12"/>
  <c r="BX307" i="12"/>
  <c r="BW307" i="12"/>
  <c r="BV307" i="12"/>
  <c r="BU307" i="12"/>
  <c r="BT307" i="12"/>
  <c r="BS307" i="12"/>
  <c r="BR307" i="12"/>
  <c r="BQ307" i="12"/>
  <c r="BP307" i="12"/>
  <c r="BO307" i="12"/>
  <c r="BN307" i="12"/>
  <c r="BM307" i="12"/>
  <c r="BL307" i="12"/>
  <c r="BK307" i="12"/>
  <c r="BJ307" i="12"/>
  <c r="BI307" i="12"/>
  <c r="BH307" i="12"/>
  <c r="BG307" i="12"/>
  <c r="BF307" i="12"/>
  <c r="BX306" i="12"/>
  <c r="BW306" i="12"/>
  <c r="BV306" i="12"/>
  <c r="BU306" i="12"/>
  <c r="BT306" i="12"/>
  <c r="BS306" i="12"/>
  <c r="BR306" i="12"/>
  <c r="BQ306" i="12"/>
  <c r="BP306" i="12"/>
  <c r="BO306" i="12"/>
  <c r="BN306" i="12"/>
  <c r="BM306" i="12"/>
  <c r="BL306" i="12"/>
  <c r="BK306" i="12"/>
  <c r="BJ306" i="12"/>
  <c r="BI306" i="12"/>
  <c r="BH306" i="12"/>
  <c r="BG306" i="12"/>
  <c r="BF306" i="12"/>
  <c r="BX305" i="12"/>
  <c r="BW305" i="12"/>
  <c r="BV305" i="12"/>
  <c r="BU305" i="12"/>
  <c r="BT305" i="12"/>
  <c r="BS305" i="12"/>
  <c r="BR305" i="12"/>
  <c r="BQ305" i="12"/>
  <c r="BP305" i="12"/>
  <c r="BO305" i="12"/>
  <c r="BN305" i="12"/>
  <c r="BM305" i="12"/>
  <c r="BL305" i="12"/>
  <c r="BK305" i="12"/>
  <c r="BJ305" i="12"/>
  <c r="BI305" i="12"/>
  <c r="BH305" i="12"/>
  <c r="BG305" i="12"/>
  <c r="BF305" i="12"/>
  <c r="BX304" i="12"/>
  <c r="BW304" i="12"/>
  <c r="BV304" i="12"/>
  <c r="BU304" i="12"/>
  <c r="BT304" i="12"/>
  <c r="BS304" i="12"/>
  <c r="BR304" i="12"/>
  <c r="BQ304" i="12"/>
  <c r="BP304" i="12"/>
  <c r="BO304" i="12"/>
  <c r="BN304" i="12"/>
  <c r="BM304" i="12"/>
  <c r="BL304" i="12"/>
  <c r="BK304" i="12"/>
  <c r="BJ304" i="12"/>
  <c r="BI304" i="12"/>
  <c r="BH304" i="12"/>
  <c r="BG304" i="12"/>
  <c r="BF304" i="12"/>
  <c r="BX303" i="12"/>
  <c r="BW303" i="12"/>
  <c r="BV303" i="12"/>
  <c r="BU303" i="12"/>
  <c r="BT303" i="12"/>
  <c r="BS303" i="12"/>
  <c r="BR303" i="12"/>
  <c r="BQ303" i="12"/>
  <c r="BP303" i="12"/>
  <c r="BO303" i="12"/>
  <c r="BN303" i="12"/>
  <c r="BM303" i="12"/>
  <c r="BL303" i="12"/>
  <c r="BK303" i="12"/>
  <c r="BJ303" i="12"/>
  <c r="BI303" i="12"/>
  <c r="BH303" i="12"/>
  <c r="BG303" i="12"/>
  <c r="BF303" i="12"/>
  <c r="BX302" i="12"/>
  <c r="BW302" i="12"/>
  <c r="BV302" i="12"/>
  <c r="BU302" i="12"/>
  <c r="BT302" i="12"/>
  <c r="BS302" i="12"/>
  <c r="BR302" i="12"/>
  <c r="BQ302" i="12"/>
  <c r="BP302" i="12"/>
  <c r="BO302" i="12"/>
  <c r="BN302" i="12"/>
  <c r="BM302" i="12"/>
  <c r="BL302" i="12"/>
  <c r="BK302" i="12"/>
  <c r="BJ302" i="12"/>
  <c r="BI302" i="12"/>
  <c r="BH302" i="12"/>
  <c r="BG302" i="12"/>
  <c r="BF302" i="12"/>
  <c r="BX301" i="12"/>
  <c r="BW301" i="12"/>
  <c r="BV301" i="12"/>
  <c r="BU301" i="12"/>
  <c r="BT301" i="12"/>
  <c r="BS301" i="12"/>
  <c r="BR301" i="12"/>
  <c r="BQ301" i="12"/>
  <c r="BP301" i="12"/>
  <c r="BO301" i="12"/>
  <c r="BN301" i="12"/>
  <c r="BM301" i="12"/>
  <c r="BL301" i="12"/>
  <c r="BK301" i="12"/>
  <c r="BJ301" i="12"/>
  <c r="BI301" i="12"/>
  <c r="BH301" i="12"/>
  <c r="BG301" i="12"/>
  <c r="BF301" i="12"/>
  <c r="BX300" i="12"/>
  <c r="BW300" i="12"/>
  <c r="BV300" i="12"/>
  <c r="BU300" i="12"/>
  <c r="BT300" i="12"/>
  <c r="BS300" i="12"/>
  <c r="BR300" i="12"/>
  <c r="BQ300" i="12"/>
  <c r="BP300" i="12"/>
  <c r="BO300" i="12"/>
  <c r="BN300" i="12"/>
  <c r="BM300" i="12"/>
  <c r="BL300" i="12"/>
  <c r="BK300" i="12"/>
  <c r="BJ300" i="12"/>
  <c r="BI300" i="12"/>
  <c r="BH300" i="12"/>
  <c r="BG300" i="12"/>
  <c r="BF300" i="12"/>
  <c r="BX299" i="12"/>
  <c r="BW299" i="12"/>
  <c r="BV299" i="12"/>
  <c r="BU299" i="12"/>
  <c r="BT299" i="12"/>
  <c r="BS299" i="12"/>
  <c r="BR299" i="12"/>
  <c r="BQ299" i="12"/>
  <c r="BP299" i="12"/>
  <c r="BO299" i="12"/>
  <c r="BN299" i="12"/>
  <c r="BM299" i="12"/>
  <c r="BL299" i="12"/>
  <c r="BK299" i="12"/>
  <c r="BJ299" i="12"/>
  <c r="BI299" i="12"/>
  <c r="BH299" i="12"/>
  <c r="BG299" i="12"/>
  <c r="BF299" i="12"/>
  <c r="BX298" i="12"/>
  <c r="BW298" i="12"/>
  <c r="BV298" i="12"/>
  <c r="BU298" i="12"/>
  <c r="BT298" i="12"/>
  <c r="BS298" i="12"/>
  <c r="BR298" i="12"/>
  <c r="BQ298" i="12"/>
  <c r="BP298" i="12"/>
  <c r="BO298" i="12"/>
  <c r="BN298" i="12"/>
  <c r="BM298" i="12"/>
  <c r="BL298" i="12"/>
  <c r="BK298" i="12"/>
  <c r="BJ298" i="12"/>
  <c r="BI298" i="12"/>
  <c r="BH298" i="12"/>
  <c r="BG298" i="12"/>
  <c r="BF298" i="12"/>
  <c r="BX297" i="12"/>
  <c r="BW297" i="12"/>
  <c r="BV297" i="12"/>
  <c r="BU297" i="12"/>
  <c r="BT297" i="12"/>
  <c r="BS297" i="12"/>
  <c r="BR297" i="12"/>
  <c r="BQ297" i="12"/>
  <c r="BP297" i="12"/>
  <c r="BO297" i="12"/>
  <c r="BN297" i="12"/>
  <c r="BM297" i="12"/>
  <c r="BL297" i="12"/>
  <c r="BK297" i="12"/>
  <c r="BJ297" i="12"/>
  <c r="BI297" i="12"/>
  <c r="BH297" i="12"/>
  <c r="BG297" i="12"/>
  <c r="BF297" i="12"/>
  <c r="BX296" i="12"/>
  <c r="BW296" i="12"/>
  <c r="BV296" i="12"/>
  <c r="BU296" i="12"/>
  <c r="BT296" i="12"/>
  <c r="BS296" i="12"/>
  <c r="BR296" i="12"/>
  <c r="BQ296" i="12"/>
  <c r="BP296" i="12"/>
  <c r="BO296" i="12"/>
  <c r="BN296" i="12"/>
  <c r="BM296" i="12"/>
  <c r="BL296" i="12"/>
  <c r="BK296" i="12"/>
  <c r="BJ296" i="12"/>
  <c r="BI296" i="12"/>
  <c r="BH296" i="12"/>
  <c r="BG296" i="12"/>
  <c r="BF296" i="12"/>
  <c r="BX295" i="12"/>
  <c r="BW295" i="12"/>
  <c r="BV295" i="12"/>
  <c r="BU295" i="12"/>
  <c r="BT295" i="12"/>
  <c r="BS295" i="12"/>
  <c r="BR295" i="12"/>
  <c r="BQ295" i="12"/>
  <c r="BP295" i="12"/>
  <c r="BO295" i="12"/>
  <c r="BN295" i="12"/>
  <c r="BM295" i="12"/>
  <c r="BL295" i="12"/>
  <c r="BK295" i="12"/>
  <c r="BJ295" i="12"/>
  <c r="BI295" i="12"/>
  <c r="BH295" i="12"/>
  <c r="BG295" i="12"/>
  <c r="BF295" i="12"/>
  <c r="BX294" i="12"/>
  <c r="BW294" i="12"/>
  <c r="BV294" i="12"/>
  <c r="BU294" i="12"/>
  <c r="BT294" i="12"/>
  <c r="BS294" i="12"/>
  <c r="BR294" i="12"/>
  <c r="BQ294" i="12"/>
  <c r="BP294" i="12"/>
  <c r="BO294" i="12"/>
  <c r="BN294" i="12"/>
  <c r="BM294" i="12"/>
  <c r="BL294" i="12"/>
  <c r="BK294" i="12"/>
  <c r="BJ294" i="12"/>
  <c r="BI294" i="12"/>
  <c r="BH294" i="12"/>
  <c r="BG294" i="12"/>
  <c r="BF294" i="12"/>
  <c r="BX293" i="12"/>
  <c r="BW293" i="12"/>
  <c r="BV293" i="12"/>
  <c r="BU293" i="12"/>
  <c r="BT293" i="12"/>
  <c r="BS293" i="12"/>
  <c r="BR293" i="12"/>
  <c r="BQ293" i="12"/>
  <c r="BP293" i="12"/>
  <c r="BO293" i="12"/>
  <c r="BN293" i="12"/>
  <c r="BM293" i="12"/>
  <c r="BL293" i="12"/>
  <c r="BK293" i="12"/>
  <c r="BJ293" i="12"/>
  <c r="BI293" i="12"/>
  <c r="BH293" i="12"/>
  <c r="BG293" i="12"/>
  <c r="BF293" i="12"/>
  <c r="BX292" i="12"/>
  <c r="BW292" i="12"/>
  <c r="BV292" i="12"/>
  <c r="BU292" i="12"/>
  <c r="BT292" i="12"/>
  <c r="BS292" i="12"/>
  <c r="BR292" i="12"/>
  <c r="BQ292" i="12"/>
  <c r="BP292" i="12"/>
  <c r="BO292" i="12"/>
  <c r="BN292" i="12"/>
  <c r="BM292" i="12"/>
  <c r="BL292" i="12"/>
  <c r="BK292" i="12"/>
  <c r="BJ292" i="12"/>
  <c r="BI292" i="12"/>
  <c r="BH292" i="12"/>
  <c r="BG292" i="12"/>
  <c r="BF292" i="12"/>
  <c r="BX291" i="12"/>
  <c r="BW291" i="12"/>
  <c r="BV291" i="12"/>
  <c r="BU291" i="12"/>
  <c r="BT291" i="12"/>
  <c r="BS291" i="12"/>
  <c r="BR291" i="12"/>
  <c r="BQ291" i="12"/>
  <c r="BP291" i="12"/>
  <c r="BO291" i="12"/>
  <c r="BN291" i="12"/>
  <c r="BM291" i="12"/>
  <c r="BL291" i="12"/>
  <c r="BK291" i="12"/>
  <c r="BJ291" i="12"/>
  <c r="BI291" i="12"/>
  <c r="BH291" i="12"/>
  <c r="BG291" i="12"/>
  <c r="BF291" i="12"/>
  <c r="BX290" i="12"/>
  <c r="BW290" i="12"/>
  <c r="BV290" i="12"/>
  <c r="BU290" i="12"/>
  <c r="BT290" i="12"/>
  <c r="BS290" i="12"/>
  <c r="BR290" i="12"/>
  <c r="BQ290" i="12"/>
  <c r="BP290" i="12"/>
  <c r="BO290" i="12"/>
  <c r="BN290" i="12"/>
  <c r="BM290" i="12"/>
  <c r="BL290" i="12"/>
  <c r="BK290" i="12"/>
  <c r="BJ290" i="12"/>
  <c r="BI290" i="12"/>
  <c r="BH290" i="12"/>
  <c r="BG290" i="12"/>
  <c r="BF290" i="12"/>
  <c r="BX289" i="12"/>
  <c r="BW289" i="12"/>
  <c r="BV289" i="12"/>
  <c r="BU289" i="12"/>
  <c r="BT289" i="12"/>
  <c r="BS289" i="12"/>
  <c r="BR289" i="12"/>
  <c r="BQ289" i="12"/>
  <c r="BP289" i="12"/>
  <c r="BO289" i="12"/>
  <c r="BN289" i="12"/>
  <c r="BM289" i="12"/>
  <c r="BL289" i="12"/>
  <c r="BK289" i="12"/>
  <c r="BJ289" i="12"/>
  <c r="BI289" i="12"/>
  <c r="BH289" i="12"/>
  <c r="BG289" i="12"/>
  <c r="BF289" i="12"/>
  <c r="BX288" i="12"/>
  <c r="BW288" i="12"/>
  <c r="BV288" i="12"/>
  <c r="BU288" i="12"/>
  <c r="BT288" i="12"/>
  <c r="BS288" i="12"/>
  <c r="BR288" i="12"/>
  <c r="BQ288" i="12"/>
  <c r="BP288" i="12"/>
  <c r="BO288" i="12"/>
  <c r="BN288" i="12"/>
  <c r="BM288" i="12"/>
  <c r="BL288" i="12"/>
  <c r="BK288" i="12"/>
  <c r="BJ288" i="12"/>
  <c r="BI288" i="12"/>
  <c r="BH288" i="12"/>
  <c r="BG288" i="12"/>
  <c r="BF288" i="12"/>
  <c r="BX287" i="12"/>
  <c r="BW287" i="12"/>
  <c r="BV287" i="12"/>
  <c r="BU287" i="12"/>
  <c r="BT287" i="12"/>
  <c r="BS287" i="12"/>
  <c r="BR287" i="12"/>
  <c r="BQ287" i="12"/>
  <c r="BP287" i="12"/>
  <c r="BO287" i="12"/>
  <c r="BN287" i="12"/>
  <c r="BM287" i="12"/>
  <c r="BL287" i="12"/>
  <c r="BK287" i="12"/>
  <c r="BJ287" i="12"/>
  <c r="BI287" i="12"/>
  <c r="BH287" i="12"/>
  <c r="BG287" i="12"/>
  <c r="BF287" i="12"/>
  <c r="BX286" i="12"/>
  <c r="BW286" i="12"/>
  <c r="BV286" i="12"/>
  <c r="BU286" i="12"/>
  <c r="BT286" i="12"/>
  <c r="BS286" i="12"/>
  <c r="BR286" i="12"/>
  <c r="BQ286" i="12"/>
  <c r="BP286" i="12"/>
  <c r="BO286" i="12"/>
  <c r="BN286" i="12"/>
  <c r="BM286" i="12"/>
  <c r="BL286" i="12"/>
  <c r="BK286" i="12"/>
  <c r="BJ286" i="12"/>
  <c r="BI286" i="12"/>
  <c r="BH286" i="12"/>
  <c r="BG286" i="12"/>
  <c r="BF286" i="12"/>
  <c r="BX285" i="12"/>
  <c r="BW285" i="12"/>
  <c r="BV285" i="12"/>
  <c r="BU285" i="12"/>
  <c r="BT285" i="12"/>
  <c r="BS285" i="12"/>
  <c r="BR285" i="12"/>
  <c r="BQ285" i="12"/>
  <c r="BP285" i="12"/>
  <c r="BO285" i="12"/>
  <c r="BN285" i="12"/>
  <c r="BM285" i="12"/>
  <c r="BL285" i="12"/>
  <c r="BK285" i="12"/>
  <c r="BJ285" i="12"/>
  <c r="BI285" i="12"/>
  <c r="BH285" i="12"/>
  <c r="BG285" i="12"/>
  <c r="BF285" i="12"/>
  <c r="BX284" i="12"/>
  <c r="BW284" i="12"/>
  <c r="BV284" i="12"/>
  <c r="BU284" i="12"/>
  <c r="BT284" i="12"/>
  <c r="BS284" i="12"/>
  <c r="BR284" i="12"/>
  <c r="BQ284" i="12"/>
  <c r="BP284" i="12"/>
  <c r="BO284" i="12"/>
  <c r="BN284" i="12"/>
  <c r="BM284" i="12"/>
  <c r="BL284" i="12"/>
  <c r="BK284" i="12"/>
  <c r="BJ284" i="12"/>
  <c r="BI284" i="12"/>
  <c r="BH284" i="12"/>
  <c r="BG284" i="12"/>
  <c r="BF284" i="12"/>
  <c r="BX283" i="12"/>
  <c r="BW283" i="12"/>
  <c r="BV283" i="12"/>
  <c r="BU283" i="12"/>
  <c r="BT283" i="12"/>
  <c r="BS283" i="12"/>
  <c r="BR283" i="12"/>
  <c r="BQ283" i="12"/>
  <c r="BP283" i="12"/>
  <c r="BO283" i="12"/>
  <c r="BN283" i="12"/>
  <c r="BM283" i="12"/>
  <c r="BL283" i="12"/>
  <c r="BK283" i="12"/>
  <c r="BJ283" i="12"/>
  <c r="BI283" i="12"/>
  <c r="BH283" i="12"/>
  <c r="BG283" i="12"/>
  <c r="BF283" i="12"/>
  <c r="BX282" i="12"/>
  <c r="BW282" i="12"/>
  <c r="BV282" i="12"/>
  <c r="BU282" i="12"/>
  <c r="BT282" i="12"/>
  <c r="BS282" i="12"/>
  <c r="BR282" i="12"/>
  <c r="BQ282" i="12"/>
  <c r="BP282" i="12"/>
  <c r="BO282" i="12"/>
  <c r="BN282" i="12"/>
  <c r="BM282" i="12"/>
  <c r="BL282" i="12"/>
  <c r="BK282" i="12"/>
  <c r="BJ282" i="12"/>
  <c r="BI282" i="12"/>
  <c r="BH282" i="12"/>
  <c r="BG282" i="12"/>
  <c r="BF282" i="12"/>
  <c r="BX281" i="12"/>
  <c r="BW281" i="12"/>
  <c r="BV281" i="12"/>
  <c r="BU281" i="12"/>
  <c r="BT281" i="12"/>
  <c r="BS281" i="12"/>
  <c r="BR281" i="12"/>
  <c r="BQ281" i="12"/>
  <c r="BP281" i="12"/>
  <c r="BO281" i="12"/>
  <c r="BN281" i="12"/>
  <c r="BM281" i="12"/>
  <c r="BL281" i="12"/>
  <c r="BK281" i="12"/>
  <c r="BJ281" i="12"/>
  <c r="BI281" i="12"/>
  <c r="BH281" i="12"/>
  <c r="BG281" i="12"/>
  <c r="BF281" i="12"/>
  <c r="BX280" i="12"/>
  <c r="BW280" i="12"/>
  <c r="BV280" i="12"/>
  <c r="BU280" i="12"/>
  <c r="BT280" i="12"/>
  <c r="BS280" i="12"/>
  <c r="BR280" i="12"/>
  <c r="BQ280" i="12"/>
  <c r="BP280" i="12"/>
  <c r="BO280" i="12"/>
  <c r="BN280" i="12"/>
  <c r="BM280" i="12"/>
  <c r="BL280" i="12"/>
  <c r="BK280" i="12"/>
  <c r="BJ280" i="12"/>
  <c r="BI280" i="12"/>
  <c r="BH280" i="12"/>
  <c r="BG280" i="12"/>
  <c r="BF280" i="12"/>
  <c r="BX279" i="12"/>
  <c r="BW279" i="12"/>
  <c r="BV279" i="12"/>
  <c r="BU279" i="12"/>
  <c r="BT279" i="12"/>
  <c r="BS279" i="12"/>
  <c r="BR279" i="12"/>
  <c r="BQ279" i="12"/>
  <c r="BP279" i="12"/>
  <c r="BO279" i="12"/>
  <c r="BN279" i="12"/>
  <c r="BM279" i="12"/>
  <c r="BL279" i="12"/>
  <c r="BK279" i="12"/>
  <c r="BJ279" i="12"/>
  <c r="BI279" i="12"/>
  <c r="BH279" i="12"/>
  <c r="BG279" i="12"/>
  <c r="BF279" i="12"/>
  <c r="BX278" i="12"/>
  <c r="BW278" i="12"/>
  <c r="BV278" i="12"/>
  <c r="BU278" i="12"/>
  <c r="BT278" i="12"/>
  <c r="BS278" i="12"/>
  <c r="BR278" i="12"/>
  <c r="BQ278" i="12"/>
  <c r="BP278" i="12"/>
  <c r="BO278" i="12"/>
  <c r="BN278" i="12"/>
  <c r="BM278" i="12"/>
  <c r="BL278" i="12"/>
  <c r="BK278" i="12"/>
  <c r="BJ278" i="12"/>
  <c r="BI278" i="12"/>
  <c r="BH278" i="12"/>
  <c r="BG278" i="12"/>
  <c r="BF278" i="12"/>
  <c r="BX277" i="12"/>
  <c r="BW277" i="12"/>
  <c r="BV277" i="12"/>
  <c r="BU277" i="12"/>
  <c r="BT277" i="12"/>
  <c r="BS277" i="12"/>
  <c r="BR277" i="12"/>
  <c r="BQ277" i="12"/>
  <c r="BP277" i="12"/>
  <c r="BO277" i="12"/>
  <c r="BN277" i="12"/>
  <c r="BM277" i="12"/>
  <c r="BL277" i="12"/>
  <c r="BK277" i="12"/>
  <c r="BJ277" i="12"/>
  <c r="BI277" i="12"/>
  <c r="BH277" i="12"/>
  <c r="BG277" i="12"/>
  <c r="BF277" i="12"/>
  <c r="BX276" i="12"/>
  <c r="BW276" i="12"/>
  <c r="BV276" i="12"/>
  <c r="BU276" i="12"/>
  <c r="BT276" i="12"/>
  <c r="BS276" i="12"/>
  <c r="BR276" i="12"/>
  <c r="BQ276" i="12"/>
  <c r="BP276" i="12"/>
  <c r="BO276" i="12"/>
  <c r="BN276" i="12"/>
  <c r="BM276" i="12"/>
  <c r="BL276" i="12"/>
  <c r="BK276" i="12"/>
  <c r="BJ276" i="12"/>
  <c r="BI276" i="12"/>
  <c r="BH276" i="12"/>
  <c r="BG276" i="12"/>
  <c r="BF276" i="12"/>
  <c r="BX275" i="12"/>
  <c r="BW275" i="12"/>
  <c r="BV275" i="12"/>
  <c r="BU275" i="12"/>
  <c r="BT275" i="12"/>
  <c r="BS275" i="12"/>
  <c r="BR275" i="12"/>
  <c r="BQ275" i="12"/>
  <c r="BP275" i="12"/>
  <c r="BO275" i="12"/>
  <c r="BN275" i="12"/>
  <c r="BM275" i="12"/>
  <c r="BL275" i="12"/>
  <c r="BK275" i="12"/>
  <c r="BJ275" i="12"/>
  <c r="BI275" i="12"/>
  <c r="BH275" i="12"/>
  <c r="BG275" i="12"/>
  <c r="BF275" i="12"/>
  <c r="BX274" i="12"/>
  <c r="BW274" i="12"/>
  <c r="BV274" i="12"/>
  <c r="BU274" i="12"/>
  <c r="BT274" i="12"/>
  <c r="BS274" i="12"/>
  <c r="BR274" i="12"/>
  <c r="BQ274" i="12"/>
  <c r="BP274" i="12"/>
  <c r="BO274" i="12"/>
  <c r="BN274" i="12"/>
  <c r="BM274" i="12"/>
  <c r="BL274" i="12"/>
  <c r="BK274" i="12"/>
  <c r="BJ274" i="12"/>
  <c r="BI274" i="12"/>
  <c r="BH274" i="12"/>
  <c r="BG274" i="12"/>
  <c r="BF274" i="12"/>
  <c r="BX273" i="12"/>
  <c r="BW273" i="12"/>
  <c r="BV273" i="12"/>
  <c r="BU273" i="12"/>
  <c r="BT273" i="12"/>
  <c r="BS273" i="12"/>
  <c r="BR273" i="12"/>
  <c r="BQ273" i="12"/>
  <c r="BP273" i="12"/>
  <c r="BO273" i="12"/>
  <c r="BN273" i="12"/>
  <c r="BM273" i="12"/>
  <c r="BL273" i="12"/>
  <c r="BK273" i="12"/>
  <c r="BJ273" i="12"/>
  <c r="BI273" i="12"/>
  <c r="BH273" i="12"/>
  <c r="BG273" i="12"/>
  <c r="BF273" i="12"/>
  <c r="BX272" i="12"/>
  <c r="BW272" i="12"/>
  <c r="BV272" i="12"/>
  <c r="BU272" i="12"/>
  <c r="BT272" i="12"/>
  <c r="BS272" i="12"/>
  <c r="BR272" i="12"/>
  <c r="BQ272" i="12"/>
  <c r="BP272" i="12"/>
  <c r="BO272" i="12"/>
  <c r="BN272" i="12"/>
  <c r="BM272" i="12"/>
  <c r="BL272" i="12"/>
  <c r="BK272" i="12"/>
  <c r="BJ272" i="12"/>
  <c r="BI272" i="12"/>
  <c r="BH272" i="12"/>
  <c r="BG272" i="12"/>
  <c r="BF272" i="12"/>
  <c r="BX271" i="12"/>
  <c r="BW271" i="12"/>
  <c r="BV271" i="12"/>
  <c r="BU271" i="12"/>
  <c r="BT271" i="12"/>
  <c r="BS271" i="12"/>
  <c r="BR271" i="12"/>
  <c r="BQ271" i="12"/>
  <c r="BP271" i="12"/>
  <c r="BO271" i="12"/>
  <c r="BN271" i="12"/>
  <c r="BM271" i="12"/>
  <c r="BL271" i="12"/>
  <c r="BK271" i="12"/>
  <c r="BJ271" i="12"/>
  <c r="BI271" i="12"/>
  <c r="BH271" i="12"/>
  <c r="BG271" i="12"/>
  <c r="BF271" i="12"/>
  <c r="BX270" i="12"/>
  <c r="BW270" i="12"/>
  <c r="BV270" i="12"/>
  <c r="BU270" i="12"/>
  <c r="BT270" i="12"/>
  <c r="BS270" i="12"/>
  <c r="BR270" i="12"/>
  <c r="BQ270" i="12"/>
  <c r="BP270" i="12"/>
  <c r="BO270" i="12"/>
  <c r="BN270" i="12"/>
  <c r="BM270" i="12"/>
  <c r="BL270" i="12"/>
  <c r="BK270" i="12"/>
  <c r="BJ270" i="12"/>
  <c r="BI270" i="12"/>
  <c r="BH270" i="12"/>
  <c r="BG270" i="12"/>
  <c r="BF270" i="12"/>
  <c r="BX269" i="12"/>
  <c r="BW269" i="12"/>
  <c r="BV269" i="12"/>
  <c r="BU269" i="12"/>
  <c r="BT269" i="12"/>
  <c r="BS269" i="12"/>
  <c r="BR269" i="12"/>
  <c r="BQ269" i="12"/>
  <c r="BP269" i="12"/>
  <c r="BO269" i="12"/>
  <c r="BN269" i="12"/>
  <c r="BM269" i="12"/>
  <c r="BL269" i="12"/>
  <c r="BK269" i="12"/>
  <c r="BJ269" i="12"/>
  <c r="BI269" i="12"/>
  <c r="BH269" i="12"/>
  <c r="BG269" i="12"/>
  <c r="BF269" i="12"/>
  <c r="BX268" i="12"/>
  <c r="BW268" i="12"/>
  <c r="BV268" i="12"/>
  <c r="BU268" i="12"/>
  <c r="BT268" i="12"/>
  <c r="BS268" i="12"/>
  <c r="BR268" i="12"/>
  <c r="BQ268" i="12"/>
  <c r="BP268" i="12"/>
  <c r="BO268" i="12"/>
  <c r="BN268" i="12"/>
  <c r="BM268" i="12"/>
  <c r="BL268" i="12"/>
  <c r="BK268" i="12"/>
  <c r="BJ268" i="12"/>
  <c r="BI268" i="12"/>
  <c r="BH268" i="12"/>
  <c r="BG268" i="12"/>
  <c r="BF268" i="12"/>
  <c r="BX267" i="12"/>
  <c r="BW267" i="12"/>
  <c r="BV267" i="12"/>
  <c r="BU267" i="12"/>
  <c r="BT267" i="12"/>
  <c r="BS267" i="12"/>
  <c r="BR267" i="12"/>
  <c r="BQ267" i="12"/>
  <c r="BP267" i="12"/>
  <c r="BO267" i="12"/>
  <c r="BN267" i="12"/>
  <c r="BM267" i="12"/>
  <c r="BL267" i="12"/>
  <c r="BK267" i="12"/>
  <c r="BJ267" i="12"/>
  <c r="BI267" i="12"/>
  <c r="BH267" i="12"/>
  <c r="BG267" i="12"/>
  <c r="BF267" i="12"/>
  <c r="BX266" i="12"/>
  <c r="BW266" i="12"/>
  <c r="BV266" i="12"/>
  <c r="BU266" i="12"/>
  <c r="BT266" i="12"/>
  <c r="BS266" i="12"/>
  <c r="BR266" i="12"/>
  <c r="BQ266" i="12"/>
  <c r="BP266" i="12"/>
  <c r="BO266" i="12"/>
  <c r="BN266" i="12"/>
  <c r="BM266" i="12"/>
  <c r="BL266" i="12"/>
  <c r="BK266" i="12"/>
  <c r="BJ266" i="12"/>
  <c r="BI266" i="12"/>
  <c r="BH266" i="12"/>
  <c r="BG266" i="12"/>
  <c r="BF266" i="12"/>
  <c r="BX265" i="12"/>
  <c r="BW265" i="12"/>
  <c r="BV265" i="12"/>
  <c r="BU265" i="12"/>
  <c r="BT265" i="12"/>
  <c r="BS265" i="12"/>
  <c r="BR265" i="12"/>
  <c r="BQ265" i="12"/>
  <c r="BP265" i="12"/>
  <c r="BO265" i="12"/>
  <c r="BN265" i="12"/>
  <c r="BM265" i="12"/>
  <c r="BL265" i="12"/>
  <c r="BK265" i="12"/>
  <c r="BJ265" i="12"/>
  <c r="BI265" i="12"/>
  <c r="BH265" i="12"/>
  <c r="BG265" i="12"/>
  <c r="BF265" i="12"/>
  <c r="BX264" i="12"/>
  <c r="BW264" i="12"/>
  <c r="BV264" i="12"/>
  <c r="BU264" i="12"/>
  <c r="BT264" i="12"/>
  <c r="BS264" i="12"/>
  <c r="BR264" i="12"/>
  <c r="BQ264" i="12"/>
  <c r="BP264" i="12"/>
  <c r="BO264" i="12"/>
  <c r="BN264" i="12"/>
  <c r="BM264" i="12"/>
  <c r="BL264" i="12"/>
  <c r="BK264" i="12"/>
  <c r="BJ264" i="12"/>
  <c r="BI264" i="12"/>
  <c r="BH264" i="12"/>
  <c r="BG264" i="12"/>
  <c r="BF264" i="12"/>
  <c r="BX263" i="12"/>
  <c r="BW263" i="12"/>
  <c r="BV263" i="12"/>
  <c r="BU263" i="12"/>
  <c r="BT263" i="12"/>
  <c r="BS263" i="12"/>
  <c r="BR263" i="12"/>
  <c r="BQ263" i="12"/>
  <c r="BP263" i="12"/>
  <c r="BO263" i="12"/>
  <c r="BN263" i="12"/>
  <c r="BM263" i="12"/>
  <c r="BL263" i="12"/>
  <c r="BK263" i="12"/>
  <c r="BJ263" i="12"/>
  <c r="BI263" i="12"/>
  <c r="BH263" i="12"/>
  <c r="BG263" i="12"/>
  <c r="BF263" i="12"/>
  <c r="BX262" i="12"/>
  <c r="BW262" i="12"/>
  <c r="BV262" i="12"/>
  <c r="BU262" i="12"/>
  <c r="BT262" i="12"/>
  <c r="BS262" i="12"/>
  <c r="BR262" i="12"/>
  <c r="BQ262" i="12"/>
  <c r="BP262" i="12"/>
  <c r="BO262" i="12"/>
  <c r="BN262" i="12"/>
  <c r="BM262" i="12"/>
  <c r="BL262" i="12"/>
  <c r="BK262" i="12"/>
  <c r="BJ262" i="12"/>
  <c r="BI262" i="12"/>
  <c r="BH262" i="12"/>
  <c r="BG262" i="12"/>
  <c r="BF262" i="12"/>
  <c r="BX261" i="12"/>
  <c r="BW261" i="12"/>
  <c r="BV261" i="12"/>
  <c r="BU261" i="12"/>
  <c r="BT261" i="12"/>
  <c r="BS261" i="12"/>
  <c r="BR261" i="12"/>
  <c r="BQ261" i="12"/>
  <c r="BP261" i="12"/>
  <c r="BO261" i="12"/>
  <c r="BN261" i="12"/>
  <c r="BM261" i="12"/>
  <c r="BL261" i="12"/>
  <c r="BK261" i="12"/>
  <c r="BJ261" i="12"/>
  <c r="BI261" i="12"/>
  <c r="BH261" i="12"/>
  <c r="BG261" i="12"/>
  <c r="BF261" i="12"/>
  <c r="BX260" i="12"/>
  <c r="BW260" i="12"/>
  <c r="BV260" i="12"/>
  <c r="BU260" i="12"/>
  <c r="BT260" i="12"/>
  <c r="BS260" i="12"/>
  <c r="BR260" i="12"/>
  <c r="BQ260" i="12"/>
  <c r="BP260" i="12"/>
  <c r="BO260" i="12"/>
  <c r="BN260" i="12"/>
  <c r="BM260" i="12"/>
  <c r="BL260" i="12"/>
  <c r="BK260" i="12"/>
  <c r="BJ260" i="12"/>
  <c r="BI260" i="12"/>
  <c r="BH260" i="12"/>
  <c r="BG260" i="12"/>
  <c r="BF260" i="12"/>
  <c r="BX259" i="12"/>
  <c r="BW259" i="12"/>
  <c r="BV259" i="12"/>
  <c r="BU259" i="12"/>
  <c r="BT259" i="12"/>
  <c r="BS259" i="12"/>
  <c r="BR259" i="12"/>
  <c r="BQ259" i="12"/>
  <c r="BP259" i="12"/>
  <c r="BO259" i="12"/>
  <c r="BN259" i="12"/>
  <c r="BM259" i="12"/>
  <c r="BL259" i="12"/>
  <c r="BK259" i="12"/>
  <c r="BJ259" i="12"/>
  <c r="BI259" i="12"/>
  <c r="BH259" i="12"/>
  <c r="BG259" i="12"/>
  <c r="BF259" i="12"/>
  <c r="BX258" i="12"/>
  <c r="BW258" i="12"/>
  <c r="BV258" i="12"/>
  <c r="BU258" i="12"/>
  <c r="BT258" i="12"/>
  <c r="BS258" i="12"/>
  <c r="BR258" i="12"/>
  <c r="BQ258" i="12"/>
  <c r="BP258" i="12"/>
  <c r="BO258" i="12"/>
  <c r="BN258" i="12"/>
  <c r="BM258" i="12"/>
  <c r="BL258" i="12"/>
  <c r="BK258" i="12"/>
  <c r="BJ258" i="12"/>
  <c r="BI258" i="12"/>
  <c r="BH258" i="12"/>
  <c r="BG258" i="12"/>
  <c r="BF258" i="12"/>
  <c r="BX257" i="12"/>
  <c r="BW257" i="12"/>
  <c r="BV257" i="12"/>
  <c r="BU257" i="12"/>
  <c r="BT257" i="12"/>
  <c r="BS257" i="12"/>
  <c r="BR257" i="12"/>
  <c r="BQ257" i="12"/>
  <c r="BP257" i="12"/>
  <c r="BO257" i="12"/>
  <c r="BN257" i="12"/>
  <c r="BM257" i="12"/>
  <c r="BL257" i="12"/>
  <c r="BK257" i="12"/>
  <c r="BJ257" i="12"/>
  <c r="BI257" i="12"/>
  <c r="BH257" i="12"/>
  <c r="BG257" i="12"/>
  <c r="BF257" i="12"/>
  <c r="BX256" i="12"/>
  <c r="BW256" i="12"/>
  <c r="BV256" i="12"/>
  <c r="BU256" i="12"/>
  <c r="BT256" i="12"/>
  <c r="BS256" i="12"/>
  <c r="BR256" i="12"/>
  <c r="BQ256" i="12"/>
  <c r="BP256" i="12"/>
  <c r="BO256" i="12"/>
  <c r="BN256" i="12"/>
  <c r="BM256" i="12"/>
  <c r="BL256" i="12"/>
  <c r="BK256" i="12"/>
  <c r="BJ256" i="12"/>
  <c r="BI256" i="12"/>
  <c r="BH256" i="12"/>
  <c r="BG256" i="12"/>
  <c r="BF256" i="12"/>
  <c r="BX255" i="12"/>
  <c r="BW255" i="12"/>
  <c r="BV255" i="12"/>
  <c r="BU255" i="12"/>
  <c r="BT255" i="12"/>
  <c r="BS255" i="12"/>
  <c r="BR255" i="12"/>
  <c r="BQ255" i="12"/>
  <c r="BP255" i="12"/>
  <c r="BO255" i="12"/>
  <c r="BN255" i="12"/>
  <c r="BM255" i="12"/>
  <c r="BL255" i="12"/>
  <c r="BK255" i="12"/>
  <c r="BJ255" i="12"/>
  <c r="BI255" i="12"/>
  <c r="BH255" i="12"/>
  <c r="BG255" i="12"/>
  <c r="BF255" i="12"/>
  <c r="BX254" i="12"/>
  <c r="BW254" i="12"/>
  <c r="BV254" i="12"/>
  <c r="BU254" i="12"/>
  <c r="BT254" i="12"/>
  <c r="BS254" i="12"/>
  <c r="BR254" i="12"/>
  <c r="BQ254" i="12"/>
  <c r="BP254" i="12"/>
  <c r="BO254" i="12"/>
  <c r="BN254" i="12"/>
  <c r="BM254" i="12"/>
  <c r="BL254" i="12"/>
  <c r="BK254" i="12"/>
  <c r="BJ254" i="12"/>
  <c r="BI254" i="12"/>
  <c r="BH254" i="12"/>
  <c r="BG254" i="12"/>
  <c r="BF254" i="12"/>
  <c r="BX253" i="12"/>
  <c r="BW253" i="12"/>
  <c r="BV253" i="12"/>
  <c r="BU253" i="12"/>
  <c r="BT253" i="12"/>
  <c r="BS253" i="12"/>
  <c r="BR253" i="12"/>
  <c r="BQ253" i="12"/>
  <c r="BP253" i="12"/>
  <c r="BO253" i="12"/>
  <c r="BN253" i="12"/>
  <c r="BM253" i="12"/>
  <c r="BL253" i="12"/>
  <c r="BK253" i="12"/>
  <c r="BJ253" i="12"/>
  <c r="BI253" i="12"/>
  <c r="BH253" i="12"/>
  <c r="BG253" i="12"/>
  <c r="BF253" i="12"/>
  <c r="BX252" i="12"/>
  <c r="BW252" i="12"/>
  <c r="BV252" i="12"/>
  <c r="BU252" i="12"/>
  <c r="BT252" i="12"/>
  <c r="BS252" i="12"/>
  <c r="BR252" i="12"/>
  <c r="BQ252" i="12"/>
  <c r="BP252" i="12"/>
  <c r="BO252" i="12"/>
  <c r="BN252" i="12"/>
  <c r="BM252" i="12"/>
  <c r="BL252" i="12"/>
  <c r="BK252" i="12"/>
  <c r="BJ252" i="12"/>
  <c r="BI252" i="12"/>
  <c r="BH252" i="12"/>
  <c r="BG252" i="12"/>
  <c r="BF252" i="12"/>
  <c r="BX251" i="12"/>
  <c r="BW251" i="12"/>
  <c r="BV251" i="12"/>
  <c r="BU251" i="12"/>
  <c r="BT251" i="12"/>
  <c r="BS251" i="12"/>
  <c r="BR251" i="12"/>
  <c r="BQ251" i="12"/>
  <c r="BP251" i="12"/>
  <c r="BO251" i="12"/>
  <c r="BN251" i="12"/>
  <c r="BM251" i="12"/>
  <c r="BL251" i="12"/>
  <c r="BK251" i="12"/>
  <c r="BJ251" i="12"/>
  <c r="BI251" i="12"/>
  <c r="BH251" i="12"/>
  <c r="BG251" i="12"/>
  <c r="BF251" i="12"/>
  <c r="BX250" i="12"/>
  <c r="BW250" i="12"/>
  <c r="BV250" i="12"/>
  <c r="BU250" i="12"/>
  <c r="BT250" i="12"/>
  <c r="BS250" i="12"/>
  <c r="BR250" i="12"/>
  <c r="BQ250" i="12"/>
  <c r="BP250" i="12"/>
  <c r="BO250" i="12"/>
  <c r="BN250" i="12"/>
  <c r="BM250" i="12"/>
  <c r="BL250" i="12"/>
  <c r="BK250" i="12"/>
  <c r="BJ250" i="12"/>
  <c r="BI250" i="12"/>
  <c r="BH250" i="12"/>
  <c r="BG250" i="12"/>
  <c r="BF250" i="12"/>
  <c r="BX249" i="12"/>
  <c r="BW249" i="12"/>
  <c r="BV249" i="12"/>
  <c r="BU249" i="12"/>
  <c r="BT249" i="12"/>
  <c r="BS249" i="12"/>
  <c r="BR249" i="12"/>
  <c r="BQ249" i="12"/>
  <c r="BP249" i="12"/>
  <c r="BO249" i="12"/>
  <c r="BN249" i="12"/>
  <c r="BM249" i="12"/>
  <c r="BL249" i="12"/>
  <c r="BK249" i="12"/>
  <c r="BJ249" i="12"/>
  <c r="BI249" i="12"/>
  <c r="BH249" i="12"/>
  <c r="BG249" i="12"/>
  <c r="BF249" i="12"/>
  <c r="BX248" i="12"/>
  <c r="BW248" i="12"/>
  <c r="BV248" i="12"/>
  <c r="BU248" i="12"/>
  <c r="BT248" i="12"/>
  <c r="BS248" i="12"/>
  <c r="BR248" i="12"/>
  <c r="BQ248" i="12"/>
  <c r="BP248" i="12"/>
  <c r="BO248" i="12"/>
  <c r="BN248" i="12"/>
  <c r="BM248" i="12"/>
  <c r="BL248" i="12"/>
  <c r="BK248" i="12"/>
  <c r="BJ248" i="12"/>
  <c r="BI248" i="12"/>
  <c r="BH248" i="12"/>
  <c r="BG248" i="12"/>
  <c r="BF248" i="12"/>
  <c r="BX247" i="12"/>
  <c r="BW247" i="12"/>
  <c r="BV247" i="12"/>
  <c r="BU247" i="12"/>
  <c r="BT247" i="12"/>
  <c r="BS247" i="12"/>
  <c r="BR247" i="12"/>
  <c r="BQ247" i="12"/>
  <c r="BP247" i="12"/>
  <c r="BO247" i="12"/>
  <c r="BN247" i="12"/>
  <c r="BM247" i="12"/>
  <c r="BL247" i="12"/>
  <c r="BK247" i="12"/>
  <c r="BJ247" i="12"/>
  <c r="BI247" i="12"/>
  <c r="BH247" i="12"/>
  <c r="BG247" i="12"/>
  <c r="BF247" i="12"/>
  <c r="BX246" i="12"/>
  <c r="BW246" i="12"/>
  <c r="BV246" i="12"/>
  <c r="BU246" i="12"/>
  <c r="BT246" i="12"/>
  <c r="BS246" i="12"/>
  <c r="BR246" i="12"/>
  <c r="BQ246" i="12"/>
  <c r="BP246" i="12"/>
  <c r="BO246" i="12"/>
  <c r="BN246" i="12"/>
  <c r="BM246" i="12"/>
  <c r="BL246" i="12"/>
  <c r="BK246" i="12"/>
  <c r="BJ246" i="12"/>
  <c r="BI246" i="12"/>
  <c r="BH246" i="12"/>
  <c r="BG246" i="12"/>
  <c r="BF246" i="12"/>
  <c r="BX245" i="12"/>
  <c r="BW245" i="12"/>
  <c r="BV245" i="12"/>
  <c r="BU245" i="12"/>
  <c r="BT245" i="12"/>
  <c r="BS245" i="12"/>
  <c r="BR245" i="12"/>
  <c r="BQ245" i="12"/>
  <c r="BP245" i="12"/>
  <c r="BO245" i="12"/>
  <c r="BN245" i="12"/>
  <c r="BM245" i="12"/>
  <c r="BL245" i="12"/>
  <c r="BK245" i="12"/>
  <c r="BJ245" i="12"/>
  <c r="BI245" i="12"/>
  <c r="BH245" i="12"/>
  <c r="BG245" i="12"/>
  <c r="BF245" i="12"/>
  <c r="BX244" i="12"/>
  <c r="BW244" i="12"/>
  <c r="BV244" i="12"/>
  <c r="BU244" i="12"/>
  <c r="BT244" i="12"/>
  <c r="BS244" i="12"/>
  <c r="BR244" i="12"/>
  <c r="BQ244" i="12"/>
  <c r="BP244" i="12"/>
  <c r="BO244" i="12"/>
  <c r="BN244" i="12"/>
  <c r="BM244" i="12"/>
  <c r="BL244" i="12"/>
  <c r="BK244" i="12"/>
  <c r="BJ244" i="12"/>
  <c r="BI244" i="12"/>
  <c r="BH244" i="12"/>
  <c r="BG244" i="12"/>
  <c r="BF244" i="12"/>
  <c r="BX243" i="12"/>
  <c r="BW243" i="12"/>
  <c r="BV243" i="12"/>
  <c r="BU243" i="12"/>
  <c r="BT243" i="12"/>
  <c r="BS243" i="12"/>
  <c r="BR243" i="12"/>
  <c r="BQ243" i="12"/>
  <c r="BP243" i="12"/>
  <c r="BO243" i="12"/>
  <c r="BN243" i="12"/>
  <c r="BM243" i="12"/>
  <c r="BL243" i="12"/>
  <c r="BK243" i="12"/>
  <c r="BJ243" i="12"/>
  <c r="BI243" i="12"/>
  <c r="BH243" i="12"/>
  <c r="BG243" i="12"/>
  <c r="BF243" i="12"/>
  <c r="BX242" i="12"/>
  <c r="BW242" i="12"/>
  <c r="BV242" i="12"/>
  <c r="BU242" i="12"/>
  <c r="BT242" i="12"/>
  <c r="BS242" i="12"/>
  <c r="BR242" i="12"/>
  <c r="BQ242" i="12"/>
  <c r="BP242" i="12"/>
  <c r="BO242" i="12"/>
  <c r="BN242" i="12"/>
  <c r="BM242" i="12"/>
  <c r="BL242" i="12"/>
  <c r="BK242" i="12"/>
  <c r="BJ242" i="12"/>
  <c r="BI242" i="12"/>
  <c r="BH242" i="12"/>
  <c r="BG242" i="12"/>
  <c r="BF242" i="12"/>
  <c r="BX241" i="12"/>
  <c r="BW241" i="12"/>
  <c r="BV241" i="12"/>
  <c r="BU241" i="12"/>
  <c r="BT241" i="12"/>
  <c r="BS241" i="12"/>
  <c r="BR241" i="12"/>
  <c r="BQ241" i="12"/>
  <c r="BP241" i="12"/>
  <c r="BO241" i="12"/>
  <c r="BN241" i="12"/>
  <c r="BM241" i="12"/>
  <c r="BL241" i="12"/>
  <c r="BK241" i="12"/>
  <c r="BJ241" i="12"/>
  <c r="BI241" i="12"/>
  <c r="BH241" i="12"/>
  <c r="BG241" i="12"/>
  <c r="BF241" i="12"/>
  <c r="BX240" i="12"/>
  <c r="BW240" i="12"/>
  <c r="BV240" i="12"/>
  <c r="BU240" i="12"/>
  <c r="BT240" i="12"/>
  <c r="BS240" i="12"/>
  <c r="BR240" i="12"/>
  <c r="BQ240" i="12"/>
  <c r="BP240" i="12"/>
  <c r="BO240" i="12"/>
  <c r="BN240" i="12"/>
  <c r="BM240" i="12"/>
  <c r="BL240" i="12"/>
  <c r="BK240" i="12"/>
  <c r="BJ240" i="12"/>
  <c r="BI240" i="12"/>
  <c r="BH240" i="12"/>
  <c r="BG240" i="12"/>
  <c r="BF240" i="12"/>
  <c r="BX239" i="12"/>
  <c r="BW239" i="12"/>
  <c r="BV239" i="12"/>
  <c r="BU239" i="12"/>
  <c r="BT239" i="12"/>
  <c r="BS239" i="12"/>
  <c r="BR239" i="12"/>
  <c r="BQ239" i="12"/>
  <c r="BP239" i="12"/>
  <c r="BO239" i="12"/>
  <c r="BN239" i="12"/>
  <c r="BM239" i="12"/>
  <c r="BL239" i="12"/>
  <c r="BK239" i="12"/>
  <c r="BJ239" i="12"/>
  <c r="BI239" i="12"/>
  <c r="BH239" i="12"/>
  <c r="BG239" i="12"/>
  <c r="BF239" i="12"/>
  <c r="BX238" i="12"/>
  <c r="BW238" i="12"/>
  <c r="BV238" i="12"/>
  <c r="BU238" i="12"/>
  <c r="BT238" i="12"/>
  <c r="BS238" i="12"/>
  <c r="BR238" i="12"/>
  <c r="BQ238" i="12"/>
  <c r="BP238" i="12"/>
  <c r="BO238" i="12"/>
  <c r="BN238" i="12"/>
  <c r="BM238" i="12"/>
  <c r="BL238" i="12"/>
  <c r="BK238" i="12"/>
  <c r="BJ238" i="12"/>
  <c r="BI238" i="12"/>
  <c r="BH238" i="12"/>
  <c r="BG238" i="12"/>
  <c r="BF238" i="12"/>
  <c r="BX237" i="12"/>
  <c r="BW237" i="12"/>
  <c r="BV237" i="12"/>
  <c r="BU237" i="12"/>
  <c r="BT237" i="12"/>
  <c r="BS237" i="12"/>
  <c r="BR237" i="12"/>
  <c r="BQ237" i="12"/>
  <c r="BP237" i="12"/>
  <c r="BO237" i="12"/>
  <c r="BN237" i="12"/>
  <c r="BM237" i="12"/>
  <c r="BL237" i="12"/>
  <c r="BK237" i="12"/>
  <c r="BJ237" i="12"/>
  <c r="BI237" i="12"/>
  <c r="BH237" i="12"/>
  <c r="BG237" i="12"/>
  <c r="BF237" i="12"/>
  <c r="BX236" i="12"/>
  <c r="BW236" i="12"/>
  <c r="BV236" i="12"/>
  <c r="BU236" i="12"/>
  <c r="BT236" i="12"/>
  <c r="BS236" i="12"/>
  <c r="BR236" i="12"/>
  <c r="BQ236" i="12"/>
  <c r="BP236" i="12"/>
  <c r="BO236" i="12"/>
  <c r="BN236" i="12"/>
  <c r="BM236" i="12"/>
  <c r="BL236" i="12"/>
  <c r="BK236" i="12"/>
  <c r="BJ236" i="12"/>
  <c r="BI236" i="12"/>
  <c r="BH236" i="12"/>
  <c r="BG236" i="12"/>
  <c r="BF236" i="12"/>
  <c r="BX235" i="12"/>
  <c r="BW235" i="12"/>
  <c r="BV235" i="12"/>
  <c r="BU235" i="12"/>
  <c r="BT235" i="12"/>
  <c r="BS235" i="12"/>
  <c r="BR235" i="12"/>
  <c r="BQ235" i="12"/>
  <c r="BP235" i="12"/>
  <c r="BO235" i="12"/>
  <c r="BN235" i="12"/>
  <c r="BM235" i="12"/>
  <c r="BL235" i="12"/>
  <c r="BK235" i="12"/>
  <c r="BJ235" i="12"/>
  <c r="BI235" i="12"/>
  <c r="BH235" i="12"/>
  <c r="BG235" i="12"/>
  <c r="BF235" i="12"/>
  <c r="BX234" i="12"/>
  <c r="BW234" i="12"/>
  <c r="BV234" i="12"/>
  <c r="BU234" i="12"/>
  <c r="BT234" i="12"/>
  <c r="BS234" i="12"/>
  <c r="BR234" i="12"/>
  <c r="BQ234" i="12"/>
  <c r="BP234" i="12"/>
  <c r="BO234" i="12"/>
  <c r="BN234" i="12"/>
  <c r="BM234" i="12"/>
  <c r="BL234" i="12"/>
  <c r="BK234" i="12"/>
  <c r="BJ234" i="12"/>
  <c r="BI234" i="12"/>
  <c r="BH234" i="12"/>
  <c r="BG234" i="12"/>
  <c r="BF234" i="12"/>
  <c r="BX233" i="12"/>
  <c r="BW233" i="12"/>
  <c r="BV233" i="12"/>
  <c r="BU233" i="12"/>
  <c r="BT233" i="12"/>
  <c r="BS233" i="12"/>
  <c r="BR233" i="12"/>
  <c r="BQ233" i="12"/>
  <c r="BP233" i="12"/>
  <c r="BO233" i="12"/>
  <c r="BN233" i="12"/>
  <c r="BM233" i="12"/>
  <c r="BL233" i="12"/>
  <c r="BK233" i="12"/>
  <c r="BJ233" i="12"/>
  <c r="BI233" i="12"/>
  <c r="BH233" i="12"/>
  <c r="BG233" i="12"/>
  <c r="BF233" i="12"/>
  <c r="BX232" i="12"/>
  <c r="BW232" i="12"/>
  <c r="BV232" i="12"/>
  <c r="BU232" i="12"/>
  <c r="BT232" i="12"/>
  <c r="BS232" i="12"/>
  <c r="BR232" i="12"/>
  <c r="BQ232" i="12"/>
  <c r="BP232" i="12"/>
  <c r="BO232" i="12"/>
  <c r="BN232" i="12"/>
  <c r="BM232" i="12"/>
  <c r="BL232" i="12"/>
  <c r="BK232" i="12"/>
  <c r="BJ232" i="12"/>
  <c r="BI232" i="12"/>
  <c r="BH232" i="12"/>
  <c r="BG232" i="12"/>
  <c r="BF232" i="12"/>
  <c r="BX231" i="12"/>
  <c r="BW231" i="12"/>
  <c r="BV231" i="12"/>
  <c r="BU231" i="12"/>
  <c r="BT231" i="12"/>
  <c r="BS231" i="12"/>
  <c r="BR231" i="12"/>
  <c r="BQ231" i="12"/>
  <c r="BP231" i="12"/>
  <c r="BO231" i="12"/>
  <c r="BN231" i="12"/>
  <c r="BM231" i="12"/>
  <c r="BL231" i="12"/>
  <c r="BK231" i="12"/>
  <c r="BJ231" i="12"/>
  <c r="BI231" i="12"/>
  <c r="BH231" i="12"/>
  <c r="BG231" i="12"/>
  <c r="BF231" i="12"/>
  <c r="BX230" i="12"/>
  <c r="BW230" i="12"/>
  <c r="BV230" i="12"/>
  <c r="BU230" i="12"/>
  <c r="BT230" i="12"/>
  <c r="BS230" i="12"/>
  <c r="BR230" i="12"/>
  <c r="BQ230" i="12"/>
  <c r="BP230" i="12"/>
  <c r="BO230" i="12"/>
  <c r="BN230" i="12"/>
  <c r="BM230" i="12"/>
  <c r="BL230" i="12"/>
  <c r="BK230" i="12"/>
  <c r="BJ230" i="12"/>
  <c r="BI230" i="12"/>
  <c r="BH230" i="12"/>
  <c r="BG230" i="12"/>
  <c r="BF230" i="12"/>
  <c r="BX229" i="12"/>
  <c r="BW229" i="12"/>
  <c r="BV229" i="12"/>
  <c r="BU229" i="12"/>
  <c r="BT229" i="12"/>
  <c r="BS229" i="12"/>
  <c r="BR229" i="12"/>
  <c r="BQ229" i="12"/>
  <c r="BP229" i="12"/>
  <c r="BO229" i="12"/>
  <c r="BN229" i="12"/>
  <c r="BM229" i="12"/>
  <c r="BL229" i="12"/>
  <c r="BK229" i="12"/>
  <c r="BJ229" i="12"/>
  <c r="BI229" i="12"/>
  <c r="BH229" i="12"/>
  <c r="BG229" i="12"/>
  <c r="BF229" i="12"/>
  <c r="BX228" i="12"/>
  <c r="BW228" i="12"/>
  <c r="BV228" i="12"/>
  <c r="BU228" i="12"/>
  <c r="BT228" i="12"/>
  <c r="BS228" i="12"/>
  <c r="BR228" i="12"/>
  <c r="BQ228" i="12"/>
  <c r="BP228" i="12"/>
  <c r="BO228" i="12"/>
  <c r="BN228" i="12"/>
  <c r="BM228" i="12"/>
  <c r="BL228" i="12"/>
  <c r="BK228" i="12"/>
  <c r="BJ228" i="12"/>
  <c r="BI228" i="12"/>
  <c r="BH228" i="12"/>
  <c r="BG228" i="12"/>
  <c r="BF228" i="12"/>
  <c r="BX227" i="12"/>
  <c r="BW227" i="12"/>
  <c r="BV227" i="12"/>
  <c r="BU227" i="12"/>
  <c r="BT227" i="12"/>
  <c r="BS227" i="12"/>
  <c r="BR227" i="12"/>
  <c r="BQ227" i="12"/>
  <c r="BP227" i="12"/>
  <c r="BO227" i="12"/>
  <c r="BN227" i="12"/>
  <c r="BM227" i="12"/>
  <c r="BL227" i="12"/>
  <c r="BK227" i="12"/>
  <c r="BJ227" i="12"/>
  <c r="BI227" i="12"/>
  <c r="BH227" i="12"/>
  <c r="BG227" i="12"/>
  <c r="BF227" i="12"/>
  <c r="BX226" i="12"/>
  <c r="BW226" i="12"/>
  <c r="BV226" i="12"/>
  <c r="BU226" i="12"/>
  <c r="BT226" i="12"/>
  <c r="BS226" i="12"/>
  <c r="BR226" i="12"/>
  <c r="BQ226" i="12"/>
  <c r="BP226" i="12"/>
  <c r="BO226" i="12"/>
  <c r="BN226" i="12"/>
  <c r="BM226" i="12"/>
  <c r="BL226" i="12"/>
  <c r="BK226" i="12"/>
  <c r="BJ226" i="12"/>
  <c r="BI226" i="12"/>
  <c r="BH226" i="12"/>
  <c r="BG226" i="12"/>
  <c r="BF226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CM3" i="1" l="1"/>
  <c r="CM4" i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2" i="1"/>
  <c r="AC2" i="4" l="1"/>
  <c r="BU3" i="12"/>
  <c r="BU4" i="12"/>
  <c r="BU5" i="12"/>
  <c r="BU6" i="12"/>
  <c r="BU7" i="12"/>
  <c r="BU8" i="12"/>
  <c r="BU9" i="12"/>
  <c r="BU10" i="12"/>
  <c r="BU11" i="12"/>
  <c r="BU12" i="12"/>
  <c r="BU13" i="12"/>
  <c r="BU14" i="12"/>
  <c r="BU15" i="12"/>
  <c r="BU16" i="12"/>
  <c r="BU17" i="12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3" i="12"/>
  <c r="BU74" i="12"/>
  <c r="BU75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03" i="12"/>
  <c r="BU104" i="12"/>
  <c r="BU105" i="12"/>
  <c r="BU106" i="12"/>
  <c r="BU107" i="12"/>
  <c r="BU108" i="12"/>
  <c r="BU109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2" i="12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2" i="4"/>
  <c r="V3" i="7"/>
  <c r="AA4" i="5"/>
  <c r="H1" i="19"/>
  <c r="H2" i="19"/>
  <c r="BT3" i="12"/>
  <c r="BT4" i="12"/>
  <c r="BT5" i="12"/>
  <c r="BT6" i="12"/>
  <c r="BT7" i="12"/>
  <c r="BT8" i="12"/>
  <c r="BT9" i="12"/>
  <c r="BT10" i="12"/>
  <c r="BT11" i="12"/>
  <c r="BT12" i="12"/>
  <c r="BT13" i="12"/>
  <c r="BT14" i="12"/>
  <c r="BT15" i="12"/>
  <c r="BT16" i="12"/>
  <c r="BT17" i="12"/>
  <c r="BT18" i="12"/>
  <c r="BT19" i="12"/>
  <c r="BT20" i="12"/>
  <c r="BT21" i="12"/>
  <c r="BT22" i="12"/>
  <c r="BT23" i="12"/>
  <c r="BT24" i="12"/>
  <c r="BT25" i="12"/>
  <c r="BT26" i="12"/>
  <c r="BT27" i="12"/>
  <c r="BT28" i="12"/>
  <c r="BT29" i="12"/>
  <c r="BT30" i="12"/>
  <c r="BT31" i="12"/>
  <c r="BT32" i="12"/>
  <c r="BT33" i="12"/>
  <c r="BT34" i="12"/>
  <c r="BT35" i="12"/>
  <c r="BT36" i="12"/>
  <c r="BT37" i="12"/>
  <c r="BT38" i="12"/>
  <c r="BT39" i="12"/>
  <c r="BT40" i="12"/>
  <c r="BT41" i="12"/>
  <c r="BT42" i="12"/>
  <c r="BT43" i="12"/>
  <c r="BT44" i="12"/>
  <c r="BT45" i="12"/>
  <c r="BT46" i="12"/>
  <c r="BT47" i="12"/>
  <c r="BT48" i="12"/>
  <c r="BT49" i="12"/>
  <c r="BT50" i="12"/>
  <c r="BT51" i="12"/>
  <c r="BT52" i="12"/>
  <c r="BT53" i="12"/>
  <c r="BT54" i="12"/>
  <c r="BT55" i="12"/>
  <c r="BT56" i="12"/>
  <c r="BT57" i="12"/>
  <c r="BT58" i="12"/>
  <c r="BT59" i="12"/>
  <c r="BT60" i="12"/>
  <c r="BT61" i="12"/>
  <c r="BT62" i="12"/>
  <c r="BT63" i="12"/>
  <c r="BT64" i="12"/>
  <c r="BT65" i="12"/>
  <c r="BT66" i="12"/>
  <c r="BT67" i="12"/>
  <c r="BT68" i="12"/>
  <c r="BT69" i="12"/>
  <c r="BT70" i="12"/>
  <c r="BT71" i="12"/>
  <c r="BT72" i="12"/>
  <c r="BT73" i="12"/>
  <c r="BT74" i="12"/>
  <c r="BT75" i="12"/>
  <c r="BT76" i="12"/>
  <c r="BT77" i="12"/>
  <c r="BT78" i="12"/>
  <c r="BT79" i="12"/>
  <c r="BT80" i="12"/>
  <c r="BT81" i="12"/>
  <c r="BT82" i="12"/>
  <c r="BT83" i="12"/>
  <c r="BT84" i="12"/>
  <c r="BT85" i="12"/>
  <c r="BT86" i="12"/>
  <c r="BT87" i="12"/>
  <c r="BT88" i="12"/>
  <c r="BT89" i="12"/>
  <c r="BT90" i="12"/>
  <c r="BT91" i="12"/>
  <c r="BT92" i="12"/>
  <c r="BT93" i="12"/>
  <c r="BT94" i="12"/>
  <c r="BT95" i="12"/>
  <c r="BT96" i="12"/>
  <c r="BT97" i="12"/>
  <c r="BT98" i="12"/>
  <c r="BT99" i="12"/>
  <c r="BT100" i="12"/>
  <c r="BT101" i="12"/>
  <c r="BT102" i="12"/>
  <c r="BT103" i="12"/>
  <c r="BT104" i="12"/>
  <c r="BT105" i="12"/>
  <c r="BT106" i="12"/>
  <c r="BT107" i="12"/>
  <c r="BT108" i="12"/>
  <c r="BT109" i="12"/>
  <c r="BT110" i="12"/>
  <c r="BT111" i="12"/>
  <c r="BT112" i="12"/>
  <c r="BT113" i="12"/>
  <c r="BT114" i="12"/>
  <c r="BT115" i="12"/>
  <c r="BT116" i="12"/>
  <c r="BT117" i="12"/>
  <c r="BT118" i="12"/>
  <c r="BT119" i="12"/>
  <c r="BT120" i="12"/>
  <c r="BT121" i="12"/>
  <c r="BT122" i="12"/>
  <c r="BT123" i="12"/>
  <c r="BT124" i="12"/>
  <c r="BT125" i="12"/>
  <c r="BT126" i="12"/>
  <c r="BT127" i="12"/>
  <c r="BT128" i="12"/>
  <c r="BT129" i="12"/>
  <c r="BT130" i="12"/>
  <c r="BT131" i="12"/>
  <c r="BT132" i="12"/>
  <c r="BT133" i="12"/>
  <c r="BT134" i="12"/>
  <c r="BT135" i="12"/>
  <c r="BT136" i="12"/>
  <c r="BT137" i="12"/>
  <c r="BT138" i="12"/>
  <c r="BT139" i="12"/>
  <c r="BT140" i="12"/>
  <c r="BT141" i="12"/>
  <c r="BT142" i="12"/>
  <c r="BT143" i="12"/>
  <c r="BT144" i="12"/>
  <c r="BT145" i="12"/>
  <c r="BT146" i="12"/>
  <c r="BT147" i="12"/>
  <c r="BT148" i="12"/>
  <c r="BT149" i="12"/>
  <c r="BT150" i="12"/>
  <c r="BT151" i="12"/>
  <c r="BT152" i="12"/>
  <c r="BT153" i="12"/>
  <c r="BT154" i="12"/>
  <c r="BT155" i="12"/>
  <c r="BT156" i="12"/>
  <c r="BT157" i="12"/>
  <c r="BT158" i="12"/>
  <c r="BT159" i="12"/>
  <c r="BT160" i="12"/>
  <c r="BT161" i="12"/>
  <c r="BT162" i="12"/>
  <c r="BT163" i="12"/>
  <c r="BT164" i="12"/>
  <c r="BT165" i="12"/>
  <c r="BT166" i="12"/>
  <c r="BT167" i="12"/>
  <c r="BT168" i="12"/>
  <c r="BT169" i="12"/>
  <c r="BT170" i="12"/>
  <c r="BT171" i="12"/>
  <c r="BT172" i="12"/>
  <c r="BT173" i="12"/>
  <c r="BT174" i="12"/>
  <c r="BT175" i="12"/>
  <c r="BT176" i="12"/>
  <c r="BT177" i="12"/>
  <c r="BT178" i="12"/>
  <c r="BT179" i="12"/>
  <c r="BT180" i="12"/>
  <c r="BT181" i="12"/>
  <c r="BT182" i="12"/>
  <c r="BT183" i="12"/>
  <c r="BT184" i="12"/>
  <c r="BT185" i="12"/>
  <c r="BT2" i="12"/>
  <c r="BO3" i="12"/>
  <c r="BO4" i="12"/>
  <c r="BO5" i="12"/>
  <c r="BO6" i="12"/>
  <c r="BO7" i="12"/>
  <c r="BO8" i="12"/>
  <c r="BO9" i="12"/>
  <c r="BO10" i="12"/>
  <c r="BO11" i="12"/>
  <c r="BO12" i="12"/>
  <c r="BO13" i="12"/>
  <c r="BO14" i="12"/>
  <c r="BO15" i="12"/>
  <c r="BO16" i="12"/>
  <c r="BO17" i="12"/>
  <c r="BO18" i="12"/>
  <c r="BO19" i="12"/>
  <c r="BO20" i="12"/>
  <c r="BO21" i="12"/>
  <c r="BO22" i="12"/>
  <c r="BO23" i="12"/>
  <c r="BO24" i="12"/>
  <c r="BO25" i="12"/>
  <c r="BO26" i="12"/>
  <c r="BO27" i="12"/>
  <c r="BO28" i="12"/>
  <c r="BO29" i="12"/>
  <c r="BO30" i="12"/>
  <c r="BO31" i="12"/>
  <c r="BO32" i="12"/>
  <c r="BO33" i="12"/>
  <c r="BO34" i="12"/>
  <c r="BO35" i="12"/>
  <c r="BO36" i="12"/>
  <c r="BO37" i="12"/>
  <c r="BO38" i="12"/>
  <c r="BO39" i="12"/>
  <c r="BO40" i="12"/>
  <c r="BO41" i="12"/>
  <c r="BO42" i="12"/>
  <c r="BO43" i="12"/>
  <c r="BO44" i="12"/>
  <c r="BO45" i="12"/>
  <c r="BO46" i="12"/>
  <c r="BO47" i="12"/>
  <c r="BO48" i="12"/>
  <c r="BO49" i="12"/>
  <c r="BO50" i="12"/>
  <c r="BO51" i="12"/>
  <c r="BO52" i="12"/>
  <c r="BO53" i="12"/>
  <c r="BO54" i="12"/>
  <c r="BO55" i="12"/>
  <c r="BO56" i="12"/>
  <c r="BO57" i="12"/>
  <c r="BO58" i="12"/>
  <c r="BO59" i="12"/>
  <c r="BO60" i="12"/>
  <c r="BO61" i="12"/>
  <c r="BO62" i="12"/>
  <c r="BO63" i="12"/>
  <c r="BO64" i="12"/>
  <c r="BO65" i="12"/>
  <c r="BO66" i="12"/>
  <c r="BO67" i="12"/>
  <c r="BO68" i="12"/>
  <c r="BO69" i="12"/>
  <c r="BO70" i="12"/>
  <c r="BO71" i="12"/>
  <c r="BO72" i="12"/>
  <c r="BO73" i="12"/>
  <c r="BO74" i="12"/>
  <c r="BO75" i="12"/>
  <c r="BO76" i="12"/>
  <c r="BO77" i="12"/>
  <c r="BO78" i="12"/>
  <c r="BO79" i="12"/>
  <c r="BO80" i="12"/>
  <c r="BO81" i="12"/>
  <c r="BO82" i="12"/>
  <c r="BO83" i="12"/>
  <c r="BO84" i="12"/>
  <c r="BO85" i="12"/>
  <c r="BO86" i="12"/>
  <c r="BO87" i="12"/>
  <c r="BO88" i="12"/>
  <c r="BO89" i="12"/>
  <c r="BO90" i="12"/>
  <c r="BO91" i="12"/>
  <c r="BO92" i="12"/>
  <c r="BO93" i="12"/>
  <c r="BO94" i="12"/>
  <c r="BO95" i="12"/>
  <c r="BO96" i="12"/>
  <c r="BO97" i="12"/>
  <c r="BO98" i="12"/>
  <c r="BO99" i="12"/>
  <c r="BO100" i="12"/>
  <c r="BO101" i="12"/>
  <c r="BO102" i="12"/>
  <c r="BO103" i="12"/>
  <c r="BO104" i="12"/>
  <c r="BO105" i="12"/>
  <c r="BO106" i="12"/>
  <c r="BO107" i="12"/>
  <c r="BO108" i="12"/>
  <c r="BO109" i="12"/>
  <c r="BO110" i="12"/>
  <c r="BO111" i="12"/>
  <c r="BO112" i="12"/>
  <c r="BO113" i="12"/>
  <c r="BO114" i="12"/>
  <c r="BO115" i="12"/>
  <c r="BO116" i="12"/>
  <c r="BO117" i="12"/>
  <c r="BO118" i="12"/>
  <c r="BO119" i="12"/>
  <c r="BO120" i="12"/>
  <c r="BO121" i="12"/>
  <c r="BO122" i="12"/>
  <c r="BO123" i="12"/>
  <c r="BO124" i="12"/>
  <c r="BO125" i="12"/>
  <c r="BO126" i="12"/>
  <c r="BO127" i="12"/>
  <c r="BO128" i="12"/>
  <c r="BO129" i="12"/>
  <c r="BO130" i="12"/>
  <c r="BO131" i="12"/>
  <c r="BO132" i="12"/>
  <c r="BO133" i="12"/>
  <c r="BO134" i="12"/>
  <c r="BO135" i="12"/>
  <c r="BO136" i="12"/>
  <c r="BO137" i="12"/>
  <c r="BO138" i="12"/>
  <c r="BO139" i="12"/>
  <c r="BO140" i="12"/>
  <c r="BO141" i="12"/>
  <c r="BO142" i="12"/>
  <c r="BO143" i="12"/>
  <c r="BO144" i="12"/>
  <c r="BO145" i="12"/>
  <c r="BO146" i="12"/>
  <c r="BO147" i="12"/>
  <c r="BO148" i="12"/>
  <c r="BO149" i="12"/>
  <c r="BO150" i="12"/>
  <c r="BO151" i="12"/>
  <c r="BO152" i="12"/>
  <c r="BO153" i="12"/>
  <c r="BO154" i="12"/>
  <c r="BO155" i="12"/>
  <c r="BO156" i="12"/>
  <c r="BO157" i="12"/>
  <c r="BO158" i="12"/>
  <c r="BO159" i="12"/>
  <c r="BO160" i="12"/>
  <c r="BO161" i="12"/>
  <c r="BO162" i="12"/>
  <c r="BO163" i="12"/>
  <c r="BO164" i="12"/>
  <c r="BO165" i="12"/>
  <c r="BO166" i="12"/>
  <c r="BO167" i="12"/>
  <c r="BO168" i="12"/>
  <c r="BO169" i="12"/>
  <c r="BO170" i="12"/>
  <c r="BO171" i="12"/>
  <c r="BO172" i="12"/>
  <c r="BO173" i="12"/>
  <c r="BO174" i="12"/>
  <c r="BO175" i="12"/>
  <c r="BO176" i="12"/>
  <c r="BO177" i="12"/>
  <c r="BO178" i="12"/>
  <c r="BO179" i="12"/>
  <c r="BO180" i="12"/>
  <c r="BO181" i="12"/>
  <c r="BO182" i="12"/>
  <c r="BO183" i="12"/>
  <c r="BO184" i="12"/>
  <c r="BO185" i="12"/>
  <c r="BO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N71" i="12"/>
  <c r="BN72" i="12"/>
  <c r="BN73" i="12"/>
  <c r="BN74" i="12"/>
  <c r="BN75" i="12"/>
  <c r="BN76" i="12"/>
  <c r="BN77" i="12"/>
  <c r="BN78" i="12"/>
  <c r="BN79" i="12"/>
  <c r="BN80" i="12"/>
  <c r="BN81" i="12"/>
  <c r="BN82" i="12"/>
  <c r="BN83" i="12"/>
  <c r="BN84" i="12"/>
  <c r="BN85" i="12"/>
  <c r="BN86" i="12"/>
  <c r="BN87" i="12"/>
  <c r="BN88" i="12"/>
  <c r="BN89" i="12"/>
  <c r="BN90" i="12"/>
  <c r="BN91" i="12"/>
  <c r="BN92" i="12"/>
  <c r="BN93" i="12"/>
  <c r="BN94" i="12"/>
  <c r="BN95" i="12"/>
  <c r="BN96" i="12"/>
  <c r="BN97" i="12"/>
  <c r="BN98" i="12"/>
  <c r="BN99" i="12"/>
  <c r="BN100" i="12"/>
  <c r="BN101" i="12"/>
  <c r="BN102" i="12"/>
  <c r="BN103" i="12"/>
  <c r="BN104" i="12"/>
  <c r="BN105" i="12"/>
  <c r="BN106" i="12"/>
  <c r="BN107" i="12"/>
  <c r="BN108" i="12"/>
  <c r="BN109" i="12"/>
  <c r="BN110" i="12"/>
  <c r="BN111" i="12"/>
  <c r="BN112" i="12"/>
  <c r="BN113" i="12"/>
  <c r="BN114" i="12"/>
  <c r="BN115" i="12"/>
  <c r="BN116" i="12"/>
  <c r="BN117" i="12"/>
  <c r="BN118" i="12"/>
  <c r="BN119" i="12"/>
  <c r="BN120" i="12"/>
  <c r="BN121" i="12"/>
  <c r="BN122" i="12"/>
  <c r="BN123" i="12"/>
  <c r="BN124" i="12"/>
  <c r="BN125" i="12"/>
  <c r="BN126" i="12"/>
  <c r="BN127" i="12"/>
  <c r="BN128" i="12"/>
  <c r="BN129" i="12"/>
  <c r="BN130" i="12"/>
  <c r="BN131" i="12"/>
  <c r="BN132" i="12"/>
  <c r="BN133" i="12"/>
  <c r="BN134" i="12"/>
  <c r="BN135" i="12"/>
  <c r="BN136" i="12"/>
  <c r="BN137" i="12"/>
  <c r="BN138" i="12"/>
  <c r="BN139" i="12"/>
  <c r="BN140" i="12"/>
  <c r="BN141" i="12"/>
  <c r="BN142" i="12"/>
  <c r="BN143" i="12"/>
  <c r="BN144" i="12"/>
  <c r="BN145" i="12"/>
  <c r="BN146" i="12"/>
  <c r="BN147" i="12"/>
  <c r="BN148" i="12"/>
  <c r="BN149" i="12"/>
  <c r="BN150" i="12"/>
  <c r="BN151" i="12"/>
  <c r="BN152" i="12"/>
  <c r="BN153" i="12"/>
  <c r="BN154" i="12"/>
  <c r="BN155" i="12"/>
  <c r="BN156" i="12"/>
  <c r="BN157" i="12"/>
  <c r="BN158" i="12"/>
  <c r="BN159" i="12"/>
  <c r="BN160" i="12"/>
  <c r="BN161" i="12"/>
  <c r="BN162" i="12"/>
  <c r="BN163" i="12"/>
  <c r="BN164" i="12"/>
  <c r="BN165" i="12"/>
  <c r="BN166" i="12"/>
  <c r="BN167" i="12"/>
  <c r="BN168" i="12"/>
  <c r="BN169" i="12"/>
  <c r="BN170" i="12"/>
  <c r="BN171" i="12"/>
  <c r="BN172" i="12"/>
  <c r="BN173" i="12"/>
  <c r="BN174" i="12"/>
  <c r="BN175" i="12"/>
  <c r="BN176" i="12"/>
  <c r="BN177" i="12"/>
  <c r="BN178" i="12"/>
  <c r="BN179" i="12"/>
  <c r="BN180" i="12"/>
  <c r="BN181" i="12"/>
  <c r="BN182" i="12"/>
  <c r="BN183" i="12"/>
  <c r="BN184" i="12"/>
  <c r="BN185" i="12"/>
  <c r="BN2" i="12"/>
  <c r="BG185" i="12"/>
  <c r="BF185" i="12"/>
  <c r="BG184" i="12"/>
  <c r="BF184" i="12"/>
  <c r="BG183" i="12"/>
  <c r="BF183" i="12"/>
  <c r="BG182" i="12"/>
  <c r="BF182" i="12"/>
  <c r="BG181" i="12"/>
  <c r="BF181" i="12"/>
  <c r="BG180" i="12"/>
  <c r="BF180" i="12"/>
  <c r="BG179" i="12"/>
  <c r="BF179" i="12"/>
  <c r="BG178" i="12"/>
  <c r="BF178" i="12"/>
  <c r="BG177" i="12"/>
  <c r="BF177" i="12"/>
  <c r="BG176" i="12"/>
  <c r="BF176" i="12"/>
  <c r="BG175" i="12"/>
  <c r="BF175" i="12"/>
  <c r="BG174" i="12"/>
  <c r="BF174" i="12"/>
  <c r="BG173" i="12"/>
  <c r="BF173" i="12"/>
  <c r="BG172" i="12"/>
  <c r="BF172" i="12"/>
  <c r="BG171" i="12"/>
  <c r="BF171" i="12"/>
  <c r="BG170" i="12"/>
  <c r="BF170" i="12"/>
  <c r="BG169" i="12"/>
  <c r="BF169" i="12"/>
  <c r="BG168" i="12"/>
  <c r="BF168" i="12"/>
  <c r="BG167" i="12"/>
  <c r="BF167" i="12"/>
  <c r="BG166" i="12"/>
  <c r="BF166" i="12"/>
  <c r="BG165" i="12"/>
  <c r="BF165" i="12"/>
  <c r="BG164" i="12"/>
  <c r="BF164" i="12"/>
  <c r="BG163" i="12"/>
  <c r="BF163" i="12"/>
  <c r="BG162" i="12"/>
  <c r="BF162" i="12"/>
  <c r="BG161" i="12"/>
  <c r="BF161" i="12"/>
  <c r="BG160" i="12"/>
  <c r="BF160" i="12"/>
  <c r="BG159" i="12"/>
  <c r="BF159" i="12"/>
  <c r="BG158" i="12"/>
  <c r="BF158" i="12"/>
  <c r="BG157" i="12"/>
  <c r="BF157" i="12"/>
  <c r="BG156" i="12"/>
  <c r="BF156" i="12"/>
  <c r="BG155" i="12"/>
  <c r="BF155" i="12"/>
  <c r="BG154" i="12"/>
  <c r="BF154" i="12"/>
  <c r="BG153" i="12"/>
  <c r="BF153" i="12"/>
  <c r="BG152" i="12"/>
  <c r="BF152" i="12"/>
  <c r="BG151" i="12"/>
  <c r="BF151" i="12"/>
  <c r="BG150" i="12"/>
  <c r="BF150" i="12"/>
  <c r="BG149" i="12"/>
  <c r="BF149" i="12"/>
  <c r="BG148" i="12"/>
  <c r="BF148" i="12"/>
  <c r="BG147" i="12"/>
  <c r="BF147" i="12"/>
  <c r="BG146" i="12"/>
  <c r="BF146" i="12"/>
  <c r="BG145" i="12"/>
  <c r="BF145" i="12"/>
  <c r="BG144" i="12"/>
  <c r="BF144" i="12"/>
  <c r="BG143" i="12"/>
  <c r="BF143" i="12"/>
  <c r="BG142" i="12"/>
  <c r="BF142" i="12"/>
  <c r="BG141" i="12"/>
  <c r="BF141" i="12"/>
  <c r="BG140" i="12"/>
  <c r="BF140" i="12"/>
  <c r="BG139" i="12"/>
  <c r="BF139" i="12"/>
  <c r="BG138" i="12"/>
  <c r="BF138" i="12"/>
  <c r="BG137" i="12"/>
  <c r="BF137" i="12"/>
  <c r="BG136" i="12"/>
  <c r="BF136" i="12"/>
  <c r="BG135" i="12"/>
  <c r="BF135" i="12"/>
  <c r="BG134" i="12"/>
  <c r="BF134" i="12"/>
  <c r="BG133" i="12"/>
  <c r="BF133" i="12"/>
  <c r="BG132" i="12"/>
  <c r="BF132" i="12"/>
  <c r="BG131" i="12"/>
  <c r="BF131" i="12"/>
  <c r="BG130" i="12"/>
  <c r="BF130" i="12"/>
  <c r="BG129" i="12"/>
  <c r="BF129" i="12"/>
  <c r="BG128" i="12"/>
  <c r="BF128" i="12"/>
  <c r="BG127" i="12"/>
  <c r="BF127" i="12"/>
  <c r="BG126" i="12"/>
  <c r="BF126" i="12"/>
  <c r="BG125" i="12"/>
  <c r="BF125" i="12"/>
  <c r="BG124" i="12"/>
  <c r="BF124" i="12"/>
  <c r="BG123" i="12"/>
  <c r="BF123" i="12"/>
  <c r="BG122" i="12"/>
  <c r="BF122" i="12"/>
  <c r="BG121" i="12"/>
  <c r="BF121" i="12"/>
  <c r="BG120" i="12"/>
  <c r="BF120" i="12"/>
  <c r="BG119" i="12"/>
  <c r="BF119" i="12"/>
  <c r="BG118" i="12"/>
  <c r="BF118" i="12"/>
  <c r="BG117" i="12"/>
  <c r="BF117" i="12"/>
  <c r="BG116" i="12"/>
  <c r="BF116" i="12"/>
  <c r="BG115" i="12"/>
  <c r="BF115" i="12"/>
  <c r="BG114" i="12"/>
  <c r="BF114" i="12"/>
  <c r="BG113" i="12"/>
  <c r="BF113" i="12"/>
  <c r="BG112" i="12"/>
  <c r="BF112" i="12"/>
  <c r="BG111" i="12"/>
  <c r="BF111" i="12"/>
  <c r="BG110" i="12"/>
  <c r="BF110" i="12"/>
  <c r="BG109" i="12"/>
  <c r="BF109" i="12"/>
  <c r="BG108" i="12"/>
  <c r="BF108" i="12"/>
  <c r="BG107" i="12"/>
  <c r="BF107" i="12"/>
  <c r="BG106" i="12"/>
  <c r="BF106" i="12"/>
  <c r="BG105" i="12"/>
  <c r="BF105" i="12"/>
  <c r="BG104" i="12"/>
  <c r="BF104" i="12"/>
  <c r="BG103" i="12"/>
  <c r="BF103" i="12"/>
  <c r="BG102" i="12"/>
  <c r="BF102" i="12"/>
  <c r="BG101" i="12"/>
  <c r="BF101" i="12"/>
  <c r="BG100" i="12"/>
  <c r="BF100" i="12"/>
  <c r="BG99" i="12"/>
  <c r="BF99" i="12"/>
  <c r="BG98" i="12"/>
  <c r="BF98" i="12"/>
  <c r="BG97" i="12"/>
  <c r="BF97" i="12"/>
  <c r="BG96" i="12"/>
  <c r="BF96" i="12"/>
  <c r="BG95" i="12"/>
  <c r="BF95" i="12"/>
  <c r="BG94" i="12"/>
  <c r="BF94" i="12"/>
  <c r="BG93" i="12"/>
  <c r="BF93" i="12"/>
  <c r="BG92" i="12"/>
  <c r="BF92" i="12"/>
  <c r="BG91" i="12"/>
  <c r="BF91" i="12"/>
  <c r="BG90" i="12"/>
  <c r="BF90" i="12"/>
  <c r="BG89" i="12"/>
  <c r="BF89" i="12"/>
  <c r="BG88" i="12"/>
  <c r="BF88" i="12"/>
  <c r="BG87" i="12"/>
  <c r="BF87" i="12"/>
  <c r="BG86" i="12"/>
  <c r="BF86" i="12"/>
  <c r="BG85" i="12"/>
  <c r="BF85" i="12"/>
  <c r="BG84" i="12"/>
  <c r="BF84" i="12"/>
  <c r="BG83" i="12"/>
  <c r="BF83" i="12"/>
  <c r="BG82" i="12"/>
  <c r="BF82" i="12"/>
  <c r="BG81" i="12"/>
  <c r="BF81" i="12"/>
  <c r="BG80" i="12"/>
  <c r="BF80" i="12"/>
  <c r="BG79" i="12"/>
  <c r="BF79" i="12"/>
  <c r="BG78" i="12"/>
  <c r="BF78" i="12"/>
  <c r="BG77" i="12"/>
  <c r="BF77" i="12"/>
  <c r="BG76" i="12"/>
  <c r="BF76" i="12"/>
  <c r="BG75" i="12"/>
  <c r="BF75" i="12"/>
  <c r="BG74" i="12"/>
  <c r="BF74" i="12"/>
  <c r="BG73" i="12"/>
  <c r="BF73" i="12"/>
  <c r="BG72" i="12"/>
  <c r="BF72" i="12"/>
  <c r="BG71" i="12"/>
  <c r="BF71" i="12"/>
  <c r="BG70" i="12"/>
  <c r="BF70" i="12"/>
  <c r="BG69" i="12"/>
  <c r="BF69" i="12"/>
  <c r="BG68" i="12"/>
  <c r="BF68" i="12"/>
  <c r="BG67" i="12"/>
  <c r="BF67" i="12"/>
  <c r="BG66" i="12"/>
  <c r="BF66" i="12"/>
  <c r="BG65" i="12"/>
  <c r="BF65" i="12"/>
  <c r="BG64" i="12"/>
  <c r="BF64" i="12"/>
  <c r="BG63" i="12"/>
  <c r="BF63" i="12"/>
  <c r="BG62" i="12"/>
  <c r="BF62" i="12"/>
  <c r="BG61" i="12"/>
  <c r="BF61" i="12"/>
  <c r="BG60" i="12"/>
  <c r="BF60" i="12"/>
  <c r="BG59" i="12"/>
  <c r="BF59" i="12"/>
  <c r="BG58" i="12"/>
  <c r="BF58" i="12"/>
  <c r="BG57" i="12"/>
  <c r="BF57" i="12"/>
  <c r="BG56" i="12"/>
  <c r="BF56" i="12"/>
  <c r="BG55" i="12"/>
  <c r="BF55" i="12"/>
  <c r="BG54" i="12"/>
  <c r="BF54" i="12"/>
  <c r="BG53" i="12"/>
  <c r="BF53" i="12"/>
  <c r="BG52" i="12"/>
  <c r="BF52" i="12"/>
  <c r="BG51" i="12"/>
  <c r="BF51" i="12"/>
  <c r="BG50" i="12"/>
  <c r="BF50" i="12"/>
  <c r="BG49" i="12"/>
  <c r="BF49" i="12"/>
  <c r="BG48" i="12"/>
  <c r="BF48" i="12"/>
  <c r="BG47" i="12"/>
  <c r="BF47" i="12"/>
  <c r="BG46" i="12"/>
  <c r="BF46" i="12"/>
  <c r="BG45" i="12"/>
  <c r="BF45" i="12"/>
  <c r="BG44" i="12"/>
  <c r="BF44" i="12"/>
  <c r="BG43" i="12"/>
  <c r="BF43" i="12"/>
  <c r="BG42" i="12"/>
  <c r="BF42" i="12"/>
  <c r="BG41" i="12"/>
  <c r="BF41" i="12"/>
  <c r="BG40" i="12"/>
  <c r="BF40" i="12"/>
  <c r="BG39" i="12"/>
  <c r="BF39" i="12"/>
  <c r="BG38" i="12"/>
  <c r="BF38" i="12"/>
  <c r="BG37" i="12"/>
  <c r="BF37" i="12"/>
  <c r="BG36" i="12"/>
  <c r="BF36" i="12"/>
  <c r="BG35" i="12"/>
  <c r="BF35" i="12"/>
  <c r="BG34" i="12"/>
  <c r="BF34" i="12"/>
  <c r="BG33" i="12"/>
  <c r="BF33" i="12"/>
  <c r="BG32" i="12"/>
  <c r="BF32" i="12"/>
  <c r="BG31" i="12"/>
  <c r="BF31" i="12"/>
  <c r="BG30" i="12"/>
  <c r="BF30" i="12"/>
  <c r="BG29" i="12"/>
  <c r="BF29" i="12"/>
  <c r="BG28" i="12"/>
  <c r="BF28" i="12"/>
  <c r="BG27" i="12"/>
  <c r="BF27" i="12"/>
  <c r="BG26" i="12"/>
  <c r="BF26" i="12"/>
  <c r="BG25" i="12"/>
  <c r="BF25" i="12"/>
  <c r="BG24" i="12"/>
  <c r="BF24" i="12"/>
  <c r="BG23" i="12"/>
  <c r="BF23" i="12"/>
  <c r="BG22" i="12"/>
  <c r="BF22" i="12"/>
  <c r="BG21" i="12"/>
  <c r="BF21" i="12"/>
  <c r="BG20" i="12"/>
  <c r="BF20" i="12"/>
  <c r="BG19" i="12"/>
  <c r="BF19" i="12"/>
  <c r="BG18" i="12"/>
  <c r="BF18" i="12"/>
  <c r="BG17" i="12"/>
  <c r="BF17" i="12"/>
  <c r="BG16" i="12"/>
  <c r="BF16" i="12"/>
  <c r="BG15" i="12"/>
  <c r="BF15" i="12"/>
  <c r="BG14" i="12"/>
  <c r="BF14" i="12"/>
  <c r="BG13" i="12"/>
  <c r="BF13" i="12"/>
  <c r="BG12" i="12"/>
  <c r="BF12" i="12"/>
  <c r="BG11" i="12"/>
  <c r="BF11" i="12"/>
  <c r="BG10" i="12"/>
  <c r="BF10" i="12"/>
  <c r="BG9" i="12"/>
  <c r="BF9" i="12"/>
  <c r="BG8" i="12"/>
  <c r="BF8" i="12"/>
  <c r="BG7" i="12"/>
  <c r="BF7" i="12"/>
  <c r="BG6" i="12"/>
  <c r="BF6" i="12"/>
  <c r="BG5" i="12"/>
  <c r="BF5" i="12"/>
  <c r="BG4" i="12"/>
  <c r="BF4" i="12"/>
  <c r="BG3" i="12"/>
  <c r="BF3" i="12"/>
  <c r="BG2" i="12"/>
  <c r="BF2" i="12"/>
  <c r="BX185" i="12"/>
  <c r="BW185" i="12"/>
  <c r="BV185" i="12"/>
  <c r="BS185" i="12"/>
  <c r="BR185" i="12"/>
  <c r="BQ185" i="12"/>
  <c r="BP185" i="12"/>
  <c r="BM185" i="12"/>
  <c r="BL185" i="12"/>
  <c r="BK185" i="12"/>
  <c r="BJ185" i="12"/>
  <c r="BI185" i="12"/>
  <c r="BH185" i="12"/>
  <c r="BX184" i="12"/>
  <c r="BW184" i="12"/>
  <c r="BV184" i="12"/>
  <c r="BS184" i="12"/>
  <c r="BR184" i="12"/>
  <c r="BQ184" i="12"/>
  <c r="BP184" i="12"/>
  <c r="BM184" i="12"/>
  <c r="BL184" i="12"/>
  <c r="BK184" i="12"/>
  <c r="BJ184" i="12"/>
  <c r="BI184" i="12"/>
  <c r="BH184" i="12"/>
  <c r="BX183" i="12"/>
  <c r="BW183" i="12"/>
  <c r="BV183" i="12"/>
  <c r="BS183" i="12"/>
  <c r="BR183" i="12"/>
  <c r="BQ183" i="12"/>
  <c r="BP183" i="12"/>
  <c r="BM183" i="12"/>
  <c r="BL183" i="12"/>
  <c r="BK183" i="12"/>
  <c r="BJ183" i="12"/>
  <c r="BI183" i="12"/>
  <c r="BH183" i="12"/>
  <c r="BX182" i="12"/>
  <c r="BW182" i="12"/>
  <c r="BV182" i="12"/>
  <c r="BS182" i="12"/>
  <c r="BR182" i="12"/>
  <c r="BQ182" i="12"/>
  <c r="BP182" i="12"/>
  <c r="BM182" i="12"/>
  <c r="BL182" i="12"/>
  <c r="BK182" i="12"/>
  <c r="BJ182" i="12"/>
  <c r="BI182" i="12"/>
  <c r="BH182" i="12"/>
  <c r="BX181" i="12"/>
  <c r="BW181" i="12"/>
  <c r="BV181" i="12"/>
  <c r="BS181" i="12"/>
  <c r="BR181" i="12"/>
  <c r="BQ181" i="12"/>
  <c r="BP181" i="12"/>
  <c r="BM181" i="12"/>
  <c r="BL181" i="12"/>
  <c r="BK181" i="12"/>
  <c r="BJ181" i="12"/>
  <c r="BI181" i="12"/>
  <c r="BH181" i="12"/>
  <c r="BX180" i="12"/>
  <c r="BW180" i="12"/>
  <c r="BV180" i="12"/>
  <c r="BS180" i="12"/>
  <c r="BR180" i="12"/>
  <c r="BQ180" i="12"/>
  <c r="BP180" i="12"/>
  <c r="BM180" i="12"/>
  <c r="BL180" i="12"/>
  <c r="BK180" i="12"/>
  <c r="BJ180" i="12"/>
  <c r="BI180" i="12"/>
  <c r="BH180" i="12"/>
  <c r="BX179" i="12"/>
  <c r="BW179" i="12"/>
  <c r="BV179" i="12"/>
  <c r="BS179" i="12"/>
  <c r="BR179" i="12"/>
  <c r="BQ179" i="12"/>
  <c r="BP179" i="12"/>
  <c r="BM179" i="12"/>
  <c r="BL179" i="12"/>
  <c r="BK179" i="12"/>
  <c r="BJ179" i="12"/>
  <c r="BI179" i="12"/>
  <c r="BH179" i="12"/>
  <c r="BX178" i="12"/>
  <c r="BW178" i="12"/>
  <c r="BV178" i="12"/>
  <c r="BS178" i="12"/>
  <c r="BR178" i="12"/>
  <c r="BQ178" i="12"/>
  <c r="BP178" i="12"/>
  <c r="BM178" i="12"/>
  <c r="BL178" i="12"/>
  <c r="BK178" i="12"/>
  <c r="BJ178" i="12"/>
  <c r="BI178" i="12"/>
  <c r="BH178" i="12"/>
  <c r="BX177" i="12"/>
  <c r="BW177" i="12"/>
  <c r="BV177" i="12"/>
  <c r="BS177" i="12"/>
  <c r="BR177" i="12"/>
  <c r="BQ177" i="12"/>
  <c r="BP177" i="12"/>
  <c r="BM177" i="12"/>
  <c r="BL177" i="12"/>
  <c r="BK177" i="12"/>
  <c r="BJ177" i="12"/>
  <c r="BI177" i="12"/>
  <c r="BH177" i="12"/>
  <c r="BX176" i="12"/>
  <c r="BW176" i="12"/>
  <c r="BV176" i="12"/>
  <c r="BS176" i="12"/>
  <c r="BR176" i="12"/>
  <c r="BQ176" i="12"/>
  <c r="BP176" i="12"/>
  <c r="BM176" i="12"/>
  <c r="BL176" i="12"/>
  <c r="BK176" i="12"/>
  <c r="BJ176" i="12"/>
  <c r="BI176" i="12"/>
  <c r="BH176" i="12"/>
  <c r="BX175" i="12"/>
  <c r="BW175" i="12"/>
  <c r="BV175" i="12"/>
  <c r="BS175" i="12"/>
  <c r="BR175" i="12"/>
  <c r="BQ175" i="12"/>
  <c r="BP175" i="12"/>
  <c r="BM175" i="12"/>
  <c r="BL175" i="12"/>
  <c r="BK175" i="12"/>
  <c r="BJ175" i="12"/>
  <c r="BI175" i="12"/>
  <c r="BH175" i="12"/>
  <c r="BX174" i="12"/>
  <c r="BW174" i="12"/>
  <c r="BV174" i="12"/>
  <c r="BS174" i="12"/>
  <c r="BR174" i="12"/>
  <c r="BQ174" i="12"/>
  <c r="BP174" i="12"/>
  <c r="BM174" i="12"/>
  <c r="BL174" i="12"/>
  <c r="BK174" i="12"/>
  <c r="BJ174" i="12"/>
  <c r="BI174" i="12"/>
  <c r="BH174" i="12"/>
  <c r="BX173" i="12"/>
  <c r="BW173" i="12"/>
  <c r="BV173" i="12"/>
  <c r="BS173" i="12"/>
  <c r="BR173" i="12"/>
  <c r="BQ173" i="12"/>
  <c r="BP173" i="12"/>
  <c r="BM173" i="12"/>
  <c r="BL173" i="12"/>
  <c r="BK173" i="12"/>
  <c r="BJ173" i="12"/>
  <c r="BI173" i="12"/>
  <c r="BH173" i="12"/>
  <c r="BX172" i="12"/>
  <c r="BW172" i="12"/>
  <c r="BV172" i="12"/>
  <c r="BS172" i="12"/>
  <c r="BR172" i="12"/>
  <c r="BQ172" i="12"/>
  <c r="BP172" i="12"/>
  <c r="BM172" i="12"/>
  <c r="BL172" i="12"/>
  <c r="BK172" i="12"/>
  <c r="BJ172" i="12"/>
  <c r="BI172" i="12"/>
  <c r="BH172" i="12"/>
  <c r="BX171" i="12"/>
  <c r="BW171" i="12"/>
  <c r="BV171" i="12"/>
  <c r="BS171" i="12"/>
  <c r="BR171" i="12"/>
  <c r="BQ171" i="12"/>
  <c r="BP171" i="12"/>
  <c r="BM171" i="12"/>
  <c r="BL171" i="12"/>
  <c r="BK171" i="12"/>
  <c r="BJ171" i="12"/>
  <c r="BI171" i="12"/>
  <c r="BH171" i="12"/>
  <c r="BX170" i="12"/>
  <c r="BW170" i="12"/>
  <c r="BV170" i="12"/>
  <c r="BS170" i="12"/>
  <c r="BR170" i="12"/>
  <c r="BQ170" i="12"/>
  <c r="BP170" i="12"/>
  <c r="BM170" i="12"/>
  <c r="BL170" i="12"/>
  <c r="BK170" i="12"/>
  <c r="BJ170" i="12"/>
  <c r="BI170" i="12"/>
  <c r="BH170" i="12"/>
  <c r="BX169" i="12"/>
  <c r="BW169" i="12"/>
  <c r="BV169" i="12"/>
  <c r="BS169" i="12"/>
  <c r="BR169" i="12"/>
  <c r="BQ169" i="12"/>
  <c r="BP169" i="12"/>
  <c r="BM169" i="12"/>
  <c r="BL169" i="12"/>
  <c r="BK169" i="12"/>
  <c r="BJ169" i="12"/>
  <c r="BI169" i="12"/>
  <c r="BH169" i="12"/>
  <c r="BX168" i="12"/>
  <c r="BW168" i="12"/>
  <c r="BV168" i="12"/>
  <c r="BS168" i="12"/>
  <c r="BR168" i="12"/>
  <c r="BQ168" i="12"/>
  <c r="BP168" i="12"/>
  <c r="BM168" i="12"/>
  <c r="BL168" i="12"/>
  <c r="BK168" i="12"/>
  <c r="BJ168" i="12"/>
  <c r="BI168" i="12"/>
  <c r="BH168" i="12"/>
  <c r="BX167" i="12"/>
  <c r="BW167" i="12"/>
  <c r="BV167" i="12"/>
  <c r="BS167" i="12"/>
  <c r="BR167" i="12"/>
  <c r="BQ167" i="12"/>
  <c r="BP167" i="12"/>
  <c r="BM167" i="12"/>
  <c r="BL167" i="12"/>
  <c r="BK167" i="12"/>
  <c r="BJ167" i="12"/>
  <c r="BI167" i="12"/>
  <c r="BH167" i="12"/>
  <c r="BX166" i="12"/>
  <c r="BW166" i="12"/>
  <c r="BV166" i="12"/>
  <c r="BS166" i="12"/>
  <c r="BR166" i="12"/>
  <c r="BQ166" i="12"/>
  <c r="BP166" i="12"/>
  <c r="BM166" i="12"/>
  <c r="BL166" i="12"/>
  <c r="BK166" i="12"/>
  <c r="BJ166" i="12"/>
  <c r="BI166" i="12"/>
  <c r="BH166" i="12"/>
  <c r="BX165" i="12"/>
  <c r="BW165" i="12"/>
  <c r="BV165" i="12"/>
  <c r="BS165" i="12"/>
  <c r="BR165" i="12"/>
  <c r="BQ165" i="12"/>
  <c r="BP165" i="12"/>
  <c r="BM165" i="12"/>
  <c r="BL165" i="12"/>
  <c r="BK165" i="12"/>
  <c r="BJ165" i="12"/>
  <c r="BI165" i="12"/>
  <c r="BH165" i="12"/>
  <c r="BX164" i="12"/>
  <c r="BW164" i="12"/>
  <c r="BV164" i="12"/>
  <c r="BS164" i="12"/>
  <c r="BR164" i="12"/>
  <c r="BQ164" i="12"/>
  <c r="BP164" i="12"/>
  <c r="BM164" i="12"/>
  <c r="BL164" i="12"/>
  <c r="BK164" i="12"/>
  <c r="BJ164" i="12"/>
  <c r="BI164" i="12"/>
  <c r="BH164" i="12"/>
  <c r="BX163" i="12"/>
  <c r="BW163" i="12"/>
  <c r="BV163" i="12"/>
  <c r="BS163" i="12"/>
  <c r="BR163" i="12"/>
  <c r="BQ163" i="12"/>
  <c r="BP163" i="12"/>
  <c r="BM163" i="12"/>
  <c r="BL163" i="12"/>
  <c r="BK163" i="12"/>
  <c r="BJ163" i="12"/>
  <c r="BI163" i="12"/>
  <c r="BH163" i="12"/>
  <c r="BX162" i="12"/>
  <c r="BW162" i="12"/>
  <c r="BV162" i="12"/>
  <c r="BS162" i="12"/>
  <c r="BR162" i="12"/>
  <c r="BQ162" i="12"/>
  <c r="BP162" i="12"/>
  <c r="BM162" i="12"/>
  <c r="BL162" i="12"/>
  <c r="BK162" i="12"/>
  <c r="BJ162" i="12"/>
  <c r="BI162" i="12"/>
  <c r="BH162" i="12"/>
  <c r="BX161" i="12"/>
  <c r="BW161" i="12"/>
  <c r="BV161" i="12"/>
  <c r="BS161" i="12"/>
  <c r="BR161" i="12"/>
  <c r="BQ161" i="12"/>
  <c r="BP161" i="12"/>
  <c r="BM161" i="12"/>
  <c r="BL161" i="12"/>
  <c r="BK161" i="12"/>
  <c r="BJ161" i="12"/>
  <c r="BI161" i="12"/>
  <c r="BH161" i="12"/>
  <c r="BX160" i="12"/>
  <c r="BW160" i="12"/>
  <c r="BV160" i="12"/>
  <c r="BS160" i="12"/>
  <c r="BR160" i="12"/>
  <c r="BQ160" i="12"/>
  <c r="BP160" i="12"/>
  <c r="BM160" i="12"/>
  <c r="BL160" i="12"/>
  <c r="BK160" i="12"/>
  <c r="BJ160" i="12"/>
  <c r="BI160" i="12"/>
  <c r="BH160" i="12"/>
  <c r="BX159" i="12"/>
  <c r="BW159" i="12"/>
  <c r="BV159" i="12"/>
  <c r="BS159" i="12"/>
  <c r="BR159" i="12"/>
  <c r="BQ159" i="12"/>
  <c r="BP159" i="12"/>
  <c r="BM159" i="12"/>
  <c r="BL159" i="12"/>
  <c r="BK159" i="12"/>
  <c r="BJ159" i="12"/>
  <c r="BI159" i="12"/>
  <c r="BH159" i="12"/>
  <c r="BX158" i="12"/>
  <c r="BW158" i="12"/>
  <c r="BV158" i="12"/>
  <c r="BS158" i="12"/>
  <c r="BR158" i="12"/>
  <c r="BQ158" i="12"/>
  <c r="BP158" i="12"/>
  <c r="BM158" i="12"/>
  <c r="BL158" i="12"/>
  <c r="BK158" i="12"/>
  <c r="BJ158" i="12"/>
  <c r="BI158" i="12"/>
  <c r="BH158" i="12"/>
  <c r="BX157" i="12"/>
  <c r="BW157" i="12"/>
  <c r="BV157" i="12"/>
  <c r="BS157" i="12"/>
  <c r="BR157" i="12"/>
  <c r="BQ157" i="12"/>
  <c r="BP157" i="12"/>
  <c r="BM157" i="12"/>
  <c r="BL157" i="12"/>
  <c r="BK157" i="12"/>
  <c r="BJ157" i="12"/>
  <c r="BI157" i="12"/>
  <c r="BH157" i="12"/>
  <c r="BX156" i="12"/>
  <c r="BW156" i="12"/>
  <c r="BV156" i="12"/>
  <c r="BS156" i="12"/>
  <c r="BR156" i="12"/>
  <c r="BQ156" i="12"/>
  <c r="BP156" i="12"/>
  <c r="BM156" i="12"/>
  <c r="BL156" i="12"/>
  <c r="BK156" i="12"/>
  <c r="BJ156" i="12"/>
  <c r="BI156" i="12"/>
  <c r="BH156" i="12"/>
  <c r="BX155" i="12"/>
  <c r="BW155" i="12"/>
  <c r="BV155" i="12"/>
  <c r="BS155" i="12"/>
  <c r="BR155" i="12"/>
  <c r="BQ155" i="12"/>
  <c r="BP155" i="12"/>
  <c r="BM155" i="12"/>
  <c r="BL155" i="12"/>
  <c r="BK155" i="12"/>
  <c r="BJ155" i="12"/>
  <c r="BI155" i="12"/>
  <c r="BH155" i="12"/>
  <c r="BX154" i="12"/>
  <c r="BW154" i="12"/>
  <c r="BV154" i="12"/>
  <c r="BS154" i="12"/>
  <c r="BR154" i="12"/>
  <c r="BQ154" i="12"/>
  <c r="BP154" i="12"/>
  <c r="BM154" i="12"/>
  <c r="BL154" i="12"/>
  <c r="BK154" i="12"/>
  <c r="BJ154" i="12"/>
  <c r="BI154" i="12"/>
  <c r="BH154" i="12"/>
  <c r="BX153" i="12"/>
  <c r="BW153" i="12"/>
  <c r="BV153" i="12"/>
  <c r="BS153" i="12"/>
  <c r="BR153" i="12"/>
  <c r="BQ153" i="12"/>
  <c r="BP153" i="12"/>
  <c r="BM153" i="12"/>
  <c r="BL153" i="12"/>
  <c r="BK153" i="12"/>
  <c r="BJ153" i="12"/>
  <c r="BI153" i="12"/>
  <c r="BH153" i="12"/>
  <c r="BX152" i="12"/>
  <c r="BW152" i="12"/>
  <c r="BV152" i="12"/>
  <c r="BS152" i="12"/>
  <c r="BR152" i="12"/>
  <c r="BQ152" i="12"/>
  <c r="BP152" i="12"/>
  <c r="BM152" i="12"/>
  <c r="BL152" i="12"/>
  <c r="BK152" i="12"/>
  <c r="BJ152" i="12"/>
  <c r="BI152" i="12"/>
  <c r="BH152" i="12"/>
  <c r="BX151" i="12"/>
  <c r="BW151" i="12"/>
  <c r="BV151" i="12"/>
  <c r="BS151" i="12"/>
  <c r="BR151" i="12"/>
  <c r="BQ151" i="12"/>
  <c r="BP151" i="12"/>
  <c r="BM151" i="12"/>
  <c r="BL151" i="12"/>
  <c r="BK151" i="12"/>
  <c r="BJ151" i="12"/>
  <c r="BI151" i="12"/>
  <c r="BH151" i="12"/>
  <c r="BX150" i="12"/>
  <c r="BW150" i="12"/>
  <c r="BV150" i="12"/>
  <c r="BS150" i="12"/>
  <c r="BR150" i="12"/>
  <c r="BQ150" i="12"/>
  <c r="BP150" i="12"/>
  <c r="BM150" i="12"/>
  <c r="BL150" i="12"/>
  <c r="BK150" i="12"/>
  <c r="BJ150" i="12"/>
  <c r="BI150" i="12"/>
  <c r="BH150" i="12"/>
  <c r="BX149" i="12"/>
  <c r="BW149" i="12"/>
  <c r="BV149" i="12"/>
  <c r="BS149" i="12"/>
  <c r="BR149" i="12"/>
  <c r="BQ149" i="12"/>
  <c r="BP149" i="12"/>
  <c r="BM149" i="12"/>
  <c r="BL149" i="12"/>
  <c r="BK149" i="12"/>
  <c r="BJ149" i="12"/>
  <c r="BI149" i="12"/>
  <c r="BH149" i="12"/>
  <c r="BX148" i="12"/>
  <c r="BW148" i="12"/>
  <c r="BV148" i="12"/>
  <c r="BS148" i="12"/>
  <c r="BR148" i="12"/>
  <c r="BQ148" i="12"/>
  <c r="BP148" i="12"/>
  <c r="BM148" i="12"/>
  <c r="BL148" i="12"/>
  <c r="BK148" i="12"/>
  <c r="BJ148" i="12"/>
  <c r="BI148" i="12"/>
  <c r="BH148" i="12"/>
  <c r="BX147" i="12"/>
  <c r="BW147" i="12"/>
  <c r="BV147" i="12"/>
  <c r="BS147" i="12"/>
  <c r="BR147" i="12"/>
  <c r="BQ147" i="12"/>
  <c r="BP147" i="12"/>
  <c r="BM147" i="12"/>
  <c r="BL147" i="12"/>
  <c r="BK147" i="12"/>
  <c r="BJ147" i="12"/>
  <c r="BI147" i="12"/>
  <c r="BH147" i="12"/>
  <c r="BX146" i="12"/>
  <c r="BW146" i="12"/>
  <c r="BV146" i="12"/>
  <c r="BS146" i="12"/>
  <c r="BR146" i="12"/>
  <c r="BQ146" i="12"/>
  <c r="BP146" i="12"/>
  <c r="BM146" i="12"/>
  <c r="BL146" i="12"/>
  <c r="BK146" i="12"/>
  <c r="BJ146" i="12"/>
  <c r="BI146" i="12"/>
  <c r="BH146" i="12"/>
  <c r="BX145" i="12"/>
  <c r="BW145" i="12"/>
  <c r="BV145" i="12"/>
  <c r="BS145" i="12"/>
  <c r="BR145" i="12"/>
  <c r="BQ145" i="12"/>
  <c r="BP145" i="12"/>
  <c r="BM145" i="12"/>
  <c r="BL145" i="12"/>
  <c r="BK145" i="12"/>
  <c r="BJ145" i="12"/>
  <c r="BI145" i="12"/>
  <c r="BH145" i="12"/>
  <c r="BX144" i="12"/>
  <c r="BW144" i="12"/>
  <c r="BV144" i="12"/>
  <c r="BS144" i="12"/>
  <c r="BR144" i="12"/>
  <c r="BQ144" i="12"/>
  <c r="BP144" i="12"/>
  <c r="BM144" i="12"/>
  <c r="BL144" i="12"/>
  <c r="BK144" i="12"/>
  <c r="BJ144" i="12"/>
  <c r="BI144" i="12"/>
  <c r="BH144" i="12"/>
  <c r="BX143" i="12"/>
  <c r="BW143" i="12"/>
  <c r="BV143" i="12"/>
  <c r="BS143" i="12"/>
  <c r="BR143" i="12"/>
  <c r="BQ143" i="12"/>
  <c r="BP143" i="12"/>
  <c r="BM143" i="12"/>
  <c r="BL143" i="12"/>
  <c r="BK143" i="12"/>
  <c r="BJ143" i="12"/>
  <c r="BI143" i="12"/>
  <c r="BH143" i="12"/>
  <c r="BX142" i="12"/>
  <c r="BW142" i="12"/>
  <c r="BV142" i="12"/>
  <c r="BS142" i="12"/>
  <c r="BR142" i="12"/>
  <c r="BQ142" i="12"/>
  <c r="BP142" i="12"/>
  <c r="BM142" i="12"/>
  <c r="BL142" i="12"/>
  <c r="BK142" i="12"/>
  <c r="BJ142" i="12"/>
  <c r="BI142" i="12"/>
  <c r="BH142" i="12"/>
  <c r="BX141" i="12"/>
  <c r="BW141" i="12"/>
  <c r="BV141" i="12"/>
  <c r="BS141" i="12"/>
  <c r="BR141" i="12"/>
  <c r="BQ141" i="12"/>
  <c r="BP141" i="12"/>
  <c r="BM141" i="12"/>
  <c r="BL141" i="12"/>
  <c r="BK141" i="12"/>
  <c r="BJ141" i="12"/>
  <c r="BI141" i="12"/>
  <c r="BH141" i="12"/>
  <c r="BX140" i="12"/>
  <c r="BW140" i="12"/>
  <c r="BV140" i="12"/>
  <c r="BS140" i="12"/>
  <c r="BR140" i="12"/>
  <c r="BQ140" i="12"/>
  <c r="BP140" i="12"/>
  <c r="BM140" i="12"/>
  <c r="BL140" i="12"/>
  <c r="BK140" i="12"/>
  <c r="BJ140" i="12"/>
  <c r="BI140" i="12"/>
  <c r="BH140" i="12"/>
  <c r="BX139" i="12"/>
  <c r="BW139" i="12"/>
  <c r="BV139" i="12"/>
  <c r="BS139" i="12"/>
  <c r="BR139" i="12"/>
  <c r="BQ139" i="12"/>
  <c r="BP139" i="12"/>
  <c r="BM139" i="12"/>
  <c r="BL139" i="12"/>
  <c r="BK139" i="12"/>
  <c r="BJ139" i="12"/>
  <c r="BI139" i="12"/>
  <c r="BH139" i="12"/>
  <c r="BX138" i="12"/>
  <c r="BW138" i="12"/>
  <c r="BV138" i="12"/>
  <c r="BS138" i="12"/>
  <c r="BR138" i="12"/>
  <c r="BQ138" i="12"/>
  <c r="BP138" i="12"/>
  <c r="BM138" i="12"/>
  <c r="BL138" i="12"/>
  <c r="BK138" i="12"/>
  <c r="BJ138" i="12"/>
  <c r="BI138" i="12"/>
  <c r="BH138" i="12"/>
  <c r="BX137" i="12"/>
  <c r="BW137" i="12"/>
  <c r="BV137" i="12"/>
  <c r="BS137" i="12"/>
  <c r="BR137" i="12"/>
  <c r="BQ137" i="12"/>
  <c r="BP137" i="12"/>
  <c r="BM137" i="12"/>
  <c r="BL137" i="12"/>
  <c r="BK137" i="12"/>
  <c r="BJ137" i="12"/>
  <c r="BI137" i="12"/>
  <c r="BH137" i="12"/>
  <c r="BX136" i="12"/>
  <c r="BW136" i="12"/>
  <c r="BV136" i="12"/>
  <c r="BS136" i="12"/>
  <c r="BR136" i="12"/>
  <c r="BQ136" i="12"/>
  <c r="BP136" i="12"/>
  <c r="BM136" i="12"/>
  <c r="BL136" i="12"/>
  <c r="BK136" i="12"/>
  <c r="BJ136" i="12"/>
  <c r="BI136" i="12"/>
  <c r="BH136" i="12"/>
  <c r="BX135" i="12"/>
  <c r="BW135" i="12"/>
  <c r="BV135" i="12"/>
  <c r="BS135" i="12"/>
  <c r="BR135" i="12"/>
  <c r="BQ135" i="12"/>
  <c r="BP135" i="12"/>
  <c r="BM135" i="12"/>
  <c r="BL135" i="12"/>
  <c r="BK135" i="12"/>
  <c r="BJ135" i="12"/>
  <c r="BI135" i="12"/>
  <c r="BH135" i="12"/>
  <c r="BX134" i="12"/>
  <c r="BW134" i="12"/>
  <c r="BV134" i="12"/>
  <c r="BS134" i="12"/>
  <c r="BR134" i="12"/>
  <c r="BQ134" i="12"/>
  <c r="BP134" i="12"/>
  <c r="BM134" i="12"/>
  <c r="BL134" i="12"/>
  <c r="BK134" i="12"/>
  <c r="BJ134" i="12"/>
  <c r="BI134" i="12"/>
  <c r="BH134" i="12"/>
  <c r="BX133" i="12"/>
  <c r="BW133" i="12"/>
  <c r="BV133" i="12"/>
  <c r="BS133" i="12"/>
  <c r="BR133" i="12"/>
  <c r="BQ133" i="12"/>
  <c r="BP133" i="12"/>
  <c r="BM133" i="12"/>
  <c r="BL133" i="12"/>
  <c r="BK133" i="12"/>
  <c r="BJ133" i="12"/>
  <c r="BI133" i="12"/>
  <c r="BH133" i="12"/>
  <c r="BX132" i="12"/>
  <c r="BW132" i="12"/>
  <c r="BV132" i="12"/>
  <c r="BS132" i="12"/>
  <c r="BR132" i="12"/>
  <c r="BQ132" i="12"/>
  <c r="BP132" i="12"/>
  <c r="BM132" i="12"/>
  <c r="BL132" i="12"/>
  <c r="BK132" i="12"/>
  <c r="BJ132" i="12"/>
  <c r="BI132" i="12"/>
  <c r="BH132" i="12"/>
  <c r="BX131" i="12"/>
  <c r="BW131" i="12"/>
  <c r="BV131" i="12"/>
  <c r="BS131" i="12"/>
  <c r="BR131" i="12"/>
  <c r="BQ131" i="12"/>
  <c r="BP131" i="12"/>
  <c r="BM131" i="12"/>
  <c r="BL131" i="12"/>
  <c r="BK131" i="12"/>
  <c r="BJ131" i="12"/>
  <c r="BI131" i="12"/>
  <c r="BH131" i="12"/>
  <c r="BX130" i="12"/>
  <c r="BW130" i="12"/>
  <c r="BV130" i="12"/>
  <c r="BS130" i="12"/>
  <c r="BR130" i="12"/>
  <c r="BQ130" i="12"/>
  <c r="BP130" i="12"/>
  <c r="BM130" i="12"/>
  <c r="BL130" i="12"/>
  <c r="BK130" i="12"/>
  <c r="BJ130" i="12"/>
  <c r="BI130" i="12"/>
  <c r="BH130" i="12"/>
  <c r="BX129" i="12"/>
  <c r="BW129" i="12"/>
  <c r="BV129" i="12"/>
  <c r="BS129" i="12"/>
  <c r="BR129" i="12"/>
  <c r="BQ129" i="12"/>
  <c r="BP129" i="12"/>
  <c r="BM129" i="12"/>
  <c r="BL129" i="12"/>
  <c r="BK129" i="12"/>
  <c r="BJ129" i="12"/>
  <c r="BI129" i="12"/>
  <c r="BH129" i="12"/>
  <c r="BX128" i="12"/>
  <c r="BW128" i="12"/>
  <c r="BV128" i="12"/>
  <c r="BS128" i="12"/>
  <c r="BR128" i="12"/>
  <c r="BQ128" i="12"/>
  <c r="BP128" i="12"/>
  <c r="BM128" i="12"/>
  <c r="BL128" i="12"/>
  <c r="BK128" i="12"/>
  <c r="BJ128" i="12"/>
  <c r="BI128" i="12"/>
  <c r="BH128" i="12"/>
  <c r="BX127" i="12"/>
  <c r="BW127" i="12"/>
  <c r="BV127" i="12"/>
  <c r="BS127" i="12"/>
  <c r="BR127" i="12"/>
  <c r="BQ127" i="12"/>
  <c r="BP127" i="12"/>
  <c r="BM127" i="12"/>
  <c r="BL127" i="12"/>
  <c r="BK127" i="12"/>
  <c r="BJ127" i="12"/>
  <c r="BI127" i="12"/>
  <c r="BH127" i="12"/>
  <c r="BX126" i="12"/>
  <c r="BW126" i="12"/>
  <c r="BV126" i="12"/>
  <c r="BS126" i="12"/>
  <c r="BR126" i="12"/>
  <c r="BQ126" i="12"/>
  <c r="BP126" i="12"/>
  <c r="BM126" i="12"/>
  <c r="BL126" i="12"/>
  <c r="BK126" i="12"/>
  <c r="BJ126" i="12"/>
  <c r="BI126" i="12"/>
  <c r="BH126" i="12"/>
  <c r="BX125" i="12"/>
  <c r="BW125" i="12"/>
  <c r="BV125" i="12"/>
  <c r="BS125" i="12"/>
  <c r="BR125" i="12"/>
  <c r="BQ125" i="12"/>
  <c r="BP125" i="12"/>
  <c r="BM125" i="12"/>
  <c r="BL125" i="12"/>
  <c r="BK125" i="12"/>
  <c r="BJ125" i="12"/>
  <c r="BI125" i="12"/>
  <c r="BH125" i="12"/>
  <c r="BX124" i="12"/>
  <c r="BW124" i="12"/>
  <c r="BV124" i="12"/>
  <c r="BS124" i="12"/>
  <c r="BR124" i="12"/>
  <c r="BQ124" i="12"/>
  <c r="BP124" i="12"/>
  <c r="BM124" i="12"/>
  <c r="BL124" i="12"/>
  <c r="BK124" i="12"/>
  <c r="BJ124" i="12"/>
  <c r="BI124" i="12"/>
  <c r="BH124" i="12"/>
  <c r="BX123" i="12"/>
  <c r="BW123" i="12"/>
  <c r="BV123" i="12"/>
  <c r="BS123" i="12"/>
  <c r="BR123" i="12"/>
  <c r="BQ123" i="12"/>
  <c r="BP123" i="12"/>
  <c r="BM123" i="12"/>
  <c r="BL123" i="12"/>
  <c r="BK123" i="12"/>
  <c r="BJ123" i="12"/>
  <c r="BI123" i="12"/>
  <c r="BH123" i="12"/>
  <c r="BX122" i="12"/>
  <c r="BW122" i="12"/>
  <c r="BV122" i="12"/>
  <c r="BS122" i="12"/>
  <c r="BR122" i="12"/>
  <c r="BQ122" i="12"/>
  <c r="BP122" i="12"/>
  <c r="BM122" i="12"/>
  <c r="BL122" i="12"/>
  <c r="BK122" i="12"/>
  <c r="BJ122" i="12"/>
  <c r="BI122" i="12"/>
  <c r="BH122" i="12"/>
  <c r="BX121" i="12"/>
  <c r="BW121" i="12"/>
  <c r="BV121" i="12"/>
  <c r="BS121" i="12"/>
  <c r="BR121" i="12"/>
  <c r="BQ121" i="12"/>
  <c r="BP121" i="12"/>
  <c r="BM121" i="12"/>
  <c r="BL121" i="12"/>
  <c r="BK121" i="12"/>
  <c r="BJ121" i="12"/>
  <c r="BI121" i="12"/>
  <c r="BH121" i="12"/>
  <c r="BX120" i="12"/>
  <c r="BW120" i="12"/>
  <c r="BV120" i="12"/>
  <c r="BS120" i="12"/>
  <c r="BR120" i="12"/>
  <c r="BQ120" i="12"/>
  <c r="BP120" i="12"/>
  <c r="BM120" i="12"/>
  <c r="BL120" i="12"/>
  <c r="BK120" i="12"/>
  <c r="BJ120" i="12"/>
  <c r="BI120" i="12"/>
  <c r="BH120" i="12"/>
  <c r="BX119" i="12"/>
  <c r="BW119" i="12"/>
  <c r="BV119" i="12"/>
  <c r="BS119" i="12"/>
  <c r="BR119" i="12"/>
  <c r="BQ119" i="12"/>
  <c r="BP119" i="12"/>
  <c r="BM119" i="12"/>
  <c r="BL119" i="12"/>
  <c r="BK119" i="12"/>
  <c r="BJ119" i="12"/>
  <c r="BI119" i="12"/>
  <c r="BH119" i="12"/>
  <c r="BX118" i="12"/>
  <c r="BW118" i="12"/>
  <c r="BV118" i="12"/>
  <c r="BS118" i="12"/>
  <c r="BR118" i="12"/>
  <c r="BQ118" i="12"/>
  <c r="BP118" i="12"/>
  <c r="BM118" i="12"/>
  <c r="BL118" i="12"/>
  <c r="BK118" i="12"/>
  <c r="BJ118" i="12"/>
  <c r="BI118" i="12"/>
  <c r="BH118" i="12"/>
  <c r="BX117" i="12"/>
  <c r="BW117" i="12"/>
  <c r="BV117" i="12"/>
  <c r="BS117" i="12"/>
  <c r="BR117" i="12"/>
  <c r="BQ117" i="12"/>
  <c r="BP117" i="12"/>
  <c r="BM117" i="12"/>
  <c r="BL117" i="12"/>
  <c r="BK117" i="12"/>
  <c r="BJ117" i="12"/>
  <c r="BI117" i="12"/>
  <c r="BH117" i="12"/>
  <c r="BX116" i="12"/>
  <c r="BW116" i="12"/>
  <c r="BV116" i="12"/>
  <c r="BS116" i="12"/>
  <c r="BR116" i="12"/>
  <c r="BQ116" i="12"/>
  <c r="BP116" i="12"/>
  <c r="BM116" i="12"/>
  <c r="BL116" i="12"/>
  <c r="BK116" i="12"/>
  <c r="BJ116" i="12"/>
  <c r="BI116" i="12"/>
  <c r="BH116" i="12"/>
  <c r="BX115" i="12"/>
  <c r="BW115" i="12"/>
  <c r="BV115" i="12"/>
  <c r="BS115" i="12"/>
  <c r="BR115" i="12"/>
  <c r="BQ115" i="12"/>
  <c r="BP115" i="12"/>
  <c r="BM115" i="12"/>
  <c r="BL115" i="12"/>
  <c r="BK115" i="12"/>
  <c r="BJ115" i="12"/>
  <c r="BI115" i="12"/>
  <c r="BH115" i="12"/>
  <c r="BX114" i="12"/>
  <c r="BW114" i="12"/>
  <c r="BV114" i="12"/>
  <c r="BS114" i="12"/>
  <c r="BR114" i="12"/>
  <c r="BQ114" i="12"/>
  <c r="BP114" i="12"/>
  <c r="BM114" i="12"/>
  <c r="BL114" i="12"/>
  <c r="BK114" i="12"/>
  <c r="BJ114" i="12"/>
  <c r="BI114" i="12"/>
  <c r="BH114" i="12"/>
  <c r="BX113" i="12"/>
  <c r="BW113" i="12"/>
  <c r="BV113" i="12"/>
  <c r="BS113" i="12"/>
  <c r="BR113" i="12"/>
  <c r="BQ113" i="12"/>
  <c r="BP113" i="12"/>
  <c r="BM113" i="12"/>
  <c r="BL113" i="12"/>
  <c r="BK113" i="12"/>
  <c r="BJ113" i="12"/>
  <c r="BI113" i="12"/>
  <c r="BH113" i="12"/>
  <c r="BX112" i="12"/>
  <c r="BW112" i="12"/>
  <c r="BV112" i="12"/>
  <c r="BS112" i="12"/>
  <c r="BR112" i="12"/>
  <c r="BQ112" i="12"/>
  <c r="BP112" i="12"/>
  <c r="BM112" i="12"/>
  <c r="BL112" i="12"/>
  <c r="BK112" i="12"/>
  <c r="BJ112" i="12"/>
  <c r="BI112" i="12"/>
  <c r="BH112" i="12"/>
  <c r="BX111" i="12"/>
  <c r="BW111" i="12"/>
  <c r="BV111" i="12"/>
  <c r="BS111" i="12"/>
  <c r="BR111" i="12"/>
  <c r="BQ111" i="12"/>
  <c r="BP111" i="12"/>
  <c r="BM111" i="12"/>
  <c r="BL111" i="12"/>
  <c r="BK111" i="12"/>
  <c r="BJ111" i="12"/>
  <c r="BI111" i="12"/>
  <c r="BH111" i="12"/>
  <c r="BX110" i="12"/>
  <c r="BW110" i="12"/>
  <c r="BV110" i="12"/>
  <c r="BS110" i="12"/>
  <c r="BR110" i="12"/>
  <c r="BQ110" i="12"/>
  <c r="BP110" i="12"/>
  <c r="BM110" i="12"/>
  <c r="BL110" i="12"/>
  <c r="BK110" i="12"/>
  <c r="BJ110" i="12"/>
  <c r="BI110" i="12"/>
  <c r="BH110" i="12"/>
  <c r="BX109" i="12"/>
  <c r="BW109" i="12"/>
  <c r="BV109" i="12"/>
  <c r="BS109" i="12"/>
  <c r="BR109" i="12"/>
  <c r="BQ109" i="12"/>
  <c r="BP109" i="12"/>
  <c r="BM109" i="12"/>
  <c r="BL109" i="12"/>
  <c r="BK109" i="12"/>
  <c r="BJ109" i="12"/>
  <c r="BI109" i="12"/>
  <c r="BH109" i="12"/>
  <c r="BX108" i="12"/>
  <c r="BW108" i="12"/>
  <c r="BV108" i="12"/>
  <c r="BS108" i="12"/>
  <c r="BR108" i="12"/>
  <c r="BQ108" i="12"/>
  <c r="BP108" i="12"/>
  <c r="BM108" i="12"/>
  <c r="BL108" i="12"/>
  <c r="BK108" i="12"/>
  <c r="BJ108" i="12"/>
  <c r="BI108" i="12"/>
  <c r="BH108" i="12"/>
  <c r="BX107" i="12"/>
  <c r="BW107" i="12"/>
  <c r="BV107" i="12"/>
  <c r="BS107" i="12"/>
  <c r="BR107" i="12"/>
  <c r="BQ107" i="12"/>
  <c r="BP107" i="12"/>
  <c r="BM107" i="12"/>
  <c r="BL107" i="12"/>
  <c r="BK107" i="12"/>
  <c r="BJ107" i="12"/>
  <c r="BI107" i="12"/>
  <c r="BH107" i="12"/>
  <c r="BX106" i="12"/>
  <c r="BW106" i="12"/>
  <c r="BV106" i="12"/>
  <c r="BS106" i="12"/>
  <c r="BR106" i="12"/>
  <c r="BQ106" i="12"/>
  <c r="BP106" i="12"/>
  <c r="BM106" i="12"/>
  <c r="BL106" i="12"/>
  <c r="BK106" i="12"/>
  <c r="BJ106" i="12"/>
  <c r="BI106" i="12"/>
  <c r="BH106" i="12"/>
  <c r="BX105" i="12"/>
  <c r="BW105" i="12"/>
  <c r="BV105" i="12"/>
  <c r="BS105" i="12"/>
  <c r="BR105" i="12"/>
  <c r="BQ105" i="12"/>
  <c r="BP105" i="12"/>
  <c r="BM105" i="12"/>
  <c r="BL105" i="12"/>
  <c r="BK105" i="12"/>
  <c r="BJ105" i="12"/>
  <c r="BI105" i="12"/>
  <c r="BH105" i="12"/>
  <c r="BX104" i="12"/>
  <c r="BW104" i="12"/>
  <c r="BV104" i="12"/>
  <c r="BS104" i="12"/>
  <c r="BR104" i="12"/>
  <c r="BQ104" i="12"/>
  <c r="BP104" i="12"/>
  <c r="BM104" i="12"/>
  <c r="BL104" i="12"/>
  <c r="BK104" i="12"/>
  <c r="BJ104" i="12"/>
  <c r="BI104" i="12"/>
  <c r="BH104" i="12"/>
  <c r="BX103" i="12"/>
  <c r="BW103" i="12"/>
  <c r="BV103" i="12"/>
  <c r="BS103" i="12"/>
  <c r="BR103" i="12"/>
  <c r="BQ103" i="12"/>
  <c r="BP103" i="12"/>
  <c r="BM103" i="12"/>
  <c r="BL103" i="12"/>
  <c r="BK103" i="12"/>
  <c r="BJ103" i="12"/>
  <c r="BI103" i="12"/>
  <c r="BH103" i="12"/>
  <c r="BX102" i="12"/>
  <c r="BW102" i="12"/>
  <c r="BV102" i="12"/>
  <c r="BS102" i="12"/>
  <c r="BR102" i="12"/>
  <c r="BQ102" i="12"/>
  <c r="BP102" i="12"/>
  <c r="BM102" i="12"/>
  <c r="BL102" i="12"/>
  <c r="BK102" i="12"/>
  <c r="BJ102" i="12"/>
  <c r="BI102" i="12"/>
  <c r="BH102" i="12"/>
  <c r="BX101" i="12"/>
  <c r="BW101" i="12"/>
  <c r="BV101" i="12"/>
  <c r="BS101" i="12"/>
  <c r="BR101" i="12"/>
  <c r="BQ101" i="12"/>
  <c r="BP101" i="12"/>
  <c r="BM101" i="12"/>
  <c r="BL101" i="12"/>
  <c r="BK101" i="12"/>
  <c r="BJ101" i="12"/>
  <c r="BI101" i="12"/>
  <c r="BH101" i="12"/>
  <c r="BX100" i="12"/>
  <c r="BW100" i="12"/>
  <c r="BV100" i="12"/>
  <c r="BS100" i="12"/>
  <c r="BR100" i="12"/>
  <c r="BQ100" i="12"/>
  <c r="BP100" i="12"/>
  <c r="BM100" i="12"/>
  <c r="BL100" i="12"/>
  <c r="BK100" i="12"/>
  <c r="BJ100" i="12"/>
  <c r="BI100" i="12"/>
  <c r="BH100" i="12"/>
  <c r="BX99" i="12"/>
  <c r="BW99" i="12"/>
  <c r="BV99" i="12"/>
  <c r="BS99" i="12"/>
  <c r="BR99" i="12"/>
  <c r="BQ99" i="12"/>
  <c r="BP99" i="12"/>
  <c r="BM99" i="12"/>
  <c r="BL99" i="12"/>
  <c r="BK99" i="12"/>
  <c r="BJ99" i="12"/>
  <c r="BI99" i="12"/>
  <c r="BH99" i="12"/>
  <c r="BX98" i="12"/>
  <c r="BW98" i="12"/>
  <c r="BV98" i="12"/>
  <c r="BS98" i="12"/>
  <c r="BR98" i="12"/>
  <c r="BQ98" i="12"/>
  <c r="BP98" i="12"/>
  <c r="BM98" i="12"/>
  <c r="BL98" i="12"/>
  <c r="BK98" i="12"/>
  <c r="BJ98" i="12"/>
  <c r="BI98" i="12"/>
  <c r="BH98" i="12"/>
  <c r="BX97" i="12"/>
  <c r="BW97" i="12"/>
  <c r="BV97" i="12"/>
  <c r="BS97" i="12"/>
  <c r="BR97" i="12"/>
  <c r="BQ97" i="12"/>
  <c r="BP97" i="12"/>
  <c r="BM97" i="12"/>
  <c r="BL97" i="12"/>
  <c r="BK97" i="12"/>
  <c r="BJ97" i="12"/>
  <c r="BI97" i="12"/>
  <c r="BH97" i="12"/>
  <c r="BX96" i="12"/>
  <c r="BW96" i="12"/>
  <c r="BV96" i="12"/>
  <c r="BS96" i="12"/>
  <c r="BR96" i="12"/>
  <c r="BQ96" i="12"/>
  <c r="BP96" i="12"/>
  <c r="BM96" i="12"/>
  <c r="BL96" i="12"/>
  <c r="BK96" i="12"/>
  <c r="BJ96" i="12"/>
  <c r="BI96" i="12"/>
  <c r="BH96" i="12"/>
  <c r="BX95" i="12"/>
  <c r="BW95" i="12"/>
  <c r="BV95" i="12"/>
  <c r="BS95" i="12"/>
  <c r="BR95" i="12"/>
  <c r="BQ95" i="12"/>
  <c r="BP95" i="12"/>
  <c r="BM95" i="12"/>
  <c r="BL95" i="12"/>
  <c r="BK95" i="12"/>
  <c r="BJ95" i="12"/>
  <c r="BI95" i="12"/>
  <c r="BH95" i="12"/>
  <c r="BX94" i="12"/>
  <c r="BW94" i="12"/>
  <c r="BV94" i="12"/>
  <c r="BS94" i="12"/>
  <c r="BR94" i="12"/>
  <c r="BQ94" i="12"/>
  <c r="BP94" i="12"/>
  <c r="BM94" i="12"/>
  <c r="BL94" i="12"/>
  <c r="BK94" i="12"/>
  <c r="BJ94" i="12"/>
  <c r="BI94" i="12"/>
  <c r="BH94" i="12"/>
  <c r="BX93" i="12"/>
  <c r="BW93" i="12"/>
  <c r="BV93" i="12"/>
  <c r="BS93" i="12"/>
  <c r="BR93" i="12"/>
  <c r="BQ93" i="12"/>
  <c r="BP93" i="12"/>
  <c r="BM93" i="12"/>
  <c r="BL93" i="12"/>
  <c r="BK93" i="12"/>
  <c r="BJ93" i="12"/>
  <c r="BI93" i="12"/>
  <c r="BH93" i="12"/>
  <c r="BX92" i="12"/>
  <c r="BW92" i="12"/>
  <c r="BV92" i="12"/>
  <c r="BS92" i="12"/>
  <c r="BR92" i="12"/>
  <c r="BQ92" i="12"/>
  <c r="BP92" i="12"/>
  <c r="BM92" i="12"/>
  <c r="BL92" i="12"/>
  <c r="BK92" i="12"/>
  <c r="BJ92" i="12"/>
  <c r="BI92" i="12"/>
  <c r="BH92" i="12"/>
  <c r="BX91" i="12"/>
  <c r="BW91" i="12"/>
  <c r="BV91" i="12"/>
  <c r="BS91" i="12"/>
  <c r="BR91" i="12"/>
  <c r="BQ91" i="12"/>
  <c r="BP91" i="12"/>
  <c r="BM91" i="12"/>
  <c r="BL91" i="12"/>
  <c r="BK91" i="12"/>
  <c r="BJ91" i="12"/>
  <c r="BI91" i="12"/>
  <c r="BH91" i="12"/>
  <c r="BX90" i="12"/>
  <c r="BW90" i="12"/>
  <c r="BV90" i="12"/>
  <c r="BS90" i="12"/>
  <c r="BR90" i="12"/>
  <c r="BQ90" i="12"/>
  <c r="BP90" i="12"/>
  <c r="BM90" i="12"/>
  <c r="BL90" i="12"/>
  <c r="BK90" i="12"/>
  <c r="BJ90" i="12"/>
  <c r="BI90" i="12"/>
  <c r="BH90" i="12"/>
  <c r="BX89" i="12"/>
  <c r="BW89" i="12"/>
  <c r="BV89" i="12"/>
  <c r="BS89" i="12"/>
  <c r="BR89" i="12"/>
  <c r="BQ89" i="12"/>
  <c r="BP89" i="12"/>
  <c r="BM89" i="12"/>
  <c r="BL89" i="12"/>
  <c r="BK89" i="12"/>
  <c r="BJ89" i="12"/>
  <c r="BI89" i="12"/>
  <c r="BH89" i="12"/>
  <c r="BX88" i="12"/>
  <c r="BW88" i="12"/>
  <c r="BV88" i="12"/>
  <c r="BS88" i="12"/>
  <c r="BR88" i="12"/>
  <c r="BQ88" i="12"/>
  <c r="BP88" i="12"/>
  <c r="BM88" i="12"/>
  <c r="BL88" i="12"/>
  <c r="BK88" i="12"/>
  <c r="BJ88" i="12"/>
  <c r="BI88" i="12"/>
  <c r="BH88" i="12"/>
  <c r="BX87" i="12"/>
  <c r="BW87" i="12"/>
  <c r="BV87" i="12"/>
  <c r="BS87" i="12"/>
  <c r="BR87" i="12"/>
  <c r="BQ87" i="12"/>
  <c r="BP87" i="12"/>
  <c r="BM87" i="12"/>
  <c r="BL87" i="12"/>
  <c r="BK87" i="12"/>
  <c r="BJ87" i="12"/>
  <c r="BI87" i="12"/>
  <c r="BH87" i="12"/>
  <c r="BX86" i="12"/>
  <c r="BW86" i="12"/>
  <c r="BV86" i="12"/>
  <c r="BS86" i="12"/>
  <c r="BR86" i="12"/>
  <c r="BQ86" i="12"/>
  <c r="BP86" i="12"/>
  <c r="BM86" i="12"/>
  <c r="BL86" i="12"/>
  <c r="BK86" i="12"/>
  <c r="BJ86" i="12"/>
  <c r="BI86" i="12"/>
  <c r="BH86" i="12"/>
  <c r="BX85" i="12"/>
  <c r="BW85" i="12"/>
  <c r="BV85" i="12"/>
  <c r="BS85" i="12"/>
  <c r="BR85" i="12"/>
  <c r="BQ85" i="12"/>
  <c r="BP85" i="12"/>
  <c r="BM85" i="12"/>
  <c r="BL85" i="12"/>
  <c r="BK85" i="12"/>
  <c r="BJ85" i="12"/>
  <c r="BI85" i="12"/>
  <c r="BH85" i="12"/>
  <c r="BX84" i="12"/>
  <c r="BW84" i="12"/>
  <c r="BV84" i="12"/>
  <c r="BS84" i="12"/>
  <c r="BR84" i="12"/>
  <c r="BQ84" i="12"/>
  <c r="BP84" i="12"/>
  <c r="BM84" i="12"/>
  <c r="BL84" i="12"/>
  <c r="BK84" i="12"/>
  <c r="BJ84" i="12"/>
  <c r="BI84" i="12"/>
  <c r="BH84" i="12"/>
  <c r="BX83" i="12"/>
  <c r="BW83" i="12"/>
  <c r="BV83" i="12"/>
  <c r="BS83" i="12"/>
  <c r="BR83" i="12"/>
  <c r="BQ83" i="12"/>
  <c r="BP83" i="12"/>
  <c r="BM83" i="12"/>
  <c r="BL83" i="12"/>
  <c r="BK83" i="12"/>
  <c r="BJ83" i="12"/>
  <c r="BI83" i="12"/>
  <c r="BH83" i="12"/>
  <c r="BX82" i="12"/>
  <c r="BW82" i="12"/>
  <c r="BV82" i="12"/>
  <c r="BS82" i="12"/>
  <c r="BR82" i="12"/>
  <c r="BQ82" i="12"/>
  <c r="BP82" i="12"/>
  <c r="BM82" i="12"/>
  <c r="BL82" i="12"/>
  <c r="BK82" i="12"/>
  <c r="BJ82" i="12"/>
  <c r="BI82" i="12"/>
  <c r="BH82" i="12"/>
  <c r="BX81" i="12"/>
  <c r="BW81" i="12"/>
  <c r="BV81" i="12"/>
  <c r="BS81" i="12"/>
  <c r="BR81" i="12"/>
  <c r="BQ81" i="12"/>
  <c r="BP81" i="12"/>
  <c r="BM81" i="12"/>
  <c r="BL81" i="12"/>
  <c r="BK81" i="12"/>
  <c r="BJ81" i="12"/>
  <c r="BI81" i="12"/>
  <c r="BH81" i="12"/>
  <c r="BX80" i="12"/>
  <c r="BW80" i="12"/>
  <c r="BV80" i="12"/>
  <c r="BS80" i="12"/>
  <c r="BR80" i="12"/>
  <c r="BQ80" i="12"/>
  <c r="BP80" i="12"/>
  <c r="BM80" i="12"/>
  <c r="BL80" i="12"/>
  <c r="BK80" i="12"/>
  <c r="BJ80" i="12"/>
  <c r="BI80" i="12"/>
  <c r="BH80" i="12"/>
  <c r="BX79" i="12"/>
  <c r="BW79" i="12"/>
  <c r="BV79" i="12"/>
  <c r="BS79" i="12"/>
  <c r="BR79" i="12"/>
  <c r="BQ79" i="12"/>
  <c r="BP79" i="12"/>
  <c r="BM79" i="12"/>
  <c r="BL79" i="12"/>
  <c r="BK79" i="12"/>
  <c r="BJ79" i="12"/>
  <c r="BI79" i="12"/>
  <c r="BH79" i="12"/>
  <c r="BX78" i="12"/>
  <c r="BW78" i="12"/>
  <c r="BV78" i="12"/>
  <c r="BS78" i="12"/>
  <c r="BR78" i="12"/>
  <c r="BQ78" i="12"/>
  <c r="BP78" i="12"/>
  <c r="BM78" i="12"/>
  <c r="BL78" i="12"/>
  <c r="BK78" i="12"/>
  <c r="BJ78" i="12"/>
  <c r="BI78" i="12"/>
  <c r="BH78" i="12"/>
  <c r="BX77" i="12"/>
  <c r="BW77" i="12"/>
  <c r="BV77" i="12"/>
  <c r="BS77" i="12"/>
  <c r="BR77" i="12"/>
  <c r="BQ77" i="12"/>
  <c r="BP77" i="12"/>
  <c r="BM77" i="12"/>
  <c r="BL77" i="12"/>
  <c r="BK77" i="12"/>
  <c r="BJ77" i="12"/>
  <c r="BI77" i="12"/>
  <c r="BH77" i="12"/>
  <c r="BX76" i="12"/>
  <c r="BW76" i="12"/>
  <c r="BV76" i="12"/>
  <c r="BS76" i="12"/>
  <c r="BR76" i="12"/>
  <c r="BQ76" i="12"/>
  <c r="BP76" i="12"/>
  <c r="BM76" i="12"/>
  <c r="BL76" i="12"/>
  <c r="BK76" i="12"/>
  <c r="BJ76" i="12"/>
  <c r="BI76" i="12"/>
  <c r="BH76" i="12"/>
  <c r="BX75" i="12"/>
  <c r="BW75" i="12"/>
  <c r="BV75" i="12"/>
  <c r="BS75" i="12"/>
  <c r="BR75" i="12"/>
  <c r="BQ75" i="12"/>
  <c r="BP75" i="12"/>
  <c r="BM75" i="12"/>
  <c r="BL75" i="12"/>
  <c r="BK75" i="12"/>
  <c r="BJ75" i="12"/>
  <c r="BI75" i="12"/>
  <c r="BH75" i="12"/>
  <c r="BX74" i="12"/>
  <c r="BW74" i="12"/>
  <c r="BV74" i="12"/>
  <c r="BS74" i="12"/>
  <c r="BR74" i="12"/>
  <c r="BQ74" i="12"/>
  <c r="BP74" i="12"/>
  <c r="BM74" i="12"/>
  <c r="BL74" i="12"/>
  <c r="BK74" i="12"/>
  <c r="BJ74" i="12"/>
  <c r="BI74" i="12"/>
  <c r="BH74" i="12"/>
  <c r="BX73" i="12"/>
  <c r="BW73" i="12"/>
  <c r="BV73" i="12"/>
  <c r="BS73" i="12"/>
  <c r="BR73" i="12"/>
  <c r="BQ73" i="12"/>
  <c r="BP73" i="12"/>
  <c r="BM73" i="12"/>
  <c r="BL73" i="12"/>
  <c r="BK73" i="12"/>
  <c r="BJ73" i="12"/>
  <c r="BI73" i="12"/>
  <c r="BH73" i="12"/>
  <c r="BX72" i="12"/>
  <c r="BW72" i="12"/>
  <c r="BV72" i="12"/>
  <c r="BS72" i="12"/>
  <c r="BR72" i="12"/>
  <c r="BQ72" i="12"/>
  <c r="BP72" i="12"/>
  <c r="BM72" i="12"/>
  <c r="BL72" i="12"/>
  <c r="BK72" i="12"/>
  <c r="BJ72" i="12"/>
  <c r="BI72" i="12"/>
  <c r="BH72" i="12"/>
  <c r="BX71" i="12"/>
  <c r="BW71" i="12"/>
  <c r="BV71" i="12"/>
  <c r="BS71" i="12"/>
  <c r="BR71" i="12"/>
  <c r="BQ71" i="12"/>
  <c r="BP71" i="12"/>
  <c r="BM71" i="12"/>
  <c r="BL71" i="12"/>
  <c r="BK71" i="12"/>
  <c r="BJ71" i="12"/>
  <c r="BI71" i="12"/>
  <c r="BH71" i="12"/>
  <c r="BX70" i="12"/>
  <c r="BW70" i="12"/>
  <c r="BV70" i="12"/>
  <c r="BS70" i="12"/>
  <c r="BR70" i="12"/>
  <c r="BQ70" i="12"/>
  <c r="BP70" i="12"/>
  <c r="BM70" i="12"/>
  <c r="BL70" i="12"/>
  <c r="BK70" i="12"/>
  <c r="BJ70" i="12"/>
  <c r="BI70" i="12"/>
  <c r="BH70" i="12"/>
  <c r="BX69" i="12"/>
  <c r="BW69" i="12"/>
  <c r="BV69" i="12"/>
  <c r="BS69" i="12"/>
  <c r="BR69" i="12"/>
  <c r="BQ69" i="12"/>
  <c r="BP69" i="12"/>
  <c r="BM69" i="12"/>
  <c r="BL69" i="12"/>
  <c r="BK69" i="12"/>
  <c r="BJ69" i="12"/>
  <c r="BI69" i="12"/>
  <c r="BH69" i="12"/>
  <c r="BX68" i="12"/>
  <c r="BW68" i="12"/>
  <c r="BV68" i="12"/>
  <c r="BS68" i="12"/>
  <c r="BR68" i="12"/>
  <c r="BQ68" i="12"/>
  <c r="BP68" i="12"/>
  <c r="BM68" i="12"/>
  <c r="BL68" i="12"/>
  <c r="BK68" i="12"/>
  <c r="BJ68" i="12"/>
  <c r="BI68" i="12"/>
  <c r="BH68" i="12"/>
  <c r="BX67" i="12"/>
  <c r="BW67" i="12"/>
  <c r="BV67" i="12"/>
  <c r="BS67" i="12"/>
  <c r="BR67" i="12"/>
  <c r="BQ67" i="12"/>
  <c r="BP67" i="12"/>
  <c r="BM67" i="12"/>
  <c r="BL67" i="12"/>
  <c r="BK67" i="12"/>
  <c r="BJ67" i="12"/>
  <c r="BI67" i="12"/>
  <c r="BH67" i="12"/>
  <c r="BX66" i="12"/>
  <c r="BW66" i="12"/>
  <c r="BV66" i="12"/>
  <c r="BS66" i="12"/>
  <c r="BR66" i="12"/>
  <c r="BQ66" i="12"/>
  <c r="BP66" i="12"/>
  <c r="BM66" i="12"/>
  <c r="BL66" i="12"/>
  <c r="BK66" i="12"/>
  <c r="BJ66" i="12"/>
  <c r="BI66" i="12"/>
  <c r="BH66" i="12"/>
  <c r="BX65" i="12"/>
  <c r="BW65" i="12"/>
  <c r="BV65" i="12"/>
  <c r="BS65" i="12"/>
  <c r="BR65" i="12"/>
  <c r="BQ65" i="12"/>
  <c r="BP65" i="12"/>
  <c r="BM65" i="12"/>
  <c r="BL65" i="12"/>
  <c r="BK65" i="12"/>
  <c r="BJ65" i="12"/>
  <c r="BI65" i="12"/>
  <c r="BH65" i="12"/>
  <c r="BX64" i="12"/>
  <c r="BW64" i="12"/>
  <c r="BV64" i="12"/>
  <c r="BS64" i="12"/>
  <c r="BR64" i="12"/>
  <c r="BQ64" i="12"/>
  <c r="BP64" i="12"/>
  <c r="BM64" i="12"/>
  <c r="BL64" i="12"/>
  <c r="BK64" i="12"/>
  <c r="BJ64" i="12"/>
  <c r="BI64" i="12"/>
  <c r="BH64" i="12"/>
  <c r="BX63" i="12"/>
  <c r="BW63" i="12"/>
  <c r="BV63" i="12"/>
  <c r="BS63" i="12"/>
  <c r="BR63" i="12"/>
  <c r="BQ63" i="12"/>
  <c r="BP63" i="12"/>
  <c r="BM63" i="12"/>
  <c r="BL63" i="12"/>
  <c r="BK63" i="12"/>
  <c r="BJ63" i="12"/>
  <c r="BI63" i="12"/>
  <c r="BH63" i="12"/>
  <c r="BX62" i="12"/>
  <c r="BW62" i="12"/>
  <c r="BV62" i="12"/>
  <c r="BS62" i="12"/>
  <c r="BR62" i="12"/>
  <c r="BQ62" i="12"/>
  <c r="BP62" i="12"/>
  <c r="BM62" i="12"/>
  <c r="BL62" i="12"/>
  <c r="BK62" i="12"/>
  <c r="BJ62" i="12"/>
  <c r="BI62" i="12"/>
  <c r="BH62" i="12"/>
  <c r="BX61" i="12"/>
  <c r="BW61" i="12"/>
  <c r="BV61" i="12"/>
  <c r="BS61" i="12"/>
  <c r="BR61" i="12"/>
  <c r="BQ61" i="12"/>
  <c r="BP61" i="12"/>
  <c r="BM61" i="12"/>
  <c r="BL61" i="12"/>
  <c r="BK61" i="12"/>
  <c r="BJ61" i="12"/>
  <c r="BI61" i="12"/>
  <c r="BH61" i="12"/>
  <c r="BX60" i="12"/>
  <c r="BW60" i="12"/>
  <c r="BV60" i="12"/>
  <c r="BS60" i="12"/>
  <c r="BR60" i="12"/>
  <c r="BQ60" i="12"/>
  <c r="BP60" i="12"/>
  <c r="BM60" i="12"/>
  <c r="BL60" i="12"/>
  <c r="BK60" i="12"/>
  <c r="BJ60" i="12"/>
  <c r="BI60" i="12"/>
  <c r="BH60" i="12"/>
  <c r="BX59" i="12"/>
  <c r="BW59" i="12"/>
  <c r="BV59" i="12"/>
  <c r="BS59" i="12"/>
  <c r="BR59" i="12"/>
  <c r="BQ59" i="12"/>
  <c r="BP59" i="12"/>
  <c r="BM59" i="12"/>
  <c r="BL59" i="12"/>
  <c r="BK59" i="12"/>
  <c r="BJ59" i="12"/>
  <c r="BI59" i="12"/>
  <c r="BH59" i="12"/>
  <c r="BX58" i="12"/>
  <c r="BW58" i="12"/>
  <c r="BV58" i="12"/>
  <c r="BS58" i="12"/>
  <c r="BR58" i="12"/>
  <c r="BQ58" i="12"/>
  <c r="BP58" i="12"/>
  <c r="BM58" i="12"/>
  <c r="BL58" i="12"/>
  <c r="BK58" i="12"/>
  <c r="BJ58" i="12"/>
  <c r="BI58" i="12"/>
  <c r="BH58" i="12"/>
  <c r="BX57" i="12"/>
  <c r="BW57" i="12"/>
  <c r="BV57" i="12"/>
  <c r="BS57" i="12"/>
  <c r="BR57" i="12"/>
  <c r="BQ57" i="12"/>
  <c r="BP57" i="12"/>
  <c r="BM57" i="12"/>
  <c r="BL57" i="12"/>
  <c r="BK57" i="12"/>
  <c r="BJ57" i="12"/>
  <c r="BI57" i="12"/>
  <c r="BH57" i="12"/>
  <c r="BX56" i="12"/>
  <c r="BW56" i="12"/>
  <c r="BV56" i="12"/>
  <c r="BS56" i="12"/>
  <c r="BR56" i="12"/>
  <c r="BQ56" i="12"/>
  <c r="BP56" i="12"/>
  <c r="BM56" i="12"/>
  <c r="BL56" i="12"/>
  <c r="BK56" i="12"/>
  <c r="BJ56" i="12"/>
  <c r="BI56" i="12"/>
  <c r="BH56" i="12"/>
  <c r="BX55" i="12"/>
  <c r="BW55" i="12"/>
  <c r="BV55" i="12"/>
  <c r="BS55" i="12"/>
  <c r="BR55" i="12"/>
  <c r="BQ55" i="12"/>
  <c r="BP55" i="12"/>
  <c r="BM55" i="12"/>
  <c r="BL55" i="12"/>
  <c r="BK55" i="12"/>
  <c r="BJ55" i="12"/>
  <c r="BI55" i="12"/>
  <c r="BH55" i="12"/>
  <c r="BX54" i="12"/>
  <c r="BW54" i="12"/>
  <c r="BV54" i="12"/>
  <c r="BS54" i="12"/>
  <c r="BR54" i="12"/>
  <c r="BQ54" i="12"/>
  <c r="BP54" i="12"/>
  <c r="BM54" i="12"/>
  <c r="BL54" i="12"/>
  <c r="BK54" i="12"/>
  <c r="BJ54" i="12"/>
  <c r="BI54" i="12"/>
  <c r="BH54" i="12"/>
  <c r="BX53" i="12"/>
  <c r="BW53" i="12"/>
  <c r="BV53" i="12"/>
  <c r="BS53" i="12"/>
  <c r="BR53" i="12"/>
  <c r="BQ53" i="12"/>
  <c r="BP53" i="12"/>
  <c r="BM53" i="12"/>
  <c r="BL53" i="12"/>
  <c r="BK53" i="12"/>
  <c r="BJ53" i="12"/>
  <c r="BI53" i="12"/>
  <c r="BH53" i="12"/>
  <c r="BX52" i="12"/>
  <c r="BW52" i="12"/>
  <c r="BV52" i="12"/>
  <c r="BS52" i="12"/>
  <c r="BR52" i="12"/>
  <c r="BQ52" i="12"/>
  <c r="BP52" i="12"/>
  <c r="BM52" i="12"/>
  <c r="BL52" i="12"/>
  <c r="BK52" i="12"/>
  <c r="BJ52" i="12"/>
  <c r="BI52" i="12"/>
  <c r="BH52" i="12"/>
  <c r="BX51" i="12"/>
  <c r="BW51" i="12"/>
  <c r="BV51" i="12"/>
  <c r="BS51" i="12"/>
  <c r="BR51" i="12"/>
  <c r="BQ51" i="12"/>
  <c r="BP51" i="12"/>
  <c r="BM51" i="12"/>
  <c r="BL51" i="12"/>
  <c r="BK51" i="12"/>
  <c r="BJ51" i="12"/>
  <c r="BI51" i="12"/>
  <c r="BH51" i="12"/>
  <c r="BX50" i="12"/>
  <c r="BW50" i="12"/>
  <c r="BV50" i="12"/>
  <c r="BS50" i="12"/>
  <c r="BR50" i="12"/>
  <c r="BQ50" i="12"/>
  <c r="BP50" i="12"/>
  <c r="BM50" i="12"/>
  <c r="BL50" i="12"/>
  <c r="BK50" i="12"/>
  <c r="BJ50" i="12"/>
  <c r="BI50" i="12"/>
  <c r="BH50" i="12"/>
  <c r="BX49" i="12"/>
  <c r="BW49" i="12"/>
  <c r="BV49" i="12"/>
  <c r="BS49" i="12"/>
  <c r="BR49" i="12"/>
  <c r="BQ49" i="12"/>
  <c r="BP49" i="12"/>
  <c r="BM49" i="12"/>
  <c r="BL49" i="12"/>
  <c r="BK49" i="12"/>
  <c r="BJ49" i="12"/>
  <c r="BI49" i="12"/>
  <c r="BH49" i="12"/>
  <c r="BX48" i="12"/>
  <c r="BW48" i="12"/>
  <c r="BV48" i="12"/>
  <c r="BS48" i="12"/>
  <c r="BR48" i="12"/>
  <c r="BQ48" i="12"/>
  <c r="BP48" i="12"/>
  <c r="BM48" i="12"/>
  <c r="BL48" i="12"/>
  <c r="BK48" i="12"/>
  <c r="BJ48" i="12"/>
  <c r="BI48" i="12"/>
  <c r="BH48" i="12"/>
  <c r="BX47" i="12"/>
  <c r="BW47" i="12"/>
  <c r="BV47" i="12"/>
  <c r="BS47" i="12"/>
  <c r="BR47" i="12"/>
  <c r="BQ47" i="12"/>
  <c r="BP47" i="12"/>
  <c r="BM47" i="12"/>
  <c r="BL47" i="12"/>
  <c r="BK47" i="12"/>
  <c r="BJ47" i="12"/>
  <c r="BI47" i="12"/>
  <c r="BH47" i="12"/>
  <c r="BX46" i="12"/>
  <c r="BW46" i="12"/>
  <c r="BV46" i="12"/>
  <c r="BS46" i="12"/>
  <c r="BR46" i="12"/>
  <c r="BQ46" i="12"/>
  <c r="BP46" i="12"/>
  <c r="BM46" i="12"/>
  <c r="BL46" i="12"/>
  <c r="BK46" i="12"/>
  <c r="BJ46" i="12"/>
  <c r="BI46" i="12"/>
  <c r="BH46" i="12"/>
  <c r="BX45" i="12"/>
  <c r="BW45" i="12"/>
  <c r="BV45" i="12"/>
  <c r="BS45" i="12"/>
  <c r="BR45" i="12"/>
  <c r="BQ45" i="12"/>
  <c r="BP45" i="12"/>
  <c r="BM45" i="12"/>
  <c r="BL45" i="12"/>
  <c r="BK45" i="12"/>
  <c r="BJ45" i="12"/>
  <c r="BI45" i="12"/>
  <c r="BH45" i="12"/>
  <c r="BX44" i="12"/>
  <c r="BW44" i="12"/>
  <c r="BV44" i="12"/>
  <c r="BS44" i="12"/>
  <c r="BR44" i="12"/>
  <c r="BQ44" i="12"/>
  <c r="BP44" i="12"/>
  <c r="BM44" i="12"/>
  <c r="BL44" i="12"/>
  <c r="BK44" i="12"/>
  <c r="BJ44" i="12"/>
  <c r="BI44" i="12"/>
  <c r="BH44" i="12"/>
  <c r="BX43" i="12"/>
  <c r="BW43" i="12"/>
  <c r="BV43" i="12"/>
  <c r="BS43" i="12"/>
  <c r="BR43" i="12"/>
  <c r="BQ43" i="12"/>
  <c r="BP43" i="12"/>
  <c r="BM43" i="12"/>
  <c r="BL43" i="12"/>
  <c r="BK43" i="12"/>
  <c r="BJ43" i="12"/>
  <c r="BI43" i="12"/>
  <c r="BH43" i="12"/>
  <c r="BX42" i="12"/>
  <c r="BW42" i="12"/>
  <c r="BV42" i="12"/>
  <c r="BS42" i="12"/>
  <c r="BR42" i="12"/>
  <c r="BQ42" i="12"/>
  <c r="BP42" i="12"/>
  <c r="BM42" i="12"/>
  <c r="BL42" i="12"/>
  <c r="BK42" i="12"/>
  <c r="BJ42" i="12"/>
  <c r="BI42" i="12"/>
  <c r="BH42" i="12"/>
  <c r="BX41" i="12"/>
  <c r="BW41" i="12"/>
  <c r="BV41" i="12"/>
  <c r="BS41" i="12"/>
  <c r="BR41" i="12"/>
  <c r="BQ41" i="12"/>
  <c r="BP41" i="12"/>
  <c r="BM41" i="12"/>
  <c r="BL41" i="12"/>
  <c r="BK41" i="12"/>
  <c r="BJ41" i="12"/>
  <c r="BI41" i="12"/>
  <c r="BH41" i="12"/>
  <c r="BX40" i="12"/>
  <c r="BW40" i="12"/>
  <c r="BV40" i="12"/>
  <c r="BS40" i="12"/>
  <c r="BR40" i="12"/>
  <c r="BQ40" i="12"/>
  <c r="BP40" i="12"/>
  <c r="BM40" i="12"/>
  <c r="BL40" i="12"/>
  <c r="BK40" i="12"/>
  <c r="BJ40" i="12"/>
  <c r="BI40" i="12"/>
  <c r="BH40" i="12"/>
  <c r="BX39" i="12"/>
  <c r="BW39" i="12"/>
  <c r="BV39" i="12"/>
  <c r="BS39" i="12"/>
  <c r="BR39" i="12"/>
  <c r="BQ39" i="12"/>
  <c r="BP39" i="12"/>
  <c r="BM39" i="12"/>
  <c r="BL39" i="12"/>
  <c r="BK39" i="12"/>
  <c r="BJ39" i="12"/>
  <c r="BI39" i="12"/>
  <c r="BH39" i="12"/>
  <c r="BX38" i="12"/>
  <c r="BW38" i="12"/>
  <c r="BV38" i="12"/>
  <c r="BS38" i="12"/>
  <c r="BR38" i="12"/>
  <c r="BQ38" i="12"/>
  <c r="BP38" i="12"/>
  <c r="BM38" i="12"/>
  <c r="BL38" i="12"/>
  <c r="BK38" i="12"/>
  <c r="BJ38" i="12"/>
  <c r="BI38" i="12"/>
  <c r="BH38" i="12"/>
  <c r="BX37" i="12"/>
  <c r="BW37" i="12"/>
  <c r="BV37" i="12"/>
  <c r="BS37" i="12"/>
  <c r="BR37" i="12"/>
  <c r="BQ37" i="12"/>
  <c r="BP37" i="12"/>
  <c r="BM37" i="12"/>
  <c r="BL37" i="12"/>
  <c r="BK37" i="12"/>
  <c r="BJ37" i="12"/>
  <c r="BI37" i="12"/>
  <c r="BH37" i="12"/>
  <c r="BX36" i="12"/>
  <c r="BW36" i="12"/>
  <c r="BV36" i="12"/>
  <c r="BS36" i="12"/>
  <c r="BR36" i="12"/>
  <c r="BQ36" i="12"/>
  <c r="BP36" i="12"/>
  <c r="BM36" i="12"/>
  <c r="BL36" i="12"/>
  <c r="BK36" i="12"/>
  <c r="BJ36" i="12"/>
  <c r="BI36" i="12"/>
  <c r="BH36" i="12"/>
  <c r="BX35" i="12"/>
  <c r="BW35" i="12"/>
  <c r="BV35" i="12"/>
  <c r="BS35" i="12"/>
  <c r="BR35" i="12"/>
  <c r="BQ35" i="12"/>
  <c r="BP35" i="12"/>
  <c r="BM35" i="12"/>
  <c r="BL35" i="12"/>
  <c r="BK35" i="12"/>
  <c r="BJ35" i="12"/>
  <c r="BI35" i="12"/>
  <c r="BH35" i="12"/>
  <c r="BX34" i="12"/>
  <c r="BW34" i="12"/>
  <c r="BV34" i="12"/>
  <c r="BS34" i="12"/>
  <c r="BR34" i="12"/>
  <c r="BQ34" i="12"/>
  <c r="BP34" i="12"/>
  <c r="BM34" i="12"/>
  <c r="BL34" i="12"/>
  <c r="BK34" i="12"/>
  <c r="BJ34" i="12"/>
  <c r="BI34" i="12"/>
  <c r="BH34" i="12"/>
  <c r="BX33" i="12"/>
  <c r="BW33" i="12"/>
  <c r="BV33" i="12"/>
  <c r="BS33" i="12"/>
  <c r="BR33" i="12"/>
  <c r="BQ33" i="12"/>
  <c r="BP33" i="12"/>
  <c r="BM33" i="12"/>
  <c r="BL33" i="12"/>
  <c r="BK33" i="12"/>
  <c r="BJ33" i="12"/>
  <c r="BI33" i="12"/>
  <c r="BH33" i="12"/>
  <c r="BX32" i="12"/>
  <c r="BW32" i="12"/>
  <c r="BV32" i="12"/>
  <c r="BS32" i="12"/>
  <c r="BR32" i="12"/>
  <c r="BQ32" i="12"/>
  <c r="BP32" i="12"/>
  <c r="BM32" i="12"/>
  <c r="BL32" i="12"/>
  <c r="BK32" i="12"/>
  <c r="BJ32" i="12"/>
  <c r="BI32" i="12"/>
  <c r="BH32" i="12"/>
  <c r="BX31" i="12"/>
  <c r="BW31" i="12"/>
  <c r="BV31" i="12"/>
  <c r="BS31" i="12"/>
  <c r="BR31" i="12"/>
  <c r="BQ31" i="12"/>
  <c r="BP31" i="12"/>
  <c r="BM31" i="12"/>
  <c r="BL31" i="12"/>
  <c r="BK31" i="12"/>
  <c r="BJ31" i="12"/>
  <c r="BI31" i="12"/>
  <c r="BH31" i="12"/>
  <c r="BX30" i="12"/>
  <c r="BW30" i="12"/>
  <c r="BV30" i="12"/>
  <c r="BS30" i="12"/>
  <c r="BR30" i="12"/>
  <c r="BQ30" i="12"/>
  <c r="BP30" i="12"/>
  <c r="BM30" i="12"/>
  <c r="BL30" i="12"/>
  <c r="BK30" i="12"/>
  <c r="BJ30" i="12"/>
  <c r="BI30" i="12"/>
  <c r="BH30" i="12"/>
  <c r="BX29" i="12"/>
  <c r="BW29" i="12"/>
  <c r="BV29" i="12"/>
  <c r="BS29" i="12"/>
  <c r="BR29" i="12"/>
  <c r="BQ29" i="12"/>
  <c r="BP29" i="12"/>
  <c r="BM29" i="12"/>
  <c r="BL29" i="12"/>
  <c r="BK29" i="12"/>
  <c r="BJ29" i="12"/>
  <c r="BI29" i="12"/>
  <c r="BH29" i="12"/>
  <c r="BX28" i="12"/>
  <c r="BW28" i="12"/>
  <c r="BV28" i="12"/>
  <c r="BS28" i="12"/>
  <c r="BR28" i="12"/>
  <c r="BQ28" i="12"/>
  <c r="BP28" i="12"/>
  <c r="BM28" i="12"/>
  <c r="BL28" i="12"/>
  <c r="BK28" i="12"/>
  <c r="BJ28" i="12"/>
  <c r="BI28" i="12"/>
  <c r="BH28" i="12"/>
  <c r="BX27" i="12"/>
  <c r="BW27" i="12"/>
  <c r="BV27" i="12"/>
  <c r="BS27" i="12"/>
  <c r="BR27" i="12"/>
  <c r="BQ27" i="12"/>
  <c r="BP27" i="12"/>
  <c r="BM27" i="12"/>
  <c r="BL27" i="12"/>
  <c r="BK27" i="12"/>
  <c r="BJ27" i="12"/>
  <c r="BI27" i="12"/>
  <c r="BH27" i="12"/>
  <c r="BX26" i="12"/>
  <c r="BW26" i="12"/>
  <c r="BV26" i="12"/>
  <c r="BS26" i="12"/>
  <c r="BR26" i="12"/>
  <c r="BQ26" i="12"/>
  <c r="BP26" i="12"/>
  <c r="BM26" i="12"/>
  <c r="BL26" i="12"/>
  <c r="BK26" i="12"/>
  <c r="BJ26" i="12"/>
  <c r="BI26" i="12"/>
  <c r="BH26" i="12"/>
  <c r="BX25" i="12"/>
  <c r="BW25" i="12"/>
  <c r="BV25" i="12"/>
  <c r="BS25" i="12"/>
  <c r="BR25" i="12"/>
  <c r="BQ25" i="12"/>
  <c r="BP25" i="12"/>
  <c r="BM25" i="12"/>
  <c r="BL25" i="12"/>
  <c r="BK25" i="12"/>
  <c r="BJ25" i="12"/>
  <c r="BI25" i="12"/>
  <c r="BH25" i="12"/>
  <c r="BX24" i="12"/>
  <c r="BW24" i="12"/>
  <c r="BV24" i="12"/>
  <c r="BS24" i="12"/>
  <c r="BR24" i="12"/>
  <c r="BQ24" i="12"/>
  <c r="BP24" i="12"/>
  <c r="BM24" i="12"/>
  <c r="BL24" i="12"/>
  <c r="BK24" i="12"/>
  <c r="BJ24" i="12"/>
  <c r="BI24" i="12"/>
  <c r="BH24" i="12"/>
  <c r="BX23" i="12"/>
  <c r="BW23" i="12"/>
  <c r="BV23" i="12"/>
  <c r="BS23" i="12"/>
  <c r="BR23" i="12"/>
  <c r="BQ23" i="12"/>
  <c r="BP23" i="12"/>
  <c r="BM23" i="12"/>
  <c r="BL23" i="12"/>
  <c r="BK23" i="12"/>
  <c r="BJ23" i="12"/>
  <c r="BI23" i="12"/>
  <c r="BH23" i="12"/>
  <c r="BX22" i="12"/>
  <c r="BW22" i="12"/>
  <c r="BV22" i="12"/>
  <c r="BS22" i="12"/>
  <c r="BR22" i="12"/>
  <c r="BQ22" i="12"/>
  <c r="BP22" i="12"/>
  <c r="BM22" i="12"/>
  <c r="BL22" i="12"/>
  <c r="BK22" i="12"/>
  <c r="BJ22" i="12"/>
  <c r="BI22" i="12"/>
  <c r="BH22" i="12"/>
  <c r="BX21" i="12"/>
  <c r="BW21" i="12"/>
  <c r="BV21" i="12"/>
  <c r="BS21" i="12"/>
  <c r="BR21" i="12"/>
  <c r="BQ21" i="12"/>
  <c r="BP21" i="12"/>
  <c r="BM21" i="12"/>
  <c r="BL21" i="12"/>
  <c r="BK21" i="12"/>
  <c r="BJ21" i="12"/>
  <c r="BI21" i="12"/>
  <c r="BH21" i="12"/>
  <c r="BX20" i="12"/>
  <c r="BW20" i="12"/>
  <c r="BV20" i="12"/>
  <c r="BS20" i="12"/>
  <c r="BR20" i="12"/>
  <c r="BQ20" i="12"/>
  <c r="BP20" i="12"/>
  <c r="BM20" i="12"/>
  <c r="BL20" i="12"/>
  <c r="BK20" i="12"/>
  <c r="BJ20" i="12"/>
  <c r="BI20" i="12"/>
  <c r="BH20" i="12"/>
  <c r="BX19" i="12"/>
  <c r="BW19" i="12"/>
  <c r="BV19" i="12"/>
  <c r="BS19" i="12"/>
  <c r="BR19" i="12"/>
  <c r="BQ19" i="12"/>
  <c r="BP19" i="12"/>
  <c r="BM19" i="12"/>
  <c r="BL19" i="12"/>
  <c r="BK19" i="12"/>
  <c r="BJ19" i="12"/>
  <c r="BI19" i="12"/>
  <c r="BH19" i="12"/>
  <c r="BX18" i="12"/>
  <c r="BW18" i="12"/>
  <c r="BV18" i="12"/>
  <c r="BS18" i="12"/>
  <c r="BR18" i="12"/>
  <c r="BQ18" i="12"/>
  <c r="BP18" i="12"/>
  <c r="BM18" i="12"/>
  <c r="BL18" i="12"/>
  <c r="BK18" i="12"/>
  <c r="BJ18" i="12"/>
  <c r="BI18" i="12"/>
  <c r="BH18" i="12"/>
  <c r="BX17" i="12"/>
  <c r="BW17" i="12"/>
  <c r="BV17" i="12"/>
  <c r="BS17" i="12"/>
  <c r="BR17" i="12"/>
  <c r="BQ17" i="12"/>
  <c r="BP17" i="12"/>
  <c r="BM17" i="12"/>
  <c r="BL17" i="12"/>
  <c r="BK17" i="12"/>
  <c r="BJ17" i="12"/>
  <c r="BI17" i="12"/>
  <c r="BH17" i="12"/>
  <c r="BX16" i="12"/>
  <c r="BW16" i="12"/>
  <c r="BV16" i="12"/>
  <c r="BS16" i="12"/>
  <c r="BR16" i="12"/>
  <c r="BQ16" i="12"/>
  <c r="BP16" i="12"/>
  <c r="BM16" i="12"/>
  <c r="BL16" i="12"/>
  <c r="BK16" i="12"/>
  <c r="BJ16" i="12"/>
  <c r="BI16" i="12"/>
  <c r="BH16" i="12"/>
  <c r="BX15" i="12"/>
  <c r="BW15" i="12"/>
  <c r="BV15" i="12"/>
  <c r="BS15" i="12"/>
  <c r="BR15" i="12"/>
  <c r="BQ15" i="12"/>
  <c r="BP15" i="12"/>
  <c r="BM15" i="12"/>
  <c r="BL15" i="12"/>
  <c r="BK15" i="12"/>
  <c r="BJ15" i="12"/>
  <c r="BI15" i="12"/>
  <c r="BH15" i="12"/>
  <c r="BX14" i="12"/>
  <c r="BW14" i="12"/>
  <c r="BV14" i="12"/>
  <c r="BS14" i="12"/>
  <c r="BR14" i="12"/>
  <c r="BQ14" i="12"/>
  <c r="BP14" i="12"/>
  <c r="BM14" i="12"/>
  <c r="BL14" i="12"/>
  <c r="BK14" i="12"/>
  <c r="BJ14" i="12"/>
  <c r="BI14" i="12"/>
  <c r="BH14" i="12"/>
  <c r="BX13" i="12"/>
  <c r="BW13" i="12"/>
  <c r="BV13" i="12"/>
  <c r="BS13" i="12"/>
  <c r="BR13" i="12"/>
  <c r="BQ13" i="12"/>
  <c r="BP13" i="12"/>
  <c r="BM13" i="12"/>
  <c r="BL13" i="12"/>
  <c r="BK13" i="12"/>
  <c r="BJ13" i="12"/>
  <c r="BI13" i="12"/>
  <c r="BH13" i="12"/>
  <c r="BX12" i="12"/>
  <c r="BW12" i="12"/>
  <c r="BV12" i="12"/>
  <c r="BS12" i="12"/>
  <c r="BR12" i="12"/>
  <c r="BQ12" i="12"/>
  <c r="BP12" i="12"/>
  <c r="BM12" i="12"/>
  <c r="BL12" i="12"/>
  <c r="BK12" i="12"/>
  <c r="BJ12" i="12"/>
  <c r="BI12" i="12"/>
  <c r="BH12" i="12"/>
  <c r="BX11" i="12"/>
  <c r="BW11" i="12"/>
  <c r="BV11" i="12"/>
  <c r="BS11" i="12"/>
  <c r="BR11" i="12"/>
  <c r="BQ11" i="12"/>
  <c r="BP11" i="12"/>
  <c r="BM11" i="12"/>
  <c r="BL11" i="12"/>
  <c r="BK11" i="12"/>
  <c r="BJ11" i="12"/>
  <c r="BI11" i="12"/>
  <c r="BH11" i="12"/>
  <c r="BX10" i="12"/>
  <c r="BW10" i="12"/>
  <c r="BV10" i="12"/>
  <c r="BS10" i="12"/>
  <c r="BR10" i="12"/>
  <c r="BQ10" i="12"/>
  <c r="BP10" i="12"/>
  <c r="BM10" i="12"/>
  <c r="BL10" i="12"/>
  <c r="BK10" i="12"/>
  <c r="BJ10" i="12"/>
  <c r="BI10" i="12"/>
  <c r="BH10" i="12"/>
  <c r="BX9" i="12"/>
  <c r="BW9" i="12"/>
  <c r="BV9" i="12"/>
  <c r="BS9" i="12"/>
  <c r="BR9" i="12"/>
  <c r="BQ9" i="12"/>
  <c r="BP9" i="12"/>
  <c r="BM9" i="12"/>
  <c r="BL9" i="12"/>
  <c r="BK9" i="12"/>
  <c r="BJ9" i="12"/>
  <c r="BI9" i="12"/>
  <c r="BH9" i="12"/>
  <c r="BX8" i="12"/>
  <c r="BW8" i="12"/>
  <c r="BV8" i="12"/>
  <c r="BS8" i="12"/>
  <c r="BR8" i="12"/>
  <c r="BQ8" i="12"/>
  <c r="BP8" i="12"/>
  <c r="BM8" i="12"/>
  <c r="BL8" i="12"/>
  <c r="BK8" i="12"/>
  <c r="BJ8" i="12"/>
  <c r="BI8" i="12"/>
  <c r="BH8" i="12"/>
  <c r="BX7" i="12"/>
  <c r="BW7" i="12"/>
  <c r="BV7" i="12"/>
  <c r="BS7" i="12"/>
  <c r="BR7" i="12"/>
  <c r="BQ7" i="12"/>
  <c r="BP7" i="12"/>
  <c r="BM7" i="12"/>
  <c r="BL7" i="12"/>
  <c r="BK7" i="12"/>
  <c r="BJ7" i="12"/>
  <c r="BI7" i="12"/>
  <c r="BH7" i="12"/>
  <c r="BX6" i="12"/>
  <c r="BW6" i="12"/>
  <c r="BV6" i="12"/>
  <c r="BS6" i="12"/>
  <c r="BR6" i="12"/>
  <c r="BQ6" i="12"/>
  <c r="BP6" i="12"/>
  <c r="BM6" i="12"/>
  <c r="BL6" i="12"/>
  <c r="BK6" i="12"/>
  <c r="BJ6" i="12"/>
  <c r="BI6" i="12"/>
  <c r="BH6" i="12"/>
  <c r="BX5" i="12"/>
  <c r="BW5" i="12"/>
  <c r="BV5" i="12"/>
  <c r="BS5" i="12"/>
  <c r="BR5" i="12"/>
  <c r="BQ5" i="12"/>
  <c r="BP5" i="12"/>
  <c r="BM5" i="12"/>
  <c r="BL5" i="12"/>
  <c r="BK5" i="12"/>
  <c r="BJ5" i="12"/>
  <c r="BI5" i="12"/>
  <c r="BH5" i="12"/>
  <c r="BX4" i="12"/>
  <c r="BW4" i="12"/>
  <c r="BV4" i="12"/>
  <c r="BS4" i="12"/>
  <c r="BR4" i="12"/>
  <c r="BQ4" i="12"/>
  <c r="BP4" i="12"/>
  <c r="BM4" i="12"/>
  <c r="BL4" i="12"/>
  <c r="BK4" i="12"/>
  <c r="BJ4" i="12"/>
  <c r="BI4" i="12"/>
  <c r="BH4" i="12"/>
  <c r="BX3" i="12"/>
  <c r="BW3" i="12"/>
  <c r="BV3" i="12"/>
  <c r="BS3" i="12"/>
  <c r="BR3" i="12"/>
  <c r="BQ3" i="12"/>
  <c r="BP3" i="12"/>
  <c r="BM3" i="12"/>
  <c r="BL3" i="12"/>
  <c r="BK3" i="12"/>
  <c r="BJ3" i="12"/>
  <c r="BI3" i="12"/>
  <c r="BH3" i="12"/>
  <c r="BX2" i="12"/>
  <c r="BW2" i="12"/>
  <c r="BV2" i="12"/>
  <c r="BS2" i="12"/>
  <c r="BR2" i="12"/>
  <c r="BQ2" i="12"/>
  <c r="BP2" i="12"/>
  <c r="BM2" i="12"/>
  <c r="BL2" i="12"/>
  <c r="BK2" i="12"/>
  <c r="BJ2" i="12"/>
  <c r="BI2" i="12"/>
  <c r="BH2" i="12"/>
  <c r="K14" i="5"/>
  <c r="K12" i="5"/>
  <c r="BE3" i="4"/>
  <c r="BE4" i="4"/>
  <c r="BE5" i="4"/>
  <c r="BE6" i="4"/>
  <c r="BE7" i="4"/>
  <c r="BE8" i="4"/>
  <c r="BE9" i="4"/>
  <c r="BE10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2" i="4"/>
  <c r="V6" i="7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3" i="4"/>
  <c r="B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2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" i="4"/>
  <c r="J4" i="4"/>
  <c r="J5" i="4"/>
  <c r="J6" i="4"/>
  <c r="J7" i="4"/>
  <c r="J2" i="4"/>
  <c r="H4" i="19"/>
  <c r="S3" i="9"/>
  <c r="S4" i="9"/>
  <c r="S5" i="9"/>
  <c r="S6" i="9"/>
  <c r="R21" i="9" s="1"/>
  <c r="S7" i="9"/>
  <c r="S8" i="9"/>
  <c r="S9" i="9"/>
  <c r="S10" i="9"/>
  <c r="S11" i="9"/>
  <c r="S12" i="9"/>
  <c r="S13" i="9"/>
  <c r="R13" i="9" s="1"/>
  <c r="S14" i="9"/>
  <c r="R16" i="9" s="1"/>
  <c r="S15" i="9"/>
  <c r="S16" i="9"/>
  <c r="S17" i="9"/>
  <c r="S18" i="9"/>
  <c r="S19" i="9"/>
  <c r="R19" i="9" s="1"/>
  <c r="S20" i="9"/>
  <c r="R20" i="9"/>
  <c r="S21" i="9"/>
  <c r="S22" i="9"/>
  <c r="S23" i="9"/>
  <c r="R23" i="9" s="1"/>
  <c r="S24" i="9"/>
  <c r="R24" i="9" s="1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R38" i="9" s="1"/>
  <c r="S39" i="9"/>
  <c r="S40" i="9"/>
  <c r="S41" i="9"/>
  <c r="S42" i="9"/>
  <c r="S43" i="9"/>
  <c r="R43" i="9" s="1"/>
  <c r="S44" i="9"/>
  <c r="S45" i="9"/>
  <c r="S46" i="9"/>
  <c r="S47" i="9"/>
  <c r="R47" i="9" s="1"/>
  <c r="S48" i="9"/>
  <c r="S49" i="9"/>
  <c r="S50" i="9"/>
  <c r="R50" i="9" s="1"/>
  <c r="S51" i="9"/>
  <c r="S52" i="9"/>
  <c r="S53" i="9"/>
  <c r="S54" i="9"/>
  <c r="R54" i="9" s="1"/>
  <c r="S55" i="9"/>
  <c r="S56" i="9"/>
  <c r="S57" i="9"/>
  <c r="S58" i="9"/>
  <c r="R58" i="9" s="1"/>
  <c r="S59" i="9"/>
  <c r="S60" i="9"/>
  <c r="R60" i="9"/>
  <c r="S61" i="9"/>
  <c r="S62" i="9"/>
  <c r="S63" i="9"/>
  <c r="S64" i="9"/>
  <c r="R64" i="9" s="1"/>
  <c r="S65" i="9"/>
  <c r="S66" i="9"/>
  <c r="S67" i="9"/>
  <c r="S68" i="9"/>
  <c r="S69" i="9"/>
  <c r="R69" i="9" s="1"/>
  <c r="S70" i="9"/>
  <c r="S71" i="9"/>
  <c r="S72" i="9"/>
  <c r="R72" i="9"/>
  <c r="S73" i="9"/>
  <c r="S74" i="9"/>
  <c r="S75" i="9"/>
  <c r="S76" i="9"/>
  <c r="S77" i="9"/>
  <c r="S78" i="9"/>
  <c r="R78" i="9" s="1"/>
  <c r="S79" i="9"/>
  <c r="S80" i="9"/>
  <c r="S81" i="9"/>
  <c r="S82" i="9"/>
  <c r="S83" i="9"/>
  <c r="R83" i="9" s="1"/>
  <c r="S84" i="9"/>
  <c r="S85" i="9"/>
  <c r="S86" i="9"/>
  <c r="S87" i="9"/>
  <c r="S88" i="9"/>
  <c r="S89" i="9"/>
  <c r="R89" i="9" s="1"/>
  <c r="S90" i="9"/>
  <c r="R90" i="9" s="1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R107" i="9" s="1"/>
  <c r="S108" i="9"/>
  <c r="S109" i="9"/>
  <c r="S110" i="9"/>
  <c r="S111" i="9"/>
  <c r="S112" i="9"/>
  <c r="R112" i="9"/>
  <c r="S113" i="9"/>
  <c r="S114" i="9"/>
  <c r="S115" i="9"/>
  <c r="S116" i="9"/>
  <c r="R116" i="9" s="1"/>
  <c r="S117" i="9"/>
  <c r="S118" i="9"/>
  <c r="S119" i="9"/>
  <c r="R119" i="9" s="1"/>
  <c r="S120" i="9"/>
  <c r="S121" i="9"/>
  <c r="S122" i="9"/>
  <c r="R122" i="9"/>
  <c r="S123" i="9"/>
  <c r="S124" i="9"/>
  <c r="S125" i="9"/>
  <c r="S126" i="9"/>
  <c r="S127" i="9"/>
  <c r="S128" i="9"/>
  <c r="S129" i="9"/>
  <c r="R129" i="9" s="1"/>
  <c r="S130" i="9"/>
  <c r="S131" i="9"/>
  <c r="S132" i="9"/>
  <c r="R132" i="9"/>
  <c r="S133" i="9"/>
  <c r="S134" i="9"/>
  <c r="S135" i="9"/>
  <c r="S136" i="9"/>
  <c r="R136" i="9" s="1"/>
  <c r="S137" i="9"/>
  <c r="S138" i="9"/>
  <c r="S139" i="9"/>
  <c r="S140" i="9"/>
  <c r="S141" i="9"/>
  <c r="R141" i="9" s="1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R165" i="9" s="1"/>
  <c r="S166" i="9"/>
  <c r="S167" i="9"/>
  <c r="S168" i="9"/>
  <c r="R168" i="9"/>
  <c r="S169" i="9"/>
  <c r="S170" i="9"/>
  <c r="S171" i="9"/>
  <c r="S172" i="9"/>
  <c r="R172" i="9" s="1"/>
  <c r="S173" i="9"/>
  <c r="S174" i="9"/>
  <c r="S175" i="9"/>
  <c r="S176" i="9"/>
  <c r="S177" i="9"/>
  <c r="S178" i="9"/>
  <c r="S179" i="9"/>
  <c r="R179" i="9" s="1"/>
  <c r="S180" i="9"/>
  <c r="S181" i="9"/>
  <c r="S182" i="9"/>
  <c r="S183" i="9"/>
  <c r="R183" i="9" s="1"/>
  <c r="S184" i="9"/>
  <c r="S2" i="9"/>
  <c r="R3" i="9"/>
  <c r="R6" i="9"/>
  <c r="R53" i="9"/>
  <c r="R109" i="9"/>
  <c r="R135" i="9"/>
  <c r="R151" i="9"/>
  <c r="R163" i="9"/>
  <c r="R174" i="9"/>
  <c r="R4" i="9"/>
  <c r="R115" i="9"/>
  <c r="R75" i="9"/>
  <c r="R35" i="9"/>
  <c r="R66" i="9"/>
  <c r="R113" i="9"/>
  <c r="R65" i="9"/>
  <c r="R17" i="9"/>
  <c r="R79" i="9"/>
  <c r="R39" i="9"/>
  <c r="R86" i="9"/>
  <c r="R46" i="9"/>
  <c r="R5" i="9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I2" i="18"/>
  <c r="CH2" i="18"/>
  <c r="IS3" i="16"/>
  <c r="IS4" i="16"/>
  <c r="IS5" i="16"/>
  <c r="IS6" i="16"/>
  <c r="IS7" i="16"/>
  <c r="IS8" i="16"/>
  <c r="IS9" i="16"/>
  <c r="IS10" i="16"/>
  <c r="IS11" i="16"/>
  <c r="IS12" i="16"/>
  <c r="IS13" i="16"/>
  <c r="IS14" i="16"/>
  <c r="IS15" i="16"/>
  <c r="IS16" i="16"/>
  <c r="IS17" i="16"/>
  <c r="IS18" i="16"/>
  <c r="IS19" i="16"/>
  <c r="IS20" i="16"/>
  <c r="IS21" i="16"/>
  <c r="IS22" i="16"/>
  <c r="IS23" i="16"/>
  <c r="IS24" i="16"/>
  <c r="IS25" i="16"/>
  <c r="IS26" i="16"/>
  <c r="IS27" i="16"/>
  <c r="IS28" i="16"/>
  <c r="IS29" i="16"/>
  <c r="IS30" i="16"/>
  <c r="IS31" i="16"/>
  <c r="IS32" i="16"/>
  <c r="IS33" i="16"/>
  <c r="IS34" i="16"/>
  <c r="IS35" i="16"/>
  <c r="IS36" i="16"/>
  <c r="IS37" i="16"/>
  <c r="IS38" i="16"/>
  <c r="IS39" i="16"/>
  <c r="IS40" i="16"/>
  <c r="IS41" i="16"/>
  <c r="IS42" i="16"/>
  <c r="IS43" i="16"/>
  <c r="IS44" i="16"/>
  <c r="IS45" i="16"/>
  <c r="IS2" i="16"/>
  <c r="I2" i="3"/>
  <c r="P2" i="3"/>
  <c r="O2" i="3"/>
  <c r="N2" i="3"/>
  <c r="M2" i="3"/>
  <c r="K2" i="3"/>
  <c r="IP3" i="16"/>
  <c r="IP4" i="16"/>
  <c r="IP5" i="16"/>
  <c r="IP6" i="16"/>
  <c r="IP7" i="16"/>
  <c r="IP8" i="16"/>
  <c r="IP9" i="16"/>
  <c r="IP10" i="16"/>
  <c r="IP11" i="16"/>
  <c r="IP12" i="16"/>
  <c r="IP13" i="16"/>
  <c r="IP14" i="16"/>
  <c r="IP15" i="16"/>
  <c r="IP16" i="16"/>
  <c r="IP17" i="16"/>
  <c r="IP18" i="16"/>
  <c r="IP19" i="16"/>
  <c r="IP20" i="16"/>
  <c r="IP21" i="16"/>
  <c r="IP22" i="16"/>
  <c r="IP23" i="16"/>
  <c r="IP24" i="16"/>
  <c r="IP25" i="16"/>
  <c r="IP26" i="16"/>
  <c r="IP27" i="16"/>
  <c r="IP28" i="16"/>
  <c r="IP29" i="16"/>
  <c r="IP30" i="16"/>
  <c r="IP31" i="16"/>
  <c r="IP32" i="16"/>
  <c r="IP33" i="16"/>
  <c r="IP34" i="16"/>
  <c r="IP35" i="16"/>
  <c r="IP36" i="16"/>
  <c r="IP37" i="16"/>
  <c r="IP38" i="16"/>
  <c r="IP39" i="16"/>
  <c r="IP40" i="16"/>
  <c r="IP41" i="16"/>
  <c r="IP42" i="16"/>
  <c r="IP43" i="16"/>
  <c r="IP44" i="16"/>
  <c r="IP45" i="16"/>
  <c r="IP2" i="16"/>
  <c r="IQ39" i="16"/>
  <c r="IR39" i="16"/>
  <c r="IQ40" i="16"/>
  <c r="IR40" i="16"/>
  <c r="IQ41" i="16"/>
  <c r="IR41" i="16"/>
  <c r="IQ42" i="16"/>
  <c r="IR42" i="16"/>
  <c r="IQ43" i="16"/>
  <c r="IR43" i="16"/>
  <c r="IQ44" i="16"/>
  <c r="IR44" i="16"/>
  <c r="IQ45" i="16"/>
  <c r="IR45" i="16"/>
  <c r="IQ30" i="16"/>
  <c r="IR30" i="16"/>
  <c r="IQ31" i="16"/>
  <c r="IR31" i="16"/>
  <c r="IQ32" i="16"/>
  <c r="IR32" i="16"/>
  <c r="IQ33" i="16"/>
  <c r="IR33" i="16"/>
  <c r="IQ34" i="16"/>
  <c r="IR34" i="16"/>
  <c r="IQ35" i="16"/>
  <c r="IR35" i="16"/>
  <c r="IQ36" i="16"/>
  <c r="IR36" i="16"/>
  <c r="IQ37" i="16"/>
  <c r="IR37" i="16"/>
  <c r="IQ38" i="16"/>
  <c r="IR38" i="16"/>
  <c r="IQ13" i="16"/>
  <c r="IR13" i="16"/>
  <c r="IQ14" i="16"/>
  <c r="IR14" i="16"/>
  <c r="IQ15" i="16"/>
  <c r="IR15" i="16"/>
  <c r="IQ16" i="16"/>
  <c r="IR16" i="16"/>
  <c r="IQ17" i="16"/>
  <c r="IR17" i="16"/>
  <c r="IQ18" i="16"/>
  <c r="IR18" i="16"/>
  <c r="IQ19" i="16"/>
  <c r="IR19" i="16"/>
  <c r="IQ20" i="16"/>
  <c r="IR20" i="16"/>
  <c r="IQ21" i="16"/>
  <c r="IR21" i="16"/>
  <c r="IQ22" i="16"/>
  <c r="IR22" i="16"/>
  <c r="IQ23" i="16"/>
  <c r="IR23" i="16"/>
  <c r="IQ24" i="16"/>
  <c r="IR24" i="16"/>
  <c r="IQ25" i="16"/>
  <c r="IR25" i="16"/>
  <c r="IQ26" i="16"/>
  <c r="IR26" i="16"/>
  <c r="IQ27" i="16"/>
  <c r="IR27" i="16"/>
  <c r="IQ28" i="16"/>
  <c r="IR28" i="16"/>
  <c r="IQ29" i="16"/>
  <c r="IR29" i="16"/>
  <c r="IR12" i="16"/>
  <c r="IQ12" i="16"/>
  <c r="IR11" i="16"/>
  <c r="IQ11" i="16"/>
  <c r="IR10" i="16"/>
  <c r="IQ10" i="16"/>
  <c r="IR9" i="16"/>
  <c r="IQ9" i="16"/>
  <c r="IR8" i="16"/>
  <c r="IQ8" i="16"/>
  <c r="IR7" i="16"/>
  <c r="IQ7" i="16"/>
  <c r="IR6" i="16"/>
  <c r="IQ6" i="16"/>
  <c r="IR5" i="16"/>
  <c r="IQ5" i="16"/>
  <c r="IR4" i="16"/>
  <c r="IQ4" i="16"/>
  <c r="IR3" i="16"/>
  <c r="IQ3" i="16"/>
  <c r="IR2" i="16"/>
  <c r="IQ2" i="16"/>
  <c r="CC33" i="4"/>
  <c r="R2" i="20"/>
  <c r="Q2" i="20"/>
  <c r="P2" i="20"/>
  <c r="O2" i="20"/>
  <c r="N2" i="20"/>
  <c r="M2" i="20"/>
  <c r="L2" i="20"/>
  <c r="K2" i="20"/>
  <c r="I2" i="20"/>
  <c r="H2" i="20"/>
  <c r="N2" i="10"/>
  <c r="M2" i="10"/>
  <c r="L2" i="10"/>
  <c r="CK2" i="4"/>
  <c r="CI2" i="4"/>
  <c r="AD2" i="18"/>
  <c r="H2" i="3"/>
  <c r="Q2" i="3"/>
  <c r="R2" i="3"/>
  <c r="BH38" i="4"/>
  <c r="EG4" i="18"/>
  <c r="EF4" i="18"/>
  <c r="EE4" i="18"/>
  <c r="ED4" i="18"/>
  <c r="EC4" i="18"/>
  <c r="EB4" i="18"/>
  <c r="DZ4" i="18"/>
  <c r="DY4" i="18"/>
  <c r="DX4" i="18"/>
  <c r="DW4" i="18"/>
  <c r="DV4" i="18"/>
  <c r="DU4" i="18"/>
  <c r="DT4" i="18"/>
  <c r="EG3" i="18"/>
  <c r="EF3" i="18"/>
  <c r="EE3" i="18"/>
  <c r="ED3" i="18"/>
  <c r="EC3" i="18"/>
  <c r="EB3" i="18"/>
  <c r="DZ3" i="18"/>
  <c r="DY3" i="18"/>
  <c r="DX3" i="18"/>
  <c r="DW3" i="18"/>
  <c r="DV3" i="18"/>
  <c r="DU3" i="18"/>
  <c r="DT3" i="18"/>
  <c r="AC4" i="5"/>
  <c r="AB4" i="5"/>
  <c r="AH4" i="5"/>
  <c r="AG4" i="5"/>
  <c r="K8" i="5"/>
  <c r="K7" i="5"/>
  <c r="AF4" i="5"/>
  <c r="AE4" i="5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2" i="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2" i="4"/>
  <c r="BN2" i="4"/>
  <c r="F2" i="18" s="1"/>
  <c r="C17" i="5" s="1"/>
  <c r="BX29" i="4"/>
  <c r="CD29" i="4" s="1"/>
  <c r="BX33" i="4"/>
  <c r="CD33" i="4" s="1"/>
  <c r="BX32" i="4"/>
  <c r="CC32" i="4" s="1"/>
  <c r="BX31" i="4"/>
  <c r="BY31" i="4" s="1"/>
  <c r="BX30" i="4"/>
  <c r="CD30" i="4" s="1"/>
  <c r="BM38" i="4"/>
  <c r="BL38" i="4"/>
  <c r="BK38" i="4"/>
  <c r="BJ38" i="4"/>
  <c r="BI38" i="4"/>
  <c r="BF38" i="4"/>
  <c r="BD38" i="4"/>
  <c r="BC38" i="4"/>
  <c r="BB38" i="4"/>
  <c r="BA38" i="4"/>
  <c r="AZ38" i="4"/>
  <c r="BM37" i="4"/>
  <c r="BL37" i="4"/>
  <c r="BK37" i="4"/>
  <c r="BJ37" i="4"/>
  <c r="BI37" i="4"/>
  <c r="BF37" i="4"/>
  <c r="BD37" i="4"/>
  <c r="BC37" i="4"/>
  <c r="BB37" i="4"/>
  <c r="BA37" i="4"/>
  <c r="AZ37" i="4"/>
  <c r="BM36" i="4"/>
  <c r="BL36" i="4"/>
  <c r="BK36" i="4"/>
  <c r="BJ36" i="4"/>
  <c r="BI36" i="4"/>
  <c r="BF36" i="4"/>
  <c r="BD36" i="4"/>
  <c r="BC36" i="4"/>
  <c r="BB36" i="4"/>
  <c r="BA36" i="4"/>
  <c r="AZ36" i="4"/>
  <c r="BM35" i="4"/>
  <c r="BL35" i="4"/>
  <c r="BK35" i="4"/>
  <c r="BJ35" i="4"/>
  <c r="BI35" i="4"/>
  <c r="BF35" i="4"/>
  <c r="BD35" i="4"/>
  <c r="BC35" i="4"/>
  <c r="BB35" i="4"/>
  <c r="BA35" i="4"/>
  <c r="AZ35" i="4"/>
  <c r="BM34" i="4"/>
  <c r="BL34" i="4"/>
  <c r="BK34" i="4"/>
  <c r="BJ34" i="4"/>
  <c r="BI34" i="4"/>
  <c r="BF34" i="4"/>
  <c r="BD34" i="4"/>
  <c r="BC34" i="4"/>
  <c r="BB34" i="4"/>
  <c r="BA34" i="4"/>
  <c r="AZ34" i="4"/>
  <c r="BM33" i="4"/>
  <c r="BL33" i="4"/>
  <c r="BK33" i="4"/>
  <c r="BJ33" i="4"/>
  <c r="BI33" i="4"/>
  <c r="BF33" i="4"/>
  <c r="BD33" i="4"/>
  <c r="BC33" i="4"/>
  <c r="BB33" i="4"/>
  <c r="BA33" i="4"/>
  <c r="AZ33" i="4"/>
  <c r="BM32" i="4"/>
  <c r="BL32" i="4"/>
  <c r="BK32" i="4"/>
  <c r="BJ32" i="4"/>
  <c r="BI32" i="4"/>
  <c r="BF32" i="4"/>
  <c r="BD32" i="4"/>
  <c r="BC32" i="4"/>
  <c r="BB32" i="4"/>
  <c r="BA32" i="4"/>
  <c r="AZ32" i="4"/>
  <c r="BM31" i="4"/>
  <c r="BL31" i="4"/>
  <c r="BK31" i="4"/>
  <c r="BJ31" i="4"/>
  <c r="BI31" i="4"/>
  <c r="BF31" i="4"/>
  <c r="BD31" i="4"/>
  <c r="BC31" i="4"/>
  <c r="BB31" i="4"/>
  <c r="BA31" i="4"/>
  <c r="AZ31" i="4"/>
  <c r="BM30" i="4"/>
  <c r="BL30" i="4"/>
  <c r="BK30" i="4"/>
  <c r="BJ30" i="4"/>
  <c r="BI30" i="4"/>
  <c r="BF30" i="4"/>
  <c r="BD30" i="4"/>
  <c r="BC30" i="4"/>
  <c r="BB30" i="4"/>
  <c r="BA30" i="4"/>
  <c r="AZ30" i="4"/>
  <c r="BM29" i="4"/>
  <c r="BL29" i="4"/>
  <c r="BK29" i="4"/>
  <c r="BJ29" i="4"/>
  <c r="BI29" i="4"/>
  <c r="BF29" i="4"/>
  <c r="BD29" i="4"/>
  <c r="BC29" i="4"/>
  <c r="BB29" i="4"/>
  <c r="BA29" i="4"/>
  <c r="AZ29" i="4"/>
  <c r="BM28" i="4"/>
  <c r="BL28" i="4"/>
  <c r="BK28" i="4"/>
  <c r="BJ28" i="4"/>
  <c r="BI28" i="4"/>
  <c r="BF28" i="4"/>
  <c r="BD28" i="4"/>
  <c r="BC28" i="4"/>
  <c r="BB28" i="4"/>
  <c r="BA28" i="4"/>
  <c r="AZ28" i="4"/>
  <c r="BM27" i="4"/>
  <c r="BL27" i="4"/>
  <c r="BK27" i="4"/>
  <c r="BJ27" i="4"/>
  <c r="BI27" i="4"/>
  <c r="BF27" i="4"/>
  <c r="BD27" i="4"/>
  <c r="BC27" i="4"/>
  <c r="BB27" i="4"/>
  <c r="BA27" i="4"/>
  <c r="AZ27" i="4"/>
  <c r="BM26" i="4"/>
  <c r="BL26" i="4"/>
  <c r="BK26" i="4"/>
  <c r="BJ26" i="4"/>
  <c r="BI26" i="4"/>
  <c r="BF26" i="4"/>
  <c r="BD26" i="4"/>
  <c r="BC26" i="4"/>
  <c r="BB26" i="4"/>
  <c r="BA26" i="4"/>
  <c r="AZ26" i="4"/>
  <c r="BM25" i="4"/>
  <c r="BL25" i="4"/>
  <c r="BK25" i="4"/>
  <c r="BJ25" i="4"/>
  <c r="BI25" i="4"/>
  <c r="BF25" i="4"/>
  <c r="BD25" i="4"/>
  <c r="BC25" i="4"/>
  <c r="BB25" i="4"/>
  <c r="BA25" i="4"/>
  <c r="AZ25" i="4"/>
  <c r="BM24" i="4"/>
  <c r="BL24" i="4"/>
  <c r="BK24" i="4"/>
  <c r="BJ24" i="4"/>
  <c r="BI24" i="4"/>
  <c r="BF24" i="4"/>
  <c r="BD24" i="4"/>
  <c r="BC24" i="4"/>
  <c r="BB24" i="4"/>
  <c r="BA24" i="4"/>
  <c r="AZ24" i="4"/>
  <c r="BM23" i="4"/>
  <c r="BL23" i="4"/>
  <c r="BK23" i="4"/>
  <c r="BJ23" i="4"/>
  <c r="BI23" i="4"/>
  <c r="BF23" i="4"/>
  <c r="BD23" i="4"/>
  <c r="BC23" i="4"/>
  <c r="BB23" i="4"/>
  <c r="BA23" i="4"/>
  <c r="AZ23" i="4"/>
  <c r="BM22" i="4"/>
  <c r="BL22" i="4"/>
  <c r="BK22" i="4"/>
  <c r="BJ22" i="4"/>
  <c r="BI22" i="4"/>
  <c r="BF22" i="4"/>
  <c r="BD22" i="4"/>
  <c r="BC22" i="4"/>
  <c r="BB22" i="4"/>
  <c r="BA22" i="4"/>
  <c r="AZ22" i="4"/>
  <c r="BM21" i="4"/>
  <c r="BL21" i="4"/>
  <c r="BK21" i="4"/>
  <c r="BJ21" i="4"/>
  <c r="BI21" i="4"/>
  <c r="BF21" i="4"/>
  <c r="BD21" i="4"/>
  <c r="BC21" i="4"/>
  <c r="BB21" i="4"/>
  <c r="BA21" i="4"/>
  <c r="AZ21" i="4"/>
  <c r="BM20" i="4"/>
  <c r="BL20" i="4"/>
  <c r="BK20" i="4"/>
  <c r="BJ20" i="4"/>
  <c r="BI20" i="4"/>
  <c r="BF20" i="4"/>
  <c r="BD20" i="4"/>
  <c r="BC20" i="4"/>
  <c r="BB20" i="4"/>
  <c r="BA20" i="4"/>
  <c r="AZ20" i="4"/>
  <c r="BM19" i="4"/>
  <c r="BL19" i="4"/>
  <c r="BK19" i="4"/>
  <c r="BJ19" i="4"/>
  <c r="BI19" i="4"/>
  <c r="BF19" i="4"/>
  <c r="BD19" i="4"/>
  <c r="BC19" i="4"/>
  <c r="BB19" i="4"/>
  <c r="BA19" i="4"/>
  <c r="AZ19" i="4"/>
  <c r="BM18" i="4"/>
  <c r="BL18" i="4"/>
  <c r="BK18" i="4"/>
  <c r="BJ18" i="4"/>
  <c r="BI18" i="4"/>
  <c r="BF18" i="4"/>
  <c r="BD18" i="4"/>
  <c r="BC18" i="4"/>
  <c r="BB18" i="4"/>
  <c r="BA18" i="4"/>
  <c r="AZ18" i="4"/>
  <c r="BM17" i="4"/>
  <c r="BL17" i="4"/>
  <c r="BK17" i="4"/>
  <c r="BJ17" i="4"/>
  <c r="BI17" i="4"/>
  <c r="BF17" i="4"/>
  <c r="BD17" i="4"/>
  <c r="BC17" i="4"/>
  <c r="BB17" i="4"/>
  <c r="BA17" i="4"/>
  <c r="AZ17" i="4"/>
  <c r="BM16" i="4"/>
  <c r="BL16" i="4"/>
  <c r="BK16" i="4"/>
  <c r="BJ16" i="4"/>
  <c r="BI16" i="4"/>
  <c r="BF16" i="4"/>
  <c r="BD16" i="4"/>
  <c r="BC16" i="4"/>
  <c r="BB16" i="4"/>
  <c r="BA16" i="4"/>
  <c r="AZ16" i="4"/>
  <c r="BM15" i="4"/>
  <c r="BL15" i="4"/>
  <c r="BK15" i="4"/>
  <c r="BJ15" i="4"/>
  <c r="BI15" i="4"/>
  <c r="BF15" i="4"/>
  <c r="BD15" i="4"/>
  <c r="BC15" i="4"/>
  <c r="BB15" i="4"/>
  <c r="BA15" i="4"/>
  <c r="AZ15" i="4"/>
  <c r="BM14" i="4"/>
  <c r="BL14" i="4"/>
  <c r="BK14" i="4"/>
  <c r="BJ14" i="4"/>
  <c r="BI14" i="4"/>
  <c r="BF14" i="4"/>
  <c r="BD14" i="4"/>
  <c r="BC14" i="4"/>
  <c r="BB14" i="4"/>
  <c r="BA14" i="4"/>
  <c r="AZ14" i="4"/>
  <c r="BM13" i="4"/>
  <c r="BL13" i="4"/>
  <c r="BK13" i="4"/>
  <c r="BJ13" i="4"/>
  <c r="BI13" i="4"/>
  <c r="BF13" i="4"/>
  <c r="BD13" i="4"/>
  <c r="BC13" i="4"/>
  <c r="BB13" i="4"/>
  <c r="BA13" i="4"/>
  <c r="AZ13" i="4"/>
  <c r="BM12" i="4"/>
  <c r="BL12" i="4"/>
  <c r="BK12" i="4"/>
  <c r="BJ12" i="4"/>
  <c r="BI12" i="4"/>
  <c r="BF12" i="4"/>
  <c r="BD12" i="4"/>
  <c r="BC12" i="4"/>
  <c r="BB12" i="4"/>
  <c r="BA12" i="4"/>
  <c r="AZ12" i="4"/>
  <c r="BM11" i="4"/>
  <c r="BL11" i="4"/>
  <c r="BK11" i="4"/>
  <c r="BJ11" i="4"/>
  <c r="BI11" i="4"/>
  <c r="BF11" i="4"/>
  <c r="BD11" i="4"/>
  <c r="BC11" i="4"/>
  <c r="BB11" i="4"/>
  <c r="BA11" i="4"/>
  <c r="AZ11" i="4"/>
  <c r="BM10" i="4"/>
  <c r="BL10" i="4"/>
  <c r="BK10" i="4"/>
  <c r="BJ10" i="4"/>
  <c r="BI10" i="4"/>
  <c r="BF10" i="4"/>
  <c r="BD10" i="4"/>
  <c r="BC10" i="4"/>
  <c r="BB10" i="4"/>
  <c r="BA10" i="4"/>
  <c r="AZ10" i="4"/>
  <c r="BM9" i="4"/>
  <c r="BL9" i="4"/>
  <c r="BK9" i="4"/>
  <c r="BJ9" i="4"/>
  <c r="BI9" i="4"/>
  <c r="BF9" i="4"/>
  <c r="BD9" i="4"/>
  <c r="BC9" i="4"/>
  <c r="BB9" i="4"/>
  <c r="BA9" i="4"/>
  <c r="AZ9" i="4"/>
  <c r="BM8" i="4"/>
  <c r="BL8" i="4"/>
  <c r="BK8" i="4"/>
  <c r="BJ8" i="4"/>
  <c r="BI8" i="4"/>
  <c r="BF8" i="4"/>
  <c r="BD8" i="4"/>
  <c r="BC8" i="4"/>
  <c r="BB8" i="4"/>
  <c r="BA8" i="4"/>
  <c r="AZ8" i="4"/>
  <c r="BM7" i="4"/>
  <c r="BL7" i="4"/>
  <c r="BK7" i="4"/>
  <c r="BJ7" i="4"/>
  <c r="BI7" i="4"/>
  <c r="BF7" i="4"/>
  <c r="BD7" i="4"/>
  <c r="BC7" i="4"/>
  <c r="BB7" i="4"/>
  <c r="BA7" i="4"/>
  <c r="AZ7" i="4"/>
  <c r="BM6" i="4"/>
  <c r="BL6" i="4"/>
  <c r="BK6" i="4"/>
  <c r="BJ6" i="4"/>
  <c r="BI6" i="4"/>
  <c r="BF6" i="4"/>
  <c r="BD6" i="4"/>
  <c r="BC6" i="4"/>
  <c r="BB6" i="4"/>
  <c r="BA6" i="4"/>
  <c r="AZ6" i="4"/>
  <c r="BM5" i="4"/>
  <c r="BL5" i="4"/>
  <c r="BK5" i="4"/>
  <c r="BJ5" i="4"/>
  <c r="BI5" i="4"/>
  <c r="BF5" i="4"/>
  <c r="BD5" i="4"/>
  <c r="BC5" i="4"/>
  <c r="BB5" i="4"/>
  <c r="BA5" i="4"/>
  <c r="AZ5" i="4"/>
  <c r="BM3" i="4"/>
  <c r="BL3" i="4"/>
  <c r="BK3" i="4"/>
  <c r="BJ3" i="4"/>
  <c r="BI3" i="4"/>
  <c r="BF3" i="4"/>
  <c r="BD3" i="4"/>
  <c r="BC3" i="4"/>
  <c r="BB3" i="4"/>
  <c r="BA3" i="4"/>
  <c r="AZ3" i="4"/>
  <c r="AU28" i="4"/>
  <c r="BX28" i="4"/>
  <c r="AT28" i="4"/>
  <c r="AR28" i="4"/>
  <c r="AQ28" i="4"/>
  <c r="AO28" i="4"/>
  <c r="AM28" i="4"/>
  <c r="AL28" i="4"/>
  <c r="AK28" i="4"/>
  <c r="AJ28" i="4"/>
  <c r="AI28" i="4"/>
  <c r="AH28" i="4"/>
  <c r="AG28" i="4"/>
  <c r="AU27" i="4"/>
  <c r="BX27" i="4"/>
  <c r="AT27" i="4"/>
  <c r="AR27" i="4"/>
  <c r="AQ27" i="4"/>
  <c r="AO27" i="4"/>
  <c r="AM27" i="4"/>
  <c r="AL27" i="4"/>
  <c r="AK27" i="4"/>
  <c r="AJ27" i="4"/>
  <c r="AI27" i="4"/>
  <c r="AH27" i="4"/>
  <c r="AG27" i="4"/>
  <c r="AU26" i="4"/>
  <c r="BX26" i="4" s="1"/>
  <c r="AT26" i="4"/>
  <c r="AR26" i="4"/>
  <c r="AQ26" i="4"/>
  <c r="AO26" i="4"/>
  <c r="AM26" i="4"/>
  <c r="AL26" i="4"/>
  <c r="AK26" i="4"/>
  <c r="AJ26" i="4"/>
  <c r="AI26" i="4"/>
  <c r="AH26" i="4"/>
  <c r="AG26" i="4"/>
  <c r="AU25" i="4"/>
  <c r="BX25" i="4"/>
  <c r="AT25" i="4"/>
  <c r="AR25" i="4"/>
  <c r="AQ25" i="4"/>
  <c r="AO25" i="4"/>
  <c r="AM25" i="4"/>
  <c r="AL25" i="4"/>
  <c r="AK25" i="4"/>
  <c r="AJ25" i="4"/>
  <c r="AI25" i="4"/>
  <c r="AH25" i="4"/>
  <c r="AG25" i="4"/>
  <c r="AU24" i="4"/>
  <c r="BX24" i="4" s="1"/>
  <c r="AT24" i="4"/>
  <c r="AR24" i="4"/>
  <c r="AQ24" i="4"/>
  <c r="AO24" i="4"/>
  <c r="AM24" i="4"/>
  <c r="AL24" i="4"/>
  <c r="AK24" i="4"/>
  <c r="AJ24" i="4"/>
  <c r="AI24" i="4"/>
  <c r="AH24" i="4"/>
  <c r="AG24" i="4"/>
  <c r="AU23" i="4"/>
  <c r="BX23" i="4"/>
  <c r="AT23" i="4"/>
  <c r="AR23" i="4"/>
  <c r="AQ23" i="4"/>
  <c r="AO23" i="4"/>
  <c r="AM23" i="4"/>
  <c r="AL23" i="4"/>
  <c r="AK23" i="4"/>
  <c r="AJ23" i="4"/>
  <c r="AI23" i="4"/>
  <c r="AH23" i="4"/>
  <c r="AG23" i="4"/>
  <c r="AU22" i="4"/>
  <c r="BX22" i="4" s="1"/>
  <c r="AT22" i="4"/>
  <c r="AR22" i="4"/>
  <c r="AQ22" i="4"/>
  <c r="AO22" i="4"/>
  <c r="AM22" i="4"/>
  <c r="AL22" i="4"/>
  <c r="AK22" i="4"/>
  <c r="AJ22" i="4"/>
  <c r="AI22" i="4"/>
  <c r="AH22" i="4"/>
  <c r="AG22" i="4"/>
  <c r="AU21" i="4"/>
  <c r="BX21" i="4"/>
  <c r="CC21" i="4" s="1"/>
  <c r="AT21" i="4"/>
  <c r="AR21" i="4"/>
  <c r="AQ21" i="4"/>
  <c r="AO21" i="4"/>
  <c r="AM21" i="4"/>
  <c r="AL21" i="4"/>
  <c r="AK21" i="4"/>
  <c r="AJ21" i="4"/>
  <c r="AI21" i="4"/>
  <c r="AH21" i="4"/>
  <c r="AG21" i="4"/>
  <c r="AU20" i="4"/>
  <c r="BX20" i="4"/>
  <c r="CC20" i="4" s="1"/>
  <c r="AT20" i="4"/>
  <c r="AR20" i="4"/>
  <c r="AQ20" i="4"/>
  <c r="AO20" i="4"/>
  <c r="AM20" i="4"/>
  <c r="AL20" i="4"/>
  <c r="AK20" i="4"/>
  <c r="AJ20" i="4"/>
  <c r="AI20" i="4"/>
  <c r="AH20" i="4"/>
  <c r="AG20" i="4"/>
  <c r="AU19" i="4"/>
  <c r="BX19" i="4"/>
  <c r="AT19" i="4"/>
  <c r="AR19" i="4"/>
  <c r="AQ19" i="4"/>
  <c r="AO19" i="4"/>
  <c r="AM19" i="4"/>
  <c r="AL19" i="4"/>
  <c r="AK19" i="4"/>
  <c r="AJ19" i="4"/>
  <c r="AI19" i="4"/>
  <c r="AH19" i="4"/>
  <c r="AG19" i="4"/>
  <c r="AU18" i="4"/>
  <c r="BX18" i="4" s="1"/>
  <c r="AT18" i="4"/>
  <c r="AR18" i="4"/>
  <c r="AQ18" i="4"/>
  <c r="AO18" i="4"/>
  <c r="AM18" i="4"/>
  <c r="AL18" i="4"/>
  <c r="AK18" i="4"/>
  <c r="AJ18" i="4"/>
  <c r="AI18" i="4"/>
  <c r="AH18" i="4"/>
  <c r="AG18" i="4"/>
  <c r="AU17" i="4"/>
  <c r="BX17" i="4"/>
  <c r="AT17" i="4"/>
  <c r="AR17" i="4"/>
  <c r="AQ17" i="4"/>
  <c r="AO17" i="4"/>
  <c r="AM17" i="4"/>
  <c r="AL17" i="4"/>
  <c r="AK17" i="4"/>
  <c r="AJ17" i="4"/>
  <c r="AI17" i="4"/>
  <c r="AH17" i="4"/>
  <c r="AG17" i="4"/>
  <c r="AU16" i="4"/>
  <c r="BX16" i="4"/>
  <c r="CD16" i="4" s="1"/>
  <c r="AT16" i="4"/>
  <c r="AR16" i="4"/>
  <c r="AQ16" i="4"/>
  <c r="AO16" i="4"/>
  <c r="AM16" i="4"/>
  <c r="AL16" i="4"/>
  <c r="AK16" i="4"/>
  <c r="AJ16" i="4"/>
  <c r="AI16" i="4"/>
  <c r="AH16" i="4"/>
  <c r="AG16" i="4"/>
  <c r="AU15" i="4"/>
  <c r="BX15" i="4"/>
  <c r="BY15" i="4" s="1"/>
  <c r="AT15" i="4"/>
  <c r="AR15" i="4"/>
  <c r="AQ15" i="4"/>
  <c r="AO15" i="4"/>
  <c r="AM15" i="4"/>
  <c r="AL15" i="4"/>
  <c r="AK15" i="4"/>
  <c r="AJ15" i="4"/>
  <c r="AI15" i="4"/>
  <c r="AH15" i="4"/>
  <c r="AG15" i="4"/>
  <c r="AU14" i="4"/>
  <c r="BX14" i="4" s="1"/>
  <c r="AT14" i="4"/>
  <c r="AR14" i="4"/>
  <c r="AQ14" i="4"/>
  <c r="AO14" i="4"/>
  <c r="AM14" i="4"/>
  <c r="AL14" i="4"/>
  <c r="AK14" i="4"/>
  <c r="AJ14" i="4"/>
  <c r="AI14" i="4"/>
  <c r="AH14" i="4"/>
  <c r="AG14" i="4"/>
  <c r="AU13" i="4"/>
  <c r="BX13" i="4"/>
  <c r="CC13" i="4" s="1"/>
  <c r="AT13" i="4"/>
  <c r="AR13" i="4"/>
  <c r="AQ13" i="4"/>
  <c r="AO13" i="4"/>
  <c r="AM13" i="4"/>
  <c r="AL13" i="4"/>
  <c r="AK13" i="4"/>
  <c r="AJ13" i="4"/>
  <c r="AI13" i="4"/>
  <c r="AH13" i="4"/>
  <c r="AG13" i="4"/>
  <c r="AU12" i="4"/>
  <c r="BX12" i="4"/>
  <c r="CC12" i="4" s="1"/>
  <c r="AT12" i="4"/>
  <c r="AR12" i="4"/>
  <c r="AQ12" i="4"/>
  <c r="AO12" i="4"/>
  <c r="AM12" i="4"/>
  <c r="AL12" i="4"/>
  <c r="AK12" i="4"/>
  <c r="AJ12" i="4"/>
  <c r="AI12" i="4"/>
  <c r="AH12" i="4"/>
  <c r="AG12" i="4"/>
  <c r="AU11" i="4"/>
  <c r="BX11" i="4"/>
  <c r="AT11" i="4"/>
  <c r="AR11" i="4"/>
  <c r="AQ11" i="4"/>
  <c r="AO11" i="4"/>
  <c r="AM11" i="4"/>
  <c r="AL11" i="4"/>
  <c r="AK11" i="4"/>
  <c r="AJ11" i="4"/>
  <c r="AI11" i="4"/>
  <c r="AH11" i="4"/>
  <c r="AG11" i="4"/>
  <c r="AU10" i="4"/>
  <c r="BX10" i="4" s="1"/>
  <c r="AT10" i="4"/>
  <c r="AR10" i="4"/>
  <c r="AQ10" i="4"/>
  <c r="AO10" i="4"/>
  <c r="AM10" i="4"/>
  <c r="AL10" i="4"/>
  <c r="AK10" i="4"/>
  <c r="AJ10" i="4"/>
  <c r="AI10" i="4"/>
  <c r="AH10" i="4"/>
  <c r="AG10" i="4"/>
  <c r="AU9" i="4"/>
  <c r="BX9" i="4"/>
  <c r="AT9" i="4"/>
  <c r="AR9" i="4"/>
  <c r="AQ9" i="4"/>
  <c r="AO9" i="4"/>
  <c r="AM9" i="4"/>
  <c r="AL9" i="4"/>
  <c r="AK9" i="4"/>
  <c r="AJ9" i="4"/>
  <c r="AI9" i="4"/>
  <c r="AH9" i="4"/>
  <c r="AG9" i="4"/>
  <c r="AU8" i="4"/>
  <c r="BX8" i="4"/>
  <c r="CD8" i="4" s="1"/>
  <c r="AT8" i="4"/>
  <c r="AR8" i="4"/>
  <c r="AQ8" i="4"/>
  <c r="AO8" i="4"/>
  <c r="AM8" i="4"/>
  <c r="AL8" i="4"/>
  <c r="AK8" i="4"/>
  <c r="AJ8" i="4"/>
  <c r="AI8" i="4"/>
  <c r="AH8" i="4"/>
  <c r="AG8" i="4"/>
  <c r="AU7" i="4"/>
  <c r="BX7" i="4"/>
  <c r="AT7" i="4"/>
  <c r="AR7" i="4"/>
  <c r="AQ7" i="4"/>
  <c r="AO7" i="4"/>
  <c r="AM7" i="4"/>
  <c r="AL7" i="4"/>
  <c r="AK7" i="4"/>
  <c r="AJ7" i="4"/>
  <c r="AI7" i="4"/>
  <c r="AH7" i="4"/>
  <c r="AG7" i="4"/>
  <c r="AU6" i="4"/>
  <c r="BX6" i="4" s="1"/>
  <c r="AT6" i="4"/>
  <c r="AR6" i="4"/>
  <c r="AQ6" i="4"/>
  <c r="AO6" i="4"/>
  <c r="AM6" i="4"/>
  <c r="AL6" i="4"/>
  <c r="AK6" i="4"/>
  <c r="AJ6" i="4"/>
  <c r="AI6" i="4"/>
  <c r="AH6" i="4"/>
  <c r="AG6" i="4"/>
  <c r="AU5" i="4"/>
  <c r="BX5" i="4"/>
  <c r="CC5" i="4" s="1"/>
  <c r="AT5" i="4"/>
  <c r="AR5" i="4"/>
  <c r="AQ5" i="4"/>
  <c r="AO5" i="4"/>
  <c r="AM5" i="4"/>
  <c r="AL5" i="4"/>
  <c r="AK5" i="4"/>
  <c r="AJ5" i="4"/>
  <c r="AI5" i="4"/>
  <c r="AH5" i="4"/>
  <c r="AG5" i="4"/>
  <c r="AU3" i="4"/>
  <c r="BX3" i="4"/>
  <c r="BY3" i="4" s="1"/>
  <c r="AT3" i="4"/>
  <c r="AR3" i="4"/>
  <c r="AQ3" i="4"/>
  <c r="AO3" i="4"/>
  <c r="AM3" i="4"/>
  <c r="AL3" i="4"/>
  <c r="AK3" i="4"/>
  <c r="AJ3" i="4"/>
  <c r="AI3" i="4"/>
  <c r="AH3" i="4"/>
  <c r="AG3" i="4"/>
  <c r="AK2" i="17"/>
  <c r="CG2" i="4" s="1"/>
  <c r="CD5" i="4"/>
  <c r="BY5" i="4"/>
  <c r="BZ5" i="4" s="1"/>
  <c r="CC7" i="4"/>
  <c r="CD9" i="4"/>
  <c r="CC9" i="4"/>
  <c r="BY9" i="4"/>
  <c r="CD13" i="4"/>
  <c r="BY13" i="4"/>
  <c r="BZ13" i="4" s="1"/>
  <c r="CD17" i="4"/>
  <c r="CC17" i="4"/>
  <c r="BY17" i="4"/>
  <c r="BZ17" i="4" s="1"/>
  <c r="CD21" i="4"/>
  <c r="BY21" i="4"/>
  <c r="BZ21" i="4" s="1"/>
  <c r="BY23" i="4"/>
  <c r="CD25" i="4"/>
  <c r="BY25" i="4"/>
  <c r="BZ25" i="4" s="1"/>
  <c r="CC25" i="4"/>
  <c r="CD3" i="4"/>
  <c r="CC6" i="4"/>
  <c r="BY8" i="4"/>
  <c r="BZ8" i="4" s="1"/>
  <c r="CC8" i="4"/>
  <c r="CD12" i="4"/>
  <c r="BY14" i="4"/>
  <c r="CC16" i="4"/>
  <c r="BY16" i="4"/>
  <c r="CD20" i="4"/>
  <c r="BY22" i="4"/>
  <c r="BZ22" i="4" s="1"/>
  <c r="BY24" i="4"/>
  <c r="CD28" i="4"/>
  <c r="CC28" i="4"/>
  <c r="BY28" i="4"/>
  <c r="BZ28" i="4" s="1"/>
  <c r="I2" i="18"/>
  <c r="C12" i="5" s="1"/>
  <c r="BM4" i="18"/>
  <c r="BL4" i="18"/>
  <c r="BK4" i="18"/>
  <c r="BM3" i="18"/>
  <c r="BL3" i="18"/>
  <c r="BK3" i="18"/>
  <c r="AB2" i="4"/>
  <c r="AJ4" i="5" s="1"/>
  <c r="AM2" i="17"/>
  <c r="CB8" i="4"/>
  <c r="CB21" i="4"/>
  <c r="CB5" i="4"/>
  <c r="CB28" i="4"/>
  <c r="CB13" i="4"/>
  <c r="CB22" i="4"/>
  <c r="AK4" i="5"/>
  <c r="AD2" i="4"/>
  <c r="AI4" i="5" s="1"/>
  <c r="AL2" i="17"/>
  <c r="CF2" i="4" s="1"/>
  <c r="CF2" i="18" s="1"/>
  <c r="G9" i="5" s="1"/>
  <c r="AJ2" i="17"/>
  <c r="AN2" i="17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CK2" i="18"/>
  <c r="G14" i="5"/>
  <c r="K9" i="5"/>
  <c r="G12" i="5"/>
  <c r="DT6" i="4"/>
  <c r="DU6" i="4"/>
  <c r="DV6" i="4"/>
  <c r="DW6" i="4"/>
  <c r="DX6" i="4"/>
  <c r="DY6" i="4"/>
  <c r="DZ6" i="4"/>
  <c r="EB6" i="4"/>
  <c r="EC6" i="4"/>
  <c r="ED6" i="4"/>
  <c r="EE6" i="4"/>
  <c r="EF6" i="4"/>
  <c r="EG6" i="4"/>
  <c r="DT7" i="4"/>
  <c r="DU7" i="4"/>
  <c r="DV7" i="4"/>
  <c r="DW7" i="4"/>
  <c r="DX7" i="4"/>
  <c r="DY7" i="4"/>
  <c r="DZ7" i="4"/>
  <c r="EB7" i="4"/>
  <c r="EC7" i="4"/>
  <c r="ED7" i="4"/>
  <c r="EE7" i="4"/>
  <c r="EF7" i="4"/>
  <c r="EG7" i="4"/>
  <c r="DT8" i="4"/>
  <c r="DU8" i="4"/>
  <c r="DV8" i="4"/>
  <c r="DW8" i="4"/>
  <c r="DX8" i="4"/>
  <c r="DY8" i="4"/>
  <c r="DZ8" i="4"/>
  <c r="EB8" i="4"/>
  <c r="EC8" i="4"/>
  <c r="ED8" i="4"/>
  <c r="EE8" i="4"/>
  <c r="EF8" i="4"/>
  <c r="EG8" i="4"/>
  <c r="DT9" i="4"/>
  <c r="DU9" i="4"/>
  <c r="DV9" i="4"/>
  <c r="DW9" i="4"/>
  <c r="DX9" i="4"/>
  <c r="DY9" i="4"/>
  <c r="DZ9" i="4"/>
  <c r="EB9" i="4"/>
  <c r="EC9" i="4"/>
  <c r="ED9" i="4"/>
  <c r="EE9" i="4"/>
  <c r="EF9" i="4"/>
  <c r="EG9" i="4"/>
  <c r="DT10" i="4"/>
  <c r="DU10" i="4"/>
  <c r="DV10" i="4"/>
  <c r="DW10" i="4"/>
  <c r="DX10" i="4"/>
  <c r="DY10" i="4"/>
  <c r="DZ10" i="4"/>
  <c r="EB10" i="4"/>
  <c r="EC10" i="4"/>
  <c r="ED10" i="4"/>
  <c r="EE10" i="4"/>
  <c r="EF10" i="4"/>
  <c r="EG10" i="4"/>
  <c r="DT11" i="4"/>
  <c r="DU11" i="4"/>
  <c r="DV11" i="4"/>
  <c r="DW11" i="4"/>
  <c r="DX11" i="4"/>
  <c r="DY11" i="4"/>
  <c r="DZ11" i="4"/>
  <c r="EB11" i="4"/>
  <c r="EC11" i="4"/>
  <c r="ED11" i="4"/>
  <c r="EE11" i="4"/>
  <c r="EF11" i="4"/>
  <c r="EG11" i="4"/>
  <c r="DT12" i="4"/>
  <c r="DU12" i="4"/>
  <c r="DV12" i="4"/>
  <c r="DW12" i="4"/>
  <c r="DX12" i="4"/>
  <c r="DY12" i="4"/>
  <c r="DZ12" i="4"/>
  <c r="EB12" i="4"/>
  <c r="EC12" i="4"/>
  <c r="ED12" i="4"/>
  <c r="EE12" i="4"/>
  <c r="EF12" i="4"/>
  <c r="EG12" i="4"/>
  <c r="DT13" i="4"/>
  <c r="DU13" i="4"/>
  <c r="DV13" i="4"/>
  <c r="DW13" i="4"/>
  <c r="DX13" i="4"/>
  <c r="DY13" i="4"/>
  <c r="DZ13" i="4"/>
  <c r="EB13" i="4"/>
  <c r="EC13" i="4"/>
  <c r="ED13" i="4"/>
  <c r="EE13" i="4"/>
  <c r="EF13" i="4"/>
  <c r="EG13" i="4"/>
  <c r="DT14" i="4"/>
  <c r="DU14" i="4"/>
  <c r="DV14" i="4"/>
  <c r="DW14" i="4"/>
  <c r="DX14" i="4"/>
  <c r="DY14" i="4"/>
  <c r="DZ14" i="4"/>
  <c r="EB14" i="4"/>
  <c r="EC14" i="4"/>
  <c r="ED14" i="4"/>
  <c r="EE14" i="4"/>
  <c r="EF14" i="4"/>
  <c r="EG14" i="4"/>
  <c r="DT15" i="4"/>
  <c r="DU15" i="4"/>
  <c r="DV15" i="4"/>
  <c r="DW15" i="4"/>
  <c r="DX15" i="4"/>
  <c r="DY15" i="4"/>
  <c r="DZ15" i="4"/>
  <c r="EB15" i="4"/>
  <c r="EC15" i="4"/>
  <c r="ED15" i="4"/>
  <c r="EE15" i="4"/>
  <c r="EF15" i="4"/>
  <c r="EG15" i="4"/>
  <c r="DT16" i="4"/>
  <c r="DU16" i="4"/>
  <c r="DV16" i="4"/>
  <c r="DW16" i="4"/>
  <c r="DX16" i="4"/>
  <c r="DY16" i="4"/>
  <c r="DZ16" i="4"/>
  <c r="EB16" i="4"/>
  <c r="EC16" i="4"/>
  <c r="ED16" i="4"/>
  <c r="EE16" i="4"/>
  <c r="EF16" i="4"/>
  <c r="EG16" i="4"/>
  <c r="AG79" i="4"/>
  <c r="AH79" i="4"/>
  <c r="AI79" i="4"/>
  <c r="AJ79" i="4"/>
  <c r="AK79" i="4"/>
  <c r="AL79" i="4"/>
  <c r="AM79" i="4"/>
  <c r="AO79" i="4"/>
  <c r="AG80" i="4"/>
  <c r="AH80" i="4"/>
  <c r="AI80" i="4"/>
  <c r="AJ80" i="4"/>
  <c r="AK80" i="4"/>
  <c r="AL80" i="4"/>
  <c r="AM80" i="4"/>
  <c r="AO80" i="4"/>
  <c r="AG81" i="4"/>
  <c r="AH81" i="4"/>
  <c r="AI81" i="4"/>
  <c r="AJ81" i="4"/>
  <c r="AK81" i="4"/>
  <c r="AL81" i="4"/>
  <c r="AM81" i="4"/>
  <c r="AO81" i="4"/>
  <c r="AG82" i="4"/>
  <c r="AH82" i="4"/>
  <c r="AI82" i="4"/>
  <c r="AJ82" i="4"/>
  <c r="AK82" i="4"/>
  <c r="AL82" i="4"/>
  <c r="AM82" i="4"/>
  <c r="AO82" i="4"/>
  <c r="AG83" i="4"/>
  <c r="AH83" i="4"/>
  <c r="AI83" i="4"/>
  <c r="AJ83" i="4"/>
  <c r="AK83" i="4"/>
  <c r="AL83" i="4"/>
  <c r="AM83" i="4"/>
  <c r="AO83" i="4"/>
  <c r="AG84" i="4"/>
  <c r="AH84" i="4"/>
  <c r="AI84" i="4"/>
  <c r="AJ84" i="4"/>
  <c r="AK84" i="4"/>
  <c r="AL84" i="4"/>
  <c r="AM84" i="4"/>
  <c r="AO84" i="4"/>
  <c r="AG85" i="4"/>
  <c r="AH85" i="4"/>
  <c r="AI85" i="4"/>
  <c r="AJ85" i="4"/>
  <c r="AK85" i="4"/>
  <c r="AL85" i="4"/>
  <c r="AM85" i="4"/>
  <c r="AO85" i="4"/>
  <c r="AG86" i="4"/>
  <c r="AH86" i="4"/>
  <c r="AI86" i="4"/>
  <c r="AJ86" i="4"/>
  <c r="AK86" i="4"/>
  <c r="AL86" i="4"/>
  <c r="AM86" i="4"/>
  <c r="AO86" i="4"/>
  <c r="AG87" i="4"/>
  <c r="AH87" i="4"/>
  <c r="AI87" i="4"/>
  <c r="AJ87" i="4"/>
  <c r="AK87" i="4"/>
  <c r="AL87" i="4"/>
  <c r="AM87" i="4"/>
  <c r="AO87" i="4"/>
  <c r="AG88" i="4"/>
  <c r="AH88" i="4"/>
  <c r="AI88" i="4"/>
  <c r="AJ88" i="4"/>
  <c r="AK88" i="4"/>
  <c r="AL88" i="4"/>
  <c r="AM88" i="4"/>
  <c r="AO88" i="4"/>
  <c r="AG89" i="4"/>
  <c r="AH89" i="4"/>
  <c r="AI89" i="4"/>
  <c r="AJ89" i="4"/>
  <c r="AK89" i="4"/>
  <c r="AL89" i="4"/>
  <c r="AM89" i="4"/>
  <c r="AO89" i="4"/>
  <c r="AG90" i="4"/>
  <c r="AH90" i="4"/>
  <c r="AI90" i="4"/>
  <c r="AJ90" i="4"/>
  <c r="AK90" i="4"/>
  <c r="AL90" i="4"/>
  <c r="AM90" i="4"/>
  <c r="AO90" i="4"/>
  <c r="AG91" i="4"/>
  <c r="AH91" i="4"/>
  <c r="AI91" i="4"/>
  <c r="AJ91" i="4"/>
  <c r="AK91" i="4"/>
  <c r="AL91" i="4"/>
  <c r="AM91" i="4"/>
  <c r="AO91" i="4"/>
  <c r="AG92" i="4"/>
  <c r="AH92" i="4"/>
  <c r="AI92" i="4"/>
  <c r="AJ92" i="4"/>
  <c r="AK92" i="4"/>
  <c r="AL92" i="4"/>
  <c r="AM92" i="4"/>
  <c r="AO92" i="4"/>
  <c r="AG93" i="4"/>
  <c r="AH93" i="4"/>
  <c r="AI93" i="4"/>
  <c r="AJ93" i="4"/>
  <c r="AK93" i="4"/>
  <c r="AL93" i="4"/>
  <c r="AM93" i="4"/>
  <c r="AO93" i="4"/>
  <c r="AG94" i="4"/>
  <c r="AH94" i="4"/>
  <c r="AI94" i="4"/>
  <c r="AJ94" i="4"/>
  <c r="AK94" i="4"/>
  <c r="AL94" i="4"/>
  <c r="AM94" i="4"/>
  <c r="AO94" i="4"/>
  <c r="AG95" i="4"/>
  <c r="AH95" i="4"/>
  <c r="AI95" i="4"/>
  <c r="AJ95" i="4"/>
  <c r="AK95" i="4"/>
  <c r="AL95" i="4"/>
  <c r="AM95" i="4"/>
  <c r="AO95" i="4"/>
  <c r="AG96" i="4"/>
  <c r="AH96" i="4"/>
  <c r="AI96" i="4"/>
  <c r="AJ96" i="4"/>
  <c r="AK96" i="4"/>
  <c r="AL96" i="4"/>
  <c r="AM96" i="4"/>
  <c r="AO96" i="4"/>
  <c r="AG97" i="4"/>
  <c r="AH97" i="4"/>
  <c r="AI97" i="4"/>
  <c r="AJ97" i="4"/>
  <c r="AK97" i="4"/>
  <c r="AL97" i="4"/>
  <c r="AM97" i="4"/>
  <c r="AO97" i="4"/>
  <c r="AG98" i="4"/>
  <c r="AH98" i="4"/>
  <c r="AI98" i="4"/>
  <c r="AJ98" i="4"/>
  <c r="AK98" i="4"/>
  <c r="AL98" i="4"/>
  <c r="AM98" i="4"/>
  <c r="AO98" i="4"/>
  <c r="AG99" i="4"/>
  <c r="AH99" i="4"/>
  <c r="AI99" i="4"/>
  <c r="AJ99" i="4"/>
  <c r="AK99" i="4"/>
  <c r="AL99" i="4"/>
  <c r="AM99" i="4"/>
  <c r="AO99" i="4"/>
  <c r="AG100" i="4"/>
  <c r="AH100" i="4"/>
  <c r="AI100" i="4"/>
  <c r="AJ100" i="4"/>
  <c r="AK100" i="4"/>
  <c r="AL100" i="4"/>
  <c r="AM100" i="4"/>
  <c r="AO100" i="4"/>
  <c r="AG101" i="4"/>
  <c r="AH101" i="4"/>
  <c r="AI101" i="4"/>
  <c r="AJ101" i="4"/>
  <c r="AK101" i="4"/>
  <c r="AL101" i="4"/>
  <c r="AM101" i="4"/>
  <c r="AO101" i="4"/>
  <c r="AG102" i="4"/>
  <c r="AH102" i="4"/>
  <c r="AI102" i="4"/>
  <c r="AJ102" i="4"/>
  <c r="AK102" i="4"/>
  <c r="AL102" i="4"/>
  <c r="AM102" i="4"/>
  <c r="AO102" i="4"/>
  <c r="AG103" i="4"/>
  <c r="AH103" i="4"/>
  <c r="AI103" i="4"/>
  <c r="AJ103" i="4"/>
  <c r="AK103" i="4"/>
  <c r="AL103" i="4"/>
  <c r="AM103" i="4"/>
  <c r="AO103" i="4"/>
  <c r="AG104" i="4"/>
  <c r="AH104" i="4"/>
  <c r="AI104" i="4"/>
  <c r="AJ104" i="4"/>
  <c r="AK104" i="4"/>
  <c r="AL104" i="4"/>
  <c r="AM104" i="4"/>
  <c r="AO104" i="4"/>
  <c r="AG105" i="4"/>
  <c r="AH105" i="4"/>
  <c r="AI105" i="4"/>
  <c r="AJ105" i="4"/>
  <c r="AK105" i="4"/>
  <c r="AL105" i="4"/>
  <c r="AM105" i="4"/>
  <c r="AO105" i="4"/>
  <c r="AG106" i="4"/>
  <c r="AH106" i="4"/>
  <c r="AI106" i="4"/>
  <c r="AJ106" i="4"/>
  <c r="AK106" i="4"/>
  <c r="AL106" i="4"/>
  <c r="AM106" i="4"/>
  <c r="AO106" i="4"/>
  <c r="AG107" i="4"/>
  <c r="AH107" i="4"/>
  <c r="AI107" i="4"/>
  <c r="AJ107" i="4"/>
  <c r="AK107" i="4"/>
  <c r="AL107" i="4"/>
  <c r="AM107" i="4"/>
  <c r="AO107" i="4"/>
  <c r="AG108" i="4"/>
  <c r="AH108" i="4"/>
  <c r="AI108" i="4"/>
  <c r="AJ108" i="4"/>
  <c r="AK108" i="4"/>
  <c r="AL108" i="4"/>
  <c r="AM108" i="4"/>
  <c r="AO108" i="4"/>
  <c r="AG109" i="4"/>
  <c r="AH109" i="4"/>
  <c r="AI109" i="4"/>
  <c r="AJ109" i="4"/>
  <c r="AK109" i="4"/>
  <c r="AL109" i="4"/>
  <c r="AM109" i="4"/>
  <c r="AO109" i="4"/>
  <c r="AG110" i="4"/>
  <c r="AH110" i="4"/>
  <c r="AI110" i="4"/>
  <c r="AJ110" i="4"/>
  <c r="AK110" i="4"/>
  <c r="AL110" i="4"/>
  <c r="AM110" i="4"/>
  <c r="AO110" i="4"/>
  <c r="AG111" i="4"/>
  <c r="AH111" i="4"/>
  <c r="AI111" i="4"/>
  <c r="AJ111" i="4"/>
  <c r="AK111" i="4"/>
  <c r="AL111" i="4"/>
  <c r="AM111" i="4"/>
  <c r="AO111" i="4"/>
  <c r="AG112" i="4"/>
  <c r="AH112" i="4"/>
  <c r="AI112" i="4"/>
  <c r="AJ112" i="4"/>
  <c r="AK112" i="4"/>
  <c r="AL112" i="4"/>
  <c r="AM112" i="4"/>
  <c r="AO112" i="4"/>
  <c r="AG113" i="4"/>
  <c r="AH113" i="4"/>
  <c r="AI113" i="4"/>
  <c r="AJ113" i="4"/>
  <c r="AK113" i="4"/>
  <c r="AL113" i="4"/>
  <c r="AM113" i="4"/>
  <c r="AO113" i="4"/>
  <c r="O6" i="9"/>
  <c r="Q6" i="9" s="1"/>
  <c r="P6" i="9"/>
  <c r="O7" i="9"/>
  <c r="Q7" i="9" s="1"/>
  <c r="P7" i="9"/>
  <c r="O8" i="9"/>
  <c r="Q8" i="9" s="1"/>
  <c r="P8" i="9"/>
  <c r="O9" i="9"/>
  <c r="Q9" i="9" s="1"/>
  <c r="P9" i="9"/>
  <c r="O10" i="9"/>
  <c r="Q10" i="9" s="1"/>
  <c r="P10" i="9"/>
  <c r="O11" i="9"/>
  <c r="Q11" i="9" s="1"/>
  <c r="P11" i="9"/>
  <c r="O12" i="9"/>
  <c r="Q12" i="9" s="1"/>
  <c r="P12" i="9"/>
  <c r="O13" i="9"/>
  <c r="Q13" i="9" s="1"/>
  <c r="P13" i="9"/>
  <c r="O14" i="9"/>
  <c r="Q14" i="9" s="1"/>
  <c r="P14" i="9"/>
  <c r="O15" i="9"/>
  <c r="Q15" i="9" s="1"/>
  <c r="P15" i="9"/>
  <c r="O16" i="9"/>
  <c r="Q16" i="9" s="1"/>
  <c r="P16" i="9"/>
  <c r="O17" i="9"/>
  <c r="Q17" i="9" s="1"/>
  <c r="P17" i="9"/>
  <c r="O18" i="9"/>
  <c r="Q18" i="9" s="1"/>
  <c r="P18" i="9"/>
  <c r="O19" i="9"/>
  <c r="Q19" i="9" s="1"/>
  <c r="P19" i="9"/>
  <c r="O20" i="9"/>
  <c r="Q20" i="9" s="1"/>
  <c r="P20" i="9"/>
  <c r="O21" i="9"/>
  <c r="Q21" i="9" s="1"/>
  <c r="P21" i="9"/>
  <c r="O22" i="9"/>
  <c r="Q22" i="9" s="1"/>
  <c r="P22" i="9"/>
  <c r="O23" i="9"/>
  <c r="Q23" i="9" s="1"/>
  <c r="P23" i="9"/>
  <c r="O24" i="9"/>
  <c r="Q24" i="9" s="1"/>
  <c r="P24" i="9"/>
  <c r="O25" i="9"/>
  <c r="Q25" i="9" s="1"/>
  <c r="P25" i="9"/>
  <c r="O26" i="9"/>
  <c r="Q26" i="9" s="1"/>
  <c r="P26" i="9"/>
  <c r="O27" i="9"/>
  <c r="Q27" i="9" s="1"/>
  <c r="P27" i="9"/>
  <c r="O28" i="9"/>
  <c r="Q28" i="9" s="1"/>
  <c r="P28" i="9"/>
  <c r="O29" i="9"/>
  <c r="Q29" i="9" s="1"/>
  <c r="P29" i="9"/>
  <c r="O30" i="9"/>
  <c r="Q30" i="9" s="1"/>
  <c r="P30" i="9"/>
  <c r="O31" i="9"/>
  <c r="Q31" i="9" s="1"/>
  <c r="P31" i="9"/>
  <c r="O32" i="9"/>
  <c r="Q32" i="9" s="1"/>
  <c r="P32" i="9"/>
  <c r="O33" i="9"/>
  <c r="Q33" i="9" s="1"/>
  <c r="P33" i="9"/>
  <c r="O34" i="9"/>
  <c r="Q34" i="9" s="1"/>
  <c r="P34" i="9"/>
  <c r="O35" i="9"/>
  <c r="Q35" i="9" s="1"/>
  <c r="P35" i="9"/>
  <c r="O36" i="9"/>
  <c r="Q36" i="9" s="1"/>
  <c r="P36" i="9"/>
  <c r="O37" i="9"/>
  <c r="Q37" i="9" s="1"/>
  <c r="P37" i="9"/>
  <c r="O38" i="9"/>
  <c r="Q38" i="9" s="1"/>
  <c r="P38" i="9"/>
  <c r="O39" i="9"/>
  <c r="Q39" i="9" s="1"/>
  <c r="P39" i="9"/>
  <c r="O40" i="9"/>
  <c r="Q40" i="9" s="1"/>
  <c r="P40" i="9"/>
  <c r="O41" i="9"/>
  <c r="Q41" i="9" s="1"/>
  <c r="P41" i="9"/>
  <c r="O42" i="9"/>
  <c r="Q42" i="9" s="1"/>
  <c r="P42" i="9"/>
  <c r="O43" i="9"/>
  <c r="Q43" i="9" s="1"/>
  <c r="P43" i="9"/>
  <c r="O44" i="9"/>
  <c r="Q44" i="9" s="1"/>
  <c r="P44" i="9"/>
  <c r="O45" i="9"/>
  <c r="Q45" i="9" s="1"/>
  <c r="P45" i="9"/>
  <c r="O46" i="9"/>
  <c r="Q46" i="9" s="1"/>
  <c r="P46" i="9"/>
  <c r="O47" i="9"/>
  <c r="Q47" i="9" s="1"/>
  <c r="P47" i="9"/>
  <c r="O48" i="9"/>
  <c r="Q48" i="9" s="1"/>
  <c r="P48" i="9"/>
  <c r="O49" i="9"/>
  <c r="Q49" i="9" s="1"/>
  <c r="P49" i="9"/>
  <c r="O50" i="9"/>
  <c r="Q50" i="9" s="1"/>
  <c r="P50" i="9"/>
  <c r="O51" i="9"/>
  <c r="Q51" i="9" s="1"/>
  <c r="P51" i="9"/>
  <c r="O52" i="9"/>
  <c r="Q52" i="9" s="1"/>
  <c r="P52" i="9"/>
  <c r="O53" i="9"/>
  <c r="Q53" i="9" s="1"/>
  <c r="P53" i="9"/>
  <c r="O54" i="9"/>
  <c r="Q54" i="9" s="1"/>
  <c r="P54" i="9"/>
  <c r="O55" i="9"/>
  <c r="Q55" i="9" s="1"/>
  <c r="P55" i="9"/>
  <c r="O56" i="9"/>
  <c r="Q56" i="9" s="1"/>
  <c r="P56" i="9"/>
  <c r="O57" i="9"/>
  <c r="Q57" i="9" s="1"/>
  <c r="P57" i="9"/>
  <c r="O58" i="9"/>
  <c r="Q58" i="9" s="1"/>
  <c r="P58" i="9"/>
  <c r="O59" i="9"/>
  <c r="Q59" i="9" s="1"/>
  <c r="P59" i="9"/>
  <c r="O60" i="9"/>
  <c r="Q60" i="9" s="1"/>
  <c r="P60" i="9"/>
  <c r="O61" i="9"/>
  <c r="Q61" i="9" s="1"/>
  <c r="P61" i="9"/>
  <c r="O62" i="9"/>
  <c r="Q62" i="9" s="1"/>
  <c r="P62" i="9"/>
  <c r="O63" i="9"/>
  <c r="Q63" i="9" s="1"/>
  <c r="P63" i="9"/>
  <c r="O64" i="9"/>
  <c r="Q64" i="9" s="1"/>
  <c r="P64" i="9"/>
  <c r="O65" i="9"/>
  <c r="Q65" i="9" s="1"/>
  <c r="P65" i="9"/>
  <c r="O66" i="9"/>
  <c r="Q66" i="9" s="1"/>
  <c r="P66" i="9"/>
  <c r="O67" i="9"/>
  <c r="Q67" i="9" s="1"/>
  <c r="P67" i="9"/>
  <c r="O68" i="9"/>
  <c r="Q68" i="9" s="1"/>
  <c r="P68" i="9"/>
  <c r="O69" i="9"/>
  <c r="Q69" i="9" s="1"/>
  <c r="P69" i="9"/>
  <c r="O70" i="9"/>
  <c r="Q70" i="9" s="1"/>
  <c r="P70" i="9"/>
  <c r="O71" i="9"/>
  <c r="Q71" i="9" s="1"/>
  <c r="P71" i="9"/>
  <c r="O72" i="9"/>
  <c r="Q72" i="9" s="1"/>
  <c r="P72" i="9"/>
  <c r="O73" i="9"/>
  <c r="Q73" i="9" s="1"/>
  <c r="P73" i="9"/>
  <c r="O74" i="9"/>
  <c r="Q74" i="9" s="1"/>
  <c r="P74" i="9"/>
  <c r="O75" i="9"/>
  <c r="Q75" i="9" s="1"/>
  <c r="P75" i="9"/>
  <c r="O76" i="9"/>
  <c r="Q76" i="9" s="1"/>
  <c r="P76" i="9"/>
  <c r="O77" i="9"/>
  <c r="Q77" i="9" s="1"/>
  <c r="P77" i="9"/>
  <c r="O78" i="9"/>
  <c r="Q78" i="9" s="1"/>
  <c r="P78" i="9"/>
  <c r="O79" i="9"/>
  <c r="Q79" i="9" s="1"/>
  <c r="P79" i="9"/>
  <c r="O80" i="9"/>
  <c r="Q80" i="9" s="1"/>
  <c r="P80" i="9"/>
  <c r="O81" i="9"/>
  <c r="Q81" i="9" s="1"/>
  <c r="P81" i="9"/>
  <c r="O82" i="9"/>
  <c r="Q82" i="9" s="1"/>
  <c r="P82" i="9"/>
  <c r="O83" i="9"/>
  <c r="Q83" i="9" s="1"/>
  <c r="P83" i="9"/>
  <c r="O84" i="9"/>
  <c r="Q84" i="9" s="1"/>
  <c r="P84" i="9"/>
  <c r="O85" i="9"/>
  <c r="Q85" i="9" s="1"/>
  <c r="P85" i="9"/>
  <c r="O86" i="9"/>
  <c r="Q86" i="9" s="1"/>
  <c r="P86" i="9"/>
  <c r="O87" i="9"/>
  <c r="Q87" i="9" s="1"/>
  <c r="P87" i="9"/>
  <c r="O88" i="9"/>
  <c r="Q88" i="9" s="1"/>
  <c r="P88" i="9"/>
  <c r="O89" i="9"/>
  <c r="Q89" i="9" s="1"/>
  <c r="P89" i="9"/>
  <c r="O90" i="9"/>
  <c r="Q90" i="9" s="1"/>
  <c r="P90" i="9"/>
  <c r="O91" i="9"/>
  <c r="Q91" i="9" s="1"/>
  <c r="P91" i="9"/>
  <c r="O92" i="9"/>
  <c r="Q92" i="9" s="1"/>
  <c r="P92" i="9"/>
  <c r="O93" i="9"/>
  <c r="Q93" i="9" s="1"/>
  <c r="P93" i="9"/>
  <c r="O94" i="9"/>
  <c r="Q94" i="9" s="1"/>
  <c r="P94" i="9"/>
  <c r="O95" i="9"/>
  <c r="Q95" i="9" s="1"/>
  <c r="P95" i="9"/>
  <c r="O96" i="9"/>
  <c r="Q96" i="9" s="1"/>
  <c r="P96" i="9"/>
  <c r="O97" i="9"/>
  <c r="Q97" i="9" s="1"/>
  <c r="P97" i="9"/>
  <c r="O98" i="9"/>
  <c r="Q98" i="9" s="1"/>
  <c r="P98" i="9"/>
  <c r="O99" i="9"/>
  <c r="Q99" i="9" s="1"/>
  <c r="P99" i="9"/>
  <c r="O100" i="9"/>
  <c r="Q100" i="9" s="1"/>
  <c r="P100" i="9"/>
  <c r="O101" i="9"/>
  <c r="Q101" i="9" s="1"/>
  <c r="P101" i="9"/>
  <c r="O102" i="9"/>
  <c r="Q102" i="9" s="1"/>
  <c r="P102" i="9"/>
  <c r="O103" i="9"/>
  <c r="Q103" i="9" s="1"/>
  <c r="P103" i="9"/>
  <c r="O104" i="9"/>
  <c r="Q104" i="9" s="1"/>
  <c r="P104" i="9"/>
  <c r="O105" i="9"/>
  <c r="Q105" i="9" s="1"/>
  <c r="P105" i="9"/>
  <c r="O106" i="9"/>
  <c r="Q106" i="9" s="1"/>
  <c r="P106" i="9"/>
  <c r="O107" i="9"/>
  <c r="Q107" i="9" s="1"/>
  <c r="P107" i="9"/>
  <c r="O108" i="9"/>
  <c r="Q108" i="9" s="1"/>
  <c r="P108" i="9"/>
  <c r="O109" i="9"/>
  <c r="Q109" i="9" s="1"/>
  <c r="P109" i="9"/>
  <c r="O110" i="9"/>
  <c r="Q110" i="9" s="1"/>
  <c r="P110" i="9"/>
  <c r="O111" i="9"/>
  <c r="Q111" i="9" s="1"/>
  <c r="P111" i="9"/>
  <c r="O112" i="9"/>
  <c r="Q112" i="9" s="1"/>
  <c r="P112" i="9"/>
  <c r="O113" i="9"/>
  <c r="Q113" i="9" s="1"/>
  <c r="P113" i="9"/>
  <c r="O114" i="9"/>
  <c r="Q114" i="9" s="1"/>
  <c r="P114" i="9"/>
  <c r="O115" i="9"/>
  <c r="Q115" i="9" s="1"/>
  <c r="P115" i="9"/>
  <c r="O116" i="9"/>
  <c r="Q116" i="9" s="1"/>
  <c r="P116" i="9"/>
  <c r="O117" i="9"/>
  <c r="Q117" i="9" s="1"/>
  <c r="P117" i="9"/>
  <c r="O118" i="9"/>
  <c r="Q118" i="9" s="1"/>
  <c r="P118" i="9"/>
  <c r="O119" i="9"/>
  <c r="Q119" i="9" s="1"/>
  <c r="P119" i="9"/>
  <c r="O120" i="9"/>
  <c r="Q120" i="9" s="1"/>
  <c r="P120" i="9"/>
  <c r="O121" i="9"/>
  <c r="Q121" i="9" s="1"/>
  <c r="P121" i="9"/>
  <c r="O122" i="9"/>
  <c r="Q122" i="9" s="1"/>
  <c r="P122" i="9"/>
  <c r="O123" i="9"/>
  <c r="Q123" i="9" s="1"/>
  <c r="P123" i="9"/>
  <c r="O124" i="9"/>
  <c r="Q124" i="9" s="1"/>
  <c r="P124" i="9"/>
  <c r="O125" i="9"/>
  <c r="Q125" i="9" s="1"/>
  <c r="P125" i="9"/>
  <c r="O126" i="9"/>
  <c r="Q126" i="9" s="1"/>
  <c r="P126" i="9"/>
  <c r="O127" i="9"/>
  <c r="Q127" i="9" s="1"/>
  <c r="P127" i="9"/>
  <c r="O128" i="9"/>
  <c r="Q128" i="9" s="1"/>
  <c r="P128" i="9"/>
  <c r="O129" i="9"/>
  <c r="Q129" i="9" s="1"/>
  <c r="P129" i="9"/>
  <c r="O130" i="9"/>
  <c r="Q130" i="9" s="1"/>
  <c r="P130" i="9"/>
  <c r="O131" i="9"/>
  <c r="Q131" i="9" s="1"/>
  <c r="P131" i="9"/>
  <c r="O132" i="9"/>
  <c r="Q132" i="9" s="1"/>
  <c r="P132" i="9"/>
  <c r="O133" i="9"/>
  <c r="Q133" i="9" s="1"/>
  <c r="P133" i="9"/>
  <c r="O134" i="9"/>
  <c r="Q134" i="9" s="1"/>
  <c r="P134" i="9"/>
  <c r="O135" i="9"/>
  <c r="Q135" i="9" s="1"/>
  <c r="P135" i="9"/>
  <c r="O136" i="9"/>
  <c r="Q136" i="9" s="1"/>
  <c r="P136" i="9"/>
  <c r="O137" i="9"/>
  <c r="Q137" i="9" s="1"/>
  <c r="P137" i="9"/>
  <c r="O138" i="9"/>
  <c r="Q138" i="9" s="1"/>
  <c r="P138" i="9"/>
  <c r="O139" i="9"/>
  <c r="Q139" i="9" s="1"/>
  <c r="P139" i="9"/>
  <c r="O140" i="9"/>
  <c r="Q140" i="9" s="1"/>
  <c r="P140" i="9"/>
  <c r="O141" i="9"/>
  <c r="Q141" i="9" s="1"/>
  <c r="P141" i="9"/>
  <c r="O142" i="9"/>
  <c r="Q142" i="9" s="1"/>
  <c r="P142" i="9"/>
  <c r="O143" i="9"/>
  <c r="Q143" i="9" s="1"/>
  <c r="P143" i="9"/>
  <c r="O144" i="9"/>
  <c r="Q144" i="9" s="1"/>
  <c r="P144" i="9"/>
  <c r="O145" i="9"/>
  <c r="Q145" i="9" s="1"/>
  <c r="P145" i="9"/>
  <c r="O146" i="9"/>
  <c r="Q146" i="9" s="1"/>
  <c r="P146" i="9"/>
  <c r="O147" i="9"/>
  <c r="Q147" i="9" s="1"/>
  <c r="P147" i="9"/>
  <c r="O148" i="9"/>
  <c r="Q148" i="9" s="1"/>
  <c r="P148" i="9"/>
  <c r="O149" i="9"/>
  <c r="Q149" i="9" s="1"/>
  <c r="P149" i="9"/>
  <c r="O150" i="9"/>
  <c r="Q150" i="9" s="1"/>
  <c r="P150" i="9"/>
  <c r="O151" i="9"/>
  <c r="Q151" i="9" s="1"/>
  <c r="P151" i="9"/>
  <c r="O152" i="9"/>
  <c r="Q152" i="9" s="1"/>
  <c r="P152" i="9"/>
  <c r="O153" i="9"/>
  <c r="Q153" i="9" s="1"/>
  <c r="P153" i="9"/>
  <c r="O154" i="9"/>
  <c r="Q154" i="9" s="1"/>
  <c r="P154" i="9"/>
  <c r="O155" i="9"/>
  <c r="Q155" i="9" s="1"/>
  <c r="P155" i="9"/>
  <c r="O156" i="9"/>
  <c r="Q156" i="9" s="1"/>
  <c r="P156" i="9"/>
  <c r="O157" i="9"/>
  <c r="Q157" i="9" s="1"/>
  <c r="P157" i="9"/>
  <c r="O158" i="9"/>
  <c r="Q158" i="9" s="1"/>
  <c r="P158" i="9"/>
  <c r="O159" i="9"/>
  <c r="Q159" i="9" s="1"/>
  <c r="P159" i="9"/>
  <c r="O160" i="9"/>
  <c r="Q160" i="9" s="1"/>
  <c r="P160" i="9"/>
  <c r="O161" i="9"/>
  <c r="Q161" i="9" s="1"/>
  <c r="P161" i="9"/>
  <c r="O162" i="9"/>
  <c r="Q162" i="9" s="1"/>
  <c r="P162" i="9"/>
  <c r="O163" i="9"/>
  <c r="Q163" i="9" s="1"/>
  <c r="P163" i="9"/>
  <c r="O164" i="9"/>
  <c r="Q164" i="9" s="1"/>
  <c r="P164" i="9"/>
  <c r="O165" i="9"/>
  <c r="Q165" i="9" s="1"/>
  <c r="P165" i="9"/>
  <c r="O166" i="9"/>
  <c r="Q166" i="9" s="1"/>
  <c r="P166" i="9"/>
  <c r="O167" i="9"/>
  <c r="Q167" i="9" s="1"/>
  <c r="P167" i="9"/>
  <c r="O168" i="9"/>
  <c r="Q168" i="9" s="1"/>
  <c r="P168" i="9"/>
  <c r="O169" i="9"/>
  <c r="Q169" i="9" s="1"/>
  <c r="P169" i="9"/>
  <c r="O170" i="9"/>
  <c r="Q170" i="9" s="1"/>
  <c r="P170" i="9"/>
  <c r="O171" i="9"/>
  <c r="Q171" i="9" s="1"/>
  <c r="P171" i="9"/>
  <c r="O172" i="9"/>
  <c r="Q172" i="9" s="1"/>
  <c r="P172" i="9"/>
  <c r="O173" i="9"/>
  <c r="Q173" i="9" s="1"/>
  <c r="P173" i="9"/>
  <c r="O174" i="9"/>
  <c r="Q174" i="9" s="1"/>
  <c r="P174" i="9"/>
  <c r="O175" i="9"/>
  <c r="Q175" i="9" s="1"/>
  <c r="P175" i="9"/>
  <c r="O176" i="9"/>
  <c r="Q176" i="9" s="1"/>
  <c r="P176" i="9"/>
  <c r="O177" i="9"/>
  <c r="Q177" i="9" s="1"/>
  <c r="P177" i="9"/>
  <c r="O178" i="9"/>
  <c r="Q178" i="9" s="1"/>
  <c r="P178" i="9"/>
  <c r="O179" i="9"/>
  <c r="Q179" i="9" s="1"/>
  <c r="P179" i="9"/>
  <c r="O180" i="9"/>
  <c r="Q180" i="9" s="1"/>
  <c r="P180" i="9"/>
  <c r="O181" i="9"/>
  <c r="Q181" i="9" s="1"/>
  <c r="P181" i="9"/>
  <c r="O182" i="9"/>
  <c r="Q182" i="9" s="1"/>
  <c r="P182" i="9"/>
  <c r="O183" i="9"/>
  <c r="Q183" i="9" s="1"/>
  <c r="P183" i="9"/>
  <c r="O184" i="9"/>
  <c r="Q184" i="9" s="1"/>
  <c r="P184" i="9"/>
  <c r="P5" i="9"/>
  <c r="O5" i="9"/>
  <c r="Q5" i="9" s="1"/>
  <c r="P4" i="9"/>
  <c r="O4" i="9"/>
  <c r="Q4" i="9" s="1"/>
  <c r="P3" i="9"/>
  <c r="O3" i="9"/>
  <c r="Q3" i="9" s="1"/>
  <c r="P2" i="9"/>
  <c r="O2" i="9"/>
  <c r="Q2" i="9" s="1"/>
  <c r="N1" i="9"/>
  <c r="V5" i="7"/>
  <c r="V4" i="7"/>
  <c r="K6" i="5"/>
  <c r="V2" i="7"/>
  <c r="V1" i="7"/>
  <c r="R2" i="15"/>
  <c r="Q2" i="15"/>
  <c r="P2" i="15"/>
  <c r="O2" i="15"/>
  <c r="N2" i="15"/>
  <c r="M2" i="15"/>
  <c r="L2" i="15"/>
  <c r="K2" i="15"/>
  <c r="I2" i="15"/>
  <c r="H2" i="15"/>
  <c r="R2" i="10"/>
  <c r="Q2" i="10"/>
  <c r="P2" i="10"/>
  <c r="O2" i="10"/>
  <c r="K2" i="10"/>
  <c r="I2" i="10"/>
  <c r="H2" i="10"/>
  <c r="L2" i="3"/>
  <c r="AO78" i="4"/>
  <c r="AM78" i="4"/>
  <c r="AL78" i="4"/>
  <c r="AK78" i="4"/>
  <c r="AJ78" i="4"/>
  <c r="AI78" i="4"/>
  <c r="AH78" i="4"/>
  <c r="AG78" i="4"/>
  <c r="AO77" i="4"/>
  <c r="AM77" i="4"/>
  <c r="AL77" i="4"/>
  <c r="AK77" i="4"/>
  <c r="AJ77" i="4"/>
  <c r="AI77" i="4"/>
  <c r="AH77" i="4"/>
  <c r="AG77" i="4"/>
  <c r="AO76" i="4"/>
  <c r="AM76" i="4"/>
  <c r="AL76" i="4"/>
  <c r="AK76" i="4"/>
  <c r="AJ76" i="4"/>
  <c r="AI76" i="4"/>
  <c r="AH76" i="4"/>
  <c r="AG76" i="4"/>
  <c r="AO75" i="4"/>
  <c r="AM75" i="4"/>
  <c r="AL75" i="4"/>
  <c r="AK75" i="4"/>
  <c r="AJ75" i="4"/>
  <c r="AI75" i="4"/>
  <c r="AH75" i="4"/>
  <c r="AG75" i="4"/>
  <c r="AO74" i="4"/>
  <c r="AM74" i="4"/>
  <c r="AL74" i="4"/>
  <c r="AK74" i="4"/>
  <c r="AJ74" i="4"/>
  <c r="AI74" i="4"/>
  <c r="AH74" i="4"/>
  <c r="AG74" i="4"/>
  <c r="AO73" i="4"/>
  <c r="AM73" i="4"/>
  <c r="AL73" i="4"/>
  <c r="AK73" i="4"/>
  <c r="AJ73" i="4"/>
  <c r="AI73" i="4"/>
  <c r="AH73" i="4"/>
  <c r="AG73" i="4"/>
  <c r="AO72" i="4"/>
  <c r="AM72" i="4"/>
  <c r="AL72" i="4"/>
  <c r="AK72" i="4"/>
  <c r="AJ72" i="4"/>
  <c r="AI72" i="4"/>
  <c r="AH72" i="4"/>
  <c r="AG72" i="4"/>
  <c r="AO71" i="4"/>
  <c r="AM71" i="4"/>
  <c r="AL71" i="4"/>
  <c r="AK71" i="4"/>
  <c r="AJ71" i="4"/>
  <c r="AI71" i="4"/>
  <c r="AH71" i="4"/>
  <c r="AG71" i="4"/>
  <c r="AO70" i="4"/>
  <c r="AM70" i="4"/>
  <c r="AL70" i="4"/>
  <c r="AK70" i="4"/>
  <c r="AJ70" i="4"/>
  <c r="AI70" i="4"/>
  <c r="AH70" i="4"/>
  <c r="AG70" i="4"/>
  <c r="AO69" i="4"/>
  <c r="AM69" i="4"/>
  <c r="AL69" i="4"/>
  <c r="AK69" i="4"/>
  <c r="AJ69" i="4"/>
  <c r="AI69" i="4"/>
  <c r="AH69" i="4"/>
  <c r="AG69" i="4"/>
  <c r="AO68" i="4"/>
  <c r="AM68" i="4"/>
  <c r="AL68" i="4"/>
  <c r="AK68" i="4"/>
  <c r="AJ68" i="4"/>
  <c r="AI68" i="4"/>
  <c r="AH68" i="4"/>
  <c r="AG68" i="4"/>
  <c r="AO67" i="4"/>
  <c r="AM67" i="4"/>
  <c r="AL67" i="4"/>
  <c r="AK67" i="4"/>
  <c r="AJ67" i="4"/>
  <c r="AI67" i="4"/>
  <c r="AH67" i="4"/>
  <c r="AG67" i="4"/>
  <c r="AO66" i="4"/>
  <c r="AM66" i="4"/>
  <c r="AL66" i="4"/>
  <c r="AK66" i="4"/>
  <c r="AJ66" i="4"/>
  <c r="AI66" i="4"/>
  <c r="AH66" i="4"/>
  <c r="AG66" i="4"/>
  <c r="AO65" i="4"/>
  <c r="AM65" i="4"/>
  <c r="AL65" i="4"/>
  <c r="AK65" i="4"/>
  <c r="AJ65" i="4"/>
  <c r="AI65" i="4"/>
  <c r="AH65" i="4"/>
  <c r="AG65" i="4"/>
  <c r="AO64" i="4"/>
  <c r="AM64" i="4"/>
  <c r="AL64" i="4"/>
  <c r="AK64" i="4"/>
  <c r="AJ64" i="4"/>
  <c r="AI64" i="4"/>
  <c r="AH64" i="4"/>
  <c r="AG64" i="4"/>
  <c r="AO63" i="4"/>
  <c r="AM63" i="4"/>
  <c r="AL63" i="4"/>
  <c r="AK63" i="4"/>
  <c r="AJ63" i="4"/>
  <c r="AI63" i="4"/>
  <c r="AH63" i="4"/>
  <c r="AG63" i="4"/>
  <c r="AO62" i="4"/>
  <c r="AM62" i="4"/>
  <c r="AL62" i="4"/>
  <c r="AK62" i="4"/>
  <c r="AJ62" i="4"/>
  <c r="AI62" i="4"/>
  <c r="AH62" i="4"/>
  <c r="AG62" i="4"/>
  <c r="AO61" i="4"/>
  <c r="AM61" i="4"/>
  <c r="AL61" i="4"/>
  <c r="AK61" i="4"/>
  <c r="AJ61" i="4"/>
  <c r="AI61" i="4"/>
  <c r="AH61" i="4"/>
  <c r="AG61" i="4"/>
  <c r="AO60" i="4"/>
  <c r="AM60" i="4"/>
  <c r="AL60" i="4"/>
  <c r="AK60" i="4"/>
  <c r="AJ60" i="4"/>
  <c r="AI60" i="4"/>
  <c r="AH60" i="4"/>
  <c r="AG60" i="4"/>
  <c r="AO59" i="4"/>
  <c r="AM59" i="4"/>
  <c r="AL59" i="4"/>
  <c r="AK59" i="4"/>
  <c r="AJ59" i="4"/>
  <c r="AI59" i="4"/>
  <c r="AH59" i="4"/>
  <c r="AG59" i="4"/>
  <c r="AO58" i="4"/>
  <c r="AM58" i="4"/>
  <c r="AL58" i="4"/>
  <c r="AK58" i="4"/>
  <c r="AJ58" i="4"/>
  <c r="AI58" i="4"/>
  <c r="AH58" i="4"/>
  <c r="AG58" i="4"/>
  <c r="AO57" i="4"/>
  <c r="AM57" i="4"/>
  <c r="AL57" i="4"/>
  <c r="AK57" i="4"/>
  <c r="AJ57" i="4"/>
  <c r="AI57" i="4"/>
  <c r="AH57" i="4"/>
  <c r="AG57" i="4"/>
  <c r="AO56" i="4"/>
  <c r="AM56" i="4"/>
  <c r="AL56" i="4"/>
  <c r="AK56" i="4"/>
  <c r="AJ56" i="4"/>
  <c r="AI56" i="4"/>
  <c r="AH56" i="4"/>
  <c r="AG56" i="4"/>
  <c r="AO55" i="4"/>
  <c r="AM55" i="4"/>
  <c r="AL55" i="4"/>
  <c r="AK55" i="4"/>
  <c r="AJ55" i="4"/>
  <c r="AI55" i="4"/>
  <c r="AH55" i="4"/>
  <c r="AG55" i="4"/>
  <c r="AO54" i="4"/>
  <c r="AM54" i="4"/>
  <c r="AL54" i="4"/>
  <c r="AK54" i="4"/>
  <c r="AJ54" i="4"/>
  <c r="AI54" i="4"/>
  <c r="AH54" i="4"/>
  <c r="AG54" i="4"/>
  <c r="AO53" i="4"/>
  <c r="AM53" i="4"/>
  <c r="AL53" i="4"/>
  <c r="AK53" i="4"/>
  <c r="AJ53" i="4"/>
  <c r="AI53" i="4"/>
  <c r="AH53" i="4"/>
  <c r="AG53" i="4"/>
  <c r="AO52" i="4"/>
  <c r="AM52" i="4"/>
  <c r="AL52" i="4"/>
  <c r="AK52" i="4"/>
  <c r="AJ52" i="4"/>
  <c r="AI52" i="4"/>
  <c r="AH52" i="4"/>
  <c r="AG52" i="4"/>
  <c r="AO51" i="4"/>
  <c r="AM51" i="4"/>
  <c r="AL51" i="4"/>
  <c r="AK51" i="4"/>
  <c r="AJ51" i="4"/>
  <c r="AI51" i="4"/>
  <c r="AH51" i="4"/>
  <c r="AG51" i="4"/>
  <c r="AO50" i="4"/>
  <c r="AM50" i="4"/>
  <c r="AL50" i="4"/>
  <c r="AK50" i="4"/>
  <c r="AJ50" i="4"/>
  <c r="AI50" i="4"/>
  <c r="AH50" i="4"/>
  <c r="AG50" i="4"/>
  <c r="AO49" i="4"/>
  <c r="AM49" i="4"/>
  <c r="AL49" i="4"/>
  <c r="AK49" i="4"/>
  <c r="AJ49" i="4"/>
  <c r="AI49" i="4"/>
  <c r="AH49" i="4"/>
  <c r="AG49" i="4"/>
  <c r="AO48" i="4"/>
  <c r="AM48" i="4"/>
  <c r="AL48" i="4"/>
  <c r="AK48" i="4"/>
  <c r="AJ48" i="4"/>
  <c r="AI48" i="4"/>
  <c r="AH48" i="4"/>
  <c r="AG48" i="4"/>
  <c r="AO47" i="4"/>
  <c r="AM47" i="4"/>
  <c r="AL47" i="4"/>
  <c r="AK47" i="4"/>
  <c r="AJ47" i="4"/>
  <c r="AI47" i="4"/>
  <c r="AH47" i="4"/>
  <c r="AG47" i="4"/>
  <c r="AO46" i="4"/>
  <c r="AM46" i="4"/>
  <c r="AL46" i="4"/>
  <c r="AK46" i="4"/>
  <c r="AJ46" i="4"/>
  <c r="AI46" i="4"/>
  <c r="AH46" i="4"/>
  <c r="AG46" i="4"/>
  <c r="AO45" i="4"/>
  <c r="AM45" i="4"/>
  <c r="AL45" i="4"/>
  <c r="AK45" i="4"/>
  <c r="AJ45" i="4"/>
  <c r="AI45" i="4"/>
  <c r="AH45" i="4"/>
  <c r="AG45" i="4"/>
  <c r="AO44" i="4"/>
  <c r="AM44" i="4"/>
  <c r="AL44" i="4"/>
  <c r="AK44" i="4"/>
  <c r="AJ44" i="4"/>
  <c r="AI44" i="4"/>
  <c r="AH44" i="4"/>
  <c r="AG44" i="4"/>
  <c r="AO43" i="4"/>
  <c r="AM43" i="4"/>
  <c r="AL43" i="4"/>
  <c r="AK43" i="4"/>
  <c r="AJ43" i="4"/>
  <c r="AI43" i="4"/>
  <c r="AH43" i="4"/>
  <c r="AG43" i="4"/>
  <c r="AO42" i="4"/>
  <c r="AM42" i="4"/>
  <c r="AL42" i="4"/>
  <c r="AK42" i="4"/>
  <c r="AJ42" i="4"/>
  <c r="AI42" i="4"/>
  <c r="AH42" i="4"/>
  <c r="AG42" i="4"/>
  <c r="AO41" i="4"/>
  <c r="AM41" i="4"/>
  <c r="AL41" i="4"/>
  <c r="AK41" i="4"/>
  <c r="AJ41" i="4"/>
  <c r="AI41" i="4"/>
  <c r="AH41" i="4"/>
  <c r="AG41" i="4"/>
  <c r="AO40" i="4"/>
  <c r="AM40" i="4"/>
  <c r="AL40" i="4"/>
  <c r="AK40" i="4"/>
  <c r="AJ40" i="4"/>
  <c r="AI40" i="4"/>
  <c r="AH40" i="4"/>
  <c r="AG40" i="4"/>
  <c r="AO39" i="4"/>
  <c r="AM39" i="4"/>
  <c r="AL39" i="4"/>
  <c r="AK39" i="4"/>
  <c r="AJ39" i="4"/>
  <c r="AI39" i="4"/>
  <c r="AH39" i="4"/>
  <c r="AG39" i="4"/>
  <c r="AO38" i="4"/>
  <c r="AM38" i="4"/>
  <c r="AL38" i="4"/>
  <c r="AK38" i="4"/>
  <c r="AJ38" i="4"/>
  <c r="AI38" i="4"/>
  <c r="AH38" i="4"/>
  <c r="AG38" i="4"/>
  <c r="AH37" i="4"/>
  <c r="AM37" i="4"/>
  <c r="AO36" i="4"/>
  <c r="AH35" i="4"/>
  <c r="AO35" i="4"/>
  <c r="AJ34" i="4"/>
  <c r="AG33" i="4"/>
  <c r="AL33" i="4"/>
  <c r="AO31" i="4"/>
  <c r="AM29" i="4"/>
  <c r="K3" i="5"/>
  <c r="Z4" i="5"/>
  <c r="AD4" i="5"/>
  <c r="AM4" i="4"/>
  <c r="BI4" i="4"/>
  <c r="AR4" i="4"/>
  <c r="BM4" i="4"/>
  <c r="BD4" i="4"/>
  <c r="AL4" i="4"/>
  <c r="BL4" i="4"/>
  <c r="BC4" i="4"/>
  <c r="AK4" i="4"/>
  <c r="AZ4" i="4"/>
  <c r="BK4" i="4"/>
  <c r="BB4" i="4"/>
  <c r="AU4" i="4"/>
  <c r="BX4" i="4"/>
  <c r="BY4" i="4" s="1"/>
  <c r="BZ4" i="4" s="1"/>
  <c r="AJ4" i="4"/>
  <c r="AG4" i="4"/>
  <c r="BJ4" i="4"/>
  <c r="BA4" i="4"/>
  <c r="AT4" i="4"/>
  <c r="AI4" i="4"/>
  <c r="BF4" i="4"/>
  <c r="AO4" i="4"/>
  <c r="AH4" i="4"/>
  <c r="AQ4" i="4"/>
  <c r="AI33" i="4"/>
  <c r="AK35" i="4"/>
  <c r="AJ37" i="4"/>
  <c r="AK33" i="4"/>
  <c r="AM35" i="4"/>
  <c r="AL37" i="4"/>
  <c r="AM33" i="4"/>
  <c r="AI36" i="4"/>
  <c r="AH31" i="4"/>
  <c r="AI34" i="4"/>
  <c r="AK36" i="4"/>
  <c r="AM34" i="4"/>
  <c r="AM36" i="4"/>
  <c r="AJ29" i="4"/>
  <c r="AK29" i="4"/>
  <c r="AI31" i="4"/>
  <c r="AH33" i="4"/>
  <c r="AL29" i="4"/>
  <c r="AM31" i="4"/>
  <c r="AH36" i="4"/>
  <c r="AQ36" i="4"/>
  <c r="AO37" i="4"/>
  <c r="AQ37" i="4"/>
  <c r="AJ33" i="4"/>
  <c r="AJ35" i="4"/>
  <c r="AQ35" i="4"/>
  <c r="AG36" i="4"/>
  <c r="AG37" i="4"/>
  <c r="AO29" i="4"/>
  <c r="AQ29" i="4"/>
  <c r="AL30" i="4"/>
  <c r="AQ30" i="4"/>
  <c r="AH32" i="4"/>
  <c r="AQ32" i="4"/>
  <c r="AG29" i="4"/>
  <c r="AO30" i="4"/>
  <c r="AL32" i="4"/>
  <c r="AI35" i="4"/>
  <c r="AJ36" i="4"/>
  <c r="AI37" i="4"/>
  <c r="AH29" i="4"/>
  <c r="AJ31" i="4"/>
  <c r="AQ31" i="4"/>
  <c r="AM32" i="4"/>
  <c r="AI29" i="4"/>
  <c r="AG31" i="4"/>
  <c r="AO33" i="4"/>
  <c r="AQ33" i="4"/>
  <c r="AL34" i="4"/>
  <c r="AQ34" i="4"/>
  <c r="AL35" i="4"/>
  <c r="AL36" i="4"/>
  <c r="AK37" i="4"/>
  <c r="AT2" i="18"/>
  <c r="AU2" i="18"/>
  <c r="ED3" i="4"/>
  <c r="DX4" i="4"/>
  <c r="AG30" i="4"/>
  <c r="AO32" i="4"/>
  <c r="AK34" i="4"/>
  <c r="AH30" i="4"/>
  <c r="AI30" i="4"/>
  <c r="AG32" i="4"/>
  <c r="AO34" i="4"/>
  <c r="AQ2" i="4"/>
  <c r="W2" i="18"/>
  <c r="AI32" i="4"/>
  <c r="AG34" i="4"/>
  <c r="AJ30" i="4"/>
  <c r="AK30" i="4"/>
  <c r="AK31" i="4"/>
  <c r="AJ32" i="4"/>
  <c r="AM30" i="4"/>
  <c r="AL31" i="4"/>
  <c r="AK32" i="4"/>
  <c r="AH34" i="4"/>
  <c r="AG35" i="4"/>
  <c r="CD4" i="4"/>
  <c r="CC4" i="4"/>
  <c r="DT3" i="4"/>
  <c r="EF4" i="4"/>
  <c r="DZ3" i="4"/>
  <c r="DX3" i="4"/>
  <c r="EC4" i="4"/>
  <c r="DU3" i="4"/>
  <c r="EE4" i="4"/>
  <c r="DY3" i="4"/>
  <c r="DV3" i="4"/>
  <c r="EC3" i="4"/>
  <c r="EE3" i="4"/>
  <c r="EF3" i="4"/>
  <c r="EG3" i="4"/>
  <c r="DY4" i="4"/>
  <c r="DU4" i="4"/>
  <c r="EB3" i="4"/>
  <c r="DW3" i="4"/>
  <c r="BA2" i="4"/>
  <c r="BJ2" i="4"/>
  <c r="BB2" i="4"/>
  <c r="BK2" i="4"/>
  <c r="BK2" i="18" s="1"/>
  <c r="EE2" i="18" s="1"/>
  <c r="K10" i="5"/>
  <c r="BC2" i="4"/>
  <c r="BL2" i="4"/>
  <c r="E2" i="18" s="1"/>
  <c r="C16" i="5" s="1"/>
  <c r="BD2" i="4"/>
  <c r="BM2" i="4"/>
  <c r="BM2" i="18"/>
  <c r="V2" i="18"/>
  <c r="C10" i="5"/>
  <c r="H3" i="19" s="1"/>
  <c r="BF2" i="4"/>
  <c r="BF2" i="18" s="1"/>
  <c r="AZ2" i="4"/>
  <c r="O2" i="18" s="1"/>
  <c r="BI2" i="4"/>
  <c r="AU2" i="4"/>
  <c r="BX2" i="4"/>
  <c r="AJ2" i="4"/>
  <c r="BC2" i="18" s="1"/>
  <c r="AJ2" i="18" s="1"/>
  <c r="AT2" i="4"/>
  <c r="X2" i="18"/>
  <c r="C4" i="5"/>
  <c r="AI2" i="4"/>
  <c r="AR2" i="4"/>
  <c r="K4" i="5"/>
  <c r="AH2" i="4"/>
  <c r="BA2" i="18" s="1"/>
  <c r="AH2" i="18" s="1"/>
  <c r="AL2" i="4"/>
  <c r="AG2" i="4"/>
  <c r="AO2" i="4"/>
  <c r="AK2" i="4"/>
  <c r="BD2" i="18" s="1"/>
  <c r="AM2" i="4"/>
  <c r="DT4" i="4"/>
  <c r="EB4" i="4"/>
  <c r="DV4" i="4"/>
  <c r="DZ4" i="4"/>
  <c r="ED4" i="4"/>
  <c r="EG4" i="4"/>
  <c r="DW4" i="4"/>
  <c r="CD2" i="4"/>
  <c r="CD2" i="18" s="1"/>
  <c r="G15" i="5" s="1"/>
  <c r="J2" i="18"/>
  <c r="H2" i="18"/>
  <c r="C11" i="5" s="1"/>
  <c r="Y2" i="18"/>
  <c r="C15" i="5"/>
  <c r="AS2" i="18"/>
  <c r="DL2" i="18" s="1"/>
  <c r="AR2" i="18"/>
  <c r="C14" i="5" s="1"/>
  <c r="EC2" i="4"/>
  <c r="BI2" i="18"/>
  <c r="EF2" i="4"/>
  <c r="DY2" i="4"/>
  <c r="BE2" i="18"/>
  <c r="EG2" i="4"/>
  <c r="DW2" i="4"/>
  <c r="DX2" i="4"/>
  <c r="EE2" i="4"/>
  <c r="DT2" i="4"/>
  <c r="DV2" i="4"/>
  <c r="DZ2" i="4"/>
  <c r="ED2" i="4"/>
  <c r="DU2" i="4"/>
  <c r="CB4" i="4"/>
  <c r="EB2" i="4"/>
  <c r="BH2" i="18"/>
  <c r="L2" i="18"/>
  <c r="DG2" i="18" s="1"/>
  <c r="CA2" i="18"/>
  <c r="BZ15" i="4" l="1"/>
  <c r="CB15" i="4" s="1"/>
  <c r="DW2" i="18"/>
  <c r="Q2" i="18"/>
  <c r="C7" i="5" s="1"/>
  <c r="BB2" i="18"/>
  <c r="AI2" i="18" s="1"/>
  <c r="CX2" i="18"/>
  <c r="EG2" i="18"/>
  <c r="R2" i="18"/>
  <c r="BY2" i="4"/>
  <c r="CC2" i="4"/>
  <c r="P2" i="18"/>
  <c r="BZ23" i="4"/>
  <c r="CB23" i="4" s="1"/>
  <c r="CD10" i="4"/>
  <c r="CC10" i="4"/>
  <c r="BY10" i="4"/>
  <c r="CD11" i="4"/>
  <c r="BY11" i="4"/>
  <c r="CC11" i="4"/>
  <c r="AK2" i="18"/>
  <c r="DX2" i="18" s="1"/>
  <c r="DY2" i="18"/>
  <c r="AL2" i="18"/>
  <c r="DK2" i="18" s="1"/>
  <c r="C13" i="5"/>
  <c r="EC2" i="18"/>
  <c r="AO2" i="18"/>
  <c r="EB2" i="18" s="1"/>
  <c r="AP2" i="18"/>
  <c r="BJ2" i="18"/>
  <c r="BZ16" i="4"/>
  <c r="CB16" i="4"/>
  <c r="BZ9" i="4"/>
  <c r="CB9" i="4" s="1"/>
  <c r="BY6" i="4"/>
  <c r="CD6" i="4"/>
  <c r="BY7" i="4"/>
  <c r="CD7" i="4"/>
  <c r="CC22" i="4"/>
  <c r="CD22" i="4"/>
  <c r="CC23" i="4"/>
  <c r="CD23" i="4"/>
  <c r="CB17" i="4"/>
  <c r="AB2" i="18"/>
  <c r="DI2" i="18" s="1"/>
  <c r="BZ24" i="4"/>
  <c r="CB24" i="4" s="1"/>
  <c r="CD18" i="4"/>
  <c r="BY18" i="4"/>
  <c r="CC18" i="4"/>
  <c r="CD19" i="4"/>
  <c r="BY19" i="4"/>
  <c r="CC19" i="4"/>
  <c r="CD24" i="4"/>
  <c r="CC24" i="4"/>
  <c r="BZ14" i="4"/>
  <c r="CB14" i="4"/>
  <c r="CG2" i="18"/>
  <c r="CJ2" i="4"/>
  <c r="BZ3" i="4"/>
  <c r="CB3" i="4"/>
  <c r="CC14" i="4"/>
  <c r="CD14" i="4"/>
  <c r="CC15" i="4"/>
  <c r="CD15" i="4"/>
  <c r="CD26" i="4"/>
  <c r="CC26" i="4"/>
  <c r="BY26" i="4"/>
  <c r="CD27" i="4"/>
  <c r="BY27" i="4"/>
  <c r="CC27" i="4"/>
  <c r="BZ31" i="4"/>
  <c r="CB31" i="4"/>
  <c r="BY29" i="4"/>
  <c r="BY32" i="4"/>
  <c r="CD32" i="4"/>
  <c r="R118" i="9"/>
  <c r="R14" i="9"/>
  <c r="CC30" i="4"/>
  <c r="CC31" i="4"/>
  <c r="CD31" i="4"/>
  <c r="R102" i="9"/>
  <c r="R87" i="9"/>
  <c r="R33" i="9"/>
  <c r="R73" i="9"/>
  <c r="R121" i="9"/>
  <c r="R114" i="9"/>
  <c r="R131" i="9"/>
  <c r="R182" i="9"/>
  <c r="R173" i="9"/>
  <c r="R161" i="9"/>
  <c r="R145" i="9"/>
  <c r="R133" i="9"/>
  <c r="R101" i="9"/>
  <c r="R37" i="9"/>
  <c r="R178" i="9"/>
  <c r="R175" i="9"/>
  <c r="R171" i="9"/>
  <c r="R152" i="9"/>
  <c r="R148" i="9"/>
  <c r="R142" i="9"/>
  <c r="R138" i="9"/>
  <c r="R128" i="9"/>
  <c r="R125" i="9"/>
  <c r="R96" i="9"/>
  <c r="R92" i="9"/>
  <c r="R82" i="9"/>
  <c r="R68" i="9"/>
  <c r="R63" i="9"/>
  <c r="R57" i="9"/>
  <c r="R32" i="9"/>
  <c r="R29" i="9"/>
  <c r="R26" i="9"/>
  <c r="BY30" i="4"/>
  <c r="R22" i="9"/>
  <c r="R70" i="9"/>
  <c r="R15" i="9"/>
  <c r="R55" i="9"/>
  <c r="R103" i="9"/>
  <c r="R41" i="9"/>
  <c r="R81" i="9"/>
  <c r="R42" i="9"/>
  <c r="R11" i="9"/>
  <c r="R51" i="9"/>
  <c r="R99" i="9"/>
  <c r="R139" i="9"/>
  <c r="R181" i="9"/>
  <c r="R169" i="9"/>
  <c r="R157" i="9"/>
  <c r="R143" i="9"/>
  <c r="R127" i="9"/>
  <c r="R77" i="9"/>
  <c r="R7" i="9"/>
  <c r="R158" i="9"/>
  <c r="R36" i="9"/>
  <c r="R80" i="9"/>
  <c r="R164" i="9"/>
  <c r="R170" i="9"/>
  <c r="R85" i="9"/>
  <c r="R126" i="9"/>
  <c r="R149" i="9"/>
  <c r="R159" i="9"/>
  <c r="R167" i="9"/>
  <c r="R2" i="9"/>
  <c r="R155" i="9"/>
  <c r="R123" i="9"/>
  <c r="R91" i="9"/>
  <c r="R59" i="9"/>
  <c r="R27" i="9"/>
  <c r="R74" i="9"/>
  <c r="R10" i="9"/>
  <c r="R97" i="9"/>
  <c r="R25" i="9"/>
  <c r="R31" i="9"/>
  <c r="R94" i="9"/>
  <c r="R62" i="9"/>
  <c r="R30" i="9"/>
  <c r="R160" i="9"/>
  <c r="R154" i="9"/>
  <c r="R144" i="9"/>
  <c r="R134" i="9"/>
  <c r="R124" i="9"/>
  <c r="R111" i="9"/>
  <c r="R104" i="9"/>
  <c r="R98" i="9"/>
  <c r="R95" i="9"/>
  <c r="R88" i="9"/>
  <c r="R84" i="9"/>
  <c r="R52" i="9"/>
  <c r="R48" i="9"/>
  <c r="R45" i="9"/>
  <c r="R34" i="9"/>
  <c r="R28" i="9"/>
  <c r="R12" i="9"/>
  <c r="R9" i="9"/>
  <c r="S2" i="18"/>
  <c r="C9" i="5" s="1"/>
  <c r="CB25" i="4"/>
  <c r="BY20" i="4"/>
  <c r="BY12" i="4"/>
  <c r="CC3" i="4"/>
  <c r="CC29" i="4"/>
  <c r="BY33" i="4"/>
  <c r="R71" i="9"/>
  <c r="R49" i="9"/>
  <c r="R105" i="9"/>
  <c r="R67" i="9"/>
  <c r="R147" i="9"/>
  <c r="R166" i="9"/>
  <c r="R153" i="9"/>
  <c r="R117" i="9"/>
  <c r="R180" i="9"/>
  <c r="R176" i="9"/>
  <c r="R162" i="9"/>
  <c r="R156" i="9"/>
  <c r="R150" i="9"/>
  <c r="R140" i="9"/>
  <c r="R137" i="9"/>
  <c r="R130" i="9"/>
  <c r="R120" i="9"/>
  <c r="R110" i="9"/>
  <c r="R106" i="9"/>
  <c r="R100" i="9"/>
  <c r="R76" i="9"/>
  <c r="R61" i="9"/>
  <c r="R44" i="9"/>
  <c r="R40" i="9"/>
  <c r="R8" i="9"/>
  <c r="R184" i="9"/>
  <c r="R177" i="9"/>
  <c r="R146" i="9"/>
  <c r="R108" i="9"/>
  <c r="R93" i="9"/>
  <c r="R56" i="9"/>
  <c r="R18" i="9"/>
  <c r="DU2" i="18"/>
  <c r="C5" i="5"/>
  <c r="CZ2" i="18"/>
  <c r="C6" i="5"/>
  <c r="AM2" i="18"/>
  <c r="DD2" i="18" s="1"/>
  <c r="C8" i="5"/>
  <c r="DB2" i="18"/>
  <c r="DV2" i="18"/>
  <c r="AZ2" i="18"/>
  <c r="BL2" i="18"/>
  <c r="EF2" i="18" s="1"/>
  <c r="K15" i="5"/>
  <c r="K16" i="5" s="1"/>
  <c r="CJ2" i="18" l="1"/>
  <c r="G13" i="5" s="1"/>
  <c r="AC2" i="18"/>
  <c r="ED2" i="18"/>
  <c r="AQ2" i="18"/>
  <c r="DJ2" i="18" s="1"/>
  <c r="BZ10" i="4"/>
  <c r="CB10" i="4" s="1"/>
  <c r="DA2" i="18"/>
  <c r="N4" i="5"/>
  <c r="AT1" i="5" s="1"/>
  <c r="BZ18" i="4"/>
  <c r="CB18" i="4" s="1"/>
  <c r="BZ11" i="4"/>
  <c r="CB11" i="4"/>
  <c r="CC2" i="18"/>
  <c r="G8" i="5" s="1"/>
  <c r="N2" i="18"/>
  <c r="BZ26" i="4"/>
  <c r="CB26" i="4"/>
  <c r="BZ19" i="4"/>
  <c r="CB19" i="4" s="1"/>
  <c r="BZ6" i="4"/>
  <c r="CB6" i="4"/>
  <c r="BY2" i="18"/>
  <c r="BZ2" i="4"/>
  <c r="CB2" i="4" s="1"/>
  <c r="DC2" i="18"/>
  <c r="CB12" i="4"/>
  <c r="BZ12" i="4"/>
  <c r="BZ32" i="4"/>
  <c r="CB32" i="4"/>
  <c r="BZ33" i="4"/>
  <c r="CB33" i="4" s="1"/>
  <c r="BZ20" i="4"/>
  <c r="CB20" i="4" s="1"/>
  <c r="BZ30" i="4"/>
  <c r="CB30" i="4" s="1"/>
  <c r="BZ29" i="4"/>
  <c r="CB29" i="4"/>
  <c r="BZ27" i="4"/>
  <c r="CB27" i="4" s="1"/>
  <c r="G10" i="5"/>
  <c r="CB7" i="4"/>
  <c r="BZ7" i="4"/>
  <c r="DZ2" i="18"/>
  <c r="AG2" i="18"/>
  <c r="CY2" i="18" s="1"/>
  <c r="DT2" i="18"/>
  <c r="K17" i="5"/>
  <c r="CB2" i="18" l="1"/>
  <c r="G7" i="5" s="1"/>
  <c r="M2" i="18"/>
  <c r="DH2" i="18" s="1"/>
  <c r="BZ2" i="18"/>
  <c r="G5" i="5" s="1"/>
  <c r="K2" i="18"/>
  <c r="DF2" i="18" s="1"/>
  <c r="G4" i="5"/>
  <c r="DE2" i="18"/>
  <c r="O4" i="5" l="1"/>
</calcChain>
</file>

<file path=xl/sharedStrings.xml><?xml version="1.0" encoding="utf-8"?>
<sst xmlns="http://schemas.openxmlformats.org/spreadsheetml/2006/main" count="430" uniqueCount="205">
  <si>
    <t>S.No</t>
  </si>
  <si>
    <t>Verification Parameters</t>
  </si>
  <si>
    <t>Invoice No</t>
  </si>
  <si>
    <t>Final GRPO Proceed Status</t>
  </si>
  <si>
    <t>Final AP Proceed Status</t>
  </si>
  <si>
    <t>Mill</t>
  </si>
  <si>
    <t>Specification</t>
  </si>
  <si>
    <t>Coat</t>
  </si>
  <si>
    <t>Thickness</t>
  </si>
  <si>
    <t>Width</t>
  </si>
  <si>
    <t>Length</t>
  </si>
  <si>
    <t>INVOICE NO</t>
  </si>
  <si>
    <t>NET WT</t>
  </si>
  <si>
    <t xml:space="preserve">Unit Price </t>
  </si>
  <si>
    <t>TOTAL PRICE</t>
  </si>
  <si>
    <t>Shipper Code</t>
  </si>
  <si>
    <t>PO No</t>
  </si>
  <si>
    <t>HSN</t>
  </si>
  <si>
    <t>Size</t>
  </si>
  <si>
    <t>YZA</t>
  </si>
  <si>
    <t>PCS</t>
  </si>
  <si>
    <t>Gross WT</t>
  </si>
  <si>
    <t>NTwt</t>
  </si>
  <si>
    <t>Rate</t>
  </si>
  <si>
    <t>Total Value</t>
  </si>
  <si>
    <t>CGST</t>
  </si>
  <si>
    <t>IGST</t>
  </si>
  <si>
    <t>TCS</t>
  </si>
  <si>
    <t>TOTAL</t>
  </si>
  <si>
    <t>Grade</t>
  </si>
  <si>
    <t>T</t>
  </si>
  <si>
    <t>W</t>
  </si>
  <si>
    <t>L</t>
  </si>
  <si>
    <t>Concat</t>
  </si>
  <si>
    <t>Coil No</t>
  </si>
  <si>
    <t>Invoice Date</t>
  </si>
  <si>
    <t>TOTAL TAX</t>
  </si>
  <si>
    <t>SCAMS DATA</t>
  </si>
  <si>
    <t>SCAMS SPEC</t>
  </si>
  <si>
    <t>SCAMS COAT</t>
  </si>
  <si>
    <t>SCAMS T</t>
  </si>
  <si>
    <t>SCAMS W</t>
  </si>
  <si>
    <t>SCAMS L</t>
  </si>
  <si>
    <t>SCAMS INVOICE NO</t>
  </si>
  <si>
    <t>SCAMS NET WT</t>
  </si>
  <si>
    <t>SCAMS GROSS WT</t>
  </si>
  <si>
    <t xml:space="preserve">SCAMS Unit Price </t>
  </si>
  <si>
    <t>SCAMS TOTAL PRICE</t>
  </si>
  <si>
    <t>SCAMS Invoice Date</t>
  </si>
  <si>
    <t>SCAMS Unit No</t>
  </si>
  <si>
    <t>GRPO SPEC</t>
  </si>
  <si>
    <t>GRPO COAT</t>
  </si>
  <si>
    <t>GRPO T</t>
  </si>
  <si>
    <t>GRPO W</t>
  </si>
  <si>
    <t>GRPO L</t>
  </si>
  <si>
    <t>GRPO INVOICE NO</t>
  </si>
  <si>
    <t>GRPO NET WT</t>
  </si>
  <si>
    <t>GRPO GROSS WT</t>
  </si>
  <si>
    <t xml:space="preserve">GRPO Unit Price </t>
  </si>
  <si>
    <t>GRPO TOTAL PRICE</t>
  </si>
  <si>
    <t>GRPO Shipper Code</t>
  </si>
  <si>
    <t>GRPO PO No</t>
  </si>
  <si>
    <t>GRPO HSN</t>
  </si>
  <si>
    <t>GRPO MILL</t>
  </si>
  <si>
    <t>AP</t>
  </si>
  <si>
    <t>AP Unit No</t>
  </si>
  <si>
    <t>AP Material Value</t>
  </si>
  <si>
    <t>AP CGST</t>
  </si>
  <si>
    <t>AP SGST</t>
  </si>
  <si>
    <t>AP TCS</t>
  </si>
  <si>
    <t>AP TAX (CGST+IGST+TCS)</t>
  </si>
  <si>
    <t>TOTAL MATERIAL VALUE</t>
  </si>
  <si>
    <t>TOTAL CGST</t>
  </si>
  <si>
    <t>TOTAL SGST</t>
  </si>
  <si>
    <t>TOTAL TCS</t>
  </si>
  <si>
    <t>Net Wt</t>
  </si>
  <si>
    <t>Total Material Value</t>
  </si>
  <si>
    <t>Total CGST</t>
  </si>
  <si>
    <t>Total IGST</t>
  </si>
  <si>
    <t>Total Invoice Value</t>
  </si>
  <si>
    <t>HSN CODE</t>
  </si>
  <si>
    <t>total</t>
  </si>
  <si>
    <t>UOM</t>
  </si>
  <si>
    <t>SPEC</t>
  </si>
  <si>
    <t>COAT</t>
  </si>
  <si>
    <t>MILL</t>
  </si>
  <si>
    <t>INVOICEDATE</t>
  </si>
  <si>
    <t>RATE</t>
  </si>
  <si>
    <t>PONO</t>
  </si>
  <si>
    <t>EX RATE</t>
  </si>
  <si>
    <t>Shipper code</t>
  </si>
  <si>
    <t>NA</t>
  </si>
  <si>
    <t>SGST</t>
  </si>
  <si>
    <t>Total Tax</t>
  </si>
  <si>
    <t>Material Value</t>
  </si>
  <si>
    <t>INVOICE DATA</t>
  </si>
  <si>
    <t>OK</t>
  </si>
  <si>
    <t>GRPO DATA</t>
  </si>
  <si>
    <t>TOTAL INVOICE VALUE</t>
  </si>
  <si>
    <t>AP Invoice Data</t>
  </si>
  <si>
    <t>No of Line Items</t>
  </si>
  <si>
    <t>Date Time of Incoming Material Report Refresh</t>
  </si>
  <si>
    <t>Count</t>
  </si>
  <si>
    <t>Date of GRPO</t>
  </si>
  <si>
    <t>Date of AP Booking</t>
  </si>
  <si>
    <t>No of Items</t>
  </si>
  <si>
    <t>Total Wt</t>
  </si>
  <si>
    <t>GRPO Status</t>
  </si>
  <si>
    <t>AP Status</t>
  </si>
  <si>
    <t>Total Tax Value</t>
  </si>
  <si>
    <t>GRPO Generation Validation</t>
  </si>
  <si>
    <t>Status</t>
  </si>
  <si>
    <t>Date Time of GRPO Report Refresh</t>
  </si>
  <si>
    <t>IncomingMaterialReportRetryStatus</t>
  </si>
  <si>
    <t>GRPOReportRetryStatus</t>
  </si>
  <si>
    <t>Field</t>
  </si>
  <si>
    <t>Date and Time</t>
  </si>
  <si>
    <t>GRPO</t>
  </si>
  <si>
    <t>GRPO Refresh Y/N</t>
  </si>
  <si>
    <t>Rounding Off</t>
  </si>
  <si>
    <t>Pending</t>
  </si>
  <si>
    <t>AP Generation Validation</t>
  </si>
  <si>
    <t>TOTAL TDS</t>
  </si>
  <si>
    <t>AP TDS</t>
  </si>
  <si>
    <t>CONCAT</t>
  </si>
  <si>
    <t>TDS</t>
  </si>
  <si>
    <t>AP UNIT PRICE</t>
  </si>
  <si>
    <t>AP Unit Price</t>
  </si>
  <si>
    <t>GRPO PCS</t>
  </si>
  <si>
    <t>HSN UPDATE</t>
  </si>
  <si>
    <t/>
  </si>
  <si>
    <t>Product</t>
  </si>
  <si>
    <t>Invoice Date Month</t>
  </si>
  <si>
    <t>Inward Date Month</t>
  </si>
  <si>
    <t>Posting Date Status</t>
  </si>
  <si>
    <t>New Posting Date</t>
  </si>
  <si>
    <t>New Document Date</t>
  </si>
  <si>
    <t>Current Month</t>
  </si>
  <si>
    <t>Recpt Date</t>
  </si>
  <si>
    <t>Log Update</t>
  </si>
  <si>
    <t>Seq</t>
  </si>
  <si>
    <t>Delivery Date</t>
  </si>
  <si>
    <t>Order No</t>
  </si>
  <si>
    <t>Excise Invoice No</t>
  </si>
  <si>
    <t>ERP Invoice No(Product)</t>
  </si>
  <si>
    <t>Truck Load Date</t>
  </si>
  <si>
    <t>Sales Channel</t>
  </si>
  <si>
    <t>DESTINATION_N</t>
  </si>
  <si>
    <t>Stock Code</t>
  </si>
  <si>
    <t>Order Type</t>
  </si>
  <si>
    <t>Carrier No</t>
  </si>
  <si>
    <t>PO Number</t>
  </si>
  <si>
    <t>Product No</t>
  </si>
  <si>
    <t>Production Date</t>
  </si>
  <si>
    <t>Product Name</t>
  </si>
  <si>
    <t>Product Progress</t>
  </si>
  <si>
    <t>Post Treatment</t>
  </si>
  <si>
    <t>Oiling</t>
  </si>
  <si>
    <t>Surface</t>
  </si>
  <si>
    <t>Spec</t>
  </si>
  <si>
    <t>Marking Spec</t>
  </si>
  <si>
    <t>Application</t>
  </si>
  <si>
    <t>Packing Type</t>
  </si>
  <si>
    <t>Coating Wgt Cd</t>
  </si>
  <si>
    <t>Order Thick(mm)</t>
  </si>
  <si>
    <t>Order Width(mm)</t>
  </si>
  <si>
    <t>Product Thick(mm)</t>
  </si>
  <si>
    <t>Product Width(mm)</t>
  </si>
  <si>
    <t>Net Weight(kg)</t>
  </si>
  <si>
    <t>Gross Weight(kg)</t>
  </si>
  <si>
    <t>Delivery Condition</t>
  </si>
  <si>
    <t>Carrier Company</t>
  </si>
  <si>
    <t>Drivers Mobile no</t>
  </si>
  <si>
    <t>Material Spec</t>
  </si>
  <si>
    <t>Material No</t>
  </si>
  <si>
    <t>Material Vendor</t>
  </si>
  <si>
    <t>Shipping Method</t>
  </si>
  <si>
    <t>Payment Term</t>
  </si>
  <si>
    <t>Product Currency</t>
  </si>
  <si>
    <t>Freight Currency</t>
  </si>
  <si>
    <t>Contract (YYMMQ)</t>
  </si>
  <si>
    <t>Sub Total</t>
  </si>
  <si>
    <t>VAT</t>
  </si>
  <si>
    <t>Grand Total</t>
  </si>
  <si>
    <t>By-Product Excise Flag</t>
  </si>
  <si>
    <t>Customer Name</t>
  </si>
  <si>
    <t>Customer Code</t>
  </si>
  <si>
    <t>Contractor Name</t>
  </si>
  <si>
    <t>Contractor Code</t>
  </si>
  <si>
    <t>VAT no.</t>
  </si>
  <si>
    <t>CST no.</t>
  </si>
  <si>
    <t>HSN Code</t>
  </si>
  <si>
    <t>GST no</t>
  </si>
  <si>
    <t>State Name</t>
  </si>
  <si>
    <t>TCS Product</t>
  </si>
  <si>
    <t>EndUser Name</t>
  </si>
  <si>
    <t>Enduser Code</t>
  </si>
  <si>
    <t>POSCOM</t>
  </si>
  <si>
    <t>AP IGST</t>
  </si>
  <si>
    <t>TOTAL IGST</t>
  </si>
  <si>
    <t>AP TAX (IGST+TDS)</t>
  </si>
  <si>
    <t>TOTAL TAX(IGST)</t>
  </si>
  <si>
    <t xml:space="preserve">DDP </t>
  </si>
  <si>
    <t>PO NO</t>
  </si>
  <si>
    <t>Mismatch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</si>
</sst>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 * #,##0_ ;_ * \-#,##0_ ;_ * &quot;-&quot;_ ;_ @_ "/>
    <numFmt numFmtId="164" formatCode="0.0000000"/>
    <numFmt numFmtId="165" formatCode="#,##0.000"/>
    <numFmt numFmtId="166" formatCode="0_);[Red]\(0\)"/>
    <numFmt numFmtId="167" formatCode="[$-14009]dd/mm/yyyy;@"/>
    <numFmt numFmtId="168" formatCode="_-* #,##0_-;\-* #,##0_-;_-* &quot;-&quot;_-;_-@_-"/>
    <numFmt numFmtId="169" formatCode="#,##0.00_ "/>
    <numFmt numFmtId="170" formatCode="#,##0.00_ ;[Red]\-#,##0.00\ "/>
  </numFmts>
  <fonts count="9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495ED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NumberFormat="1" applyFill="1" applyAlignment="1" applyProtection="1"/>
    <xf numFmtId="4" fontId="0" fillId="0" borderId="0" xfId="0" applyNumberFormat="1" applyFill="1" applyAlignment="1" applyProtection="1"/>
    <xf numFmtId="0" fontId="3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top"/>
    </xf>
    <xf numFmtId="0" fontId="2" fillId="0" borderId="0" xfId="0" applyNumberFormat="1" applyFont="1" applyFill="1" applyAlignment="1" applyProtection="1">
      <alignment horizontal="center" vertical="center" wrapText="1"/>
    </xf>
    <xf numFmtId="0" fontId="0" fillId="3" borderId="0" xfId="0" applyNumberFormat="1" applyFill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Alignment="1" applyProtection="1"/>
    <xf numFmtId="14" fontId="0" fillId="0" borderId="0" xfId="0" applyNumberFormat="1" applyFill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>
      <alignment vertical="center" wrapText="1"/>
    </xf>
    <xf numFmtId="14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/>
    <xf numFmtId="14" fontId="4" fillId="0" borderId="0" xfId="0" applyNumberFormat="1" applyFont="1" applyFill="1" applyAlignment="1" applyProtection="1"/>
    <xf numFmtId="0" fontId="3" fillId="3" borderId="0" xfId="0" applyNumberFormat="1" applyFont="1" applyFill="1" applyAlignment="1" applyProtection="1">
      <alignment horizontal="left" vertical="top"/>
    </xf>
    <xf numFmtId="0" fontId="3" fillId="3" borderId="0" xfId="0" applyNumberFormat="1" applyFont="1" applyFill="1" applyAlignment="1" applyProtection="1">
      <alignment horizontal="center" vertical="center"/>
    </xf>
    <xf numFmtId="0" fontId="5" fillId="4" borderId="0" xfId="0" applyNumberFormat="1" applyFont="1" applyFill="1" applyAlignment="1" applyProtection="1">
      <alignment horizontal="center" vertical="center"/>
    </xf>
    <xf numFmtId="0" fontId="0" fillId="4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wrapText="1"/>
    </xf>
    <xf numFmtId="0" fontId="2" fillId="0" borderId="0" xfId="0" applyFont="1"/>
    <xf numFmtId="0" fontId="2" fillId="5" borderId="1" xfId="0" applyNumberFormat="1" applyFont="1" applyFill="1" applyBorder="1" applyAlignment="1" applyProtection="1"/>
    <xf numFmtId="0" fontId="2" fillId="5" borderId="1" xfId="0" applyNumberFormat="1" applyFon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/>
    <xf numFmtId="0" fontId="0" fillId="0" borderId="1" xfId="0" applyBorder="1"/>
    <xf numFmtId="0" fontId="2" fillId="7" borderId="1" xfId="0" applyNumberFormat="1" applyFont="1" applyFill="1" applyBorder="1" applyAlignment="1" applyProtection="1"/>
    <xf numFmtId="0" fontId="2" fillId="7" borderId="1" xfId="0" applyFont="1" applyFill="1" applyBorder="1"/>
    <xf numFmtId="0" fontId="0" fillId="8" borderId="1" xfId="0" applyFill="1" applyBorder="1"/>
    <xf numFmtId="0" fontId="2" fillId="9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  <xf numFmtId="49" fontId="0" fillId="0" borderId="1" xfId="0" applyNumberFormat="1" applyFill="1" applyBorder="1" applyAlignment="1" applyProtection="1"/>
    <xf numFmtId="49" fontId="0" fillId="0" borderId="0" xfId="0" applyNumberFormat="1" applyAlignment="1">
      <alignment horizontal="center" vertical="center"/>
    </xf>
    <xf numFmtId="4" fontId="0" fillId="0" borderId="0" xfId="0" applyNumberFormat="1"/>
    <xf numFmtId="164" fontId="0" fillId="0" borderId="1" xfId="0" applyNumberFormat="1" applyFill="1" applyBorder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left"/>
    </xf>
    <xf numFmtId="0" fontId="0" fillId="0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right" vertical="top"/>
    </xf>
    <xf numFmtId="49" fontId="0" fillId="0" borderId="0" xfId="0" applyNumberFormat="1" applyFill="1" applyAlignment="1" applyProtection="1"/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66" fontId="7" fillId="10" borderId="1" xfId="0" applyNumberFormat="1" applyFont="1" applyFill="1" applyBorder="1" applyAlignment="1">
      <alignment horizontal="center" vertical="center"/>
    </xf>
    <xf numFmtId="167" fontId="7" fillId="10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168" fontId="7" fillId="10" borderId="1" xfId="1" applyNumberFormat="1" applyFont="1" applyFill="1" applyBorder="1" applyAlignment="1">
      <alignment horizontal="center" vertical="center"/>
    </xf>
    <xf numFmtId="40" fontId="7" fillId="10" borderId="1" xfId="0" applyNumberFormat="1" applyFont="1" applyFill="1" applyBorder="1" applyAlignment="1">
      <alignment horizontal="center" vertical="center"/>
    </xf>
    <xf numFmtId="49" fontId="7" fillId="10" borderId="1" xfId="0" applyNumberFormat="1" applyFont="1" applyFill="1" applyBorder="1" applyAlignment="1">
      <alignment horizontal="center" vertical="center"/>
    </xf>
    <xf numFmtId="14" fontId="7" fillId="10" borderId="1" xfId="0" applyNumberFormat="1" applyFont="1" applyFill="1" applyBorder="1" applyAlignment="1">
      <alignment horizontal="center" vertical="center"/>
    </xf>
    <xf numFmtId="0" fontId="7" fillId="10" borderId="1" xfId="1" applyNumberFormat="1" applyFont="1" applyFill="1" applyBorder="1" applyAlignment="1">
      <alignment horizontal="center" vertical="center"/>
    </xf>
    <xf numFmtId="169" fontId="7" fillId="10" borderId="1" xfId="0" applyNumberFormat="1" applyFont="1" applyFill="1" applyBorder="1" applyAlignment="1">
      <alignment horizontal="center" vertical="center"/>
    </xf>
    <xf numFmtId="170" fontId="7" fillId="10" borderId="1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168" fontId="8" fillId="0" borderId="1" xfId="1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left" vertical="center"/>
    </xf>
    <xf numFmtId="40" fontId="8" fillId="0" borderId="1" xfId="0" applyNumberFormat="1" applyFont="1" applyBorder="1" applyAlignment="1">
      <alignment horizontal="center" vertical="center"/>
    </xf>
    <xf numFmtId="40" fontId="8" fillId="0" borderId="1" xfId="1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68" fontId="8" fillId="0" borderId="1" xfId="1" applyNumberFormat="1" applyFont="1" applyBorder="1" applyAlignment="1">
      <alignment horizontal="left" vertical="center"/>
    </xf>
    <xf numFmtId="14" fontId="8" fillId="0" borderId="1" xfId="0" applyNumberFormat="1" applyFont="1" applyBorder="1" applyAlignment="1">
      <alignment horizontal="center" vertical="center"/>
    </xf>
    <xf numFmtId="40" fontId="8" fillId="0" borderId="1" xfId="0" applyNumberFormat="1" applyFont="1" applyBorder="1" applyAlignment="1">
      <alignment vertical="center"/>
    </xf>
    <xf numFmtId="168" fontId="8" fillId="0" borderId="1" xfId="1" applyNumberFormat="1" applyFont="1" applyBorder="1" applyAlignment="1">
      <alignment vertical="center"/>
    </xf>
    <xf numFmtId="0" fontId="8" fillId="0" borderId="1" xfId="0" applyNumberFormat="1" applyFont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70" fontId="8" fillId="0" borderId="1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Alignment="1" applyProtection="1">
      <alignment horizontal="center"/>
    </xf>
    <xf numFmtId="0" fontId="2" fillId="5" borderId="1" xfId="0" applyNumberFormat="1" applyFont="1" applyFill="1" applyBorder="1" applyAlignment="1" applyProtection="1">
      <alignment horizontal="center" wrapText="1"/>
    </xf>
    <xf numFmtId="0" fontId="2" fillId="6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</cellXfs>
  <cellStyles count="2">
    <cellStyle name="Comma [0]" xfId="1" builtinId="6"/>
    <cellStyle name="Normal" xfId="0" builtinId="0"/>
  </cellStyles>
  <dxfs count="2"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455"/>
  <sheetViews>
    <sheetView zoomScale="115" zoomScaleNormal="65" workbookViewId="0">
      <selection activeCell="CM12" sqref="CM12"/>
    </sheetView>
  </sheetViews>
  <sheetFormatPr defaultRowHeight="15" x14ac:dyDescent="0.25"/>
  <cols>
    <col min="1" max="1" width="5" style="1" bestFit="1" customWidth="1"/>
    <col min="2" max="2" width="13.5703125" bestFit="1" customWidth="1"/>
    <col min="3" max="3" width="9.85546875" bestFit="1" customWidth="1"/>
    <col min="4" max="4" width="11.28515625" bestFit="1" customWidth="1"/>
    <col min="5" max="5" width="18" bestFit="1" customWidth="1"/>
    <col min="6" max="6" width="25.42578125" bestFit="1" customWidth="1"/>
    <col min="7" max="7" width="12.85546875" bestFit="1" customWidth="1"/>
    <col min="8" max="8" width="16.5703125" bestFit="1" customWidth="1"/>
    <col min="9" max="9" width="14.42578125" bestFit="1" customWidth="1"/>
    <col min="10" max="10" width="18.140625" bestFit="1" customWidth="1"/>
    <col min="11" max="11" width="13.7109375" bestFit="1" customWidth="1"/>
    <col min="12" max="12" width="11.28515625" bestFit="1" customWidth="1"/>
    <col min="13" max="13" width="10.85546875" bestFit="1" customWidth="1"/>
    <col min="14" max="14" width="13.5703125" bestFit="1" customWidth="1"/>
    <col min="15" max="15" width="12.28515625" bestFit="1" customWidth="1"/>
    <col min="16" max="16" width="16.5703125" bestFit="1" customWidth="1"/>
    <col min="17" max="17" width="14.85546875" bestFit="1" customWidth="1"/>
    <col min="18" max="18" width="18.140625" bestFit="1" customWidth="1"/>
    <col min="19" max="19" width="17.5703125" bestFit="1" customWidth="1"/>
    <col min="20" max="20" width="7.85546875" bestFit="1" customWidth="1"/>
    <col min="21" max="21" width="9.85546875" bestFit="1" customWidth="1"/>
    <col min="22" max="22" width="7.42578125" bestFit="1" customWidth="1"/>
    <col min="23" max="23" width="14" bestFit="1" customWidth="1"/>
    <col min="24" max="24" width="11.85546875" bestFit="1" customWidth="1"/>
    <col min="25" max="25" width="13.7109375" bestFit="1" customWidth="1"/>
    <col min="26" max="26" width="7" bestFit="1" customWidth="1"/>
    <col min="27" max="27" width="15.7109375" bestFit="1" customWidth="1"/>
    <col min="28" max="29" width="16.85546875" bestFit="1" customWidth="1"/>
    <col min="30" max="30" width="19.42578125" bestFit="1" customWidth="1"/>
    <col min="31" max="31" width="20.85546875" bestFit="1" customWidth="1"/>
    <col min="32" max="32" width="14.85546875" bestFit="1" customWidth="1"/>
    <col min="33" max="33" width="17.5703125" bestFit="1" customWidth="1"/>
    <col min="34" max="34" width="18.42578125" bestFit="1" customWidth="1"/>
    <col min="35" max="35" width="16.85546875" bestFit="1" customWidth="1"/>
    <col min="36" max="36" width="18" bestFit="1" customWidth="1"/>
    <col min="37" max="37" width="14" bestFit="1" customWidth="1"/>
    <col min="38" max="38" width="12.28515625" bestFit="1" customWidth="1"/>
    <col min="39" max="39" width="16" bestFit="1" customWidth="1"/>
    <col min="40" max="40" width="16.85546875" bestFit="1" customWidth="1"/>
    <col min="41" max="41" width="14.85546875" bestFit="1" customWidth="1"/>
    <col min="42" max="42" width="19" bestFit="1" customWidth="1"/>
    <col min="43" max="43" width="18" bestFit="1" customWidth="1"/>
    <col min="44" max="44" width="21" bestFit="1" customWidth="1"/>
    <col min="45" max="45" width="6.28515625" bestFit="1" customWidth="1"/>
    <col min="46" max="46" width="10.28515625" bestFit="1" customWidth="1"/>
    <col min="47" max="48" width="5.5703125" bestFit="1" customWidth="1"/>
    <col min="49" max="49" width="6.140625" bestFit="1" customWidth="1"/>
    <col min="50" max="50" width="7" bestFit="1" customWidth="1"/>
    <col min="51" max="51" width="7.140625" bestFit="1" customWidth="1"/>
    <col min="52" max="52" width="12.28515625" bestFit="1" customWidth="1"/>
    <col min="53" max="53" width="23.28515625" bestFit="1" customWidth="1"/>
    <col min="54" max="54" width="16.5703125" bestFit="1" customWidth="1"/>
    <col min="55" max="55" width="16.140625" bestFit="1" customWidth="1"/>
    <col min="56" max="56" width="17.7109375" bestFit="1" customWidth="1"/>
    <col min="57" max="57" width="17" bestFit="1" customWidth="1"/>
    <col min="58" max="59" width="9" bestFit="1" customWidth="1"/>
    <col min="60" max="60" width="11.28515625" bestFit="1" customWidth="1"/>
    <col min="61" max="61" width="8.42578125" bestFit="1" customWidth="1"/>
    <col min="62" max="62" width="12.28515625" bestFit="1" customWidth="1"/>
    <col min="63" max="63" width="13.5703125" bestFit="1" customWidth="1"/>
    <col min="64" max="64" width="15.140625" bestFit="1" customWidth="1"/>
    <col min="65" max="65" width="14.42578125" bestFit="1" customWidth="1"/>
    <col min="66" max="66" width="27" bestFit="1" customWidth="1"/>
    <col min="67" max="67" width="29.5703125" bestFit="1" customWidth="1"/>
    <col min="68" max="68" width="30" bestFit="1" customWidth="1"/>
    <col min="69" max="69" width="13.140625" bestFit="1" customWidth="1"/>
    <col min="70" max="70" width="24.140625" bestFit="1" customWidth="1"/>
    <col min="71" max="71" width="6.140625" bestFit="1" customWidth="1"/>
  </cols>
  <sheetData>
    <row r="1" spans="1:91" x14ac:dyDescent="0.25">
      <c r="A1" s="55" t="s">
        <v>140</v>
      </c>
      <c r="B1" s="56" t="s">
        <v>141</v>
      </c>
      <c r="C1" s="57" t="s">
        <v>142</v>
      </c>
      <c r="D1" s="57" t="s">
        <v>2</v>
      </c>
      <c r="E1" s="57" t="s">
        <v>143</v>
      </c>
      <c r="F1" s="57" t="s">
        <v>144</v>
      </c>
      <c r="G1" s="57" t="s">
        <v>35</v>
      </c>
      <c r="H1" s="57" t="s">
        <v>145</v>
      </c>
      <c r="I1" s="57" t="s">
        <v>146</v>
      </c>
      <c r="J1" s="57" t="s">
        <v>147</v>
      </c>
      <c r="K1" s="58" t="s">
        <v>148</v>
      </c>
      <c r="L1" s="57" t="s">
        <v>149</v>
      </c>
      <c r="M1" s="57" t="s">
        <v>150</v>
      </c>
      <c r="N1" s="58" t="s">
        <v>151</v>
      </c>
      <c r="O1" s="59" t="s">
        <v>152</v>
      </c>
      <c r="P1" s="59" t="s">
        <v>153</v>
      </c>
      <c r="Q1" s="59" t="s">
        <v>154</v>
      </c>
      <c r="R1" s="60" t="s">
        <v>155</v>
      </c>
      <c r="S1" s="58" t="s">
        <v>156</v>
      </c>
      <c r="T1" s="58" t="s">
        <v>157</v>
      </c>
      <c r="U1" s="58" t="s">
        <v>158</v>
      </c>
      <c r="V1" s="58" t="s">
        <v>159</v>
      </c>
      <c r="W1" s="57" t="s">
        <v>160</v>
      </c>
      <c r="X1" s="61" t="s">
        <v>161</v>
      </c>
      <c r="Y1" s="61" t="s">
        <v>162</v>
      </c>
      <c r="Z1" s="59" t="s">
        <v>29</v>
      </c>
      <c r="AA1" s="59" t="s">
        <v>163</v>
      </c>
      <c r="AB1" s="59" t="s">
        <v>164</v>
      </c>
      <c r="AC1" s="59" t="s">
        <v>165</v>
      </c>
      <c r="AD1" s="62" t="s">
        <v>166</v>
      </c>
      <c r="AE1" s="58" t="s">
        <v>167</v>
      </c>
      <c r="AF1" s="57" t="s">
        <v>168</v>
      </c>
      <c r="AG1" s="57" t="s">
        <v>169</v>
      </c>
      <c r="AH1" s="57" t="s">
        <v>170</v>
      </c>
      <c r="AI1" s="57" t="s">
        <v>171</v>
      </c>
      <c r="AJ1" s="57" t="s">
        <v>172</v>
      </c>
      <c r="AK1" s="57" t="s">
        <v>173</v>
      </c>
      <c r="AL1" s="57" t="s">
        <v>174</v>
      </c>
      <c r="AM1" s="57" t="s">
        <v>175</v>
      </c>
      <c r="AN1" s="57" t="s">
        <v>176</v>
      </c>
      <c r="AO1" s="57" t="s">
        <v>177</v>
      </c>
      <c r="AP1" s="58" t="s">
        <v>178</v>
      </c>
      <c r="AQ1" s="58" t="s">
        <v>179</v>
      </c>
      <c r="AR1" s="58" t="s">
        <v>180</v>
      </c>
      <c r="AS1" s="63" t="s">
        <v>202</v>
      </c>
      <c r="AT1" s="63" t="s">
        <v>181</v>
      </c>
      <c r="AU1" s="64" t="s">
        <v>182</v>
      </c>
      <c r="AV1" s="57" t="s">
        <v>27</v>
      </c>
      <c r="AW1" s="57" t="s">
        <v>26</v>
      </c>
      <c r="AX1" s="57" t="s">
        <v>92</v>
      </c>
      <c r="AY1" s="57" t="s">
        <v>25</v>
      </c>
      <c r="AZ1" s="57" t="s">
        <v>183</v>
      </c>
      <c r="BA1" s="57" t="s">
        <v>184</v>
      </c>
      <c r="BB1" s="57" t="s">
        <v>185</v>
      </c>
      <c r="BC1" s="57" t="s">
        <v>186</v>
      </c>
      <c r="BD1" s="57" t="s">
        <v>187</v>
      </c>
      <c r="BE1" s="65" t="s">
        <v>188</v>
      </c>
      <c r="BF1" s="57" t="s">
        <v>189</v>
      </c>
      <c r="BG1" s="57" t="s">
        <v>190</v>
      </c>
      <c r="BH1" s="57" t="s">
        <v>191</v>
      </c>
      <c r="BI1" s="57" t="s">
        <v>192</v>
      </c>
      <c r="BJ1" s="57" t="s">
        <v>193</v>
      </c>
      <c r="BK1" s="57" t="s">
        <v>194</v>
      </c>
      <c r="BL1" s="57" t="s">
        <v>195</v>
      </c>
      <c r="BM1" s="57" t="s">
        <v>196</v>
      </c>
      <c r="CM1" s="1" t="s">
        <v>203</v>
      </c>
    </row>
    <row r="2" spans="1:91" x14ac:dyDescent="0.25">
      <c r="A2" s="66"/>
      <c r="B2" s="67"/>
      <c r="C2" s="68"/>
      <c r="D2" s="68"/>
      <c r="E2" s="68"/>
      <c r="F2" s="68"/>
      <c r="G2" s="68"/>
      <c r="H2" s="68"/>
      <c r="I2" s="68"/>
      <c r="J2" s="68"/>
      <c r="K2" s="69"/>
      <c r="L2" s="68"/>
      <c r="M2" s="70"/>
      <c r="N2" s="69"/>
      <c r="O2" s="71"/>
      <c r="P2" s="71"/>
      <c r="Q2" s="72"/>
      <c r="R2" s="73"/>
      <c r="S2" s="69"/>
      <c r="T2" s="69"/>
      <c r="U2" s="74"/>
      <c r="V2" s="69"/>
      <c r="W2" s="68"/>
      <c r="X2" s="75"/>
      <c r="Y2" s="75"/>
      <c r="Z2" s="71"/>
      <c r="AA2" s="71"/>
      <c r="AB2" s="76"/>
      <c r="AC2" s="76"/>
      <c r="AD2" s="77"/>
      <c r="AE2" s="77"/>
      <c r="AF2" s="68"/>
      <c r="AG2" s="68"/>
      <c r="AH2" s="68"/>
      <c r="AI2" s="78"/>
      <c r="AJ2" s="70"/>
      <c r="AK2" s="78"/>
      <c r="AL2" s="68"/>
      <c r="AM2" s="68"/>
      <c r="AN2" s="68"/>
      <c r="AO2" s="68"/>
      <c r="AP2" s="77"/>
      <c r="AQ2" s="77"/>
      <c r="AR2" s="77"/>
      <c r="AS2" s="79"/>
      <c r="AT2" s="79"/>
      <c r="AU2" s="80"/>
      <c r="AV2" s="68"/>
      <c r="AW2" s="68"/>
      <c r="AX2" s="70"/>
      <c r="AY2" s="68"/>
      <c r="AZ2" s="70"/>
      <c r="BA2" s="68"/>
      <c r="BB2" s="70"/>
      <c r="BC2" s="68"/>
      <c r="BD2" s="68"/>
      <c r="BE2" s="81"/>
      <c r="BF2" s="78"/>
      <c r="BG2" s="78"/>
      <c r="BH2" s="78"/>
      <c r="BI2" s="78"/>
      <c r="BJ2" s="78"/>
      <c r="BK2" s="78"/>
      <c r="BL2" s="78"/>
      <c r="BM2" s="78"/>
      <c r="CM2" s="1" t="str">
        <f t="shared" ref="CM2:CM65" si="0">IF(A2&lt;&gt;"",LEFT(N2,9),"")</f>
        <v/>
      </c>
    </row>
    <row r="3" spans="1:91" x14ac:dyDescent="0.25">
      <c r="A3" s="66"/>
      <c r="B3" s="67"/>
      <c r="C3" s="68"/>
      <c r="D3" s="68"/>
      <c r="E3" s="68"/>
      <c r="F3" s="68"/>
      <c r="G3" s="68"/>
      <c r="H3" s="68"/>
      <c r="I3" s="68"/>
      <c r="J3" s="68"/>
      <c r="K3" s="69"/>
      <c r="L3" s="68"/>
      <c r="M3" s="70"/>
      <c r="N3" s="69"/>
      <c r="O3" s="71"/>
      <c r="P3" s="71"/>
      <c r="Q3" s="72"/>
      <c r="R3" s="73"/>
      <c r="S3" s="69"/>
      <c r="T3" s="69"/>
      <c r="U3" s="74"/>
      <c r="V3" s="69"/>
      <c r="W3" s="68"/>
      <c r="X3" s="75"/>
      <c r="Y3" s="75"/>
      <c r="Z3" s="71"/>
      <c r="AA3" s="71"/>
      <c r="AB3" s="76"/>
      <c r="AC3" s="76"/>
      <c r="AD3" s="77"/>
      <c r="AE3" s="77"/>
      <c r="AF3" s="68"/>
      <c r="AG3" s="68"/>
      <c r="AH3" s="68"/>
      <c r="AI3" s="78"/>
      <c r="AJ3" s="70"/>
      <c r="AK3" s="78"/>
      <c r="AL3" s="68"/>
      <c r="AM3" s="68"/>
      <c r="AN3" s="68"/>
      <c r="AO3" s="68"/>
      <c r="AP3" s="77"/>
      <c r="AQ3" s="77"/>
      <c r="AR3" s="77"/>
      <c r="AS3" s="79"/>
      <c r="AT3" s="79"/>
      <c r="AU3" s="80"/>
      <c r="AV3" s="68"/>
      <c r="AW3" s="68"/>
      <c r="AX3" s="70"/>
      <c r="AY3" s="68"/>
      <c r="AZ3" s="70"/>
      <c r="BA3" s="68"/>
      <c r="BB3" s="70"/>
      <c r="BC3" s="68"/>
      <c r="BD3" s="68"/>
      <c r="BE3" s="81"/>
      <c r="BF3" s="78"/>
      <c r="BG3" s="78"/>
      <c r="BH3" s="78"/>
      <c r="BI3" s="78"/>
      <c r="BJ3" s="78"/>
      <c r="BK3" s="78"/>
      <c r="BL3" s="78"/>
      <c r="BM3" s="78"/>
      <c r="CM3" s="1" t="str">
        <f t="shared" si="0"/>
        <v/>
      </c>
    </row>
    <row r="4" spans="1:91" s="46" customFormat="1" x14ac:dyDescent="0.25">
      <c r="E4" s="47"/>
      <c r="N4" s="48"/>
      <c r="O4" s="48"/>
      <c r="Q4" s="49"/>
      <c r="W4" s="49"/>
      <c r="X4" s="49"/>
      <c r="Y4" s="49"/>
      <c r="Z4" s="49"/>
      <c r="AB4" s="49"/>
      <c r="CM4" s="1" t="str">
        <f t="shared" si="0"/>
        <v/>
      </c>
    </row>
    <row r="5" spans="1:91" s="46" customFormat="1" x14ac:dyDescent="0.25">
      <c r="E5" s="47"/>
      <c r="N5" s="48"/>
      <c r="O5" s="48"/>
      <c r="Q5" s="49"/>
      <c r="W5" s="49"/>
      <c r="X5" s="49"/>
      <c r="Y5" s="49"/>
      <c r="Z5" s="49"/>
      <c r="AB5" s="49"/>
      <c r="CM5" s="1" t="str">
        <f t="shared" si="0"/>
        <v/>
      </c>
    </row>
    <row r="6" spans="1:91" s="46" customFormat="1" x14ac:dyDescent="0.25">
      <c r="E6" s="47"/>
      <c r="N6" s="48"/>
      <c r="O6" s="48"/>
      <c r="Q6" s="49"/>
      <c r="W6" s="49"/>
      <c r="X6" s="49"/>
      <c r="Y6" s="49"/>
      <c r="Z6" s="49"/>
      <c r="AB6" s="49"/>
      <c r="CM6" s="1" t="str">
        <f t="shared" si="0"/>
        <v/>
      </c>
    </row>
    <row r="7" spans="1:91" x14ac:dyDescent="0.25">
      <c r="CM7" s="1" t="str">
        <f t="shared" si="0"/>
        <v/>
      </c>
    </row>
    <row r="8" spans="1:91" x14ac:dyDescent="0.25">
      <c r="CM8" s="1" t="str">
        <f t="shared" si="0"/>
        <v/>
      </c>
    </row>
    <row r="9" spans="1:91" x14ac:dyDescent="0.25">
      <c r="CM9" s="1" t="str">
        <f t="shared" si="0"/>
        <v/>
      </c>
    </row>
    <row r="10" spans="1:91" x14ac:dyDescent="0.25">
      <c r="CM10" s="1" t="str">
        <f t="shared" si="0"/>
        <v/>
      </c>
    </row>
    <row r="11" spans="1:91" x14ac:dyDescent="0.25">
      <c r="CM11" s="1" t="str">
        <f t="shared" si="0"/>
        <v/>
      </c>
    </row>
    <row r="12" spans="1:91" x14ac:dyDescent="0.25">
      <c r="CM12" s="1" t="str">
        <f t="shared" si="0"/>
        <v/>
      </c>
    </row>
    <row r="13" spans="1:91" x14ac:dyDescent="0.25">
      <c r="CM13" s="1" t="str">
        <f t="shared" si="0"/>
        <v/>
      </c>
    </row>
    <row r="14" spans="1:91" x14ac:dyDescent="0.25">
      <c r="CM14" s="1" t="str">
        <f t="shared" si="0"/>
        <v/>
      </c>
    </row>
    <row r="15" spans="1:91" x14ac:dyDescent="0.25">
      <c r="CM15" s="1" t="str">
        <f t="shared" si="0"/>
        <v/>
      </c>
    </row>
    <row r="16" spans="1:91" x14ac:dyDescent="0.25">
      <c r="CM16" s="1" t="str">
        <f t="shared" si="0"/>
        <v/>
      </c>
    </row>
    <row r="17" spans="91:91" x14ac:dyDescent="0.25">
      <c r="CM17" s="1" t="str">
        <f t="shared" si="0"/>
        <v/>
      </c>
    </row>
    <row r="18" spans="91:91" x14ac:dyDescent="0.25">
      <c r="CM18" s="1" t="str">
        <f t="shared" si="0"/>
        <v/>
      </c>
    </row>
    <row r="19" spans="91:91" x14ac:dyDescent="0.25">
      <c r="CM19" s="1" t="str">
        <f t="shared" si="0"/>
        <v/>
      </c>
    </row>
    <row r="20" spans="91:91" x14ac:dyDescent="0.25">
      <c r="CM20" s="1" t="str">
        <f t="shared" si="0"/>
        <v/>
      </c>
    </row>
    <row r="21" spans="91:91" x14ac:dyDescent="0.25">
      <c r="CM21" s="1" t="str">
        <f t="shared" si="0"/>
        <v/>
      </c>
    </row>
    <row r="22" spans="91:91" x14ac:dyDescent="0.25">
      <c r="CM22" s="1" t="str">
        <f t="shared" si="0"/>
        <v/>
      </c>
    </row>
    <row r="23" spans="91:91" x14ac:dyDescent="0.25">
      <c r="CM23" s="1" t="str">
        <f t="shared" si="0"/>
        <v/>
      </c>
    </row>
    <row r="24" spans="91:91" x14ac:dyDescent="0.25">
      <c r="CM24" s="1" t="str">
        <f t="shared" si="0"/>
        <v/>
      </c>
    </row>
    <row r="25" spans="91:91" x14ac:dyDescent="0.25">
      <c r="CM25" s="1" t="str">
        <f t="shared" si="0"/>
        <v/>
      </c>
    </row>
    <row r="26" spans="91:91" x14ac:dyDescent="0.25">
      <c r="CM26" s="1" t="str">
        <f t="shared" si="0"/>
        <v/>
      </c>
    </row>
    <row r="27" spans="91:91" x14ac:dyDescent="0.25">
      <c r="CM27" s="1" t="str">
        <f t="shared" si="0"/>
        <v/>
      </c>
    </row>
    <row r="28" spans="91:91" x14ac:dyDescent="0.25">
      <c r="CM28" s="1" t="str">
        <f t="shared" si="0"/>
        <v/>
      </c>
    </row>
    <row r="29" spans="91:91" x14ac:dyDescent="0.25">
      <c r="CM29" s="1" t="str">
        <f t="shared" si="0"/>
        <v/>
      </c>
    </row>
    <row r="30" spans="91:91" x14ac:dyDescent="0.25">
      <c r="CM30" s="1" t="str">
        <f t="shared" si="0"/>
        <v/>
      </c>
    </row>
    <row r="31" spans="91:91" x14ac:dyDescent="0.25">
      <c r="CM31" s="1" t="str">
        <f t="shared" si="0"/>
        <v/>
      </c>
    </row>
    <row r="32" spans="91:91" x14ac:dyDescent="0.25">
      <c r="CM32" s="1" t="str">
        <f t="shared" si="0"/>
        <v/>
      </c>
    </row>
    <row r="33" spans="2:91" x14ac:dyDescent="0.25">
      <c r="CM33" s="1" t="str">
        <f t="shared" si="0"/>
        <v/>
      </c>
    </row>
    <row r="34" spans="2:91" x14ac:dyDescent="0.25">
      <c r="CM34" s="1" t="str">
        <f t="shared" si="0"/>
        <v/>
      </c>
    </row>
    <row r="35" spans="2:91" x14ac:dyDescent="0.25">
      <c r="CM35" s="1" t="str">
        <f t="shared" si="0"/>
        <v/>
      </c>
    </row>
    <row r="36" spans="2:91" x14ac:dyDescent="0.25">
      <c r="CM36" s="1" t="str">
        <f t="shared" si="0"/>
        <v/>
      </c>
    </row>
    <row r="37" spans="2:91" x14ac:dyDescent="0.25">
      <c r="CM37" s="1" t="str">
        <f t="shared" si="0"/>
        <v/>
      </c>
    </row>
    <row r="38" spans="2:91" x14ac:dyDescent="0.25">
      <c r="CM38" s="1" t="str">
        <f t="shared" si="0"/>
        <v/>
      </c>
    </row>
    <row r="39" spans="2:91" x14ac:dyDescent="0.25">
      <c r="CM39" s="1" t="str">
        <f t="shared" si="0"/>
        <v/>
      </c>
    </row>
    <row r="40" spans="2:91" x14ac:dyDescent="0.25">
      <c r="B40" s="1"/>
      <c r="C40" s="1"/>
      <c r="D40" s="1"/>
      <c r="E40" s="1"/>
      <c r="F40" s="1"/>
      <c r="G40" s="1"/>
      <c r="H40" s="1"/>
      <c r="CM40" s="1" t="str">
        <f t="shared" si="0"/>
        <v/>
      </c>
    </row>
    <row r="41" spans="2:91" x14ac:dyDescent="0.25">
      <c r="CM41" s="1" t="str">
        <f t="shared" si="0"/>
        <v/>
      </c>
    </row>
    <row r="42" spans="2:91" x14ac:dyDescent="0.25">
      <c r="CM42" s="1" t="str">
        <f t="shared" si="0"/>
        <v/>
      </c>
    </row>
    <row r="43" spans="2:91" x14ac:dyDescent="0.25">
      <c r="B43" s="1"/>
      <c r="C43" s="1"/>
      <c r="D43" s="1"/>
      <c r="E43" s="1"/>
      <c r="F43" s="1"/>
      <c r="CM43" s="1" t="str">
        <f t="shared" si="0"/>
        <v/>
      </c>
    </row>
    <row r="44" spans="2:91" x14ac:dyDescent="0.25">
      <c r="CM44" s="1" t="str">
        <f t="shared" si="0"/>
        <v/>
      </c>
    </row>
    <row r="45" spans="2:91" x14ac:dyDescent="0.25">
      <c r="CM45" s="1" t="str">
        <f t="shared" si="0"/>
        <v/>
      </c>
    </row>
    <row r="46" spans="2:91" x14ac:dyDescent="0.25">
      <c r="CM46" s="1" t="str">
        <f t="shared" si="0"/>
        <v/>
      </c>
    </row>
    <row r="47" spans="2:91" x14ac:dyDescent="0.25">
      <c r="CM47" s="1" t="str">
        <f t="shared" si="0"/>
        <v/>
      </c>
    </row>
    <row r="48" spans="2:91" x14ac:dyDescent="0.25">
      <c r="CM48" s="1" t="str">
        <f t="shared" si="0"/>
        <v/>
      </c>
    </row>
    <row r="49" spans="91:91" x14ac:dyDescent="0.25">
      <c r="CM49" s="1" t="str">
        <f t="shared" si="0"/>
        <v/>
      </c>
    </row>
    <row r="50" spans="91:91" x14ac:dyDescent="0.25">
      <c r="CM50" s="1" t="str">
        <f t="shared" si="0"/>
        <v/>
      </c>
    </row>
    <row r="51" spans="91:91" x14ac:dyDescent="0.25">
      <c r="CM51" s="1" t="str">
        <f t="shared" si="0"/>
        <v/>
      </c>
    </row>
    <row r="52" spans="91:91" x14ac:dyDescent="0.25">
      <c r="CM52" s="1" t="str">
        <f t="shared" si="0"/>
        <v/>
      </c>
    </row>
    <row r="53" spans="91:91" x14ac:dyDescent="0.25">
      <c r="CM53" s="1" t="str">
        <f t="shared" si="0"/>
        <v/>
      </c>
    </row>
    <row r="54" spans="91:91" x14ac:dyDescent="0.25">
      <c r="CM54" s="1" t="str">
        <f t="shared" si="0"/>
        <v/>
      </c>
    </row>
    <row r="55" spans="91:91" x14ac:dyDescent="0.25">
      <c r="CM55" s="1" t="str">
        <f t="shared" si="0"/>
        <v/>
      </c>
    </row>
    <row r="56" spans="91:91" x14ac:dyDescent="0.25">
      <c r="CM56" s="1" t="str">
        <f t="shared" si="0"/>
        <v/>
      </c>
    </row>
    <row r="57" spans="91:91" x14ac:dyDescent="0.25">
      <c r="CM57" s="1" t="str">
        <f t="shared" si="0"/>
        <v/>
      </c>
    </row>
    <row r="58" spans="91:91" x14ac:dyDescent="0.25">
      <c r="CM58" s="1" t="str">
        <f t="shared" si="0"/>
        <v/>
      </c>
    </row>
    <row r="59" spans="91:91" x14ac:dyDescent="0.25">
      <c r="CM59" s="1" t="str">
        <f t="shared" si="0"/>
        <v/>
      </c>
    </row>
    <row r="60" spans="91:91" x14ac:dyDescent="0.25">
      <c r="CM60" s="1" t="str">
        <f t="shared" si="0"/>
        <v/>
      </c>
    </row>
    <row r="61" spans="91:91" x14ac:dyDescent="0.25">
      <c r="CM61" s="1" t="str">
        <f t="shared" si="0"/>
        <v/>
      </c>
    </row>
    <row r="62" spans="91:91" x14ac:dyDescent="0.25">
      <c r="CM62" s="1" t="str">
        <f t="shared" si="0"/>
        <v/>
      </c>
    </row>
    <row r="63" spans="91:91" x14ac:dyDescent="0.25">
      <c r="CM63" s="1" t="str">
        <f t="shared" si="0"/>
        <v/>
      </c>
    </row>
    <row r="64" spans="91:91" x14ac:dyDescent="0.25">
      <c r="CM64" s="1" t="str">
        <f t="shared" si="0"/>
        <v/>
      </c>
    </row>
    <row r="65" spans="1:91" x14ac:dyDescent="0.25">
      <c r="CM65" s="1" t="str">
        <f t="shared" si="0"/>
        <v/>
      </c>
    </row>
    <row r="66" spans="1:91" x14ac:dyDescent="0.25">
      <c r="CM66" s="1" t="str">
        <f t="shared" ref="CM66:CM127" si="1">IF(A66&lt;&gt;"",LEFT(N66,9),"")</f>
        <v/>
      </c>
    </row>
    <row r="67" spans="1:91" x14ac:dyDescent="0.25">
      <c r="CM67" s="1" t="str">
        <f t="shared" si="1"/>
        <v/>
      </c>
    </row>
    <row r="68" spans="1:91" x14ac:dyDescent="0.25">
      <c r="CM68" s="1" t="str">
        <f t="shared" si="1"/>
        <v/>
      </c>
    </row>
    <row r="69" spans="1:91" x14ac:dyDescent="0.25">
      <c r="CM69" s="1" t="str">
        <f t="shared" si="1"/>
        <v/>
      </c>
    </row>
    <row r="70" spans="1:91" x14ac:dyDescent="0.25">
      <c r="CM70" s="1" t="str">
        <f t="shared" si="1"/>
        <v/>
      </c>
    </row>
    <row r="71" spans="1:91" x14ac:dyDescent="0.25">
      <c r="CM71" s="1" t="str">
        <f t="shared" si="1"/>
        <v/>
      </c>
    </row>
    <row r="72" spans="1:91" x14ac:dyDescent="0.25">
      <c r="A72" s="2"/>
      <c r="B72" s="39"/>
      <c r="CM72" s="1" t="str">
        <f t="shared" si="1"/>
        <v/>
      </c>
    </row>
    <row r="73" spans="1:91" x14ac:dyDescent="0.25">
      <c r="A73" s="2"/>
      <c r="B73" s="39"/>
      <c r="CM73" s="1" t="str">
        <f t="shared" si="1"/>
        <v/>
      </c>
    </row>
    <row r="74" spans="1:91" x14ac:dyDescent="0.25">
      <c r="A74" s="2"/>
      <c r="B74" s="39"/>
      <c r="CM74" s="1" t="str">
        <f t="shared" si="1"/>
        <v/>
      </c>
    </row>
    <row r="75" spans="1:91" x14ac:dyDescent="0.25">
      <c r="A75" s="2"/>
      <c r="CM75" s="1" t="str">
        <f t="shared" si="1"/>
        <v/>
      </c>
    </row>
    <row r="76" spans="1:91" x14ac:dyDescent="0.25">
      <c r="A76" s="2"/>
      <c r="CM76" s="1" t="str">
        <f t="shared" si="1"/>
        <v/>
      </c>
    </row>
    <row r="77" spans="1:91" x14ac:dyDescent="0.25">
      <c r="CM77" s="1" t="str">
        <f t="shared" si="1"/>
        <v/>
      </c>
    </row>
    <row r="78" spans="1:91" x14ac:dyDescent="0.25">
      <c r="CM78" s="1" t="str">
        <f t="shared" si="1"/>
        <v/>
      </c>
    </row>
    <row r="79" spans="1:91" x14ac:dyDescent="0.25">
      <c r="CM79" s="1" t="str">
        <f t="shared" si="1"/>
        <v/>
      </c>
    </row>
    <row r="80" spans="1:91" x14ac:dyDescent="0.25">
      <c r="CM80" s="1" t="str">
        <f t="shared" si="1"/>
        <v/>
      </c>
    </row>
    <row r="81" spans="1:91" x14ac:dyDescent="0.25">
      <c r="CM81" s="1" t="str">
        <f t="shared" si="1"/>
        <v/>
      </c>
    </row>
    <row r="82" spans="1:91" x14ac:dyDescent="0.25">
      <c r="CM82" s="1" t="str">
        <f t="shared" si="1"/>
        <v/>
      </c>
    </row>
    <row r="83" spans="1:91" x14ac:dyDescent="0.25">
      <c r="CM83" s="1" t="str">
        <f t="shared" si="1"/>
        <v/>
      </c>
    </row>
    <row r="84" spans="1:91" x14ac:dyDescent="0.25">
      <c r="CM84" s="1" t="str">
        <f t="shared" si="1"/>
        <v/>
      </c>
    </row>
    <row r="85" spans="1:91" x14ac:dyDescent="0.25">
      <c r="CM85" s="1" t="str">
        <f t="shared" si="1"/>
        <v/>
      </c>
    </row>
    <row r="86" spans="1:91" x14ac:dyDescent="0.25">
      <c r="CM86" s="1" t="str">
        <f t="shared" si="1"/>
        <v/>
      </c>
    </row>
    <row r="87" spans="1:91" x14ac:dyDescent="0.25">
      <c r="A87" s="2"/>
      <c r="B87" s="39"/>
      <c r="CM87" s="1" t="str">
        <f t="shared" si="1"/>
        <v/>
      </c>
    </row>
    <row r="88" spans="1:91" x14ac:dyDescent="0.25">
      <c r="A88" s="2"/>
      <c r="B88" s="39"/>
      <c r="CM88" s="1" t="str">
        <f t="shared" si="1"/>
        <v/>
      </c>
    </row>
    <row r="89" spans="1:91" x14ac:dyDescent="0.25">
      <c r="A89" s="2"/>
      <c r="B89" s="39"/>
      <c r="CM89" s="1" t="str">
        <f t="shared" si="1"/>
        <v/>
      </c>
    </row>
    <row r="90" spans="1:91" x14ac:dyDescent="0.25">
      <c r="A90" s="2"/>
      <c r="CM90" s="1" t="str">
        <f t="shared" si="1"/>
        <v/>
      </c>
    </row>
    <row r="91" spans="1:91" x14ac:dyDescent="0.25">
      <c r="A91" s="2"/>
      <c r="CM91" s="1" t="str">
        <f t="shared" si="1"/>
        <v/>
      </c>
    </row>
    <row r="92" spans="1:91" x14ac:dyDescent="0.25">
      <c r="A92" s="2"/>
      <c r="CM92" s="1" t="str">
        <f t="shared" si="1"/>
        <v/>
      </c>
    </row>
    <row r="93" spans="1:91" x14ac:dyDescent="0.25">
      <c r="A93" s="2"/>
      <c r="CM93" s="1" t="str">
        <f t="shared" si="1"/>
        <v/>
      </c>
    </row>
    <row r="94" spans="1:91" x14ac:dyDescent="0.25">
      <c r="A94" s="2"/>
      <c r="CM94" s="1" t="str">
        <f t="shared" si="1"/>
        <v/>
      </c>
    </row>
    <row r="95" spans="1:91" x14ac:dyDescent="0.25">
      <c r="CM95" s="1" t="str">
        <f t="shared" si="1"/>
        <v/>
      </c>
    </row>
    <row r="96" spans="1:91" x14ac:dyDescent="0.25">
      <c r="CM96" s="1" t="str">
        <f t="shared" si="1"/>
        <v/>
      </c>
    </row>
    <row r="97" spans="1:91" x14ac:dyDescent="0.25">
      <c r="CM97" s="1" t="str">
        <f t="shared" si="1"/>
        <v/>
      </c>
    </row>
    <row r="98" spans="1:91" x14ac:dyDescent="0.25">
      <c r="CM98" s="1" t="str">
        <f t="shared" si="1"/>
        <v/>
      </c>
    </row>
    <row r="99" spans="1:91" x14ac:dyDescent="0.25">
      <c r="CM99" s="1" t="str">
        <f t="shared" si="1"/>
        <v/>
      </c>
    </row>
    <row r="100" spans="1:91" x14ac:dyDescent="0.25">
      <c r="CM100" s="1" t="str">
        <f t="shared" si="1"/>
        <v/>
      </c>
    </row>
    <row r="101" spans="1:91" x14ac:dyDescent="0.25">
      <c r="CM101" s="1" t="str">
        <f t="shared" si="1"/>
        <v/>
      </c>
    </row>
    <row r="102" spans="1:91" x14ac:dyDescent="0.25">
      <c r="A102" s="2"/>
      <c r="B102" s="39"/>
      <c r="CM102" s="1" t="str">
        <f t="shared" si="1"/>
        <v/>
      </c>
    </row>
    <row r="103" spans="1:91" x14ac:dyDescent="0.25">
      <c r="A103" s="2"/>
      <c r="B103" s="39"/>
      <c r="CM103" s="1" t="str">
        <f t="shared" si="1"/>
        <v/>
      </c>
    </row>
    <row r="104" spans="1:91" x14ac:dyDescent="0.25">
      <c r="A104" s="2"/>
      <c r="B104" s="39"/>
      <c r="CM104" s="1" t="str">
        <f t="shared" si="1"/>
        <v/>
      </c>
    </row>
    <row r="105" spans="1:91" x14ac:dyDescent="0.25">
      <c r="A105" s="2"/>
      <c r="CM105" s="1" t="str">
        <f t="shared" si="1"/>
        <v/>
      </c>
    </row>
    <row r="106" spans="1:91" x14ac:dyDescent="0.25">
      <c r="A106" s="2"/>
      <c r="CM106" s="1" t="str">
        <f t="shared" si="1"/>
        <v/>
      </c>
    </row>
    <row r="107" spans="1:91" x14ac:dyDescent="0.25">
      <c r="A107" s="2"/>
      <c r="CM107" s="1" t="str">
        <f t="shared" si="1"/>
        <v/>
      </c>
    </row>
    <row r="108" spans="1:91" x14ac:dyDescent="0.25">
      <c r="A108" s="2"/>
      <c r="CM108" s="1" t="str">
        <f t="shared" si="1"/>
        <v/>
      </c>
    </row>
    <row r="109" spans="1:91" x14ac:dyDescent="0.25">
      <c r="A109" s="2"/>
      <c r="CM109" s="1" t="str">
        <f t="shared" si="1"/>
        <v/>
      </c>
    </row>
    <row r="110" spans="1:91" x14ac:dyDescent="0.25">
      <c r="A110" s="2"/>
      <c r="CM110" s="1" t="str">
        <f t="shared" si="1"/>
        <v/>
      </c>
    </row>
    <row r="111" spans="1:91" x14ac:dyDescent="0.25">
      <c r="CM111" s="1" t="str">
        <f t="shared" si="1"/>
        <v/>
      </c>
    </row>
    <row r="112" spans="1:91" x14ac:dyDescent="0.25">
      <c r="A112" s="2"/>
      <c r="CM112" s="1" t="str">
        <f t="shared" si="1"/>
        <v/>
      </c>
    </row>
    <row r="113" spans="91:91" x14ac:dyDescent="0.25">
      <c r="CM113" s="1" t="str">
        <f t="shared" si="1"/>
        <v/>
      </c>
    </row>
    <row r="114" spans="91:91" x14ac:dyDescent="0.25">
      <c r="CM114" s="1" t="str">
        <f t="shared" si="1"/>
        <v/>
      </c>
    </row>
    <row r="115" spans="91:91" x14ac:dyDescent="0.25">
      <c r="CM115" s="1" t="str">
        <f t="shared" si="1"/>
        <v/>
      </c>
    </row>
    <row r="116" spans="91:91" x14ac:dyDescent="0.25">
      <c r="CM116" s="1" t="str">
        <f t="shared" si="1"/>
        <v/>
      </c>
    </row>
    <row r="117" spans="91:91" x14ac:dyDescent="0.25">
      <c r="CM117" s="1" t="str">
        <f t="shared" si="1"/>
        <v/>
      </c>
    </row>
    <row r="118" spans="91:91" x14ac:dyDescent="0.25">
      <c r="CM118" s="1" t="str">
        <f t="shared" si="1"/>
        <v/>
      </c>
    </row>
    <row r="119" spans="91:91" x14ac:dyDescent="0.25">
      <c r="CM119" s="1" t="str">
        <f t="shared" si="1"/>
        <v/>
      </c>
    </row>
    <row r="120" spans="91:91" x14ac:dyDescent="0.25">
      <c r="CM120" s="1" t="str">
        <f t="shared" si="1"/>
        <v/>
      </c>
    </row>
    <row r="121" spans="91:91" x14ac:dyDescent="0.25">
      <c r="CM121" s="1" t="str">
        <f t="shared" si="1"/>
        <v/>
      </c>
    </row>
    <row r="122" spans="91:91" x14ac:dyDescent="0.25">
      <c r="CM122" s="1" t="str">
        <f t="shared" si="1"/>
        <v/>
      </c>
    </row>
    <row r="123" spans="91:91" x14ac:dyDescent="0.25">
      <c r="CM123" s="1" t="str">
        <f t="shared" si="1"/>
        <v/>
      </c>
    </row>
    <row r="124" spans="91:91" x14ac:dyDescent="0.25">
      <c r="CM124" s="1" t="str">
        <f t="shared" si="1"/>
        <v/>
      </c>
    </row>
    <row r="125" spans="91:91" x14ac:dyDescent="0.25">
      <c r="CM125" s="1" t="str">
        <f t="shared" si="1"/>
        <v/>
      </c>
    </row>
    <row r="126" spans="91:91" x14ac:dyDescent="0.25">
      <c r="CM126" s="1" t="str">
        <f t="shared" si="1"/>
        <v/>
      </c>
    </row>
    <row r="127" spans="91:91" x14ac:dyDescent="0.25">
      <c r="CM127" s="1" t="str">
        <f t="shared" si="1"/>
        <v/>
      </c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1" spans="1:1" x14ac:dyDescent="0.25">
      <c r="A441" s="2"/>
    </row>
    <row r="442" spans="1:1" x14ac:dyDescent="0.25">
      <c r="A44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</sheetData>
  <conditionalFormatting sqref="E2:E3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18"/>
  <sheetViews>
    <sheetView showGridLines="0" tabSelected="1" zoomScale="83" workbookViewId="0">
      <selection activeCell="K13" sqref="K13"/>
    </sheetView>
  </sheetViews>
  <sheetFormatPr defaultRowHeight="15" x14ac:dyDescent="0.25"/>
  <cols>
    <col min="1" max="1" width="9.140625" style="1" customWidth="1"/>
    <col min="2" max="2" width="22.42578125" style="1" bestFit="1" customWidth="1"/>
    <col min="3" max="3" width="14.42578125" style="1" bestFit="1" customWidth="1"/>
    <col min="4" max="4" width="14.28515625" style="1" bestFit="1" customWidth="1"/>
    <col min="5" max="5" width="16.5703125" style="1" bestFit="1" customWidth="1"/>
    <col min="6" max="6" width="23" style="1" bestFit="1" customWidth="1"/>
    <col min="7" max="7" width="17" style="1" customWidth="1"/>
    <col min="8" max="8" width="22" style="1" bestFit="1" customWidth="1"/>
    <col min="9" max="9" width="9.140625" style="1" customWidth="1"/>
    <col min="10" max="10" width="33.5703125" style="1" bestFit="1" customWidth="1"/>
    <col min="11" max="11" width="11" style="1" bestFit="1" customWidth="1"/>
    <col min="12" max="13" width="9.140625" style="1" customWidth="1"/>
    <col min="14" max="14" width="24.7109375" style="1" bestFit="1" customWidth="1"/>
    <col min="15" max="15" width="22.140625" style="1" bestFit="1" customWidth="1"/>
    <col min="17" max="17" width="9.28515625" customWidth="1"/>
    <col min="18" max="18" width="12.5703125" customWidth="1"/>
    <col min="19" max="19" width="18.7109375" customWidth="1"/>
    <col min="28" max="28" width="13.140625" bestFit="1" customWidth="1"/>
    <col min="29" max="29" width="18.140625" bestFit="1" customWidth="1"/>
    <col min="30" max="30" width="11.28515625" bestFit="1" customWidth="1"/>
    <col min="33" max="33" width="12" bestFit="1" customWidth="1"/>
    <col min="35" max="35" width="18.140625" bestFit="1" customWidth="1"/>
    <col min="36" max="36" width="19.28515625" bestFit="1" customWidth="1"/>
    <col min="37" max="37" width="14.5703125" bestFit="1" customWidth="1"/>
    <col min="45" max="45" width="11.7109375" bestFit="1" customWidth="1"/>
    <col min="46" max="46" width="10.28515625" customWidth="1"/>
  </cols>
  <sheetData>
    <row r="1" spans="1:46" x14ac:dyDescent="0.25">
      <c r="AS1" s="27" t="s">
        <v>139</v>
      </c>
      <c r="AT1" s="27" t="str">
        <f>IF(OR((N4&lt;&gt;"HOLD"),AND(N4="HOLD",(Logs!H1-2)&lt;2)),"PASS","FAIL")</f>
        <v>PASS</v>
      </c>
    </row>
    <row r="2" spans="1:46" ht="15" customHeight="1" x14ac:dyDescent="0.25">
      <c r="A2" s="85" t="s">
        <v>110</v>
      </c>
      <c r="B2" s="85"/>
      <c r="C2" s="85"/>
      <c r="D2" s="22"/>
      <c r="E2" s="86" t="s">
        <v>121</v>
      </c>
      <c r="F2" s="86"/>
      <c r="G2" s="86"/>
      <c r="H2" s="84"/>
    </row>
    <row r="3" spans="1:46" ht="19.5" customHeight="1" x14ac:dyDescent="0.25">
      <c r="A3" s="24" t="s">
        <v>0</v>
      </c>
      <c r="B3" s="24" t="s">
        <v>1</v>
      </c>
      <c r="C3" s="25" t="s">
        <v>111</v>
      </c>
      <c r="D3" s="22"/>
      <c r="E3" s="28" t="s">
        <v>0</v>
      </c>
      <c r="F3" s="28" t="s">
        <v>1</v>
      </c>
      <c r="G3" s="29" t="s">
        <v>111</v>
      </c>
      <c r="H3" s="84"/>
      <c r="I3"/>
      <c r="J3" s="30" t="s">
        <v>2</v>
      </c>
      <c r="K3" s="26" t="str">
        <f>IF(Final!V2="","",TEXT(Final!V2,"0"))</f>
        <v/>
      </c>
      <c r="L3"/>
      <c r="M3"/>
      <c r="N3" s="35" t="s">
        <v>3</v>
      </c>
      <c r="O3" s="35" t="s">
        <v>4</v>
      </c>
      <c r="Q3" s="32" t="s">
        <v>115</v>
      </c>
      <c r="R3" s="32" t="s">
        <v>111</v>
      </c>
      <c r="S3" s="33" t="s">
        <v>116</v>
      </c>
      <c r="Y3" s="23" t="s">
        <v>0</v>
      </c>
      <c r="Z3" s="23" t="s">
        <v>2</v>
      </c>
      <c r="AA3" s="23" t="s">
        <v>35</v>
      </c>
      <c r="AB3" s="23" t="s">
        <v>103</v>
      </c>
      <c r="AC3" s="23" t="s">
        <v>104</v>
      </c>
      <c r="AD3" s="23" t="s">
        <v>105</v>
      </c>
      <c r="AE3" s="23" t="s">
        <v>106</v>
      </c>
      <c r="AF3" s="23" t="s">
        <v>5</v>
      </c>
      <c r="AG3" s="23" t="s">
        <v>107</v>
      </c>
      <c r="AH3" s="23" t="s">
        <v>108</v>
      </c>
      <c r="AI3" s="23" t="s">
        <v>79</v>
      </c>
      <c r="AJ3" s="23" t="s">
        <v>76</v>
      </c>
      <c r="AK3" s="23" t="s">
        <v>109</v>
      </c>
    </row>
    <row r="4" spans="1:46" x14ac:dyDescent="0.25">
      <c r="A4" s="26">
        <v>1</v>
      </c>
      <c r="B4" s="26" t="s">
        <v>5</v>
      </c>
      <c r="C4" s="26" t="str">
        <f>IF(COUNTIF(Validation!X:X,"NA")&gt;0,"MISMATCH","PASS")</f>
        <v>PASS</v>
      </c>
      <c r="E4" s="27">
        <v>1</v>
      </c>
      <c r="F4" s="42" t="s">
        <v>66</v>
      </c>
      <c r="G4" s="27" t="str">
        <f>IF(COUNTIF(Validation!BY:BY,"NA")&gt;0,"MISMATCH","PASS")</f>
        <v>MISMATCH</v>
      </c>
      <c r="J4" s="30" t="s">
        <v>15</v>
      </c>
      <c r="K4" s="26" t="str">
        <f>Final!AR2</f>
        <v/>
      </c>
      <c r="N4" s="37" t="str">
        <f>IF(OR(ISNA(VLOOKUP(Final!V2,'GRPO Wiz'!BK:BK,1,FALSE)),(1048576-COUNTBLANK(Final!AZ:AZ)-1)&lt;&gt;INT(K6)),"HOLD",IF(COUNTIF(C:C,"MISMATCH")&gt;0,"MISMATCH","PASS"))</f>
        <v>MISMATCH</v>
      </c>
      <c r="O4" s="37" t="str">
        <f>IF(OR(COUNTIF(G:G,"MISMATCH")&gt;0,ABS(K9)&gt;1),"MISMATCH","PASS")</f>
        <v>MISMATCH</v>
      </c>
      <c r="Q4" s="34" t="s">
        <v>117</v>
      </c>
      <c r="R4" s="31" t="s">
        <v>120</v>
      </c>
      <c r="S4" s="43"/>
      <c r="Z4" t="str">
        <f>K3</f>
        <v/>
      </c>
      <c r="AA4" t="str">
        <f>"'"&amp;SUBSTITUTE(Final!W2,"-",".")</f>
        <v>'</v>
      </c>
      <c r="AB4" s="44">
        <f>S4</f>
        <v>0</v>
      </c>
      <c r="AC4" s="44">
        <f>S5</f>
        <v>0</v>
      </c>
      <c r="AD4" t="str">
        <f>K6</f>
        <v>0</v>
      </c>
      <c r="AE4">
        <f>SUM(Final!H2:H95)</f>
        <v>0</v>
      </c>
      <c r="AF4" t="str">
        <f>K5</f>
        <v>POSCOM</v>
      </c>
      <c r="AG4" t="str">
        <f>R4</f>
        <v>Pending</v>
      </c>
      <c r="AH4" t="str">
        <f>R5</f>
        <v>Pending</v>
      </c>
      <c r="AI4">
        <f>Final!AD2</f>
        <v>0</v>
      </c>
      <c r="AJ4">
        <f>Final!AB2</f>
        <v>0</v>
      </c>
      <c r="AK4">
        <f>Final!AC2</f>
        <v>0</v>
      </c>
    </row>
    <row r="5" spans="1:46" x14ac:dyDescent="0.25">
      <c r="A5" s="26">
        <v>2</v>
      </c>
      <c r="B5" s="26" t="s">
        <v>6</v>
      </c>
      <c r="C5" s="26" t="str">
        <f>IF(COUNTIF(Validation!O:O,"NA")&gt;0,"MISMATCH","PASS")</f>
        <v>PASS</v>
      </c>
      <c r="E5" s="27">
        <v>2</v>
      </c>
      <c r="F5" s="42" t="s">
        <v>198</v>
      </c>
      <c r="G5" s="27" t="str">
        <f>IF(COUNTIF(Validation!BZ:BZ,"NA")&gt;0,"MISMATCH","PASS")</f>
        <v>MISMATCH</v>
      </c>
      <c r="J5" s="30" t="s">
        <v>5</v>
      </c>
      <c r="K5" s="26" t="s">
        <v>197</v>
      </c>
      <c r="Q5" s="34" t="s">
        <v>64</v>
      </c>
      <c r="R5" s="31" t="s">
        <v>120</v>
      </c>
      <c r="S5" s="43"/>
    </row>
    <row r="6" spans="1:46" x14ac:dyDescent="0.25">
      <c r="A6" s="26">
        <v>3</v>
      </c>
      <c r="B6" s="26" t="s">
        <v>7</v>
      </c>
      <c r="C6" s="26" t="str">
        <f>IF(COUNTIF(Validation!P:P,"NA")&gt;0,"MISMATCH","PASS")</f>
        <v>PASS</v>
      </c>
      <c r="E6" s="27">
        <v>3</v>
      </c>
      <c r="F6" s="42"/>
      <c r="G6" s="27"/>
      <c r="J6" s="30" t="s">
        <v>100</v>
      </c>
      <c r="K6" s="26" t="str">
        <f>TEXT(MASTER!V3-1,"0")</f>
        <v>0</v>
      </c>
    </row>
    <row r="7" spans="1:46" x14ac:dyDescent="0.25">
      <c r="A7" s="26">
        <v>4</v>
      </c>
      <c r="B7" s="26" t="s">
        <v>8</v>
      </c>
      <c r="C7" s="26" t="str">
        <f>IF(COUNTIF(Validation!Q:Q,"NA")&gt;0,"MISMATCH","PASS")</f>
        <v>PASS</v>
      </c>
      <c r="E7" s="27">
        <v>4</v>
      </c>
      <c r="F7" s="42" t="s">
        <v>123</v>
      </c>
      <c r="G7" s="27" t="str">
        <f>IF(COUNTIF(Validation!CB:CB,"NA")&gt;0,"MISMATCH","PASS")</f>
        <v>MISMATCH</v>
      </c>
      <c r="J7" s="30" t="s">
        <v>113</v>
      </c>
      <c r="K7" s="26" t="str">
        <f>TEXT(COUNTA(Logs!A:A)-1,"0")</f>
        <v>0</v>
      </c>
    </row>
    <row r="8" spans="1:46" x14ac:dyDescent="0.25">
      <c r="A8" s="26">
        <v>5</v>
      </c>
      <c r="B8" s="26" t="s">
        <v>9</v>
      </c>
      <c r="C8" s="26" t="str">
        <f>IF(COUNTIF(Validation!R:R,"NA")&gt;0,"MISMATCH","PASS")</f>
        <v>PASS</v>
      </c>
      <c r="E8" s="27">
        <v>5</v>
      </c>
      <c r="F8" s="42" t="s">
        <v>200</v>
      </c>
      <c r="G8" s="27" t="str">
        <f>IF(COUNTIF(Validation!CC:CC,"NA")&gt;0,"MISMATCH","PASS")</f>
        <v>MISMATCH</v>
      </c>
      <c r="J8" s="30" t="s">
        <v>114</v>
      </c>
      <c r="K8" s="26" t="str">
        <f>TEXT(COUNTA(Logs!A:A)-1,"0")</f>
        <v>0</v>
      </c>
    </row>
    <row r="9" spans="1:46" x14ac:dyDescent="0.25">
      <c r="A9" s="26">
        <v>6</v>
      </c>
      <c r="B9" s="26" t="s">
        <v>10</v>
      </c>
      <c r="C9" s="26" t="str">
        <f>IF(COUNTIF(Validation!S:S,"NA")&gt;0,"MISMATCH","PASS")</f>
        <v>PASS</v>
      </c>
      <c r="E9" s="27">
        <v>6</v>
      </c>
      <c r="F9" s="42" t="s">
        <v>71</v>
      </c>
      <c r="G9" s="27" t="str">
        <f>IF(COUNTIF(Validation!CF:CF,"NA")&gt;0,"MISMATCH","PASS")</f>
        <v>PASS</v>
      </c>
      <c r="J9" s="30" t="s">
        <v>119</v>
      </c>
      <c r="K9" s="40" t="str">
        <f>TEXT(Final!AD2-Final!CK2,"0.0000")</f>
        <v>0.0000</v>
      </c>
    </row>
    <row r="10" spans="1:46" x14ac:dyDescent="0.25">
      <c r="A10" s="26">
        <v>7</v>
      </c>
      <c r="B10" s="26" t="s">
        <v>11</v>
      </c>
      <c r="C10" s="26" t="str">
        <f>IF(OR(Final!V2="",COUNTIF(Validation!V:V,"NA")&gt;0),"MISMATCH","PASS")</f>
        <v>MISMATCH</v>
      </c>
      <c r="E10" s="27">
        <v>7</v>
      </c>
      <c r="F10" s="42" t="s">
        <v>199</v>
      </c>
      <c r="G10" s="27" t="str">
        <f>IF(COUNTIF(Validation!CG:CG,"NA")&gt;0,"MISMATCH","PASS")</f>
        <v>PASS</v>
      </c>
      <c r="J10" s="30" t="s">
        <v>16</v>
      </c>
      <c r="K10" s="41" t="str">
        <f>TEXT(Final!BK2,"0")</f>
        <v/>
      </c>
    </row>
    <row r="11" spans="1:46" x14ac:dyDescent="0.25">
      <c r="A11" s="26">
        <v>8</v>
      </c>
      <c r="B11" s="26" t="s">
        <v>12</v>
      </c>
      <c r="C11" s="26" t="str">
        <f>IF(COUNTIF(Validation!H:H,"NA")&gt;0,"MISMATCH","PASS")</f>
        <v>PASS</v>
      </c>
      <c r="E11" s="27">
        <v>8</v>
      </c>
      <c r="F11" s="42"/>
      <c r="G11" s="27"/>
    </row>
    <row r="12" spans="1:46" x14ac:dyDescent="0.25">
      <c r="A12" s="26">
        <v>9</v>
      </c>
      <c r="B12" s="26" t="s">
        <v>13</v>
      </c>
      <c r="C12" s="26" t="str">
        <f>IF(COUNTIF(Validation!I:I,"NA")&gt;0,"MISMATCH","PASS")</f>
        <v>PASS</v>
      </c>
      <c r="E12" s="27">
        <v>9</v>
      </c>
      <c r="F12" s="42" t="s">
        <v>122</v>
      </c>
      <c r="G12" s="27" t="str">
        <f>IF(COUNTIF(Validation!CI:CI,"NA")&gt;0,"MISMATCH","PASS")</f>
        <v>PASS</v>
      </c>
      <c r="J12" s="30" t="s">
        <v>137</v>
      </c>
      <c r="K12" s="27">
        <f ca="1">INT(TEXT(TODAY(),"MM"))</f>
        <v>1</v>
      </c>
    </row>
    <row r="13" spans="1:46" x14ac:dyDescent="0.25">
      <c r="A13" s="26">
        <v>10</v>
      </c>
      <c r="B13" s="26" t="s">
        <v>14</v>
      </c>
      <c r="C13" s="26" t="str">
        <f>IF(COUNTIF(Validation!J:J,"NA")&gt;0,"MISMATCH","PASS")</f>
        <v>MISMATCH</v>
      </c>
      <c r="E13" s="27">
        <v>10</v>
      </c>
      <c r="F13" s="42" t="s">
        <v>36</v>
      </c>
      <c r="G13" s="27" t="str">
        <f>IF(COUNTIF(Validation!CJ:CJ,"NA")&gt;0,"MISMATCH","PASS")</f>
        <v>PASS</v>
      </c>
      <c r="J13" s="30" t="s">
        <v>132</v>
      </c>
      <c r="K13" s="27">
        <f>IFERROR(INT(Data!CQ2),"")</f>
        <v>0</v>
      </c>
    </row>
    <row r="14" spans="1:46" x14ac:dyDescent="0.25">
      <c r="A14" s="26">
        <v>11</v>
      </c>
      <c r="B14" s="26" t="s">
        <v>15</v>
      </c>
      <c r="C14" s="26" t="str">
        <f>IF(COUNTIF(Validation!AR:AR,"NA")&gt;0,"MISMATCH","PASS")</f>
        <v>PASS</v>
      </c>
      <c r="E14" s="27">
        <v>11</v>
      </c>
      <c r="F14" s="42" t="s">
        <v>98</v>
      </c>
      <c r="G14" s="27" t="str">
        <f>IF(COUNTIF(Validation!CK:CK,"NA")&gt;0,"MISMATCH","PASS")</f>
        <v>PASS</v>
      </c>
      <c r="J14" s="30" t="s">
        <v>133</v>
      </c>
      <c r="K14" s="27" t="str">
        <f>IFERROR(INT(MID(VLOOKUP(Final!V2,'GRPO Wiz'!BK:BX,14,FALSE),4,2)),"")</f>
        <v/>
      </c>
    </row>
    <row r="15" spans="1:46" x14ac:dyDescent="0.25">
      <c r="A15" s="26">
        <v>12</v>
      </c>
      <c r="B15" s="26" t="s">
        <v>16</v>
      </c>
      <c r="C15" s="26" t="str">
        <f>IF(COUNTIF(Validation!Y:Y,"NA")&gt;0,"MISMATCH","PASS")</f>
        <v>PASS</v>
      </c>
      <c r="E15" s="27">
        <v>12</v>
      </c>
      <c r="F15" s="42" t="s">
        <v>127</v>
      </c>
      <c r="G15" s="27" t="str">
        <f>IF(COUNTIF(Validation!CD:CD,"NA")&gt;0,"MISMATCH","PASS")</f>
        <v>PASS</v>
      </c>
      <c r="J15" s="30" t="s">
        <v>134</v>
      </c>
      <c r="K15" s="27" t="str">
        <f ca="1">IFERROR(IF(AND(AND(K13&lt;&gt;"",K12&lt;&gt;"",K14&lt;&gt;""),(K12=K14)),"Pass",IF(AND(AND(K13&lt;&gt;"",K12&lt;&gt;"",K14&lt;&gt;""),OR(K12&lt;&gt;K14)),"Fail","Hold")),"Hold")</f>
        <v>Hold</v>
      </c>
    </row>
    <row r="16" spans="1:46" x14ac:dyDescent="0.25">
      <c r="A16" s="26">
        <v>13</v>
      </c>
      <c r="B16" s="26" t="s">
        <v>17</v>
      </c>
      <c r="C16" s="26" t="str">
        <f>IF(COUNTIF(Validation!E:E,"NA")&gt;0,"MISMATCH","PASS")</f>
        <v>PASS</v>
      </c>
      <c r="J16" s="30" t="s">
        <v>135</v>
      </c>
      <c r="K16" s="27" t="str">
        <f ca="1">IF(K15="Fail",IFERROR(MID(VLOOKUP(Final!V2,'GRPO Wiz'!BK:BX,14,FALSE),1,2)&amp;"/"&amp;MID(VLOOKUP(Final!V2,'GRPO Wiz'!BK:BX,14,FALSE),4,2)&amp;"/"&amp;MID(VLOOKUP(Final!V2,'GRPO Wiz'!BK:BX,14,FALSE),7,2),""),"")</f>
        <v/>
      </c>
    </row>
    <row r="17" spans="1:11" x14ac:dyDescent="0.25">
      <c r="A17" s="26">
        <v>14</v>
      </c>
      <c r="B17" s="26" t="s">
        <v>20</v>
      </c>
      <c r="C17" s="26" t="str">
        <f>IF(COUNTIF(Validation!F:F,"NA")&gt;0,"MISMATCH","PASS")</f>
        <v>PASS</v>
      </c>
      <c r="J17" s="30" t="s">
        <v>136</v>
      </c>
      <c r="K17" s="27" t="str">
        <f ca="1">IF(K15="Fail",IFERROR(MID(Final!W2,1,2)&amp;"/"&amp;MID(Final!W2,4,2)&amp;"/"&amp;MID(Final!W2,7,2),""),"")</f>
        <v/>
      </c>
    </row>
    <row r="18" spans="1:11" x14ac:dyDescent="0.25">
      <c r="J18" s="30" t="s">
        <v>204</v>
      </c>
      <c r="K18" s="26">
        <v>0</v>
      </c>
    </row>
  </sheetData>
  <mergeCells count="3">
    <mergeCell ref="H2:H3"/>
    <mergeCell ref="A2:C2"/>
    <mergeCell ref="E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4"/>
  <sheetViews>
    <sheetView workbookViewId="0">
      <selection activeCell="H1" sqref="H1:H2"/>
    </sheetView>
  </sheetViews>
  <sheetFormatPr defaultRowHeight="15" x14ac:dyDescent="0.25"/>
  <cols>
    <col min="1" max="1" width="42.85546875" style="54" bestFit="1" customWidth="1"/>
    <col min="2" max="2" width="43.7109375" style="54" bestFit="1" customWidth="1"/>
    <col min="7" max="7" width="17.28515625" bestFit="1" customWidth="1"/>
    <col min="8" max="8" width="10.7109375" style="36" bestFit="1" customWidth="1"/>
  </cols>
  <sheetData>
    <row r="1" spans="1:8" x14ac:dyDescent="0.25">
      <c r="A1" s="53" t="s">
        <v>101</v>
      </c>
      <c r="B1" s="53" t="s">
        <v>112</v>
      </c>
      <c r="G1" s="87" t="s">
        <v>102</v>
      </c>
      <c r="H1" s="38" t="str">
        <f>TEXT(COUNTA(A:A)+1,"0")</f>
        <v>2</v>
      </c>
    </row>
    <row r="2" spans="1:8" x14ac:dyDescent="0.25">
      <c r="G2" s="87"/>
      <c r="H2" s="38" t="str">
        <f>TEXT(COUNTA(B:B)+1,"0")</f>
        <v>2</v>
      </c>
    </row>
    <row r="3" spans="1:8" x14ac:dyDescent="0.25">
      <c r="G3" t="s">
        <v>118</v>
      </c>
      <c r="H3" s="38" t="str">
        <f>TEXT(Config!C10,"")</f>
        <v>MISMATCH</v>
      </c>
    </row>
    <row r="4" spans="1:8" x14ac:dyDescent="0.25">
      <c r="G4" t="s">
        <v>129</v>
      </c>
      <c r="H4" s="36">
        <f>COUNTA(HSN!A:A)-1</f>
        <v>-1</v>
      </c>
    </row>
  </sheetData>
  <mergeCells count="1">
    <mergeCell ref="G1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FY11"/>
  <sheetViews>
    <sheetView topLeftCell="BM1" zoomScale="86" workbookViewId="0">
      <selection activeCell="BY2" sqref="BY2"/>
    </sheetView>
  </sheetViews>
  <sheetFormatPr defaultColWidth="9.140625" defaultRowHeight="15" x14ac:dyDescent="0.25"/>
  <cols>
    <col min="1" max="1" width="9.140625" style="4" customWidth="1"/>
    <col min="2" max="2" width="8.28515625" style="4" bestFit="1" customWidth="1"/>
    <col min="3" max="3" width="52.140625" style="4" bestFit="1" customWidth="1"/>
    <col min="4" max="4" width="7.5703125" style="4" bestFit="1" customWidth="1"/>
    <col min="5" max="5" width="11.42578125" style="5" bestFit="1" customWidth="1"/>
    <col min="6" max="6" width="7.7109375" style="4" bestFit="1" customWidth="1"/>
    <col min="7" max="7" width="14.42578125" style="4" bestFit="1" customWidth="1"/>
    <col min="8" max="8" width="8.5703125" style="4" bestFit="1" customWidth="1"/>
    <col min="9" max="9" width="8" style="4" bestFit="1" customWidth="1"/>
    <col min="10" max="10" width="16.42578125" style="4" bestFit="1" customWidth="1"/>
    <col min="11" max="12" width="11.42578125" style="4" bestFit="1" customWidth="1"/>
    <col min="13" max="13" width="14" style="4" bestFit="1" customWidth="1"/>
    <col min="14" max="14" width="11" style="4" bestFit="1" customWidth="1"/>
    <col min="15" max="15" width="18.85546875" style="4" bestFit="1" customWidth="1"/>
    <col min="16" max="16" width="9.5703125" style="4" bestFit="1" customWidth="1"/>
    <col min="17" max="17" width="5.28515625" style="4" bestFit="1" customWidth="1"/>
    <col min="18" max="18" width="6.5703125" style="4" bestFit="1" customWidth="1"/>
    <col min="19" max="19" width="5.85546875" style="4" bestFit="1" customWidth="1"/>
    <col min="20" max="20" width="11.28515625" style="4" bestFit="1" customWidth="1"/>
    <col min="21" max="21" width="14.85546875" style="4" bestFit="1" customWidth="1"/>
    <col min="22" max="22" width="15.7109375" style="4" bestFit="1" customWidth="1"/>
    <col min="23" max="23" width="18.140625" style="4" bestFit="1" customWidth="1"/>
    <col min="24" max="24" width="8" style="4" bestFit="1" customWidth="1"/>
    <col min="25" max="25" width="14" style="4" bestFit="1" customWidth="1"/>
    <col min="26" max="26" width="11.28515625" style="4" bestFit="1" customWidth="1"/>
    <col min="27" max="27" width="14.85546875" style="4" bestFit="1" customWidth="1"/>
    <col min="28" max="28" width="27.42578125" style="4" bestFit="1" customWidth="1"/>
    <col min="29" max="29" width="15.140625" style="4" bestFit="1" customWidth="1"/>
    <col min="30" max="30" width="21.140625" style="4" bestFit="1" customWidth="1"/>
    <col min="31" max="31" width="9.140625" style="4" customWidth="1"/>
    <col min="32" max="32" width="20.5703125" style="4" bestFit="1" customWidth="1"/>
    <col min="33" max="33" width="20.28515625" style="4" bestFit="1" customWidth="1"/>
    <col min="34" max="34" width="20.5703125" style="4" bestFit="1" customWidth="1"/>
    <col min="35" max="35" width="14.42578125" style="4" bestFit="1" customWidth="1"/>
    <col min="36" max="36" width="14.85546875" style="4" bestFit="1" customWidth="1"/>
    <col min="37" max="37" width="14.140625" style="4" bestFit="1" customWidth="1"/>
    <col min="38" max="38" width="29" style="4" bestFit="1" customWidth="1"/>
    <col min="39" max="39" width="23.28515625" style="4" bestFit="1" customWidth="1"/>
    <col min="40" max="40" width="27.42578125" style="4" bestFit="1" customWidth="1"/>
    <col min="41" max="41" width="26.28515625" style="4" bestFit="1" customWidth="1"/>
    <col min="42" max="42" width="31.42578125" style="4" bestFit="1" customWidth="1"/>
    <col min="43" max="43" width="29.140625" style="4" bestFit="1" customWidth="1"/>
    <col min="44" max="44" width="19.140625" style="4" bestFit="1" customWidth="1"/>
    <col min="45" max="45" width="10.42578125" style="4" bestFit="1" customWidth="1"/>
    <col min="46" max="46" width="8" style="4" bestFit="1" customWidth="1"/>
    <col min="47" max="47" width="18.5703125" style="4" bestFit="1" customWidth="1"/>
    <col min="48" max="51" width="9.140625" style="4" customWidth="1"/>
    <col min="52" max="52" width="18.42578125" style="4" bestFit="1" customWidth="1"/>
    <col min="53" max="53" width="18.5703125" style="4" bestFit="1" customWidth="1"/>
    <col min="54" max="54" width="12.42578125" style="4" bestFit="1" customWidth="1"/>
    <col min="55" max="55" width="13" style="4" bestFit="1" customWidth="1"/>
    <col min="56" max="56" width="12.140625" style="4" bestFit="1" customWidth="1"/>
    <col min="57" max="57" width="26.7109375" style="4" bestFit="1" customWidth="1"/>
    <col min="58" max="58" width="21.140625" style="4" bestFit="1" customWidth="1"/>
    <col min="59" max="59" width="25.28515625" style="4" bestFit="1" customWidth="1"/>
    <col min="60" max="60" width="24.28515625" style="4" bestFit="1" customWidth="1"/>
    <col min="61" max="61" width="29.42578125" style="4" bestFit="1" customWidth="1"/>
    <col min="62" max="62" width="28.28515625" style="4" bestFit="1" customWidth="1"/>
    <col min="63" max="63" width="19.28515625" style="4" bestFit="1" customWidth="1"/>
    <col min="64" max="64" width="16.42578125" style="4" bestFit="1" customWidth="1"/>
    <col min="65" max="65" width="14.140625" style="4" bestFit="1" customWidth="1"/>
    <col min="66" max="74" width="9.140625" style="4" customWidth="1"/>
    <col min="75" max="75" width="5" style="4" bestFit="1" customWidth="1"/>
    <col min="76" max="76" width="13.140625" style="4" bestFit="1" customWidth="1"/>
    <col min="77" max="80" width="20.28515625" style="4" customWidth="1"/>
    <col min="81" max="81" width="31.140625" style="4" bestFit="1" customWidth="1"/>
    <col min="82" max="82" width="12" style="4" bestFit="1" customWidth="1"/>
    <col min="83" max="83" width="10.28515625" style="4" bestFit="1" customWidth="1"/>
    <col min="84" max="84" width="30.42578125" style="4" bestFit="1" customWidth="1"/>
    <col min="85" max="85" width="14.85546875" style="4" bestFit="1" customWidth="1"/>
    <col min="86" max="86" width="16.140625" style="4" bestFit="1" customWidth="1"/>
    <col min="87" max="88" width="14.42578125" style="4" bestFit="1" customWidth="1"/>
    <col min="89" max="89" width="19.85546875" style="4" customWidth="1"/>
    <col min="90" max="100" width="9.140625" style="4" customWidth="1"/>
    <col min="101" max="101" width="6.85546875" style="1" bestFit="1" customWidth="1"/>
    <col min="102" max="102" width="11.42578125" style="4" bestFit="1" customWidth="1"/>
    <col min="103" max="103" width="14.85546875" style="4" bestFit="1" customWidth="1"/>
    <col min="104" max="104" width="9" style="4" bestFit="1" customWidth="1"/>
    <col min="105" max="105" width="12.140625" style="4" bestFit="1" customWidth="1"/>
    <col min="106" max="108" width="9" style="4" bestFit="1" customWidth="1"/>
    <col min="109" max="109" width="22.5703125" style="4" bestFit="1" customWidth="1"/>
    <col min="110" max="110" width="14" style="4" bestFit="1" customWidth="1"/>
    <col min="111" max="111" width="12.7109375" style="4" bestFit="1" customWidth="1"/>
    <col min="112" max="112" width="14.42578125" style="4" bestFit="1" customWidth="1"/>
    <col min="113" max="113" width="21.28515625" style="4" customWidth="1"/>
    <col min="114" max="114" width="14.42578125" style="4" bestFit="1" customWidth="1"/>
    <col min="115" max="115" width="12.7109375" style="4" bestFit="1" customWidth="1"/>
    <col min="116" max="116" width="8.7109375" style="4" bestFit="1" customWidth="1"/>
    <col min="117" max="117" width="13.7109375" style="4" bestFit="1" customWidth="1"/>
    <col min="118" max="123" width="9.140625" style="4" customWidth="1"/>
    <col min="124" max="124" width="18.42578125" style="4" bestFit="1" customWidth="1"/>
    <col min="125" max="125" width="18.5703125" style="4" bestFit="1" customWidth="1"/>
    <col min="126" max="126" width="12.42578125" style="4" bestFit="1" customWidth="1"/>
    <col min="127" max="127" width="13" style="4" bestFit="1" customWidth="1"/>
    <col min="128" max="128" width="12.140625" style="4" bestFit="1" customWidth="1"/>
    <col min="129" max="129" width="26.7109375" style="4" bestFit="1" customWidth="1"/>
    <col min="130" max="130" width="21.140625" style="4" bestFit="1" customWidth="1"/>
    <col min="131" max="131" width="25.28515625" style="4" bestFit="1" customWidth="1"/>
    <col min="132" max="132" width="24.28515625" style="4" bestFit="1" customWidth="1"/>
    <col min="133" max="133" width="29.42578125" style="4" bestFit="1" customWidth="1"/>
    <col min="134" max="134" width="28.28515625" style="4" bestFit="1" customWidth="1"/>
    <col min="135" max="135" width="19.28515625" style="4" bestFit="1" customWidth="1"/>
    <col min="136" max="136" width="16.42578125" style="4" bestFit="1" customWidth="1"/>
    <col min="137" max="137" width="14.140625" style="4" bestFit="1" customWidth="1"/>
    <col min="138" max="138" width="9.140625" style="4" customWidth="1"/>
    <col min="139" max="16384" width="9.140625" style="4"/>
  </cols>
  <sheetData>
    <row r="1" spans="2:181" s="1" customFormat="1" ht="21.75" customHeight="1" x14ac:dyDescent="0.25">
      <c r="B1" s="3" t="s">
        <v>0</v>
      </c>
      <c r="C1" s="3" t="s">
        <v>18</v>
      </c>
      <c r="D1" s="3" t="s">
        <v>19</v>
      </c>
      <c r="E1" s="18" t="s">
        <v>17</v>
      </c>
      <c r="F1" s="3" t="s">
        <v>20</v>
      </c>
      <c r="G1" s="3" t="s">
        <v>21</v>
      </c>
      <c r="H1" s="19" t="s">
        <v>22</v>
      </c>
      <c r="I1" s="19" t="s">
        <v>23</v>
      </c>
      <c r="J1" s="19" t="s">
        <v>24</v>
      </c>
      <c r="K1" s="19" t="s">
        <v>25</v>
      </c>
      <c r="L1" s="19" t="s">
        <v>25</v>
      </c>
      <c r="M1" s="19" t="s">
        <v>27</v>
      </c>
      <c r="N1" s="19" t="s">
        <v>28</v>
      </c>
      <c r="O1" s="19" t="s">
        <v>6</v>
      </c>
      <c r="P1" s="19" t="s">
        <v>29</v>
      </c>
      <c r="Q1" s="19" t="s">
        <v>30</v>
      </c>
      <c r="R1" s="19" t="s">
        <v>31</v>
      </c>
      <c r="S1" s="19" t="s">
        <v>32</v>
      </c>
      <c r="T1" s="3" t="s">
        <v>33</v>
      </c>
      <c r="U1" s="3" t="s">
        <v>34</v>
      </c>
      <c r="V1" s="19" t="s">
        <v>2</v>
      </c>
      <c r="W1" s="19" t="s">
        <v>35</v>
      </c>
      <c r="X1" s="19" t="s">
        <v>5</v>
      </c>
      <c r="Y1" s="19" t="s">
        <v>16</v>
      </c>
      <c r="AB1" s="7" t="s">
        <v>76</v>
      </c>
      <c r="AC1" s="7" t="s">
        <v>93</v>
      </c>
      <c r="AD1" s="7" t="s">
        <v>79</v>
      </c>
      <c r="AF1" s="8" t="s">
        <v>37</v>
      </c>
      <c r="AG1" s="3" t="s">
        <v>38</v>
      </c>
      <c r="AH1" s="3" t="s">
        <v>39</v>
      </c>
      <c r="AI1" s="3" t="s">
        <v>40</v>
      </c>
      <c r="AJ1" s="3" t="s">
        <v>41</v>
      </c>
      <c r="AK1" s="3" t="s">
        <v>42</v>
      </c>
      <c r="AL1" s="3" t="s">
        <v>43</v>
      </c>
      <c r="AM1" s="3" t="s">
        <v>44</v>
      </c>
      <c r="AN1" s="3" t="s">
        <v>45</v>
      </c>
      <c r="AO1" s="3" t="s">
        <v>46</v>
      </c>
      <c r="AP1" s="3" t="s">
        <v>47</v>
      </c>
      <c r="AQ1" s="3" t="s">
        <v>48</v>
      </c>
      <c r="AR1" s="3" t="s">
        <v>15</v>
      </c>
      <c r="AS1" s="3" t="s">
        <v>16</v>
      </c>
      <c r="AT1" s="4" t="s">
        <v>5</v>
      </c>
      <c r="AU1" s="4" t="s">
        <v>49</v>
      </c>
      <c r="AX1" s="7"/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4" t="s">
        <v>63</v>
      </c>
      <c r="BW1" s="7" t="s">
        <v>64</v>
      </c>
      <c r="BX1" s="4" t="s">
        <v>65</v>
      </c>
      <c r="BY1" s="4" t="s">
        <v>66</v>
      </c>
      <c r="BZ1" s="4" t="s">
        <v>67</v>
      </c>
      <c r="CA1" s="4" t="s">
        <v>68</v>
      </c>
      <c r="CB1" s="4" t="s">
        <v>69</v>
      </c>
      <c r="CC1" s="4" t="s">
        <v>70</v>
      </c>
      <c r="CD1" s="4" t="s">
        <v>127</v>
      </c>
      <c r="CE1" s="4" t="s">
        <v>69</v>
      </c>
      <c r="CF1" s="4" t="s">
        <v>71</v>
      </c>
      <c r="CG1" s="4" t="s">
        <v>72</v>
      </c>
      <c r="CH1" s="4" t="s">
        <v>73</v>
      </c>
      <c r="CI1" s="4" t="s">
        <v>74</v>
      </c>
      <c r="CJ1" s="4" t="s">
        <v>36</v>
      </c>
      <c r="CK1" s="4" t="s">
        <v>98</v>
      </c>
      <c r="CW1" s="1" t="s">
        <v>0</v>
      </c>
      <c r="CX1" s="4" t="s">
        <v>5</v>
      </c>
      <c r="CY1" s="4" t="s">
        <v>6</v>
      </c>
      <c r="CZ1" s="4" t="s">
        <v>7</v>
      </c>
      <c r="DA1" s="4" t="s">
        <v>8</v>
      </c>
      <c r="DB1" s="4" t="s">
        <v>9</v>
      </c>
      <c r="DC1" s="4" t="s">
        <v>10</v>
      </c>
      <c r="DD1" s="4" t="s">
        <v>75</v>
      </c>
      <c r="DE1" s="4" t="s">
        <v>76</v>
      </c>
      <c r="DF1" s="4" t="s">
        <v>77</v>
      </c>
      <c r="DG1" s="4" t="s">
        <v>78</v>
      </c>
      <c r="DH1" s="4" t="s">
        <v>74</v>
      </c>
      <c r="DI1" s="4" t="s">
        <v>79</v>
      </c>
      <c r="DJ1" s="4" t="s">
        <v>35</v>
      </c>
      <c r="DK1" s="4" t="s">
        <v>2</v>
      </c>
      <c r="DL1" s="4" t="s">
        <v>16</v>
      </c>
      <c r="DM1" s="4" t="s">
        <v>80</v>
      </c>
      <c r="DT1" s="3" t="s">
        <v>50</v>
      </c>
      <c r="DU1" s="3" t="s">
        <v>51</v>
      </c>
      <c r="DV1" s="3" t="s">
        <v>52</v>
      </c>
      <c r="DW1" s="3" t="s">
        <v>53</v>
      </c>
      <c r="DX1" s="3" t="s">
        <v>54</v>
      </c>
      <c r="DY1" s="3" t="s">
        <v>55</v>
      </c>
      <c r="DZ1" s="3" t="s">
        <v>56</v>
      </c>
      <c r="EA1" s="3" t="s">
        <v>57</v>
      </c>
      <c r="EB1" s="3" t="s">
        <v>58</v>
      </c>
      <c r="EC1" s="3" t="s">
        <v>59</v>
      </c>
      <c r="ED1" s="3" t="s">
        <v>60</v>
      </c>
      <c r="EE1" s="3" t="s">
        <v>61</v>
      </c>
      <c r="EF1" s="3" t="s">
        <v>62</v>
      </c>
      <c r="EG1" s="4" t="s">
        <v>63</v>
      </c>
      <c r="ES1" s="1" t="s">
        <v>91</v>
      </c>
    </row>
    <row r="2" spans="2:181" s="1" customFormat="1" ht="24.75" customHeight="1" x14ac:dyDescent="0.25">
      <c r="B2" s="20" t="s">
        <v>96</v>
      </c>
      <c r="C2" s="20" t="s">
        <v>96</v>
      </c>
      <c r="E2" s="5" t="str">
        <f>IF(Final!E2=Final!BL2,"OK","NA")</f>
        <v>OK</v>
      </c>
      <c r="F2" s="5" t="str">
        <f>IF(Final!F2=Final!BN2,"OK","OK")</f>
        <v>OK</v>
      </c>
      <c r="G2" s="21" t="s">
        <v>96</v>
      </c>
      <c r="H2" s="4" t="str">
        <f>IF(AND(Final!H2=Final!AM2,Final!H2=Final!BF2),"ok","NA")</f>
        <v>ok</v>
      </c>
      <c r="I2" s="4" t="str">
        <f>IF(Final!I2=Final!BH2,"ok","NA")</f>
        <v>ok</v>
      </c>
      <c r="J2" s="4" t="str">
        <f>IFERROR(IF(ROUNDDOWN(Final!J2,0)=ROUNDDOWN(Final!BI2,0),"ok","NA"),"NA")</f>
        <v>NA</v>
      </c>
      <c r="K2" s="4" t="str">
        <f>IFERROR(IF(ABS(Final!BZ2-Final!K2)&lt;=1,"ok","NA"),"NA")</f>
        <v>NA</v>
      </c>
      <c r="L2" s="4" t="str">
        <f>IFERROR(IF(ABS(Final!CA2-Final!L2)&lt;=1,"ok","NA"),"NA")</f>
        <v>ok</v>
      </c>
      <c r="M2" s="4" t="str">
        <f>IFERROR(IF(ROUNDDOWN(Final!M2,0)=ROUNDDOWN(Final!CB2,0),"ok","NA"),"NA")</f>
        <v>NA</v>
      </c>
      <c r="N2" s="4" t="str">
        <f>IFERROR(IF(ROUNDDOWN(Final!N2,0)=ROUNDDOWN(Final!CC2,0),"ok","NA"),"NA")</f>
        <v>NA</v>
      </c>
      <c r="O2" s="4" t="str">
        <f>IF(AND(Final!O2=Final!AG2,Final!O2=Final!AZ2),"ok","NA")</f>
        <v>ok</v>
      </c>
      <c r="P2" s="4" t="str">
        <f>IF(AND(Final!P2=Final!AH2,Final!P2=Final!BA2),"ok","NA")</f>
        <v>ok</v>
      </c>
      <c r="Q2" s="4" t="str">
        <f>IF(AND(Final!Q2=Final!AI2,Final!Q2=Final!BB2),"ok","NA")</f>
        <v>ok</v>
      </c>
      <c r="R2" s="4" t="str">
        <f>IF(AND(Final!R2=Final!AJ2,Final!R2=Final!BC2),"ok","NA")</f>
        <v>ok</v>
      </c>
      <c r="S2" s="4" t="str">
        <f>IF(AND(Final!S2=Final!AK2,Final!S2=Final!BD2),"ok","NA")</f>
        <v>ok</v>
      </c>
      <c r="T2" s="21" t="s">
        <v>96</v>
      </c>
      <c r="U2" s="21" t="s">
        <v>96</v>
      </c>
      <c r="V2" s="4" t="str">
        <f>IF(Final!V2=Final!BE2,"ok","NA")</f>
        <v>ok</v>
      </c>
      <c r="W2" s="4" t="str">
        <f>IF(Final!W2=Final!AQ2,"ok","NA")</f>
        <v>ok</v>
      </c>
      <c r="X2" s="4" t="str">
        <f>IF(Final!X2=Final!AT2,"ok","NA")</f>
        <v>ok</v>
      </c>
      <c r="Y2" s="4" t="str">
        <f>IF(Final!Y2=Final!BK2,"ok","NA")</f>
        <v>ok</v>
      </c>
      <c r="Z2" s="21" t="s">
        <v>96</v>
      </c>
      <c r="AA2" s="21" t="s">
        <v>96</v>
      </c>
      <c r="AB2" s="4" t="str">
        <f>IF(ROUNDDOWN(Final!CF2,0)=ROUNDDOWN(Final!AB2,0),"OK","NA")</f>
        <v>OK</v>
      </c>
      <c r="AC2" s="4" t="str">
        <f>IF(ROUNDDOWN(Final!CJ2,0)=ROUNDDOWN(Final!CJ2,0),"ok","NA")</f>
        <v>ok</v>
      </c>
      <c r="AD2" s="4" t="str">
        <f>IF(ROUNDDOWN(Final!CK2,0)=ROUNDDOWN(Final!CK2,0),"ok","NA")</f>
        <v>ok</v>
      </c>
      <c r="AF2" s="6"/>
      <c r="AG2" s="4" t="str">
        <f>AZ2</f>
        <v>ok</v>
      </c>
      <c r="AH2" s="4" t="str">
        <f t="shared" ref="AH2:AK2" si="0">BA2</f>
        <v>ok</v>
      </c>
      <c r="AI2" s="4" t="str">
        <f t="shared" si="0"/>
        <v>ok</v>
      </c>
      <c r="AJ2" s="4" t="str">
        <f t="shared" si="0"/>
        <v>ok</v>
      </c>
      <c r="AK2" s="4" t="str">
        <f t="shared" si="0"/>
        <v>ok</v>
      </c>
      <c r="AL2" s="4" t="str">
        <f>BE2</f>
        <v>ok</v>
      </c>
      <c r="AM2" s="4" t="str">
        <f>BF2</f>
        <v>ok</v>
      </c>
      <c r="AN2" s="4"/>
      <c r="AO2" s="4" t="str">
        <f>IF(Final!BH2=Final!AO2,"ok","NA")</f>
        <v>ok</v>
      </c>
      <c r="AP2" s="4" t="str">
        <f>IF(Final!BH2=Final!AO2,"ok","NA")</f>
        <v>ok</v>
      </c>
      <c r="AQ2" s="4" t="str">
        <f t="shared" ref="AQ2" si="1">BJ2</f>
        <v>ok</v>
      </c>
      <c r="AR2" s="4" t="str">
        <f>IF(Final!BJ2=Config!$K$4,"ok","NA")</f>
        <v>ok</v>
      </c>
      <c r="AS2" s="1" t="str">
        <f>IF(Final!BK2=Final!Y2,"ok","NA")</f>
        <v>ok</v>
      </c>
      <c r="AT2" s="4" t="str">
        <f>_xlfn.IFNA(VLOOKUP(U2,'Incoming Material Report'!A:Z,6,FALSE),"")</f>
        <v/>
      </c>
      <c r="AU2" s="4" t="str">
        <f>_xlfn.IFNA(VLOOKUP(U2,'Incoming Material Report'!A:Z,8,FALSE),"")</f>
        <v/>
      </c>
      <c r="AX2" s="7"/>
      <c r="AZ2" s="4" t="str">
        <f>IF(Final!AG2=Final!AZ2,"ok","NA")</f>
        <v>ok</v>
      </c>
      <c r="BA2" s="4" t="str">
        <f>IF(Final!AH2=Final!BA2,"ok","NA")</f>
        <v>ok</v>
      </c>
      <c r="BB2" s="4" t="str">
        <f>IF(Final!AI2=Final!BB2,"ok","NA")</f>
        <v>ok</v>
      </c>
      <c r="BC2" s="4" t="str">
        <f>IF(Final!AJ2=Final!BC2,"ok","NA")</f>
        <v>ok</v>
      </c>
      <c r="BD2" s="4" t="str">
        <f>IF(Final!AK2=Final!BD2,"ok","NA")</f>
        <v>ok</v>
      </c>
      <c r="BE2" s="4" t="str">
        <f>IF(Final!V2=Final!BE2,"ok","NA")</f>
        <v>ok</v>
      </c>
      <c r="BF2" s="4" t="str">
        <f>IF(Final!H2=Final!BF2,"ok","NA")</f>
        <v>ok</v>
      </c>
      <c r="BH2" s="4" t="str">
        <f>IF(Final!BH2=Final!I2,"ok","NA")</f>
        <v>ok</v>
      </c>
      <c r="BI2" s="4" t="str">
        <f>IF(Final!J2=Final!BI2,"ok","NA")</f>
        <v>ok</v>
      </c>
      <c r="BJ2" s="4" t="str">
        <f>IF(Config!$K$4=Final!BJ2,"ok","NA")</f>
        <v>ok</v>
      </c>
      <c r="BK2" s="4" t="str">
        <f>IF(Final!BK2=Final!Y2,"ok","NA")</f>
        <v>ok</v>
      </c>
      <c r="BL2" s="4" t="str">
        <f>IF(Final!BL2=Final!E2,"ok","NA")</f>
        <v>ok</v>
      </c>
      <c r="BM2" s="4" t="str">
        <f>IF(Final!BM2=Final!X2,"ok","NA")</f>
        <v>ok</v>
      </c>
      <c r="BW2" s="7"/>
      <c r="BX2" s="21" t="s">
        <v>96</v>
      </c>
      <c r="BY2" s="4" t="str">
        <f>IFERROR(IF(ABS(Final!BY2-Final!J2)&lt;1,"OK","NA"),"NA")</f>
        <v>NA</v>
      </c>
      <c r="BZ2" s="4" t="str">
        <f>IFERROR(IF(ABS(Final!BZ2-Final!K2)&lt;=1,"OK","NA"),"NA")</f>
        <v>NA</v>
      </c>
      <c r="CA2" s="4" t="str">
        <f>IFERROR(IF(ABS(Final!CA2-Final!L2)&lt;=1,"OK","NA"),"NA")</f>
        <v>OK</v>
      </c>
      <c r="CB2" s="4" t="str">
        <f>IFERROR(IF(ABS(Final!CB2-Final!CI2)&lt;1,"OK","OK"),"NA")</f>
        <v>NA</v>
      </c>
      <c r="CC2" s="4" t="str">
        <f>IFERROR(IF(ABS(Final!CC2-Final!N2)&lt;=1,"OK","NA"),"NA")</f>
        <v>NA</v>
      </c>
      <c r="CD2" s="1" t="str">
        <f>IF(AND(Final!I2=Final!BH2,Final!I2=Final!CD2),"ok","NA")</f>
        <v>ok</v>
      </c>
      <c r="CF2" s="4" t="str">
        <f>IFERROR(IF(ABS(Final!CF2-Final!AB2)&lt;1,"OK","NA"),"NA")</f>
        <v>OK</v>
      </c>
      <c r="CG2" s="4" t="str">
        <f>IFERROR(IF(ABS(Final!CG2-SUM(Final!K2:K100))&lt;1,"OK","NA"),"NA")</f>
        <v>OK</v>
      </c>
      <c r="CH2" s="4" t="str">
        <f>IFERROR(IF(ABS(Final!CH2-SUM(Final!L2:L100))&lt;1,"OK","NA"),"NA")</f>
        <v>OK</v>
      </c>
      <c r="CI2" s="4" t="str">
        <f>IF(ROUNDDOWN(Final!CI2,0)=ROUND(SUM(Final!J2:J100)*0.1%,0),"OK","NA")</f>
        <v>OK</v>
      </c>
      <c r="CJ2" s="1" t="str">
        <f>IFERROR(IF(ABS(Final!CJ2-Final!AC2)&lt;1,"OK","NA"),"NA")</f>
        <v>OK</v>
      </c>
      <c r="CK2" s="4" t="str">
        <f>IF(ABS(Final!CK2-Final!AD2)&lt;1,"OK","NA")</f>
        <v>OK</v>
      </c>
      <c r="CW2" s="1">
        <v>1</v>
      </c>
      <c r="CX2" s="4" t="str">
        <f>IF((X2=AT2=BM2),"OK","NA")</f>
        <v>NA</v>
      </c>
      <c r="CY2" s="4" t="str">
        <f>IF(O2=AG2=AZ2,"OK","NA")</f>
        <v>NA</v>
      </c>
      <c r="CZ2" s="4" t="str">
        <f>IF(P2=AH2=BA2,"OK","NA")</f>
        <v>NA</v>
      </c>
      <c r="DA2" s="4" t="str">
        <f>IF(Q2=AI2=BB2,"OK","NA")</f>
        <v>NA</v>
      </c>
      <c r="DB2" s="4" t="str">
        <f>IF(R2=AJ2=BC2,"OK","NA")</f>
        <v>NA</v>
      </c>
      <c r="DC2" s="4" t="str">
        <f>IF(S2=AK2=BD2,"OK","NA")</f>
        <v>NA</v>
      </c>
      <c r="DD2" s="4" t="str">
        <f>IF(H2=AM2=BF2,"OK","NA")</f>
        <v>NA</v>
      </c>
      <c r="DE2" s="4" t="str">
        <f>IF(J2=BY2=BI2,"OK","NA")</f>
        <v>NA</v>
      </c>
      <c r="DF2" s="4" t="str">
        <f>IF(SUM(K2:K85)=CG2,"OK","NA")</f>
        <v>NA</v>
      </c>
      <c r="DG2" s="4" t="str">
        <f>IF(SUM(L2:L79)=CH2,"OK","NA")</f>
        <v>NA</v>
      </c>
      <c r="DH2" s="4" t="str">
        <f>IF(M2=Final!CI2,"OK","NA")</f>
        <v>NA</v>
      </c>
      <c r="DI2" s="4" t="str">
        <f>IF(AB2=CF2,"OK","NA")</f>
        <v>OK</v>
      </c>
      <c r="DJ2" s="4" t="str">
        <f>IF(W2=AQ2,"OK","NA")</f>
        <v>OK</v>
      </c>
      <c r="DK2" s="4" t="str">
        <f>IF(V2=AL2=BE2,"OK","NA")</f>
        <v>NA</v>
      </c>
      <c r="DL2" s="4" t="str">
        <f>IF(Y2=AS2=BK2,"OK","NA")</f>
        <v>NA</v>
      </c>
      <c r="DT2" s="4" t="str">
        <f>IF(B2="","",IF(AND(AZ2=AG2,AG2=O2,B2&lt;&gt;""),"OK","NA"))</f>
        <v>OK</v>
      </c>
      <c r="DU2" s="4" t="str">
        <f>IF(B2="","",IF(AND(BA2=AH2,AH2=P2),"OK","NA"))</f>
        <v>OK</v>
      </c>
      <c r="DV2" s="4" t="str">
        <f>IF(B2="","",IF(AND(BB2=AI2,AI2=Q2),"OK","NA"))</f>
        <v>OK</v>
      </c>
      <c r="DW2" s="4" t="str">
        <f>IF(B2="","",IF(AND(BC2=AJ2,AJ2=R2),"OK","NA"))</f>
        <v>OK</v>
      </c>
      <c r="DX2" s="4" t="str">
        <f>IF(B2="","",IF(AND(BD2=AK2,AK2=S2),"OK","NA"))</f>
        <v>OK</v>
      </c>
      <c r="DY2" s="4" t="str">
        <f>IF(B2="","",IF(AND(BE2=V2),"OK","NA"))</f>
        <v>OK</v>
      </c>
      <c r="DZ2" s="4" t="str">
        <f>IF(B2="","",IF(AND(BF2=H2,H2=AM2),"OK","NA"))</f>
        <v>OK</v>
      </c>
      <c r="EB2" s="4" t="str">
        <f>IF(B2="","",IF(AND(BH2=I2,I2=AO2),"OK","NA"))</f>
        <v>OK</v>
      </c>
      <c r="EC2" s="4" t="str">
        <f>IF(B2="","",IF(AND(BI2=J2),"OK","NA"))</f>
        <v>NA</v>
      </c>
      <c r="ED2" s="4" t="str">
        <f>IF(B2="","",IF(AND(BJ2=AR2),"OK","NA"))</f>
        <v>OK</v>
      </c>
      <c r="EE2" s="4" t="str">
        <f>IF(B2="","",IF(AND(BK2=Y2),"OK","NA"))</f>
        <v>OK</v>
      </c>
      <c r="EF2" s="4" t="str">
        <f>IF(B2="","",IF(AND(BL2=E2),"OK","NA"))</f>
        <v>OK</v>
      </c>
      <c r="EG2" s="4" t="str">
        <f>IF(B2="","",IF(AND(BM2=X2,X2=AT2),"OK","NA"))</f>
        <v>NA</v>
      </c>
      <c r="ES2" s="1" t="b">
        <v>0</v>
      </c>
      <c r="ET2" s="1" t="b">
        <v>0</v>
      </c>
      <c r="EU2" s="1" t="b">
        <v>0</v>
      </c>
      <c r="EV2" s="1" t="b">
        <v>0</v>
      </c>
      <c r="EW2" s="1" t="b">
        <v>0</v>
      </c>
      <c r="EX2" s="1" t="b">
        <v>0</v>
      </c>
      <c r="EY2" s="1" t="b">
        <v>0</v>
      </c>
      <c r="EZ2" s="1" t="b">
        <v>0</v>
      </c>
      <c r="FA2" s="1" t="b">
        <v>0</v>
      </c>
      <c r="FB2" s="1" t="b">
        <v>0</v>
      </c>
      <c r="FC2" s="1" t="b">
        <v>0</v>
      </c>
      <c r="FD2" s="1" t="b">
        <v>0</v>
      </c>
      <c r="FE2" s="1" t="b">
        <v>0</v>
      </c>
      <c r="FF2" s="1" t="b">
        <v>0</v>
      </c>
      <c r="FG2" s="1" t="b">
        <v>0</v>
      </c>
      <c r="FH2" s="1" t="b">
        <v>0</v>
      </c>
      <c r="FI2" s="1" t="b">
        <v>0</v>
      </c>
      <c r="FJ2" s="1" t="b">
        <v>0</v>
      </c>
      <c r="FK2" s="1" t="b">
        <v>0</v>
      </c>
      <c r="FL2" s="1" t="b">
        <v>0</v>
      </c>
      <c r="FM2" s="1" t="b">
        <v>0</v>
      </c>
      <c r="FN2" s="1" t="b">
        <v>0</v>
      </c>
      <c r="FO2" s="1" t="b">
        <v>0</v>
      </c>
      <c r="FP2" s="1" t="b">
        <v>0</v>
      </c>
      <c r="FQ2" s="1" t="b">
        <v>0</v>
      </c>
      <c r="FR2" s="1" t="b">
        <v>0</v>
      </c>
      <c r="FS2" s="1" t="b">
        <v>0</v>
      </c>
      <c r="FT2" s="1" t="b">
        <v>0</v>
      </c>
      <c r="FU2" s="1" t="b">
        <v>0</v>
      </c>
      <c r="FV2" s="1" t="b">
        <v>0</v>
      </c>
      <c r="FW2" s="1" t="b">
        <v>0</v>
      </c>
      <c r="FX2" s="1" t="b">
        <v>0</v>
      </c>
      <c r="FY2" s="1" t="b">
        <v>0</v>
      </c>
    </row>
    <row r="3" spans="2:181" s="1" customFormat="1" ht="24.75" customHeight="1" x14ac:dyDescent="0.25">
      <c r="B3" s="20"/>
      <c r="C3" s="20"/>
      <c r="E3" s="5"/>
      <c r="F3" s="5"/>
      <c r="G3" s="21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21"/>
      <c r="U3" s="21"/>
      <c r="V3" s="4"/>
      <c r="W3" s="4"/>
      <c r="X3" s="4"/>
      <c r="Y3" s="4"/>
      <c r="Z3" s="21"/>
      <c r="AA3" s="21"/>
      <c r="AB3" s="4"/>
      <c r="AC3" s="4"/>
      <c r="AD3" s="4"/>
      <c r="AF3" s="6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T3" s="4"/>
      <c r="AU3" s="4"/>
      <c r="AX3" s="7"/>
      <c r="AZ3" s="4"/>
      <c r="BA3" s="4"/>
      <c r="BB3" s="4"/>
      <c r="BC3" s="4"/>
      <c r="BD3" s="4"/>
      <c r="BE3" s="4"/>
      <c r="BF3" s="4"/>
      <c r="BH3" s="4"/>
      <c r="BI3" s="4"/>
      <c r="BJ3" s="4"/>
      <c r="BK3" s="4" t="str">
        <f>_xlfn.IFNA(VLOOKUP(U3,'GRPO Wiz'!AP:BZ,27,FALSE),"")</f>
        <v/>
      </c>
      <c r="BL3" s="4" t="str">
        <f>_xlfn.IFNA(VALUE(VLOOKUP(U3,'GRPO Wiz'!AP:BZ,29,FALSE)),"")</f>
        <v/>
      </c>
      <c r="BM3" s="4" t="str">
        <f>_xlfn.IFNA(VLOOKUP(U3,'GRPO Wiz'!AP:BZ,33,FALSE),"")</f>
        <v/>
      </c>
      <c r="BW3" s="7"/>
      <c r="BX3" s="21"/>
      <c r="BY3" s="4"/>
      <c r="BZ3" s="4"/>
      <c r="CA3" s="4"/>
      <c r="CB3" s="4"/>
      <c r="CC3" s="4"/>
      <c r="CW3" s="1">
        <v>2</v>
      </c>
      <c r="DT3" s="4" t="str">
        <f>IF(B3="","",IF(AND(AZ3=AG3,AG3=O3,B3&lt;&gt;""),"OK","NA"))</f>
        <v/>
      </c>
      <c r="DU3" s="4" t="str">
        <f>IF(B3="","",IF(AND(BA3=AH3,AH3=P3),"OK","NA"))</f>
        <v/>
      </c>
      <c r="DV3" s="4" t="str">
        <f>IF(B3="","",IF(AND(BB3=AI3,AI3=Q3),"OK","NA"))</f>
        <v/>
      </c>
      <c r="DW3" s="4" t="str">
        <f>IF(B3="","",IF(AND(BC3=AJ3,AJ3=R3),"OK","NA"))</f>
        <v/>
      </c>
      <c r="DX3" s="4" t="str">
        <f>IF(B3="","",IF(AND(BD3=AK3,AK3=S3),"OK","NA"))</f>
        <v/>
      </c>
      <c r="DY3" s="4" t="str">
        <f>IF(B3="","",IF(AND(BE3=V3),"OK","NA"))</f>
        <v/>
      </c>
      <c r="DZ3" s="4" t="str">
        <f>IF(B3="","",IF(AND(BF3=H3,H3=AM3),"OK","NA"))</f>
        <v/>
      </c>
      <c r="EB3" s="4" t="str">
        <f>IF(B3="","",IF(AND(BH3=I3,I3=AO3),"OK","NA"))</f>
        <v/>
      </c>
      <c r="EC3" s="4" t="str">
        <f>IF(B3="","",IF(AND(BI3=J3),"OK","NA"))</f>
        <v/>
      </c>
      <c r="ED3" s="4" t="str">
        <f>IF(B3="","",IF(AND(BJ3=AR3),"OK","NA"))</f>
        <v/>
      </c>
      <c r="EE3" s="4" t="str">
        <f>IF(B3="","",IF(AND(BK3=Y3),"OK","NA"))</f>
        <v/>
      </c>
      <c r="EF3" s="4" t="str">
        <f>IF(B3="","",IF(AND(BL3=E3),"OK","NA"))</f>
        <v/>
      </c>
      <c r="EG3" s="4" t="str">
        <f>IF(B3="","",IF(AND(BM3=X3,X3=AT3),"OK","NA"))</f>
        <v/>
      </c>
    </row>
    <row r="4" spans="2:181" s="1" customFormat="1" ht="24.75" customHeight="1" x14ac:dyDescent="0.25">
      <c r="B4" s="20"/>
      <c r="C4" s="20"/>
      <c r="E4" s="5"/>
      <c r="F4" s="5"/>
      <c r="G4" s="21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1"/>
      <c r="U4" s="21"/>
      <c r="V4" s="4"/>
      <c r="W4" s="4"/>
      <c r="X4" s="4"/>
      <c r="Y4" s="4"/>
      <c r="Z4" s="21"/>
      <c r="AA4" s="21"/>
      <c r="AB4" s="4"/>
      <c r="AC4" s="4"/>
      <c r="AD4" s="4"/>
      <c r="AF4" s="6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T4" s="4"/>
      <c r="AU4" s="4"/>
      <c r="AX4" s="7"/>
      <c r="AZ4" s="4"/>
      <c r="BA4" s="4"/>
      <c r="BB4" s="4"/>
      <c r="BC4" s="4"/>
      <c r="BD4" s="4"/>
      <c r="BE4" s="4"/>
      <c r="BF4" s="4"/>
      <c r="BH4" s="4"/>
      <c r="BI4" s="4"/>
      <c r="BJ4" s="4"/>
      <c r="BK4" s="4" t="str">
        <f>_xlfn.IFNA(VLOOKUP(U4,'GRPO Wiz'!AP:BZ,27,FALSE),"")</f>
        <v/>
      </c>
      <c r="BL4" s="4" t="str">
        <f>_xlfn.IFNA(VALUE(VLOOKUP(U4,'GRPO Wiz'!AP:BZ,29,FALSE)),"")</f>
        <v/>
      </c>
      <c r="BM4" s="4" t="str">
        <f>_xlfn.IFNA(VLOOKUP(U4,'GRPO Wiz'!AP:BZ,33,FALSE),"")</f>
        <v/>
      </c>
      <c r="BW4" s="7"/>
      <c r="BX4" s="21"/>
      <c r="BY4" s="4"/>
      <c r="BZ4" s="4"/>
      <c r="CA4" s="4"/>
      <c r="CB4" s="4"/>
      <c r="CC4" s="4"/>
      <c r="CW4" s="1">
        <v>3</v>
      </c>
      <c r="DT4" s="4" t="str">
        <f>IF(B4="","",IF(AND(AZ4=AG4,AG4=O4,B4&lt;&gt;""),"OK","NA"))</f>
        <v/>
      </c>
      <c r="DU4" s="4" t="str">
        <f>IF(B4="","",IF(AND(BA4=AH4,AH4=P4),"OK","NA"))</f>
        <v/>
      </c>
      <c r="DV4" s="4" t="str">
        <f>IF(B4="","",IF(AND(BB4=AI4,AI4=Q4),"OK","NA"))</f>
        <v/>
      </c>
      <c r="DW4" s="4" t="str">
        <f>IF(B4="","",IF(AND(BC4=AJ4,AJ4=R4),"OK","NA"))</f>
        <v/>
      </c>
      <c r="DX4" s="4" t="str">
        <f>IF(B4="","",IF(AND(BD4=AK4,AK4=S4),"OK","NA"))</f>
        <v/>
      </c>
      <c r="DY4" s="4" t="str">
        <f>IF(B4="","",IF(AND(BE4=V4),"OK","NA"))</f>
        <v/>
      </c>
      <c r="DZ4" s="4" t="str">
        <f>IF(B4="","",IF(AND(BF4=H4,H4=AM4),"OK","NA"))</f>
        <v/>
      </c>
      <c r="EB4" s="4" t="str">
        <f>IF(B4="","",IF(AND(BH4=I4,I4=AO4),"OK","NA"))</f>
        <v/>
      </c>
      <c r="EC4" s="4" t="str">
        <f>IF(B4="","",IF(AND(BI4=J4),"OK","NA"))</f>
        <v/>
      </c>
      <c r="ED4" s="4" t="str">
        <f>IF(B4="","",IF(AND(BJ4=AR4),"OK","NA"))</f>
        <v/>
      </c>
      <c r="EE4" s="4" t="str">
        <f>IF(B4="","",IF(AND(BK4=Y4),"OK","NA"))</f>
        <v/>
      </c>
      <c r="EF4" s="4" t="str">
        <f>IF(B4="","",IF(AND(BL4=E4),"OK","NA"))</f>
        <v/>
      </c>
      <c r="EG4" s="4" t="str">
        <f>IF(B4="","",IF(AND(BM4=X4,X4=AT4),"OK","NA"))</f>
        <v/>
      </c>
    </row>
    <row r="5" spans="2:181" s="1" customFormat="1" ht="24.75" customHeight="1" x14ac:dyDescent="0.25">
      <c r="T5" s="4"/>
      <c r="U5" s="4"/>
      <c r="AF5" s="6"/>
      <c r="AG5" s="4"/>
      <c r="AH5" s="4"/>
      <c r="AI5" s="4"/>
      <c r="AJ5" s="4"/>
      <c r="AK5" s="4"/>
      <c r="AL5" s="4"/>
      <c r="AM5" s="4"/>
      <c r="AO5" s="4"/>
      <c r="AQ5" s="4"/>
      <c r="AR5" s="4"/>
      <c r="AT5" s="4"/>
      <c r="AU5" s="4"/>
      <c r="AX5" s="7"/>
      <c r="BE5" s="4"/>
      <c r="BW5" s="7"/>
      <c r="BX5" s="4"/>
      <c r="BY5" s="4"/>
      <c r="BZ5" s="4"/>
      <c r="CA5" s="4"/>
      <c r="CB5" s="4"/>
      <c r="CC5" s="4"/>
      <c r="DT5" s="4"/>
      <c r="DU5" s="4"/>
      <c r="DV5" s="4"/>
      <c r="DW5" s="4"/>
      <c r="DX5" s="4"/>
      <c r="DY5" s="4"/>
      <c r="DZ5" s="4"/>
      <c r="EB5" s="4"/>
      <c r="EC5" s="4"/>
      <c r="ED5" s="4"/>
      <c r="EE5" s="4"/>
      <c r="EF5" s="4"/>
      <c r="EG5" s="4"/>
    </row>
    <row r="6" spans="2:181" s="1" customFormat="1" ht="24.75" customHeight="1" x14ac:dyDescent="0.25">
      <c r="T6" s="4"/>
      <c r="U6" s="4"/>
      <c r="AF6" s="6"/>
      <c r="AG6" s="4"/>
      <c r="AH6" s="4"/>
      <c r="AI6" s="4"/>
      <c r="AJ6" s="4"/>
      <c r="AK6" s="4"/>
      <c r="AL6" s="4"/>
      <c r="AM6" s="4"/>
      <c r="AO6" s="4"/>
      <c r="AQ6" s="4"/>
      <c r="AR6" s="4"/>
      <c r="AT6" s="4"/>
      <c r="AX6" s="7"/>
      <c r="AZ6" s="4"/>
      <c r="BA6" s="4"/>
      <c r="BB6" s="4"/>
      <c r="BC6" s="4"/>
      <c r="BD6" s="4"/>
      <c r="BE6" s="4"/>
      <c r="BF6" s="4"/>
      <c r="BH6" s="4"/>
      <c r="BI6" s="4"/>
      <c r="BJ6" s="4"/>
      <c r="BK6" s="4"/>
      <c r="BL6" s="4"/>
      <c r="BM6" s="4"/>
      <c r="BW6" s="7"/>
      <c r="DT6" s="4"/>
      <c r="DU6" s="4"/>
      <c r="DV6" s="4"/>
      <c r="DW6" s="4"/>
      <c r="DX6" s="4"/>
      <c r="DY6" s="4"/>
      <c r="DZ6" s="4"/>
      <c r="EB6" s="4"/>
      <c r="EC6" s="4"/>
      <c r="ED6" s="4"/>
      <c r="EE6" s="4"/>
      <c r="EF6" s="4"/>
      <c r="EG6" s="4"/>
    </row>
    <row r="7" spans="2:181" x14ac:dyDescent="0.25">
      <c r="AX7" s="7"/>
      <c r="BW7" s="7"/>
    </row>
    <row r="8" spans="2:181" x14ac:dyDescent="0.25">
      <c r="AX8" s="7"/>
    </row>
    <row r="9" spans="2:181" x14ac:dyDescent="0.25">
      <c r="AX9" s="7"/>
    </row>
    <row r="10" spans="2:181" x14ac:dyDescent="0.25">
      <c r="AX10" s="7"/>
    </row>
    <row r="11" spans="2:181" x14ac:dyDescent="0.25">
      <c r="AX1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5"/>
  <sheetViews>
    <sheetView topLeftCell="E1" workbookViewId="0">
      <selection activeCell="I20" sqref="I20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Y1000"/>
  <sheetViews>
    <sheetView showGridLines="0" topLeftCell="B1" zoomScale="81" zoomScaleNormal="58" workbookViewId="0">
      <selection activeCell="W2" sqref="W2"/>
    </sheetView>
  </sheetViews>
  <sheetFormatPr defaultColWidth="9.140625" defaultRowHeight="15" outlineLevelCol="1" x14ac:dyDescent="0.25"/>
  <cols>
    <col min="1" max="1" width="14.140625" style="45" bestFit="1" customWidth="1"/>
    <col min="2" max="2" width="5.28515625" style="45" bestFit="1" customWidth="1"/>
    <col min="3" max="3" width="40.7109375" style="45" bestFit="1" customWidth="1"/>
    <col min="4" max="4" width="4.42578125" style="45" bestFit="1" customWidth="1"/>
    <col min="5" max="5" width="9.42578125" style="45" bestFit="1" customWidth="1"/>
    <col min="6" max="6" width="4.28515625" style="45" bestFit="1" customWidth="1"/>
    <col min="7" max="7" width="10" style="45" bestFit="1" customWidth="1"/>
    <col min="8" max="8" width="5.85546875" style="45" bestFit="1" customWidth="1"/>
    <col min="9" max="9" width="6.28515625" style="45" bestFit="1" customWidth="1"/>
    <col min="10" max="10" width="15.42578125" style="45" bestFit="1" customWidth="1"/>
    <col min="11" max="12" width="9.42578125" style="45" bestFit="1" customWidth="1"/>
    <col min="13" max="14" width="10.42578125" style="45" bestFit="1" customWidth="1"/>
    <col min="15" max="15" width="13.42578125" style="45" bestFit="1" customWidth="1"/>
    <col min="16" max="16" width="6.85546875" style="45" bestFit="1" customWidth="1"/>
    <col min="17" max="17" width="4.28515625" style="45" bestFit="1" customWidth="1"/>
    <col min="18" max="18" width="5.28515625" style="45" bestFit="1" customWidth="1"/>
    <col min="19" max="19" width="4.85546875" style="45" bestFit="1" customWidth="1"/>
    <col min="20" max="20" width="12.85546875" style="45" bestFit="1" customWidth="1"/>
    <col min="21" max="21" width="12" style="45" bestFit="1" customWidth="1"/>
    <col min="22" max="22" width="11.5703125" style="45" bestFit="1" customWidth="1"/>
    <col min="23" max="23" width="12.85546875" style="38" bestFit="1" customWidth="1"/>
    <col min="24" max="24" width="5.7109375" style="45" bestFit="1" customWidth="1"/>
    <col min="25" max="25" width="10.42578125" style="45" bestFit="1" customWidth="1"/>
    <col min="26" max="26" width="9.42578125" style="45" bestFit="1" customWidth="1" outlineLevel="1"/>
    <col min="27" max="27" width="12" style="45" bestFit="1" customWidth="1" outlineLevel="1"/>
    <col min="28" max="28" width="21" style="45" bestFit="1" customWidth="1"/>
    <col min="29" max="29" width="12.5703125" style="45" bestFit="1" customWidth="1"/>
    <col min="30" max="30" width="19.5703125" style="45" bestFit="1" customWidth="1"/>
    <col min="31" max="31" width="9.140625" style="45" customWidth="1"/>
    <col min="32" max="32" width="12.5703125" style="45" bestFit="1" customWidth="1"/>
    <col min="33" max="33" width="12.140625" style="45" bestFit="1" customWidth="1"/>
    <col min="34" max="34" width="12.42578125" style="45" bestFit="1" customWidth="1"/>
    <col min="35" max="35" width="8.7109375" style="45" bestFit="1" customWidth="1"/>
    <col min="36" max="36" width="9.5703125" style="45" bestFit="1" customWidth="1"/>
    <col min="37" max="37" width="8.5703125" style="45" bestFit="1" customWidth="1"/>
    <col min="38" max="38" width="18.7109375" style="45" bestFit="1" customWidth="1"/>
    <col min="39" max="39" width="14.7109375" style="45" bestFit="1" customWidth="1"/>
    <col min="40" max="41" width="17.28515625" style="45" bestFit="1" customWidth="1"/>
    <col min="42" max="42" width="19.140625" style="45" bestFit="1" customWidth="1"/>
    <col min="43" max="43" width="19.7109375" style="45" bestFit="1" customWidth="1"/>
    <col min="44" max="44" width="13.7109375" style="45" bestFit="1" customWidth="1"/>
    <col min="45" max="45" width="6.7109375" style="45" bestFit="1" customWidth="1"/>
    <col min="46" max="46" width="5.7109375" style="45" bestFit="1" customWidth="1"/>
    <col min="47" max="47" width="15" style="45" bestFit="1" customWidth="1"/>
    <col min="48" max="49" width="9.140625" style="45" customWidth="1"/>
    <col min="50" max="50" width="2.42578125" style="45" bestFit="1" customWidth="1"/>
    <col min="51" max="51" width="11.5703125" style="45" bestFit="1" customWidth="1"/>
    <col min="52" max="52" width="12.140625" style="45" bestFit="1" customWidth="1"/>
    <col min="53" max="53" width="11.28515625" style="45" bestFit="1" customWidth="1"/>
    <col min="54" max="54" width="7.7109375" style="45" bestFit="1" customWidth="1"/>
    <col min="55" max="55" width="8.5703125" style="45" bestFit="1" customWidth="1"/>
    <col min="56" max="56" width="7.5703125" style="45" bestFit="1" customWidth="1"/>
    <col min="57" max="57" width="17.5703125" style="45" bestFit="1" customWidth="1"/>
    <col min="58" max="58" width="13.7109375" style="45" bestFit="1" customWidth="1"/>
    <col min="59" max="60" width="16.28515625" style="45" bestFit="1" customWidth="1"/>
    <col min="61" max="61" width="18" style="45" bestFit="1" customWidth="1"/>
    <col min="62" max="62" width="19.42578125" style="45" bestFit="1" customWidth="1"/>
    <col min="63" max="63" width="12.140625" style="45" bestFit="1" customWidth="1"/>
    <col min="64" max="64" width="10.42578125" style="45" bestFit="1" customWidth="1"/>
    <col min="65" max="65" width="10.85546875" style="45" bestFit="1" customWidth="1"/>
    <col min="66" max="67" width="9.140625" style="45" customWidth="1"/>
    <col min="68" max="73" width="9.140625" style="45" customWidth="1" outlineLevel="1"/>
    <col min="74" max="74" width="9.140625" style="45" customWidth="1"/>
    <col min="75" max="75" width="16.85546875" style="45" bestFit="1" customWidth="1"/>
    <col min="76" max="76" width="11" style="45" bestFit="1" customWidth="1"/>
    <col min="77" max="77" width="18.42578125" style="45" bestFit="1" customWidth="1"/>
    <col min="78" max="79" width="9.42578125" style="45" bestFit="1" customWidth="1"/>
    <col min="80" max="80" width="10.42578125" style="45" bestFit="1" customWidth="1"/>
    <col min="81" max="81" width="23.42578125" style="45" bestFit="1" customWidth="1"/>
    <col min="82" max="82" width="14.140625" style="45" bestFit="1" customWidth="1" outlineLevel="1"/>
    <col min="83" max="83" width="7" style="45" bestFit="1" customWidth="1" outlineLevel="1"/>
    <col min="84" max="84" width="22.85546875" style="45" bestFit="1" customWidth="1"/>
    <col min="85" max="86" width="11.7109375" style="45" bestFit="1" customWidth="1"/>
    <col min="87" max="87" width="10.42578125" style="45" bestFit="1" customWidth="1"/>
    <col min="88" max="88" width="22.28515625" style="45" bestFit="1" customWidth="1"/>
    <col min="89" max="89" width="21.140625" style="45" bestFit="1" customWidth="1"/>
    <col min="90" max="100" width="9.140625" style="45" customWidth="1"/>
    <col min="101" max="101" width="5.28515625" style="45" bestFit="1" customWidth="1" outlineLevel="1"/>
    <col min="102" max="102" width="5" style="45" bestFit="1" customWidth="1" outlineLevel="1"/>
    <col min="103" max="103" width="13.42578125" style="45" bestFit="1" customWidth="1" outlineLevel="1"/>
    <col min="104" max="104" width="5.28515625" style="45" bestFit="1" customWidth="1" outlineLevel="1"/>
    <col min="105" max="105" width="10.42578125" style="45" bestFit="1" customWidth="1" outlineLevel="1"/>
    <col min="106" max="106" width="6.85546875" style="45" bestFit="1" customWidth="1" outlineLevel="1"/>
    <col min="107" max="107" width="7.42578125" style="45" bestFit="1" customWidth="1" outlineLevel="1"/>
    <col min="108" max="108" width="7.5703125" style="45" bestFit="1" customWidth="1" outlineLevel="1"/>
    <col min="109" max="109" width="21" style="45" bestFit="1" customWidth="1" outlineLevel="1"/>
    <col min="110" max="110" width="11" style="45" bestFit="1" customWidth="1" outlineLevel="1"/>
    <col min="111" max="111" width="10.5703125" style="45" bestFit="1" customWidth="1" outlineLevel="1"/>
    <col min="112" max="112" width="10.28515625" style="45" bestFit="1" customWidth="1" outlineLevel="1"/>
    <col min="113" max="113" width="19.5703125" style="45" bestFit="1" customWidth="1" outlineLevel="1"/>
    <col min="114" max="114" width="12.85546875" style="45" bestFit="1" customWidth="1" outlineLevel="1"/>
    <col min="115" max="115" width="11" style="45" bestFit="1" customWidth="1" outlineLevel="1"/>
    <col min="116" max="116" width="6.7109375" style="45" bestFit="1" customWidth="1" outlineLevel="1"/>
    <col min="117" max="117" width="10.28515625" style="45" bestFit="1" customWidth="1" outlineLevel="1"/>
    <col min="118" max="123" width="9.140625" style="45" customWidth="1" outlineLevel="1"/>
    <col min="124" max="124" width="10.85546875" style="45" bestFit="1" customWidth="1" outlineLevel="1"/>
    <col min="125" max="125" width="11.28515625" style="45" bestFit="1" customWidth="1" outlineLevel="1"/>
    <col min="126" max="126" width="7.7109375" style="45" bestFit="1" customWidth="1" outlineLevel="1"/>
    <col min="127" max="127" width="8.5703125" style="45" bestFit="1" customWidth="1" outlineLevel="1"/>
    <col min="128" max="128" width="7.5703125" style="45" bestFit="1" customWidth="1" outlineLevel="1"/>
    <col min="129" max="129" width="17.5703125" style="45" bestFit="1" customWidth="1" outlineLevel="1"/>
    <col min="130" max="130" width="13.7109375" style="45" bestFit="1" customWidth="1" outlineLevel="1"/>
    <col min="131" max="132" width="16.28515625" style="45" bestFit="1" customWidth="1" outlineLevel="1"/>
    <col min="133" max="133" width="18" style="45" bestFit="1" customWidth="1" outlineLevel="1"/>
    <col min="134" max="134" width="19.42578125" style="45" bestFit="1" customWidth="1" outlineLevel="1"/>
    <col min="135" max="135" width="12.140625" style="45" bestFit="1" customWidth="1" outlineLevel="1"/>
    <col min="136" max="136" width="10.42578125" style="45" bestFit="1" customWidth="1" outlineLevel="1"/>
    <col min="137" max="137" width="10.85546875" style="45" bestFit="1" customWidth="1" outlineLevel="1"/>
    <col min="138" max="138" width="9.140625" style="45" customWidth="1" outlineLevel="1"/>
    <col min="139" max="143" width="9.140625" style="45" outlineLevel="1"/>
    <col min="144" max="148" width="9.140625" style="45"/>
    <col min="149" max="181" width="6.28515625" style="45" bestFit="1" customWidth="1"/>
    <col min="182" max="16384" width="9.140625" style="45"/>
  </cols>
  <sheetData>
    <row r="1" spans="1:181" ht="27" customHeight="1" x14ac:dyDescent="0.25">
      <c r="A1" s="45" t="s">
        <v>95</v>
      </c>
      <c r="B1" s="45" t="s">
        <v>0</v>
      </c>
      <c r="C1" s="45" t="s">
        <v>131</v>
      </c>
      <c r="D1" s="45" t="s">
        <v>19</v>
      </c>
      <c r="E1" s="45" t="s">
        <v>17</v>
      </c>
      <c r="F1" s="45" t="s">
        <v>20</v>
      </c>
      <c r="G1" s="45" t="s">
        <v>21</v>
      </c>
      <c r="H1" s="45" t="s">
        <v>22</v>
      </c>
      <c r="I1" s="45" t="s">
        <v>23</v>
      </c>
      <c r="J1" s="45" t="s">
        <v>94</v>
      </c>
      <c r="K1" s="45" t="s">
        <v>26</v>
      </c>
      <c r="M1" s="45" t="s">
        <v>125</v>
      </c>
      <c r="N1" s="45" t="s">
        <v>36</v>
      </c>
      <c r="O1" s="45" t="s">
        <v>6</v>
      </c>
      <c r="P1" s="45" t="s">
        <v>29</v>
      </c>
      <c r="Q1" s="45" t="s">
        <v>30</v>
      </c>
      <c r="R1" s="45" t="s">
        <v>31</v>
      </c>
      <c r="S1" s="45" t="s">
        <v>32</v>
      </c>
      <c r="T1" s="45" t="s">
        <v>124</v>
      </c>
      <c r="U1" s="45" t="s">
        <v>34</v>
      </c>
      <c r="V1" s="45" t="s">
        <v>2</v>
      </c>
      <c r="W1" s="45" t="s">
        <v>35</v>
      </c>
      <c r="X1" s="45" t="s">
        <v>5</v>
      </c>
      <c r="Y1" s="45" t="s">
        <v>16</v>
      </c>
      <c r="AB1" s="45" t="s">
        <v>76</v>
      </c>
      <c r="AC1" s="45" t="s">
        <v>93</v>
      </c>
      <c r="AD1" s="45" t="s">
        <v>79</v>
      </c>
      <c r="AF1" s="45" t="s">
        <v>37</v>
      </c>
      <c r="AG1" s="45" t="s">
        <v>38</v>
      </c>
      <c r="AH1" s="45" t="s">
        <v>39</v>
      </c>
      <c r="AI1" s="45" t="s">
        <v>40</v>
      </c>
      <c r="AJ1" s="45" t="s">
        <v>41</v>
      </c>
      <c r="AK1" s="45" t="s">
        <v>42</v>
      </c>
      <c r="AL1" s="45" t="s">
        <v>43</v>
      </c>
      <c r="AM1" s="45" t="s">
        <v>44</v>
      </c>
      <c r="AN1" s="45" t="s">
        <v>45</v>
      </c>
      <c r="AO1" s="45" t="s">
        <v>46</v>
      </c>
      <c r="AP1" s="45" t="s">
        <v>47</v>
      </c>
      <c r="AQ1" s="45" t="s">
        <v>48</v>
      </c>
      <c r="AR1" s="45" t="s">
        <v>15</v>
      </c>
      <c r="AS1" s="45" t="s">
        <v>16</v>
      </c>
      <c r="AT1" s="45" t="s">
        <v>5</v>
      </c>
      <c r="AU1" s="45" t="s">
        <v>49</v>
      </c>
      <c r="AY1" s="45" t="s">
        <v>97</v>
      </c>
      <c r="AZ1" s="45" t="s">
        <v>50</v>
      </c>
      <c r="BA1" s="45" t="s">
        <v>51</v>
      </c>
      <c r="BB1" s="45" t="s">
        <v>52</v>
      </c>
      <c r="BC1" s="45" t="s">
        <v>53</v>
      </c>
      <c r="BD1" s="45" t="s">
        <v>54</v>
      </c>
      <c r="BE1" s="45" t="s">
        <v>55</v>
      </c>
      <c r="BF1" s="45" t="s">
        <v>56</v>
      </c>
      <c r="BG1" s="45" t="s">
        <v>57</v>
      </c>
      <c r="BH1" s="45" t="s">
        <v>58</v>
      </c>
      <c r="BI1" s="45" t="s">
        <v>59</v>
      </c>
      <c r="BJ1" s="45" t="s">
        <v>60</v>
      </c>
      <c r="BK1" s="45" t="s">
        <v>61</v>
      </c>
      <c r="BL1" s="45" t="s">
        <v>62</v>
      </c>
      <c r="BM1" s="45" t="s">
        <v>63</v>
      </c>
      <c r="BN1" s="45" t="s">
        <v>128</v>
      </c>
      <c r="BW1" s="45" t="s">
        <v>99</v>
      </c>
      <c r="BX1" s="45" t="s">
        <v>65</v>
      </c>
      <c r="BY1" s="45" t="s">
        <v>66</v>
      </c>
      <c r="BZ1" s="45" t="s">
        <v>198</v>
      </c>
      <c r="CB1" s="45" t="s">
        <v>123</v>
      </c>
      <c r="CC1" s="45" t="s">
        <v>200</v>
      </c>
      <c r="CD1" s="45" t="s">
        <v>126</v>
      </c>
      <c r="CF1" s="45" t="s">
        <v>71</v>
      </c>
      <c r="CG1" s="45" t="s">
        <v>199</v>
      </c>
      <c r="CI1" s="45" t="s">
        <v>122</v>
      </c>
      <c r="CJ1" s="45" t="s">
        <v>201</v>
      </c>
      <c r="CK1" s="45" t="s">
        <v>98</v>
      </c>
      <c r="CW1" s="45" t="s">
        <v>0</v>
      </c>
      <c r="CX1" s="45" t="s">
        <v>5</v>
      </c>
      <c r="CY1" s="45" t="s">
        <v>6</v>
      </c>
      <c r="CZ1" s="45" t="s">
        <v>7</v>
      </c>
      <c r="DA1" s="45" t="s">
        <v>8</v>
      </c>
      <c r="DB1" s="45" t="s">
        <v>9</v>
      </c>
      <c r="DC1" s="45" t="s">
        <v>10</v>
      </c>
      <c r="DD1" s="45" t="s">
        <v>75</v>
      </c>
      <c r="DE1" s="45" t="s">
        <v>76</v>
      </c>
      <c r="DF1" s="45" t="s">
        <v>77</v>
      </c>
      <c r="DG1" s="45" t="s">
        <v>78</v>
      </c>
      <c r="DH1" s="45" t="s">
        <v>74</v>
      </c>
      <c r="DI1" s="45" t="s">
        <v>79</v>
      </c>
      <c r="DJ1" s="45" t="s">
        <v>35</v>
      </c>
      <c r="DK1" s="45" t="s">
        <v>2</v>
      </c>
      <c r="DL1" s="45" t="s">
        <v>16</v>
      </c>
      <c r="DM1" s="45" t="s">
        <v>80</v>
      </c>
      <c r="DT1" s="45" t="s">
        <v>50</v>
      </c>
      <c r="DU1" s="45" t="s">
        <v>51</v>
      </c>
      <c r="DV1" s="45" t="s">
        <v>52</v>
      </c>
      <c r="DW1" s="45" t="s">
        <v>53</v>
      </c>
      <c r="DX1" s="45" t="s">
        <v>54</v>
      </c>
      <c r="DY1" s="45" t="s">
        <v>55</v>
      </c>
      <c r="DZ1" s="45" t="s">
        <v>56</v>
      </c>
      <c r="EA1" s="45" t="s">
        <v>57</v>
      </c>
      <c r="EB1" s="45" t="s">
        <v>58</v>
      </c>
      <c r="EC1" s="45" t="s">
        <v>59</v>
      </c>
      <c r="ED1" s="45" t="s">
        <v>60</v>
      </c>
      <c r="EE1" s="45" t="s">
        <v>61</v>
      </c>
      <c r="EF1" s="45" t="s">
        <v>62</v>
      </c>
      <c r="EG1" s="45" t="s">
        <v>63</v>
      </c>
      <c r="ES1" s="45" t="s">
        <v>91</v>
      </c>
    </row>
    <row r="2" spans="1:181" ht="24.75" customHeight="1" x14ac:dyDescent="0.25">
      <c r="B2" s="45" t="str">
        <f>IF(I2="","",1)</f>
        <v/>
      </c>
      <c r="F2" s="45" t="s">
        <v>130</v>
      </c>
      <c r="J2" s="45" t="str">
        <f>IF(I2="","",H2*I2)</f>
        <v/>
      </c>
      <c r="N2" s="45" t="str">
        <f>IF(I2="","",K2+L2)</f>
        <v/>
      </c>
      <c r="S2" s="45" t="s">
        <v>130</v>
      </c>
      <c r="T2" s="45" t="str">
        <f>G2&amp;H2</f>
        <v/>
      </c>
      <c r="W2" s="51"/>
      <c r="X2" s="45" t="str">
        <f>IF(I2="","","POSCOM")</f>
        <v/>
      </c>
      <c r="AB2" s="45">
        <f>SUM(J2:J48)</f>
        <v>0</v>
      </c>
      <c r="AC2" s="45">
        <f>SUM(K2:M34)</f>
        <v>0</v>
      </c>
      <c r="AD2" s="45">
        <f>AB2+AC2</f>
        <v>0</v>
      </c>
      <c r="AG2" s="45" t="str">
        <f>_xlfn.IFNA(VLOOKUP(U2,'Incoming Material Report'!A:M,13,FALSE),"")</f>
        <v/>
      </c>
      <c r="AH2" s="45" t="str">
        <f>_xlfn.IFNA(IF(VLOOKUP(U2,'Incoming Material Report'!A:N,14,FALSE)="","",VLOOKUP(U2,'Incoming Material Report'!A:N,14,FALSE)),"")</f>
        <v/>
      </c>
      <c r="AI2" s="45" t="str">
        <f>_xlfn.IFNA(VLOOKUP(U2,'Incoming Material Report'!A:Z,24,FALSE),"")</f>
        <v/>
      </c>
      <c r="AJ2" s="45" t="str">
        <f>_xlfn.IFNA(VLOOKUP(U2,'Incoming Material Report'!A:Z,25,FALSE),"")</f>
        <v/>
      </c>
      <c r="AK2" s="45" t="str">
        <f>_xlfn.IFNA(VLOOKUP(U2,'Incoming Material Report'!A:Z,26,FALSE),"")</f>
        <v/>
      </c>
      <c r="AL2" s="45" t="str">
        <f>_xlfn.IFNA(VLOOKUP(U2,'Incoming Material Report'!A:Z,2,FALSE),"")</f>
        <v/>
      </c>
      <c r="AM2" s="45" t="str">
        <f>_xlfn.IFNA(VLOOKUP(U2,'Incoming Material Report'!A:K,11,FALSE)/1000,"")</f>
        <v/>
      </c>
      <c r="AO2" s="45" t="str">
        <f>_xlfn.IFNA(VLOOKUP(U2,'Incoming Material Report'!A:R,18,FALSE)*1000,"")</f>
        <v/>
      </c>
      <c r="AQ2" s="45" t="str">
        <f>_xlfn.IFNA(TEXT(VLOOKUP(U2,'Incoming Material Report'!A:D,4,FALSE),"dd.mm.yy"),"")</f>
        <v/>
      </c>
      <c r="AR2" s="45" t="str">
        <f>_xlfn.IFNA(VLOOKUP(U2,'Incoming Material Report'!A:Z,5,FALSE),"")</f>
        <v/>
      </c>
      <c r="AT2" s="45" t="str">
        <f>_xlfn.IFNA(VLOOKUP(U2,'Incoming Material Report'!A:Z,6,FALSE),"")</f>
        <v/>
      </c>
      <c r="AU2" s="45" t="str">
        <f>_xlfn.IFNA(VLOOKUP(U2,'Incoming Material Report'!A:Z,8,FALSE),"")</f>
        <v/>
      </c>
      <c r="AZ2" s="45" t="str">
        <f>_xlfn.IFNA(VLOOKUP(U2,'GRPO Wiz'!AP:BT,17,FALSE),"")</f>
        <v/>
      </c>
      <c r="BA2" s="45" t="str">
        <f>_xlfn.IFNA(VLOOKUP(U2,'GRPO Wiz'!AP:BT,18,FALSE),"")</f>
        <v/>
      </c>
      <c r="BB2" s="45" t="str">
        <f>_xlfn.IFNA(VLOOKUP(U2,'GRPO Wiz'!AP:BT,19,FALSE),"")</f>
        <v/>
      </c>
      <c r="BC2" s="45" t="str">
        <f>_xlfn.IFNA(VLOOKUP(U2,'GRPO Wiz'!AP:BT,20,FALSE),"")</f>
        <v/>
      </c>
      <c r="BD2" s="45" t="str">
        <f>_xlfn.IFNA(VLOOKUP(U2,'GRPO Wiz'!AP:BT,21,FALSE),"")</f>
        <v/>
      </c>
      <c r="BE2" s="45" t="str">
        <f>_xlfn.IFNA(VLOOKUP(U2,'GRPO Wiz'!AP:BT,22,FALSE),"")</f>
        <v/>
      </c>
      <c r="BF2" s="45" t="str">
        <f>_xlfn.IFNA(VLOOKUP(U2,'GRPO Wiz'!AP:BT,26,FALSE),"")</f>
        <v/>
      </c>
      <c r="BH2" s="45" t="str">
        <f>_xlfn.IFNA(VLOOKUP(U2,'GRPO Wiz'!AP:BN,25,FALSE),"")</f>
        <v/>
      </c>
      <c r="BI2" s="45" t="str">
        <f>_xlfn.IFNA(VLOOKUP(U2,'GRPO Wiz'!AP:BT,31,FALSE),"")</f>
        <v/>
      </c>
      <c r="BJ2" s="45" t="str">
        <f>_xlfn.IFNA(VLOOKUP(U2,'GRPO Wiz'!AP:BZ,32,FALSE),"")</f>
        <v/>
      </c>
      <c r="BK2" s="45" t="str">
        <f>_xlfn.IFNA(VLOOKUP(U2,'GRPO Wiz'!AP:BZ,27,FALSE),"")</f>
        <v/>
      </c>
      <c r="BL2" s="45" t="str">
        <f>_xlfn.IFNA(VALUE(VLOOKUP(U2,'GRPO Wiz'!AP:BZ,29,FALSE)),"")</f>
        <v/>
      </c>
      <c r="BM2" s="45" t="str">
        <f>_xlfn.IFNA(VLOOKUP(U2,'GRPO Wiz'!AP:BZ,33,FALSE),"")</f>
        <v/>
      </c>
      <c r="BN2" s="45" t="str">
        <f>_xlfn.IFNA(VLOOKUP(U2,'GRPO Wiz'!AP:BZ,34,FALSE),"")</f>
        <v/>
      </c>
      <c r="BX2" s="45" t="str">
        <f>AU2</f>
        <v/>
      </c>
      <c r="BY2" s="45" t="str">
        <f>_xlfn.IFNA(VLOOKUP(BX2&amp;H2,AP!IP:IQ,2,FALSE),"")</f>
        <v/>
      </c>
      <c r="BZ2" s="45" t="str">
        <f>IFERROR(BY2*18%,"")</f>
        <v/>
      </c>
      <c r="CB2" s="45" t="str">
        <f>IF(SUM(BY2:CA2)*0.075%=0,"",ROUND(BY2*0.1%,0))</f>
        <v/>
      </c>
      <c r="CC2" s="45" t="str">
        <f>_xlfn.IFNA((VLOOKUP(BX2&amp;H2,AP!IP:IR,3,FALSE)),"")</f>
        <v/>
      </c>
      <c r="CD2" s="45" t="str">
        <f>_xlfn.IFNA((VLOOKUP(BX2&amp;H2,AP!IP:IS,4,FALSE)),"")</f>
        <v/>
      </c>
      <c r="CF2" s="45">
        <f>Tax!AL2</f>
        <v>0</v>
      </c>
      <c r="CG2" s="45">
        <f>Tax!AK2</f>
        <v>0</v>
      </c>
      <c r="CI2" s="45">
        <f>Tax!H3</f>
        <v>0</v>
      </c>
      <c r="CJ2" s="45">
        <f>SUM(CG2:CH2)</f>
        <v>0</v>
      </c>
      <c r="CK2" s="45">
        <f>Tax!H2+Tax!H3</f>
        <v>0</v>
      </c>
      <c r="CW2" s="45">
        <v>1</v>
      </c>
      <c r="DT2" s="45" t="str">
        <f t="shared" ref="DT2:DT16" si="0">IF(B2="","",IF(AND(AZ2=AG2,AG2=O2,B2&lt;&gt;""),"TRUE","FALSE"))</f>
        <v/>
      </c>
      <c r="DU2" s="45" t="str">
        <f t="shared" ref="DU2:DU16" si="1">IF(B2="","",IF(AND(BA2=AH2,AH2=P2),"TRUE","FALSE"))</f>
        <v/>
      </c>
      <c r="DV2" s="45" t="str">
        <f t="shared" ref="DV2:DV16" si="2">IF(B2="","",IF(AND(BB2=AI2,AI2=Q2),"TRUE","FALSE"))</f>
        <v/>
      </c>
      <c r="DW2" s="45" t="str">
        <f t="shared" ref="DW2:DW16" si="3">IF(B2="","",IF(AND(BC2=AJ2,AJ2=R2),"TRUE","FALSE"))</f>
        <v/>
      </c>
      <c r="DX2" s="45" t="str">
        <f t="shared" ref="DX2:DX16" si="4">IF(B2="","",IF(AND(BD2=AK2,AK2=S2),"TRUE","FALSE"))</f>
        <v/>
      </c>
      <c r="DY2" s="45" t="str">
        <f t="shared" ref="DY2:DY16" si="5">IF(B2="","",IF(AND(BE2=V2),"TRUE","FALSE"))</f>
        <v/>
      </c>
      <c r="DZ2" s="45" t="str">
        <f t="shared" ref="DZ2:DZ16" si="6">IF(B2="","",IF(AND(BF2=H2,H2=AM2),"TRUE","FALSE"))</f>
        <v/>
      </c>
      <c r="EB2" s="45" t="str">
        <f t="shared" ref="EB2:EB16" si="7">IF(B2="","",IF(AND(BH2=I2,I2=AO2),"TRUE","FALSE"))</f>
        <v/>
      </c>
      <c r="EC2" s="45" t="str">
        <f t="shared" ref="EC2:EC16" si="8">IF(B2="","",IF(AND(BI2=J2),"TRUE","FALSE"))</f>
        <v/>
      </c>
      <c r="ED2" s="45" t="str">
        <f t="shared" ref="ED2:ED16" si="9">IF(B2="","",IF(AND(BJ2=AR2),"TRUE","FALSE"))</f>
        <v/>
      </c>
      <c r="EE2" s="45" t="str">
        <f t="shared" ref="EE2:EE16" si="10">IF(B2="","",IF(AND(BK2=Y2),"TRUE","FALSE"))</f>
        <v/>
      </c>
      <c r="EF2" s="45" t="str">
        <f t="shared" ref="EF2:EF16" si="11">IF(B2="","",IF(AND(BL2=E2),"TRUE","FALSE"))</f>
        <v/>
      </c>
      <c r="EG2" s="45" t="str">
        <f t="shared" ref="EG2:EG16" si="12">IF(B2="","",IF(AND(BM2=X2,X2=AT2),"TRUE","FALSE"))</f>
        <v/>
      </c>
      <c r="ES2" s="45" t="b">
        <v>0</v>
      </c>
      <c r="ET2" s="45" t="b">
        <v>0</v>
      </c>
      <c r="EU2" s="45" t="b">
        <v>0</v>
      </c>
      <c r="EV2" s="45" t="b">
        <v>0</v>
      </c>
      <c r="EW2" s="45" t="b">
        <v>0</v>
      </c>
      <c r="EX2" s="45" t="b">
        <v>0</v>
      </c>
      <c r="EY2" s="45" t="b">
        <v>0</v>
      </c>
      <c r="EZ2" s="45" t="b">
        <v>0</v>
      </c>
      <c r="FA2" s="45" t="b">
        <v>0</v>
      </c>
      <c r="FB2" s="45" t="b">
        <v>0</v>
      </c>
      <c r="FC2" s="45" t="b">
        <v>0</v>
      </c>
      <c r="FD2" s="45" t="b">
        <v>0</v>
      </c>
      <c r="FE2" s="45" t="b">
        <v>0</v>
      </c>
      <c r="FF2" s="45" t="b">
        <v>0</v>
      </c>
      <c r="FG2" s="45" t="b">
        <v>0</v>
      </c>
      <c r="FH2" s="45" t="b">
        <v>0</v>
      </c>
      <c r="FI2" s="45" t="b">
        <v>0</v>
      </c>
      <c r="FJ2" s="45" t="b">
        <v>0</v>
      </c>
      <c r="FK2" s="45" t="b">
        <v>0</v>
      </c>
      <c r="FL2" s="45" t="b">
        <v>0</v>
      </c>
      <c r="FM2" s="45" t="b">
        <v>0</v>
      </c>
      <c r="FN2" s="45" t="b">
        <v>0</v>
      </c>
      <c r="FO2" s="45" t="b">
        <v>0</v>
      </c>
      <c r="FP2" s="45" t="b">
        <v>0</v>
      </c>
      <c r="FQ2" s="45" t="b">
        <v>0</v>
      </c>
      <c r="FR2" s="45" t="b">
        <v>0</v>
      </c>
      <c r="FS2" s="45" t="b">
        <v>0</v>
      </c>
      <c r="FT2" s="45" t="b">
        <v>0</v>
      </c>
      <c r="FU2" s="45" t="b">
        <v>0</v>
      </c>
      <c r="FV2" s="45" t="b">
        <v>0</v>
      </c>
      <c r="FW2" s="45" t="b">
        <v>0</v>
      </c>
      <c r="FX2" s="45" t="b">
        <v>0</v>
      </c>
      <c r="FY2" s="45" t="b">
        <v>0</v>
      </c>
    </row>
    <row r="3" spans="1:181" ht="24.75" customHeight="1" x14ac:dyDescent="0.25">
      <c r="B3" s="45" t="str">
        <f>IF(I3="","",B2+1)</f>
        <v/>
      </c>
      <c r="F3" s="45" t="s">
        <v>130</v>
      </c>
      <c r="J3" s="45" t="str">
        <f t="shared" ref="J3:J66" si="13">IF(I3="","",H3*I3)</f>
        <v/>
      </c>
      <c r="N3" s="45" t="str">
        <f t="shared" ref="N3:N64" si="14">IF(I3="","",K3+L3)</f>
        <v/>
      </c>
      <c r="S3" s="45" t="s">
        <v>130</v>
      </c>
      <c r="T3" s="45" t="str">
        <f t="shared" ref="T3:T37" si="15">G3&amp;H3</f>
        <v/>
      </c>
      <c r="W3" s="51"/>
      <c r="X3" s="82" t="str">
        <f t="shared" ref="X3:X60" si="16">IF(I3="","","POSCOM")</f>
        <v/>
      </c>
      <c r="AG3" s="45" t="str">
        <f>_xlfn.IFNA(VLOOKUP(U3,'Incoming Material Report'!A:M,13,FALSE),"")</f>
        <v/>
      </c>
      <c r="AH3" s="45" t="str">
        <f>_xlfn.IFNA(IF(VLOOKUP(U3,'Incoming Material Report'!A:N,14,FALSE)="","",VLOOKUP(U3,'Incoming Material Report'!A:N,14,FALSE)),"")</f>
        <v/>
      </c>
      <c r="AI3" s="45" t="str">
        <f>_xlfn.IFNA(VLOOKUP(U3,'Incoming Material Report'!A:Z,24,FALSE),"")</f>
        <v/>
      </c>
      <c r="AJ3" s="45" t="str">
        <f>_xlfn.IFNA(VLOOKUP(U3,'Incoming Material Report'!A:Z,25,FALSE),"")</f>
        <v/>
      </c>
      <c r="AK3" s="45" t="str">
        <f>_xlfn.IFNA(VLOOKUP(U3,'Incoming Material Report'!A:Z,26,FALSE),"")</f>
        <v/>
      </c>
      <c r="AL3" s="45" t="str">
        <f>_xlfn.IFNA(VLOOKUP(U3,'Incoming Material Report'!A:Z,2,FALSE),"")</f>
        <v/>
      </c>
      <c r="AM3" s="45" t="str">
        <f>_xlfn.IFNA(VLOOKUP(U3,'Incoming Material Report'!A:K,11,FALSE)/1000,"")</f>
        <v/>
      </c>
      <c r="AO3" s="45" t="str">
        <f>_xlfn.IFNA(VLOOKUP(U3,'Incoming Material Report'!A:R,18,FALSE)*1000,"")</f>
        <v/>
      </c>
      <c r="AQ3" s="45" t="str">
        <f>_xlfn.IFNA(TEXT(VLOOKUP(U3,'Incoming Material Report'!A:D,4,FALSE),"dd.mm.yy"),"")</f>
        <v/>
      </c>
      <c r="AR3" s="45" t="str">
        <f>_xlfn.IFNA(VLOOKUP(U3,'Incoming Material Report'!A:Z,5,FALSE),"")</f>
        <v/>
      </c>
      <c r="AT3" s="45" t="str">
        <f>_xlfn.IFNA(VLOOKUP(U3,'Incoming Material Report'!A:Z,6,FALSE),"")</f>
        <v/>
      </c>
      <c r="AU3" s="45" t="str">
        <f>_xlfn.IFNA(VLOOKUP(U3,'Incoming Material Report'!A:Z,8,FALSE),"")</f>
        <v/>
      </c>
      <c r="AZ3" s="45" t="str">
        <f>_xlfn.IFNA(VLOOKUP(U3,'GRPO Wiz'!AP:BT,17,FALSE),"")</f>
        <v/>
      </c>
      <c r="BA3" s="45" t="str">
        <f>_xlfn.IFNA(VLOOKUP(U3,'GRPO Wiz'!AP:BT,18,FALSE),"")</f>
        <v/>
      </c>
      <c r="BB3" s="45" t="str">
        <f>_xlfn.IFNA(VLOOKUP(U3,'GRPO Wiz'!AP:BT,19,FALSE),"")</f>
        <v/>
      </c>
      <c r="BC3" s="45" t="str">
        <f>_xlfn.IFNA(VLOOKUP(U3,'GRPO Wiz'!AP:BT,20,FALSE),"")</f>
        <v/>
      </c>
      <c r="BD3" s="45" t="str">
        <f>_xlfn.IFNA(VLOOKUP(U3,'GRPO Wiz'!AP:BT,21,FALSE),"")</f>
        <v/>
      </c>
      <c r="BE3" s="50" t="str">
        <f>_xlfn.IFNA(VLOOKUP(U3,'GRPO Wiz'!AP:BT,22,FALSE),"")</f>
        <v/>
      </c>
      <c r="BF3" s="45" t="str">
        <f>_xlfn.IFNA(VLOOKUP(U3,'GRPO Wiz'!AP:BT,26,FALSE),"")</f>
        <v/>
      </c>
      <c r="BH3" s="45" t="str">
        <f>_xlfn.IFNA(VLOOKUP(U3,'GRPO Wiz'!AP:BN,25,FALSE),"")</f>
        <v/>
      </c>
      <c r="BI3" s="45" t="str">
        <f>_xlfn.IFNA(VLOOKUP(U3,'GRPO Wiz'!AP:BT,31,FALSE),"")</f>
        <v/>
      </c>
      <c r="BJ3" s="45" t="str">
        <f>_xlfn.IFNA(VLOOKUP(U3,'GRPO Wiz'!AP:BZ,32,FALSE),"")</f>
        <v/>
      </c>
      <c r="BK3" s="45" t="str">
        <f>_xlfn.IFNA(VLOOKUP(U3,'GRPO Wiz'!AP:BZ,27,FALSE),"")</f>
        <v/>
      </c>
      <c r="BL3" s="45" t="str">
        <f>_xlfn.IFNA(VALUE(VLOOKUP(U3,'GRPO Wiz'!AP:BZ,29,FALSE)),"")</f>
        <v/>
      </c>
      <c r="BM3" s="45" t="str">
        <f>_xlfn.IFNA(VLOOKUP(U3,'GRPO Wiz'!AP:BZ,33,FALSE),"")</f>
        <v/>
      </c>
      <c r="BX3" s="45" t="str">
        <f t="shared" ref="BX3:BX33" si="17">AU3</f>
        <v/>
      </c>
      <c r="BY3" s="45" t="str">
        <f>_xlfn.IFNA(VLOOKUP(BX3&amp;H3,AP!IP:IQ,2,FALSE),"")</f>
        <v/>
      </c>
      <c r="BZ3" s="83" t="str">
        <f t="shared" ref="BZ3:BZ33" si="18">IFERROR(BY3*18%,"")</f>
        <v/>
      </c>
      <c r="CB3" s="45" t="str">
        <f t="shared" ref="CB3:CB33" si="19">IF(SUM(BY3:CA3)*0.075%=0,"",ROUND(BY3*0.1%,0))</f>
        <v/>
      </c>
      <c r="CC3" s="45" t="str">
        <f>_xlfn.IFNA((VLOOKUP(BX3&amp;H3,AP!IP:IR,3,FALSE)),"")</f>
        <v/>
      </c>
      <c r="CD3" s="45" t="str">
        <f>_xlfn.IFNA((VLOOKUP(BX3&amp;H3,AP!IP:IS,4,FALSE)),"")</f>
        <v/>
      </c>
      <c r="CW3" s="45">
        <v>2</v>
      </c>
      <c r="DT3" s="45" t="str">
        <f t="shared" si="0"/>
        <v/>
      </c>
      <c r="DU3" s="45" t="str">
        <f t="shared" si="1"/>
        <v/>
      </c>
      <c r="DV3" s="45" t="str">
        <f t="shared" si="2"/>
        <v/>
      </c>
      <c r="DW3" s="45" t="str">
        <f t="shared" si="3"/>
        <v/>
      </c>
      <c r="DX3" s="45" t="str">
        <f t="shared" si="4"/>
        <v/>
      </c>
      <c r="DY3" s="45" t="str">
        <f t="shared" si="5"/>
        <v/>
      </c>
      <c r="DZ3" s="45" t="str">
        <f t="shared" si="6"/>
        <v/>
      </c>
      <c r="EB3" s="45" t="str">
        <f t="shared" si="7"/>
        <v/>
      </c>
      <c r="EC3" s="45" t="str">
        <f t="shared" si="8"/>
        <v/>
      </c>
      <c r="ED3" s="45" t="str">
        <f t="shared" si="9"/>
        <v/>
      </c>
      <c r="EE3" s="45" t="str">
        <f t="shared" si="10"/>
        <v/>
      </c>
      <c r="EF3" s="45" t="str">
        <f t="shared" si="11"/>
        <v/>
      </c>
      <c r="EG3" s="45" t="str">
        <f t="shared" si="12"/>
        <v/>
      </c>
    </row>
    <row r="4" spans="1:181" ht="24.75" customHeight="1" x14ac:dyDescent="0.25">
      <c r="B4" s="45" t="str">
        <f t="shared" ref="B4:B64" si="20">IF(I4="","",B3+1)</f>
        <v/>
      </c>
      <c r="F4" s="45" t="s">
        <v>130</v>
      </c>
      <c r="J4" s="45" t="str">
        <f t="shared" si="13"/>
        <v/>
      </c>
      <c r="N4" s="45" t="str">
        <f t="shared" si="14"/>
        <v/>
      </c>
      <c r="S4" s="45" t="s">
        <v>130</v>
      </c>
      <c r="T4" s="45" t="str">
        <f t="shared" si="15"/>
        <v/>
      </c>
      <c r="W4" s="51"/>
      <c r="X4" s="82" t="str">
        <f t="shared" si="16"/>
        <v/>
      </c>
      <c r="AG4" s="45" t="str">
        <f>_xlfn.IFNA(VLOOKUP(U4,'Incoming Material Report'!A:M,13,FALSE),"")</f>
        <v/>
      </c>
      <c r="AH4" s="45" t="str">
        <f>_xlfn.IFNA(IF(VLOOKUP(U4,'Incoming Material Report'!A:N,14,FALSE)="","",VLOOKUP(U4,'Incoming Material Report'!A:N,14,FALSE)),"")</f>
        <v/>
      </c>
      <c r="AI4" s="45" t="str">
        <f>_xlfn.IFNA(VLOOKUP(U4,'Incoming Material Report'!A:Z,24,FALSE),"")</f>
        <v/>
      </c>
      <c r="AJ4" s="45" t="str">
        <f>_xlfn.IFNA(VLOOKUP(U4,'Incoming Material Report'!A:Z,25,FALSE),"")</f>
        <v/>
      </c>
      <c r="AK4" s="45" t="str">
        <f>_xlfn.IFNA(VLOOKUP(U4,'Incoming Material Report'!A:Z,26,FALSE),"")</f>
        <v/>
      </c>
      <c r="AL4" s="45" t="str">
        <f>_xlfn.IFNA(VLOOKUP(U4,'Incoming Material Report'!A:Z,2,FALSE),"")</f>
        <v/>
      </c>
      <c r="AM4" s="45" t="str">
        <f>_xlfn.IFNA(VLOOKUP(U4,'Incoming Material Report'!A:K,11,FALSE)/1000,"")</f>
        <v/>
      </c>
      <c r="AO4" s="45" t="str">
        <f>_xlfn.IFNA(VLOOKUP(U4,'Incoming Material Report'!A:R,18,FALSE)*1000,"")</f>
        <v/>
      </c>
      <c r="AQ4" s="45" t="str">
        <f>_xlfn.IFNA(TEXT(VLOOKUP(U4,'Incoming Material Report'!A:D,4,FALSE),"dd.mm.yy"),"")</f>
        <v/>
      </c>
      <c r="AR4" s="45" t="str">
        <f>_xlfn.IFNA(VLOOKUP(U4,'Incoming Material Report'!A:Z,5,FALSE),"")</f>
        <v/>
      </c>
      <c r="AT4" s="45" t="str">
        <f>_xlfn.IFNA(VLOOKUP(U4,'Incoming Material Report'!A:Z,6,FALSE),"")</f>
        <v/>
      </c>
      <c r="AU4" s="45" t="str">
        <f>_xlfn.IFNA(VLOOKUP(U4,'Incoming Material Report'!A:Z,8,FALSE),"")</f>
        <v/>
      </c>
      <c r="AZ4" s="45" t="str">
        <f>_xlfn.IFNA(VLOOKUP(U4,'GRPO Wiz'!AP:BT,17,FALSE),"")</f>
        <v/>
      </c>
      <c r="BA4" s="45" t="str">
        <f>_xlfn.IFNA(VLOOKUP(U4,'GRPO Wiz'!AP:BT,18,FALSE),"")</f>
        <v/>
      </c>
      <c r="BB4" s="45" t="str">
        <f>_xlfn.IFNA(VLOOKUP(U4,'GRPO Wiz'!AP:BT,19,FALSE),"")</f>
        <v/>
      </c>
      <c r="BC4" s="45" t="str">
        <f>_xlfn.IFNA(VLOOKUP(U4,'GRPO Wiz'!AP:BT,20,FALSE),"")</f>
        <v/>
      </c>
      <c r="BD4" s="45" t="str">
        <f>_xlfn.IFNA(VLOOKUP(U4,'GRPO Wiz'!AP:BT,21,FALSE),"")</f>
        <v/>
      </c>
      <c r="BE4" s="50" t="str">
        <f>_xlfn.IFNA(VLOOKUP(U4,'GRPO Wiz'!AP:BT,22,FALSE),"")</f>
        <v/>
      </c>
      <c r="BF4" s="45" t="str">
        <f>_xlfn.IFNA(VLOOKUP(U4,'GRPO Wiz'!AP:BT,26,FALSE),"")</f>
        <v/>
      </c>
      <c r="BH4" s="45" t="str">
        <f>_xlfn.IFNA(VLOOKUP(U4,'GRPO Wiz'!AP:BN,25,FALSE),"")</f>
        <v/>
      </c>
      <c r="BI4" s="45" t="str">
        <f>_xlfn.IFNA(VLOOKUP(U4,'GRPO Wiz'!AP:BT,31,FALSE),"")</f>
        <v/>
      </c>
      <c r="BJ4" s="45" t="str">
        <f>_xlfn.IFNA(VLOOKUP(U4,'GRPO Wiz'!AP:BZ,32,FALSE),"")</f>
        <v/>
      </c>
      <c r="BK4" s="45" t="str">
        <f>_xlfn.IFNA(VLOOKUP(U4,'GRPO Wiz'!AP:BZ,27,FALSE),"")</f>
        <v/>
      </c>
      <c r="BL4" s="45" t="str">
        <f>_xlfn.IFNA(VALUE(VLOOKUP(U4,'GRPO Wiz'!AP:BZ,29,FALSE)),"")</f>
        <v/>
      </c>
      <c r="BM4" s="45" t="str">
        <f>_xlfn.IFNA(VLOOKUP(U4,'GRPO Wiz'!AP:BZ,33,FALSE),"")</f>
        <v/>
      </c>
      <c r="BX4" s="45" t="str">
        <f t="shared" si="17"/>
        <v/>
      </c>
      <c r="BY4" s="45" t="str">
        <f>_xlfn.IFNA(VLOOKUP(BX4&amp;H4,AP!IP:IQ,2,FALSE),"")</f>
        <v/>
      </c>
      <c r="BZ4" s="83" t="str">
        <f t="shared" si="18"/>
        <v/>
      </c>
      <c r="CB4" s="45" t="str">
        <f t="shared" si="19"/>
        <v/>
      </c>
      <c r="CC4" s="45" t="str">
        <f>_xlfn.IFNA((VLOOKUP(BX4&amp;H4,AP!IP:IR,3,FALSE)),"")</f>
        <v/>
      </c>
      <c r="CD4" s="45" t="str">
        <f>_xlfn.IFNA((VLOOKUP(BX4&amp;H4,AP!IP:IS,4,FALSE)),"")</f>
        <v/>
      </c>
      <c r="CW4" s="45">
        <v>3</v>
      </c>
      <c r="DT4" s="45" t="str">
        <f t="shared" si="0"/>
        <v/>
      </c>
      <c r="DU4" s="45" t="str">
        <f t="shared" si="1"/>
        <v/>
      </c>
      <c r="DV4" s="45" t="str">
        <f t="shared" si="2"/>
        <v/>
      </c>
      <c r="DW4" s="45" t="str">
        <f t="shared" si="3"/>
        <v/>
      </c>
      <c r="DX4" s="45" t="str">
        <f t="shared" si="4"/>
        <v/>
      </c>
      <c r="DY4" s="45" t="str">
        <f t="shared" si="5"/>
        <v/>
      </c>
      <c r="DZ4" s="45" t="str">
        <f t="shared" si="6"/>
        <v/>
      </c>
      <c r="EB4" s="45" t="str">
        <f t="shared" si="7"/>
        <v/>
      </c>
      <c r="EC4" s="45" t="str">
        <f t="shared" si="8"/>
        <v/>
      </c>
      <c r="ED4" s="45" t="str">
        <f t="shared" si="9"/>
        <v/>
      </c>
      <c r="EE4" s="45" t="str">
        <f t="shared" si="10"/>
        <v/>
      </c>
      <c r="EF4" s="45" t="str">
        <f t="shared" si="11"/>
        <v/>
      </c>
      <c r="EG4" s="45" t="str">
        <f t="shared" si="12"/>
        <v/>
      </c>
    </row>
    <row r="5" spans="1:181" ht="24.75" customHeight="1" x14ac:dyDescent="0.25">
      <c r="B5" s="45" t="str">
        <f t="shared" si="20"/>
        <v/>
      </c>
      <c r="F5" s="45" t="s">
        <v>130</v>
      </c>
      <c r="J5" s="45" t="str">
        <f t="shared" si="13"/>
        <v/>
      </c>
      <c r="N5" s="45" t="str">
        <f t="shared" si="14"/>
        <v/>
      </c>
      <c r="S5" s="45" t="s">
        <v>130</v>
      </c>
      <c r="T5" s="45" t="str">
        <f t="shared" si="15"/>
        <v/>
      </c>
      <c r="W5" s="51"/>
      <c r="X5" s="82" t="str">
        <f t="shared" si="16"/>
        <v/>
      </c>
      <c r="AG5" s="45" t="str">
        <f>_xlfn.IFNA(VLOOKUP(U5,'Incoming Material Report'!A:M,13,FALSE),"")</f>
        <v/>
      </c>
      <c r="AH5" s="45" t="str">
        <f>_xlfn.IFNA(IF(VLOOKUP(U5,'Incoming Material Report'!A:N,14,FALSE)="","",VLOOKUP(U5,'Incoming Material Report'!A:N,14,FALSE)),"")</f>
        <v/>
      </c>
      <c r="AI5" s="45" t="str">
        <f>_xlfn.IFNA(VLOOKUP(U5,'Incoming Material Report'!A:Z,24,FALSE),"")</f>
        <v/>
      </c>
      <c r="AJ5" s="45" t="str">
        <f>_xlfn.IFNA(VLOOKUP(U5,'Incoming Material Report'!A:Z,25,FALSE),"")</f>
        <v/>
      </c>
      <c r="AK5" s="45" t="str">
        <f>_xlfn.IFNA(VLOOKUP(U5,'Incoming Material Report'!A:Z,26,FALSE),"")</f>
        <v/>
      </c>
      <c r="AL5" s="45" t="str">
        <f>_xlfn.IFNA(VLOOKUP(U5,'Incoming Material Report'!A:Z,2,FALSE),"")</f>
        <v/>
      </c>
      <c r="AM5" s="45" t="str">
        <f>_xlfn.IFNA(VLOOKUP(U5,'Incoming Material Report'!A:K,11,FALSE)/1000,"")</f>
        <v/>
      </c>
      <c r="AO5" s="45" t="str">
        <f>_xlfn.IFNA(VLOOKUP(U5,'Incoming Material Report'!A:R,18,FALSE)*1000,"")</f>
        <v/>
      </c>
      <c r="AQ5" s="45" t="str">
        <f>_xlfn.IFNA(TEXT(VLOOKUP(U5,'Incoming Material Report'!A:D,4,FALSE),"dd.mm.yy"),"")</f>
        <v/>
      </c>
      <c r="AR5" s="45" t="str">
        <f>_xlfn.IFNA(VLOOKUP(U5,'Incoming Material Report'!A:Z,5,FALSE),"")</f>
        <v/>
      </c>
      <c r="AT5" s="45" t="str">
        <f>_xlfn.IFNA(VLOOKUP(U5,'Incoming Material Report'!A:Z,6,FALSE),"")</f>
        <v/>
      </c>
      <c r="AU5" s="45" t="str">
        <f>_xlfn.IFNA(VLOOKUP(U5,'Incoming Material Report'!A:Z,8,FALSE),"")</f>
        <v/>
      </c>
      <c r="AZ5" s="45" t="str">
        <f>_xlfn.IFNA(VLOOKUP(U5,'GRPO Wiz'!AP:BT,17,FALSE),"")</f>
        <v/>
      </c>
      <c r="BA5" s="45" t="str">
        <f>_xlfn.IFNA(VLOOKUP(U5,'GRPO Wiz'!AP:BT,18,FALSE),"")</f>
        <v/>
      </c>
      <c r="BB5" s="45" t="str">
        <f>_xlfn.IFNA(VLOOKUP(U5,'GRPO Wiz'!AP:BT,19,FALSE),"")</f>
        <v/>
      </c>
      <c r="BC5" s="45" t="str">
        <f>_xlfn.IFNA(VLOOKUP(U5,'GRPO Wiz'!AP:BT,20,FALSE),"")</f>
        <v/>
      </c>
      <c r="BD5" s="45" t="str">
        <f>_xlfn.IFNA(VLOOKUP(U5,'GRPO Wiz'!AP:BT,21,FALSE),"")</f>
        <v/>
      </c>
      <c r="BE5" s="50" t="str">
        <f>_xlfn.IFNA(VLOOKUP(U5,'GRPO Wiz'!AP:BT,22,FALSE),"")</f>
        <v/>
      </c>
      <c r="BF5" s="45" t="str">
        <f>_xlfn.IFNA(VLOOKUP(U5,'GRPO Wiz'!AP:BT,26,FALSE),"")</f>
        <v/>
      </c>
      <c r="BH5" s="45" t="str">
        <f>_xlfn.IFNA(VLOOKUP(U5,'GRPO Wiz'!AP:BN,25,FALSE),"")</f>
        <v/>
      </c>
      <c r="BI5" s="45" t="str">
        <f>_xlfn.IFNA(VLOOKUP(U5,'GRPO Wiz'!AP:BT,31,FALSE),"")</f>
        <v/>
      </c>
      <c r="BJ5" s="45" t="str">
        <f>_xlfn.IFNA(VLOOKUP(U5,'GRPO Wiz'!AP:BZ,32,FALSE),"")</f>
        <v/>
      </c>
      <c r="BK5" s="45" t="str">
        <f>_xlfn.IFNA(VLOOKUP(U5,'GRPO Wiz'!AP:BZ,27,FALSE),"")</f>
        <v/>
      </c>
      <c r="BL5" s="45" t="str">
        <f>_xlfn.IFNA(VALUE(VLOOKUP(U5,'GRPO Wiz'!AP:BZ,29,FALSE)),"")</f>
        <v/>
      </c>
      <c r="BM5" s="45" t="str">
        <f>_xlfn.IFNA(VLOOKUP(U5,'GRPO Wiz'!AP:BZ,33,FALSE),"")</f>
        <v/>
      </c>
      <c r="BX5" s="45" t="str">
        <f t="shared" si="17"/>
        <v/>
      </c>
      <c r="BY5" s="45" t="str">
        <f>_xlfn.IFNA(VLOOKUP(BX5&amp;H5,AP!IP:IQ,2,FALSE),"")</f>
        <v/>
      </c>
      <c r="BZ5" s="83" t="str">
        <f t="shared" si="18"/>
        <v/>
      </c>
      <c r="CB5" s="45" t="str">
        <f t="shared" si="19"/>
        <v/>
      </c>
      <c r="CC5" s="45" t="str">
        <f>_xlfn.IFNA((VLOOKUP(BX5&amp;H5,AP!IP:IR,3,FALSE)),"")</f>
        <v/>
      </c>
      <c r="CD5" s="45" t="str">
        <f>_xlfn.IFNA((VLOOKUP(BX5&amp;H5,AP!IP:IS,4,FALSE)),"")</f>
        <v/>
      </c>
    </row>
    <row r="6" spans="1:181" ht="24.75" customHeight="1" x14ac:dyDescent="0.25">
      <c r="B6" s="45" t="str">
        <f t="shared" si="20"/>
        <v/>
      </c>
      <c r="F6" s="45" t="s">
        <v>130</v>
      </c>
      <c r="J6" s="45" t="str">
        <f t="shared" si="13"/>
        <v/>
      </c>
      <c r="N6" s="45" t="str">
        <f t="shared" si="14"/>
        <v/>
      </c>
      <c r="S6" s="45" t="s">
        <v>130</v>
      </c>
      <c r="T6" s="45" t="str">
        <f t="shared" si="15"/>
        <v/>
      </c>
      <c r="W6" s="51"/>
      <c r="X6" s="82" t="str">
        <f t="shared" si="16"/>
        <v/>
      </c>
      <c r="AG6" s="45" t="str">
        <f>_xlfn.IFNA(VLOOKUP(U6,'Incoming Material Report'!A:M,13,FALSE),"")</f>
        <v/>
      </c>
      <c r="AH6" s="45" t="str">
        <f>_xlfn.IFNA(IF(VLOOKUP(U6,'Incoming Material Report'!A:N,14,FALSE)="","",VLOOKUP(U6,'Incoming Material Report'!A:N,14,FALSE)),"")</f>
        <v/>
      </c>
      <c r="AI6" s="45" t="str">
        <f>_xlfn.IFNA(VLOOKUP(U6,'Incoming Material Report'!A:Z,24,FALSE),"")</f>
        <v/>
      </c>
      <c r="AJ6" s="45" t="str">
        <f>_xlfn.IFNA(VLOOKUP(U6,'Incoming Material Report'!A:Z,25,FALSE),"")</f>
        <v/>
      </c>
      <c r="AK6" s="45" t="str">
        <f>_xlfn.IFNA(VLOOKUP(U6,'Incoming Material Report'!A:Z,26,FALSE),"")</f>
        <v/>
      </c>
      <c r="AL6" s="45" t="str">
        <f>_xlfn.IFNA(VLOOKUP(U6,'Incoming Material Report'!A:Z,2,FALSE),"")</f>
        <v/>
      </c>
      <c r="AM6" s="45" t="str">
        <f>_xlfn.IFNA(VLOOKUP(U6,'Incoming Material Report'!A:K,11,FALSE)/1000,"")</f>
        <v/>
      </c>
      <c r="AO6" s="45" t="str">
        <f>_xlfn.IFNA(VLOOKUP(U6,'Incoming Material Report'!A:R,18,FALSE)*1000,"")</f>
        <v/>
      </c>
      <c r="AQ6" s="45" t="str">
        <f>_xlfn.IFNA(TEXT(VLOOKUP(U6,'Incoming Material Report'!A:D,4,FALSE),"dd.mm.yy"),"")</f>
        <v/>
      </c>
      <c r="AR6" s="45" t="str">
        <f>_xlfn.IFNA(VLOOKUP(U6,'Incoming Material Report'!A:Z,5,FALSE),"")</f>
        <v/>
      </c>
      <c r="AT6" s="45" t="str">
        <f>_xlfn.IFNA(VLOOKUP(U6,'Incoming Material Report'!A:Z,6,FALSE),"")</f>
        <v/>
      </c>
      <c r="AU6" s="45" t="str">
        <f>_xlfn.IFNA(VLOOKUP(U6,'Incoming Material Report'!A:Z,8,FALSE),"")</f>
        <v/>
      </c>
      <c r="AZ6" s="45" t="str">
        <f>_xlfn.IFNA(VLOOKUP(U6,'GRPO Wiz'!AP:BT,17,FALSE),"")</f>
        <v/>
      </c>
      <c r="BA6" s="45" t="str">
        <f>_xlfn.IFNA(VLOOKUP(U6,'GRPO Wiz'!AP:BT,18,FALSE),"")</f>
        <v/>
      </c>
      <c r="BB6" s="45" t="str">
        <f>_xlfn.IFNA(VLOOKUP(U6,'GRPO Wiz'!AP:BT,19,FALSE),"")</f>
        <v/>
      </c>
      <c r="BC6" s="45" t="str">
        <f>_xlfn.IFNA(VLOOKUP(U6,'GRPO Wiz'!AP:BT,20,FALSE),"")</f>
        <v/>
      </c>
      <c r="BD6" s="45" t="str">
        <f>_xlfn.IFNA(VLOOKUP(U6,'GRPO Wiz'!AP:BT,21,FALSE),"")</f>
        <v/>
      </c>
      <c r="BE6" s="50" t="str">
        <f>_xlfn.IFNA(VLOOKUP(U6,'GRPO Wiz'!AP:BT,22,FALSE),"")</f>
        <v/>
      </c>
      <c r="BF6" s="45" t="str">
        <f>_xlfn.IFNA(VLOOKUP(U6,'GRPO Wiz'!AP:BT,26,FALSE),"")</f>
        <v/>
      </c>
      <c r="BH6" s="45" t="str">
        <f>_xlfn.IFNA(VLOOKUP(U6,'GRPO Wiz'!AP:BN,25,FALSE),"")</f>
        <v/>
      </c>
      <c r="BI6" s="45" t="str">
        <f>_xlfn.IFNA(VLOOKUP(U6,'GRPO Wiz'!AP:BT,31,FALSE),"")</f>
        <v/>
      </c>
      <c r="BJ6" s="45" t="str">
        <f>_xlfn.IFNA(VLOOKUP(U6,'GRPO Wiz'!AP:BZ,32,FALSE),"")</f>
        <v/>
      </c>
      <c r="BK6" s="45" t="str">
        <f>_xlfn.IFNA(VLOOKUP(U6,'GRPO Wiz'!AP:BZ,27,FALSE),"")</f>
        <v/>
      </c>
      <c r="BL6" s="45" t="str">
        <f>_xlfn.IFNA(VALUE(VLOOKUP(U6,'GRPO Wiz'!AP:BZ,29,FALSE)),"")</f>
        <v/>
      </c>
      <c r="BM6" s="45" t="str">
        <f>_xlfn.IFNA(VLOOKUP(U6,'GRPO Wiz'!AP:BZ,33,FALSE),"")</f>
        <v/>
      </c>
      <c r="BX6" s="45" t="str">
        <f t="shared" si="17"/>
        <v/>
      </c>
      <c r="BY6" s="45" t="str">
        <f>_xlfn.IFNA(VLOOKUP(BX6&amp;H6,AP!IP:IQ,2,FALSE),"")</f>
        <v/>
      </c>
      <c r="BZ6" s="83" t="str">
        <f t="shared" si="18"/>
        <v/>
      </c>
      <c r="CB6" s="45" t="str">
        <f t="shared" si="19"/>
        <v/>
      </c>
      <c r="CC6" s="45" t="str">
        <f>_xlfn.IFNA((VLOOKUP(BX6&amp;H6,AP!IP:IR,3,FALSE)),"")</f>
        <v/>
      </c>
      <c r="CD6" s="45" t="str">
        <f>_xlfn.IFNA((VLOOKUP(BX6&amp;H6,AP!IP:IS,4,FALSE)),"")</f>
        <v/>
      </c>
      <c r="CW6" s="45">
        <v>5</v>
      </c>
      <c r="DT6" s="45" t="str">
        <f t="shared" si="0"/>
        <v/>
      </c>
      <c r="DU6" s="45" t="str">
        <f t="shared" si="1"/>
        <v/>
      </c>
      <c r="DV6" s="45" t="str">
        <f t="shared" si="2"/>
        <v/>
      </c>
      <c r="DW6" s="45" t="str">
        <f t="shared" si="3"/>
        <v/>
      </c>
      <c r="DX6" s="45" t="str">
        <f t="shared" si="4"/>
        <v/>
      </c>
      <c r="DY6" s="45" t="str">
        <f t="shared" si="5"/>
        <v/>
      </c>
      <c r="DZ6" s="45" t="str">
        <f t="shared" si="6"/>
        <v/>
      </c>
      <c r="EB6" s="45" t="str">
        <f t="shared" si="7"/>
        <v/>
      </c>
      <c r="EC6" s="45" t="str">
        <f t="shared" si="8"/>
        <v/>
      </c>
      <c r="ED6" s="45" t="str">
        <f t="shared" si="9"/>
        <v/>
      </c>
      <c r="EE6" s="45" t="str">
        <f t="shared" si="10"/>
        <v/>
      </c>
      <c r="EF6" s="45" t="str">
        <f t="shared" si="11"/>
        <v/>
      </c>
      <c r="EG6" s="45" t="str">
        <f t="shared" si="12"/>
        <v/>
      </c>
    </row>
    <row r="7" spans="1:181" x14ac:dyDescent="0.25">
      <c r="B7" s="45" t="str">
        <f t="shared" si="20"/>
        <v/>
      </c>
      <c r="J7" s="45" t="str">
        <f t="shared" si="13"/>
        <v/>
      </c>
      <c r="N7" s="45" t="str">
        <f t="shared" si="14"/>
        <v/>
      </c>
      <c r="T7" s="45" t="str">
        <f t="shared" si="15"/>
        <v/>
      </c>
      <c r="W7" s="44"/>
      <c r="X7" s="82" t="str">
        <f t="shared" si="16"/>
        <v/>
      </c>
      <c r="AG7" s="45" t="str">
        <f>_xlfn.IFNA(VLOOKUP(U7,'Incoming Material Report'!A:M,13,FALSE),"")</f>
        <v/>
      </c>
      <c r="AH7" s="45" t="str">
        <f>_xlfn.IFNA(IF(VLOOKUP(U7,'Incoming Material Report'!A:N,14,FALSE)="","",VLOOKUP(U7,'Incoming Material Report'!A:N,14,FALSE)),"")</f>
        <v/>
      </c>
      <c r="AI7" s="45" t="str">
        <f>_xlfn.IFNA(VLOOKUP(U7,'Incoming Material Report'!A:Z,24,FALSE),"")</f>
        <v/>
      </c>
      <c r="AJ7" s="45" t="str">
        <f>_xlfn.IFNA(VLOOKUP(U7,'Incoming Material Report'!A:Z,25,FALSE),"")</f>
        <v/>
      </c>
      <c r="AK7" s="45" t="str">
        <f>_xlfn.IFNA(VLOOKUP(U7,'Incoming Material Report'!A:Z,26,FALSE),"")</f>
        <v/>
      </c>
      <c r="AL7" s="45" t="str">
        <f>_xlfn.IFNA(VLOOKUP(U7,'Incoming Material Report'!A:Z,2,FALSE),"")</f>
        <v/>
      </c>
      <c r="AM7" s="45" t="str">
        <f>_xlfn.IFNA(VLOOKUP(U7,'Incoming Material Report'!A:K,11,FALSE)/1000,"")</f>
        <v/>
      </c>
      <c r="AO7" s="45" t="str">
        <f>_xlfn.IFNA(VLOOKUP(U7,'Incoming Material Report'!A:R,18,FALSE)*1000,"")</f>
        <v/>
      </c>
      <c r="AQ7" s="45" t="str">
        <f>_xlfn.IFNA(TEXT(VLOOKUP(U7,'Incoming Material Report'!A:D,4,FALSE),"dd.mm.yy"),"")</f>
        <v/>
      </c>
      <c r="AR7" s="45" t="str">
        <f>_xlfn.IFNA(VLOOKUP(U7,'Incoming Material Report'!A:Z,5,FALSE),"")</f>
        <v/>
      </c>
      <c r="AT7" s="45" t="str">
        <f>_xlfn.IFNA(VLOOKUP(U7,'Incoming Material Report'!A:Z,6,FALSE),"")</f>
        <v/>
      </c>
      <c r="AU7" s="45" t="str">
        <f>_xlfn.IFNA(VLOOKUP(U7,'Incoming Material Report'!A:Z,8,FALSE),"")</f>
        <v/>
      </c>
      <c r="AZ7" s="45" t="str">
        <f>_xlfn.IFNA(VLOOKUP(U7,'GRPO Wiz'!AP:BT,17,FALSE),"")</f>
        <v/>
      </c>
      <c r="BA7" s="45" t="str">
        <f>_xlfn.IFNA(VLOOKUP(U7,'GRPO Wiz'!AP:BT,18,FALSE),"")</f>
        <v/>
      </c>
      <c r="BB7" s="45" t="str">
        <f>_xlfn.IFNA(VLOOKUP(U7,'GRPO Wiz'!AP:BT,19,FALSE),"")</f>
        <v/>
      </c>
      <c r="BC7" s="45" t="str">
        <f>_xlfn.IFNA(VLOOKUP(U7,'GRPO Wiz'!AP:BT,20,FALSE),"")</f>
        <v/>
      </c>
      <c r="BD7" s="45" t="str">
        <f>_xlfn.IFNA(VLOOKUP(U7,'GRPO Wiz'!AP:BT,21,FALSE),"")</f>
        <v/>
      </c>
      <c r="BE7" s="50" t="str">
        <f>_xlfn.IFNA(VLOOKUP(U7,'GRPO Wiz'!AP:BT,22,FALSE),"")</f>
        <v/>
      </c>
      <c r="BF7" s="45" t="str">
        <f>_xlfn.IFNA(VLOOKUP(U7,'GRPO Wiz'!AP:BT,26,FALSE),"")</f>
        <v/>
      </c>
      <c r="BH7" s="45" t="str">
        <f>_xlfn.IFNA(VLOOKUP(U7,'GRPO Wiz'!AP:BN,25,FALSE),"")</f>
        <v/>
      </c>
      <c r="BI7" s="45" t="str">
        <f>_xlfn.IFNA(VLOOKUP(U7,'GRPO Wiz'!AP:BT,31,FALSE),"")</f>
        <v/>
      </c>
      <c r="BJ7" s="45" t="str">
        <f>_xlfn.IFNA(VLOOKUP(U7,'GRPO Wiz'!AP:BZ,32,FALSE),"")</f>
        <v/>
      </c>
      <c r="BK7" s="45" t="str">
        <f>_xlfn.IFNA(VLOOKUP(U7,'GRPO Wiz'!AP:BZ,27,FALSE),"")</f>
        <v/>
      </c>
      <c r="BL7" s="45" t="str">
        <f>_xlfn.IFNA(VALUE(VLOOKUP(U7,'GRPO Wiz'!AP:BZ,29,FALSE)),"")</f>
        <v/>
      </c>
      <c r="BM7" s="45" t="str">
        <f>_xlfn.IFNA(VLOOKUP(U7,'GRPO Wiz'!AP:BZ,33,FALSE),"")</f>
        <v/>
      </c>
      <c r="BX7" s="45" t="str">
        <f t="shared" si="17"/>
        <v/>
      </c>
      <c r="BY7" s="45" t="str">
        <f>_xlfn.IFNA(VLOOKUP(BX7&amp;H7,AP!IP:IQ,2,FALSE),"")</f>
        <v/>
      </c>
      <c r="BZ7" s="83" t="str">
        <f t="shared" si="18"/>
        <v/>
      </c>
      <c r="CB7" s="45" t="str">
        <f t="shared" si="19"/>
        <v/>
      </c>
      <c r="CC7" s="45" t="str">
        <f>_xlfn.IFNA((VLOOKUP(BX7&amp;H7,AP!IP:IR,3,FALSE)),"")</f>
        <v/>
      </c>
      <c r="CD7" s="45" t="str">
        <f>_xlfn.IFNA((VLOOKUP(BX7&amp;H7,AP!IP:IS,4,FALSE)),"")</f>
        <v/>
      </c>
      <c r="CW7" s="45">
        <v>6</v>
      </c>
      <c r="DT7" s="45" t="str">
        <f t="shared" si="0"/>
        <v/>
      </c>
      <c r="DU7" s="45" t="str">
        <f t="shared" si="1"/>
        <v/>
      </c>
      <c r="DV7" s="45" t="str">
        <f t="shared" si="2"/>
        <v/>
      </c>
      <c r="DW7" s="45" t="str">
        <f t="shared" si="3"/>
        <v/>
      </c>
      <c r="DX7" s="45" t="str">
        <f t="shared" si="4"/>
        <v/>
      </c>
      <c r="DY7" s="45" t="str">
        <f t="shared" si="5"/>
        <v/>
      </c>
      <c r="DZ7" s="45" t="str">
        <f t="shared" si="6"/>
        <v/>
      </c>
      <c r="EB7" s="45" t="str">
        <f t="shared" si="7"/>
        <v/>
      </c>
      <c r="EC7" s="45" t="str">
        <f t="shared" si="8"/>
        <v/>
      </c>
      <c r="ED7" s="45" t="str">
        <f t="shared" si="9"/>
        <v/>
      </c>
      <c r="EE7" s="45" t="str">
        <f t="shared" si="10"/>
        <v/>
      </c>
      <c r="EF7" s="45" t="str">
        <f t="shared" si="11"/>
        <v/>
      </c>
      <c r="EG7" s="45" t="str">
        <f t="shared" si="12"/>
        <v/>
      </c>
    </row>
    <row r="8" spans="1:181" x14ac:dyDescent="0.25">
      <c r="B8" s="45" t="str">
        <f t="shared" si="20"/>
        <v/>
      </c>
      <c r="J8" s="45" t="str">
        <f t="shared" si="13"/>
        <v/>
      </c>
      <c r="N8" s="45" t="str">
        <f t="shared" si="14"/>
        <v/>
      </c>
      <c r="T8" s="45" t="str">
        <f t="shared" si="15"/>
        <v/>
      </c>
      <c r="W8" s="44"/>
      <c r="X8" s="82" t="str">
        <f t="shared" si="16"/>
        <v/>
      </c>
      <c r="AG8" s="45" t="str">
        <f>_xlfn.IFNA(VLOOKUP(U8,'Incoming Material Report'!A:M,13,FALSE),"")</f>
        <v/>
      </c>
      <c r="AH8" s="45" t="str">
        <f>_xlfn.IFNA(IF(VLOOKUP(U8,'Incoming Material Report'!A:N,14,FALSE)="","",VLOOKUP(U8,'Incoming Material Report'!A:N,14,FALSE)),"")</f>
        <v/>
      </c>
      <c r="AI8" s="45" t="str">
        <f>_xlfn.IFNA(VLOOKUP(U8,'Incoming Material Report'!A:Z,24,FALSE),"")</f>
        <v/>
      </c>
      <c r="AJ8" s="45" t="str">
        <f>_xlfn.IFNA(VLOOKUP(U8,'Incoming Material Report'!A:Z,25,FALSE),"")</f>
        <v/>
      </c>
      <c r="AK8" s="45" t="str">
        <f>_xlfn.IFNA(VLOOKUP(U8,'Incoming Material Report'!A:Z,26,FALSE),"")</f>
        <v/>
      </c>
      <c r="AL8" s="45" t="str">
        <f>_xlfn.IFNA(VLOOKUP(U8,'Incoming Material Report'!A:Z,2,FALSE),"")</f>
        <v/>
      </c>
      <c r="AM8" s="45" t="str">
        <f>_xlfn.IFNA(VLOOKUP(U8,'Incoming Material Report'!A:K,11,FALSE)/1000,"")</f>
        <v/>
      </c>
      <c r="AO8" s="45" t="str">
        <f>_xlfn.IFNA(VLOOKUP(U8,'Incoming Material Report'!A:R,18,FALSE)*1000,"")</f>
        <v/>
      </c>
      <c r="AQ8" s="45" t="str">
        <f>_xlfn.IFNA(TEXT(VLOOKUP(U8,'Incoming Material Report'!A:D,4,FALSE),"dd.mm.yy"),"")</f>
        <v/>
      </c>
      <c r="AR8" s="45" t="str">
        <f>_xlfn.IFNA(VLOOKUP(U8,'Incoming Material Report'!A:Z,5,FALSE),"")</f>
        <v/>
      </c>
      <c r="AT8" s="45" t="str">
        <f>_xlfn.IFNA(VLOOKUP(U8,'Incoming Material Report'!A:Z,6,FALSE),"")</f>
        <v/>
      </c>
      <c r="AU8" s="45" t="str">
        <f>_xlfn.IFNA(VLOOKUP(U8,'Incoming Material Report'!A:Z,8,FALSE),"")</f>
        <v/>
      </c>
      <c r="AZ8" s="45" t="str">
        <f>_xlfn.IFNA(VLOOKUP(U8,'GRPO Wiz'!AP:BT,17,FALSE),"")</f>
        <v/>
      </c>
      <c r="BA8" s="45" t="str">
        <f>_xlfn.IFNA(VLOOKUP(U8,'GRPO Wiz'!AP:BT,18,FALSE),"")</f>
        <v/>
      </c>
      <c r="BB8" s="45" t="str">
        <f>_xlfn.IFNA(VLOOKUP(U8,'GRPO Wiz'!AP:BT,19,FALSE),"")</f>
        <v/>
      </c>
      <c r="BC8" s="45" t="str">
        <f>_xlfn.IFNA(VLOOKUP(U8,'GRPO Wiz'!AP:BT,20,FALSE),"")</f>
        <v/>
      </c>
      <c r="BD8" s="45" t="str">
        <f>_xlfn.IFNA(VLOOKUP(U8,'GRPO Wiz'!AP:BT,21,FALSE),"")</f>
        <v/>
      </c>
      <c r="BE8" s="50" t="str">
        <f>_xlfn.IFNA(VLOOKUP(U8,'GRPO Wiz'!AP:BT,22,FALSE),"")</f>
        <v/>
      </c>
      <c r="BF8" s="45" t="str">
        <f>_xlfn.IFNA(VLOOKUP(U8,'GRPO Wiz'!AP:BT,26,FALSE),"")</f>
        <v/>
      </c>
      <c r="BH8" s="45" t="str">
        <f>_xlfn.IFNA(VLOOKUP(U8,'GRPO Wiz'!AP:BN,25,FALSE),"")</f>
        <v/>
      </c>
      <c r="BI8" s="45" t="str">
        <f>_xlfn.IFNA(VLOOKUP(U8,'GRPO Wiz'!AP:BT,31,FALSE),"")</f>
        <v/>
      </c>
      <c r="BJ8" s="45" t="str">
        <f>_xlfn.IFNA(VLOOKUP(U8,'GRPO Wiz'!AP:BZ,32,FALSE),"")</f>
        <v/>
      </c>
      <c r="BK8" s="45" t="str">
        <f>_xlfn.IFNA(VLOOKUP(U8,'GRPO Wiz'!AP:BZ,27,FALSE),"")</f>
        <v/>
      </c>
      <c r="BL8" s="45" t="str">
        <f>_xlfn.IFNA(VALUE(VLOOKUP(U8,'GRPO Wiz'!AP:BZ,29,FALSE)),"")</f>
        <v/>
      </c>
      <c r="BM8" s="45" t="str">
        <f>_xlfn.IFNA(VLOOKUP(U8,'GRPO Wiz'!AP:BZ,33,FALSE),"")</f>
        <v/>
      </c>
      <c r="BX8" s="45" t="str">
        <f t="shared" si="17"/>
        <v/>
      </c>
      <c r="BY8" s="45" t="str">
        <f>_xlfn.IFNA(VLOOKUP(BX8&amp;H8,AP!IP:IQ,2,FALSE),"")</f>
        <v/>
      </c>
      <c r="BZ8" s="83" t="str">
        <f t="shared" si="18"/>
        <v/>
      </c>
      <c r="CB8" s="45" t="str">
        <f t="shared" si="19"/>
        <v/>
      </c>
      <c r="CC8" s="45" t="str">
        <f>_xlfn.IFNA((VLOOKUP(BX8&amp;H8,AP!IP:IR,3,FALSE)),"")</f>
        <v/>
      </c>
      <c r="CD8" s="45" t="str">
        <f>_xlfn.IFNA((VLOOKUP(BX8&amp;H8,AP!IP:IS,4,FALSE)),"")</f>
        <v/>
      </c>
      <c r="CW8" s="45">
        <v>7</v>
      </c>
      <c r="DT8" s="45" t="str">
        <f t="shared" si="0"/>
        <v/>
      </c>
      <c r="DU8" s="45" t="str">
        <f t="shared" si="1"/>
        <v/>
      </c>
      <c r="DV8" s="45" t="str">
        <f t="shared" si="2"/>
        <v/>
      </c>
      <c r="DW8" s="45" t="str">
        <f t="shared" si="3"/>
        <v/>
      </c>
      <c r="DX8" s="45" t="str">
        <f t="shared" si="4"/>
        <v/>
      </c>
      <c r="DY8" s="45" t="str">
        <f t="shared" si="5"/>
        <v/>
      </c>
      <c r="DZ8" s="45" t="str">
        <f t="shared" si="6"/>
        <v/>
      </c>
      <c r="EB8" s="45" t="str">
        <f t="shared" si="7"/>
        <v/>
      </c>
      <c r="EC8" s="45" t="str">
        <f t="shared" si="8"/>
        <v/>
      </c>
      <c r="ED8" s="45" t="str">
        <f t="shared" si="9"/>
        <v/>
      </c>
      <c r="EE8" s="45" t="str">
        <f t="shared" si="10"/>
        <v/>
      </c>
      <c r="EF8" s="45" t="str">
        <f t="shared" si="11"/>
        <v/>
      </c>
      <c r="EG8" s="45" t="str">
        <f t="shared" si="12"/>
        <v/>
      </c>
    </row>
    <row r="9" spans="1:181" x14ac:dyDescent="0.25">
      <c r="B9" s="45" t="str">
        <f t="shared" si="20"/>
        <v/>
      </c>
      <c r="J9" s="45" t="str">
        <f t="shared" si="13"/>
        <v/>
      </c>
      <c r="N9" s="45" t="str">
        <f t="shared" si="14"/>
        <v/>
      </c>
      <c r="T9" s="45" t="str">
        <f t="shared" si="15"/>
        <v/>
      </c>
      <c r="W9" s="44"/>
      <c r="X9" s="82" t="str">
        <f t="shared" si="16"/>
        <v/>
      </c>
      <c r="AG9" s="45" t="str">
        <f>_xlfn.IFNA(VLOOKUP(U9,'Incoming Material Report'!A:M,13,FALSE),"")</f>
        <v/>
      </c>
      <c r="AH9" s="45" t="str">
        <f>_xlfn.IFNA(IF(VLOOKUP(U9,'Incoming Material Report'!A:N,14,FALSE)="","",VLOOKUP(U9,'Incoming Material Report'!A:N,14,FALSE)),"")</f>
        <v/>
      </c>
      <c r="AI9" s="45" t="str">
        <f>_xlfn.IFNA(VLOOKUP(U9,'Incoming Material Report'!A:Z,24,FALSE),"")</f>
        <v/>
      </c>
      <c r="AJ9" s="45" t="str">
        <f>_xlfn.IFNA(VLOOKUP(U9,'Incoming Material Report'!A:Z,25,FALSE),"")</f>
        <v/>
      </c>
      <c r="AK9" s="45" t="str">
        <f>_xlfn.IFNA(VLOOKUP(U9,'Incoming Material Report'!A:Z,26,FALSE),"")</f>
        <v/>
      </c>
      <c r="AL9" s="45" t="str">
        <f>_xlfn.IFNA(VLOOKUP(U9,'Incoming Material Report'!A:Z,2,FALSE),"")</f>
        <v/>
      </c>
      <c r="AM9" s="45" t="str">
        <f>_xlfn.IFNA(VLOOKUP(U9,'Incoming Material Report'!A:K,11,FALSE)/1000,"")</f>
        <v/>
      </c>
      <c r="AO9" s="45" t="str">
        <f>_xlfn.IFNA(VLOOKUP(U9,'Incoming Material Report'!A:R,18,FALSE)*1000,"")</f>
        <v/>
      </c>
      <c r="AQ9" s="45" t="str">
        <f>_xlfn.IFNA(TEXT(VLOOKUP(U9,'Incoming Material Report'!A:D,4,FALSE),"dd.mm.yy"),"")</f>
        <v/>
      </c>
      <c r="AR9" s="45" t="str">
        <f>_xlfn.IFNA(VLOOKUP(U9,'Incoming Material Report'!A:Z,5,FALSE),"")</f>
        <v/>
      </c>
      <c r="AT9" s="45" t="str">
        <f>_xlfn.IFNA(VLOOKUP(U9,'Incoming Material Report'!A:Z,6,FALSE),"")</f>
        <v/>
      </c>
      <c r="AU9" s="45" t="str">
        <f>_xlfn.IFNA(VLOOKUP(U9,'Incoming Material Report'!A:Z,8,FALSE),"")</f>
        <v/>
      </c>
      <c r="AZ9" s="45" t="str">
        <f>_xlfn.IFNA(VLOOKUP(U9,'GRPO Wiz'!AP:BT,17,FALSE),"")</f>
        <v/>
      </c>
      <c r="BA9" s="45" t="str">
        <f>_xlfn.IFNA(VLOOKUP(U9,'GRPO Wiz'!AP:BT,18,FALSE),"")</f>
        <v/>
      </c>
      <c r="BB9" s="45" t="str">
        <f>_xlfn.IFNA(VLOOKUP(U9,'GRPO Wiz'!AP:BT,19,FALSE),"")</f>
        <v/>
      </c>
      <c r="BC9" s="45" t="str">
        <f>_xlfn.IFNA(VLOOKUP(U9,'GRPO Wiz'!AP:BT,20,FALSE),"")</f>
        <v/>
      </c>
      <c r="BD9" s="45" t="str">
        <f>_xlfn.IFNA(VLOOKUP(U9,'GRPO Wiz'!AP:BT,21,FALSE),"")</f>
        <v/>
      </c>
      <c r="BE9" s="50" t="str">
        <f>_xlfn.IFNA(VLOOKUP(U9,'GRPO Wiz'!AP:BT,22,FALSE),"")</f>
        <v/>
      </c>
      <c r="BF9" s="45" t="str">
        <f>_xlfn.IFNA(VLOOKUP(U9,'GRPO Wiz'!AP:BT,26,FALSE),"")</f>
        <v/>
      </c>
      <c r="BH9" s="45" t="str">
        <f>_xlfn.IFNA(VLOOKUP(U9,'GRPO Wiz'!AP:BN,25,FALSE),"")</f>
        <v/>
      </c>
      <c r="BI9" s="45" t="str">
        <f>_xlfn.IFNA(VLOOKUP(U9,'GRPO Wiz'!AP:BT,31,FALSE),"")</f>
        <v/>
      </c>
      <c r="BJ9" s="45" t="str">
        <f>_xlfn.IFNA(VLOOKUP(U9,'GRPO Wiz'!AP:BZ,32,FALSE),"")</f>
        <v/>
      </c>
      <c r="BK9" s="45" t="str">
        <f>_xlfn.IFNA(VLOOKUP(U9,'GRPO Wiz'!AP:BZ,27,FALSE),"")</f>
        <v/>
      </c>
      <c r="BL9" s="45" t="str">
        <f>_xlfn.IFNA(VALUE(VLOOKUP(U9,'GRPO Wiz'!AP:BZ,29,FALSE)),"")</f>
        <v/>
      </c>
      <c r="BM9" s="45" t="str">
        <f>_xlfn.IFNA(VLOOKUP(U9,'GRPO Wiz'!AP:BZ,33,FALSE),"")</f>
        <v/>
      </c>
      <c r="BX9" s="45" t="str">
        <f t="shared" si="17"/>
        <v/>
      </c>
      <c r="BY9" s="45" t="str">
        <f>_xlfn.IFNA(VLOOKUP(BX9&amp;H9,AP!IP:IQ,2,FALSE),"")</f>
        <v/>
      </c>
      <c r="BZ9" s="83" t="str">
        <f t="shared" si="18"/>
        <v/>
      </c>
      <c r="CB9" s="45" t="str">
        <f t="shared" si="19"/>
        <v/>
      </c>
      <c r="CC9" s="45" t="str">
        <f>_xlfn.IFNA((VLOOKUP(BX9&amp;H9,AP!IP:IR,3,FALSE)),"")</f>
        <v/>
      </c>
      <c r="CD9" s="45" t="str">
        <f>_xlfn.IFNA((VLOOKUP(BX9&amp;H9,AP!IP:IS,4,FALSE)),"")</f>
        <v/>
      </c>
      <c r="CW9" s="45">
        <v>8</v>
      </c>
      <c r="DT9" s="45" t="str">
        <f t="shared" si="0"/>
        <v/>
      </c>
      <c r="DU9" s="45" t="str">
        <f t="shared" si="1"/>
        <v/>
      </c>
      <c r="DV9" s="45" t="str">
        <f t="shared" si="2"/>
        <v/>
      </c>
      <c r="DW9" s="45" t="str">
        <f t="shared" si="3"/>
        <v/>
      </c>
      <c r="DX9" s="45" t="str">
        <f t="shared" si="4"/>
        <v/>
      </c>
      <c r="DY9" s="45" t="str">
        <f t="shared" si="5"/>
        <v/>
      </c>
      <c r="DZ9" s="45" t="str">
        <f t="shared" si="6"/>
        <v/>
      </c>
      <c r="EB9" s="45" t="str">
        <f t="shared" si="7"/>
        <v/>
      </c>
      <c r="EC9" s="45" t="str">
        <f t="shared" si="8"/>
        <v/>
      </c>
      <c r="ED9" s="45" t="str">
        <f t="shared" si="9"/>
        <v/>
      </c>
      <c r="EE9" s="45" t="str">
        <f t="shared" si="10"/>
        <v/>
      </c>
      <c r="EF9" s="45" t="str">
        <f t="shared" si="11"/>
        <v/>
      </c>
      <c r="EG9" s="45" t="str">
        <f t="shared" si="12"/>
        <v/>
      </c>
    </row>
    <row r="10" spans="1:181" x14ac:dyDescent="0.25">
      <c r="B10" s="45" t="str">
        <f t="shared" si="20"/>
        <v/>
      </c>
      <c r="J10" s="45" t="str">
        <f t="shared" si="13"/>
        <v/>
      </c>
      <c r="N10" s="45" t="str">
        <f t="shared" si="14"/>
        <v/>
      </c>
      <c r="T10" s="45" t="str">
        <f t="shared" si="15"/>
        <v/>
      </c>
      <c r="W10" s="44"/>
      <c r="X10" s="82" t="str">
        <f t="shared" si="16"/>
        <v/>
      </c>
      <c r="AG10" s="45" t="str">
        <f>_xlfn.IFNA(VLOOKUP(U10,'Incoming Material Report'!A:M,13,FALSE),"")</f>
        <v/>
      </c>
      <c r="AH10" s="45" t="str">
        <f>_xlfn.IFNA(IF(VLOOKUP(U10,'Incoming Material Report'!A:N,14,FALSE)="","",VLOOKUP(U10,'Incoming Material Report'!A:N,14,FALSE)),"")</f>
        <v/>
      </c>
      <c r="AI10" s="45" t="str">
        <f>_xlfn.IFNA(VLOOKUP(U10,'Incoming Material Report'!A:Z,24,FALSE),"")</f>
        <v/>
      </c>
      <c r="AJ10" s="45" t="str">
        <f>_xlfn.IFNA(VLOOKUP(U10,'Incoming Material Report'!A:Z,25,FALSE),"")</f>
        <v/>
      </c>
      <c r="AK10" s="45" t="str">
        <f>_xlfn.IFNA(VLOOKUP(U10,'Incoming Material Report'!A:Z,26,FALSE),"")</f>
        <v/>
      </c>
      <c r="AL10" s="45" t="str">
        <f>_xlfn.IFNA(VLOOKUP(U10,'Incoming Material Report'!A:Z,2,FALSE),"")</f>
        <v/>
      </c>
      <c r="AM10" s="45" t="str">
        <f>_xlfn.IFNA(VLOOKUP(U10,'Incoming Material Report'!A:K,11,FALSE)/1000,"")</f>
        <v/>
      </c>
      <c r="AO10" s="45" t="str">
        <f>_xlfn.IFNA(VLOOKUP(U10,'Incoming Material Report'!A:R,18,FALSE)*1000,"")</f>
        <v/>
      </c>
      <c r="AQ10" s="45" t="str">
        <f>_xlfn.IFNA(TEXT(VLOOKUP(U10,'Incoming Material Report'!A:D,4,FALSE),"dd.mm.yy"),"")</f>
        <v/>
      </c>
      <c r="AR10" s="45" t="str">
        <f>_xlfn.IFNA(VLOOKUP(U10,'Incoming Material Report'!A:Z,5,FALSE),"")</f>
        <v/>
      </c>
      <c r="AT10" s="45" t="str">
        <f>_xlfn.IFNA(VLOOKUP(U10,'Incoming Material Report'!A:Z,6,FALSE),"")</f>
        <v/>
      </c>
      <c r="AU10" s="45" t="str">
        <f>_xlfn.IFNA(VLOOKUP(U10,'Incoming Material Report'!A:Z,8,FALSE),"")</f>
        <v/>
      </c>
      <c r="AZ10" s="45" t="str">
        <f>_xlfn.IFNA(VLOOKUP(U10,'GRPO Wiz'!AP:BT,17,FALSE),"")</f>
        <v/>
      </c>
      <c r="BA10" s="45" t="str">
        <f>_xlfn.IFNA(VLOOKUP(U10,'GRPO Wiz'!AP:BT,18,FALSE),"")</f>
        <v/>
      </c>
      <c r="BB10" s="45" t="str">
        <f>_xlfn.IFNA(VLOOKUP(U10,'GRPO Wiz'!AP:BT,19,FALSE),"")</f>
        <v/>
      </c>
      <c r="BC10" s="45" t="str">
        <f>_xlfn.IFNA(VLOOKUP(U10,'GRPO Wiz'!AP:BT,20,FALSE),"")</f>
        <v/>
      </c>
      <c r="BD10" s="45" t="str">
        <f>_xlfn.IFNA(VLOOKUP(U10,'GRPO Wiz'!AP:BT,21,FALSE),"")</f>
        <v/>
      </c>
      <c r="BE10" s="50" t="str">
        <f>_xlfn.IFNA(VLOOKUP(U10,'GRPO Wiz'!AP:BT,22,FALSE),"")</f>
        <v/>
      </c>
      <c r="BF10" s="45" t="str">
        <f>_xlfn.IFNA(VLOOKUP(U10,'GRPO Wiz'!AP:BT,26,FALSE),"")</f>
        <v/>
      </c>
      <c r="BH10" s="45" t="str">
        <f>_xlfn.IFNA(VLOOKUP(U10,'GRPO Wiz'!AP:BN,25,FALSE),"")</f>
        <v/>
      </c>
      <c r="BI10" s="45" t="str">
        <f>_xlfn.IFNA(VLOOKUP(U10,'GRPO Wiz'!AP:BT,31,FALSE),"")</f>
        <v/>
      </c>
      <c r="BJ10" s="45" t="str">
        <f>_xlfn.IFNA(VLOOKUP(U10,'GRPO Wiz'!AP:BZ,32,FALSE),"")</f>
        <v/>
      </c>
      <c r="BK10" s="45" t="str">
        <f>_xlfn.IFNA(VLOOKUP(U10,'GRPO Wiz'!AP:BZ,27,FALSE),"")</f>
        <v/>
      </c>
      <c r="BL10" s="45" t="str">
        <f>_xlfn.IFNA(VALUE(VLOOKUP(U10,'GRPO Wiz'!AP:BZ,29,FALSE)),"")</f>
        <v/>
      </c>
      <c r="BM10" s="45" t="str">
        <f>_xlfn.IFNA(VLOOKUP(U10,'GRPO Wiz'!AP:BZ,33,FALSE),"")</f>
        <v/>
      </c>
      <c r="BX10" s="45" t="str">
        <f t="shared" si="17"/>
        <v/>
      </c>
      <c r="BY10" s="45" t="str">
        <f>_xlfn.IFNA(VLOOKUP(BX10&amp;H10,AP!IP:IQ,2,FALSE),"")</f>
        <v/>
      </c>
      <c r="BZ10" s="83" t="str">
        <f t="shared" si="18"/>
        <v/>
      </c>
      <c r="CB10" s="45" t="str">
        <f t="shared" si="19"/>
        <v/>
      </c>
      <c r="CC10" s="45" t="str">
        <f>_xlfn.IFNA((VLOOKUP(BX10&amp;H10,AP!IP:IR,3,FALSE)),"")</f>
        <v/>
      </c>
      <c r="CD10" s="45" t="str">
        <f>_xlfn.IFNA((VLOOKUP(BX10&amp;H10,AP!IP:IS,4,FALSE)),"")</f>
        <v/>
      </c>
      <c r="CW10" s="45">
        <v>9</v>
      </c>
      <c r="DT10" s="45" t="str">
        <f t="shared" si="0"/>
        <v/>
      </c>
      <c r="DU10" s="45" t="str">
        <f t="shared" si="1"/>
        <v/>
      </c>
      <c r="DV10" s="45" t="str">
        <f t="shared" si="2"/>
        <v/>
      </c>
      <c r="DW10" s="45" t="str">
        <f t="shared" si="3"/>
        <v/>
      </c>
      <c r="DX10" s="45" t="str">
        <f t="shared" si="4"/>
        <v/>
      </c>
      <c r="DY10" s="45" t="str">
        <f t="shared" si="5"/>
        <v/>
      </c>
      <c r="DZ10" s="45" t="str">
        <f t="shared" si="6"/>
        <v/>
      </c>
      <c r="EB10" s="45" t="str">
        <f t="shared" si="7"/>
        <v/>
      </c>
      <c r="EC10" s="45" t="str">
        <f t="shared" si="8"/>
        <v/>
      </c>
      <c r="ED10" s="45" t="str">
        <f t="shared" si="9"/>
        <v/>
      </c>
      <c r="EE10" s="45" t="str">
        <f t="shared" si="10"/>
        <v/>
      </c>
      <c r="EF10" s="45" t="str">
        <f t="shared" si="11"/>
        <v/>
      </c>
      <c r="EG10" s="45" t="str">
        <f t="shared" si="12"/>
        <v/>
      </c>
    </row>
    <row r="11" spans="1:181" x14ac:dyDescent="0.25">
      <c r="B11" s="45" t="str">
        <f t="shared" si="20"/>
        <v/>
      </c>
      <c r="J11" s="45" t="str">
        <f t="shared" si="13"/>
        <v/>
      </c>
      <c r="N11" s="45" t="str">
        <f t="shared" si="14"/>
        <v/>
      </c>
      <c r="T11" s="45" t="str">
        <f t="shared" si="15"/>
        <v/>
      </c>
      <c r="W11" s="44"/>
      <c r="X11" s="82" t="str">
        <f t="shared" si="16"/>
        <v/>
      </c>
      <c r="AG11" s="45" t="str">
        <f>_xlfn.IFNA(VLOOKUP(U11,'Incoming Material Report'!A:M,13,FALSE),"")</f>
        <v/>
      </c>
      <c r="AH11" s="45" t="str">
        <f>_xlfn.IFNA(IF(VLOOKUP(U11,'Incoming Material Report'!A:N,14,FALSE)="","",VLOOKUP(U11,'Incoming Material Report'!A:N,14,FALSE)),"")</f>
        <v/>
      </c>
      <c r="AI11" s="45" t="str">
        <f>_xlfn.IFNA(VLOOKUP(U11,'Incoming Material Report'!A:Z,24,FALSE),"")</f>
        <v/>
      </c>
      <c r="AJ11" s="45" t="str">
        <f>_xlfn.IFNA(VLOOKUP(U11,'Incoming Material Report'!A:Z,25,FALSE),"")</f>
        <v/>
      </c>
      <c r="AK11" s="45" t="str">
        <f>_xlfn.IFNA(VLOOKUP(U11,'Incoming Material Report'!A:Z,26,FALSE),"")</f>
        <v/>
      </c>
      <c r="AL11" s="45" t="str">
        <f>_xlfn.IFNA(VLOOKUP(U11,'Incoming Material Report'!A:Z,2,FALSE),"")</f>
        <v/>
      </c>
      <c r="AM11" s="45" t="str">
        <f>_xlfn.IFNA(VLOOKUP(U11,'Incoming Material Report'!A:K,11,FALSE)/1000,"")</f>
        <v/>
      </c>
      <c r="AO11" s="45" t="str">
        <f>_xlfn.IFNA(VLOOKUP(U11,'Incoming Material Report'!A:R,18,FALSE)*1000,"")</f>
        <v/>
      </c>
      <c r="AQ11" s="45" t="str">
        <f>_xlfn.IFNA(TEXT(VLOOKUP(U11,'Incoming Material Report'!A:D,4,FALSE),"dd.mm.yy"),"")</f>
        <v/>
      </c>
      <c r="AR11" s="45" t="str">
        <f>_xlfn.IFNA(VLOOKUP(U11,'Incoming Material Report'!A:Z,5,FALSE),"")</f>
        <v/>
      </c>
      <c r="AT11" s="45" t="str">
        <f>_xlfn.IFNA(VLOOKUP(U11,'Incoming Material Report'!A:Z,6,FALSE),"")</f>
        <v/>
      </c>
      <c r="AU11" s="45" t="str">
        <f>_xlfn.IFNA(VLOOKUP(U11,'Incoming Material Report'!A:Z,8,FALSE),"")</f>
        <v/>
      </c>
      <c r="AZ11" s="45" t="str">
        <f>_xlfn.IFNA(VLOOKUP(U11,'GRPO Wiz'!AP:BT,17,FALSE),"")</f>
        <v/>
      </c>
      <c r="BA11" s="45" t="str">
        <f>_xlfn.IFNA(VLOOKUP(U11,'GRPO Wiz'!AP:BT,18,FALSE),"")</f>
        <v/>
      </c>
      <c r="BB11" s="45" t="str">
        <f>_xlfn.IFNA(VLOOKUP(U11,'GRPO Wiz'!AP:BT,19,FALSE),"")</f>
        <v/>
      </c>
      <c r="BC11" s="45" t="str">
        <f>_xlfn.IFNA(VLOOKUP(U11,'GRPO Wiz'!AP:BT,20,FALSE),"")</f>
        <v/>
      </c>
      <c r="BD11" s="45" t="str">
        <f>_xlfn.IFNA(VLOOKUP(U11,'GRPO Wiz'!AP:BT,21,FALSE),"")</f>
        <v/>
      </c>
      <c r="BE11" s="50" t="str">
        <f>_xlfn.IFNA(VLOOKUP(U11,'GRPO Wiz'!AP:BT,22,FALSE),"")</f>
        <v/>
      </c>
      <c r="BF11" s="45" t="str">
        <f>_xlfn.IFNA(VLOOKUP(U11,'GRPO Wiz'!AP:BT,26,FALSE),"")</f>
        <v/>
      </c>
      <c r="BH11" s="45" t="str">
        <f>_xlfn.IFNA(VLOOKUP(U11,'GRPO Wiz'!AP:BN,25,FALSE),"")</f>
        <v/>
      </c>
      <c r="BI11" s="45" t="str">
        <f>_xlfn.IFNA(VLOOKUP(U11,'GRPO Wiz'!AP:BT,31,FALSE),"")</f>
        <v/>
      </c>
      <c r="BJ11" s="45" t="str">
        <f>_xlfn.IFNA(VLOOKUP(U11,'GRPO Wiz'!AP:BZ,32,FALSE),"")</f>
        <v/>
      </c>
      <c r="BK11" s="45" t="str">
        <f>_xlfn.IFNA(VLOOKUP(U11,'GRPO Wiz'!AP:BZ,27,FALSE),"")</f>
        <v/>
      </c>
      <c r="BL11" s="45" t="str">
        <f>_xlfn.IFNA(VALUE(VLOOKUP(U11,'GRPO Wiz'!AP:BZ,29,FALSE)),"")</f>
        <v/>
      </c>
      <c r="BM11" s="45" t="str">
        <f>_xlfn.IFNA(VLOOKUP(U11,'GRPO Wiz'!AP:BZ,33,FALSE),"")</f>
        <v/>
      </c>
      <c r="BX11" s="45" t="str">
        <f t="shared" si="17"/>
        <v/>
      </c>
      <c r="BY11" s="45" t="str">
        <f>_xlfn.IFNA(VLOOKUP(BX11&amp;H11,AP!IP:IQ,2,FALSE),"")</f>
        <v/>
      </c>
      <c r="BZ11" s="83" t="str">
        <f t="shared" si="18"/>
        <v/>
      </c>
      <c r="CB11" s="45" t="str">
        <f t="shared" si="19"/>
        <v/>
      </c>
      <c r="CC11" s="45" t="str">
        <f>_xlfn.IFNA((VLOOKUP(BX11&amp;H11,AP!IP:IR,3,FALSE)),"")</f>
        <v/>
      </c>
      <c r="CD11" s="45" t="str">
        <f>_xlfn.IFNA((VLOOKUP(BX11&amp;H11,AP!IP:IS,4,FALSE)),"")</f>
        <v/>
      </c>
      <c r="CW11" s="45">
        <v>10</v>
      </c>
      <c r="DT11" s="45" t="str">
        <f t="shared" si="0"/>
        <v/>
      </c>
      <c r="DU11" s="45" t="str">
        <f t="shared" si="1"/>
        <v/>
      </c>
      <c r="DV11" s="45" t="str">
        <f t="shared" si="2"/>
        <v/>
      </c>
      <c r="DW11" s="45" t="str">
        <f t="shared" si="3"/>
        <v/>
      </c>
      <c r="DX11" s="45" t="str">
        <f t="shared" si="4"/>
        <v/>
      </c>
      <c r="DY11" s="45" t="str">
        <f t="shared" si="5"/>
        <v/>
      </c>
      <c r="DZ11" s="45" t="str">
        <f t="shared" si="6"/>
        <v/>
      </c>
      <c r="EB11" s="45" t="str">
        <f t="shared" si="7"/>
        <v/>
      </c>
      <c r="EC11" s="45" t="str">
        <f t="shared" si="8"/>
        <v/>
      </c>
      <c r="ED11" s="45" t="str">
        <f t="shared" si="9"/>
        <v/>
      </c>
      <c r="EE11" s="45" t="str">
        <f t="shared" si="10"/>
        <v/>
      </c>
      <c r="EF11" s="45" t="str">
        <f t="shared" si="11"/>
        <v/>
      </c>
      <c r="EG11" s="45" t="str">
        <f t="shared" si="12"/>
        <v/>
      </c>
    </row>
    <row r="12" spans="1:181" x14ac:dyDescent="0.25">
      <c r="B12" s="45" t="str">
        <f t="shared" si="20"/>
        <v/>
      </c>
      <c r="J12" s="45" t="str">
        <f t="shared" si="13"/>
        <v/>
      </c>
      <c r="N12" s="45" t="str">
        <f t="shared" si="14"/>
        <v/>
      </c>
      <c r="T12" s="45" t="str">
        <f t="shared" si="15"/>
        <v/>
      </c>
      <c r="W12" s="44"/>
      <c r="X12" s="82" t="str">
        <f t="shared" si="16"/>
        <v/>
      </c>
      <c r="AG12" s="45" t="str">
        <f>_xlfn.IFNA(VLOOKUP(U12,'Incoming Material Report'!A:M,13,FALSE),"")</f>
        <v/>
      </c>
      <c r="AH12" s="45" t="str">
        <f>_xlfn.IFNA(IF(VLOOKUP(U12,'Incoming Material Report'!A:N,14,FALSE)="","",VLOOKUP(U12,'Incoming Material Report'!A:N,14,FALSE)),"")</f>
        <v/>
      </c>
      <c r="AI12" s="45" t="str">
        <f>_xlfn.IFNA(VLOOKUP(U12,'Incoming Material Report'!A:Z,24,FALSE),"")</f>
        <v/>
      </c>
      <c r="AJ12" s="45" t="str">
        <f>_xlfn.IFNA(VLOOKUP(U12,'Incoming Material Report'!A:Z,25,FALSE),"")</f>
        <v/>
      </c>
      <c r="AK12" s="45" t="str">
        <f>_xlfn.IFNA(VLOOKUP(U12,'Incoming Material Report'!A:Z,26,FALSE),"")</f>
        <v/>
      </c>
      <c r="AL12" s="45" t="str">
        <f>_xlfn.IFNA(VLOOKUP(U12,'Incoming Material Report'!A:Z,2,FALSE),"")</f>
        <v/>
      </c>
      <c r="AM12" s="45" t="str">
        <f>_xlfn.IFNA(VLOOKUP(U12,'Incoming Material Report'!A:K,11,FALSE)/1000,"")</f>
        <v/>
      </c>
      <c r="AO12" s="45" t="str">
        <f>_xlfn.IFNA(VLOOKUP(U12,'Incoming Material Report'!A:R,18,FALSE)*1000,"")</f>
        <v/>
      </c>
      <c r="AQ12" s="45" t="str">
        <f>_xlfn.IFNA(TEXT(VLOOKUP(U12,'Incoming Material Report'!A:D,4,FALSE),"dd.mm.yy"),"")</f>
        <v/>
      </c>
      <c r="AR12" s="45" t="str">
        <f>_xlfn.IFNA(VLOOKUP(U12,'Incoming Material Report'!A:Z,5,FALSE),"")</f>
        <v/>
      </c>
      <c r="AT12" s="45" t="str">
        <f>_xlfn.IFNA(VLOOKUP(U12,'Incoming Material Report'!A:Z,6,FALSE),"")</f>
        <v/>
      </c>
      <c r="AU12" s="45" t="str">
        <f>_xlfn.IFNA(VLOOKUP(U12,'Incoming Material Report'!A:Z,8,FALSE),"")</f>
        <v/>
      </c>
      <c r="AZ12" s="45" t="str">
        <f>_xlfn.IFNA(VLOOKUP(U12,'GRPO Wiz'!AP:BT,17,FALSE),"")</f>
        <v/>
      </c>
      <c r="BA12" s="45" t="str">
        <f>_xlfn.IFNA(VLOOKUP(U12,'GRPO Wiz'!AP:BT,18,FALSE),"")</f>
        <v/>
      </c>
      <c r="BB12" s="45" t="str">
        <f>_xlfn.IFNA(VLOOKUP(U12,'GRPO Wiz'!AP:BT,19,FALSE),"")</f>
        <v/>
      </c>
      <c r="BC12" s="45" t="str">
        <f>_xlfn.IFNA(VLOOKUP(U12,'GRPO Wiz'!AP:BT,20,FALSE),"")</f>
        <v/>
      </c>
      <c r="BD12" s="45" t="str">
        <f>_xlfn.IFNA(VLOOKUP(U12,'GRPO Wiz'!AP:BT,21,FALSE),"")</f>
        <v/>
      </c>
      <c r="BE12" s="50" t="str">
        <f>_xlfn.IFNA(VLOOKUP(U12,'GRPO Wiz'!AP:BT,22,FALSE),"")</f>
        <v/>
      </c>
      <c r="BF12" s="45" t="str">
        <f>_xlfn.IFNA(VLOOKUP(U12,'GRPO Wiz'!AP:BT,26,FALSE),"")</f>
        <v/>
      </c>
      <c r="BH12" s="45" t="str">
        <f>_xlfn.IFNA(VLOOKUP(U12,'GRPO Wiz'!AP:BN,25,FALSE),"")</f>
        <v/>
      </c>
      <c r="BI12" s="45" t="str">
        <f>_xlfn.IFNA(VLOOKUP(U12,'GRPO Wiz'!AP:BT,31,FALSE),"")</f>
        <v/>
      </c>
      <c r="BJ12" s="45" t="str">
        <f>_xlfn.IFNA(VLOOKUP(U12,'GRPO Wiz'!AP:BZ,32,FALSE),"")</f>
        <v/>
      </c>
      <c r="BK12" s="45" t="str">
        <f>_xlfn.IFNA(VLOOKUP(U12,'GRPO Wiz'!AP:BZ,27,FALSE),"")</f>
        <v/>
      </c>
      <c r="BL12" s="45" t="str">
        <f>_xlfn.IFNA(VALUE(VLOOKUP(U12,'GRPO Wiz'!AP:BZ,29,FALSE)),"")</f>
        <v/>
      </c>
      <c r="BM12" s="45" t="str">
        <f>_xlfn.IFNA(VLOOKUP(U12,'GRPO Wiz'!AP:BZ,33,FALSE),"")</f>
        <v/>
      </c>
      <c r="BX12" s="45" t="str">
        <f t="shared" si="17"/>
        <v/>
      </c>
      <c r="BY12" s="45" t="str">
        <f>_xlfn.IFNA(VLOOKUP(BX12&amp;H12,AP!IP:IQ,2,FALSE),"")</f>
        <v/>
      </c>
      <c r="BZ12" s="83" t="str">
        <f t="shared" si="18"/>
        <v/>
      </c>
      <c r="CB12" s="45" t="str">
        <f t="shared" si="19"/>
        <v/>
      </c>
      <c r="CC12" s="45" t="str">
        <f>_xlfn.IFNA((VLOOKUP(BX12&amp;H12,AP!IP:IR,3,FALSE)),"")</f>
        <v/>
      </c>
      <c r="CD12" s="45" t="str">
        <f>_xlfn.IFNA((VLOOKUP(BX12&amp;H12,AP!IP:IS,4,FALSE)),"")</f>
        <v/>
      </c>
      <c r="CW12" s="45">
        <v>11</v>
      </c>
      <c r="DT12" s="45" t="str">
        <f t="shared" si="0"/>
        <v/>
      </c>
      <c r="DU12" s="45" t="str">
        <f t="shared" si="1"/>
        <v/>
      </c>
      <c r="DV12" s="45" t="str">
        <f t="shared" si="2"/>
        <v/>
      </c>
      <c r="DW12" s="45" t="str">
        <f t="shared" si="3"/>
        <v/>
      </c>
      <c r="DX12" s="45" t="str">
        <f t="shared" si="4"/>
        <v/>
      </c>
      <c r="DY12" s="45" t="str">
        <f t="shared" si="5"/>
        <v/>
      </c>
      <c r="DZ12" s="45" t="str">
        <f t="shared" si="6"/>
        <v/>
      </c>
      <c r="EB12" s="45" t="str">
        <f t="shared" si="7"/>
        <v/>
      </c>
      <c r="EC12" s="45" t="str">
        <f t="shared" si="8"/>
        <v/>
      </c>
      <c r="ED12" s="45" t="str">
        <f t="shared" si="9"/>
        <v/>
      </c>
      <c r="EE12" s="45" t="str">
        <f t="shared" si="10"/>
        <v/>
      </c>
      <c r="EF12" s="45" t="str">
        <f t="shared" si="11"/>
        <v/>
      </c>
      <c r="EG12" s="45" t="str">
        <f t="shared" si="12"/>
        <v/>
      </c>
    </row>
    <row r="13" spans="1:181" x14ac:dyDescent="0.25">
      <c r="B13" s="45" t="str">
        <f t="shared" si="20"/>
        <v/>
      </c>
      <c r="J13" s="45" t="str">
        <f t="shared" si="13"/>
        <v/>
      </c>
      <c r="N13" s="45" t="str">
        <f t="shared" si="14"/>
        <v/>
      </c>
      <c r="T13" s="45" t="str">
        <f t="shared" si="15"/>
        <v/>
      </c>
      <c r="W13" s="44"/>
      <c r="X13" s="82" t="str">
        <f t="shared" si="16"/>
        <v/>
      </c>
      <c r="AG13" s="45" t="str">
        <f>_xlfn.IFNA(VLOOKUP(U13,'Incoming Material Report'!A:M,13,FALSE),"")</f>
        <v/>
      </c>
      <c r="AH13" s="45" t="str">
        <f>_xlfn.IFNA(IF(VLOOKUP(U13,'Incoming Material Report'!A:N,14,FALSE)="","",VLOOKUP(U13,'Incoming Material Report'!A:N,14,FALSE)),"")</f>
        <v/>
      </c>
      <c r="AI13" s="45" t="str">
        <f>_xlfn.IFNA(VLOOKUP(U13,'Incoming Material Report'!A:Z,24,FALSE),"")</f>
        <v/>
      </c>
      <c r="AJ13" s="45" t="str">
        <f>_xlfn.IFNA(VLOOKUP(U13,'Incoming Material Report'!A:Z,25,FALSE),"")</f>
        <v/>
      </c>
      <c r="AK13" s="45" t="str">
        <f>_xlfn.IFNA(VLOOKUP(U13,'Incoming Material Report'!A:Z,26,FALSE),"")</f>
        <v/>
      </c>
      <c r="AL13" s="45" t="str">
        <f>_xlfn.IFNA(VLOOKUP(U13,'Incoming Material Report'!A:Z,2,FALSE),"")</f>
        <v/>
      </c>
      <c r="AM13" s="45" t="str">
        <f>_xlfn.IFNA(VLOOKUP(U13,'Incoming Material Report'!A:K,11,FALSE)/1000,"")</f>
        <v/>
      </c>
      <c r="AO13" s="45" t="str">
        <f>_xlfn.IFNA(VLOOKUP(U13,'Incoming Material Report'!A:R,18,FALSE)*1000,"")</f>
        <v/>
      </c>
      <c r="AQ13" s="45" t="str">
        <f>_xlfn.IFNA(TEXT(VLOOKUP(U13,'Incoming Material Report'!A:D,4,FALSE),"dd.mm.yy"),"")</f>
        <v/>
      </c>
      <c r="AR13" s="45" t="str">
        <f>_xlfn.IFNA(VLOOKUP(U13,'Incoming Material Report'!A:Z,5,FALSE),"")</f>
        <v/>
      </c>
      <c r="AT13" s="45" t="str">
        <f>_xlfn.IFNA(VLOOKUP(U13,'Incoming Material Report'!A:Z,6,FALSE),"")</f>
        <v/>
      </c>
      <c r="AU13" s="45" t="str">
        <f>_xlfn.IFNA(VLOOKUP(U13,'Incoming Material Report'!A:Z,8,FALSE),"")</f>
        <v/>
      </c>
      <c r="AZ13" s="45" t="str">
        <f>_xlfn.IFNA(VLOOKUP(U13,'GRPO Wiz'!AP:BT,17,FALSE),"")</f>
        <v/>
      </c>
      <c r="BA13" s="45" t="str">
        <f>_xlfn.IFNA(VLOOKUP(U13,'GRPO Wiz'!AP:BT,18,FALSE),"")</f>
        <v/>
      </c>
      <c r="BB13" s="45" t="str">
        <f>_xlfn.IFNA(VLOOKUP(U13,'GRPO Wiz'!AP:BT,19,FALSE),"")</f>
        <v/>
      </c>
      <c r="BC13" s="45" t="str">
        <f>_xlfn.IFNA(VLOOKUP(U13,'GRPO Wiz'!AP:BT,20,FALSE),"")</f>
        <v/>
      </c>
      <c r="BD13" s="45" t="str">
        <f>_xlfn.IFNA(VLOOKUP(U13,'GRPO Wiz'!AP:BT,21,FALSE),"")</f>
        <v/>
      </c>
      <c r="BE13" s="50" t="str">
        <f>_xlfn.IFNA(VLOOKUP(U13,'GRPO Wiz'!AP:BT,22,FALSE),"")</f>
        <v/>
      </c>
      <c r="BF13" s="45" t="str">
        <f>_xlfn.IFNA(VLOOKUP(U13,'GRPO Wiz'!AP:BT,26,FALSE),"")</f>
        <v/>
      </c>
      <c r="BH13" s="45" t="str">
        <f>_xlfn.IFNA(VLOOKUP(U13,'GRPO Wiz'!AP:BN,25,FALSE),"")</f>
        <v/>
      </c>
      <c r="BI13" s="45" t="str">
        <f>_xlfn.IFNA(VLOOKUP(U13,'GRPO Wiz'!AP:BT,31,FALSE),"")</f>
        <v/>
      </c>
      <c r="BJ13" s="45" t="str">
        <f>_xlfn.IFNA(VLOOKUP(U13,'GRPO Wiz'!AP:BZ,32,FALSE),"")</f>
        <v/>
      </c>
      <c r="BK13" s="45" t="str">
        <f>_xlfn.IFNA(VLOOKUP(U13,'GRPO Wiz'!AP:BZ,27,FALSE),"")</f>
        <v/>
      </c>
      <c r="BL13" s="45" t="str">
        <f>_xlfn.IFNA(VALUE(VLOOKUP(U13,'GRPO Wiz'!AP:BZ,29,FALSE)),"")</f>
        <v/>
      </c>
      <c r="BM13" s="45" t="str">
        <f>_xlfn.IFNA(VLOOKUP(U13,'GRPO Wiz'!AP:BZ,33,FALSE),"")</f>
        <v/>
      </c>
      <c r="BX13" s="45" t="str">
        <f t="shared" si="17"/>
        <v/>
      </c>
      <c r="BY13" s="45" t="str">
        <f>_xlfn.IFNA(VLOOKUP(BX13&amp;H13,AP!IP:IQ,2,FALSE),"")</f>
        <v/>
      </c>
      <c r="BZ13" s="83" t="str">
        <f t="shared" si="18"/>
        <v/>
      </c>
      <c r="CB13" s="45" t="str">
        <f t="shared" si="19"/>
        <v/>
      </c>
      <c r="CC13" s="45" t="str">
        <f>_xlfn.IFNA((VLOOKUP(BX13&amp;H13,AP!IP:IR,3,FALSE)),"")</f>
        <v/>
      </c>
      <c r="CD13" s="45" t="str">
        <f>_xlfn.IFNA((VLOOKUP(BX13&amp;H13,AP!IP:IS,4,FALSE)),"")</f>
        <v/>
      </c>
      <c r="CW13" s="45">
        <v>12</v>
      </c>
      <c r="DT13" s="45" t="str">
        <f t="shared" si="0"/>
        <v/>
      </c>
      <c r="DU13" s="45" t="str">
        <f t="shared" si="1"/>
        <v/>
      </c>
      <c r="DV13" s="45" t="str">
        <f t="shared" si="2"/>
        <v/>
      </c>
      <c r="DW13" s="45" t="str">
        <f t="shared" si="3"/>
        <v/>
      </c>
      <c r="DX13" s="45" t="str">
        <f t="shared" si="4"/>
        <v/>
      </c>
      <c r="DY13" s="45" t="str">
        <f t="shared" si="5"/>
        <v/>
      </c>
      <c r="DZ13" s="45" t="str">
        <f t="shared" si="6"/>
        <v/>
      </c>
      <c r="EB13" s="45" t="str">
        <f t="shared" si="7"/>
        <v/>
      </c>
      <c r="EC13" s="45" t="str">
        <f t="shared" si="8"/>
        <v/>
      </c>
      <c r="ED13" s="45" t="str">
        <f t="shared" si="9"/>
        <v/>
      </c>
      <c r="EE13" s="45" t="str">
        <f t="shared" si="10"/>
        <v/>
      </c>
      <c r="EF13" s="45" t="str">
        <f t="shared" si="11"/>
        <v/>
      </c>
      <c r="EG13" s="45" t="str">
        <f t="shared" si="12"/>
        <v/>
      </c>
    </row>
    <row r="14" spans="1:181" x14ac:dyDescent="0.25">
      <c r="B14" s="45" t="str">
        <f t="shared" si="20"/>
        <v/>
      </c>
      <c r="J14" s="45" t="str">
        <f t="shared" si="13"/>
        <v/>
      </c>
      <c r="N14" s="45" t="str">
        <f t="shared" si="14"/>
        <v/>
      </c>
      <c r="T14" s="45" t="str">
        <f t="shared" si="15"/>
        <v/>
      </c>
      <c r="W14" s="44"/>
      <c r="X14" s="82" t="str">
        <f t="shared" si="16"/>
        <v/>
      </c>
      <c r="AG14" s="45" t="str">
        <f>_xlfn.IFNA(VLOOKUP(U14,'Incoming Material Report'!A:M,13,FALSE),"")</f>
        <v/>
      </c>
      <c r="AH14" s="45" t="str">
        <f>_xlfn.IFNA(IF(VLOOKUP(U14,'Incoming Material Report'!A:N,14,FALSE)="","",VLOOKUP(U14,'Incoming Material Report'!A:N,14,FALSE)),"")</f>
        <v/>
      </c>
      <c r="AI14" s="45" t="str">
        <f>_xlfn.IFNA(VLOOKUP(U14,'Incoming Material Report'!A:Z,24,FALSE),"")</f>
        <v/>
      </c>
      <c r="AJ14" s="45" t="str">
        <f>_xlfn.IFNA(VLOOKUP(U14,'Incoming Material Report'!A:Z,25,FALSE),"")</f>
        <v/>
      </c>
      <c r="AK14" s="45" t="str">
        <f>_xlfn.IFNA(VLOOKUP(U14,'Incoming Material Report'!A:Z,26,FALSE),"")</f>
        <v/>
      </c>
      <c r="AL14" s="45" t="str">
        <f>_xlfn.IFNA(VLOOKUP(U14,'Incoming Material Report'!A:Z,2,FALSE),"")</f>
        <v/>
      </c>
      <c r="AM14" s="45" t="str">
        <f>_xlfn.IFNA(VLOOKUP(U14,'Incoming Material Report'!A:K,11,FALSE)/1000,"")</f>
        <v/>
      </c>
      <c r="AO14" s="45" t="str">
        <f>_xlfn.IFNA(VLOOKUP(U14,'Incoming Material Report'!A:R,18,FALSE)*1000,"")</f>
        <v/>
      </c>
      <c r="AQ14" s="45" t="str">
        <f>_xlfn.IFNA(TEXT(VLOOKUP(U14,'Incoming Material Report'!A:D,4,FALSE),"dd.mm.yy"),"")</f>
        <v/>
      </c>
      <c r="AR14" s="45" t="str">
        <f>_xlfn.IFNA(VLOOKUP(U14,'Incoming Material Report'!A:Z,5,FALSE),"")</f>
        <v/>
      </c>
      <c r="AT14" s="45" t="str">
        <f>_xlfn.IFNA(VLOOKUP(U14,'Incoming Material Report'!A:Z,6,FALSE),"")</f>
        <v/>
      </c>
      <c r="AU14" s="45" t="str">
        <f>_xlfn.IFNA(VLOOKUP(U14,'Incoming Material Report'!A:Z,8,FALSE),"")</f>
        <v/>
      </c>
      <c r="AZ14" s="45" t="str">
        <f>_xlfn.IFNA(VLOOKUP(U14,'GRPO Wiz'!AP:BT,17,FALSE),"")</f>
        <v/>
      </c>
      <c r="BA14" s="45" t="str">
        <f>_xlfn.IFNA(VLOOKUP(U14,'GRPO Wiz'!AP:BT,18,FALSE),"")</f>
        <v/>
      </c>
      <c r="BB14" s="45" t="str">
        <f>_xlfn.IFNA(VLOOKUP(U14,'GRPO Wiz'!AP:BT,19,FALSE),"")</f>
        <v/>
      </c>
      <c r="BC14" s="45" t="str">
        <f>_xlfn.IFNA(VLOOKUP(U14,'GRPO Wiz'!AP:BT,20,FALSE),"")</f>
        <v/>
      </c>
      <c r="BD14" s="45" t="str">
        <f>_xlfn.IFNA(VLOOKUP(U14,'GRPO Wiz'!AP:BT,21,FALSE),"")</f>
        <v/>
      </c>
      <c r="BE14" s="50" t="str">
        <f>_xlfn.IFNA(VLOOKUP(U14,'GRPO Wiz'!AP:BT,22,FALSE),"")</f>
        <v/>
      </c>
      <c r="BF14" s="45" t="str">
        <f>_xlfn.IFNA(VLOOKUP(U14,'GRPO Wiz'!AP:BT,26,FALSE),"")</f>
        <v/>
      </c>
      <c r="BH14" s="45" t="str">
        <f>_xlfn.IFNA(VLOOKUP(U14,'GRPO Wiz'!AP:BN,25,FALSE),"")</f>
        <v/>
      </c>
      <c r="BI14" s="45" t="str">
        <f>_xlfn.IFNA(VLOOKUP(U14,'GRPO Wiz'!AP:BT,31,FALSE),"")</f>
        <v/>
      </c>
      <c r="BJ14" s="45" t="str">
        <f>_xlfn.IFNA(VLOOKUP(U14,'GRPO Wiz'!AP:BZ,32,FALSE),"")</f>
        <v/>
      </c>
      <c r="BK14" s="45" t="str">
        <f>_xlfn.IFNA(VLOOKUP(U14,'GRPO Wiz'!AP:BZ,27,FALSE),"")</f>
        <v/>
      </c>
      <c r="BL14" s="45" t="str">
        <f>_xlfn.IFNA(VALUE(VLOOKUP(U14,'GRPO Wiz'!AP:BZ,29,FALSE)),"")</f>
        <v/>
      </c>
      <c r="BM14" s="45" t="str">
        <f>_xlfn.IFNA(VLOOKUP(U14,'GRPO Wiz'!AP:BZ,33,FALSE),"")</f>
        <v/>
      </c>
      <c r="BX14" s="45" t="str">
        <f t="shared" si="17"/>
        <v/>
      </c>
      <c r="BY14" s="45" t="str">
        <f>_xlfn.IFNA(VLOOKUP(BX14&amp;H14,AP!IP:IQ,2,FALSE),"")</f>
        <v/>
      </c>
      <c r="BZ14" s="83" t="str">
        <f t="shared" si="18"/>
        <v/>
      </c>
      <c r="CB14" s="45" t="str">
        <f t="shared" si="19"/>
        <v/>
      </c>
      <c r="CC14" s="45" t="str">
        <f>_xlfn.IFNA((VLOOKUP(BX14&amp;H14,AP!IP:IR,3,FALSE)),"")</f>
        <v/>
      </c>
      <c r="CD14" s="45" t="str">
        <f>_xlfn.IFNA((VLOOKUP(BX14&amp;H14,AP!IP:IS,4,FALSE)),"")</f>
        <v/>
      </c>
      <c r="CW14" s="45">
        <v>13</v>
      </c>
      <c r="DT14" s="45" t="str">
        <f t="shared" si="0"/>
        <v/>
      </c>
      <c r="DU14" s="45" t="str">
        <f t="shared" si="1"/>
        <v/>
      </c>
      <c r="DV14" s="45" t="str">
        <f t="shared" si="2"/>
        <v/>
      </c>
      <c r="DW14" s="45" t="str">
        <f t="shared" si="3"/>
        <v/>
      </c>
      <c r="DX14" s="45" t="str">
        <f t="shared" si="4"/>
        <v/>
      </c>
      <c r="DY14" s="45" t="str">
        <f t="shared" si="5"/>
        <v/>
      </c>
      <c r="DZ14" s="45" t="str">
        <f t="shared" si="6"/>
        <v/>
      </c>
      <c r="EB14" s="45" t="str">
        <f t="shared" si="7"/>
        <v/>
      </c>
      <c r="EC14" s="45" t="str">
        <f t="shared" si="8"/>
        <v/>
      </c>
      <c r="ED14" s="45" t="str">
        <f t="shared" si="9"/>
        <v/>
      </c>
      <c r="EE14" s="45" t="str">
        <f t="shared" si="10"/>
        <v/>
      </c>
      <c r="EF14" s="45" t="str">
        <f t="shared" si="11"/>
        <v/>
      </c>
      <c r="EG14" s="45" t="str">
        <f t="shared" si="12"/>
        <v/>
      </c>
    </row>
    <row r="15" spans="1:181" x14ac:dyDescent="0.25">
      <c r="B15" s="45" t="str">
        <f t="shared" si="20"/>
        <v/>
      </c>
      <c r="J15" s="45" t="str">
        <f t="shared" si="13"/>
        <v/>
      </c>
      <c r="N15" s="45" t="str">
        <f t="shared" si="14"/>
        <v/>
      </c>
      <c r="T15" s="45" t="str">
        <f t="shared" si="15"/>
        <v/>
      </c>
      <c r="W15" s="44"/>
      <c r="X15" s="82" t="str">
        <f t="shared" si="16"/>
        <v/>
      </c>
      <c r="AG15" s="45" t="str">
        <f>_xlfn.IFNA(VLOOKUP(U15,'Incoming Material Report'!A:M,13,FALSE),"")</f>
        <v/>
      </c>
      <c r="AH15" s="45" t="str">
        <f>_xlfn.IFNA(IF(VLOOKUP(U15,'Incoming Material Report'!A:N,14,FALSE)="","",VLOOKUP(U15,'Incoming Material Report'!A:N,14,FALSE)),"")</f>
        <v/>
      </c>
      <c r="AI15" s="45" t="str">
        <f>_xlfn.IFNA(VLOOKUP(U15,'Incoming Material Report'!A:Z,24,FALSE),"")</f>
        <v/>
      </c>
      <c r="AJ15" s="45" t="str">
        <f>_xlfn.IFNA(VLOOKUP(U15,'Incoming Material Report'!A:Z,25,FALSE),"")</f>
        <v/>
      </c>
      <c r="AK15" s="45" t="str">
        <f>_xlfn.IFNA(VLOOKUP(U15,'Incoming Material Report'!A:Z,26,FALSE),"")</f>
        <v/>
      </c>
      <c r="AL15" s="45" t="str">
        <f>_xlfn.IFNA(VLOOKUP(U15,'Incoming Material Report'!A:Z,2,FALSE),"")</f>
        <v/>
      </c>
      <c r="AM15" s="45" t="str">
        <f>_xlfn.IFNA(VLOOKUP(U15,'Incoming Material Report'!A:K,11,FALSE)/1000,"")</f>
        <v/>
      </c>
      <c r="AO15" s="45" t="str">
        <f>_xlfn.IFNA(VLOOKUP(U15,'Incoming Material Report'!A:R,18,FALSE)*1000,"")</f>
        <v/>
      </c>
      <c r="AQ15" s="45" t="str">
        <f>_xlfn.IFNA(TEXT(VLOOKUP(U15,'Incoming Material Report'!A:D,4,FALSE),"dd.mm.yy"),"")</f>
        <v/>
      </c>
      <c r="AR15" s="45" t="str">
        <f>_xlfn.IFNA(VLOOKUP(U15,'Incoming Material Report'!A:Z,5,FALSE),"")</f>
        <v/>
      </c>
      <c r="AT15" s="45" t="str">
        <f>_xlfn.IFNA(VLOOKUP(U15,'Incoming Material Report'!A:Z,6,FALSE),"")</f>
        <v/>
      </c>
      <c r="AU15" s="45" t="str">
        <f>_xlfn.IFNA(VLOOKUP(U15,'Incoming Material Report'!A:Z,8,FALSE),"")</f>
        <v/>
      </c>
      <c r="AZ15" s="45" t="str">
        <f>_xlfn.IFNA(VLOOKUP(U15,'GRPO Wiz'!AP:BT,17,FALSE),"")</f>
        <v/>
      </c>
      <c r="BA15" s="45" t="str">
        <f>_xlfn.IFNA(VLOOKUP(U15,'GRPO Wiz'!AP:BT,18,FALSE),"")</f>
        <v/>
      </c>
      <c r="BB15" s="45" t="str">
        <f>_xlfn.IFNA(VLOOKUP(U15,'GRPO Wiz'!AP:BT,19,FALSE),"")</f>
        <v/>
      </c>
      <c r="BC15" s="45" t="str">
        <f>_xlfn.IFNA(VLOOKUP(U15,'GRPO Wiz'!AP:BT,20,FALSE),"")</f>
        <v/>
      </c>
      <c r="BD15" s="45" t="str">
        <f>_xlfn.IFNA(VLOOKUP(U15,'GRPO Wiz'!AP:BT,21,FALSE),"")</f>
        <v/>
      </c>
      <c r="BE15" s="50" t="str">
        <f>_xlfn.IFNA(VLOOKUP(U15,'GRPO Wiz'!AP:BT,22,FALSE),"")</f>
        <v/>
      </c>
      <c r="BF15" s="45" t="str">
        <f>_xlfn.IFNA(VLOOKUP(U15,'GRPO Wiz'!AP:BT,26,FALSE),"")</f>
        <v/>
      </c>
      <c r="BH15" s="45" t="str">
        <f>_xlfn.IFNA(VLOOKUP(U15,'GRPO Wiz'!AP:BN,25,FALSE),"")</f>
        <v/>
      </c>
      <c r="BI15" s="45" t="str">
        <f>_xlfn.IFNA(VLOOKUP(U15,'GRPO Wiz'!AP:BT,31,FALSE),"")</f>
        <v/>
      </c>
      <c r="BJ15" s="45" t="str">
        <f>_xlfn.IFNA(VLOOKUP(U15,'GRPO Wiz'!AP:BZ,32,FALSE),"")</f>
        <v/>
      </c>
      <c r="BK15" s="45" t="str">
        <f>_xlfn.IFNA(VLOOKUP(U15,'GRPO Wiz'!AP:BZ,27,FALSE),"")</f>
        <v/>
      </c>
      <c r="BL15" s="45" t="str">
        <f>_xlfn.IFNA(VALUE(VLOOKUP(U15,'GRPO Wiz'!AP:BZ,29,FALSE)),"")</f>
        <v/>
      </c>
      <c r="BM15" s="45" t="str">
        <f>_xlfn.IFNA(VLOOKUP(U15,'GRPO Wiz'!AP:BZ,33,FALSE),"")</f>
        <v/>
      </c>
      <c r="BX15" s="45" t="str">
        <f t="shared" si="17"/>
        <v/>
      </c>
      <c r="BY15" s="45" t="str">
        <f>_xlfn.IFNA(VLOOKUP(BX15&amp;H15,AP!IP:IQ,2,FALSE),"")</f>
        <v/>
      </c>
      <c r="BZ15" s="83" t="str">
        <f t="shared" si="18"/>
        <v/>
      </c>
      <c r="CB15" s="45" t="str">
        <f t="shared" si="19"/>
        <v/>
      </c>
      <c r="CC15" s="45" t="str">
        <f>_xlfn.IFNA((VLOOKUP(BX15&amp;H15,AP!IP:IR,3,FALSE)),"")</f>
        <v/>
      </c>
      <c r="CD15" s="45" t="str">
        <f>_xlfn.IFNA((VLOOKUP(BX15&amp;H15,AP!IP:IS,4,FALSE)),"")</f>
        <v/>
      </c>
      <c r="CW15" s="45">
        <v>14</v>
      </c>
      <c r="DT15" s="45" t="str">
        <f t="shared" si="0"/>
        <v/>
      </c>
      <c r="DU15" s="45" t="str">
        <f t="shared" si="1"/>
        <v/>
      </c>
      <c r="DV15" s="45" t="str">
        <f t="shared" si="2"/>
        <v/>
      </c>
      <c r="DW15" s="45" t="str">
        <f t="shared" si="3"/>
        <v/>
      </c>
      <c r="DX15" s="45" t="str">
        <f t="shared" si="4"/>
        <v/>
      </c>
      <c r="DY15" s="45" t="str">
        <f t="shared" si="5"/>
        <v/>
      </c>
      <c r="DZ15" s="45" t="str">
        <f t="shared" si="6"/>
        <v/>
      </c>
      <c r="EB15" s="45" t="str">
        <f t="shared" si="7"/>
        <v/>
      </c>
      <c r="EC15" s="45" t="str">
        <f t="shared" si="8"/>
        <v/>
      </c>
      <c r="ED15" s="45" t="str">
        <f t="shared" si="9"/>
        <v/>
      </c>
      <c r="EE15" s="45" t="str">
        <f t="shared" si="10"/>
        <v/>
      </c>
      <c r="EF15" s="45" t="str">
        <f t="shared" si="11"/>
        <v/>
      </c>
      <c r="EG15" s="45" t="str">
        <f t="shared" si="12"/>
        <v/>
      </c>
    </row>
    <row r="16" spans="1:181" x14ac:dyDescent="0.25">
      <c r="B16" s="45" t="str">
        <f t="shared" si="20"/>
        <v/>
      </c>
      <c r="J16" s="45" t="str">
        <f t="shared" si="13"/>
        <v/>
      </c>
      <c r="N16" s="45" t="str">
        <f t="shared" si="14"/>
        <v/>
      </c>
      <c r="T16" s="45" t="str">
        <f t="shared" si="15"/>
        <v/>
      </c>
      <c r="W16" s="44"/>
      <c r="X16" s="82" t="str">
        <f t="shared" si="16"/>
        <v/>
      </c>
      <c r="AG16" s="45" t="str">
        <f>_xlfn.IFNA(VLOOKUP(U16,'Incoming Material Report'!A:M,13,FALSE),"")</f>
        <v/>
      </c>
      <c r="AH16" s="45" t="str">
        <f>_xlfn.IFNA(IF(VLOOKUP(U16,'Incoming Material Report'!A:N,14,FALSE)="","",VLOOKUP(U16,'Incoming Material Report'!A:N,14,FALSE)),"")</f>
        <v/>
      </c>
      <c r="AI16" s="45" t="str">
        <f>_xlfn.IFNA(VLOOKUP(U16,'Incoming Material Report'!A:Z,24,FALSE),"")</f>
        <v/>
      </c>
      <c r="AJ16" s="45" t="str">
        <f>_xlfn.IFNA(VLOOKUP(U16,'Incoming Material Report'!A:Z,25,FALSE),"")</f>
        <v/>
      </c>
      <c r="AK16" s="45" t="str">
        <f>_xlfn.IFNA(VLOOKUP(U16,'Incoming Material Report'!A:Z,26,FALSE),"")</f>
        <v/>
      </c>
      <c r="AL16" s="45" t="str">
        <f>_xlfn.IFNA(VLOOKUP(U16,'Incoming Material Report'!A:Z,2,FALSE),"")</f>
        <v/>
      </c>
      <c r="AM16" s="45" t="str">
        <f>_xlfn.IFNA(VLOOKUP(U16,'Incoming Material Report'!A:K,11,FALSE)/1000,"")</f>
        <v/>
      </c>
      <c r="AO16" s="45" t="str">
        <f>_xlfn.IFNA(VLOOKUP(U16,'Incoming Material Report'!A:R,18,FALSE)*1000,"")</f>
        <v/>
      </c>
      <c r="AQ16" s="45" t="str">
        <f>_xlfn.IFNA(TEXT(VLOOKUP(U16,'Incoming Material Report'!A:D,4,FALSE),"dd.mm.yy"),"")</f>
        <v/>
      </c>
      <c r="AR16" s="45" t="str">
        <f>_xlfn.IFNA(VLOOKUP(U16,'Incoming Material Report'!A:Z,5,FALSE),"")</f>
        <v/>
      </c>
      <c r="AT16" s="45" t="str">
        <f>_xlfn.IFNA(VLOOKUP(U16,'Incoming Material Report'!A:Z,6,FALSE),"")</f>
        <v/>
      </c>
      <c r="AU16" s="45" t="str">
        <f>_xlfn.IFNA(VLOOKUP(U16,'Incoming Material Report'!A:Z,8,FALSE),"")</f>
        <v/>
      </c>
      <c r="AZ16" s="45" t="str">
        <f>_xlfn.IFNA(VLOOKUP(U16,'GRPO Wiz'!AP:BT,17,FALSE),"")</f>
        <v/>
      </c>
      <c r="BA16" s="45" t="str">
        <f>_xlfn.IFNA(VLOOKUP(U16,'GRPO Wiz'!AP:BT,18,FALSE),"")</f>
        <v/>
      </c>
      <c r="BB16" s="45" t="str">
        <f>_xlfn.IFNA(VLOOKUP(U16,'GRPO Wiz'!AP:BT,19,FALSE),"")</f>
        <v/>
      </c>
      <c r="BC16" s="45" t="str">
        <f>_xlfn.IFNA(VLOOKUP(U16,'GRPO Wiz'!AP:BT,20,FALSE),"")</f>
        <v/>
      </c>
      <c r="BD16" s="45" t="str">
        <f>_xlfn.IFNA(VLOOKUP(U16,'GRPO Wiz'!AP:BT,21,FALSE),"")</f>
        <v/>
      </c>
      <c r="BE16" s="50" t="str">
        <f>_xlfn.IFNA(VLOOKUP(U16,'GRPO Wiz'!AP:BT,22,FALSE),"")</f>
        <v/>
      </c>
      <c r="BF16" s="45" t="str">
        <f>_xlfn.IFNA(VLOOKUP(U16,'GRPO Wiz'!AP:BT,26,FALSE),"")</f>
        <v/>
      </c>
      <c r="BH16" s="45" t="str">
        <f>_xlfn.IFNA(VLOOKUP(U16,'GRPO Wiz'!AP:BN,25,FALSE),"")</f>
        <v/>
      </c>
      <c r="BI16" s="45" t="str">
        <f>_xlfn.IFNA(VLOOKUP(U16,'GRPO Wiz'!AP:BT,31,FALSE),"")</f>
        <v/>
      </c>
      <c r="BJ16" s="45" t="str">
        <f>_xlfn.IFNA(VLOOKUP(U16,'GRPO Wiz'!AP:BZ,32,FALSE),"")</f>
        <v/>
      </c>
      <c r="BK16" s="45" t="str">
        <f>_xlfn.IFNA(VLOOKUP(U16,'GRPO Wiz'!AP:BZ,27,FALSE),"")</f>
        <v/>
      </c>
      <c r="BL16" s="45" t="str">
        <f>_xlfn.IFNA(VALUE(VLOOKUP(U16,'GRPO Wiz'!AP:BZ,29,FALSE)),"")</f>
        <v/>
      </c>
      <c r="BM16" s="45" t="str">
        <f>_xlfn.IFNA(VLOOKUP(U16,'GRPO Wiz'!AP:BZ,33,FALSE),"")</f>
        <v/>
      </c>
      <c r="BX16" s="45" t="str">
        <f t="shared" si="17"/>
        <v/>
      </c>
      <c r="BY16" s="45" t="str">
        <f>_xlfn.IFNA(VLOOKUP(BX16&amp;H16,AP!IP:IQ,2,FALSE),"")</f>
        <v/>
      </c>
      <c r="BZ16" s="83" t="str">
        <f t="shared" si="18"/>
        <v/>
      </c>
      <c r="CB16" s="45" t="str">
        <f t="shared" si="19"/>
        <v/>
      </c>
      <c r="CC16" s="45" t="str">
        <f>_xlfn.IFNA((VLOOKUP(BX16&amp;H16,AP!IP:IR,3,FALSE)),"")</f>
        <v/>
      </c>
      <c r="CD16" s="45" t="str">
        <f>_xlfn.IFNA((VLOOKUP(BX16&amp;H16,AP!IP:IS,4,FALSE)),"")</f>
        <v/>
      </c>
      <c r="CW16" s="45">
        <v>15</v>
      </c>
      <c r="DT16" s="45" t="str">
        <f t="shared" si="0"/>
        <v/>
      </c>
      <c r="DU16" s="45" t="str">
        <f t="shared" si="1"/>
        <v/>
      </c>
      <c r="DV16" s="45" t="str">
        <f t="shared" si="2"/>
        <v/>
      </c>
      <c r="DW16" s="45" t="str">
        <f t="shared" si="3"/>
        <v/>
      </c>
      <c r="DX16" s="45" t="str">
        <f t="shared" si="4"/>
        <v/>
      </c>
      <c r="DY16" s="45" t="str">
        <f t="shared" si="5"/>
        <v/>
      </c>
      <c r="DZ16" s="45" t="str">
        <f t="shared" si="6"/>
        <v/>
      </c>
      <c r="EB16" s="45" t="str">
        <f t="shared" si="7"/>
        <v/>
      </c>
      <c r="EC16" s="45" t="str">
        <f t="shared" si="8"/>
        <v/>
      </c>
      <c r="ED16" s="45" t="str">
        <f t="shared" si="9"/>
        <v/>
      </c>
      <c r="EE16" s="45" t="str">
        <f t="shared" si="10"/>
        <v/>
      </c>
      <c r="EF16" s="45" t="str">
        <f t="shared" si="11"/>
        <v/>
      </c>
      <c r="EG16" s="45" t="str">
        <f t="shared" si="12"/>
        <v/>
      </c>
    </row>
    <row r="17" spans="2:101" x14ac:dyDescent="0.25">
      <c r="B17" s="45" t="str">
        <f t="shared" si="20"/>
        <v/>
      </c>
      <c r="J17" s="45" t="str">
        <f t="shared" si="13"/>
        <v/>
      </c>
      <c r="N17" s="45" t="str">
        <f t="shared" si="14"/>
        <v/>
      </c>
      <c r="T17" s="45" t="str">
        <f t="shared" si="15"/>
        <v/>
      </c>
      <c r="W17" s="44"/>
      <c r="X17" s="82" t="str">
        <f t="shared" si="16"/>
        <v/>
      </c>
      <c r="AG17" s="45" t="str">
        <f>_xlfn.IFNA(VLOOKUP(U17,'Incoming Material Report'!A:M,13,FALSE),"")</f>
        <v/>
      </c>
      <c r="AH17" s="45" t="str">
        <f>_xlfn.IFNA(IF(VLOOKUP(U17,'Incoming Material Report'!A:N,14,FALSE)="","",VLOOKUP(U17,'Incoming Material Report'!A:N,14,FALSE)),"")</f>
        <v/>
      </c>
      <c r="AI17" s="45" t="str">
        <f>_xlfn.IFNA(VLOOKUP(U17,'Incoming Material Report'!A:Z,24,FALSE),"")</f>
        <v/>
      </c>
      <c r="AJ17" s="45" t="str">
        <f>_xlfn.IFNA(VLOOKUP(U17,'Incoming Material Report'!A:Z,25,FALSE),"")</f>
        <v/>
      </c>
      <c r="AK17" s="45" t="str">
        <f>_xlfn.IFNA(VLOOKUP(U17,'Incoming Material Report'!A:Z,26,FALSE),"")</f>
        <v/>
      </c>
      <c r="AL17" s="45" t="str">
        <f>_xlfn.IFNA(VLOOKUP(U17,'Incoming Material Report'!A:Z,2,FALSE),"")</f>
        <v/>
      </c>
      <c r="AM17" s="45" t="str">
        <f>_xlfn.IFNA(VLOOKUP(U17,'Incoming Material Report'!A:K,11,FALSE)/1000,"")</f>
        <v/>
      </c>
      <c r="AO17" s="45" t="str">
        <f>_xlfn.IFNA(VLOOKUP(U17,'Incoming Material Report'!A:R,18,FALSE)*1000,"")</f>
        <v/>
      </c>
      <c r="AQ17" s="45" t="str">
        <f>_xlfn.IFNA(TEXT(VLOOKUP(U17,'Incoming Material Report'!A:D,4,FALSE),"dd.mm.yy"),"")</f>
        <v/>
      </c>
      <c r="AR17" s="45" t="str">
        <f>_xlfn.IFNA(VLOOKUP(U17,'Incoming Material Report'!A:Z,5,FALSE),"")</f>
        <v/>
      </c>
      <c r="AT17" s="45" t="str">
        <f>_xlfn.IFNA(VLOOKUP(U17,'Incoming Material Report'!A:Z,6,FALSE),"")</f>
        <v/>
      </c>
      <c r="AU17" s="45" t="str">
        <f>_xlfn.IFNA(VLOOKUP(U17,'Incoming Material Report'!A:Z,8,FALSE),"")</f>
        <v/>
      </c>
      <c r="AZ17" s="45" t="str">
        <f>_xlfn.IFNA(VLOOKUP(U17,'GRPO Wiz'!AP:BT,17,FALSE),"")</f>
        <v/>
      </c>
      <c r="BA17" s="45" t="str">
        <f>_xlfn.IFNA(VLOOKUP(U17,'GRPO Wiz'!AP:BT,18,FALSE),"")</f>
        <v/>
      </c>
      <c r="BB17" s="45" t="str">
        <f>_xlfn.IFNA(VLOOKUP(U17,'GRPO Wiz'!AP:BT,19,FALSE),"")</f>
        <v/>
      </c>
      <c r="BC17" s="45" t="str">
        <f>_xlfn.IFNA(VLOOKUP(U17,'GRPO Wiz'!AP:BT,20,FALSE),"")</f>
        <v/>
      </c>
      <c r="BD17" s="45" t="str">
        <f>_xlfn.IFNA(VLOOKUP(U17,'GRPO Wiz'!AP:BT,21,FALSE),"")</f>
        <v/>
      </c>
      <c r="BE17" s="50" t="str">
        <f>_xlfn.IFNA(VLOOKUP(U17,'GRPO Wiz'!AP:BT,22,FALSE),"")</f>
        <v/>
      </c>
      <c r="BF17" s="45" t="str">
        <f>_xlfn.IFNA(VLOOKUP(U17,'GRPO Wiz'!AP:BT,26,FALSE),"")</f>
        <v/>
      </c>
      <c r="BH17" s="45" t="str">
        <f>_xlfn.IFNA(VLOOKUP(U17,'GRPO Wiz'!AP:BN,25,FALSE),"")</f>
        <v/>
      </c>
      <c r="BI17" s="45" t="str">
        <f>_xlfn.IFNA(VLOOKUP(U17,'GRPO Wiz'!AP:BT,31,FALSE),"")</f>
        <v/>
      </c>
      <c r="BJ17" s="45" t="str">
        <f>_xlfn.IFNA(VLOOKUP(U17,'GRPO Wiz'!AP:BZ,32,FALSE),"")</f>
        <v/>
      </c>
      <c r="BK17" s="45" t="str">
        <f>_xlfn.IFNA(VLOOKUP(U17,'GRPO Wiz'!AP:BZ,27,FALSE),"")</f>
        <v/>
      </c>
      <c r="BL17" s="45" t="str">
        <f>_xlfn.IFNA(VALUE(VLOOKUP(U17,'GRPO Wiz'!AP:BZ,29,FALSE)),"")</f>
        <v/>
      </c>
      <c r="BM17" s="45" t="str">
        <f>_xlfn.IFNA(VLOOKUP(U17,'GRPO Wiz'!AP:BZ,33,FALSE),"")</f>
        <v/>
      </c>
      <c r="BX17" s="45" t="str">
        <f t="shared" si="17"/>
        <v/>
      </c>
      <c r="BY17" s="45" t="str">
        <f>_xlfn.IFNA(VLOOKUP(BX17&amp;H17,AP!IP:IQ,2,FALSE),"")</f>
        <v/>
      </c>
      <c r="BZ17" s="83" t="str">
        <f t="shared" si="18"/>
        <v/>
      </c>
      <c r="CB17" s="45" t="str">
        <f t="shared" si="19"/>
        <v/>
      </c>
      <c r="CC17" s="45" t="str">
        <f>_xlfn.IFNA((VLOOKUP(BX17&amp;H17,AP!IP:IR,3,FALSE)),"")</f>
        <v/>
      </c>
      <c r="CD17" s="45" t="str">
        <f>_xlfn.IFNA((VLOOKUP(BX17&amp;H17,AP!IP:IS,4,FALSE)),"")</f>
        <v/>
      </c>
      <c r="CW17" s="45">
        <v>16</v>
      </c>
    </row>
    <row r="18" spans="2:101" x14ac:dyDescent="0.25">
      <c r="B18" s="45" t="str">
        <f t="shared" si="20"/>
        <v/>
      </c>
      <c r="J18" s="45" t="str">
        <f t="shared" si="13"/>
        <v/>
      </c>
      <c r="N18" s="45" t="str">
        <f t="shared" si="14"/>
        <v/>
      </c>
      <c r="T18" s="45" t="str">
        <f t="shared" si="15"/>
        <v/>
      </c>
      <c r="W18" s="44"/>
      <c r="X18" s="82" t="str">
        <f t="shared" si="16"/>
        <v/>
      </c>
      <c r="AG18" s="45" t="str">
        <f>_xlfn.IFNA(VLOOKUP(U18,'Incoming Material Report'!A:M,13,FALSE),"")</f>
        <v/>
      </c>
      <c r="AH18" s="45" t="str">
        <f>_xlfn.IFNA(IF(VLOOKUP(U18,'Incoming Material Report'!A:N,14,FALSE)="","",VLOOKUP(U18,'Incoming Material Report'!A:N,14,FALSE)),"")</f>
        <v/>
      </c>
      <c r="AI18" s="45" t="str">
        <f>_xlfn.IFNA(VLOOKUP(U18,'Incoming Material Report'!A:Z,24,FALSE),"")</f>
        <v/>
      </c>
      <c r="AJ18" s="45" t="str">
        <f>_xlfn.IFNA(VLOOKUP(U18,'Incoming Material Report'!A:Z,25,FALSE),"")</f>
        <v/>
      </c>
      <c r="AK18" s="45" t="str">
        <f>_xlfn.IFNA(VLOOKUP(U18,'Incoming Material Report'!A:Z,26,FALSE),"")</f>
        <v/>
      </c>
      <c r="AL18" s="45" t="str">
        <f>_xlfn.IFNA(VLOOKUP(U18,'Incoming Material Report'!A:Z,2,FALSE),"")</f>
        <v/>
      </c>
      <c r="AM18" s="45" t="str">
        <f>_xlfn.IFNA(VLOOKUP(U18,'Incoming Material Report'!A:K,11,FALSE)/1000,"")</f>
        <v/>
      </c>
      <c r="AO18" s="45" t="str">
        <f>_xlfn.IFNA(VLOOKUP(U18,'Incoming Material Report'!A:R,18,FALSE)*1000,"")</f>
        <v/>
      </c>
      <c r="AQ18" s="45" t="str">
        <f>_xlfn.IFNA(TEXT(VLOOKUP(U18,'Incoming Material Report'!A:D,4,FALSE),"dd.mm.yy"),"")</f>
        <v/>
      </c>
      <c r="AR18" s="45" t="str">
        <f>_xlfn.IFNA(VLOOKUP(U18,'Incoming Material Report'!A:Z,5,FALSE),"")</f>
        <v/>
      </c>
      <c r="AT18" s="45" t="str">
        <f>_xlfn.IFNA(VLOOKUP(U18,'Incoming Material Report'!A:Z,6,FALSE),"")</f>
        <v/>
      </c>
      <c r="AU18" s="45" t="str">
        <f>_xlfn.IFNA(VLOOKUP(U18,'Incoming Material Report'!A:Z,8,FALSE),"")</f>
        <v/>
      </c>
      <c r="AZ18" s="45" t="str">
        <f>_xlfn.IFNA(VLOOKUP(U18,'GRPO Wiz'!AP:BT,17,FALSE),"")</f>
        <v/>
      </c>
      <c r="BA18" s="45" t="str">
        <f>_xlfn.IFNA(VLOOKUP(U18,'GRPO Wiz'!AP:BT,18,FALSE),"")</f>
        <v/>
      </c>
      <c r="BB18" s="45" t="str">
        <f>_xlfn.IFNA(VLOOKUP(U18,'GRPO Wiz'!AP:BT,19,FALSE),"")</f>
        <v/>
      </c>
      <c r="BC18" s="45" t="str">
        <f>_xlfn.IFNA(VLOOKUP(U18,'GRPO Wiz'!AP:BT,20,FALSE),"")</f>
        <v/>
      </c>
      <c r="BD18" s="45" t="str">
        <f>_xlfn.IFNA(VLOOKUP(U18,'GRPO Wiz'!AP:BT,21,FALSE),"")</f>
        <v/>
      </c>
      <c r="BE18" s="50" t="str">
        <f>_xlfn.IFNA(VLOOKUP(U18,'GRPO Wiz'!AP:BT,22,FALSE),"")</f>
        <v/>
      </c>
      <c r="BF18" s="45" t="str">
        <f>_xlfn.IFNA(VLOOKUP(U18,'GRPO Wiz'!AP:BT,26,FALSE),"")</f>
        <v/>
      </c>
      <c r="BH18" s="45" t="str">
        <f>_xlfn.IFNA(VLOOKUP(U18,'GRPO Wiz'!AP:BN,25,FALSE),"")</f>
        <v/>
      </c>
      <c r="BI18" s="45" t="str">
        <f>_xlfn.IFNA(VLOOKUP(U18,'GRPO Wiz'!AP:BT,31,FALSE),"")</f>
        <v/>
      </c>
      <c r="BJ18" s="45" t="str">
        <f>_xlfn.IFNA(VLOOKUP(U18,'GRPO Wiz'!AP:BZ,32,FALSE),"")</f>
        <v/>
      </c>
      <c r="BK18" s="45" t="str">
        <f>_xlfn.IFNA(VLOOKUP(U18,'GRPO Wiz'!AP:BZ,27,FALSE),"")</f>
        <v/>
      </c>
      <c r="BL18" s="45" t="str">
        <f>_xlfn.IFNA(VALUE(VLOOKUP(U18,'GRPO Wiz'!AP:BZ,29,FALSE)),"")</f>
        <v/>
      </c>
      <c r="BM18" s="45" t="str">
        <f>_xlfn.IFNA(VLOOKUP(U18,'GRPO Wiz'!AP:BZ,33,FALSE),"")</f>
        <v/>
      </c>
      <c r="BX18" s="45" t="str">
        <f t="shared" si="17"/>
        <v/>
      </c>
      <c r="BY18" s="45" t="str">
        <f>_xlfn.IFNA(VLOOKUP(BX18&amp;H18,AP!IP:IQ,2,FALSE),"")</f>
        <v/>
      </c>
      <c r="BZ18" s="83" t="str">
        <f t="shared" si="18"/>
        <v/>
      </c>
      <c r="CB18" s="45" t="str">
        <f t="shared" si="19"/>
        <v/>
      </c>
      <c r="CC18" s="45" t="str">
        <f>_xlfn.IFNA((VLOOKUP(BX18&amp;H18,AP!IP:IR,3,FALSE)),"")</f>
        <v/>
      </c>
      <c r="CD18" s="45" t="str">
        <f>_xlfn.IFNA((VLOOKUP(BX18&amp;H18,AP!IP:IS,4,FALSE)),"")</f>
        <v/>
      </c>
      <c r="CW18" s="45">
        <v>17</v>
      </c>
    </row>
    <row r="19" spans="2:101" x14ac:dyDescent="0.25">
      <c r="B19" s="45" t="str">
        <f t="shared" si="20"/>
        <v/>
      </c>
      <c r="J19" s="45" t="str">
        <f t="shared" si="13"/>
        <v/>
      </c>
      <c r="N19" s="45" t="str">
        <f t="shared" si="14"/>
        <v/>
      </c>
      <c r="T19" s="45" t="str">
        <f t="shared" si="15"/>
        <v/>
      </c>
      <c r="W19" s="44"/>
      <c r="X19" s="82" t="str">
        <f t="shared" si="16"/>
        <v/>
      </c>
      <c r="AG19" s="45" t="str">
        <f>_xlfn.IFNA(VLOOKUP(U19,'Incoming Material Report'!A:M,13,FALSE),"")</f>
        <v/>
      </c>
      <c r="AH19" s="45" t="str">
        <f>_xlfn.IFNA(IF(VLOOKUP(U19,'Incoming Material Report'!A:N,14,FALSE)="","",VLOOKUP(U19,'Incoming Material Report'!A:N,14,FALSE)),"")</f>
        <v/>
      </c>
      <c r="AI19" s="45" t="str">
        <f>_xlfn.IFNA(VLOOKUP(U19,'Incoming Material Report'!A:Z,24,FALSE),"")</f>
        <v/>
      </c>
      <c r="AJ19" s="45" t="str">
        <f>_xlfn.IFNA(VLOOKUP(U19,'Incoming Material Report'!A:Z,25,FALSE),"")</f>
        <v/>
      </c>
      <c r="AK19" s="45" t="str">
        <f>_xlfn.IFNA(VLOOKUP(U19,'Incoming Material Report'!A:Z,26,FALSE),"")</f>
        <v/>
      </c>
      <c r="AL19" s="45" t="str">
        <f>_xlfn.IFNA(VLOOKUP(U19,'Incoming Material Report'!A:Z,2,FALSE),"")</f>
        <v/>
      </c>
      <c r="AM19" s="45" t="str">
        <f>_xlfn.IFNA(VLOOKUP(U19,'Incoming Material Report'!A:K,11,FALSE)/1000,"")</f>
        <v/>
      </c>
      <c r="AO19" s="45" t="str">
        <f>_xlfn.IFNA(VLOOKUP(U19,'Incoming Material Report'!A:R,18,FALSE)*1000,"")</f>
        <v/>
      </c>
      <c r="AQ19" s="45" t="str">
        <f>_xlfn.IFNA(TEXT(VLOOKUP(U19,'Incoming Material Report'!A:D,4,FALSE),"dd.mm.yy"),"")</f>
        <v/>
      </c>
      <c r="AR19" s="45" t="str">
        <f>_xlfn.IFNA(VLOOKUP(U19,'Incoming Material Report'!A:Z,5,FALSE),"")</f>
        <v/>
      </c>
      <c r="AT19" s="45" t="str">
        <f>_xlfn.IFNA(VLOOKUP(U19,'Incoming Material Report'!A:Z,6,FALSE),"")</f>
        <v/>
      </c>
      <c r="AU19" s="45" t="str">
        <f>_xlfn.IFNA(VLOOKUP(U19,'Incoming Material Report'!A:Z,8,FALSE),"")</f>
        <v/>
      </c>
      <c r="AZ19" s="45" t="str">
        <f>_xlfn.IFNA(VLOOKUP(U19,'GRPO Wiz'!AP:BT,17,FALSE),"")</f>
        <v/>
      </c>
      <c r="BA19" s="45" t="str">
        <f>_xlfn.IFNA(VLOOKUP(U19,'GRPO Wiz'!AP:BT,18,FALSE),"")</f>
        <v/>
      </c>
      <c r="BB19" s="45" t="str">
        <f>_xlfn.IFNA(VLOOKUP(U19,'GRPO Wiz'!AP:BT,19,FALSE),"")</f>
        <v/>
      </c>
      <c r="BC19" s="45" t="str">
        <f>_xlfn.IFNA(VLOOKUP(U19,'GRPO Wiz'!AP:BT,20,FALSE),"")</f>
        <v/>
      </c>
      <c r="BD19" s="45" t="str">
        <f>_xlfn.IFNA(VLOOKUP(U19,'GRPO Wiz'!AP:BT,21,FALSE),"")</f>
        <v/>
      </c>
      <c r="BE19" s="50" t="str">
        <f>_xlfn.IFNA(VLOOKUP(U19,'GRPO Wiz'!AP:BT,22,FALSE),"")</f>
        <v/>
      </c>
      <c r="BF19" s="45" t="str">
        <f>_xlfn.IFNA(VLOOKUP(U19,'GRPO Wiz'!AP:BT,26,FALSE),"")</f>
        <v/>
      </c>
      <c r="BH19" s="45" t="str">
        <f>_xlfn.IFNA(VLOOKUP(U19,'GRPO Wiz'!AP:BN,25,FALSE),"")</f>
        <v/>
      </c>
      <c r="BI19" s="45" t="str">
        <f>_xlfn.IFNA(VLOOKUP(U19,'GRPO Wiz'!AP:BT,31,FALSE),"")</f>
        <v/>
      </c>
      <c r="BJ19" s="45" t="str">
        <f>_xlfn.IFNA(VLOOKUP(U19,'GRPO Wiz'!AP:BZ,32,FALSE),"")</f>
        <v/>
      </c>
      <c r="BK19" s="45" t="str">
        <f>_xlfn.IFNA(VLOOKUP(U19,'GRPO Wiz'!AP:BZ,27,FALSE),"")</f>
        <v/>
      </c>
      <c r="BL19" s="45" t="str">
        <f>_xlfn.IFNA(VALUE(VLOOKUP(U19,'GRPO Wiz'!AP:BZ,29,FALSE)),"")</f>
        <v/>
      </c>
      <c r="BM19" s="45" t="str">
        <f>_xlfn.IFNA(VLOOKUP(U19,'GRPO Wiz'!AP:BZ,33,FALSE),"")</f>
        <v/>
      </c>
      <c r="BX19" s="45" t="str">
        <f t="shared" si="17"/>
        <v/>
      </c>
      <c r="BY19" s="45" t="str">
        <f>_xlfn.IFNA(VLOOKUP(BX19&amp;H19,AP!IP:IQ,2,FALSE),"")</f>
        <v/>
      </c>
      <c r="BZ19" s="83" t="str">
        <f t="shared" si="18"/>
        <v/>
      </c>
      <c r="CB19" s="45" t="str">
        <f t="shared" si="19"/>
        <v/>
      </c>
      <c r="CC19" s="45" t="str">
        <f>_xlfn.IFNA((VLOOKUP(BX19&amp;H19,AP!IP:IR,3,FALSE)),"")</f>
        <v/>
      </c>
      <c r="CD19" s="45" t="str">
        <f>_xlfn.IFNA((VLOOKUP(BX19&amp;H19,AP!IP:IS,4,FALSE)),"")</f>
        <v/>
      </c>
      <c r="CW19" s="45">
        <v>18</v>
      </c>
    </row>
    <row r="20" spans="2:101" x14ac:dyDescent="0.25">
      <c r="B20" s="45" t="str">
        <f t="shared" si="20"/>
        <v/>
      </c>
      <c r="J20" s="45" t="str">
        <f t="shared" si="13"/>
        <v/>
      </c>
      <c r="N20" s="45" t="str">
        <f t="shared" si="14"/>
        <v/>
      </c>
      <c r="T20" s="45" t="str">
        <f t="shared" si="15"/>
        <v/>
      </c>
      <c r="W20" s="44"/>
      <c r="X20" s="82" t="str">
        <f t="shared" si="16"/>
        <v/>
      </c>
      <c r="AG20" s="45" t="str">
        <f>_xlfn.IFNA(VLOOKUP(U20,'Incoming Material Report'!A:M,13,FALSE),"")</f>
        <v/>
      </c>
      <c r="AH20" s="45" t="str">
        <f>_xlfn.IFNA(IF(VLOOKUP(U20,'Incoming Material Report'!A:N,14,FALSE)="","",VLOOKUP(U20,'Incoming Material Report'!A:N,14,FALSE)),"")</f>
        <v/>
      </c>
      <c r="AI20" s="45" t="str">
        <f>_xlfn.IFNA(VLOOKUP(U20,'Incoming Material Report'!A:Z,24,FALSE),"")</f>
        <v/>
      </c>
      <c r="AJ20" s="45" t="str">
        <f>_xlfn.IFNA(VLOOKUP(U20,'Incoming Material Report'!A:Z,25,FALSE),"")</f>
        <v/>
      </c>
      <c r="AK20" s="45" t="str">
        <f>_xlfn.IFNA(VLOOKUP(U20,'Incoming Material Report'!A:Z,26,FALSE),"")</f>
        <v/>
      </c>
      <c r="AL20" s="45" t="str">
        <f>_xlfn.IFNA(VLOOKUP(U20,'Incoming Material Report'!A:Z,2,FALSE),"")</f>
        <v/>
      </c>
      <c r="AM20" s="45" t="str">
        <f>_xlfn.IFNA(VLOOKUP(U20,'Incoming Material Report'!A:K,11,FALSE)/1000,"")</f>
        <v/>
      </c>
      <c r="AO20" s="45" t="str">
        <f>_xlfn.IFNA(VLOOKUP(U20,'Incoming Material Report'!A:R,18,FALSE)*1000,"")</f>
        <v/>
      </c>
      <c r="AQ20" s="45" t="str">
        <f>_xlfn.IFNA(TEXT(VLOOKUP(U20,'Incoming Material Report'!A:D,4,FALSE),"dd.mm.yy"),"")</f>
        <v/>
      </c>
      <c r="AR20" s="45" t="str">
        <f>_xlfn.IFNA(VLOOKUP(U20,'Incoming Material Report'!A:Z,5,FALSE),"")</f>
        <v/>
      </c>
      <c r="AT20" s="45" t="str">
        <f>_xlfn.IFNA(VLOOKUP(U20,'Incoming Material Report'!A:Z,6,FALSE),"")</f>
        <v/>
      </c>
      <c r="AU20" s="45" t="str">
        <f>_xlfn.IFNA(VLOOKUP(U20,'Incoming Material Report'!A:Z,8,FALSE),"")</f>
        <v/>
      </c>
      <c r="AZ20" s="45" t="str">
        <f>_xlfn.IFNA(VLOOKUP(U20,'GRPO Wiz'!AP:BT,17,FALSE),"")</f>
        <v/>
      </c>
      <c r="BA20" s="45" t="str">
        <f>_xlfn.IFNA(VLOOKUP(U20,'GRPO Wiz'!AP:BT,18,FALSE),"")</f>
        <v/>
      </c>
      <c r="BB20" s="45" t="str">
        <f>_xlfn.IFNA(VLOOKUP(U20,'GRPO Wiz'!AP:BT,19,FALSE),"")</f>
        <v/>
      </c>
      <c r="BC20" s="45" t="str">
        <f>_xlfn.IFNA(VLOOKUP(U20,'GRPO Wiz'!AP:BT,20,FALSE),"")</f>
        <v/>
      </c>
      <c r="BD20" s="45" t="str">
        <f>_xlfn.IFNA(VLOOKUP(U20,'GRPO Wiz'!AP:BT,21,FALSE),"")</f>
        <v/>
      </c>
      <c r="BE20" s="50" t="str">
        <f>_xlfn.IFNA(VLOOKUP(U20,'GRPO Wiz'!AP:BT,22,FALSE),"")</f>
        <v/>
      </c>
      <c r="BF20" s="45" t="str">
        <f>_xlfn.IFNA(VLOOKUP(U20,'GRPO Wiz'!AP:BT,26,FALSE),"")</f>
        <v/>
      </c>
      <c r="BH20" s="45" t="str">
        <f>_xlfn.IFNA(VLOOKUP(U20,'GRPO Wiz'!AP:BN,25,FALSE),"")</f>
        <v/>
      </c>
      <c r="BI20" s="45" t="str">
        <f>_xlfn.IFNA(VLOOKUP(U20,'GRPO Wiz'!AP:BT,31,FALSE),"")</f>
        <v/>
      </c>
      <c r="BJ20" s="45" t="str">
        <f>_xlfn.IFNA(VLOOKUP(U20,'GRPO Wiz'!AP:BZ,32,FALSE),"")</f>
        <v/>
      </c>
      <c r="BK20" s="45" t="str">
        <f>_xlfn.IFNA(VLOOKUP(U20,'GRPO Wiz'!AP:BZ,27,FALSE),"")</f>
        <v/>
      </c>
      <c r="BL20" s="45" t="str">
        <f>_xlfn.IFNA(VALUE(VLOOKUP(U20,'GRPO Wiz'!AP:BZ,29,FALSE)),"")</f>
        <v/>
      </c>
      <c r="BM20" s="45" t="str">
        <f>_xlfn.IFNA(VLOOKUP(U20,'GRPO Wiz'!AP:BZ,33,FALSE),"")</f>
        <v/>
      </c>
      <c r="BX20" s="45" t="str">
        <f t="shared" si="17"/>
        <v/>
      </c>
      <c r="BY20" s="45" t="str">
        <f>_xlfn.IFNA(VLOOKUP(BX20&amp;H20,AP!IP:IQ,2,FALSE),"")</f>
        <v/>
      </c>
      <c r="BZ20" s="83" t="str">
        <f t="shared" si="18"/>
        <v/>
      </c>
      <c r="CB20" s="45" t="str">
        <f t="shared" si="19"/>
        <v/>
      </c>
      <c r="CC20" s="45" t="str">
        <f>_xlfn.IFNA((VLOOKUP(BX20&amp;H20,AP!IP:IR,3,FALSE)),"")</f>
        <v/>
      </c>
      <c r="CD20" s="45" t="str">
        <f>_xlfn.IFNA((VLOOKUP(BX20&amp;H20,AP!IP:IS,4,FALSE)),"")</f>
        <v/>
      </c>
      <c r="CW20" s="45">
        <v>19</v>
      </c>
    </row>
    <row r="21" spans="2:101" x14ac:dyDescent="0.25">
      <c r="B21" s="45" t="str">
        <f t="shared" si="20"/>
        <v/>
      </c>
      <c r="J21" s="45" t="str">
        <f t="shared" si="13"/>
        <v/>
      </c>
      <c r="N21" s="45" t="str">
        <f t="shared" si="14"/>
        <v/>
      </c>
      <c r="T21" s="45" t="str">
        <f t="shared" si="15"/>
        <v/>
      </c>
      <c r="W21" s="44"/>
      <c r="X21" s="82" t="str">
        <f t="shared" si="16"/>
        <v/>
      </c>
      <c r="AG21" s="45" t="str">
        <f>_xlfn.IFNA(VLOOKUP(U21,'Incoming Material Report'!A:M,13,FALSE),"")</f>
        <v/>
      </c>
      <c r="AH21" s="45" t="str">
        <f>_xlfn.IFNA(IF(VLOOKUP(U21,'Incoming Material Report'!A:N,14,FALSE)="","",VLOOKUP(U21,'Incoming Material Report'!A:N,14,FALSE)),"")</f>
        <v/>
      </c>
      <c r="AI21" s="45" t="str">
        <f>_xlfn.IFNA(VLOOKUP(U21,'Incoming Material Report'!A:Z,24,FALSE),"")</f>
        <v/>
      </c>
      <c r="AJ21" s="45" t="str">
        <f>_xlfn.IFNA(VLOOKUP(U21,'Incoming Material Report'!A:Z,25,FALSE),"")</f>
        <v/>
      </c>
      <c r="AK21" s="45" t="str">
        <f>_xlfn.IFNA(VLOOKUP(U21,'Incoming Material Report'!A:Z,26,FALSE),"")</f>
        <v/>
      </c>
      <c r="AL21" s="45" t="str">
        <f>_xlfn.IFNA(VLOOKUP(U21,'Incoming Material Report'!A:Z,2,FALSE),"")</f>
        <v/>
      </c>
      <c r="AM21" s="45" t="str">
        <f>_xlfn.IFNA(VLOOKUP(U21,'Incoming Material Report'!A:K,11,FALSE)/1000,"")</f>
        <v/>
      </c>
      <c r="AO21" s="45" t="str">
        <f>_xlfn.IFNA(VLOOKUP(U21,'Incoming Material Report'!A:R,18,FALSE)*1000,"")</f>
        <v/>
      </c>
      <c r="AQ21" s="45" t="str">
        <f>_xlfn.IFNA(TEXT(VLOOKUP(U21,'Incoming Material Report'!A:D,4,FALSE),"dd.mm.yy"),"")</f>
        <v/>
      </c>
      <c r="AR21" s="45" t="str">
        <f>_xlfn.IFNA(VLOOKUP(U21,'Incoming Material Report'!A:Z,5,FALSE),"")</f>
        <v/>
      </c>
      <c r="AT21" s="45" t="str">
        <f>_xlfn.IFNA(VLOOKUP(U21,'Incoming Material Report'!A:Z,6,FALSE),"")</f>
        <v/>
      </c>
      <c r="AU21" s="45" t="str">
        <f>_xlfn.IFNA(VLOOKUP(U21,'Incoming Material Report'!A:Z,8,FALSE),"")</f>
        <v/>
      </c>
      <c r="AZ21" s="45" t="str">
        <f>_xlfn.IFNA(VLOOKUP(U21,'GRPO Wiz'!AP:BT,17,FALSE),"")</f>
        <v/>
      </c>
      <c r="BA21" s="45" t="str">
        <f>_xlfn.IFNA(VLOOKUP(U21,'GRPO Wiz'!AP:BT,18,FALSE),"")</f>
        <v/>
      </c>
      <c r="BB21" s="45" t="str">
        <f>_xlfn.IFNA(VLOOKUP(U21,'GRPO Wiz'!AP:BT,19,FALSE),"")</f>
        <v/>
      </c>
      <c r="BC21" s="45" t="str">
        <f>_xlfn.IFNA(VLOOKUP(U21,'GRPO Wiz'!AP:BT,20,FALSE),"")</f>
        <v/>
      </c>
      <c r="BD21" s="45" t="str">
        <f>_xlfn.IFNA(VLOOKUP(U21,'GRPO Wiz'!AP:BT,21,FALSE),"")</f>
        <v/>
      </c>
      <c r="BE21" s="50" t="str">
        <f>_xlfn.IFNA(VLOOKUP(U21,'GRPO Wiz'!AP:BT,22,FALSE),"")</f>
        <v/>
      </c>
      <c r="BF21" s="45" t="str">
        <f>_xlfn.IFNA(VLOOKUP(U21,'GRPO Wiz'!AP:BT,26,FALSE),"")</f>
        <v/>
      </c>
      <c r="BH21" s="45" t="str">
        <f>_xlfn.IFNA(VLOOKUP(U21,'GRPO Wiz'!AP:BN,25,FALSE),"")</f>
        <v/>
      </c>
      <c r="BI21" s="45" t="str">
        <f>_xlfn.IFNA(VLOOKUP(U21,'GRPO Wiz'!AP:BT,31,FALSE),"")</f>
        <v/>
      </c>
      <c r="BJ21" s="45" t="str">
        <f>_xlfn.IFNA(VLOOKUP(U21,'GRPO Wiz'!AP:BZ,32,FALSE),"")</f>
        <v/>
      </c>
      <c r="BK21" s="45" t="str">
        <f>_xlfn.IFNA(VLOOKUP(U21,'GRPO Wiz'!AP:BZ,27,FALSE),"")</f>
        <v/>
      </c>
      <c r="BL21" s="45" t="str">
        <f>_xlfn.IFNA(VALUE(VLOOKUP(U21,'GRPO Wiz'!AP:BZ,29,FALSE)),"")</f>
        <v/>
      </c>
      <c r="BM21" s="45" t="str">
        <f>_xlfn.IFNA(VLOOKUP(U21,'GRPO Wiz'!AP:BZ,33,FALSE),"")</f>
        <v/>
      </c>
      <c r="BX21" s="45" t="str">
        <f t="shared" si="17"/>
        <v/>
      </c>
      <c r="BY21" s="45" t="str">
        <f>_xlfn.IFNA(VLOOKUP(BX21&amp;H21,AP!IP:IQ,2,FALSE),"")</f>
        <v/>
      </c>
      <c r="BZ21" s="83" t="str">
        <f t="shared" si="18"/>
        <v/>
      </c>
      <c r="CB21" s="45" t="str">
        <f t="shared" si="19"/>
        <v/>
      </c>
      <c r="CC21" s="45" t="str">
        <f>_xlfn.IFNA((VLOOKUP(BX21&amp;H21,AP!IP:IR,3,FALSE)),"")</f>
        <v/>
      </c>
      <c r="CD21" s="45" t="str">
        <f>_xlfn.IFNA((VLOOKUP(BX21&amp;H21,AP!IP:IS,4,FALSE)),"")</f>
        <v/>
      </c>
      <c r="CW21" s="45">
        <v>20</v>
      </c>
    </row>
    <row r="22" spans="2:101" x14ac:dyDescent="0.25">
      <c r="B22" s="45" t="str">
        <f t="shared" si="20"/>
        <v/>
      </c>
      <c r="J22" s="45" t="str">
        <f t="shared" si="13"/>
        <v/>
      </c>
      <c r="N22" s="45" t="str">
        <f t="shared" si="14"/>
        <v/>
      </c>
      <c r="T22" s="45" t="str">
        <f t="shared" si="15"/>
        <v/>
      </c>
      <c r="W22" s="44"/>
      <c r="X22" s="82" t="str">
        <f t="shared" si="16"/>
        <v/>
      </c>
      <c r="AG22" s="45" t="str">
        <f>_xlfn.IFNA(VLOOKUP(U22,'Incoming Material Report'!A:M,13,FALSE),"")</f>
        <v/>
      </c>
      <c r="AH22" s="45" t="str">
        <f>_xlfn.IFNA(IF(VLOOKUP(U22,'Incoming Material Report'!A:N,14,FALSE)="","",VLOOKUP(U22,'Incoming Material Report'!A:N,14,FALSE)),"")</f>
        <v/>
      </c>
      <c r="AI22" s="45" t="str">
        <f>_xlfn.IFNA(VLOOKUP(U22,'Incoming Material Report'!A:Z,24,FALSE),"")</f>
        <v/>
      </c>
      <c r="AJ22" s="45" t="str">
        <f>_xlfn.IFNA(VLOOKUP(U22,'Incoming Material Report'!A:Z,25,FALSE),"")</f>
        <v/>
      </c>
      <c r="AK22" s="45" t="str">
        <f>_xlfn.IFNA(VLOOKUP(U22,'Incoming Material Report'!A:Z,26,FALSE),"")</f>
        <v/>
      </c>
      <c r="AL22" s="45" t="str">
        <f>_xlfn.IFNA(VLOOKUP(U22,'Incoming Material Report'!A:Z,2,FALSE),"")</f>
        <v/>
      </c>
      <c r="AM22" s="45" t="str">
        <f>_xlfn.IFNA(VLOOKUP(U22,'Incoming Material Report'!A:K,11,FALSE)/1000,"")</f>
        <v/>
      </c>
      <c r="AO22" s="45" t="str">
        <f>_xlfn.IFNA(VLOOKUP(U22,'Incoming Material Report'!A:R,18,FALSE)*1000,"")</f>
        <v/>
      </c>
      <c r="AQ22" s="45" t="str">
        <f>_xlfn.IFNA(TEXT(VLOOKUP(U22,'Incoming Material Report'!A:D,4,FALSE),"dd.mm.yy"),"")</f>
        <v/>
      </c>
      <c r="AR22" s="45" t="str">
        <f>_xlfn.IFNA(VLOOKUP(U22,'Incoming Material Report'!A:Z,5,FALSE),"")</f>
        <v/>
      </c>
      <c r="AT22" s="45" t="str">
        <f>_xlfn.IFNA(VLOOKUP(U22,'Incoming Material Report'!A:Z,6,FALSE),"")</f>
        <v/>
      </c>
      <c r="AU22" s="45" t="str">
        <f>_xlfn.IFNA(VLOOKUP(U22,'Incoming Material Report'!A:Z,8,FALSE),"")</f>
        <v/>
      </c>
      <c r="AZ22" s="45" t="str">
        <f>_xlfn.IFNA(VLOOKUP(U22,'GRPO Wiz'!AP:BT,17,FALSE),"")</f>
        <v/>
      </c>
      <c r="BA22" s="45" t="str">
        <f>_xlfn.IFNA(VLOOKUP(U22,'GRPO Wiz'!AP:BT,18,FALSE),"")</f>
        <v/>
      </c>
      <c r="BB22" s="45" t="str">
        <f>_xlfn.IFNA(VLOOKUP(U22,'GRPO Wiz'!AP:BT,19,FALSE),"")</f>
        <v/>
      </c>
      <c r="BC22" s="45" t="str">
        <f>_xlfn.IFNA(VLOOKUP(U22,'GRPO Wiz'!AP:BT,20,FALSE),"")</f>
        <v/>
      </c>
      <c r="BD22" s="45" t="str">
        <f>_xlfn.IFNA(VLOOKUP(U22,'GRPO Wiz'!AP:BT,21,FALSE),"")</f>
        <v/>
      </c>
      <c r="BE22" s="50" t="str">
        <f>_xlfn.IFNA(VLOOKUP(U22,'GRPO Wiz'!AP:BT,22,FALSE),"")</f>
        <v/>
      </c>
      <c r="BF22" s="45" t="str">
        <f>_xlfn.IFNA(VLOOKUP(U22,'GRPO Wiz'!AP:BT,26,FALSE),"")</f>
        <v/>
      </c>
      <c r="BH22" s="45" t="str">
        <f>_xlfn.IFNA(VLOOKUP(U22,'GRPO Wiz'!AP:BN,25,FALSE),"")</f>
        <v/>
      </c>
      <c r="BI22" s="45" t="str">
        <f>_xlfn.IFNA(VLOOKUP(U22,'GRPO Wiz'!AP:BT,31,FALSE),"")</f>
        <v/>
      </c>
      <c r="BJ22" s="45" t="str">
        <f>_xlfn.IFNA(VLOOKUP(U22,'GRPO Wiz'!AP:BZ,32,FALSE),"")</f>
        <v/>
      </c>
      <c r="BK22" s="45" t="str">
        <f>_xlfn.IFNA(VLOOKUP(U22,'GRPO Wiz'!AP:BZ,27,FALSE),"")</f>
        <v/>
      </c>
      <c r="BL22" s="45" t="str">
        <f>_xlfn.IFNA(VALUE(VLOOKUP(U22,'GRPO Wiz'!AP:BZ,29,FALSE)),"")</f>
        <v/>
      </c>
      <c r="BM22" s="45" t="str">
        <f>_xlfn.IFNA(VLOOKUP(U22,'GRPO Wiz'!AP:BZ,33,FALSE),"")</f>
        <v/>
      </c>
      <c r="BX22" s="45" t="str">
        <f t="shared" si="17"/>
        <v/>
      </c>
      <c r="BY22" s="45" t="str">
        <f>_xlfn.IFNA(VLOOKUP(BX22&amp;H22,AP!IP:IQ,2,FALSE),"")</f>
        <v/>
      </c>
      <c r="BZ22" s="83" t="str">
        <f t="shared" si="18"/>
        <v/>
      </c>
      <c r="CB22" s="45" t="str">
        <f t="shared" si="19"/>
        <v/>
      </c>
      <c r="CC22" s="45" t="str">
        <f>_xlfn.IFNA((VLOOKUP(BX22&amp;H22,AP!IP:IR,3,FALSE)),"")</f>
        <v/>
      </c>
      <c r="CD22" s="45" t="str">
        <f>_xlfn.IFNA((VLOOKUP(BX22&amp;H22,AP!IP:IS,4,FALSE)),"")</f>
        <v/>
      </c>
      <c r="CW22" s="45">
        <v>21</v>
      </c>
    </row>
    <row r="23" spans="2:101" x14ac:dyDescent="0.25">
      <c r="B23" s="45" t="str">
        <f t="shared" si="20"/>
        <v/>
      </c>
      <c r="J23" s="45" t="str">
        <f t="shared" si="13"/>
        <v/>
      </c>
      <c r="N23" s="45" t="str">
        <f t="shared" si="14"/>
        <v/>
      </c>
      <c r="T23" s="45" t="str">
        <f t="shared" si="15"/>
        <v/>
      </c>
      <c r="W23" s="44"/>
      <c r="X23" s="82" t="str">
        <f t="shared" si="16"/>
        <v/>
      </c>
      <c r="AG23" s="45" t="str">
        <f>_xlfn.IFNA(VLOOKUP(U23,'Incoming Material Report'!A:M,13,FALSE),"")</f>
        <v/>
      </c>
      <c r="AH23" s="45" t="str">
        <f>_xlfn.IFNA(IF(VLOOKUP(U23,'Incoming Material Report'!A:N,14,FALSE)="","",VLOOKUP(U23,'Incoming Material Report'!A:N,14,FALSE)),"")</f>
        <v/>
      </c>
      <c r="AI23" s="45" t="str">
        <f>_xlfn.IFNA(VLOOKUP(U23,'Incoming Material Report'!A:Z,24,FALSE),"")</f>
        <v/>
      </c>
      <c r="AJ23" s="45" t="str">
        <f>_xlfn.IFNA(VLOOKUP(U23,'Incoming Material Report'!A:Z,25,FALSE),"")</f>
        <v/>
      </c>
      <c r="AK23" s="45" t="str">
        <f>_xlfn.IFNA(VLOOKUP(U23,'Incoming Material Report'!A:Z,26,FALSE),"")</f>
        <v/>
      </c>
      <c r="AL23" s="45" t="str">
        <f>_xlfn.IFNA(VLOOKUP(U23,'Incoming Material Report'!A:Z,2,FALSE),"")</f>
        <v/>
      </c>
      <c r="AM23" s="45" t="str">
        <f>_xlfn.IFNA(VLOOKUP(U23,'Incoming Material Report'!A:K,11,FALSE)/1000,"")</f>
        <v/>
      </c>
      <c r="AO23" s="45" t="str">
        <f>_xlfn.IFNA(VLOOKUP(U23,'Incoming Material Report'!A:R,18,FALSE)*1000,"")</f>
        <v/>
      </c>
      <c r="AQ23" s="45" t="str">
        <f>_xlfn.IFNA(TEXT(VLOOKUP(U23,'Incoming Material Report'!A:D,4,FALSE),"dd.mm.yy"),"")</f>
        <v/>
      </c>
      <c r="AR23" s="45" t="str">
        <f>_xlfn.IFNA(VLOOKUP(U23,'Incoming Material Report'!A:Z,5,FALSE),"")</f>
        <v/>
      </c>
      <c r="AT23" s="45" t="str">
        <f>_xlfn.IFNA(VLOOKUP(U23,'Incoming Material Report'!A:Z,6,FALSE),"")</f>
        <v/>
      </c>
      <c r="AU23" s="45" t="str">
        <f>_xlfn.IFNA(VLOOKUP(U23,'Incoming Material Report'!A:Z,8,FALSE),"")</f>
        <v/>
      </c>
      <c r="AZ23" s="45" t="str">
        <f>_xlfn.IFNA(VLOOKUP(U23,'GRPO Wiz'!AP:BT,17,FALSE),"")</f>
        <v/>
      </c>
      <c r="BA23" s="45" t="str">
        <f>_xlfn.IFNA(VLOOKUP(U23,'GRPO Wiz'!AP:BT,18,FALSE),"")</f>
        <v/>
      </c>
      <c r="BB23" s="45" t="str">
        <f>_xlfn.IFNA(VLOOKUP(U23,'GRPO Wiz'!AP:BT,19,FALSE),"")</f>
        <v/>
      </c>
      <c r="BC23" s="45" t="str">
        <f>_xlfn.IFNA(VLOOKUP(U23,'GRPO Wiz'!AP:BT,20,FALSE),"")</f>
        <v/>
      </c>
      <c r="BD23" s="45" t="str">
        <f>_xlfn.IFNA(VLOOKUP(U23,'GRPO Wiz'!AP:BT,21,FALSE),"")</f>
        <v/>
      </c>
      <c r="BE23" s="50" t="str">
        <f>_xlfn.IFNA(VLOOKUP(U23,'GRPO Wiz'!AP:BT,22,FALSE),"")</f>
        <v/>
      </c>
      <c r="BF23" s="45" t="str">
        <f>_xlfn.IFNA(VLOOKUP(U23,'GRPO Wiz'!AP:BT,26,FALSE),"")</f>
        <v/>
      </c>
      <c r="BH23" s="45" t="str">
        <f>_xlfn.IFNA(VLOOKUP(U23,'GRPO Wiz'!AP:BN,25,FALSE),"")</f>
        <v/>
      </c>
      <c r="BI23" s="45" t="str">
        <f>_xlfn.IFNA(VLOOKUP(U23,'GRPO Wiz'!AP:BT,31,FALSE),"")</f>
        <v/>
      </c>
      <c r="BJ23" s="45" t="str">
        <f>_xlfn.IFNA(VLOOKUP(U23,'GRPO Wiz'!AP:BZ,32,FALSE),"")</f>
        <v/>
      </c>
      <c r="BK23" s="45" t="str">
        <f>_xlfn.IFNA(VLOOKUP(U23,'GRPO Wiz'!AP:BZ,27,FALSE),"")</f>
        <v/>
      </c>
      <c r="BL23" s="45" t="str">
        <f>_xlfn.IFNA(VALUE(VLOOKUP(U23,'GRPO Wiz'!AP:BZ,29,FALSE)),"")</f>
        <v/>
      </c>
      <c r="BM23" s="45" t="str">
        <f>_xlfn.IFNA(VLOOKUP(U23,'GRPO Wiz'!AP:BZ,33,FALSE),"")</f>
        <v/>
      </c>
      <c r="BX23" s="45" t="str">
        <f t="shared" si="17"/>
        <v/>
      </c>
      <c r="BY23" s="45" t="str">
        <f>_xlfn.IFNA(VLOOKUP(BX23&amp;H23,AP!IP:IQ,2,FALSE),"")</f>
        <v/>
      </c>
      <c r="BZ23" s="83" t="str">
        <f t="shared" si="18"/>
        <v/>
      </c>
      <c r="CB23" s="45" t="str">
        <f t="shared" si="19"/>
        <v/>
      </c>
      <c r="CC23" s="45" t="str">
        <f>_xlfn.IFNA((VLOOKUP(BX23&amp;H23,AP!IP:IR,3,FALSE)),"")</f>
        <v/>
      </c>
      <c r="CD23" s="45" t="str">
        <f>_xlfn.IFNA((VLOOKUP(BX23&amp;H23,AP!IP:IS,4,FALSE)),"")</f>
        <v/>
      </c>
    </row>
    <row r="24" spans="2:101" x14ac:dyDescent="0.25">
      <c r="B24" s="45" t="str">
        <f t="shared" si="20"/>
        <v/>
      </c>
      <c r="J24" s="45" t="str">
        <f t="shared" si="13"/>
        <v/>
      </c>
      <c r="N24" s="45" t="str">
        <f t="shared" si="14"/>
        <v/>
      </c>
      <c r="T24" s="45" t="str">
        <f t="shared" si="15"/>
        <v/>
      </c>
      <c r="W24" s="44"/>
      <c r="X24" s="82" t="str">
        <f t="shared" si="16"/>
        <v/>
      </c>
      <c r="AG24" s="45" t="str">
        <f>_xlfn.IFNA(VLOOKUP(U24,'Incoming Material Report'!A:M,13,FALSE),"")</f>
        <v/>
      </c>
      <c r="AH24" s="45" t="str">
        <f>_xlfn.IFNA(IF(VLOOKUP(U24,'Incoming Material Report'!A:N,14,FALSE)="","",VLOOKUP(U24,'Incoming Material Report'!A:N,14,FALSE)),"")</f>
        <v/>
      </c>
      <c r="AI24" s="45" t="str">
        <f>_xlfn.IFNA(VLOOKUP(U24,'Incoming Material Report'!A:Z,24,FALSE),"")</f>
        <v/>
      </c>
      <c r="AJ24" s="45" t="str">
        <f>_xlfn.IFNA(VLOOKUP(U24,'Incoming Material Report'!A:Z,25,FALSE),"")</f>
        <v/>
      </c>
      <c r="AK24" s="45" t="str">
        <f>_xlfn.IFNA(VLOOKUP(U24,'Incoming Material Report'!A:Z,26,FALSE),"")</f>
        <v/>
      </c>
      <c r="AL24" s="45" t="str">
        <f>_xlfn.IFNA(VLOOKUP(U24,'Incoming Material Report'!A:Z,2,FALSE),"")</f>
        <v/>
      </c>
      <c r="AM24" s="45" t="str">
        <f>_xlfn.IFNA(VLOOKUP(U24,'Incoming Material Report'!A:K,11,FALSE)/1000,"")</f>
        <v/>
      </c>
      <c r="AO24" s="45" t="str">
        <f>_xlfn.IFNA(VLOOKUP(U24,'Incoming Material Report'!A:R,18,FALSE)*1000,"")</f>
        <v/>
      </c>
      <c r="AQ24" s="45" t="str">
        <f>_xlfn.IFNA(TEXT(VLOOKUP(U24,'Incoming Material Report'!A:D,4,FALSE),"dd.mm.yy"),"")</f>
        <v/>
      </c>
      <c r="AR24" s="45" t="str">
        <f>_xlfn.IFNA(VLOOKUP(U24,'Incoming Material Report'!A:Z,5,FALSE),"")</f>
        <v/>
      </c>
      <c r="AT24" s="45" t="str">
        <f>_xlfn.IFNA(VLOOKUP(U24,'Incoming Material Report'!A:Z,6,FALSE),"")</f>
        <v/>
      </c>
      <c r="AU24" s="45" t="str">
        <f>_xlfn.IFNA(VLOOKUP(U24,'Incoming Material Report'!A:Z,8,FALSE),"")</f>
        <v/>
      </c>
      <c r="AZ24" s="45" t="str">
        <f>_xlfn.IFNA(VLOOKUP(U24,'GRPO Wiz'!AP:BT,17,FALSE),"")</f>
        <v/>
      </c>
      <c r="BA24" s="45" t="str">
        <f>_xlfn.IFNA(VLOOKUP(U24,'GRPO Wiz'!AP:BT,18,FALSE),"")</f>
        <v/>
      </c>
      <c r="BB24" s="45" t="str">
        <f>_xlfn.IFNA(VLOOKUP(U24,'GRPO Wiz'!AP:BT,19,FALSE),"")</f>
        <v/>
      </c>
      <c r="BC24" s="45" t="str">
        <f>_xlfn.IFNA(VLOOKUP(U24,'GRPO Wiz'!AP:BT,20,FALSE),"")</f>
        <v/>
      </c>
      <c r="BD24" s="45" t="str">
        <f>_xlfn.IFNA(VLOOKUP(U24,'GRPO Wiz'!AP:BT,21,FALSE),"")</f>
        <v/>
      </c>
      <c r="BE24" s="50" t="str">
        <f>_xlfn.IFNA(VLOOKUP(U24,'GRPO Wiz'!AP:BT,22,FALSE),"")</f>
        <v/>
      </c>
      <c r="BF24" s="45" t="str">
        <f>_xlfn.IFNA(VLOOKUP(U24,'GRPO Wiz'!AP:BT,26,FALSE),"")</f>
        <v/>
      </c>
      <c r="BH24" s="45" t="str">
        <f>_xlfn.IFNA(VLOOKUP(U24,'GRPO Wiz'!AP:BN,25,FALSE),"")</f>
        <v/>
      </c>
      <c r="BI24" s="45" t="str">
        <f>_xlfn.IFNA(VLOOKUP(U24,'GRPO Wiz'!AP:BT,31,FALSE),"")</f>
        <v/>
      </c>
      <c r="BJ24" s="45" t="str">
        <f>_xlfn.IFNA(VLOOKUP(U24,'GRPO Wiz'!AP:BZ,32,FALSE),"")</f>
        <v/>
      </c>
      <c r="BK24" s="45" t="str">
        <f>_xlfn.IFNA(VLOOKUP(U24,'GRPO Wiz'!AP:BZ,27,FALSE),"")</f>
        <v/>
      </c>
      <c r="BL24" s="45" t="str">
        <f>_xlfn.IFNA(VALUE(VLOOKUP(U24,'GRPO Wiz'!AP:BZ,29,FALSE)),"")</f>
        <v/>
      </c>
      <c r="BM24" s="45" t="str">
        <f>_xlfn.IFNA(VLOOKUP(U24,'GRPO Wiz'!AP:BZ,33,FALSE),"")</f>
        <v/>
      </c>
      <c r="BX24" s="45" t="str">
        <f t="shared" si="17"/>
        <v/>
      </c>
      <c r="BY24" s="45" t="str">
        <f>_xlfn.IFNA(VLOOKUP(BX24&amp;H24,AP!IP:IQ,2,FALSE),"")</f>
        <v/>
      </c>
      <c r="BZ24" s="83" t="str">
        <f t="shared" si="18"/>
        <v/>
      </c>
      <c r="CB24" s="45" t="str">
        <f t="shared" si="19"/>
        <v/>
      </c>
      <c r="CC24" s="45" t="str">
        <f>_xlfn.IFNA((VLOOKUP(BX24&amp;H24,AP!IP:IR,3,FALSE)),"")</f>
        <v/>
      </c>
      <c r="CD24" s="45" t="str">
        <f>_xlfn.IFNA((VLOOKUP(BX24&amp;H24,AP!IP:IS,4,FALSE)),"")</f>
        <v/>
      </c>
    </row>
    <row r="25" spans="2:101" x14ac:dyDescent="0.25">
      <c r="B25" s="45" t="str">
        <f t="shared" si="20"/>
        <v/>
      </c>
      <c r="J25" s="45" t="str">
        <f t="shared" si="13"/>
        <v/>
      </c>
      <c r="N25" s="45" t="str">
        <f t="shared" si="14"/>
        <v/>
      </c>
      <c r="T25" s="45" t="str">
        <f t="shared" si="15"/>
        <v/>
      </c>
      <c r="W25" s="44"/>
      <c r="X25" s="82" t="str">
        <f t="shared" si="16"/>
        <v/>
      </c>
      <c r="AG25" s="45" t="str">
        <f>_xlfn.IFNA(VLOOKUP(U25,'Incoming Material Report'!A:M,13,FALSE),"")</f>
        <v/>
      </c>
      <c r="AH25" s="45" t="str">
        <f>_xlfn.IFNA(IF(VLOOKUP(U25,'Incoming Material Report'!A:N,14,FALSE)="","",VLOOKUP(U25,'Incoming Material Report'!A:N,14,FALSE)),"")</f>
        <v/>
      </c>
      <c r="AI25" s="45" t="str">
        <f>_xlfn.IFNA(VLOOKUP(U25,'Incoming Material Report'!A:Z,24,FALSE),"")</f>
        <v/>
      </c>
      <c r="AJ25" s="45" t="str">
        <f>_xlfn.IFNA(VLOOKUP(U25,'Incoming Material Report'!A:Z,25,FALSE),"")</f>
        <v/>
      </c>
      <c r="AK25" s="45" t="str">
        <f>_xlfn.IFNA(VLOOKUP(U25,'Incoming Material Report'!A:Z,26,FALSE),"")</f>
        <v/>
      </c>
      <c r="AL25" s="45" t="str">
        <f>_xlfn.IFNA(VLOOKUP(U25,'Incoming Material Report'!A:Z,2,FALSE),"")</f>
        <v/>
      </c>
      <c r="AM25" s="45" t="str">
        <f>_xlfn.IFNA(VLOOKUP(U25,'Incoming Material Report'!A:K,11,FALSE)/1000,"")</f>
        <v/>
      </c>
      <c r="AO25" s="45" t="str">
        <f>_xlfn.IFNA(VLOOKUP(U25,'Incoming Material Report'!A:R,18,FALSE)*1000,"")</f>
        <v/>
      </c>
      <c r="AQ25" s="45" t="str">
        <f>_xlfn.IFNA(TEXT(VLOOKUP(U25,'Incoming Material Report'!A:D,4,FALSE),"dd.mm.yy"),"")</f>
        <v/>
      </c>
      <c r="AR25" s="45" t="str">
        <f>_xlfn.IFNA(VLOOKUP(U25,'Incoming Material Report'!A:Z,5,FALSE),"")</f>
        <v/>
      </c>
      <c r="AT25" s="45" t="str">
        <f>_xlfn.IFNA(VLOOKUP(U25,'Incoming Material Report'!A:Z,6,FALSE),"")</f>
        <v/>
      </c>
      <c r="AU25" s="45" t="str">
        <f>_xlfn.IFNA(VLOOKUP(U25,'Incoming Material Report'!A:Z,8,FALSE),"")</f>
        <v/>
      </c>
      <c r="AZ25" s="45" t="str">
        <f>_xlfn.IFNA(VLOOKUP(U25,'GRPO Wiz'!AP:BT,17,FALSE),"")</f>
        <v/>
      </c>
      <c r="BA25" s="45" t="str">
        <f>_xlfn.IFNA(VLOOKUP(U25,'GRPO Wiz'!AP:BT,18,FALSE),"")</f>
        <v/>
      </c>
      <c r="BB25" s="45" t="str">
        <f>_xlfn.IFNA(VLOOKUP(U25,'GRPO Wiz'!AP:BT,19,FALSE),"")</f>
        <v/>
      </c>
      <c r="BC25" s="45" t="str">
        <f>_xlfn.IFNA(VLOOKUP(U25,'GRPO Wiz'!AP:BT,20,FALSE),"")</f>
        <v/>
      </c>
      <c r="BD25" s="45" t="str">
        <f>_xlfn.IFNA(VLOOKUP(U25,'GRPO Wiz'!AP:BT,21,FALSE),"")</f>
        <v/>
      </c>
      <c r="BE25" s="50" t="str">
        <f>_xlfn.IFNA(VLOOKUP(U25,'GRPO Wiz'!AP:BT,22,FALSE),"")</f>
        <v/>
      </c>
      <c r="BF25" s="45" t="str">
        <f>_xlfn.IFNA(VLOOKUP(U25,'GRPO Wiz'!AP:BT,26,FALSE),"")</f>
        <v/>
      </c>
      <c r="BH25" s="45" t="str">
        <f>_xlfn.IFNA(VLOOKUP(U25,'GRPO Wiz'!AP:BN,25,FALSE),"")</f>
        <v/>
      </c>
      <c r="BI25" s="45" t="str">
        <f>_xlfn.IFNA(VLOOKUP(U25,'GRPO Wiz'!AP:BT,31,FALSE),"")</f>
        <v/>
      </c>
      <c r="BJ25" s="45" t="str">
        <f>_xlfn.IFNA(VLOOKUP(U25,'GRPO Wiz'!AP:BZ,32,FALSE),"")</f>
        <v/>
      </c>
      <c r="BK25" s="45" t="str">
        <f>_xlfn.IFNA(VLOOKUP(U25,'GRPO Wiz'!AP:BZ,27,FALSE),"")</f>
        <v/>
      </c>
      <c r="BL25" s="45" t="str">
        <f>_xlfn.IFNA(VALUE(VLOOKUP(U25,'GRPO Wiz'!AP:BZ,29,FALSE)),"")</f>
        <v/>
      </c>
      <c r="BM25" s="45" t="str">
        <f>_xlfn.IFNA(VLOOKUP(U25,'GRPO Wiz'!AP:BZ,33,FALSE),"")</f>
        <v/>
      </c>
      <c r="BX25" s="45" t="str">
        <f t="shared" si="17"/>
        <v/>
      </c>
      <c r="BY25" s="45" t="str">
        <f>_xlfn.IFNA(VLOOKUP(BX25&amp;H25,AP!IP:IQ,2,FALSE),"")</f>
        <v/>
      </c>
      <c r="BZ25" s="83" t="str">
        <f t="shared" si="18"/>
        <v/>
      </c>
      <c r="CB25" s="45" t="str">
        <f t="shared" si="19"/>
        <v/>
      </c>
      <c r="CC25" s="45" t="str">
        <f>_xlfn.IFNA((VLOOKUP(BX25&amp;H25,AP!IP:IR,3,FALSE)),"")</f>
        <v/>
      </c>
      <c r="CD25" s="45" t="str">
        <f>_xlfn.IFNA((VLOOKUP(BX25&amp;H25,AP!IP:IS,4,FALSE)),"")</f>
        <v/>
      </c>
    </row>
    <row r="26" spans="2:101" x14ac:dyDescent="0.25">
      <c r="B26" s="45" t="str">
        <f t="shared" si="20"/>
        <v/>
      </c>
      <c r="J26" s="45" t="str">
        <f t="shared" si="13"/>
        <v/>
      </c>
      <c r="N26" s="45" t="str">
        <f t="shared" si="14"/>
        <v/>
      </c>
      <c r="T26" s="45" t="str">
        <f t="shared" si="15"/>
        <v/>
      </c>
      <c r="W26" s="44"/>
      <c r="X26" s="82" t="str">
        <f t="shared" si="16"/>
        <v/>
      </c>
      <c r="AG26" s="45" t="str">
        <f>_xlfn.IFNA(VLOOKUP(U26,'Incoming Material Report'!A:M,13,FALSE),"")</f>
        <v/>
      </c>
      <c r="AH26" s="45" t="str">
        <f>_xlfn.IFNA(IF(VLOOKUP(U26,'Incoming Material Report'!A:N,14,FALSE)="","",VLOOKUP(U26,'Incoming Material Report'!A:N,14,FALSE)),"")</f>
        <v/>
      </c>
      <c r="AI26" s="45" t="str">
        <f>_xlfn.IFNA(VLOOKUP(U26,'Incoming Material Report'!A:Z,24,FALSE),"")</f>
        <v/>
      </c>
      <c r="AJ26" s="45" t="str">
        <f>_xlfn.IFNA(VLOOKUP(U26,'Incoming Material Report'!A:Z,25,FALSE),"")</f>
        <v/>
      </c>
      <c r="AK26" s="45" t="str">
        <f>_xlfn.IFNA(VLOOKUP(U26,'Incoming Material Report'!A:Z,26,FALSE),"")</f>
        <v/>
      </c>
      <c r="AL26" s="45" t="str">
        <f>_xlfn.IFNA(VLOOKUP(U26,'Incoming Material Report'!A:Z,2,FALSE),"")</f>
        <v/>
      </c>
      <c r="AM26" s="45" t="str">
        <f>_xlfn.IFNA(VLOOKUP(U26,'Incoming Material Report'!A:K,11,FALSE)/1000,"")</f>
        <v/>
      </c>
      <c r="AO26" s="45" t="str">
        <f>_xlfn.IFNA(VLOOKUP(U26,'Incoming Material Report'!A:R,18,FALSE)*1000,"")</f>
        <v/>
      </c>
      <c r="AQ26" s="45" t="str">
        <f>_xlfn.IFNA(TEXT(VLOOKUP(U26,'Incoming Material Report'!A:D,4,FALSE),"dd.mm.yy"),"")</f>
        <v/>
      </c>
      <c r="AR26" s="45" t="str">
        <f>_xlfn.IFNA(VLOOKUP(U26,'Incoming Material Report'!A:Z,5,FALSE),"")</f>
        <v/>
      </c>
      <c r="AT26" s="45" t="str">
        <f>_xlfn.IFNA(VLOOKUP(U26,'Incoming Material Report'!A:Z,6,FALSE),"")</f>
        <v/>
      </c>
      <c r="AU26" s="45" t="str">
        <f>_xlfn.IFNA(VLOOKUP(U26,'Incoming Material Report'!A:Z,8,FALSE),"")</f>
        <v/>
      </c>
      <c r="AZ26" s="45" t="str">
        <f>_xlfn.IFNA(VLOOKUP(U26,'GRPO Wiz'!AP:BT,17,FALSE),"")</f>
        <v/>
      </c>
      <c r="BA26" s="45" t="str">
        <f>_xlfn.IFNA(VLOOKUP(U26,'GRPO Wiz'!AP:BT,18,FALSE),"")</f>
        <v/>
      </c>
      <c r="BB26" s="45" t="str">
        <f>_xlfn.IFNA(VLOOKUP(U26,'GRPO Wiz'!AP:BT,19,FALSE),"")</f>
        <v/>
      </c>
      <c r="BC26" s="45" t="str">
        <f>_xlfn.IFNA(VLOOKUP(U26,'GRPO Wiz'!AP:BT,20,FALSE),"")</f>
        <v/>
      </c>
      <c r="BD26" s="45" t="str">
        <f>_xlfn.IFNA(VLOOKUP(U26,'GRPO Wiz'!AP:BT,21,FALSE),"")</f>
        <v/>
      </c>
      <c r="BE26" s="50" t="str">
        <f>_xlfn.IFNA(VLOOKUP(U26,'GRPO Wiz'!AP:BT,22,FALSE),"")</f>
        <v/>
      </c>
      <c r="BF26" s="45" t="str">
        <f>_xlfn.IFNA(VLOOKUP(U26,'GRPO Wiz'!AP:BT,26,FALSE),"")</f>
        <v/>
      </c>
      <c r="BH26" s="45" t="str">
        <f>_xlfn.IFNA(VLOOKUP(U26,'GRPO Wiz'!AP:BN,25,FALSE),"")</f>
        <v/>
      </c>
      <c r="BI26" s="45" t="str">
        <f>_xlfn.IFNA(VLOOKUP(U26,'GRPO Wiz'!AP:BT,31,FALSE),"")</f>
        <v/>
      </c>
      <c r="BJ26" s="45" t="str">
        <f>_xlfn.IFNA(VLOOKUP(U26,'GRPO Wiz'!AP:BZ,32,FALSE),"")</f>
        <v/>
      </c>
      <c r="BK26" s="45" t="str">
        <f>_xlfn.IFNA(VLOOKUP(U26,'GRPO Wiz'!AP:BZ,27,FALSE),"")</f>
        <v/>
      </c>
      <c r="BL26" s="45" t="str">
        <f>_xlfn.IFNA(VALUE(VLOOKUP(U26,'GRPO Wiz'!AP:BZ,29,FALSE)),"")</f>
        <v/>
      </c>
      <c r="BM26" s="45" t="str">
        <f>_xlfn.IFNA(VLOOKUP(U26,'GRPO Wiz'!AP:BZ,33,FALSE),"")</f>
        <v/>
      </c>
      <c r="BX26" s="45" t="str">
        <f t="shared" si="17"/>
        <v/>
      </c>
      <c r="BY26" s="45" t="str">
        <f>_xlfn.IFNA(VLOOKUP(BX26&amp;H26,AP!IP:IQ,2,FALSE),"")</f>
        <v/>
      </c>
      <c r="BZ26" s="83" t="str">
        <f t="shared" si="18"/>
        <v/>
      </c>
      <c r="CB26" s="45" t="str">
        <f t="shared" si="19"/>
        <v/>
      </c>
      <c r="CC26" s="45" t="str">
        <f>_xlfn.IFNA((VLOOKUP(BX26&amp;H26,AP!IP:IR,3,FALSE)),"")</f>
        <v/>
      </c>
      <c r="CD26" s="45" t="str">
        <f>_xlfn.IFNA((VLOOKUP(BX26&amp;H26,AP!IP:IS,4,FALSE)),"")</f>
        <v/>
      </c>
    </row>
    <row r="27" spans="2:101" x14ac:dyDescent="0.25">
      <c r="B27" s="45" t="str">
        <f t="shared" si="20"/>
        <v/>
      </c>
      <c r="J27" s="45" t="str">
        <f t="shared" si="13"/>
        <v/>
      </c>
      <c r="N27" s="45" t="str">
        <f t="shared" si="14"/>
        <v/>
      </c>
      <c r="T27" s="45" t="str">
        <f t="shared" si="15"/>
        <v/>
      </c>
      <c r="W27" s="44"/>
      <c r="X27" s="82" t="str">
        <f t="shared" si="16"/>
        <v/>
      </c>
      <c r="AG27" s="45" t="str">
        <f>_xlfn.IFNA(VLOOKUP(U27,'Incoming Material Report'!A:M,13,FALSE),"")</f>
        <v/>
      </c>
      <c r="AH27" s="45" t="str">
        <f>_xlfn.IFNA(IF(VLOOKUP(U27,'Incoming Material Report'!A:N,14,FALSE)="","",VLOOKUP(U27,'Incoming Material Report'!A:N,14,FALSE)),"")</f>
        <v/>
      </c>
      <c r="AI27" s="45" t="str">
        <f>_xlfn.IFNA(VLOOKUP(U27,'Incoming Material Report'!A:Z,24,FALSE),"")</f>
        <v/>
      </c>
      <c r="AJ27" s="45" t="str">
        <f>_xlfn.IFNA(VLOOKUP(U27,'Incoming Material Report'!A:Z,25,FALSE),"")</f>
        <v/>
      </c>
      <c r="AK27" s="45" t="str">
        <f>_xlfn.IFNA(VLOOKUP(U27,'Incoming Material Report'!A:Z,26,FALSE),"")</f>
        <v/>
      </c>
      <c r="AL27" s="45" t="str">
        <f>_xlfn.IFNA(VLOOKUP(U27,'Incoming Material Report'!A:Z,2,FALSE),"")</f>
        <v/>
      </c>
      <c r="AM27" s="45" t="str">
        <f>_xlfn.IFNA(VLOOKUP(U27,'Incoming Material Report'!A:K,11,FALSE)/1000,"")</f>
        <v/>
      </c>
      <c r="AO27" s="45" t="str">
        <f>_xlfn.IFNA(VLOOKUP(U27,'Incoming Material Report'!A:R,18,FALSE)*1000,"")</f>
        <v/>
      </c>
      <c r="AQ27" s="45" t="str">
        <f>_xlfn.IFNA(TEXT(VLOOKUP(U27,'Incoming Material Report'!A:D,4,FALSE),"dd.mm.yy"),"")</f>
        <v/>
      </c>
      <c r="AR27" s="45" t="str">
        <f>_xlfn.IFNA(VLOOKUP(U27,'Incoming Material Report'!A:Z,5,FALSE),"")</f>
        <v/>
      </c>
      <c r="AT27" s="45" t="str">
        <f>_xlfn.IFNA(VLOOKUP(U27,'Incoming Material Report'!A:Z,6,FALSE),"")</f>
        <v/>
      </c>
      <c r="AU27" s="45" t="str">
        <f>_xlfn.IFNA(VLOOKUP(U27,'Incoming Material Report'!A:Z,8,FALSE),"")</f>
        <v/>
      </c>
      <c r="AZ27" s="45" t="str">
        <f>_xlfn.IFNA(VLOOKUP(U27,'GRPO Wiz'!AP:BT,17,FALSE),"")</f>
        <v/>
      </c>
      <c r="BA27" s="45" t="str">
        <f>_xlfn.IFNA(VLOOKUP(U27,'GRPO Wiz'!AP:BT,18,FALSE),"")</f>
        <v/>
      </c>
      <c r="BB27" s="45" t="str">
        <f>_xlfn.IFNA(VLOOKUP(U27,'GRPO Wiz'!AP:BT,19,FALSE),"")</f>
        <v/>
      </c>
      <c r="BC27" s="45" t="str">
        <f>_xlfn.IFNA(VLOOKUP(U27,'GRPO Wiz'!AP:BT,20,FALSE),"")</f>
        <v/>
      </c>
      <c r="BD27" s="45" t="str">
        <f>_xlfn.IFNA(VLOOKUP(U27,'GRPO Wiz'!AP:BT,21,FALSE),"")</f>
        <v/>
      </c>
      <c r="BE27" s="50" t="str">
        <f>_xlfn.IFNA(VLOOKUP(U27,'GRPO Wiz'!AP:BT,22,FALSE),"")</f>
        <v/>
      </c>
      <c r="BF27" s="45" t="str">
        <f>_xlfn.IFNA(VLOOKUP(U27,'GRPO Wiz'!AP:BT,26,FALSE),"")</f>
        <v/>
      </c>
      <c r="BH27" s="45" t="str">
        <f>_xlfn.IFNA(VLOOKUP(U27,'GRPO Wiz'!AP:BN,25,FALSE),"")</f>
        <v/>
      </c>
      <c r="BI27" s="45" t="str">
        <f>_xlfn.IFNA(VLOOKUP(U27,'GRPO Wiz'!AP:BT,31,FALSE),"")</f>
        <v/>
      </c>
      <c r="BJ27" s="45" t="str">
        <f>_xlfn.IFNA(VLOOKUP(U27,'GRPO Wiz'!AP:BZ,32,FALSE),"")</f>
        <v/>
      </c>
      <c r="BK27" s="45" t="str">
        <f>_xlfn.IFNA(VLOOKUP(U27,'GRPO Wiz'!AP:BZ,27,FALSE),"")</f>
        <v/>
      </c>
      <c r="BL27" s="45" t="str">
        <f>_xlfn.IFNA(VALUE(VLOOKUP(U27,'GRPO Wiz'!AP:BZ,29,FALSE)),"")</f>
        <v/>
      </c>
      <c r="BM27" s="45" t="str">
        <f>_xlfn.IFNA(VLOOKUP(U27,'GRPO Wiz'!AP:BZ,33,FALSE),"")</f>
        <v/>
      </c>
      <c r="BX27" s="45" t="str">
        <f t="shared" si="17"/>
        <v/>
      </c>
      <c r="BY27" s="45" t="str">
        <f>_xlfn.IFNA(VLOOKUP(BX27&amp;H27,AP!IP:IQ,2,FALSE),"")</f>
        <v/>
      </c>
      <c r="BZ27" s="83" t="str">
        <f t="shared" si="18"/>
        <v/>
      </c>
      <c r="CB27" s="45" t="str">
        <f t="shared" si="19"/>
        <v/>
      </c>
      <c r="CC27" s="45" t="str">
        <f>_xlfn.IFNA((VLOOKUP(BX27&amp;H27,AP!IP:IR,3,FALSE)),"")</f>
        <v/>
      </c>
      <c r="CD27" s="45" t="str">
        <f>_xlfn.IFNA((VLOOKUP(BX27&amp;H27,AP!IP:IS,4,FALSE)),"")</f>
        <v/>
      </c>
    </row>
    <row r="28" spans="2:101" x14ac:dyDescent="0.25">
      <c r="B28" s="45" t="str">
        <f t="shared" si="20"/>
        <v/>
      </c>
      <c r="J28" s="45" t="str">
        <f t="shared" si="13"/>
        <v/>
      </c>
      <c r="N28" s="45" t="str">
        <f t="shared" si="14"/>
        <v/>
      </c>
      <c r="T28" s="45" t="str">
        <f t="shared" si="15"/>
        <v/>
      </c>
      <c r="W28" s="44"/>
      <c r="X28" s="82" t="str">
        <f t="shared" si="16"/>
        <v/>
      </c>
      <c r="AG28" s="45" t="str">
        <f>_xlfn.IFNA(VLOOKUP(U28,'Incoming Material Report'!A:M,13,FALSE),"")</f>
        <v/>
      </c>
      <c r="AH28" s="45" t="str">
        <f>_xlfn.IFNA(IF(VLOOKUP(U28,'Incoming Material Report'!A:N,14,FALSE)="","",VLOOKUP(U28,'Incoming Material Report'!A:N,14,FALSE)),"")</f>
        <v/>
      </c>
      <c r="AI28" s="45" t="str">
        <f>_xlfn.IFNA(VLOOKUP(U28,'Incoming Material Report'!A:Z,24,FALSE),"")</f>
        <v/>
      </c>
      <c r="AJ28" s="45" t="str">
        <f>_xlfn.IFNA(VLOOKUP(U28,'Incoming Material Report'!A:Z,25,FALSE),"")</f>
        <v/>
      </c>
      <c r="AK28" s="45" t="str">
        <f>_xlfn.IFNA(VLOOKUP(U28,'Incoming Material Report'!A:Z,26,FALSE),"")</f>
        <v/>
      </c>
      <c r="AL28" s="45" t="str">
        <f>_xlfn.IFNA(VLOOKUP(U28,'Incoming Material Report'!A:Z,2,FALSE),"")</f>
        <v/>
      </c>
      <c r="AM28" s="45" t="str">
        <f>_xlfn.IFNA(VLOOKUP(U28,'Incoming Material Report'!A:K,11,FALSE)/1000,"")</f>
        <v/>
      </c>
      <c r="AO28" s="45" t="str">
        <f>_xlfn.IFNA(VLOOKUP(U28,'Incoming Material Report'!A:R,18,FALSE)*1000,"")</f>
        <v/>
      </c>
      <c r="AQ28" s="45" t="str">
        <f>_xlfn.IFNA(TEXT(VLOOKUP(U28,'Incoming Material Report'!A:D,4,FALSE),"dd.mm.yy"),"")</f>
        <v/>
      </c>
      <c r="AR28" s="45" t="str">
        <f>_xlfn.IFNA(VLOOKUP(U28,'Incoming Material Report'!A:Z,5,FALSE),"")</f>
        <v/>
      </c>
      <c r="AT28" s="45" t="str">
        <f>_xlfn.IFNA(VLOOKUP(U28,'Incoming Material Report'!A:Z,6,FALSE),"")</f>
        <v/>
      </c>
      <c r="AU28" s="45" t="str">
        <f>_xlfn.IFNA(VLOOKUP(U28,'Incoming Material Report'!A:Z,8,FALSE),"")</f>
        <v/>
      </c>
      <c r="AZ28" s="45" t="str">
        <f>_xlfn.IFNA(VLOOKUP(U28,'GRPO Wiz'!AP:BT,17,FALSE),"")</f>
        <v/>
      </c>
      <c r="BA28" s="45" t="str">
        <f>_xlfn.IFNA(VLOOKUP(U28,'GRPO Wiz'!AP:BT,18,FALSE),"")</f>
        <v/>
      </c>
      <c r="BB28" s="45" t="str">
        <f>_xlfn.IFNA(VLOOKUP(U28,'GRPO Wiz'!AP:BT,19,FALSE),"")</f>
        <v/>
      </c>
      <c r="BC28" s="45" t="str">
        <f>_xlfn.IFNA(VLOOKUP(U28,'GRPO Wiz'!AP:BT,20,FALSE),"")</f>
        <v/>
      </c>
      <c r="BD28" s="45" t="str">
        <f>_xlfn.IFNA(VLOOKUP(U28,'GRPO Wiz'!AP:BT,21,FALSE),"")</f>
        <v/>
      </c>
      <c r="BE28" s="50" t="str">
        <f>_xlfn.IFNA(VLOOKUP(U28,'GRPO Wiz'!AP:BT,22,FALSE),"")</f>
        <v/>
      </c>
      <c r="BF28" s="45" t="str">
        <f>_xlfn.IFNA(VLOOKUP(U28,'GRPO Wiz'!AP:BT,26,FALSE),"")</f>
        <v/>
      </c>
      <c r="BH28" s="45" t="str">
        <f>_xlfn.IFNA(VLOOKUP(U28,'GRPO Wiz'!AP:BN,25,FALSE),"")</f>
        <v/>
      </c>
      <c r="BI28" s="45" t="str">
        <f>_xlfn.IFNA(VLOOKUP(U28,'GRPO Wiz'!AP:BT,31,FALSE),"")</f>
        <v/>
      </c>
      <c r="BJ28" s="45" t="str">
        <f>_xlfn.IFNA(VLOOKUP(U28,'GRPO Wiz'!AP:BZ,32,FALSE),"")</f>
        <v/>
      </c>
      <c r="BK28" s="45" t="str">
        <f>_xlfn.IFNA(VLOOKUP(U28,'GRPO Wiz'!AP:BZ,27,FALSE),"")</f>
        <v/>
      </c>
      <c r="BL28" s="45" t="str">
        <f>_xlfn.IFNA(VALUE(VLOOKUP(U28,'GRPO Wiz'!AP:BZ,29,FALSE)),"")</f>
        <v/>
      </c>
      <c r="BM28" s="45" t="str">
        <f>_xlfn.IFNA(VLOOKUP(U28,'GRPO Wiz'!AP:BZ,33,FALSE),"")</f>
        <v/>
      </c>
      <c r="BX28" s="45" t="str">
        <f t="shared" si="17"/>
        <v/>
      </c>
      <c r="BY28" s="45" t="str">
        <f>_xlfn.IFNA(VLOOKUP(BX28&amp;H28,AP!IP:IQ,2,FALSE),"")</f>
        <v/>
      </c>
      <c r="BZ28" s="83" t="str">
        <f t="shared" si="18"/>
        <v/>
      </c>
      <c r="CB28" s="45" t="str">
        <f t="shared" si="19"/>
        <v/>
      </c>
      <c r="CC28" s="45" t="str">
        <f>_xlfn.IFNA((VLOOKUP(BX28&amp;H28,AP!IP:IR,3,FALSE)),"")</f>
        <v/>
      </c>
      <c r="CD28" s="45" t="str">
        <f>_xlfn.IFNA((VLOOKUP(BX28&amp;H28,AP!IP:IS,4,FALSE)),"")</f>
        <v/>
      </c>
    </row>
    <row r="29" spans="2:101" x14ac:dyDescent="0.25">
      <c r="B29" s="45" t="str">
        <f t="shared" si="20"/>
        <v/>
      </c>
      <c r="J29" s="45" t="str">
        <f t="shared" si="13"/>
        <v/>
      </c>
      <c r="N29" s="45" t="str">
        <f t="shared" si="14"/>
        <v/>
      </c>
      <c r="T29" s="45" t="str">
        <f t="shared" si="15"/>
        <v/>
      </c>
      <c r="W29" s="44"/>
      <c r="X29" s="82" t="str">
        <f t="shared" si="16"/>
        <v/>
      </c>
      <c r="AG29" s="45" t="str">
        <f>_xlfn.IFNA(VLOOKUP(U29,'Incoming Material Report'!A:M,13,FALSE),"")</f>
        <v/>
      </c>
      <c r="AH29" s="45" t="str">
        <f>_xlfn.IFNA(IF(VLOOKUP(U29,'Incoming Material Report'!A:N,14,FALSE)="","",VLOOKUP(U29,'Incoming Material Report'!A:N,14,FALSE)),"")</f>
        <v/>
      </c>
      <c r="AI29" s="45" t="str">
        <f>_xlfn.IFNA(VLOOKUP(U29,'Incoming Material Report'!A:Z,24,FALSE),"")</f>
        <v/>
      </c>
      <c r="AJ29" s="45" t="str">
        <f>_xlfn.IFNA(VLOOKUP(U29,'Incoming Material Report'!A:Z,25,FALSE),"")</f>
        <v/>
      </c>
      <c r="AK29" s="45" t="str">
        <f>_xlfn.IFNA(VLOOKUP(U29,'Incoming Material Report'!A:Z,26,FALSE),"")</f>
        <v/>
      </c>
      <c r="AL29" s="45" t="str">
        <f>_xlfn.IFNA(VLOOKUP(U29,'Incoming Material Report'!A:Z,2,FALSE),"")</f>
        <v/>
      </c>
      <c r="AM29" s="45" t="str">
        <f>_xlfn.IFNA(VLOOKUP(U29,'Incoming Material Report'!A:K,11,FALSE)/1000,"")</f>
        <v/>
      </c>
      <c r="AO29" s="45" t="str">
        <f>_xlfn.IFNA(VLOOKUP(U29,'Incoming Material Report'!A:R,18,FALSE)*1000,"")</f>
        <v/>
      </c>
      <c r="AQ29" s="45" t="str">
        <f>_xlfn.IFNA(TEXT(VLOOKUP(U29,'Incoming Material Report'!A:D,4,FALSE),"dd.mm.yy"),"")</f>
        <v/>
      </c>
      <c r="AZ29" s="45" t="str">
        <f>_xlfn.IFNA(VLOOKUP(U29,'GRPO Wiz'!AP:BT,17,FALSE),"")</f>
        <v/>
      </c>
      <c r="BA29" s="45" t="str">
        <f>_xlfn.IFNA(VLOOKUP(U29,'GRPO Wiz'!AP:BT,18,FALSE),"")</f>
        <v/>
      </c>
      <c r="BB29" s="45" t="str">
        <f>_xlfn.IFNA(VLOOKUP(U29,'GRPO Wiz'!AP:BT,19,FALSE),"")</f>
        <v/>
      </c>
      <c r="BC29" s="45" t="str">
        <f>_xlfn.IFNA(VLOOKUP(U29,'GRPO Wiz'!AP:BT,20,FALSE),"")</f>
        <v/>
      </c>
      <c r="BD29" s="45" t="str">
        <f>_xlfn.IFNA(VLOOKUP(U29,'GRPO Wiz'!AP:BT,21,FALSE),"")</f>
        <v/>
      </c>
      <c r="BE29" s="50" t="str">
        <f>_xlfn.IFNA(VLOOKUP(U29,'GRPO Wiz'!AP:BT,22,FALSE),"")</f>
        <v/>
      </c>
      <c r="BF29" s="45" t="str">
        <f>_xlfn.IFNA(VLOOKUP(U29,'GRPO Wiz'!AP:BT,26,FALSE),"")</f>
        <v/>
      </c>
      <c r="BH29" s="45" t="str">
        <f>_xlfn.IFNA(VLOOKUP(U29,'GRPO Wiz'!AP:BN,25,FALSE),"")</f>
        <v/>
      </c>
      <c r="BI29" s="45" t="str">
        <f>_xlfn.IFNA(VLOOKUP(U29,'GRPO Wiz'!AP:BT,31,FALSE),"")</f>
        <v/>
      </c>
      <c r="BJ29" s="45" t="str">
        <f>_xlfn.IFNA(VLOOKUP(U29,'GRPO Wiz'!AP:BZ,32,FALSE),"")</f>
        <v/>
      </c>
      <c r="BK29" s="45" t="str">
        <f>_xlfn.IFNA(VLOOKUP(U29,'GRPO Wiz'!AP:BZ,27,FALSE),"")</f>
        <v/>
      </c>
      <c r="BL29" s="45" t="str">
        <f>_xlfn.IFNA(VALUE(VLOOKUP(U29,'GRPO Wiz'!AP:BZ,29,FALSE)),"")</f>
        <v/>
      </c>
      <c r="BM29" s="45" t="str">
        <f>_xlfn.IFNA(VLOOKUP(U29,'GRPO Wiz'!AP:BZ,33,FALSE),"")</f>
        <v/>
      </c>
      <c r="BX29" s="45">
        <f>AU29</f>
        <v>0</v>
      </c>
      <c r="BY29" s="45">
        <f>_xlfn.IFNA(VLOOKUP(BX29&amp;H29,AP!IP:IQ,2,FALSE),"")</f>
        <v>0</v>
      </c>
      <c r="BZ29" s="83">
        <f t="shared" si="18"/>
        <v>0</v>
      </c>
      <c r="CB29" s="45" t="str">
        <f t="shared" si="19"/>
        <v/>
      </c>
      <c r="CC29" s="45">
        <f>_xlfn.IFNA((VLOOKUP(BX29&amp;H29,AP!IP:IR,3,FALSE)),"")</f>
        <v>0</v>
      </c>
      <c r="CD29" s="45">
        <f>_xlfn.IFNA((VLOOKUP(BX29&amp;H29,AP!IP:IS,4,FALSE)),"")</f>
        <v>0</v>
      </c>
    </row>
    <row r="30" spans="2:101" x14ac:dyDescent="0.25">
      <c r="B30" s="45" t="str">
        <f t="shared" si="20"/>
        <v/>
      </c>
      <c r="J30" s="45" t="str">
        <f t="shared" si="13"/>
        <v/>
      </c>
      <c r="N30" s="45" t="str">
        <f t="shared" si="14"/>
        <v/>
      </c>
      <c r="T30" s="45" t="str">
        <f t="shared" si="15"/>
        <v/>
      </c>
      <c r="W30" s="44"/>
      <c r="X30" s="82" t="str">
        <f t="shared" si="16"/>
        <v/>
      </c>
      <c r="AG30" s="45" t="str">
        <f>_xlfn.IFNA(VLOOKUP(U30,'Incoming Material Report'!A:M,13,FALSE),"")</f>
        <v/>
      </c>
      <c r="AH30" s="45" t="str">
        <f>_xlfn.IFNA(IF(VLOOKUP(U30,'Incoming Material Report'!A:N,14,FALSE)="","",VLOOKUP(U30,'Incoming Material Report'!A:N,14,FALSE)),"")</f>
        <v/>
      </c>
      <c r="AI30" s="45" t="str">
        <f>_xlfn.IFNA(VLOOKUP(U30,'Incoming Material Report'!A:Z,24,FALSE),"")</f>
        <v/>
      </c>
      <c r="AJ30" s="45" t="str">
        <f>_xlfn.IFNA(VLOOKUP(U30,'Incoming Material Report'!A:Z,25,FALSE),"")</f>
        <v/>
      </c>
      <c r="AK30" s="45" t="str">
        <f>_xlfn.IFNA(VLOOKUP(U30,'Incoming Material Report'!A:Z,26,FALSE),"")</f>
        <v/>
      </c>
      <c r="AL30" s="45" t="str">
        <f>_xlfn.IFNA(VLOOKUP(U30,'Incoming Material Report'!A:Z,2,FALSE),"")</f>
        <v/>
      </c>
      <c r="AM30" s="45" t="str">
        <f>_xlfn.IFNA(VLOOKUP(U30,'Incoming Material Report'!A:K,11,FALSE)/1000,"")</f>
        <v/>
      </c>
      <c r="AO30" s="45" t="str">
        <f>_xlfn.IFNA(VLOOKUP(U30,'Incoming Material Report'!A:R,18,FALSE)*1000,"")</f>
        <v/>
      </c>
      <c r="AQ30" s="45" t="str">
        <f>_xlfn.IFNA(TEXT(VLOOKUP(U30,'Incoming Material Report'!A:D,4,FALSE),"dd.mm.yy"),"")</f>
        <v/>
      </c>
      <c r="AZ30" s="45" t="str">
        <f>_xlfn.IFNA(VLOOKUP(U30,'GRPO Wiz'!AP:BT,17,FALSE),"")</f>
        <v/>
      </c>
      <c r="BA30" s="45" t="str">
        <f>_xlfn.IFNA(VLOOKUP(U30,'GRPO Wiz'!AP:BT,18,FALSE),"")</f>
        <v/>
      </c>
      <c r="BB30" s="45" t="str">
        <f>_xlfn.IFNA(VLOOKUP(U30,'GRPO Wiz'!AP:BT,19,FALSE),"")</f>
        <v/>
      </c>
      <c r="BC30" s="45" t="str">
        <f>_xlfn.IFNA(VLOOKUP(U30,'GRPO Wiz'!AP:BT,20,FALSE),"")</f>
        <v/>
      </c>
      <c r="BD30" s="45" t="str">
        <f>_xlfn.IFNA(VLOOKUP(U30,'GRPO Wiz'!AP:BT,21,FALSE),"")</f>
        <v/>
      </c>
      <c r="BE30" s="50" t="str">
        <f>_xlfn.IFNA(VLOOKUP(U30,'GRPO Wiz'!AP:BT,22,FALSE),"")</f>
        <v/>
      </c>
      <c r="BF30" s="45" t="str">
        <f>_xlfn.IFNA(VLOOKUP(U30,'GRPO Wiz'!AP:BT,26,FALSE),"")</f>
        <v/>
      </c>
      <c r="BH30" s="45" t="str">
        <f>_xlfn.IFNA(VLOOKUP(U30,'GRPO Wiz'!AP:BN,25,FALSE),"")</f>
        <v/>
      </c>
      <c r="BI30" s="45" t="str">
        <f>_xlfn.IFNA(VLOOKUP(U30,'GRPO Wiz'!AP:BT,31,FALSE),"")</f>
        <v/>
      </c>
      <c r="BJ30" s="45" t="str">
        <f>_xlfn.IFNA(VLOOKUP(U30,'GRPO Wiz'!AP:BZ,32,FALSE),"")</f>
        <v/>
      </c>
      <c r="BK30" s="45" t="str">
        <f>_xlfn.IFNA(VLOOKUP(U30,'GRPO Wiz'!AP:BZ,27,FALSE),"")</f>
        <v/>
      </c>
      <c r="BL30" s="45" t="str">
        <f>_xlfn.IFNA(VALUE(VLOOKUP(U30,'GRPO Wiz'!AP:BZ,29,FALSE)),"")</f>
        <v/>
      </c>
      <c r="BM30" s="45" t="str">
        <f>_xlfn.IFNA(VLOOKUP(U30,'GRPO Wiz'!AP:BZ,33,FALSE),"")</f>
        <v/>
      </c>
      <c r="BX30" s="45">
        <f t="shared" si="17"/>
        <v>0</v>
      </c>
      <c r="BY30" s="45">
        <f>_xlfn.IFNA(VLOOKUP(BX30&amp;H30,AP!IP:IQ,2,FALSE),"")</f>
        <v>0</v>
      </c>
      <c r="BZ30" s="83">
        <f t="shared" si="18"/>
        <v>0</v>
      </c>
      <c r="CB30" s="45" t="str">
        <f t="shared" si="19"/>
        <v/>
      </c>
      <c r="CC30" s="45">
        <f>_xlfn.IFNA((VLOOKUP(BX30&amp;H30,AP!IP:IR,3,FALSE)),"")</f>
        <v>0</v>
      </c>
      <c r="CD30" s="45">
        <f>_xlfn.IFNA((VLOOKUP(BX30&amp;H30,AP!IP:IS,4,FALSE)),"")</f>
        <v>0</v>
      </c>
    </row>
    <row r="31" spans="2:101" x14ac:dyDescent="0.25">
      <c r="B31" s="45" t="str">
        <f t="shared" si="20"/>
        <v/>
      </c>
      <c r="J31" s="45" t="str">
        <f t="shared" si="13"/>
        <v/>
      </c>
      <c r="N31" s="45" t="str">
        <f t="shared" si="14"/>
        <v/>
      </c>
      <c r="T31" s="45" t="str">
        <f t="shared" si="15"/>
        <v/>
      </c>
      <c r="W31" s="44"/>
      <c r="X31" s="82" t="str">
        <f t="shared" si="16"/>
        <v/>
      </c>
      <c r="AG31" s="45" t="str">
        <f>_xlfn.IFNA(VLOOKUP(U31,'Incoming Material Report'!A:M,13,FALSE),"")</f>
        <v/>
      </c>
      <c r="AH31" s="45" t="str">
        <f>_xlfn.IFNA(IF(VLOOKUP(U31,'Incoming Material Report'!A:N,14,FALSE)="","",VLOOKUP(U31,'Incoming Material Report'!A:N,14,FALSE)),"")</f>
        <v/>
      </c>
      <c r="AI31" s="45" t="str">
        <f>_xlfn.IFNA(VLOOKUP(U31,'Incoming Material Report'!A:Z,24,FALSE),"")</f>
        <v/>
      </c>
      <c r="AJ31" s="45" t="str">
        <f>_xlfn.IFNA(VLOOKUP(U31,'Incoming Material Report'!A:Z,25,FALSE),"")</f>
        <v/>
      </c>
      <c r="AK31" s="45" t="str">
        <f>_xlfn.IFNA(VLOOKUP(U31,'Incoming Material Report'!A:Z,26,FALSE),"")</f>
        <v/>
      </c>
      <c r="AL31" s="45" t="str">
        <f>_xlfn.IFNA(VLOOKUP(U31,'Incoming Material Report'!A:Z,2,FALSE),"")</f>
        <v/>
      </c>
      <c r="AM31" s="45" t="str">
        <f>_xlfn.IFNA(VLOOKUP(U31,'Incoming Material Report'!A:K,11,FALSE)/1000,"")</f>
        <v/>
      </c>
      <c r="AO31" s="45" t="str">
        <f>_xlfn.IFNA(VLOOKUP(U31,'Incoming Material Report'!A:R,18,FALSE)*1000,"")</f>
        <v/>
      </c>
      <c r="AQ31" s="45" t="str">
        <f>_xlfn.IFNA(TEXT(VLOOKUP(U31,'Incoming Material Report'!A:D,4,FALSE),"dd.mm.yy"),"")</f>
        <v/>
      </c>
      <c r="AZ31" s="45" t="str">
        <f>_xlfn.IFNA(VLOOKUP(U31,'GRPO Wiz'!AP:BT,17,FALSE),"")</f>
        <v/>
      </c>
      <c r="BA31" s="45" t="str">
        <f>_xlfn.IFNA(VLOOKUP(U31,'GRPO Wiz'!AP:BT,18,FALSE),"")</f>
        <v/>
      </c>
      <c r="BB31" s="45" t="str">
        <f>_xlfn.IFNA(VLOOKUP(U31,'GRPO Wiz'!AP:BT,19,FALSE),"")</f>
        <v/>
      </c>
      <c r="BC31" s="45" t="str">
        <f>_xlfn.IFNA(VLOOKUP(U31,'GRPO Wiz'!AP:BT,20,FALSE),"")</f>
        <v/>
      </c>
      <c r="BD31" s="45" t="str">
        <f>_xlfn.IFNA(VLOOKUP(U31,'GRPO Wiz'!AP:BT,21,FALSE),"")</f>
        <v/>
      </c>
      <c r="BE31" s="50" t="str">
        <f>_xlfn.IFNA(VLOOKUP(U31,'GRPO Wiz'!AP:BT,22,FALSE),"")</f>
        <v/>
      </c>
      <c r="BF31" s="45" t="str">
        <f>_xlfn.IFNA(VLOOKUP(U31,'GRPO Wiz'!AP:BT,26,FALSE),"")</f>
        <v/>
      </c>
      <c r="BH31" s="45" t="str">
        <f>_xlfn.IFNA(VLOOKUP(U31,'GRPO Wiz'!AP:BN,25,FALSE),"")</f>
        <v/>
      </c>
      <c r="BI31" s="45" t="str">
        <f>_xlfn.IFNA(VLOOKUP(U31,'GRPO Wiz'!AP:BT,31,FALSE),"")</f>
        <v/>
      </c>
      <c r="BJ31" s="45" t="str">
        <f>_xlfn.IFNA(VLOOKUP(U31,'GRPO Wiz'!AP:BZ,32,FALSE),"")</f>
        <v/>
      </c>
      <c r="BK31" s="45" t="str">
        <f>_xlfn.IFNA(VLOOKUP(U31,'GRPO Wiz'!AP:BZ,27,FALSE),"")</f>
        <v/>
      </c>
      <c r="BL31" s="45" t="str">
        <f>_xlfn.IFNA(VALUE(VLOOKUP(U31,'GRPO Wiz'!AP:BZ,29,FALSE)),"")</f>
        <v/>
      </c>
      <c r="BM31" s="45" t="str">
        <f>_xlfn.IFNA(VLOOKUP(U31,'GRPO Wiz'!AP:BZ,33,FALSE),"")</f>
        <v/>
      </c>
      <c r="BX31" s="45">
        <f t="shared" si="17"/>
        <v>0</v>
      </c>
      <c r="BY31" s="45">
        <f>_xlfn.IFNA(VLOOKUP(BX31&amp;H31,AP!IP:IQ,2,FALSE),"")</f>
        <v>0</v>
      </c>
      <c r="BZ31" s="83">
        <f t="shared" si="18"/>
        <v>0</v>
      </c>
      <c r="CB31" s="45" t="str">
        <f t="shared" si="19"/>
        <v/>
      </c>
      <c r="CC31" s="45">
        <f>_xlfn.IFNA((VLOOKUP(BX31&amp;H31,AP!IP:IR,3,FALSE)),"")</f>
        <v>0</v>
      </c>
      <c r="CD31" s="45">
        <f>_xlfn.IFNA((VLOOKUP(BX31&amp;H31,AP!IP:IS,4,FALSE)),"")</f>
        <v>0</v>
      </c>
    </row>
    <row r="32" spans="2:101" x14ac:dyDescent="0.25">
      <c r="B32" s="45" t="str">
        <f t="shared" si="20"/>
        <v/>
      </c>
      <c r="J32" s="45" t="str">
        <f t="shared" si="13"/>
        <v/>
      </c>
      <c r="N32" s="45" t="str">
        <f t="shared" si="14"/>
        <v/>
      </c>
      <c r="T32" s="45" t="str">
        <f t="shared" si="15"/>
        <v/>
      </c>
      <c r="W32" s="44"/>
      <c r="X32" s="82" t="str">
        <f t="shared" si="16"/>
        <v/>
      </c>
      <c r="AG32" s="45" t="str">
        <f>_xlfn.IFNA(VLOOKUP(U32,'Incoming Material Report'!A:M,13,FALSE),"")</f>
        <v/>
      </c>
      <c r="AH32" s="45" t="str">
        <f>_xlfn.IFNA(IF(VLOOKUP(U32,'Incoming Material Report'!A:N,14,FALSE)="","",VLOOKUP(U32,'Incoming Material Report'!A:N,14,FALSE)),"")</f>
        <v/>
      </c>
      <c r="AI32" s="45" t="str">
        <f>_xlfn.IFNA(VLOOKUP(U32,'Incoming Material Report'!A:Z,24,FALSE),"")</f>
        <v/>
      </c>
      <c r="AJ32" s="45" t="str">
        <f>_xlfn.IFNA(VLOOKUP(U32,'Incoming Material Report'!A:Z,25,FALSE),"")</f>
        <v/>
      </c>
      <c r="AK32" s="45" t="str">
        <f>_xlfn.IFNA(VLOOKUP(U32,'Incoming Material Report'!A:Z,26,FALSE),"")</f>
        <v/>
      </c>
      <c r="AL32" s="45" t="str">
        <f>_xlfn.IFNA(VLOOKUP(U32,'Incoming Material Report'!A:Z,2,FALSE),"")</f>
        <v/>
      </c>
      <c r="AM32" s="45" t="str">
        <f>_xlfn.IFNA(VLOOKUP(U32,'Incoming Material Report'!A:K,11,FALSE)/1000,"")</f>
        <v/>
      </c>
      <c r="AO32" s="45" t="str">
        <f>_xlfn.IFNA(VLOOKUP(U32,'Incoming Material Report'!A:R,18,FALSE)*1000,"")</f>
        <v/>
      </c>
      <c r="AQ32" s="45" t="str">
        <f>_xlfn.IFNA(TEXT(VLOOKUP(U32,'Incoming Material Report'!A:D,4,FALSE),"dd.mm.yy"),"")</f>
        <v/>
      </c>
      <c r="AZ32" s="45" t="str">
        <f>_xlfn.IFNA(VLOOKUP(U32,'GRPO Wiz'!AP:BT,17,FALSE),"")</f>
        <v/>
      </c>
      <c r="BA32" s="45" t="str">
        <f>_xlfn.IFNA(VLOOKUP(U32,'GRPO Wiz'!AP:BT,18,FALSE),"")</f>
        <v/>
      </c>
      <c r="BB32" s="45" t="str">
        <f>_xlfn.IFNA(VLOOKUP(U32,'GRPO Wiz'!AP:BT,19,FALSE),"")</f>
        <v/>
      </c>
      <c r="BC32" s="45" t="str">
        <f>_xlfn.IFNA(VLOOKUP(U32,'GRPO Wiz'!AP:BT,20,FALSE),"")</f>
        <v/>
      </c>
      <c r="BD32" s="45" t="str">
        <f>_xlfn.IFNA(VLOOKUP(U32,'GRPO Wiz'!AP:BT,21,FALSE),"")</f>
        <v/>
      </c>
      <c r="BE32" s="50" t="str">
        <f>_xlfn.IFNA(VLOOKUP(U32,'GRPO Wiz'!AP:BT,22,FALSE),"")</f>
        <v/>
      </c>
      <c r="BF32" s="45" t="str">
        <f>_xlfn.IFNA(VLOOKUP(U32,'GRPO Wiz'!AP:BT,26,FALSE),"")</f>
        <v/>
      </c>
      <c r="BH32" s="45" t="str">
        <f>_xlfn.IFNA(VLOOKUP(U32,'GRPO Wiz'!AP:BN,25,FALSE),"")</f>
        <v/>
      </c>
      <c r="BI32" s="45" t="str">
        <f>_xlfn.IFNA(VLOOKUP(U32,'GRPO Wiz'!AP:BT,31,FALSE),"")</f>
        <v/>
      </c>
      <c r="BJ32" s="45" t="str">
        <f>_xlfn.IFNA(VLOOKUP(U32,'GRPO Wiz'!AP:BZ,32,FALSE),"")</f>
        <v/>
      </c>
      <c r="BK32" s="45" t="str">
        <f>_xlfn.IFNA(VLOOKUP(U32,'GRPO Wiz'!AP:BZ,27,FALSE),"")</f>
        <v/>
      </c>
      <c r="BL32" s="45" t="str">
        <f>_xlfn.IFNA(VALUE(VLOOKUP(U32,'GRPO Wiz'!AP:BZ,29,FALSE)),"")</f>
        <v/>
      </c>
      <c r="BM32" s="45" t="str">
        <f>_xlfn.IFNA(VLOOKUP(U32,'GRPO Wiz'!AP:BZ,33,FALSE),"")</f>
        <v/>
      </c>
      <c r="BX32" s="45">
        <f t="shared" si="17"/>
        <v>0</v>
      </c>
      <c r="BY32" s="45">
        <f>_xlfn.IFNA(VLOOKUP(BX32&amp;H32,AP!IP:IQ,2,FALSE),"")</f>
        <v>0</v>
      </c>
      <c r="BZ32" s="83">
        <f t="shared" si="18"/>
        <v>0</v>
      </c>
      <c r="CB32" s="45" t="str">
        <f t="shared" si="19"/>
        <v/>
      </c>
      <c r="CC32" s="45">
        <f>_xlfn.IFNA((VLOOKUP(BX32&amp;H32,AP!IP:IR,3,FALSE)),"")</f>
        <v>0</v>
      </c>
      <c r="CD32" s="45">
        <f>_xlfn.IFNA((VLOOKUP(BX32&amp;H32,AP!IP:IS,4,FALSE)),"")</f>
        <v>0</v>
      </c>
    </row>
    <row r="33" spans="2:82" x14ac:dyDescent="0.25">
      <c r="B33" s="45" t="str">
        <f t="shared" si="20"/>
        <v/>
      </c>
      <c r="J33" s="45" t="str">
        <f t="shared" si="13"/>
        <v/>
      </c>
      <c r="N33" s="45" t="str">
        <f t="shared" si="14"/>
        <v/>
      </c>
      <c r="T33" s="45" t="str">
        <f t="shared" si="15"/>
        <v/>
      </c>
      <c r="W33" s="44"/>
      <c r="X33" s="82" t="str">
        <f t="shared" si="16"/>
        <v/>
      </c>
      <c r="AG33" s="45" t="str">
        <f>_xlfn.IFNA(VLOOKUP(U33,'Incoming Material Report'!A:M,13,FALSE),"")</f>
        <v/>
      </c>
      <c r="AH33" s="45" t="str">
        <f>_xlfn.IFNA(IF(VLOOKUP(U33,'Incoming Material Report'!A:N,14,FALSE)="","",VLOOKUP(U33,'Incoming Material Report'!A:N,14,FALSE)),"")</f>
        <v/>
      </c>
      <c r="AI33" s="45" t="str">
        <f>_xlfn.IFNA(VLOOKUP(U33,'Incoming Material Report'!A:Z,24,FALSE),"")</f>
        <v/>
      </c>
      <c r="AJ33" s="45" t="str">
        <f>_xlfn.IFNA(VLOOKUP(U33,'Incoming Material Report'!A:Z,25,FALSE),"")</f>
        <v/>
      </c>
      <c r="AK33" s="45" t="str">
        <f>_xlfn.IFNA(VLOOKUP(U33,'Incoming Material Report'!A:Z,26,FALSE),"")</f>
        <v/>
      </c>
      <c r="AL33" s="45" t="str">
        <f>_xlfn.IFNA(VLOOKUP(U33,'Incoming Material Report'!A:Z,2,FALSE),"")</f>
        <v/>
      </c>
      <c r="AM33" s="45" t="str">
        <f>_xlfn.IFNA(VLOOKUP(U33,'Incoming Material Report'!A:K,11,FALSE)/1000,"")</f>
        <v/>
      </c>
      <c r="AO33" s="45" t="str">
        <f>_xlfn.IFNA(VLOOKUP(U33,'Incoming Material Report'!A:R,18,FALSE)*1000,"")</f>
        <v/>
      </c>
      <c r="AQ33" s="45" t="str">
        <f>_xlfn.IFNA(TEXT(VLOOKUP(U33,'Incoming Material Report'!A:D,4,FALSE),"dd.mm.yy"),"")</f>
        <v/>
      </c>
      <c r="AZ33" s="45" t="str">
        <f>_xlfn.IFNA(VLOOKUP(U33,'GRPO Wiz'!AP:BT,17,FALSE),"")</f>
        <v/>
      </c>
      <c r="BA33" s="45" t="str">
        <f>_xlfn.IFNA(VLOOKUP(U33,'GRPO Wiz'!AP:BT,18,FALSE),"")</f>
        <v/>
      </c>
      <c r="BB33" s="45" t="str">
        <f>_xlfn.IFNA(VLOOKUP(U33,'GRPO Wiz'!AP:BT,19,FALSE),"")</f>
        <v/>
      </c>
      <c r="BC33" s="45" t="str">
        <f>_xlfn.IFNA(VLOOKUP(U33,'GRPO Wiz'!AP:BT,20,FALSE),"")</f>
        <v/>
      </c>
      <c r="BD33" s="45" t="str">
        <f>_xlfn.IFNA(VLOOKUP(U33,'GRPO Wiz'!AP:BT,21,FALSE),"")</f>
        <v/>
      </c>
      <c r="BE33" s="50" t="str">
        <f>_xlfn.IFNA(VLOOKUP(U33,'GRPO Wiz'!AP:BT,22,FALSE),"")</f>
        <v/>
      </c>
      <c r="BF33" s="45" t="str">
        <f>_xlfn.IFNA(VLOOKUP(U33,'GRPO Wiz'!AP:BT,26,FALSE),"")</f>
        <v/>
      </c>
      <c r="BH33" s="45" t="str">
        <f>_xlfn.IFNA(VLOOKUP(U33,'GRPO Wiz'!AP:BN,25,FALSE),"")</f>
        <v/>
      </c>
      <c r="BI33" s="45" t="str">
        <f>_xlfn.IFNA(VLOOKUP(U33,'GRPO Wiz'!AP:BT,31,FALSE),"")</f>
        <v/>
      </c>
      <c r="BJ33" s="45" t="str">
        <f>_xlfn.IFNA(VLOOKUP(U33,'GRPO Wiz'!AP:BZ,32,FALSE),"")</f>
        <v/>
      </c>
      <c r="BK33" s="45" t="str">
        <f>_xlfn.IFNA(VLOOKUP(U33,'GRPO Wiz'!AP:BZ,27,FALSE),"")</f>
        <v/>
      </c>
      <c r="BL33" s="45" t="str">
        <f>_xlfn.IFNA(VALUE(VLOOKUP(U33,'GRPO Wiz'!AP:BZ,29,FALSE)),"")</f>
        <v/>
      </c>
      <c r="BM33" s="45" t="str">
        <f>_xlfn.IFNA(VLOOKUP(U33,'GRPO Wiz'!AP:BZ,33,FALSE),"")</f>
        <v/>
      </c>
      <c r="BX33" s="45">
        <f t="shared" si="17"/>
        <v>0</v>
      </c>
      <c r="BY33" s="45">
        <f>_xlfn.IFNA(VLOOKUP(BX33&amp;H33,AP!IP:IQ,2,FALSE),"")</f>
        <v>0</v>
      </c>
      <c r="BZ33" s="83">
        <f t="shared" si="18"/>
        <v>0</v>
      </c>
      <c r="CB33" s="45" t="str">
        <f t="shared" si="19"/>
        <v/>
      </c>
      <c r="CC33" s="45">
        <f>_xlfn.IFNA((VLOOKUP(BX33&amp;H33,AP!IP:IR,3,FALSE)),"")</f>
        <v>0</v>
      </c>
      <c r="CD33" s="45">
        <f>_xlfn.IFNA((VLOOKUP(BX33&amp;H33,AP!IP:IS,4,FALSE)),"")</f>
        <v>0</v>
      </c>
    </row>
    <row r="34" spans="2:82" x14ac:dyDescent="0.25">
      <c r="B34" s="45" t="str">
        <f t="shared" si="20"/>
        <v/>
      </c>
      <c r="J34" s="45" t="str">
        <f t="shared" si="13"/>
        <v/>
      </c>
      <c r="N34" s="45" t="str">
        <f t="shared" si="14"/>
        <v/>
      </c>
      <c r="T34" s="45" t="str">
        <f t="shared" si="15"/>
        <v/>
      </c>
      <c r="W34" s="44"/>
      <c r="X34" s="82" t="str">
        <f t="shared" si="16"/>
        <v/>
      </c>
      <c r="AG34" s="45" t="str">
        <f>_xlfn.IFNA(VLOOKUP(U34,'Incoming Material Report'!A:M,13,FALSE),"")</f>
        <v/>
      </c>
      <c r="AH34" s="45" t="str">
        <f>_xlfn.IFNA(IF(VLOOKUP(U34,'Incoming Material Report'!A:N,14,FALSE)="","",VLOOKUP(U34,'Incoming Material Report'!A:N,14,FALSE)),"")</f>
        <v/>
      </c>
      <c r="AI34" s="45" t="str">
        <f>_xlfn.IFNA(VLOOKUP(U34,'Incoming Material Report'!A:Z,24,FALSE),"")</f>
        <v/>
      </c>
      <c r="AJ34" s="45" t="str">
        <f>_xlfn.IFNA(VLOOKUP(U34,'Incoming Material Report'!A:Z,25,FALSE),"")</f>
        <v/>
      </c>
      <c r="AK34" s="45" t="str">
        <f>_xlfn.IFNA(VLOOKUP(U34,'Incoming Material Report'!A:Z,26,FALSE),"")</f>
        <v/>
      </c>
      <c r="AL34" s="45" t="str">
        <f>_xlfn.IFNA(VLOOKUP(U34,'Incoming Material Report'!A:Z,2,FALSE),"")</f>
        <v/>
      </c>
      <c r="AM34" s="45" t="str">
        <f>_xlfn.IFNA(VLOOKUP(U34,'Incoming Material Report'!A:K,11,FALSE)/1000,"")</f>
        <v/>
      </c>
      <c r="AO34" s="45" t="str">
        <f>_xlfn.IFNA(VLOOKUP(U34,'Incoming Material Report'!A:R,18,FALSE)*1000,"")</f>
        <v/>
      </c>
      <c r="AQ34" s="45" t="str">
        <f>_xlfn.IFNA(TEXT(VLOOKUP(U34,'Incoming Material Report'!A:D,4,FALSE),"dd.mm.yy"),"")</f>
        <v/>
      </c>
      <c r="AZ34" s="45" t="str">
        <f>_xlfn.IFNA(VLOOKUP(U34,'GRPO Wiz'!AP:BT,17,FALSE),"")</f>
        <v/>
      </c>
      <c r="BA34" s="45" t="str">
        <f>_xlfn.IFNA(VLOOKUP(U34,'GRPO Wiz'!AP:BT,18,FALSE),"")</f>
        <v/>
      </c>
      <c r="BB34" s="45" t="str">
        <f>_xlfn.IFNA(VLOOKUP(U34,'GRPO Wiz'!AP:BT,19,FALSE),"")</f>
        <v/>
      </c>
      <c r="BC34" s="45" t="str">
        <f>_xlfn.IFNA(VLOOKUP(U34,'GRPO Wiz'!AP:BT,20,FALSE),"")</f>
        <v/>
      </c>
      <c r="BD34" s="45" t="str">
        <f>_xlfn.IFNA(VLOOKUP(U34,'GRPO Wiz'!AP:BT,21,FALSE),"")</f>
        <v/>
      </c>
      <c r="BE34" s="50" t="str">
        <f>_xlfn.IFNA(VLOOKUP(U34,'GRPO Wiz'!AP:BT,22,FALSE),"")</f>
        <v/>
      </c>
      <c r="BF34" s="45" t="str">
        <f>_xlfn.IFNA(VLOOKUP(U34,'GRPO Wiz'!AP:BT,26,FALSE),"")</f>
        <v/>
      </c>
      <c r="BH34" s="45" t="str">
        <f>_xlfn.IFNA(VLOOKUP(U34,'GRPO Wiz'!AP:BN,25,FALSE),"")</f>
        <v/>
      </c>
      <c r="BI34" s="45" t="str">
        <f>_xlfn.IFNA(VLOOKUP(U34,'GRPO Wiz'!AP:BT,31,FALSE),"")</f>
        <v/>
      </c>
      <c r="BJ34" s="45" t="str">
        <f>_xlfn.IFNA(VLOOKUP(U34,'GRPO Wiz'!AP:BZ,32,FALSE),"")</f>
        <v/>
      </c>
      <c r="BK34" s="45" t="str">
        <f>_xlfn.IFNA(VLOOKUP(U34,'GRPO Wiz'!AP:BZ,27,FALSE),"")</f>
        <v/>
      </c>
      <c r="BL34" s="45" t="str">
        <f>_xlfn.IFNA(VALUE(VLOOKUP(U34,'GRPO Wiz'!AP:BZ,29,FALSE)),"")</f>
        <v/>
      </c>
      <c r="BM34" s="45" t="str">
        <f>_xlfn.IFNA(VLOOKUP(U34,'GRPO Wiz'!AP:BZ,33,FALSE),"")</f>
        <v/>
      </c>
    </row>
    <row r="35" spans="2:82" x14ac:dyDescent="0.25">
      <c r="B35" s="45" t="str">
        <f t="shared" si="20"/>
        <v/>
      </c>
      <c r="J35" s="45" t="str">
        <f t="shared" si="13"/>
        <v/>
      </c>
      <c r="N35" s="45" t="str">
        <f t="shared" si="14"/>
        <v/>
      </c>
      <c r="T35" s="45" t="str">
        <f t="shared" si="15"/>
        <v/>
      </c>
      <c r="W35" s="44"/>
      <c r="X35" s="82" t="str">
        <f t="shared" si="16"/>
        <v/>
      </c>
      <c r="AG35" s="45" t="str">
        <f>_xlfn.IFNA(VLOOKUP(U35,'Incoming Material Report'!A:M,13,FALSE),"")</f>
        <v/>
      </c>
      <c r="AH35" s="45" t="str">
        <f>_xlfn.IFNA(IF(VLOOKUP(U35,'Incoming Material Report'!A:N,14,FALSE)="","",VLOOKUP(U35,'Incoming Material Report'!A:N,14,FALSE)),"")</f>
        <v/>
      </c>
      <c r="AI35" s="45" t="str">
        <f>_xlfn.IFNA(VLOOKUP(U35,'Incoming Material Report'!A:Z,24,FALSE),"")</f>
        <v/>
      </c>
      <c r="AJ35" s="45" t="str">
        <f>_xlfn.IFNA(VLOOKUP(U35,'Incoming Material Report'!A:Z,25,FALSE),"")</f>
        <v/>
      </c>
      <c r="AK35" s="45" t="str">
        <f>_xlfn.IFNA(VLOOKUP(U35,'Incoming Material Report'!A:Z,26,FALSE),"")</f>
        <v/>
      </c>
      <c r="AL35" s="45" t="str">
        <f>_xlfn.IFNA(VLOOKUP(U35,'Incoming Material Report'!A:Z,2,FALSE),"")</f>
        <v/>
      </c>
      <c r="AM35" s="45" t="str">
        <f>_xlfn.IFNA(VLOOKUP(U35,'Incoming Material Report'!A:K,11,FALSE)/1000,"")</f>
        <v/>
      </c>
      <c r="AO35" s="45" t="str">
        <f>_xlfn.IFNA(VLOOKUP(U35,'Incoming Material Report'!A:R,18,FALSE)*1000,"")</f>
        <v/>
      </c>
      <c r="AQ35" s="45" t="str">
        <f>_xlfn.IFNA(TEXT(VLOOKUP(U35,'Incoming Material Report'!A:D,4,FALSE),"dd.mm.yy"),"")</f>
        <v/>
      </c>
      <c r="AZ35" s="45" t="str">
        <f>_xlfn.IFNA(VLOOKUP(U35,'GRPO Wiz'!AP:BT,17,FALSE),"")</f>
        <v/>
      </c>
      <c r="BA35" s="45" t="str">
        <f>_xlfn.IFNA(VLOOKUP(U35,'GRPO Wiz'!AP:BT,18,FALSE),"")</f>
        <v/>
      </c>
      <c r="BB35" s="45" t="str">
        <f>_xlfn.IFNA(VLOOKUP(U35,'GRPO Wiz'!AP:BT,19,FALSE),"")</f>
        <v/>
      </c>
      <c r="BC35" s="45" t="str">
        <f>_xlfn.IFNA(VLOOKUP(U35,'GRPO Wiz'!AP:BT,20,FALSE),"")</f>
        <v/>
      </c>
      <c r="BD35" s="45" t="str">
        <f>_xlfn.IFNA(VLOOKUP(U35,'GRPO Wiz'!AP:BT,21,FALSE),"")</f>
        <v/>
      </c>
      <c r="BE35" s="50" t="str">
        <f>_xlfn.IFNA(VLOOKUP(U35,'GRPO Wiz'!AP:BT,22,FALSE),"")</f>
        <v/>
      </c>
      <c r="BF35" s="45" t="str">
        <f>_xlfn.IFNA(VLOOKUP(U35,'GRPO Wiz'!AP:BT,26,FALSE),"")</f>
        <v/>
      </c>
      <c r="BH35" s="45" t="str">
        <f>_xlfn.IFNA(VLOOKUP(U35,'GRPO Wiz'!AP:BN,25,FALSE),"")</f>
        <v/>
      </c>
      <c r="BI35" s="45" t="str">
        <f>_xlfn.IFNA(VLOOKUP(U35,'GRPO Wiz'!AP:BT,31,FALSE),"")</f>
        <v/>
      </c>
      <c r="BJ35" s="45" t="str">
        <f>_xlfn.IFNA(VLOOKUP(U35,'GRPO Wiz'!AP:BZ,32,FALSE),"")</f>
        <v/>
      </c>
      <c r="BK35" s="45" t="str">
        <f>_xlfn.IFNA(VLOOKUP(U35,'GRPO Wiz'!AP:BZ,27,FALSE),"")</f>
        <v/>
      </c>
      <c r="BL35" s="45" t="str">
        <f>_xlfn.IFNA(VALUE(VLOOKUP(U35,'GRPO Wiz'!AP:BZ,29,FALSE)),"")</f>
        <v/>
      </c>
      <c r="BM35" s="45" t="str">
        <f>_xlfn.IFNA(VLOOKUP(U35,'GRPO Wiz'!AP:BZ,33,FALSE),"")</f>
        <v/>
      </c>
    </row>
    <row r="36" spans="2:82" x14ac:dyDescent="0.25">
      <c r="B36" s="45" t="str">
        <f t="shared" si="20"/>
        <v/>
      </c>
      <c r="J36" s="45" t="str">
        <f t="shared" si="13"/>
        <v/>
      </c>
      <c r="N36" s="45" t="str">
        <f t="shared" si="14"/>
        <v/>
      </c>
      <c r="T36" s="45" t="str">
        <f t="shared" si="15"/>
        <v/>
      </c>
      <c r="W36" s="44"/>
      <c r="X36" s="82" t="str">
        <f t="shared" si="16"/>
        <v/>
      </c>
      <c r="AG36" s="45" t="str">
        <f>_xlfn.IFNA(VLOOKUP(U36,'Incoming Material Report'!A:M,13,FALSE),"")</f>
        <v/>
      </c>
      <c r="AH36" s="45" t="str">
        <f>_xlfn.IFNA(IF(VLOOKUP(U36,'Incoming Material Report'!A:N,14,FALSE)="","",VLOOKUP(U36,'Incoming Material Report'!A:N,14,FALSE)),"")</f>
        <v/>
      </c>
      <c r="AI36" s="45" t="str">
        <f>_xlfn.IFNA(VLOOKUP(U36,'Incoming Material Report'!A:Z,24,FALSE),"")</f>
        <v/>
      </c>
      <c r="AJ36" s="45" t="str">
        <f>_xlfn.IFNA(VLOOKUP(U36,'Incoming Material Report'!A:Z,25,FALSE),"")</f>
        <v/>
      </c>
      <c r="AK36" s="45" t="str">
        <f>_xlfn.IFNA(VLOOKUP(U36,'Incoming Material Report'!A:Z,26,FALSE),"")</f>
        <v/>
      </c>
      <c r="AL36" s="45" t="str">
        <f>_xlfn.IFNA(VLOOKUP(U36,'Incoming Material Report'!A:Z,2,FALSE),"")</f>
        <v/>
      </c>
      <c r="AM36" s="45" t="str">
        <f>_xlfn.IFNA(VLOOKUP(U36,'Incoming Material Report'!A:K,11,FALSE)/1000,"")</f>
        <v/>
      </c>
      <c r="AO36" s="45" t="str">
        <f>_xlfn.IFNA(VLOOKUP(U36,'Incoming Material Report'!A:R,18,FALSE)*1000,"")</f>
        <v/>
      </c>
      <c r="AQ36" s="45" t="str">
        <f>_xlfn.IFNA(TEXT(VLOOKUP(U36,'Incoming Material Report'!A:D,4,FALSE),"dd.mm.yy"),"")</f>
        <v/>
      </c>
      <c r="AZ36" s="45" t="str">
        <f>_xlfn.IFNA(VLOOKUP(U36,'GRPO Wiz'!AP:BT,17,FALSE),"")</f>
        <v/>
      </c>
      <c r="BA36" s="45" t="str">
        <f>_xlfn.IFNA(VLOOKUP(U36,'GRPO Wiz'!AP:BT,18,FALSE),"")</f>
        <v/>
      </c>
      <c r="BB36" s="45" t="str">
        <f>_xlfn.IFNA(VLOOKUP(U36,'GRPO Wiz'!AP:BT,19,FALSE),"")</f>
        <v/>
      </c>
      <c r="BC36" s="45" t="str">
        <f>_xlfn.IFNA(VLOOKUP(U36,'GRPO Wiz'!AP:BT,20,FALSE),"")</f>
        <v/>
      </c>
      <c r="BD36" s="45" t="str">
        <f>_xlfn.IFNA(VLOOKUP(U36,'GRPO Wiz'!AP:BT,21,FALSE),"")</f>
        <v/>
      </c>
      <c r="BE36" s="50" t="str">
        <f>_xlfn.IFNA(VLOOKUP(U36,'GRPO Wiz'!AP:BT,22,FALSE),"")</f>
        <v/>
      </c>
      <c r="BF36" s="45" t="str">
        <f>_xlfn.IFNA(VLOOKUP(U36,'GRPO Wiz'!AP:BT,26,FALSE),"")</f>
        <v/>
      </c>
      <c r="BH36" s="45" t="str">
        <f>_xlfn.IFNA(VLOOKUP(U36,'GRPO Wiz'!AP:BN,25,FALSE),"")</f>
        <v/>
      </c>
      <c r="BI36" s="45" t="str">
        <f>_xlfn.IFNA(VLOOKUP(U36,'GRPO Wiz'!AP:BT,31,FALSE),"")</f>
        <v/>
      </c>
      <c r="BJ36" s="45" t="str">
        <f>_xlfn.IFNA(VLOOKUP(U36,'GRPO Wiz'!AP:BZ,32,FALSE),"")</f>
        <v/>
      </c>
      <c r="BK36" s="45" t="str">
        <f>_xlfn.IFNA(VLOOKUP(U36,'GRPO Wiz'!AP:BZ,27,FALSE),"")</f>
        <v/>
      </c>
      <c r="BL36" s="45" t="str">
        <f>_xlfn.IFNA(VALUE(VLOOKUP(U36,'GRPO Wiz'!AP:BZ,29,FALSE)),"")</f>
        <v/>
      </c>
      <c r="BM36" s="45" t="str">
        <f>_xlfn.IFNA(VLOOKUP(U36,'GRPO Wiz'!AP:BZ,33,FALSE),"")</f>
        <v/>
      </c>
    </row>
    <row r="37" spans="2:82" x14ac:dyDescent="0.25">
      <c r="B37" s="45" t="str">
        <f t="shared" si="20"/>
        <v/>
      </c>
      <c r="J37" s="45" t="str">
        <f t="shared" si="13"/>
        <v/>
      </c>
      <c r="N37" s="45" t="str">
        <f t="shared" si="14"/>
        <v/>
      </c>
      <c r="T37" s="45" t="str">
        <f t="shared" si="15"/>
        <v/>
      </c>
      <c r="W37" s="44"/>
      <c r="X37" s="82" t="str">
        <f t="shared" si="16"/>
        <v/>
      </c>
      <c r="AG37" s="45" t="str">
        <f>_xlfn.IFNA(VLOOKUP(U37,'Incoming Material Report'!A:M,13,FALSE),"")</f>
        <v/>
      </c>
      <c r="AH37" s="45" t="str">
        <f>_xlfn.IFNA(IF(VLOOKUP(U37,'Incoming Material Report'!A:N,14,FALSE)="","",VLOOKUP(U37,'Incoming Material Report'!A:N,14,FALSE)),"")</f>
        <v/>
      </c>
      <c r="AI37" s="45" t="str">
        <f>_xlfn.IFNA(VLOOKUP(U37,'Incoming Material Report'!A:Z,24,FALSE),"")</f>
        <v/>
      </c>
      <c r="AJ37" s="45" t="str">
        <f>_xlfn.IFNA(VLOOKUP(U37,'Incoming Material Report'!A:Z,25,FALSE),"")</f>
        <v/>
      </c>
      <c r="AK37" s="45" t="str">
        <f>_xlfn.IFNA(VLOOKUP(U37,'Incoming Material Report'!A:Z,26,FALSE),"")</f>
        <v/>
      </c>
      <c r="AL37" s="45" t="str">
        <f>_xlfn.IFNA(VLOOKUP(U37,'Incoming Material Report'!A:Z,2,FALSE),"")</f>
        <v/>
      </c>
      <c r="AM37" s="45" t="str">
        <f>_xlfn.IFNA(VLOOKUP(U37,'Incoming Material Report'!A:K,11,FALSE)/1000,"")</f>
        <v/>
      </c>
      <c r="AO37" s="45" t="str">
        <f>_xlfn.IFNA(VLOOKUP(U37,'Incoming Material Report'!A:R,18,FALSE)*1000,"")</f>
        <v/>
      </c>
      <c r="AQ37" s="45" t="str">
        <f>_xlfn.IFNA(TEXT(VLOOKUP(U37,'Incoming Material Report'!A:D,4,FALSE),"dd.mm.yy"),"")</f>
        <v/>
      </c>
      <c r="AZ37" s="45" t="str">
        <f>_xlfn.IFNA(VLOOKUP(U37,'GRPO Wiz'!AP:BT,17,FALSE),"")</f>
        <v/>
      </c>
      <c r="BA37" s="45" t="str">
        <f>_xlfn.IFNA(VLOOKUP(U37,'GRPO Wiz'!AP:BT,18,FALSE),"")</f>
        <v/>
      </c>
      <c r="BB37" s="45" t="str">
        <f>_xlfn.IFNA(VLOOKUP(U37,'GRPO Wiz'!AP:BT,19,FALSE),"")</f>
        <v/>
      </c>
      <c r="BC37" s="45" t="str">
        <f>_xlfn.IFNA(VLOOKUP(U37,'GRPO Wiz'!AP:BT,20,FALSE),"")</f>
        <v/>
      </c>
      <c r="BD37" s="45" t="str">
        <f>_xlfn.IFNA(VLOOKUP(U37,'GRPO Wiz'!AP:BT,21,FALSE),"")</f>
        <v/>
      </c>
      <c r="BE37" s="50" t="str">
        <f>_xlfn.IFNA(VLOOKUP(U37,'GRPO Wiz'!AP:BT,22,FALSE),"")</f>
        <v/>
      </c>
      <c r="BF37" s="45" t="str">
        <f>_xlfn.IFNA(VLOOKUP(U37,'GRPO Wiz'!AP:BT,26,FALSE),"")</f>
        <v/>
      </c>
      <c r="BH37" s="45" t="str">
        <f>_xlfn.IFNA(VLOOKUP(U37,'GRPO Wiz'!AP:BN,25,FALSE),"")</f>
        <v/>
      </c>
      <c r="BI37" s="45" t="str">
        <f>_xlfn.IFNA(VLOOKUP(U37,'GRPO Wiz'!AP:BT,31,FALSE),"")</f>
        <v/>
      </c>
      <c r="BJ37" s="45" t="str">
        <f>_xlfn.IFNA(VLOOKUP(U37,'GRPO Wiz'!AP:BZ,32,FALSE),"")</f>
        <v/>
      </c>
      <c r="BK37" s="45" t="str">
        <f>_xlfn.IFNA(VLOOKUP(U37,'GRPO Wiz'!AP:BZ,27,FALSE),"")</f>
        <v/>
      </c>
      <c r="BL37" s="45" t="str">
        <f>_xlfn.IFNA(VALUE(VLOOKUP(U37,'GRPO Wiz'!AP:BZ,29,FALSE)),"")</f>
        <v/>
      </c>
      <c r="BM37" s="45" t="str">
        <f>_xlfn.IFNA(VLOOKUP(U37,'GRPO Wiz'!AP:BZ,33,FALSE),"")</f>
        <v/>
      </c>
    </row>
    <row r="38" spans="2:82" x14ac:dyDescent="0.25">
      <c r="B38" s="45" t="str">
        <f t="shared" si="20"/>
        <v/>
      </c>
      <c r="J38" s="45" t="str">
        <f>IF(I38="","",H38*I38)</f>
        <v/>
      </c>
      <c r="N38" s="45" t="str">
        <f t="shared" si="14"/>
        <v/>
      </c>
      <c r="W38" s="44"/>
      <c r="X38" s="82" t="str">
        <f t="shared" si="16"/>
        <v/>
      </c>
      <c r="AG38" s="45" t="str">
        <f>_xlfn.IFNA(VLOOKUP(U38,'Incoming Material Report'!A:M,13,FALSE),"")</f>
        <v/>
      </c>
      <c r="AH38" s="45" t="str">
        <f>_xlfn.IFNA(IF(VLOOKUP(U38,'Incoming Material Report'!A:N,14,FALSE)="","",VLOOKUP(U38,'Incoming Material Report'!A:N,14,FALSE)),"")</f>
        <v/>
      </c>
      <c r="AI38" s="45" t="str">
        <f>_xlfn.IFNA(VLOOKUP(U38,'Incoming Material Report'!A:Z,24,FALSE),"")</f>
        <v/>
      </c>
      <c r="AJ38" s="45" t="str">
        <f>_xlfn.IFNA(VLOOKUP(U38,'Incoming Material Report'!A:Z,25,FALSE),"")</f>
        <v/>
      </c>
      <c r="AK38" s="45" t="str">
        <f>_xlfn.IFNA(VLOOKUP(U38,'Incoming Material Report'!A:Z,26,FALSE),"")</f>
        <v/>
      </c>
      <c r="AL38" s="45" t="str">
        <f>_xlfn.IFNA(VLOOKUP(U38,'Incoming Material Report'!A:Z,2,FALSE),"")</f>
        <v/>
      </c>
      <c r="AM38" s="45" t="str">
        <f>_xlfn.IFNA(VLOOKUP(U38,'Incoming Material Report'!A:K,11,FALSE)/1000,"")</f>
        <v/>
      </c>
      <c r="AO38" s="45" t="str">
        <f>_xlfn.IFNA(VLOOKUP(U38,'Incoming Material Report'!A:R,18,FALSE)*1000,"")</f>
        <v/>
      </c>
      <c r="AQ38" s="45" t="str">
        <f>_xlfn.IFNA(TEXT(VLOOKUP(U38,'Incoming Material Report'!A:D,4,FALSE),"dd.mm.yy"),"")</f>
        <v/>
      </c>
      <c r="AZ38" s="45" t="str">
        <f>_xlfn.IFNA(VLOOKUP(U38,'GRPO Wiz'!AP:BT,17,FALSE),"")</f>
        <v/>
      </c>
      <c r="BA38" s="45" t="str">
        <f>_xlfn.IFNA(VLOOKUP(U38,'GRPO Wiz'!AP:BT,18,FALSE),"")</f>
        <v/>
      </c>
      <c r="BB38" s="45" t="str">
        <f>_xlfn.IFNA(VLOOKUP(U38,'GRPO Wiz'!AP:BT,19,FALSE),"")</f>
        <v/>
      </c>
      <c r="BC38" s="45" t="str">
        <f>_xlfn.IFNA(VLOOKUP(U38,'GRPO Wiz'!AP:BT,20,FALSE),"")</f>
        <v/>
      </c>
      <c r="BD38" s="45" t="str">
        <f>_xlfn.IFNA(VLOOKUP(U38,'GRPO Wiz'!AP:BT,21,FALSE),"")</f>
        <v/>
      </c>
      <c r="BE38" s="50" t="str">
        <f>_xlfn.IFNA(VLOOKUP(U38,'GRPO Wiz'!AP:BT,22,FALSE),"")</f>
        <v/>
      </c>
      <c r="BF38" s="45" t="str">
        <f>_xlfn.IFNA(VLOOKUP(U38,'GRPO Wiz'!AP:BT,26,FALSE),"")</f>
        <v/>
      </c>
      <c r="BH38" s="45" t="str">
        <f>_xlfn.IFNA(VLOOKUP(U38,'GRPO Wiz'!AP:BN,25,FALSE),"")</f>
        <v/>
      </c>
      <c r="BI38" s="45" t="str">
        <f>_xlfn.IFNA(VLOOKUP(U38,'GRPO Wiz'!AP:BT,31,FALSE),"")</f>
        <v/>
      </c>
      <c r="BJ38" s="45" t="str">
        <f>_xlfn.IFNA(VLOOKUP(U38,'GRPO Wiz'!AP:BZ,32,FALSE),"")</f>
        <v/>
      </c>
      <c r="BK38" s="45" t="str">
        <f>_xlfn.IFNA(VLOOKUP(U38,'GRPO Wiz'!AP:BZ,27,FALSE),"")</f>
        <v/>
      </c>
      <c r="BL38" s="45" t="str">
        <f>_xlfn.IFNA(VALUE(VLOOKUP(U38,'GRPO Wiz'!AP:BZ,29,FALSE)),"")</f>
        <v/>
      </c>
      <c r="BM38" s="45" t="str">
        <f>_xlfn.IFNA(VLOOKUP(U38,'GRPO Wiz'!AP:BZ,33,FALSE),"")</f>
        <v/>
      </c>
    </row>
    <row r="39" spans="2:82" x14ac:dyDescent="0.25">
      <c r="B39" s="45" t="str">
        <f t="shared" si="20"/>
        <v/>
      </c>
      <c r="J39" s="45" t="str">
        <f t="shared" si="13"/>
        <v/>
      </c>
      <c r="N39" s="45" t="str">
        <f t="shared" si="14"/>
        <v/>
      </c>
      <c r="W39" s="44"/>
      <c r="X39" s="82" t="str">
        <f t="shared" si="16"/>
        <v/>
      </c>
      <c r="AG39" s="45" t="str">
        <f>_xlfn.IFNA(VLOOKUP(U39,'Incoming Material Report'!A:M,13,FALSE),"")</f>
        <v/>
      </c>
      <c r="AH39" s="45" t="str">
        <f>_xlfn.IFNA(IF(VLOOKUP(U39,'Incoming Material Report'!A:N,14,FALSE)="","",VLOOKUP(U39,'Incoming Material Report'!A:N,14,FALSE)),"")</f>
        <v/>
      </c>
      <c r="AI39" s="45" t="str">
        <f>_xlfn.IFNA(VLOOKUP(U39,'Incoming Material Report'!A:Z,24,FALSE),"")</f>
        <v/>
      </c>
      <c r="AJ39" s="45" t="str">
        <f>_xlfn.IFNA(VLOOKUP(U39,'Incoming Material Report'!A:Z,25,FALSE),"")</f>
        <v/>
      </c>
      <c r="AK39" s="45" t="str">
        <f>_xlfn.IFNA(VLOOKUP(U39,'Incoming Material Report'!A:Z,26,FALSE),"")</f>
        <v/>
      </c>
      <c r="AL39" s="45" t="str">
        <f>_xlfn.IFNA(VLOOKUP(U39,'Incoming Material Report'!A:Z,2,FALSE),"")</f>
        <v/>
      </c>
      <c r="AM39" s="45" t="str">
        <f>_xlfn.IFNA(VLOOKUP(U39,'Incoming Material Report'!A:K,11,FALSE)/1000,"")</f>
        <v/>
      </c>
      <c r="AO39" s="45" t="str">
        <f>_xlfn.IFNA(VLOOKUP(U39,'Incoming Material Report'!A:R,18,FALSE)*1000,"")</f>
        <v/>
      </c>
      <c r="AQ39" s="45" t="str">
        <f>_xlfn.IFNA(TEXT(VLOOKUP(U39,'Incoming Material Report'!A:D,4,FALSE),"dd.mm.yy"),"")</f>
        <v/>
      </c>
    </row>
    <row r="40" spans="2:82" x14ac:dyDescent="0.25">
      <c r="B40" s="45" t="str">
        <f t="shared" si="20"/>
        <v/>
      </c>
      <c r="J40" s="45" t="str">
        <f t="shared" si="13"/>
        <v/>
      </c>
      <c r="N40" s="45" t="str">
        <f t="shared" si="14"/>
        <v/>
      </c>
      <c r="W40" s="52"/>
      <c r="X40" s="82" t="str">
        <f t="shared" si="16"/>
        <v/>
      </c>
      <c r="AG40" s="45" t="str">
        <f>_xlfn.IFNA(VLOOKUP(U40,'Incoming Material Report'!A:M,13,FALSE),"")</f>
        <v/>
      </c>
      <c r="AH40" s="45" t="str">
        <f>_xlfn.IFNA(IF(VLOOKUP(U40,'Incoming Material Report'!A:N,14,FALSE)="","",VLOOKUP(U40,'Incoming Material Report'!A:N,14,FALSE)),"")</f>
        <v/>
      </c>
      <c r="AI40" s="45" t="str">
        <f>_xlfn.IFNA(VLOOKUP(U40,'Incoming Material Report'!A:Z,24,FALSE),"")</f>
        <v/>
      </c>
      <c r="AJ40" s="45" t="str">
        <f>_xlfn.IFNA(VLOOKUP(U40,'Incoming Material Report'!A:Z,25,FALSE),"")</f>
        <v/>
      </c>
      <c r="AK40" s="45" t="str">
        <f>_xlfn.IFNA(VLOOKUP(U40,'Incoming Material Report'!A:Z,26,FALSE),"")</f>
        <v/>
      </c>
      <c r="AL40" s="45" t="str">
        <f>_xlfn.IFNA(VLOOKUP(U40,'Incoming Material Report'!A:Z,2,FALSE),"")</f>
        <v/>
      </c>
      <c r="AM40" s="45" t="str">
        <f>_xlfn.IFNA(VLOOKUP(U40,'Incoming Material Report'!A:K,11,FALSE)/1000,"")</f>
        <v/>
      </c>
      <c r="AO40" s="45" t="str">
        <f>_xlfn.IFNA(VLOOKUP(U40,'Incoming Material Report'!A:R,18,FALSE)*1000,"")</f>
        <v/>
      </c>
      <c r="AQ40" s="45" t="str">
        <f>_xlfn.IFNA(TEXT(VLOOKUP(U40,'Incoming Material Report'!A:D,4,FALSE),"dd.mm.yy"),"")</f>
        <v/>
      </c>
    </row>
    <row r="41" spans="2:82" x14ac:dyDescent="0.25">
      <c r="B41" s="45" t="str">
        <f t="shared" si="20"/>
        <v/>
      </c>
      <c r="J41" s="45" t="str">
        <f t="shared" si="13"/>
        <v/>
      </c>
      <c r="N41" s="45" t="str">
        <f t="shared" si="14"/>
        <v/>
      </c>
      <c r="W41" s="44"/>
      <c r="X41" s="82" t="str">
        <f t="shared" si="16"/>
        <v/>
      </c>
      <c r="AG41" s="45" t="str">
        <f>_xlfn.IFNA(VLOOKUP(U41,'Incoming Material Report'!A:M,13,FALSE),"")</f>
        <v/>
      </c>
      <c r="AH41" s="45" t="str">
        <f>_xlfn.IFNA(IF(VLOOKUP(U41,'Incoming Material Report'!A:N,14,FALSE)="","",VLOOKUP(U41,'Incoming Material Report'!A:N,14,FALSE)),"")</f>
        <v/>
      </c>
      <c r="AI41" s="45" t="str">
        <f>_xlfn.IFNA(VLOOKUP(U41,'Incoming Material Report'!A:Z,24,FALSE),"")</f>
        <v/>
      </c>
      <c r="AJ41" s="45" t="str">
        <f>_xlfn.IFNA(VLOOKUP(U41,'Incoming Material Report'!A:Z,25,FALSE),"")</f>
        <v/>
      </c>
      <c r="AK41" s="45" t="str">
        <f>_xlfn.IFNA(VLOOKUP(U41,'Incoming Material Report'!A:Z,26,FALSE),"")</f>
        <v/>
      </c>
      <c r="AL41" s="45" t="str">
        <f>_xlfn.IFNA(VLOOKUP(U41,'Incoming Material Report'!A:Z,2,FALSE),"")</f>
        <v/>
      </c>
      <c r="AM41" s="45" t="str">
        <f>_xlfn.IFNA(VLOOKUP(U41,'Incoming Material Report'!A:K,11,FALSE)/1000,"")</f>
        <v/>
      </c>
      <c r="AO41" s="45" t="str">
        <f>_xlfn.IFNA(VLOOKUP(U41,'Incoming Material Report'!A:R,18,FALSE)*1000,"")</f>
        <v/>
      </c>
      <c r="AQ41" s="45" t="str">
        <f>_xlfn.IFNA(TEXT(VLOOKUP(U41,'Incoming Material Report'!A:D,4,FALSE),"dd.mm.yy"),"")</f>
        <v/>
      </c>
    </row>
    <row r="42" spans="2:82" x14ac:dyDescent="0.25">
      <c r="B42" s="45" t="str">
        <f t="shared" si="20"/>
        <v/>
      </c>
      <c r="J42" s="45" t="str">
        <f t="shared" si="13"/>
        <v/>
      </c>
      <c r="N42" s="45" t="str">
        <f t="shared" si="14"/>
        <v/>
      </c>
      <c r="W42" s="44"/>
      <c r="X42" s="82" t="str">
        <f t="shared" si="16"/>
        <v/>
      </c>
      <c r="AG42" s="45" t="str">
        <f>_xlfn.IFNA(VLOOKUP(U42,'Incoming Material Report'!A:M,13,FALSE),"")</f>
        <v/>
      </c>
      <c r="AH42" s="45" t="str">
        <f>_xlfn.IFNA(IF(VLOOKUP(U42,'Incoming Material Report'!A:N,14,FALSE)="","",VLOOKUP(U42,'Incoming Material Report'!A:N,14,FALSE)),"")</f>
        <v/>
      </c>
      <c r="AI42" s="45" t="str">
        <f>_xlfn.IFNA(VLOOKUP(U42,'Incoming Material Report'!A:Z,24,FALSE),"")</f>
        <v/>
      </c>
      <c r="AJ42" s="45" t="str">
        <f>_xlfn.IFNA(VLOOKUP(U42,'Incoming Material Report'!A:Z,25,FALSE),"")</f>
        <v/>
      </c>
      <c r="AK42" s="45" t="str">
        <f>_xlfn.IFNA(VLOOKUP(U42,'Incoming Material Report'!A:Z,26,FALSE),"")</f>
        <v/>
      </c>
      <c r="AL42" s="45" t="str">
        <f>_xlfn.IFNA(VLOOKUP(U42,'Incoming Material Report'!A:Z,2,FALSE),"")</f>
        <v/>
      </c>
      <c r="AM42" s="45" t="str">
        <f>_xlfn.IFNA(VLOOKUP(U42,'Incoming Material Report'!A:K,11,FALSE)/1000,"")</f>
        <v/>
      </c>
      <c r="AO42" s="45" t="str">
        <f>_xlfn.IFNA(VLOOKUP(U42,'Incoming Material Report'!A:R,18,FALSE)*1000,"")</f>
        <v/>
      </c>
      <c r="AQ42" s="45" t="str">
        <f>_xlfn.IFNA(TEXT(VLOOKUP(U42,'Incoming Material Report'!A:D,4,FALSE),"dd.mm.yy"),"")</f>
        <v/>
      </c>
    </row>
    <row r="43" spans="2:82" x14ac:dyDescent="0.25">
      <c r="B43" s="45" t="str">
        <f t="shared" si="20"/>
        <v/>
      </c>
      <c r="J43" s="45" t="str">
        <f t="shared" si="13"/>
        <v/>
      </c>
      <c r="N43" s="45" t="str">
        <f t="shared" si="14"/>
        <v/>
      </c>
      <c r="W43" s="52"/>
      <c r="X43" s="82" t="str">
        <f t="shared" si="16"/>
        <v/>
      </c>
      <c r="AG43" s="45" t="str">
        <f>_xlfn.IFNA(VLOOKUP(U43,'Incoming Material Report'!A:M,13,FALSE),"")</f>
        <v/>
      </c>
      <c r="AH43" s="45" t="str">
        <f>_xlfn.IFNA(IF(VLOOKUP(U43,'Incoming Material Report'!A:N,14,FALSE)="","",VLOOKUP(U43,'Incoming Material Report'!A:N,14,FALSE)),"")</f>
        <v/>
      </c>
      <c r="AI43" s="45" t="str">
        <f>_xlfn.IFNA(VLOOKUP(U43,'Incoming Material Report'!A:Z,24,FALSE),"")</f>
        <v/>
      </c>
      <c r="AJ43" s="45" t="str">
        <f>_xlfn.IFNA(VLOOKUP(U43,'Incoming Material Report'!A:Z,25,FALSE),"")</f>
        <v/>
      </c>
      <c r="AK43" s="45" t="str">
        <f>_xlfn.IFNA(VLOOKUP(U43,'Incoming Material Report'!A:Z,26,FALSE),"")</f>
        <v/>
      </c>
      <c r="AL43" s="45" t="str">
        <f>_xlfn.IFNA(VLOOKUP(U43,'Incoming Material Report'!A:Z,2,FALSE),"")</f>
        <v/>
      </c>
      <c r="AM43" s="45" t="str">
        <f>_xlfn.IFNA(VLOOKUP(U43,'Incoming Material Report'!A:K,11,FALSE)/1000,"")</f>
        <v/>
      </c>
      <c r="AO43" s="45" t="str">
        <f>_xlfn.IFNA(VLOOKUP(U43,'Incoming Material Report'!A:R,18,FALSE)*1000,"")</f>
        <v/>
      </c>
      <c r="AQ43" s="45" t="str">
        <f>_xlfn.IFNA(TEXT(VLOOKUP(U43,'Incoming Material Report'!A:D,4,FALSE),"dd.mm.yy"),"")</f>
        <v/>
      </c>
    </row>
    <row r="44" spans="2:82" x14ac:dyDescent="0.25">
      <c r="B44" s="45" t="str">
        <f t="shared" si="20"/>
        <v/>
      </c>
      <c r="J44" s="45" t="str">
        <f t="shared" si="13"/>
        <v/>
      </c>
      <c r="N44" s="45" t="str">
        <f t="shared" si="14"/>
        <v/>
      </c>
      <c r="W44" s="44"/>
      <c r="X44" s="82" t="str">
        <f t="shared" si="16"/>
        <v/>
      </c>
      <c r="AG44" s="45" t="str">
        <f>_xlfn.IFNA(VLOOKUP(U44,'Incoming Material Report'!A:M,13,FALSE),"")</f>
        <v/>
      </c>
      <c r="AH44" s="45" t="str">
        <f>_xlfn.IFNA(IF(VLOOKUP(U44,'Incoming Material Report'!A:N,14,FALSE)="","",VLOOKUP(U44,'Incoming Material Report'!A:N,14,FALSE)),"")</f>
        <v/>
      </c>
      <c r="AI44" s="45" t="str">
        <f>_xlfn.IFNA(VLOOKUP(U44,'Incoming Material Report'!A:Z,24,FALSE),"")</f>
        <v/>
      </c>
      <c r="AJ44" s="45" t="str">
        <f>_xlfn.IFNA(VLOOKUP(U44,'Incoming Material Report'!A:Z,25,FALSE),"")</f>
        <v/>
      </c>
      <c r="AK44" s="45" t="str">
        <f>_xlfn.IFNA(VLOOKUP(U44,'Incoming Material Report'!A:Z,26,FALSE),"")</f>
        <v/>
      </c>
      <c r="AL44" s="45" t="str">
        <f>_xlfn.IFNA(VLOOKUP(U44,'Incoming Material Report'!A:Z,2,FALSE),"")</f>
        <v/>
      </c>
      <c r="AM44" s="45" t="str">
        <f>_xlfn.IFNA(VLOOKUP(U44,'Incoming Material Report'!A:K,11,FALSE)/1000,"")</f>
        <v/>
      </c>
      <c r="AO44" s="45" t="str">
        <f>_xlfn.IFNA(VLOOKUP(U44,'Incoming Material Report'!A:R,18,FALSE)*1000,"")</f>
        <v/>
      </c>
      <c r="AQ44" s="45" t="str">
        <f>_xlfn.IFNA(TEXT(VLOOKUP(U44,'Incoming Material Report'!A:D,4,FALSE),"dd.mm.yy"),"")</f>
        <v/>
      </c>
    </row>
    <row r="45" spans="2:82" x14ac:dyDescent="0.25">
      <c r="B45" s="45" t="str">
        <f t="shared" si="20"/>
        <v/>
      </c>
      <c r="J45" s="45" t="str">
        <f t="shared" si="13"/>
        <v/>
      </c>
      <c r="N45" s="45" t="str">
        <f t="shared" si="14"/>
        <v/>
      </c>
      <c r="W45" s="44"/>
      <c r="X45" s="82" t="str">
        <f t="shared" si="16"/>
        <v/>
      </c>
      <c r="AG45" s="45" t="str">
        <f>_xlfn.IFNA(VLOOKUP(U45,'Incoming Material Report'!A:M,13,FALSE),"")</f>
        <v/>
      </c>
      <c r="AH45" s="45" t="str">
        <f>_xlfn.IFNA(IF(VLOOKUP(U45,'Incoming Material Report'!A:N,14,FALSE)="","",VLOOKUP(U45,'Incoming Material Report'!A:N,14,FALSE)),"")</f>
        <v/>
      </c>
      <c r="AI45" s="45" t="str">
        <f>_xlfn.IFNA(VLOOKUP(U45,'Incoming Material Report'!A:Z,24,FALSE),"")</f>
        <v/>
      </c>
      <c r="AJ45" s="45" t="str">
        <f>_xlfn.IFNA(VLOOKUP(U45,'Incoming Material Report'!A:Z,25,FALSE),"")</f>
        <v/>
      </c>
      <c r="AK45" s="45" t="str">
        <f>_xlfn.IFNA(VLOOKUP(U45,'Incoming Material Report'!A:Z,26,FALSE),"")</f>
        <v/>
      </c>
      <c r="AL45" s="45" t="str">
        <f>_xlfn.IFNA(VLOOKUP(U45,'Incoming Material Report'!A:Z,2,FALSE),"")</f>
        <v/>
      </c>
      <c r="AM45" s="45" t="str">
        <f>_xlfn.IFNA(VLOOKUP(U45,'Incoming Material Report'!A:K,11,FALSE)/1000,"")</f>
        <v/>
      </c>
      <c r="AO45" s="45" t="str">
        <f>_xlfn.IFNA(VLOOKUP(U45,'Incoming Material Report'!A:R,18,FALSE)*1000,"")</f>
        <v/>
      </c>
      <c r="AQ45" s="45" t="str">
        <f>_xlfn.IFNA(TEXT(VLOOKUP(U45,'Incoming Material Report'!A:D,4,FALSE),"dd.mm.yy"),"")</f>
        <v/>
      </c>
    </row>
    <row r="46" spans="2:82" x14ac:dyDescent="0.25">
      <c r="B46" s="45" t="str">
        <f t="shared" si="20"/>
        <v/>
      </c>
      <c r="J46" s="45" t="str">
        <f t="shared" si="13"/>
        <v/>
      </c>
      <c r="N46" s="45" t="str">
        <f t="shared" si="14"/>
        <v/>
      </c>
      <c r="W46" s="44"/>
      <c r="X46" s="82" t="str">
        <f t="shared" si="16"/>
        <v/>
      </c>
      <c r="AG46" s="45" t="str">
        <f>_xlfn.IFNA(VLOOKUP(U46,'Incoming Material Report'!A:M,13,FALSE),"")</f>
        <v/>
      </c>
      <c r="AH46" s="45" t="str">
        <f>_xlfn.IFNA(IF(VLOOKUP(U46,'Incoming Material Report'!A:N,14,FALSE)="","",VLOOKUP(U46,'Incoming Material Report'!A:N,14,FALSE)),"")</f>
        <v/>
      </c>
      <c r="AI46" s="45" t="str">
        <f>_xlfn.IFNA(VLOOKUP(U46,'Incoming Material Report'!A:Z,24,FALSE),"")</f>
        <v/>
      </c>
      <c r="AJ46" s="45" t="str">
        <f>_xlfn.IFNA(VLOOKUP(U46,'Incoming Material Report'!A:Z,25,FALSE),"")</f>
        <v/>
      </c>
      <c r="AK46" s="45" t="str">
        <f>_xlfn.IFNA(VLOOKUP(U46,'Incoming Material Report'!A:Z,26,FALSE),"")</f>
        <v/>
      </c>
      <c r="AL46" s="45" t="str">
        <f>_xlfn.IFNA(VLOOKUP(U46,'Incoming Material Report'!A:Z,2,FALSE),"")</f>
        <v/>
      </c>
      <c r="AM46" s="45" t="str">
        <f>_xlfn.IFNA(VLOOKUP(U46,'Incoming Material Report'!A:K,11,FALSE)/1000,"")</f>
        <v/>
      </c>
      <c r="AO46" s="45" t="str">
        <f>_xlfn.IFNA(VLOOKUP(U46,'Incoming Material Report'!A:R,18,FALSE)*1000,"")</f>
        <v/>
      </c>
      <c r="AQ46" s="45" t="str">
        <f>_xlfn.IFNA(TEXT(VLOOKUP(U46,'Incoming Material Report'!A:D,4,FALSE),"dd.mm.yy"),"")</f>
        <v/>
      </c>
    </row>
    <row r="47" spans="2:82" x14ac:dyDescent="0.25">
      <c r="B47" s="45" t="str">
        <f t="shared" si="20"/>
        <v/>
      </c>
      <c r="J47" s="45" t="str">
        <f t="shared" si="13"/>
        <v/>
      </c>
      <c r="N47" s="45" t="str">
        <f t="shared" si="14"/>
        <v/>
      </c>
      <c r="W47" s="44"/>
      <c r="X47" s="82" t="str">
        <f t="shared" si="16"/>
        <v/>
      </c>
      <c r="AG47" s="45" t="str">
        <f>_xlfn.IFNA(VLOOKUP(U47,'Incoming Material Report'!A:M,13,FALSE),"")</f>
        <v/>
      </c>
      <c r="AH47" s="45" t="str">
        <f>_xlfn.IFNA(IF(VLOOKUP(U47,'Incoming Material Report'!A:N,14,FALSE)="","",VLOOKUP(U47,'Incoming Material Report'!A:N,14,FALSE)),"")</f>
        <v/>
      </c>
      <c r="AI47" s="45" t="str">
        <f>_xlfn.IFNA(VLOOKUP(U47,'Incoming Material Report'!A:Z,24,FALSE),"")</f>
        <v/>
      </c>
      <c r="AJ47" s="45" t="str">
        <f>_xlfn.IFNA(VLOOKUP(U47,'Incoming Material Report'!A:Z,25,FALSE),"")</f>
        <v/>
      </c>
      <c r="AK47" s="45" t="str">
        <f>_xlfn.IFNA(VLOOKUP(U47,'Incoming Material Report'!A:Z,26,FALSE),"")</f>
        <v/>
      </c>
      <c r="AL47" s="45" t="str">
        <f>_xlfn.IFNA(VLOOKUP(U47,'Incoming Material Report'!A:Z,2,FALSE),"")</f>
        <v/>
      </c>
      <c r="AM47" s="45" t="str">
        <f>_xlfn.IFNA(VLOOKUP(U47,'Incoming Material Report'!A:K,11,FALSE)/1000,"")</f>
        <v/>
      </c>
      <c r="AO47" s="45" t="str">
        <f>_xlfn.IFNA(VLOOKUP(U47,'Incoming Material Report'!A:R,18,FALSE)*1000,"")</f>
        <v/>
      </c>
      <c r="AQ47" s="45" t="str">
        <f>_xlfn.IFNA(TEXT(VLOOKUP(U47,'Incoming Material Report'!A:D,4,FALSE),"dd.mm.yy"),"")</f>
        <v/>
      </c>
    </row>
    <row r="48" spans="2:82" x14ac:dyDescent="0.25">
      <c r="B48" s="45" t="str">
        <f t="shared" si="20"/>
        <v/>
      </c>
      <c r="J48" s="45" t="str">
        <f t="shared" si="13"/>
        <v/>
      </c>
      <c r="N48" s="45" t="str">
        <f t="shared" si="14"/>
        <v/>
      </c>
      <c r="W48" s="44"/>
      <c r="X48" s="82" t="str">
        <f t="shared" si="16"/>
        <v/>
      </c>
      <c r="AG48" s="45" t="str">
        <f>_xlfn.IFNA(VLOOKUP(U48,'Incoming Material Report'!A:M,13,FALSE),"")</f>
        <v/>
      </c>
      <c r="AH48" s="45" t="str">
        <f>_xlfn.IFNA(IF(VLOOKUP(U48,'Incoming Material Report'!A:N,14,FALSE)="","",VLOOKUP(U48,'Incoming Material Report'!A:N,14,FALSE)),"")</f>
        <v/>
      </c>
      <c r="AI48" s="45" t="str">
        <f>_xlfn.IFNA(VLOOKUP(U48,'Incoming Material Report'!A:Z,24,FALSE),"")</f>
        <v/>
      </c>
      <c r="AJ48" s="45" t="str">
        <f>_xlfn.IFNA(VLOOKUP(U48,'Incoming Material Report'!A:Z,25,FALSE),"")</f>
        <v/>
      </c>
      <c r="AK48" s="45" t="str">
        <f>_xlfn.IFNA(VLOOKUP(U48,'Incoming Material Report'!A:Z,26,FALSE),"")</f>
        <v/>
      </c>
      <c r="AL48" s="45" t="str">
        <f>_xlfn.IFNA(VLOOKUP(U48,'Incoming Material Report'!A:Z,2,FALSE),"")</f>
        <v/>
      </c>
      <c r="AM48" s="45" t="str">
        <f>_xlfn.IFNA(VLOOKUP(U48,'Incoming Material Report'!A:K,11,FALSE)/1000,"")</f>
        <v/>
      </c>
      <c r="AO48" s="45" t="str">
        <f>_xlfn.IFNA(VLOOKUP(U48,'Incoming Material Report'!A:R,18,FALSE)*1000,"")</f>
        <v/>
      </c>
      <c r="AQ48" s="45" t="str">
        <f>_xlfn.IFNA(TEXT(VLOOKUP(U48,'Incoming Material Report'!A:D,4,FALSE),"dd.mm.yy"),"")</f>
        <v/>
      </c>
    </row>
    <row r="49" spans="2:43" x14ac:dyDescent="0.25">
      <c r="B49" s="45" t="str">
        <f t="shared" si="20"/>
        <v/>
      </c>
      <c r="J49" s="45" t="str">
        <f t="shared" si="13"/>
        <v/>
      </c>
      <c r="N49" s="45" t="str">
        <f t="shared" si="14"/>
        <v/>
      </c>
      <c r="W49" s="44"/>
      <c r="X49" s="82" t="str">
        <f t="shared" si="16"/>
        <v/>
      </c>
      <c r="AG49" s="45" t="str">
        <f>_xlfn.IFNA(VLOOKUP(U49,'Incoming Material Report'!A:M,13,FALSE),"")</f>
        <v/>
      </c>
      <c r="AH49" s="45" t="str">
        <f>_xlfn.IFNA(IF(VLOOKUP(U49,'Incoming Material Report'!A:N,14,FALSE)="","",VLOOKUP(U49,'Incoming Material Report'!A:N,14,FALSE)),"")</f>
        <v/>
      </c>
      <c r="AI49" s="45" t="str">
        <f>_xlfn.IFNA(VLOOKUP(U49,'Incoming Material Report'!A:Z,24,FALSE),"")</f>
        <v/>
      </c>
      <c r="AJ49" s="45" t="str">
        <f>_xlfn.IFNA(VLOOKUP(U49,'Incoming Material Report'!A:Z,25,FALSE),"")</f>
        <v/>
      </c>
      <c r="AK49" s="45" t="str">
        <f>_xlfn.IFNA(VLOOKUP(U49,'Incoming Material Report'!A:Z,26,FALSE),"")</f>
        <v/>
      </c>
      <c r="AL49" s="45" t="str">
        <f>_xlfn.IFNA(VLOOKUP(U49,'Incoming Material Report'!A:Z,2,FALSE),"")</f>
        <v/>
      </c>
      <c r="AM49" s="45" t="str">
        <f>_xlfn.IFNA(VLOOKUP(U49,'Incoming Material Report'!A:K,11,FALSE)/1000,"")</f>
        <v/>
      </c>
      <c r="AO49" s="45" t="str">
        <f>_xlfn.IFNA(VLOOKUP(U49,'Incoming Material Report'!A:R,18,FALSE)*1000,"")</f>
        <v/>
      </c>
      <c r="AQ49" s="45" t="str">
        <f>_xlfn.IFNA(TEXT(VLOOKUP(U49,'Incoming Material Report'!A:D,4,FALSE),"dd.mm.yy"),"")</f>
        <v/>
      </c>
    </row>
    <row r="50" spans="2:43" x14ac:dyDescent="0.25">
      <c r="B50" s="45" t="str">
        <f t="shared" si="20"/>
        <v/>
      </c>
      <c r="J50" s="45" t="str">
        <f t="shared" si="13"/>
        <v/>
      </c>
      <c r="N50" s="45" t="str">
        <f t="shared" si="14"/>
        <v/>
      </c>
      <c r="W50" s="44"/>
      <c r="X50" s="82" t="str">
        <f t="shared" si="16"/>
        <v/>
      </c>
      <c r="AG50" s="45" t="str">
        <f>_xlfn.IFNA(VLOOKUP(U50,'Incoming Material Report'!A:M,13,FALSE),"")</f>
        <v/>
      </c>
      <c r="AH50" s="45" t="str">
        <f>_xlfn.IFNA(IF(VLOOKUP(U50,'Incoming Material Report'!A:N,14,FALSE)="","",VLOOKUP(U50,'Incoming Material Report'!A:N,14,FALSE)),"")</f>
        <v/>
      </c>
      <c r="AI50" s="45" t="str">
        <f>_xlfn.IFNA(VLOOKUP(U50,'Incoming Material Report'!A:Z,24,FALSE),"")</f>
        <v/>
      </c>
      <c r="AJ50" s="45" t="str">
        <f>_xlfn.IFNA(VLOOKUP(U50,'Incoming Material Report'!A:Z,25,FALSE),"")</f>
        <v/>
      </c>
      <c r="AK50" s="45" t="str">
        <f>_xlfn.IFNA(VLOOKUP(U50,'Incoming Material Report'!A:Z,26,FALSE),"")</f>
        <v/>
      </c>
      <c r="AL50" s="45" t="str">
        <f>_xlfn.IFNA(VLOOKUP(U50,'Incoming Material Report'!A:Z,2,FALSE),"")</f>
        <v/>
      </c>
      <c r="AM50" s="45" t="str">
        <f>_xlfn.IFNA(VLOOKUP(U50,'Incoming Material Report'!A:K,11,FALSE)/1000,"")</f>
        <v/>
      </c>
      <c r="AO50" s="45" t="str">
        <f>_xlfn.IFNA(VLOOKUP(U50,'Incoming Material Report'!A:R,18,FALSE)*1000,"")</f>
        <v/>
      </c>
      <c r="AQ50" s="45" t="str">
        <f>_xlfn.IFNA(TEXT(VLOOKUP(U50,'Incoming Material Report'!A:D,4,FALSE),"dd.mm.yy"),"")</f>
        <v/>
      </c>
    </row>
    <row r="51" spans="2:43" x14ac:dyDescent="0.25">
      <c r="B51" s="45" t="str">
        <f t="shared" si="20"/>
        <v/>
      </c>
      <c r="J51" s="45" t="str">
        <f t="shared" si="13"/>
        <v/>
      </c>
      <c r="N51" s="45" t="str">
        <f t="shared" si="14"/>
        <v/>
      </c>
      <c r="W51" s="44"/>
      <c r="X51" s="82" t="str">
        <f t="shared" si="16"/>
        <v/>
      </c>
      <c r="AG51" s="45" t="str">
        <f>_xlfn.IFNA(VLOOKUP(U51,'Incoming Material Report'!A:M,13,FALSE),"")</f>
        <v/>
      </c>
      <c r="AH51" s="45" t="str">
        <f>_xlfn.IFNA(IF(VLOOKUP(U51,'Incoming Material Report'!A:N,14,FALSE)="","",VLOOKUP(U51,'Incoming Material Report'!A:N,14,FALSE)),"")</f>
        <v/>
      </c>
      <c r="AI51" s="45" t="str">
        <f>_xlfn.IFNA(VLOOKUP(U51,'Incoming Material Report'!A:Z,24,FALSE),"")</f>
        <v/>
      </c>
      <c r="AJ51" s="45" t="str">
        <f>_xlfn.IFNA(VLOOKUP(U51,'Incoming Material Report'!A:Z,25,FALSE),"")</f>
        <v/>
      </c>
      <c r="AK51" s="45" t="str">
        <f>_xlfn.IFNA(VLOOKUP(U51,'Incoming Material Report'!A:Z,26,FALSE),"")</f>
        <v/>
      </c>
      <c r="AL51" s="45" t="str">
        <f>_xlfn.IFNA(VLOOKUP(U51,'Incoming Material Report'!A:Z,2,FALSE),"")</f>
        <v/>
      </c>
      <c r="AM51" s="45" t="str">
        <f>_xlfn.IFNA(VLOOKUP(U51,'Incoming Material Report'!A:K,11,FALSE)/1000,"")</f>
        <v/>
      </c>
      <c r="AO51" s="45" t="str">
        <f>_xlfn.IFNA(VLOOKUP(U51,'Incoming Material Report'!A:R,18,FALSE)*1000,"")</f>
        <v/>
      </c>
      <c r="AQ51" s="45" t="str">
        <f>_xlfn.IFNA(TEXT(VLOOKUP(U51,'Incoming Material Report'!A:D,4,FALSE),"dd.mm.yy"),"")</f>
        <v/>
      </c>
    </row>
    <row r="52" spans="2:43" x14ac:dyDescent="0.25">
      <c r="B52" s="45" t="str">
        <f t="shared" si="20"/>
        <v/>
      </c>
      <c r="J52" s="45" t="str">
        <f t="shared" si="13"/>
        <v/>
      </c>
      <c r="N52" s="45" t="str">
        <f t="shared" si="14"/>
        <v/>
      </c>
      <c r="W52" s="44"/>
      <c r="X52" s="82" t="str">
        <f t="shared" si="16"/>
        <v/>
      </c>
      <c r="AG52" s="45" t="str">
        <f>_xlfn.IFNA(VLOOKUP(U52,'Incoming Material Report'!A:M,13,FALSE),"")</f>
        <v/>
      </c>
      <c r="AH52" s="45" t="str">
        <f>_xlfn.IFNA(IF(VLOOKUP(U52,'Incoming Material Report'!A:N,14,FALSE)="","",VLOOKUP(U52,'Incoming Material Report'!A:N,14,FALSE)),"")</f>
        <v/>
      </c>
      <c r="AI52" s="45" t="str">
        <f>_xlfn.IFNA(VLOOKUP(U52,'Incoming Material Report'!A:Z,24,FALSE),"")</f>
        <v/>
      </c>
      <c r="AJ52" s="45" t="str">
        <f>_xlfn.IFNA(VLOOKUP(U52,'Incoming Material Report'!A:Z,25,FALSE),"")</f>
        <v/>
      </c>
      <c r="AK52" s="45" t="str">
        <f>_xlfn.IFNA(VLOOKUP(U52,'Incoming Material Report'!A:Z,26,FALSE),"")</f>
        <v/>
      </c>
      <c r="AL52" s="45" t="str">
        <f>_xlfn.IFNA(VLOOKUP(U52,'Incoming Material Report'!A:Z,2,FALSE),"")</f>
        <v/>
      </c>
      <c r="AM52" s="45" t="str">
        <f>_xlfn.IFNA(VLOOKUP(U52,'Incoming Material Report'!A:K,11,FALSE)/1000,"")</f>
        <v/>
      </c>
      <c r="AO52" s="45" t="str">
        <f>_xlfn.IFNA(VLOOKUP(U52,'Incoming Material Report'!A:R,18,FALSE)*1000,"")</f>
        <v/>
      </c>
      <c r="AQ52" s="45" t="str">
        <f>_xlfn.IFNA(TEXT(VLOOKUP(U52,'Incoming Material Report'!A:D,4,FALSE),"dd.mm.yy"),"")</f>
        <v/>
      </c>
    </row>
    <row r="53" spans="2:43" x14ac:dyDescent="0.25">
      <c r="B53" s="45" t="str">
        <f t="shared" si="20"/>
        <v/>
      </c>
      <c r="J53" s="45" t="str">
        <f t="shared" si="13"/>
        <v/>
      </c>
      <c r="N53" s="45" t="str">
        <f t="shared" si="14"/>
        <v/>
      </c>
      <c r="W53" s="44"/>
      <c r="X53" s="82" t="str">
        <f t="shared" si="16"/>
        <v/>
      </c>
      <c r="AG53" s="45" t="str">
        <f>_xlfn.IFNA(VLOOKUP(U53,'Incoming Material Report'!A:M,13,FALSE),"")</f>
        <v/>
      </c>
      <c r="AH53" s="45" t="str">
        <f>_xlfn.IFNA(IF(VLOOKUP(U53,'Incoming Material Report'!A:N,14,FALSE)="","",VLOOKUP(U53,'Incoming Material Report'!A:N,14,FALSE)),"")</f>
        <v/>
      </c>
      <c r="AI53" s="45" t="str">
        <f>_xlfn.IFNA(VLOOKUP(U53,'Incoming Material Report'!A:Z,24,FALSE),"")</f>
        <v/>
      </c>
      <c r="AJ53" s="45" t="str">
        <f>_xlfn.IFNA(VLOOKUP(U53,'Incoming Material Report'!A:Z,25,FALSE),"")</f>
        <v/>
      </c>
      <c r="AK53" s="45" t="str">
        <f>_xlfn.IFNA(VLOOKUP(U53,'Incoming Material Report'!A:Z,26,FALSE),"")</f>
        <v/>
      </c>
      <c r="AL53" s="45" t="str">
        <f>_xlfn.IFNA(VLOOKUP(U53,'Incoming Material Report'!A:Z,2,FALSE),"")</f>
        <v/>
      </c>
      <c r="AM53" s="45" t="str">
        <f>_xlfn.IFNA(VLOOKUP(U53,'Incoming Material Report'!A:K,11,FALSE)/1000,"")</f>
        <v/>
      </c>
      <c r="AO53" s="45" t="str">
        <f>_xlfn.IFNA(VLOOKUP(U53,'Incoming Material Report'!A:R,18,FALSE)*1000,"")</f>
        <v/>
      </c>
      <c r="AQ53" s="45" t="str">
        <f>_xlfn.IFNA(TEXT(VLOOKUP(U53,'Incoming Material Report'!A:D,4,FALSE),"dd.mm.yy"),"")</f>
        <v/>
      </c>
    </row>
    <row r="54" spans="2:43" x14ac:dyDescent="0.25">
      <c r="B54" s="45" t="str">
        <f t="shared" si="20"/>
        <v/>
      </c>
      <c r="J54" s="45" t="str">
        <f t="shared" si="13"/>
        <v/>
      </c>
      <c r="N54" s="45" t="str">
        <f t="shared" si="14"/>
        <v/>
      </c>
      <c r="W54" s="44"/>
      <c r="X54" s="82" t="str">
        <f t="shared" si="16"/>
        <v/>
      </c>
      <c r="AG54" s="45" t="str">
        <f>_xlfn.IFNA(VLOOKUP(U54,'Incoming Material Report'!A:M,13,FALSE),"")</f>
        <v/>
      </c>
      <c r="AH54" s="45" t="str">
        <f>_xlfn.IFNA(IF(VLOOKUP(U54,'Incoming Material Report'!A:N,14,FALSE)="","",VLOOKUP(U54,'Incoming Material Report'!A:N,14,FALSE)),"")</f>
        <v/>
      </c>
      <c r="AI54" s="45" t="str">
        <f>_xlfn.IFNA(VLOOKUP(U54,'Incoming Material Report'!A:Z,24,FALSE),"")</f>
        <v/>
      </c>
      <c r="AJ54" s="45" t="str">
        <f>_xlfn.IFNA(VLOOKUP(U54,'Incoming Material Report'!A:Z,25,FALSE),"")</f>
        <v/>
      </c>
      <c r="AK54" s="45" t="str">
        <f>_xlfn.IFNA(VLOOKUP(U54,'Incoming Material Report'!A:Z,26,FALSE),"")</f>
        <v/>
      </c>
      <c r="AL54" s="45" t="str">
        <f>_xlfn.IFNA(VLOOKUP(U54,'Incoming Material Report'!A:Z,2,FALSE),"")</f>
        <v/>
      </c>
      <c r="AM54" s="45" t="str">
        <f>_xlfn.IFNA(VLOOKUP(U54,'Incoming Material Report'!A:K,11,FALSE)/1000,"")</f>
        <v/>
      </c>
      <c r="AO54" s="45" t="str">
        <f>_xlfn.IFNA(VLOOKUP(U54,'Incoming Material Report'!A:R,18,FALSE)*1000,"")</f>
        <v/>
      </c>
      <c r="AQ54" s="45" t="str">
        <f>_xlfn.IFNA(TEXT(VLOOKUP(U54,'Incoming Material Report'!A:D,4,FALSE),"dd.mm.yy"),"")</f>
        <v/>
      </c>
    </row>
    <row r="55" spans="2:43" x14ac:dyDescent="0.25">
      <c r="B55" s="45" t="str">
        <f t="shared" si="20"/>
        <v/>
      </c>
      <c r="J55" s="45" t="str">
        <f t="shared" si="13"/>
        <v/>
      </c>
      <c r="N55" s="45" t="str">
        <f t="shared" si="14"/>
        <v/>
      </c>
      <c r="W55" s="44"/>
      <c r="X55" s="82" t="str">
        <f t="shared" si="16"/>
        <v/>
      </c>
      <c r="AG55" s="45" t="str">
        <f>_xlfn.IFNA(VLOOKUP(U55,'Incoming Material Report'!A:M,13,FALSE),"")</f>
        <v/>
      </c>
      <c r="AH55" s="45" t="str">
        <f>_xlfn.IFNA(IF(VLOOKUP(U55,'Incoming Material Report'!A:N,14,FALSE)="","",VLOOKUP(U55,'Incoming Material Report'!A:N,14,FALSE)),"")</f>
        <v/>
      </c>
      <c r="AI55" s="45" t="str">
        <f>_xlfn.IFNA(VLOOKUP(U55,'Incoming Material Report'!A:Z,24,FALSE),"")</f>
        <v/>
      </c>
      <c r="AJ55" s="45" t="str">
        <f>_xlfn.IFNA(VLOOKUP(U55,'Incoming Material Report'!A:Z,25,FALSE),"")</f>
        <v/>
      </c>
      <c r="AK55" s="45" t="str">
        <f>_xlfn.IFNA(VLOOKUP(U55,'Incoming Material Report'!A:Z,26,FALSE),"")</f>
        <v/>
      </c>
      <c r="AL55" s="45" t="str">
        <f>_xlfn.IFNA(VLOOKUP(U55,'Incoming Material Report'!A:Z,2,FALSE),"")</f>
        <v/>
      </c>
      <c r="AM55" s="45" t="str">
        <f>_xlfn.IFNA(VLOOKUP(U55,'Incoming Material Report'!A:K,11,FALSE)/1000,"")</f>
        <v/>
      </c>
      <c r="AO55" s="45" t="str">
        <f>_xlfn.IFNA(VLOOKUP(U55,'Incoming Material Report'!A:R,18,FALSE)*1000,"")</f>
        <v/>
      </c>
      <c r="AQ55" s="45" t="str">
        <f>_xlfn.IFNA(TEXT(VLOOKUP(U55,'Incoming Material Report'!A:D,4,FALSE),"dd.mm.yy"),"")</f>
        <v/>
      </c>
    </row>
    <row r="56" spans="2:43" x14ac:dyDescent="0.25">
      <c r="B56" s="45" t="str">
        <f t="shared" si="20"/>
        <v/>
      </c>
      <c r="J56" s="45" t="str">
        <f t="shared" si="13"/>
        <v/>
      </c>
      <c r="N56" s="45" t="str">
        <f t="shared" si="14"/>
        <v/>
      </c>
      <c r="W56" s="44"/>
      <c r="X56" s="82" t="str">
        <f t="shared" si="16"/>
        <v/>
      </c>
      <c r="AG56" s="45" t="str">
        <f>_xlfn.IFNA(VLOOKUP(U56,'Incoming Material Report'!A:M,13,FALSE),"")</f>
        <v/>
      </c>
      <c r="AH56" s="45" t="str">
        <f>_xlfn.IFNA(IF(VLOOKUP(U56,'Incoming Material Report'!A:N,14,FALSE)="","",VLOOKUP(U56,'Incoming Material Report'!A:N,14,FALSE)),"")</f>
        <v/>
      </c>
      <c r="AI56" s="45" t="str">
        <f>_xlfn.IFNA(VLOOKUP(U56,'Incoming Material Report'!A:Z,24,FALSE),"")</f>
        <v/>
      </c>
      <c r="AJ56" s="45" t="str">
        <f>_xlfn.IFNA(VLOOKUP(U56,'Incoming Material Report'!A:Z,25,FALSE),"")</f>
        <v/>
      </c>
      <c r="AK56" s="45" t="str">
        <f>_xlfn.IFNA(VLOOKUP(U56,'Incoming Material Report'!A:Z,26,FALSE),"")</f>
        <v/>
      </c>
      <c r="AL56" s="45" t="str">
        <f>_xlfn.IFNA(VLOOKUP(U56,'Incoming Material Report'!A:Z,2,FALSE),"")</f>
        <v/>
      </c>
      <c r="AM56" s="45" t="str">
        <f>_xlfn.IFNA(VLOOKUP(U56,'Incoming Material Report'!A:K,11,FALSE)/1000,"")</f>
        <v/>
      </c>
      <c r="AO56" s="45" t="str">
        <f>_xlfn.IFNA(VLOOKUP(U56,'Incoming Material Report'!A:R,18,FALSE)*1000,"")</f>
        <v/>
      </c>
      <c r="AQ56" s="45" t="str">
        <f>_xlfn.IFNA(TEXT(VLOOKUP(U56,'Incoming Material Report'!A:D,4,FALSE),"dd.mm.yy"),"")</f>
        <v/>
      </c>
    </row>
    <row r="57" spans="2:43" x14ac:dyDescent="0.25">
      <c r="B57" s="45" t="str">
        <f t="shared" si="20"/>
        <v/>
      </c>
      <c r="J57" s="45" t="str">
        <f t="shared" si="13"/>
        <v/>
      </c>
      <c r="N57" s="45" t="str">
        <f t="shared" si="14"/>
        <v/>
      </c>
      <c r="W57" s="44"/>
      <c r="X57" s="82" t="str">
        <f t="shared" si="16"/>
        <v/>
      </c>
      <c r="AG57" s="45" t="str">
        <f>_xlfn.IFNA(VLOOKUP(U57,'Incoming Material Report'!A:M,13,FALSE),"")</f>
        <v/>
      </c>
      <c r="AH57" s="45" t="str">
        <f>_xlfn.IFNA(IF(VLOOKUP(U57,'Incoming Material Report'!A:N,14,FALSE)="","",VLOOKUP(U57,'Incoming Material Report'!A:N,14,FALSE)),"")</f>
        <v/>
      </c>
      <c r="AI57" s="45" t="str">
        <f>_xlfn.IFNA(VLOOKUP(U57,'Incoming Material Report'!A:Z,24,FALSE),"")</f>
        <v/>
      </c>
      <c r="AJ57" s="45" t="str">
        <f>_xlfn.IFNA(VLOOKUP(U57,'Incoming Material Report'!A:Z,25,FALSE),"")</f>
        <v/>
      </c>
      <c r="AK57" s="45" t="str">
        <f>_xlfn.IFNA(VLOOKUP(U57,'Incoming Material Report'!A:Z,26,FALSE),"")</f>
        <v/>
      </c>
      <c r="AL57" s="45" t="str">
        <f>_xlfn.IFNA(VLOOKUP(U57,'Incoming Material Report'!A:Z,2,FALSE),"")</f>
        <v/>
      </c>
      <c r="AM57" s="45" t="str">
        <f>_xlfn.IFNA(VLOOKUP(U57,'Incoming Material Report'!A:K,11,FALSE)/1000,"")</f>
        <v/>
      </c>
      <c r="AO57" s="45" t="str">
        <f>_xlfn.IFNA(VLOOKUP(U57,'Incoming Material Report'!A:R,18,FALSE)*1000,"")</f>
        <v/>
      </c>
      <c r="AQ57" s="45" t="str">
        <f>_xlfn.IFNA(TEXT(VLOOKUP(U57,'Incoming Material Report'!A:D,4,FALSE),"dd.mm.yy"),"")</f>
        <v/>
      </c>
    </row>
    <row r="58" spans="2:43" x14ac:dyDescent="0.25">
      <c r="B58" s="45" t="str">
        <f t="shared" si="20"/>
        <v/>
      </c>
      <c r="J58" s="45" t="str">
        <f t="shared" si="13"/>
        <v/>
      </c>
      <c r="N58" s="45" t="str">
        <f t="shared" si="14"/>
        <v/>
      </c>
      <c r="W58" s="44"/>
      <c r="X58" s="82" t="str">
        <f t="shared" si="16"/>
        <v/>
      </c>
      <c r="AG58" s="45" t="str">
        <f>_xlfn.IFNA(VLOOKUP(U58,'Incoming Material Report'!A:M,13,FALSE),"")</f>
        <v/>
      </c>
      <c r="AH58" s="45" t="str">
        <f>_xlfn.IFNA(IF(VLOOKUP(U58,'Incoming Material Report'!A:N,14,FALSE)="","",VLOOKUP(U58,'Incoming Material Report'!A:N,14,FALSE)),"")</f>
        <v/>
      </c>
      <c r="AI58" s="45" t="str">
        <f>_xlfn.IFNA(VLOOKUP(U58,'Incoming Material Report'!A:Z,24,FALSE),"")</f>
        <v/>
      </c>
      <c r="AJ58" s="45" t="str">
        <f>_xlfn.IFNA(VLOOKUP(U58,'Incoming Material Report'!A:Z,25,FALSE),"")</f>
        <v/>
      </c>
      <c r="AK58" s="45" t="str">
        <f>_xlfn.IFNA(VLOOKUP(U58,'Incoming Material Report'!A:Z,26,FALSE),"")</f>
        <v/>
      </c>
      <c r="AL58" s="45" t="str">
        <f>_xlfn.IFNA(VLOOKUP(U58,'Incoming Material Report'!A:Z,2,FALSE),"")</f>
        <v/>
      </c>
      <c r="AM58" s="45" t="str">
        <f>_xlfn.IFNA(VLOOKUP(U58,'Incoming Material Report'!A:K,11,FALSE)/1000,"")</f>
        <v/>
      </c>
      <c r="AO58" s="45" t="str">
        <f>_xlfn.IFNA(VLOOKUP(U58,'Incoming Material Report'!A:R,18,FALSE)*1000,"")</f>
        <v/>
      </c>
      <c r="AQ58" s="45" t="str">
        <f>_xlfn.IFNA(TEXT(VLOOKUP(U58,'Incoming Material Report'!A:D,4,FALSE),"dd.mm.yy"),"")</f>
        <v/>
      </c>
    </row>
    <row r="59" spans="2:43" x14ac:dyDescent="0.25">
      <c r="B59" s="45" t="str">
        <f t="shared" si="20"/>
        <v/>
      </c>
      <c r="J59" s="45" t="str">
        <f t="shared" si="13"/>
        <v/>
      </c>
      <c r="N59" s="45" t="str">
        <f t="shared" si="14"/>
        <v/>
      </c>
      <c r="W59" s="44"/>
      <c r="X59" s="82" t="str">
        <f t="shared" si="16"/>
        <v/>
      </c>
      <c r="AG59" s="45" t="str">
        <f>_xlfn.IFNA(VLOOKUP(U59,'Incoming Material Report'!A:M,13,FALSE),"")</f>
        <v/>
      </c>
      <c r="AH59" s="45" t="str">
        <f>_xlfn.IFNA(IF(VLOOKUP(U59,'Incoming Material Report'!A:N,14,FALSE)="","",VLOOKUP(U59,'Incoming Material Report'!A:N,14,FALSE)),"")</f>
        <v/>
      </c>
      <c r="AI59" s="45" t="str">
        <f>_xlfn.IFNA(VLOOKUP(U59,'Incoming Material Report'!A:Z,24,FALSE),"")</f>
        <v/>
      </c>
      <c r="AJ59" s="45" t="str">
        <f>_xlfn.IFNA(VLOOKUP(U59,'Incoming Material Report'!A:Z,25,FALSE),"")</f>
        <v/>
      </c>
      <c r="AK59" s="45" t="str">
        <f>_xlfn.IFNA(VLOOKUP(U59,'Incoming Material Report'!A:Z,26,FALSE),"")</f>
        <v/>
      </c>
      <c r="AL59" s="45" t="str">
        <f>_xlfn.IFNA(VLOOKUP(U59,'Incoming Material Report'!A:Z,2,FALSE),"")</f>
        <v/>
      </c>
      <c r="AM59" s="45" t="str">
        <f>_xlfn.IFNA(VLOOKUP(U59,'Incoming Material Report'!A:K,11,FALSE)/1000,"")</f>
        <v/>
      </c>
      <c r="AO59" s="45" t="str">
        <f>_xlfn.IFNA(VLOOKUP(U59,'Incoming Material Report'!A:R,18,FALSE)*1000,"")</f>
        <v/>
      </c>
      <c r="AQ59" s="45" t="str">
        <f>_xlfn.IFNA(TEXT(VLOOKUP(U59,'Incoming Material Report'!A:D,4,FALSE),"dd.mm.yy"),"")</f>
        <v/>
      </c>
    </row>
    <row r="60" spans="2:43" x14ac:dyDescent="0.25">
      <c r="B60" s="45" t="str">
        <f t="shared" si="20"/>
        <v/>
      </c>
      <c r="J60" s="45" t="str">
        <f t="shared" si="13"/>
        <v/>
      </c>
      <c r="N60" s="45" t="str">
        <f t="shared" si="14"/>
        <v/>
      </c>
      <c r="W60" s="44"/>
      <c r="X60" s="82" t="str">
        <f t="shared" si="16"/>
        <v/>
      </c>
      <c r="AG60" s="45" t="str">
        <f>_xlfn.IFNA(VLOOKUP(U60,'Incoming Material Report'!A:M,13,FALSE),"")</f>
        <v/>
      </c>
      <c r="AH60" s="45" t="str">
        <f>_xlfn.IFNA(IF(VLOOKUP(U60,'Incoming Material Report'!A:N,14,FALSE)="","",VLOOKUP(U60,'Incoming Material Report'!A:N,14,FALSE)),"")</f>
        <v/>
      </c>
      <c r="AI60" s="45" t="str">
        <f>_xlfn.IFNA(VLOOKUP(U60,'Incoming Material Report'!A:Z,24,FALSE),"")</f>
        <v/>
      </c>
      <c r="AJ60" s="45" t="str">
        <f>_xlfn.IFNA(VLOOKUP(U60,'Incoming Material Report'!A:Z,25,FALSE),"")</f>
        <v/>
      </c>
      <c r="AK60" s="45" t="str">
        <f>_xlfn.IFNA(VLOOKUP(U60,'Incoming Material Report'!A:Z,26,FALSE),"")</f>
        <v/>
      </c>
      <c r="AL60" s="45" t="str">
        <f>_xlfn.IFNA(VLOOKUP(U60,'Incoming Material Report'!A:Z,2,FALSE),"")</f>
        <v/>
      </c>
      <c r="AM60" s="45" t="str">
        <f>_xlfn.IFNA(VLOOKUP(U60,'Incoming Material Report'!A:K,11,FALSE)/1000,"")</f>
        <v/>
      </c>
      <c r="AO60" s="45" t="str">
        <f>_xlfn.IFNA(VLOOKUP(U60,'Incoming Material Report'!A:R,18,FALSE)*1000,"")</f>
        <v/>
      </c>
      <c r="AQ60" s="45" t="str">
        <f>_xlfn.IFNA(TEXT(VLOOKUP(U60,'Incoming Material Report'!A:D,4,FALSE),"dd.mm.yy"),"")</f>
        <v/>
      </c>
    </row>
    <row r="61" spans="2:43" x14ac:dyDescent="0.25">
      <c r="B61" s="45" t="str">
        <f t="shared" si="20"/>
        <v/>
      </c>
      <c r="J61" s="45" t="str">
        <f t="shared" si="13"/>
        <v/>
      </c>
      <c r="N61" s="45" t="str">
        <f t="shared" si="14"/>
        <v/>
      </c>
      <c r="W61" s="44"/>
      <c r="AG61" s="45" t="str">
        <f>_xlfn.IFNA(VLOOKUP(U61,'Incoming Material Report'!A:M,13,FALSE),"")</f>
        <v/>
      </c>
      <c r="AH61" s="45" t="str">
        <f>_xlfn.IFNA(IF(VLOOKUP(U61,'Incoming Material Report'!A:N,14,FALSE)="","",VLOOKUP(U61,'Incoming Material Report'!A:N,14,FALSE)),"")</f>
        <v/>
      </c>
      <c r="AI61" s="45" t="str">
        <f>_xlfn.IFNA(VLOOKUP(U61,'Incoming Material Report'!A:Z,24,FALSE),"")</f>
        <v/>
      </c>
      <c r="AJ61" s="45" t="str">
        <f>_xlfn.IFNA(VLOOKUP(U61,'Incoming Material Report'!A:Z,25,FALSE),"")</f>
        <v/>
      </c>
      <c r="AK61" s="45" t="str">
        <f>_xlfn.IFNA(VLOOKUP(U61,'Incoming Material Report'!A:Z,26,FALSE),"")</f>
        <v/>
      </c>
      <c r="AL61" s="45" t="str">
        <f>_xlfn.IFNA(VLOOKUP(U61,'Incoming Material Report'!A:Z,2,FALSE),"")</f>
        <v/>
      </c>
      <c r="AM61" s="45" t="str">
        <f>_xlfn.IFNA(VLOOKUP(U61,'Incoming Material Report'!A:K,11,FALSE)/1000,"")</f>
        <v/>
      </c>
      <c r="AO61" s="45" t="str">
        <f>_xlfn.IFNA(VLOOKUP(U61,'Incoming Material Report'!A:R,18,FALSE)*1000,"")</f>
        <v/>
      </c>
      <c r="AQ61" s="45" t="str">
        <f>_xlfn.IFNA(TEXT(VLOOKUP(U61,'Incoming Material Report'!A:D,4,FALSE),"dd.mm.yy"),"")</f>
        <v/>
      </c>
    </row>
    <row r="62" spans="2:43" x14ac:dyDescent="0.25">
      <c r="B62" s="45" t="str">
        <f t="shared" si="20"/>
        <v/>
      </c>
      <c r="J62" s="45" t="str">
        <f t="shared" si="13"/>
        <v/>
      </c>
      <c r="N62" s="45" t="str">
        <f t="shared" si="14"/>
        <v/>
      </c>
      <c r="W62" s="44"/>
      <c r="AG62" s="45" t="str">
        <f>_xlfn.IFNA(VLOOKUP(U62,'Incoming Material Report'!A:M,13,FALSE),"")</f>
        <v/>
      </c>
      <c r="AH62" s="45" t="str">
        <f>_xlfn.IFNA(IF(VLOOKUP(U62,'Incoming Material Report'!A:N,14,FALSE)="","",VLOOKUP(U62,'Incoming Material Report'!A:N,14,FALSE)),"")</f>
        <v/>
      </c>
      <c r="AI62" s="45" t="str">
        <f>_xlfn.IFNA(VLOOKUP(U62,'Incoming Material Report'!A:Z,24,FALSE),"")</f>
        <v/>
      </c>
      <c r="AJ62" s="45" t="str">
        <f>_xlfn.IFNA(VLOOKUP(U62,'Incoming Material Report'!A:Z,25,FALSE),"")</f>
        <v/>
      </c>
      <c r="AK62" s="45" t="str">
        <f>_xlfn.IFNA(VLOOKUP(U62,'Incoming Material Report'!A:Z,26,FALSE),"")</f>
        <v/>
      </c>
      <c r="AL62" s="45" t="str">
        <f>_xlfn.IFNA(VLOOKUP(U62,'Incoming Material Report'!A:Z,2,FALSE),"")</f>
        <v/>
      </c>
      <c r="AM62" s="45" t="str">
        <f>_xlfn.IFNA(VLOOKUP(U62,'Incoming Material Report'!A:K,11,FALSE)/1000,"")</f>
        <v/>
      </c>
      <c r="AO62" s="45" t="str">
        <f>_xlfn.IFNA(VLOOKUP(U62,'Incoming Material Report'!A:R,18,FALSE)*1000,"")</f>
        <v/>
      </c>
      <c r="AQ62" s="45" t="str">
        <f>_xlfn.IFNA(TEXT(VLOOKUP(U62,'Incoming Material Report'!A:D,4,FALSE),"dd.mm.yy"),"")</f>
        <v/>
      </c>
    </row>
    <row r="63" spans="2:43" x14ac:dyDescent="0.25">
      <c r="B63" s="45" t="str">
        <f t="shared" si="20"/>
        <v/>
      </c>
      <c r="J63" s="45" t="str">
        <f t="shared" si="13"/>
        <v/>
      </c>
      <c r="N63" s="45" t="str">
        <f t="shared" si="14"/>
        <v/>
      </c>
      <c r="W63" s="44"/>
      <c r="AG63" s="45" t="str">
        <f>_xlfn.IFNA(VLOOKUP(U63,'Incoming Material Report'!A:M,13,FALSE),"")</f>
        <v/>
      </c>
      <c r="AH63" s="45" t="str">
        <f>_xlfn.IFNA(IF(VLOOKUP(U63,'Incoming Material Report'!A:N,14,FALSE)="","",VLOOKUP(U63,'Incoming Material Report'!A:N,14,FALSE)),"")</f>
        <v/>
      </c>
      <c r="AI63" s="45" t="str">
        <f>_xlfn.IFNA(VLOOKUP(U63,'Incoming Material Report'!A:Z,24,FALSE),"")</f>
        <v/>
      </c>
      <c r="AJ63" s="45" t="str">
        <f>_xlfn.IFNA(VLOOKUP(U63,'Incoming Material Report'!A:Z,25,FALSE),"")</f>
        <v/>
      </c>
      <c r="AK63" s="45" t="str">
        <f>_xlfn.IFNA(VLOOKUP(U63,'Incoming Material Report'!A:Z,26,FALSE),"")</f>
        <v/>
      </c>
      <c r="AL63" s="45" t="str">
        <f>_xlfn.IFNA(VLOOKUP(U63,'Incoming Material Report'!A:Z,2,FALSE),"")</f>
        <v/>
      </c>
      <c r="AM63" s="45" t="str">
        <f>_xlfn.IFNA(VLOOKUP(U63,'Incoming Material Report'!A:K,11,FALSE)/1000,"")</f>
        <v/>
      </c>
      <c r="AO63" s="45" t="str">
        <f>_xlfn.IFNA(VLOOKUP(U63,'Incoming Material Report'!A:R,18,FALSE)*1000,"")</f>
        <v/>
      </c>
      <c r="AQ63" s="45" t="str">
        <f>_xlfn.IFNA(TEXT(VLOOKUP(U63,'Incoming Material Report'!A:D,4,FALSE),"dd.mm.yy"),"")</f>
        <v/>
      </c>
    </row>
    <row r="64" spans="2:43" x14ac:dyDescent="0.25">
      <c r="B64" s="45" t="str">
        <f t="shared" si="20"/>
        <v/>
      </c>
      <c r="J64" s="45" t="str">
        <f t="shared" si="13"/>
        <v/>
      </c>
      <c r="N64" s="45" t="str">
        <f t="shared" si="14"/>
        <v/>
      </c>
      <c r="W64" s="44"/>
      <c r="AG64" s="45" t="str">
        <f>_xlfn.IFNA(VLOOKUP(U64,'Incoming Material Report'!A:M,13,FALSE),"")</f>
        <v/>
      </c>
      <c r="AH64" s="45" t="str">
        <f>_xlfn.IFNA(IF(VLOOKUP(U64,'Incoming Material Report'!A:N,14,FALSE)="","",VLOOKUP(U64,'Incoming Material Report'!A:N,14,FALSE)),"")</f>
        <v/>
      </c>
      <c r="AI64" s="45" t="str">
        <f>_xlfn.IFNA(VLOOKUP(U64,'Incoming Material Report'!A:Z,24,FALSE),"")</f>
        <v/>
      </c>
      <c r="AJ64" s="45" t="str">
        <f>_xlfn.IFNA(VLOOKUP(U64,'Incoming Material Report'!A:Z,25,FALSE),"")</f>
        <v/>
      </c>
      <c r="AK64" s="45" t="str">
        <f>_xlfn.IFNA(VLOOKUP(U64,'Incoming Material Report'!A:Z,26,FALSE),"")</f>
        <v/>
      </c>
      <c r="AL64" s="45" t="str">
        <f>_xlfn.IFNA(VLOOKUP(U64,'Incoming Material Report'!A:Z,2,FALSE),"")</f>
        <v/>
      </c>
      <c r="AM64" s="45" t="str">
        <f>_xlfn.IFNA(VLOOKUP(U64,'Incoming Material Report'!A:K,11,FALSE)/1000,"")</f>
        <v/>
      </c>
      <c r="AO64" s="45" t="str">
        <f>_xlfn.IFNA(VLOOKUP(U64,'Incoming Material Report'!A:R,18,FALSE)*1000,"")</f>
        <v/>
      </c>
      <c r="AQ64" s="45" t="str">
        <f>_xlfn.IFNA(TEXT(VLOOKUP(U64,'Incoming Material Report'!A:D,4,FALSE),"dd.mm.yy"),"")</f>
        <v/>
      </c>
    </row>
    <row r="65" spans="10:43" x14ac:dyDescent="0.25">
      <c r="J65" s="45" t="str">
        <f t="shared" si="13"/>
        <v/>
      </c>
      <c r="W65" s="44"/>
      <c r="AG65" s="45" t="str">
        <f>_xlfn.IFNA(VLOOKUP(U65,'Incoming Material Report'!A:M,13,FALSE),"")</f>
        <v/>
      </c>
      <c r="AH65" s="45" t="str">
        <f>_xlfn.IFNA(IF(VLOOKUP(U65,'Incoming Material Report'!A:N,14,FALSE)="","",VLOOKUP(U65,'Incoming Material Report'!A:N,14,FALSE)),"")</f>
        <v/>
      </c>
      <c r="AI65" s="45" t="str">
        <f>_xlfn.IFNA(VLOOKUP(U65,'Incoming Material Report'!A:Z,24,FALSE),"")</f>
        <v/>
      </c>
      <c r="AJ65" s="45" t="str">
        <f>_xlfn.IFNA(VLOOKUP(U65,'Incoming Material Report'!A:Z,25,FALSE),"")</f>
        <v/>
      </c>
      <c r="AK65" s="45" t="str">
        <f>_xlfn.IFNA(VLOOKUP(U65,'Incoming Material Report'!A:Z,26,FALSE),"")</f>
        <v/>
      </c>
      <c r="AL65" s="45" t="str">
        <f>_xlfn.IFNA(VLOOKUP(U65,'Incoming Material Report'!A:Z,2,FALSE),"")</f>
        <v/>
      </c>
      <c r="AM65" s="45" t="str">
        <f>_xlfn.IFNA(VLOOKUP(U65,'Incoming Material Report'!A:K,11,FALSE)/1000,"")</f>
        <v/>
      </c>
      <c r="AO65" s="45" t="str">
        <f>_xlfn.IFNA(VLOOKUP(U65,'Incoming Material Report'!A:R,18,FALSE)*1000,"")</f>
        <v/>
      </c>
      <c r="AQ65" s="45" t="str">
        <f>_xlfn.IFNA(TEXT(VLOOKUP(U65,'Incoming Material Report'!A:D,4,FALSE),"dd.mm.yy"),"")</f>
        <v/>
      </c>
    </row>
    <row r="66" spans="10:43" x14ac:dyDescent="0.25">
      <c r="J66" s="45" t="str">
        <f t="shared" si="13"/>
        <v/>
      </c>
      <c r="W66" s="44"/>
      <c r="AG66" s="45" t="str">
        <f>_xlfn.IFNA(VLOOKUP(U66,'Incoming Material Report'!A:M,13,FALSE),"")</f>
        <v/>
      </c>
      <c r="AH66" s="45" t="str">
        <f>_xlfn.IFNA(IF(VLOOKUP(U66,'Incoming Material Report'!A:N,14,FALSE)="","",VLOOKUP(U66,'Incoming Material Report'!A:N,14,FALSE)),"")</f>
        <v/>
      </c>
      <c r="AI66" s="45" t="str">
        <f>_xlfn.IFNA(VLOOKUP(U66,'Incoming Material Report'!A:Z,24,FALSE),"")</f>
        <v/>
      </c>
      <c r="AJ66" s="45" t="str">
        <f>_xlfn.IFNA(VLOOKUP(U66,'Incoming Material Report'!A:Z,25,FALSE),"")</f>
        <v/>
      </c>
      <c r="AK66" s="45" t="str">
        <f>_xlfn.IFNA(VLOOKUP(U66,'Incoming Material Report'!A:Z,26,FALSE),"")</f>
        <v/>
      </c>
      <c r="AL66" s="45" t="str">
        <f>_xlfn.IFNA(VLOOKUP(U66,'Incoming Material Report'!A:Z,2,FALSE),"")</f>
        <v/>
      </c>
      <c r="AM66" s="45" t="str">
        <f>_xlfn.IFNA(VLOOKUP(U66,'Incoming Material Report'!A:K,11,FALSE)/1000,"")</f>
        <v/>
      </c>
      <c r="AO66" s="45" t="str">
        <f>_xlfn.IFNA(VLOOKUP(U66,'Incoming Material Report'!A:R,18,FALSE)*1000,"")</f>
        <v/>
      </c>
      <c r="AQ66" s="45" t="str">
        <f>_xlfn.IFNA(TEXT(VLOOKUP(U66,'Incoming Material Report'!A:D,4,FALSE),"dd.mm.yy"),"")</f>
        <v/>
      </c>
    </row>
    <row r="67" spans="10:43" x14ac:dyDescent="0.25">
      <c r="J67" s="45" t="str">
        <f t="shared" ref="J67:J68" si="21">IF(I67="","",H67*I67)</f>
        <v/>
      </c>
      <c r="W67" s="44"/>
      <c r="AG67" s="45" t="str">
        <f>_xlfn.IFNA(VLOOKUP(U67,'Incoming Material Report'!A:M,13,FALSE),"")</f>
        <v/>
      </c>
      <c r="AH67" s="45" t="str">
        <f>_xlfn.IFNA(IF(VLOOKUP(U67,'Incoming Material Report'!A:N,14,FALSE)="","",VLOOKUP(U67,'Incoming Material Report'!A:N,14,FALSE)),"")</f>
        <v/>
      </c>
      <c r="AI67" s="45" t="str">
        <f>_xlfn.IFNA(VLOOKUP(U67,'Incoming Material Report'!A:Z,24,FALSE),"")</f>
        <v/>
      </c>
      <c r="AJ67" s="45" t="str">
        <f>_xlfn.IFNA(VLOOKUP(U67,'Incoming Material Report'!A:Z,25,FALSE),"")</f>
        <v/>
      </c>
      <c r="AK67" s="45" t="str">
        <f>_xlfn.IFNA(VLOOKUP(U67,'Incoming Material Report'!A:Z,26,FALSE),"")</f>
        <v/>
      </c>
      <c r="AL67" s="45" t="str">
        <f>_xlfn.IFNA(VLOOKUP(U67,'Incoming Material Report'!A:Z,2,FALSE),"")</f>
        <v/>
      </c>
      <c r="AM67" s="45" t="str">
        <f>_xlfn.IFNA(VLOOKUP(U67,'Incoming Material Report'!A:K,11,FALSE)/1000,"")</f>
        <v/>
      </c>
      <c r="AO67" s="45" t="str">
        <f>_xlfn.IFNA(VLOOKUP(U67,'Incoming Material Report'!A:R,18,FALSE)*1000,"")</f>
        <v/>
      </c>
      <c r="AQ67" s="45" t="str">
        <f>_xlfn.IFNA(TEXT(VLOOKUP(U67,'Incoming Material Report'!A:D,4,FALSE),"dd.mm.yy"),"")</f>
        <v/>
      </c>
    </row>
    <row r="68" spans="10:43" x14ac:dyDescent="0.25">
      <c r="J68" s="45" t="str">
        <f t="shared" si="21"/>
        <v/>
      </c>
      <c r="W68" s="44"/>
      <c r="AG68" s="45" t="str">
        <f>_xlfn.IFNA(VLOOKUP(U68,'Incoming Material Report'!A:M,13,FALSE),"")</f>
        <v/>
      </c>
      <c r="AH68" s="45" t="str">
        <f>_xlfn.IFNA(IF(VLOOKUP(U68,'Incoming Material Report'!A:N,14,FALSE)="","",VLOOKUP(U68,'Incoming Material Report'!A:N,14,FALSE)),"")</f>
        <v/>
      </c>
      <c r="AI68" s="45" t="str">
        <f>_xlfn.IFNA(VLOOKUP(U68,'Incoming Material Report'!A:Z,24,FALSE),"")</f>
        <v/>
      </c>
      <c r="AJ68" s="45" t="str">
        <f>_xlfn.IFNA(VLOOKUP(U68,'Incoming Material Report'!A:Z,25,FALSE),"")</f>
        <v/>
      </c>
      <c r="AK68" s="45" t="str">
        <f>_xlfn.IFNA(VLOOKUP(U68,'Incoming Material Report'!A:Z,26,FALSE),"")</f>
        <v/>
      </c>
      <c r="AL68" s="45" t="str">
        <f>_xlfn.IFNA(VLOOKUP(U68,'Incoming Material Report'!A:Z,2,FALSE),"")</f>
        <v/>
      </c>
      <c r="AM68" s="45" t="str">
        <f>_xlfn.IFNA(VLOOKUP(U68,'Incoming Material Report'!A:K,11,FALSE)/1000,"")</f>
        <v/>
      </c>
      <c r="AO68" s="45" t="str">
        <f>_xlfn.IFNA(VLOOKUP(U68,'Incoming Material Report'!A:R,18,FALSE)*1000,"")</f>
        <v/>
      </c>
      <c r="AQ68" s="45" t="str">
        <f>_xlfn.IFNA(TEXT(VLOOKUP(U68,'Incoming Material Report'!A:D,4,FALSE),"dd.mm.yy"),"")</f>
        <v/>
      </c>
    </row>
    <row r="69" spans="10:43" x14ac:dyDescent="0.25">
      <c r="W69" s="44"/>
      <c r="AG69" s="45" t="str">
        <f>_xlfn.IFNA(VLOOKUP(U69,'Incoming Material Report'!A:M,13,FALSE),"")</f>
        <v/>
      </c>
      <c r="AH69" s="45" t="str">
        <f>_xlfn.IFNA(IF(VLOOKUP(U69,'Incoming Material Report'!A:N,14,FALSE)="","",VLOOKUP(U69,'Incoming Material Report'!A:N,14,FALSE)),"")</f>
        <v/>
      </c>
      <c r="AI69" s="45" t="str">
        <f>_xlfn.IFNA(VLOOKUP(U69,'Incoming Material Report'!A:Z,24,FALSE),"")</f>
        <v/>
      </c>
      <c r="AJ69" s="45" t="str">
        <f>_xlfn.IFNA(VLOOKUP(U69,'Incoming Material Report'!A:Z,25,FALSE),"")</f>
        <v/>
      </c>
      <c r="AK69" s="45" t="str">
        <f>_xlfn.IFNA(VLOOKUP(U69,'Incoming Material Report'!A:Z,26,FALSE),"")</f>
        <v/>
      </c>
      <c r="AL69" s="45" t="str">
        <f>_xlfn.IFNA(VLOOKUP(U69,'Incoming Material Report'!A:Z,2,FALSE),"")</f>
        <v/>
      </c>
      <c r="AM69" s="45" t="str">
        <f>_xlfn.IFNA(VLOOKUP(U69,'Incoming Material Report'!A:K,11,FALSE)/1000,"")</f>
        <v/>
      </c>
      <c r="AO69" s="45" t="str">
        <f>_xlfn.IFNA(VLOOKUP(U69,'Incoming Material Report'!A:R,18,FALSE)*1000,"")</f>
        <v/>
      </c>
      <c r="AQ69" s="45" t="str">
        <f>_xlfn.IFNA(TEXT(VLOOKUP(U69,'Incoming Material Report'!A:D,4,FALSE),"dd.mm.yy"),"")</f>
        <v/>
      </c>
    </row>
    <row r="70" spans="10:43" x14ac:dyDescent="0.25">
      <c r="W70" s="44"/>
      <c r="AG70" s="45" t="str">
        <f>_xlfn.IFNA(VLOOKUP(U70,'Incoming Material Report'!A:M,13,FALSE),"")</f>
        <v/>
      </c>
      <c r="AH70" s="45" t="str">
        <f>_xlfn.IFNA(IF(VLOOKUP(U70,'Incoming Material Report'!A:N,14,FALSE)="","",VLOOKUP(U70,'Incoming Material Report'!A:N,14,FALSE)),"")</f>
        <v/>
      </c>
      <c r="AI70" s="45" t="str">
        <f>_xlfn.IFNA(VLOOKUP(U70,'Incoming Material Report'!A:Z,24,FALSE),"")</f>
        <v/>
      </c>
      <c r="AJ70" s="45" t="str">
        <f>_xlfn.IFNA(VLOOKUP(U70,'Incoming Material Report'!A:Z,25,FALSE),"")</f>
        <v/>
      </c>
      <c r="AK70" s="45" t="str">
        <f>_xlfn.IFNA(VLOOKUP(U70,'Incoming Material Report'!A:Z,26,FALSE),"")</f>
        <v/>
      </c>
      <c r="AL70" s="45" t="str">
        <f>_xlfn.IFNA(VLOOKUP(U70,'Incoming Material Report'!A:Z,2,FALSE),"")</f>
        <v/>
      </c>
      <c r="AM70" s="45" t="str">
        <f>_xlfn.IFNA(VLOOKUP(U70,'Incoming Material Report'!A:K,11,FALSE)/1000,"")</f>
        <v/>
      </c>
      <c r="AO70" s="45" t="str">
        <f>_xlfn.IFNA(VLOOKUP(U70,'Incoming Material Report'!A:R,18,FALSE)*1000,"")</f>
        <v/>
      </c>
      <c r="AQ70" s="45" t="str">
        <f>_xlfn.IFNA(TEXT(VLOOKUP(U70,'Incoming Material Report'!A:D,4,FALSE),"dd.mm.yy"),"")</f>
        <v/>
      </c>
    </row>
    <row r="71" spans="10:43" x14ac:dyDescent="0.25">
      <c r="W71" s="44"/>
      <c r="AG71" s="45" t="str">
        <f>_xlfn.IFNA(VLOOKUP(U71,'Incoming Material Report'!A:M,13,FALSE),"")</f>
        <v/>
      </c>
      <c r="AH71" s="45" t="str">
        <f>_xlfn.IFNA(IF(VLOOKUP(U71,'Incoming Material Report'!A:N,14,FALSE)="","",VLOOKUP(U71,'Incoming Material Report'!A:N,14,FALSE)),"")</f>
        <v/>
      </c>
      <c r="AI71" s="45" t="str">
        <f>_xlfn.IFNA(VLOOKUP(U71,'Incoming Material Report'!A:Z,24,FALSE),"")</f>
        <v/>
      </c>
      <c r="AJ71" s="45" t="str">
        <f>_xlfn.IFNA(VLOOKUP(U71,'Incoming Material Report'!A:Z,25,FALSE),"")</f>
        <v/>
      </c>
      <c r="AK71" s="45" t="str">
        <f>_xlfn.IFNA(VLOOKUP(U71,'Incoming Material Report'!A:Z,26,FALSE),"")</f>
        <v/>
      </c>
      <c r="AL71" s="45" t="str">
        <f>_xlfn.IFNA(VLOOKUP(U71,'Incoming Material Report'!A:Z,2,FALSE),"")</f>
        <v/>
      </c>
      <c r="AM71" s="45" t="str">
        <f>_xlfn.IFNA(VLOOKUP(U71,'Incoming Material Report'!A:K,11,FALSE)/1000,"")</f>
        <v/>
      </c>
      <c r="AO71" s="45" t="str">
        <f>_xlfn.IFNA(VLOOKUP(U71,'Incoming Material Report'!A:R,18,FALSE)*1000,"")</f>
        <v/>
      </c>
      <c r="AQ71" s="45" t="str">
        <f>_xlfn.IFNA(TEXT(VLOOKUP(U71,'Incoming Material Report'!A:D,4,FALSE),"dd.mm.yy"),"")</f>
        <v/>
      </c>
    </row>
    <row r="72" spans="10:43" x14ac:dyDescent="0.25">
      <c r="W72" s="44"/>
      <c r="AG72" s="45" t="str">
        <f>_xlfn.IFNA(VLOOKUP(U72,'Incoming Material Report'!A:M,13,FALSE),"")</f>
        <v/>
      </c>
      <c r="AH72" s="45" t="str">
        <f>_xlfn.IFNA(IF(VLOOKUP(U72,'Incoming Material Report'!A:N,14,FALSE)="","",VLOOKUP(U72,'Incoming Material Report'!A:N,14,FALSE)),"")</f>
        <v/>
      </c>
      <c r="AI72" s="45" t="str">
        <f>_xlfn.IFNA(VLOOKUP(U72,'Incoming Material Report'!A:Z,24,FALSE),"")</f>
        <v/>
      </c>
      <c r="AJ72" s="45" t="str">
        <f>_xlfn.IFNA(VLOOKUP(U72,'Incoming Material Report'!A:Z,25,FALSE),"")</f>
        <v/>
      </c>
      <c r="AK72" s="45" t="str">
        <f>_xlfn.IFNA(VLOOKUP(U72,'Incoming Material Report'!A:Z,26,FALSE),"")</f>
        <v/>
      </c>
      <c r="AL72" s="45" t="str">
        <f>_xlfn.IFNA(VLOOKUP(U72,'Incoming Material Report'!A:Z,2,FALSE),"")</f>
        <v/>
      </c>
      <c r="AM72" s="45" t="str">
        <f>_xlfn.IFNA(VLOOKUP(U72,'Incoming Material Report'!A:K,11,FALSE)/1000,"")</f>
        <v/>
      </c>
      <c r="AO72" s="45" t="str">
        <f>_xlfn.IFNA(VLOOKUP(U72,'Incoming Material Report'!A:R,18,FALSE)*1000,"")</f>
        <v/>
      </c>
      <c r="AQ72" s="45" t="str">
        <f>_xlfn.IFNA(TEXT(VLOOKUP(U72,'Incoming Material Report'!A:D,4,FALSE),"dd.mm.yy"),"")</f>
        <v/>
      </c>
    </row>
    <row r="73" spans="10:43" x14ac:dyDescent="0.25">
      <c r="W73" s="44"/>
      <c r="AG73" s="45" t="str">
        <f>_xlfn.IFNA(VLOOKUP(U73,'Incoming Material Report'!A:M,13,FALSE),"")</f>
        <v/>
      </c>
      <c r="AH73" s="45" t="str">
        <f>_xlfn.IFNA(IF(VLOOKUP(U73,'Incoming Material Report'!A:N,14,FALSE)="","",VLOOKUP(U73,'Incoming Material Report'!A:N,14,FALSE)),"")</f>
        <v/>
      </c>
      <c r="AI73" s="45" t="str">
        <f>_xlfn.IFNA(VLOOKUP(U73,'Incoming Material Report'!A:Z,24,FALSE),"")</f>
        <v/>
      </c>
      <c r="AJ73" s="45" t="str">
        <f>_xlfn.IFNA(VLOOKUP(U73,'Incoming Material Report'!A:Z,25,FALSE),"")</f>
        <v/>
      </c>
      <c r="AK73" s="45" t="str">
        <f>_xlfn.IFNA(VLOOKUP(U73,'Incoming Material Report'!A:Z,26,FALSE),"")</f>
        <v/>
      </c>
      <c r="AL73" s="45" t="str">
        <f>_xlfn.IFNA(VLOOKUP(U73,'Incoming Material Report'!A:Z,2,FALSE),"")</f>
        <v/>
      </c>
      <c r="AM73" s="45" t="str">
        <f>_xlfn.IFNA(VLOOKUP(U73,'Incoming Material Report'!A:K,11,FALSE)/1000,"")</f>
        <v/>
      </c>
      <c r="AO73" s="45" t="str">
        <f>_xlfn.IFNA(VLOOKUP(U73,'Incoming Material Report'!A:R,18,FALSE)*1000,"")</f>
        <v/>
      </c>
      <c r="AQ73" s="45" t="str">
        <f>_xlfn.IFNA(TEXT(VLOOKUP(U73,'Incoming Material Report'!A:D,4,FALSE),"dd.mm.yy"),"")</f>
        <v/>
      </c>
    </row>
    <row r="74" spans="10:43" x14ac:dyDescent="0.25">
      <c r="W74" s="44"/>
      <c r="AG74" s="45" t="str">
        <f>_xlfn.IFNA(VLOOKUP(U74,'Incoming Material Report'!A:M,13,FALSE),"")</f>
        <v/>
      </c>
      <c r="AH74" s="45" t="str">
        <f>_xlfn.IFNA(IF(VLOOKUP(U74,'Incoming Material Report'!A:N,14,FALSE)="","",VLOOKUP(U74,'Incoming Material Report'!A:N,14,FALSE)),"")</f>
        <v/>
      </c>
      <c r="AI74" s="45" t="str">
        <f>_xlfn.IFNA(VLOOKUP(U74,'Incoming Material Report'!A:Z,24,FALSE),"")</f>
        <v/>
      </c>
      <c r="AJ74" s="45" t="str">
        <f>_xlfn.IFNA(VLOOKUP(U74,'Incoming Material Report'!A:Z,25,FALSE),"")</f>
        <v/>
      </c>
      <c r="AK74" s="45" t="str">
        <f>_xlfn.IFNA(VLOOKUP(U74,'Incoming Material Report'!A:Z,26,FALSE),"")</f>
        <v/>
      </c>
      <c r="AL74" s="45" t="str">
        <f>_xlfn.IFNA(VLOOKUP(U74,'Incoming Material Report'!A:Z,2,FALSE),"")</f>
        <v/>
      </c>
      <c r="AM74" s="45" t="str">
        <f>_xlfn.IFNA(VLOOKUP(U74,'Incoming Material Report'!A:K,11,FALSE)/1000,"")</f>
        <v/>
      </c>
      <c r="AO74" s="45" t="str">
        <f>_xlfn.IFNA(VLOOKUP(U74,'Incoming Material Report'!A:R,18,FALSE)*1000,"")</f>
        <v/>
      </c>
      <c r="AQ74" s="45" t="str">
        <f>_xlfn.IFNA(TEXT(VLOOKUP(U74,'Incoming Material Report'!A:D,4,FALSE),"dd.mm.yy"),"")</f>
        <v/>
      </c>
    </row>
    <row r="75" spans="10:43" x14ac:dyDescent="0.25">
      <c r="W75" s="44"/>
      <c r="AG75" s="45" t="str">
        <f>_xlfn.IFNA(VLOOKUP(U75,'Incoming Material Report'!A:M,13,FALSE),"")</f>
        <v/>
      </c>
      <c r="AH75" s="45" t="str">
        <f>_xlfn.IFNA(IF(VLOOKUP(U75,'Incoming Material Report'!A:N,14,FALSE)="","",VLOOKUP(U75,'Incoming Material Report'!A:N,14,FALSE)),"")</f>
        <v/>
      </c>
      <c r="AI75" s="45" t="str">
        <f>_xlfn.IFNA(VLOOKUP(U75,'Incoming Material Report'!A:Z,24,FALSE),"")</f>
        <v/>
      </c>
      <c r="AJ75" s="45" t="str">
        <f>_xlfn.IFNA(VLOOKUP(U75,'Incoming Material Report'!A:Z,25,FALSE),"")</f>
        <v/>
      </c>
      <c r="AK75" s="45" t="str">
        <f>_xlfn.IFNA(VLOOKUP(U75,'Incoming Material Report'!A:Z,26,FALSE),"")</f>
        <v/>
      </c>
      <c r="AL75" s="45" t="str">
        <f>_xlfn.IFNA(VLOOKUP(U75,'Incoming Material Report'!A:Z,2,FALSE),"")</f>
        <v/>
      </c>
      <c r="AM75" s="45" t="str">
        <f>_xlfn.IFNA(VLOOKUP(U75,'Incoming Material Report'!A:K,11,FALSE)/1000,"")</f>
        <v/>
      </c>
      <c r="AO75" s="45" t="str">
        <f>_xlfn.IFNA(VLOOKUP(U75,'Incoming Material Report'!A:R,18,FALSE)*1000,"")</f>
        <v/>
      </c>
      <c r="AQ75" s="45" t="str">
        <f>_xlfn.IFNA(TEXT(VLOOKUP(U75,'Incoming Material Report'!A:D,4,FALSE),"dd.mm.yy"),"")</f>
        <v/>
      </c>
    </row>
    <row r="76" spans="10:43" x14ac:dyDescent="0.25">
      <c r="W76" s="44"/>
      <c r="AG76" s="45" t="str">
        <f>_xlfn.IFNA(VLOOKUP(U76,'Incoming Material Report'!A:M,13,FALSE),"")</f>
        <v/>
      </c>
      <c r="AH76" s="45" t="str">
        <f>_xlfn.IFNA(IF(VLOOKUP(U76,'Incoming Material Report'!A:N,14,FALSE)="","",VLOOKUP(U76,'Incoming Material Report'!A:N,14,FALSE)),"")</f>
        <v/>
      </c>
      <c r="AI76" s="45" t="str">
        <f>_xlfn.IFNA(VLOOKUP(U76,'Incoming Material Report'!A:Z,24,FALSE),"")</f>
        <v/>
      </c>
      <c r="AJ76" s="45" t="str">
        <f>_xlfn.IFNA(VLOOKUP(U76,'Incoming Material Report'!A:Z,25,FALSE),"")</f>
        <v/>
      </c>
      <c r="AK76" s="45" t="str">
        <f>_xlfn.IFNA(VLOOKUP(U76,'Incoming Material Report'!A:Z,26,FALSE),"")</f>
        <v/>
      </c>
      <c r="AL76" s="45" t="str">
        <f>_xlfn.IFNA(VLOOKUP(U76,'Incoming Material Report'!A:Z,2,FALSE),"")</f>
        <v/>
      </c>
      <c r="AM76" s="45" t="str">
        <f>_xlfn.IFNA(VLOOKUP(U76,'Incoming Material Report'!A:K,11,FALSE)/1000,"")</f>
        <v/>
      </c>
      <c r="AO76" s="45" t="str">
        <f>_xlfn.IFNA(VLOOKUP(U76,'Incoming Material Report'!A:R,18,FALSE)*1000,"")</f>
        <v/>
      </c>
      <c r="AQ76" s="45" t="str">
        <f>_xlfn.IFNA(TEXT(VLOOKUP(U76,'Incoming Material Report'!A:D,4,FALSE),"dd.mm.yy"),"")</f>
        <v/>
      </c>
    </row>
    <row r="77" spans="10:43" x14ac:dyDescent="0.25">
      <c r="W77" s="44"/>
      <c r="AG77" s="45" t="str">
        <f>_xlfn.IFNA(VLOOKUP(U77,'Incoming Material Report'!A:M,13,FALSE),"")</f>
        <v/>
      </c>
      <c r="AH77" s="45" t="str">
        <f>_xlfn.IFNA(IF(VLOOKUP(U77,'Incoming Material Report'!A:N,14,FALSE)="","",VLOOKUP(U77,'Incoming Material Report'!A:N,14,FALSE)),"")</f>
        <v/>
      </c>
      <c r="AI77" s="45" t="str">
        <f>_xlfn.IFNA(VLOOKUP(U77,'Incoming Material Report'!A:Z,24,FALSE),"")</f>
        <v/>
      </c>
      <c r="AJ77" s="45" t="str">
        <f>_xlfn.IFNA(VLOOKUP(U77,'Incoming Material Report'!A:Z,25,FALSE),"")</f>
        <v/>
      </c>
      <c r="AK77" s="45" t="str">
        <f>_xlfn.IFNA(VLOOKUP(U77,'Incoming Material Report'!A:Z,26,FALSE),"")</f>
        <v/>
      </c>
      <c r="AL77" s="45" t="str">
        <f>_xlfn.IFNA(VLOOKUP(U77,'Incoming Material Report'!A:Z,2,FALSE),"")</f>
        <v/>
      </c>
      <c r="AM77" s="45" t="str">
        <f>_xlfn.IFNA(VLOOKUP(U77,'Incoming Material Report'!A:K,11,FALSE)/1000,"")</f>
        <v/>
      </c>
      <c r="AO77" s="45" t="str">
        <f>_xlfn.IFNA(VLOOKUP(U77,'Incoming Material Report'!A:R,18,FALSE)*1000,"")</f>
        <v/>
      </c>
      <c r="AQ77" s="45" t="str">
        <f>_xlfn.IFNA(TEXT(VLOOKUP(U77,'Incoming Material Report'!A:D,4,FALSE),"dd.mm.yy"),"")</f>
        <v/>
      </c>
    </row>
    <row r="78" spans="10:43" x14ac:dyDescent="0.25">
      <c r="W78" s="44"/>
      <c r="AG78" s="45" t="str">
        <f>_xlfn.IFNA(VLOOKUP(U78,'Incoming Material Report'!A:M,13,FALSE),"")</f>
        <v/>
      </c>
      <c r="AH78" s="45" t="str">
        <f>_xlfn.IFNA(IF(VLOOKUP(U78,'Incoming Material Report'!A:N,14,FALSE)="","",VLOOKUP(U78,'Incoming Material Report'!A:N,14,FALSE)),"")</f>
        <v/>
      </c>
      <c r="AI78" s="45" t="str">
        <f>_xlfn.IFNA(VLOOKUP(U78,'Incoming Material Report'!A:Z,24,FALSE),"")</f>
        <v/>
      </c>
      <c r="AJ78" s="45" t="str">
        <f>_xlfn.IFNA(VLOOKUP(U78,'Incoming Material Report'!A:Z,25,FALSE),"")</f>
        <v/>
      </c>
      <c r="AK78" s="45" t="str">
        <f>_xlfn.IFNA(VLOOKUP(U78,'Incoming Material Report'!A:Z,26,FALSE),"")</f>
        <v/>
      </c>
      <c r="AL78" s="45" t="str">
        <f>_xlfn.IFNA(VLOOKUP(U78,'Incoming Material Report'!A:Z,2,FALSE),"")</f>
        <v/>
      </c>
      <c r="AM78" s="45" t="str">
        <f>_xlfn.IFNA(VLOOKUP(U78,'Incoming Material Report'!A:K,11,FALSE)/1000,"")</f>
        <v/>
      </c>
      <c r="AO78" s="45" t="str">
        <f>_xlfn.IFNA(VLOOKUP(U78,'Incoming Material Report'!A:R,18,FALSE)*1000,"")</f>
        <v/>
      </c>
      <c r="AQ78" s="45" t="str">
        <f>_xlfn.IFNA(TEXT(VLOOKUP(U78,'Incoming Material Report'!A:D,4,FALSE),"dd.mm.yy"),"")</f>
        <v/>
      </c>
    </row>
    <row r="79" spans="10:43" x14ac:dyDescent="0.25">
      <c r="W79" s="44"/>
      <c r="AG79" s="45" t="str">
        <f>_xlfn.IFNA(VLOOKUP(U79,'Incoming Material Report'!A:M,13,FALSE),"")</f>
        <v/>
      </c>
      <c r="AH79" s="45" t="str">
        <f>_xlfn.IFNA(IF(VLOOKUP(U79,'Incoming Material Report'!A:N,14,FALSE)="","",VLOOKUP(U79,'Incoming Material Report'!A:N,14,FALSE)),"")</f>
        <v/>
      </c>
      <c r="AI79" s="45" t="str">
        <f>_xlfn.IFNA(VLOOKUP(U79,'Incoming Material Report'!A:Z,24,FALSE),"")</f>
        <v/>
      </c>
      <c r="AJ79" s="45" t="str">
        <f>_xlfn.IFNA(VLOOKUP(U79,'Incoming Material Report'!A:Z,25,FALSE),"")</f>
        <v/>
      </c>
      <c r="AK79" s="45" t="str">
        <f>_xlfn.IFNA(VLOOKUP(U79,'Incoming Material Report'!A:Z,26,FALSE),"")</f>
        <v/>
      </c>
      <c r="AL79" s="45" t="str">
        <f>_xlfn.IFNA(VLOOKUP(U79,'Incoming Material Report'!A:Z,2,FALSE),"")</f>
        <v/>
      </c>
      <c r="AM79" s="45" t="str">
        <f>_xlfn.IFNA(VLOOKUP(U79,'Incoming Material Report'!A:K,11,FALSE)/1000,"")</f>
        <v/>
      </c>
      <c r="AO79" s="45" t="str">
        <f>_xlfn.IFNA(VLOOKUP(U79,'Incoming Material Report'!A:R,18,FALSE)*1000,"")</f>
        <v/>
      </c>
      <c r="AQ79" s="45" t="str">
        <f>_xlfn.IFNA(TEXT(VLOOKUP(U79,'Incoming Material Report'!A:D,4,FALSE),"dd.mm.yy"),"")</f>
        <v/>
      </c>
    </row>
    <row r="80" spans="10:43" x14ac:dyDescent="0.25">
      <c r="W80" s="44"/>
      <c r="AG80" s="45" t="str">
        <f>_xlfn.IFNA(VLOOKUP(U80,'Incoming Material Report'!A:M,13,FALSE),"")</f>
        <v/>
      </c>
      <c r="AH80" s="45" t="str">
        <f>_xlfn.IFNA(IF(VLOOKUP(U80,'Incoming Material Report'!A:N,14,FALSE)="","",VLOOKUP(U80,'Incoming Material Report'!A:N,14,FALSE)),"")</f>
        <v/>
      </c>
      <c r="AI80" s="45" t="str">
        <f>_xlfn.IFNA(VLOOKUP(U80,'Incoming Material Report'!A:Z,24,FALSE),"")</f>
        <v/>
      </c>
      <c r="AJ80" s="45" t="str">
        <f>_xlfn.IFNA(VLOOKUP(U80,'Incoming Material Report'!A:Z,25,FALSE),"")</f>
        <v/>
      </c>
      <c r="AK80" s="45" t="str">
        <f>_xlfn.IFNA(VLOOKUP(U80,'Incoming Material Report'!A:Z,26,FALSE),"")</f>
        <v/>
      </c>
      <c r="AL80" s="45" t="str">
        <f>_xlfn.IFNA(VLOOKUP(U80,'Incoming Material Report'!A:Z,2,FALSE),"")</f>
        <v/>
      </c>
      <c r="AM80" s="45" t="str">
        <f>_xlfn.IFNA(VLOOKUP(U80,'Incoming Material Report'!A:K,11,FALSE)/1000,"")</f>
        <v/>
      </c>
      <c r="AO80" s="45" t="str">
        <f>_xlfn.IFNA(VLOOKUP(U80,'Incoming Material Report'!A:R,18,FALSE)*1000,"")</f>
        <v/>
      </c>
      <c r="AQ80" s="45" t="str">
        <f>_xlfn.IFNA(TEXT(VLOOKUP(U80,'Incoming Material Report'!A:D,4,FALSE),"dd.mm.yy"),"")</f>
        <v/>
      </c>
    </row>
    <row r="81" spans="23:43" x14ac:dyDescent="0.25">
      <c r="W81" s="44"/>
      <c r="AG81" s="45" t="str">
        <f>_xlfn.IFNA(VLOOKUP(U81,'Incoming Material Report'!A:M,13,FALSE),"")</f>
        <v/>
      </c>
      <c r="AH81" s="45" t="str">
        <f>_xlfn.IFNA(IF(VLOOKUP(U81,'Incoming Material Report'!A:N,14,FALSE)="","",VLOOKUP(U81,'Incoming Material Report'!A:N,14,FALSE)),"")</f>
        <v/>
      </c>
      <c r="AI81" s="45" t="str">
        <f>_xlfn.IFNA(VLOOKUP(U81,'Incoming Material Report'!A:Z,24,FALSE),"")</f>
        <v/>
      </c>
      <c r="AJ81" s="45" t="str">
        <f>_xlfn.IFNA(VLOOKUP(U81,'Incoming Material Report'!A:Z,25,FALSE),"")</f>
        <v/>
      </c>
      <c r="AK81" s="45" t="str">
        <f>_xlfn.IFNA(VLOOKUP(U81,'Incoming Material Report'!A:Z,26,FALSE),"")</f>
        <v/>
      </c>
      <c r="AL81" s="45" t="str">
        <f>_xlfn.IFNA(VLOOKUP(U81,'Incoming Material Report'!A:Z,2,FALSE),"")</f>
        <v/>
      </c>
      <c r="AM81" s="45" t="str">
        <f>_xlfn.IFNA(VLOOKUP(U81,'Incoming Material Report'!A:K,11,FALSE)/1000,"")</f>
        <v/>
      </c>
      <c r="AO81" s="45" t="str">
        <f>_xlfn.IFNA(VLOOKUP(U81,'Incoming Material Report'!A:R,18,FALSE)*1000,"")</f>
        <v/>
      </c>
      <c r="AQ81" s="45" t="str">
        <f>_xlfn.IFNA(TEXT(VLOOKUP(U81,'Incoming Material Report'!A:D,4,FALSE),"dd.mm.yy"),"")</f>
        <v/>
      </c>
    </row>
    <row r="82" spans="23:43" x14ac:dyDescent="0.25">
      <c r="W82" s="44"/>
      <c r="AG82" s="45" t="str">
        <f>_xlfn.IFNA(VLOOKUP(U82,'Incoming Material Report'!A:M,13,FALSE),"")</f>
        <v/>
      </c>
      <c r="AH82" s="45" t="str">
        <f>_xlfn.IFNA(IF(VLOOKUP(U82,'Incoming Material Report'!A:N,14,FALSE)="","",VLOOKUP(U82,'Incoming Material Report'!A:N,14,FALSE)),"")</f>
        <v/>
      </c>
      <c r="AI82" s="45" t="str">
        <f>_xlfn.IFNA(VLOOKUP(U82,'Incoming Material Report'!A:Z,24,FALSE),"")</f>
        <v/>
      </c>
      <c r="AJ82" s="45" t="str">
        <f>_xlfn.IFNA(VLOOKUP(U82,'Incoming Material Report'!A:Z,25,FALSE),"")</f>
        <v/>
      </c>
      <c r="AK82" s="45" t="str">
        <f>_xlfn.IFNA(VLOOKUP(U82,'Incoming Material Report'!A:Z,26,FALSE),"")</f>
        <v/>
      </c>
      <c r="AL82" s="45" t="str">
        <f>_xlfn.IFNA(VLOOKUP(U82,'Incoming Material Report'!A:Z,2,FALSE),"")</f>
        <v/>
      </c>
      <c r="AM82" s="45" t="str">
        <f>_xlfn.IFNA(VLOOKUP(U82,'Incoming Material Report'!A:K,11,FALSE)/1000,"")</f>
        <v/>
      </c>
      <c r="AO82" s="45" t="str">
        <f>_xlfn.IFNA(VLOOKUP(U82,'Incoming Material Report'!A:R,18,FALSE)*1000,"")</f>
        <v/>
      </c>
      <c r="AQ82" s="45" t="str">
        <f>_xlfn.IFNA(TEXT(VLOOKUP(U82,'Incoming Material Report'!A:D,4,FALSE),"dd.mm.yy"),"")</f>
        <v/>
      </c>
    </row>
    <row r="83" spans="23:43" x14ac:dyDescent="0.25">
      <c r="W83" s="44"/>
      <c r="AG83" s="45" t="str">
        <f>_xlfn.IFNA(VLOOKUP(U83,'Incoming Material Report'!A:M,13,FALSE),"")</f>
        <v/>
      </c>
      <c r="AH83" s="45" t="str">
        <f>_xlfn.IFNA(IF(VLOOKUP(U83,'Incoming Material Report'!A:N,14,FALSE)="","",VLOOKUP(U83,'Incoming Material Report'!A:N,14,FALSE)),"")</f>
        <v/>
      </c>
      <c r="AI83" s="45" t="str">
        <f>_xlfn.IFNA(VLOOKUP(U83,'Incoming Material Report'!A:Z,24,FALSE),"")</f>
        <v/>
      </c>
      <c r="AJ83" s="45" t="str">
        <f>_xlfn.IFNA(VLOOKUP(U83,'Incoming Material Report'!A:Z,25,FALSE),"")</f>
        <v/>
      </c>
      <c r="AK83" s="45" t="str">
        <f>_xlfn.IFNA(VLOOKUP(U83,'Incoming Material Report'!A:Z,26,FALSE),"")</f>
        <v/>
      </c>
      <c r="AL83" s="45" t="str">
        <f>_xlfn.IFNA(VLOOKUP(U83,'Incoming Material Report'!A:Z,2,FALSE),"")</f>
        <v/>
      </c>
      <c r="AM83" s="45" t="str">
        <f>_xlfn.IFNA(VLOOKUP(U83,'Incoming Material Report'!A:K,11,FALSE)/1000,"")</f>
        <v/>
      </c>
      <c r="AO83" s="45" t="str">
        <f>_xlfn.IFNA(VLOOKUP(U83,'Incoming Material Report'!A:R,18,FALSE)*1000,"")</f>
        <v/>
      </c>
      <c r="AQ83" s="45" t="str">
        <f>_xlfn.IFNA(TEXT(VLOOKUP(U83,'Incoming Material Report'!A:D,4,FALSE),"dd.mm.yy"),"")</f>
        <v/>
      </c>
    </row>
    <row r="84" spans="23:43" x14ac:dyDescent="0.25">
      <c r="W84" s="44"/>
      <c r="AG84" s="45" t="str">
        <f>_xlfn.IFNA(VLOOKUP(U84,'Incoming Material Report'!A:M,13,FALSE),"")</f>
        <v/>
      </c>
      <c r="AH84" s="45" t="str">
        <f>_xlfn.IFNA(IF(VLOOKUP(U84,'Incoming Material Report'!A:N,14,FALSE)="","",VLOOKUP(U84,'Incoming Material Report'!A:N,14,FALSE)),"")</f>
        <v/>
      </c>
      <c r="AI84" s="45" t="str">
        <f>_xlfn.IFNA(VLOOKUP(U84,'Incoming Material Report'!A:Z,24,FALSE),"")</f>
        <v/>
      </c>
      <c r="AJ84" s="45" t="str">
        <f>_xlfn.IFNA(VLOOKUP(U84,'Incoming Material Report'!A:Z,25,FALSE),"")</f>
        <v/>
      </c>
      <c r="AK84" s="45" t="str">
        <f>_xlfn.IFNA(VLOOKUP(U84,'Incoming Material Report'!A:Z,26,FALSE),"")</f>
        <v/>
      </c>
      <c r="AL84" s="45" t="str">
        <f>_xlfn.IFNA(VLOOKUP(U84,'Incoming Material Report'!A:Z,2,FALSE),"")</f>
        <v/>
      </c>
      <c r="AM84" s="45" t="str">
        <f>_xlfn.IFNA(VLOOKUP(U84,'Incoming Material Report'!A:K,11,FALSE)/1000,"")</f>
        <v/>
      </c>
      <c r="AO84" s="45" t="str">
        <f>_xlfn.IFNA(VLOOKUP(U84,'Incoming Material Report'!A:R,18,FALSE)*1000,"")</f>
        <v/>
      </c>
      <c r="AQ84" s="45" t="str">
        <f>_xlfn.IFNA(TEXT(VLOOKUP(U84,'Incoming Material Report'!A:D,4,FALSE),"dd.mm.yy"),"")</f>
        <v/>
      </c>
    </row>
    <row r="85" spans="23:43" x14ac:dyDescent="0.25">
      <c r="W85" s="44"/>
      <c r="AG85" s="45" t="str">
        <f>_xlfn.IFNA(VLOOKUP(U85,'Incoming Material Report'!A:M,13,FALSE),"")</f>
        <v/>
      </c>
      <c r="AH85" s="45" t="str">
        <f>_xlfn.IFNA(IF(VLOOKUP(U85,'Incoming Material Report'!A:N,14,FALSE)="","",VLOOKUP(U85,'Incoming Material Report'!A:N,14,FALSE)),"")</f>
        <v/>
      </c>
      <c r="AI85" s="45" t="str">
        <f>_xlfn.IFNA(VLOOKUP(U85,'Incoming Material Report'!A:Z,24,FALSE),"")</f>
        <v/>
      </c>
      <c r="AJ85" s="45" t="str">
        <f>_xlfn.IFNA(VLOOKUP(U85,'Incoming Material Report'!A:Z,25,FALSE),"")</f>
        <v/>
      </c>
      <c r="AK85" s="45" t="str">
        <f>_xlfn.IFNA(VLOOKUP(U85,'Incoming Material Report'!A:Z,26,FALSE),"")</f>
        <v/>
      </c>
      <c r="AL85" s="45" t="str">
        <f>_xlfn.IFNA(VLOOKUP(U85,'Incoming Material Report'!A:Z,2,FALSE),"")</f>
        <v/>
      </c>
      <c r="AM85" s="45" t="str">
        <f>_xlfn.IFNA(VLOOKUP(U85,'Incoming Material Report'!A:K,11,FALSE)/1000,"")</f>
        <v/>
      </c>
      <c r="AO85" s="45" t="str">
        <f>_xlfn.IFNA(VLOOKUP(U85,'Incoming Material Report'!A:R,18,FALSE)*1000,"")</f>
        <v/>
      </c>
      <c r="AQ85" s="45" t="str">
        <f>_xlfn.IFNA(TEXT(VLOOKUP(U85,'Incoming Material Report'!A:D,4,FALSE),"dd.mm.yy"),"")</f>
        <v/>
      </c>
    </row>
    <row r="86" spans="23:43" x14ac:dyDescent="0.25">
      <c r="W86" s="44"/>
      <c r="AG86" s="45" t="str">
        <f>_xlfn.IFNA(VLOOKUP(U86,'Incoming Material Report'!A:M,13,FALSE),"")</f>
        <v/>
      </c>
      <c r="AH86" s="45" t="str">
        <f>_xlfn.IFNA(IF(VLOOKUP(U86,'Incoming Material Report'!A:N,14,FALSE)="","",VLOOKUP(U86,'Incoming Material Report'!A:N,14,FALSE)),"")</f>
        <v/>
      </c>
      <c r="AI86" s="45" t="str">
        <f>_xlfn.IFNA(VLOOKUP(U86,'Incoming Material Report'!A:Z,24,FALSE),"")</f>
        <v/>
      </c>
      <c r="AJ86" s="45" t="str">
        <f>_xlfn.IFNA(VLOOKUP(U86,'Incoming Material Report'!A:Z,25,FALSE),"")</f>
        <v/>
      </c>
      <c r="AK86" s="45" t="str">
        <f>_xlfn.IFNA(VLOOKUP(U86,'Incoming Material Report'!A:Z,26,FALSE),"")</f>
        <v/>
      </c>
      <c r="AL86" s="45" t="str">
        <f>_xlfn.IFNA(VLOOKUP(U86,'Incoming Material Report'!A:Z,2,FALSE),"")</f>
        <v/>
      </c>
      <c r="AM86" s="45" t="str">
        <f>_xlfn.IFNA(VLOOKUP(U86,'Incoming Material Report'!A:K,11,FALSE)/1000,"")</f>
        <v/>
      </c>
      <c r="AO86" s="45" t="str">
        <f>_xlfn.IFNA(VLOOKUP(U86,'Incoming Material Report'!A:R,18,FALSE)*1000,"")</f>
        <v/>
      </c>
      <c r="AQ86" s="45" t="str">
        <f>_xlfn.IFNA(TEXT(VLOOKUP(U86,'Incoming Material Report'!A:D,4,FALSE),"dd.mm.yy"),"")</f>
        <v/>
      </c>
    </row>
    <row r="87" spans="23:43" x14ac:dyDescent="0.25">
      <c r="W87" s="44"/>
      <c r="AG87" s="45" t="str">
        <f>_xlfn.IFNA(VLOOKUP(U87,'Incoming Material Report'!A:M,13,FALSE),"")</f>
        <v/>
      </c>
      <c r="AH87" s="45" t="str">
        <f>_xlfn.IFNA(IF(VLOOKUP(U87,'Incoming Material Report'!A:N,14,FALSE)="","",VLOOKUP(U87,'Incoming Material Report'!A:N,14,FALSE)),"")</f>
        <v/>
      </c>
      <c r="AI87" s="45" t="str">
        <f>_xlfn.IFNA(VLOOKUP(U87,'Incoming Material Report'!A:Z,24,FALSE),"")</f>
        <v/>
      </c>
      <c r="AJ87" s="45" t="str">
        <f>_xlfn.IFNA(VLOOKUP(U87,'Incoming Material Report'!A:Z,25,FALSE),"")</f>
        <v/>
      </c>
      <c r="AK87" s="45" t="str">
        <f>_xlfn.IFNA(VLOOKUP(U87,'Incoming Material Report'!A:Z,26,FALSE),"")</f>
        <v/>
      </c>
      <c r="AL87" s="45" t="str">
        <f>_xlfn.IFNA(VLOOKUP(U87,'Incoming Material Report'!A:Z,2,FALSE),"")</f>
        <v/>
      </c>
      <c r="AM87" s="45" t="str">
        <f>_xlfn.IFNA(VLOOKUP(U87,'Incoming Material Report'!A:K,11,FALSE)/1000,"")</f>
        <v/>
      </c>
      <c r="AO87" s="45" t="str">
        <f>_xlfn.IFNA(VLOOKUP(U87,'Incoming Material Report'!A:R,18,FALSE)*1000,"")</f>
        <v/>
      </c>
      <c r="AQ87" s="45" t="str">
        <f>_xlfn.IFNA(TEXT(VLOOKUP(U87,'Incoming Material Report'!A:D,4,FALSE),"dd.mm.yy"),"")</f>
        <v/>
      </c>
    </row>
    <row r="88" spans="23:43" x14ac:dyDescent="0.25">
      <c r="W88" s="44"/>
      <c r="AG88" s="45" t="str">
        <f>_xlfn.IFNA(VLOOKUP(U88,'Incoming Material Report'!A:M,13,FALSE),"")</f>
        <v/>
      </c>
      <c r="AH88" s="45" t="str">
        <f>_xlfn.IFNA(IF(VLOOKUP(U88,'Incoming Material Report'!A:N,14,FALSE)="","",VLOOKUP(U88,'Incoming Material Report'!A:N,14,FALSE)),"")</f>
        <v/>
      </c>
      <c r="AI88" s="45" t="str">
        <f>_xlfn.IFNA(VLOOKUP(U88,'Incoming Material Report'!A:Z,24,FALSE),"")</f>
        <v/>
      </c>
      <c r="AJ88" s="45" t="str">
        <f>_xlfn.IFNA(VLOOKUP(U88,'Incoming Material Report'!A:Z,25,FALSE),"")</f>
        <v/>
      </c>
      <c r="AK88" s="45" t="str">
        <f>_xlfn.IFNA(VLOOKUP(U88,'Incoming Material Report'!A:Z,26,FALSE),"")</f>
        <v/>
      </c>
      <c r="AL88" s="45" t="str">
        <f>_xlfn.IFNA(VLOOKUP(U88,'Incoming Material Report'!A:Z,2,FALSE),"")</f>
        <v/>
      </c>
      <c r="AM88" s="45" t="str">
        <f>_xlfn.IFNA(VLOOKUP(U88,'Incoming Material Report'!A:K,11,FALSE)/1000,"")</f>
        <v/>
      </c>
      <c r="AO88" s="45" t="str">
        <f>_xlfn.IFNA(VLOOKUP(U88,'Incoming Material Report'!A:R,18,FALSE)*1000,"")</f>
        <v/>
      </c>
      <c r="AQ88" s="45" t="str">
        <f>_xlfn.IFNA(TEXT(VLOOKUP(U88,'Incoming Material Report'!A:D,4,FALSE),"dd.mm.yy"),"")</f>
        <v/>
      </c>
    </row>
    <row r="89" spans="23:43" x14ac:dyDescent="0.25">
      <c r="W89" s="44"/>
      <c r="AG89" s="45" t="str">
        <f>_xlfn.IFNA(VLOOKUP(U89,'Incoming Material Report'!A:M,13,FALSE),"")</f>
        <v/>
      </c>
      <c r="AH89" s="45" t="str">
        <f>_xlfn.IFNA(IF(VLOOKUP(U89,'Incoming Material Report'!A:N,14,FALSE)="","",VLOOKUP(U89,'Incoming Material Report'!A:N,14,FALSE)),"")</f>
        <v/>
      </c>
      <c r="AI89" s="45" t="str">
        <f>_xlfn.IFNA(VLOOKUP(U89,'Incoming Material Report'!A:Z,24,FALSE),"")</f>
        <v/>
      </c>
      <c r="AJ89" s="45" t="str">
        <f>_xlfn.IFNA(VLOOKUP(U89,'Incoming Material Report'!A:Z,25,FALSE),"")</f>
        <v/>
      </c>
      <c r="AK89" s="45" t="str">
        <f>_xlfn.IFNA(VLOOKUP(U89,'Incoming Material Report'!A:Z,26,FALSE),"")</f>
        <v/>
      </c>
      <c r="AL89" s="45" t="str">
        <f>_xlfn.IFNA(VLOOKUP(U89,'Incoming Material Report'!A:Z,2,FALSE),"")</f>
        <v/>
      </c>
      <c r="AM89" s="45" t="str">
        <f>_xlfn.IFNA(VLOOKUP(U89,'Incoming Material Report'!A:K,11,FALSE)/1000,"")</f>
        <v/>
      </c>
      <c r="AO89" s="45" t="str">
        <f>_xlfn.IFNA(VLOOKUP(U89,'Incoming Material Report'!A:R,18,FALSE)*1000,"")</f>
        <v/>
      </c>
      <c r="AQ89" s="45" t="str">
        <f>_xlfn.IFNA(TEXT(VLOOKUP(U89,'Incoming Material Report'!A:D,4,FALSE),"dd.mm.yy"),"")</f>
        <v/>
      </c>
    </row>
    <row r="90" spans="23:43" x14ac:dyDescent="0.25">
      <c r="W90" s="44"/>
      <c r="AG90" s="45" t="str">
        <f>_xlfn.IFNA(VLOOKUP(U90,'Incoming Material Report'!A:M,13,FALSE),"")</f>
        <v/>
      </c>
      <c r="AH90" s="45" t="str">
        <f>_xlfn.IFNA(IF(VLOOKUP(U90,'Incoming Material Report'!A:N,14,FALSE)="","",VLOOKUP(U90,'Incoming Material Report'!A:N,14,FALSE)),"")</f>
        <v/>
      </c>
      <c r="AI90" s="45" t="str">
        <f>_xlfn.IFNA(VLOOKUP(U90,'Incoming Material Report'!A:Z,24,FALSE),"")</f>
        <v/>
      </c>
      <c r="AJ90" s="45" t="str">
        <f>_xlfn.IFNA(VLOOKUP(U90,'Incoming Material Report'!A:Z,25,FALSE),"")</f>
        <v/>
      </c>
      <c r="AK90" s="45" t="str">
        <f>_xlfn.IFNA(VLOOKUP(U90,'Incoming Material Report'!A:Z,26,FALSE),"")</f>
        <v/>
      </c>
      <c r="AL90" s="45" t="str">
        <f>_xlfn.IFNA(VLOOKUP(U90,'Incoming Material Report'!A:Z,2,FALSE),"")</f>
        <v/>
      </c>
      <c r="AM90" s="45" t="str">
        <f>_xlfn.IFNA(VLOOKUP(U90,'Incoming Material Report'!A:K,11,FALSE)/1000,"")</f>
        <v/>
      </c>
      <c r="AO90" s="45" t="str">
        <f>_xlfn.IFNA(VLOOKUP(U90,'Incoming Material Report'!A:R,18,FALSE)*1000,"")</f>
        <v/>
      </c>
      <c r="AQ90" s="45" t="str">
        <f>_xlfn.IFNA(TEXT(VLOOKUP(U90,'Incoming Material Report'!A:D,4,FALSE),"dd.mm.yy"),"")</f>
        <v/>
      </c>
    </row>
    <row r="91" spans="23:43" x14ac:dyDescent="0.25">
      <c r="W91" s="44"/>
      <c r="AG91" s="45" t="str">
        <f>_xlfn.IFNA(VLOOKUP(U91,'Incoming Material Report'!A:M,13,FALSE),"")</f>
        <v/>
      </c>
      <c r="AH91" s="45" t="str">
        <f>_xlfn.IFNA(IF(VLOOKUP(U91,'Incoming Material Report'!A:N,14,FALSE)="","",VLOOKUP(U91,'Incoming Material Report'!A:N,14,FALSE)),"")</f>
        <v/>
      </c>
      <c r="AI91" s="45" t="str">
        <f>_xlfn.IFNA(VLOOKUP(U91,'Incoming Material Report'!A:Z,24,FALSE),"")</f>
        <v/>
      </c>
      <c r="AJ91" s="45" t="str">
        <f>_xlfn.IFNA(VLOOKUP(U91,'Incoming Material Report'!A:Z,25,FALSE),"")</f>
        <v/>
      </c>
      <c r="AK91" s="45" t="str">
        <f>_xlfn.IFNA(VLOOKUP(U91,'Incoming Material Report'!A:Z,26,FALSE),"")</f>
        <v/>
      </c>
      <c r="AL91" s="45" t="str">
        <f>_xlfn.IFNA(VLOOKUP(U91,'Incoming Material Report'!A:Z,2,FALSE),"")</f>
        <v/>
      </c>
      <c r="AM91" s="45" t="str">
        <f>_xlfn.IFNA(VLOOKUP(U91,'Incoming Material Report'!A:K,11,FALSE)/1000,"")</f>
        <v/>
      </c>
      <c r="AO91" s="45" t="str">
        <f>_xlfn.IFNA(VLOOKUP(U91,'Incoming Material Report'!A:R,18,FALSE)*1000,"")</f>
        <v/>
      </c>
      <c r="AQ91" s="45" t="str">
        <f>_xlfn.IFNA(TEXT(VLOOKUP(U91,'Incoming Material Report'!A:D,4,FALSE),"dd.mm.yy"),"")</f>
        <v/>
      </c>
    </row>
    <row r="92" spans="23:43" x14ac:dyDescent="0.25">
      <c r="W92" s="44"/>
      <c r="AG92" s="45" t="str">
        <f>_xlfn.IFNA(VLOOKUP(U92,'Incoming Material Report'!A:M,13,FALSE),"")</f>
        <v/>
      </c>
      <c r="AH92" s="45" t="str">
        <f>_xlfn.IFNA(IF(VLOOKUP(U92,'Incoming Material Report'!A:N,14,FALSE)="","",VLOOKUP(U92,'Incoming Material Report'!A:N,14,FALSE)),"")</f>
        <v/>
      </c>
      <c r="AI92" s="45" t="str">
        <f>_xlfn.IFNA(VLOOKUP(U92,'Incoming Material Report'!A:Z,24,FALSE),"")</f>
        <v/>
      </c>
      <c r="AJ92" s="45" t="str">
        <f>_xlfn.IFNA(VLOOKUP(U92,'Incoming Material Report'!A:Z,25,FALSE),"")</f>
        <v/>
      </c>
      <c r="AK92" s="45" t="str">
        <f>_xlfn.IFNA(VLOOKUP(U92,'Incoming Material Report'!A:Z,26,FALSE),"")</f>
        <v/>
      </c>
      <c r="AL92" s="45" t="str">
        <f>_xlfn.IFNA(VLOOKUP(U92,'Incoming Material Report'!A:Z,2,FALSE),"")</f>
        <v/>
      </c>
      <c r="AM92" s="45" t="str">
        <f>_xlfn.IFNA(VLOOKUP(U92,'Incoming Material Report'!A:K,11,FALSE)/1000,"")</f>
        <v/>
      </c>
      <c r="AO92" s="45" t="str">
        <f>_xlfn.IFNA(VLOOKUP(U92,'Incoming Material Report'!A:R,18,FALSE)*1000,"")</f>
        <v/>
      </c>
      <c r="AQ92" s="45" t="str">
        <f>_xlfn.IFNA(TEXT(VLOOKUP(U92,'Incoming Material Report'!A:D,4,FALSE),"dd.mm.yy"),"")</f>
        <v/>
      </c>
    </row>
    <row r="93" spans="23:43" x14ac:dyDescent="0.25">
      <c r="W93" s="44"/>
      <c r="AG93" s="45" t="str">
        <f>_xlfn.IFNA(VLOOKUP(U93,'Incoming Material Report'!A:M,13,FALSE),"")</f>
        <v/>
      </c>
      <c r="AH93" s="45" t="str">
        <f>_xlfn.IFNA(IF(VLOOKUP(U93,'Incoming Material Report'!A:N,14,FALSE)="","",VLOOKUP(U93,'Incoming Material Report'!A:N,14,FALSE)),"")</f>
        <v/>
      </c>
      <c r="AI93" s="45" t="str">
        <f>_xlfn.IFNA(VLOOKUP(U93,'Incoming Material Report'!A:Z,24,FALSE),"")</f>
        <v/>
      </c>
      <c r="AJ93" s="45" t="str">
        <f>_xlfn.IFNA(VLOOKUP(U93,'Incoming Material Report'!A:Z,25,FALSE),"")</f>
        <v/>
      </c>
      <c r="AK93" s="45" t="str">
        <f>_xlfn.IFNA(VLOOKUP(U93,'Incoming Material Report'!A:Z,26,FALSE),"")</f>
        <v/>
      </c>
      <c r="AL93" s="45" t="str">
        <f>_xlfn.IFNA(VLOOKUP(U93,'Incoming Material Report'!A:Z,2,FALSE),"")</f>
        <v/>
      </c>
      <c r="AM93" s="45" t="str">
        <f>_xlfn.IFNA(VLOOKUP(U93,'Incoming Material Report'!A:K,11,FALSE)/1000,"")</f>
        <v/>
      </c>
      <c r="AO93" s="45" t="str">
        <f>_xlfn.IFNA(VLOOKUP(U93,'Incoming Material Report'!A:R,18,FALSE)*1000,"")</f>
        <v/>
      </c>
      <c r="AQ93" s="45" t="str">
        <f>_xlfn.IFNA(TEXT(VLOOKUP(U93,'Incoming Material Report'!A:D,4,FALSE),"dd.mm.yy"),"")</f>
        <v/>
      </c>
    </row>
    <row r="94" spans="23:43" x14ac:dyDescent="0.25">
      <c r="W94" s="44"/>
      <c r="AG94" s="45" t="str">
        <f>_xlfn.IFNA(VLOOKUP(U94,'Incoming Material Report'!A:M,13,FALSE),"")</f>
        <v/>
      </c>
      <c r="AH94" s="45" t="str">
        <f>_xlfn.IFNA(IF(VLOOKUP(U94,'Incoming Material Report'!A:N,14,FALSE)="","",VLOOKUP(U94,'Incoming Material Report'!A:N,14,FALSE)),"")</f>
        <v/>
      </c>
      <c r="AI94" s="45" t="str">
        <f>_xlfn.IFNA(VLOOKUP(U94,'Incoming Material Report'!A:Z,24,FALSE),"")</f>
        <v/>
      </c>
      <c r="AJ94" s="45" t="str">
        <f>_xlfn.IFNA(VLOOKUP(U94,'Incoming Material Report'!A:Z,25,FALSE),"")</f>
        <v/>
      </c>
      <c r="AK94" s="45" t="str">
        <f>_xlfn.IFNA(VLOOKUP(U94,'Incoming Material Report'!A:Z,26,FALSE),"")</f>
        <v/>
      </c>
      <c r="AL94" s="45" t="str">
        <f>_xlfn.IFNA(VLOOKUP(U94,'Incoming Material Report'!A:Z,2,FALSE),"")</f>
        <v/>
      </c>
      <c r="AM94" s="45" t="str">
        <f>_xlfn.IFNA(VLOOKUP(U94,'Incoming Material Report'!A:K,11,FALSE)/1000,"")</f>
        <v/>
      </c>
      <c r="AO94" s="45" t="str">
        <f>_xlfn.IFNA(VLOOKUP(U94,'Incoming Material Report'!A:R,18,FALSE)*1000,"")</f>
        <v/>
      </c>
      <c r="AQ94" s="45" t="str">
        <f>_xlfn.IFNA(TEXT(VLOOKUP(U94,'Incoming Material Report'!A:D,4,FALSE),"dd.mm.yy"),"")</f>
        <v/>
      </c>
    </row>
    <row r="95" spans="23:43" x14ac:dyDescent="0.25">
      <c r="W95" s="44"/>
      <c r="AG95" s="45" t="str">
        <f>_xlfn.IFNA(VLOOKUP(U95,'Incoming Material Report'!A:M,13,FALSE),"")</f>
        <v/>
      </c>
      <c r="AH95" s="45" t="str">
        <f>_xlfn.IFNA(IF(VLOOKUP(U95,'Incoming Material Report'!A:N,14,FALSE)="","",VLOOKUP(U95,'Incoming Material Report'!A:N,14,FALSE)),"")</f>
        <v/>
      </c>
      <c r="AI95" s="45" t="str">
        <f>_xlfn.IFNA(VLOOKUP(U95,'Incoming Material Report'!A:Z,24,FALSE),"")</f>
        <v/>
      </c>
      <c r="AJ95" s="45" t="str">
        <f>_xlfn.IFNA(VLOOKUP(U95,'Incoming Material Report'!A:Z,25,FALSE),"")</f>
        <v/>
      </c>
      <c r="AK95" s="45" t="str">
        <f>_xlfn.IFNA(VLOOKUP(U95,'Incoming Material Report'!A:Z,26,FALSE),"")</f>
        <v/>
      </c>
      <c r="AL95" s="45" t="str">
        <f>_xlfn.IFNA(VLOOKUP(U95,'Incoming Material Report'!A:Z,2,FALSE),"")</f>
        <v/>
      </c>
      <c r="AM95" s="45" t="str">
        <f>_xlfn.IFNA(VLOOKUP(U95,'Incoming Material Report'!A:K,11,FALSE)/1000,"")</f>
        <v/>
      </c>
      <c r="AO95" s="45" t="str">
        <f>_xlfn.IFNA(VLOOKUP(U95,'Incoming Material Report'!A:R,18,FALSE)*1000,"")</f>
        <v/>
      </c>
      <c r="AQ95" s="45" t="str">
        <f>_xlfn.IFNA(TEXT(VLOOKUP(U95,'Incoming Material Report'!A:D,4,FALSE),"dd.mm.yy"),"")</f>
        <v/>
      </c>
    </row>
    <row r="96" spans="23:43" x14ac:dyDescent="0.25">
      <c r="W96" s="44"/>
      <c r="AG96" s="45" t="str">
        <f>_xlfn.IFNA(VLOOKUP(U96,'Incoming Material Report'!A:M,13,FALSE),"")</f>
        <v/>
      </c>
      <c r="AH96" s="45" t="str">
        <f>_xlfn.IFNA(IF(VLOOKUP(U96,'Incoming Material Report'!A:N,14,FALSE)="","",VLOOKUP(U96,'Incoming Material Report'!A:N,14,FALSE)),"")</f>
        <v/>
      </c>
      <c r="AI96" s="45" t="str">
        <f>_xlfn.IFNA(VLOOKUP(U96,'Incoming Material Report'!A:Z,24,FALSE),"")</f>
        <v/>
      </c>
      <c r="AJ96" s="45" t="str">
        <f>_xlfn.IFNA(VLOOKUP(U96,'Incoming Material Report'!A:Z,25,FALSE),"")</f>
        <v/>
      </c>
      <c r="AK96" s="45" t="str">
        <f>_xlfn.IFNA(VLOOKUP(U96,'Incoming Material Report'!A:Z,26,FALSE),"")</f>
        <v/>
      </c>
      <c r="AL96" s="45" t="str">
        <f>_xlfn.IFNA(VLOOKUP(U96,'Incoming Material Report'!A:Z,2,FALSE),"")</f>
        <v/>
      </c>
      <c r="AM96" s="45" t="str">
        <f>_xlfn.IFNA(VLOOKUP(U96,'Incoming Material Report'!A:K,11,FALSE)/1000,"")</f>
        <v/>
      </c>
      <c r="AO96" s="45" t="str">
        <f>_xlfn.IFNA(VLOOKUP(U96,'Incoming Material Report'!A:R,18,FALSE)*1000,"")</f>
        <v/>
      </c>
      <c r="AQ96" s="45" t="str">
        <f>_xlfn.IFNA(TEXT(VLOOKUP(U96,'Incoming Material Report'!A:D,4,FALSE),"dd.mm.yy"),"")</f>
        <v/>
      </c>
    </row>
    <row r="97" spans="23:43" x14ac:dyDescent="0.25">
      <c r="W97" s="44"/>
      <c r="AG97" s="45" t="str">
        <f>_xlfn.IFNA(VLOOKUP(U97,'Incoming Material Report'!A:M,13,FALSE),"")</f>
        <v/>
      </c>
      <c r="AH97" s="45" t="str">
        <f>_xlfn.IFNA(IF(VLOOKUP(U97,'Incoming Material Report'!A:N,14,FALSE)="","",VLOOKUP(U97,'Incoming Material Report'!A:N,14,FALSE)),"")</f>
        <v/>
      </c>
      <c r="AI97" s="45" t="str">
        <f>_xlfn.IFNA(VLOOKUP(U97,'Incoming Material Report'!A:Z,24,FALSE),"")</f>
        <v/>
      </c>
      <c r="AJ97" s="45" t="str">
        <f>_xlfn.IFNA(VLOOKUP(U97,'Incoming Material Report'!A:Z,25,FALSE),"")</f>
        <v/>
      </c>
      <c r="AK97" s="45" t="str">
        <f>_xlfn.IFNA(VLOOKUP(U97,'Incoming Material Report'!A:Z,26,FALSE),"")</f>
        <v/>
      </c>
      <c r="AL97" s="45" t="str">
        <f>_xlfn.IFNA(VLOOKUP(U97,'Incoming Material Report'!A:Z,2,FALSE),"")</f>
        <v/>
      </c>
      <c r="AM97" s="45" t="str">
        <f>_xlfn.IFNA(VLOOKUP(U97,'Incoming Material Report'!A:K,11,FALSE)/1000,"")</f>
        <v/>
      </c>
      <c r="AO97" s="45" t="str">
        <f>_xlfn.IFNA(VLOOKUP(U97,'Incoming Material Report'!A:R,18,FALSE)*1000,"")</f>
        <v/>
      </c>
      <c r="AQ97" s="45" t="str">
        <f>_xlfn.IFNA(TEXT(VLOOKUP(U97,'Incoming Material Report'!A:D,4,FALSE),"dd.mm.yy"),"")</f>
        <v/>
      </c>
    </row>
    <row r="98" spans="23:43" x14ac:dyDescent="0.25">
      <c r="W98" s="44"/>
      <c r="AG98" s="45" t="str">
        <f>_xlfn.IFNA(VLOOKUP(U98,'Incoming Material Report'!A:M,13,FALSE),"")</f>
        <v/>
      </c>
      <c r="AH98" s="45" t="str">
        <f>_xlfn.IFNA(IF(VLOOKUP(U98,'Incoming Material Report'!A:N,14,FALSE)="","",VLOOKUP(U98,'Incoming Material Report'!A:N,14,FALSE)),"")</f>
        <v/>
      </c>
      <c r="AI98" s="45" t="str">
        <f>_xlfn.IFNA(VLOOKUP(U98,'Incoming Material Report'!A:Z,24,FALSE),"")</f>
        <v/>
      </c>
      <c r="AJ98" s="45" t="str">
        <f>_xlfn.IFNA(VLOOKUP(U98,'Incoming Material Report'!A:Z,25,FALSE),"")</f>
        <v/>
      </c>
      <c r="AK98" s="45" t="str">
        <f>_xlfn.IFNA(VLOOKUP(U98,'Incoming Material Report'!A:Z,26,FALSE),"")</f>
        <v/>
      </c>
      <c r="AL98" s="45" t="str">
        <f>_xlfn.IFNA(VLOOKUP(U98,'Incoming Material Report'!A:Z,2,FALSE),"")</f>
        <v/>
      </c>
      <c r="AM98" s="45" t="str">
        <f>_xlfn.IFNA(VLOOKUP(U98,'Incoming Material Report'!A:K,11,FALSE)/1000,"")</f>
        <v/>
      </c>
      <c r="AO98" s="45" t="str">
        <f>_xlfn.IFNA(VLOOKUP(U98,'Incoming Material Report'!A:R,18,FALSE)*1000,"")</f>
        <v/>
      </c>
      <c r="AQ98" s="45" t="str">
        <f>_xlfn.IFNA(TEXT(VLOOKUP(U98,'Incoming Material Report'!A:D,4,FALSE),"dd.mm.yy"),"")</f>
        <v/>
      </c>
    </row>
    <row r="99" spans="23:43" x14ac:dyDescent="0.25">
      <c r="W99" s="44"/>
      <c r="AG99" s="45" t="str">
        <f>_xlfn.IFNA(VLOOKUP(U99,'Incoming Material Report'!A:M,13,FALSE),"")</f>
        <v/>
      </c>
      <c r="AH99" s="45" t="str">
        <f>_xlfn.IFNA(IF(VLOOKUP(U99,'Incoming Material Report'!A:N,14,FALSE)="","",VLOOKUP(U99,'Incoming Material Report'!A:N,14,FALSE)),"")</f>
        <v/>
      </c>
      <c r="AI99" s="45" t="str">
        <f>_xlfn.IFNA(VLOOKUP(U99,'Incoming Material Report'!A:Z,24,FALSE),"")</f>
        <v/>
      </c>
      <c r="AJ99" s="45" t="str">
        <f>_xlfn.IFNA(VLOOKUP(U99,'Incoming Material Report'!A:Z,25,FALSE),"")</f>
        <v/>
      </c>
      <c r="AK99" s="45" t="str">
        <f>_xlfn.IFNA(VLOOKUP(U99,'Incoming Material Report'!A:Z,26,FALSE),"")</f>
        <v/>
      </c>
      <c r="AL99" s="45" t="str">
        <f>_xlfn.IFNA(VLOOKUP(U99,'Incoming Material Report'!A:Z,2,FALSE),"")</f>
        <v/>
      </c>
      <c r="AM99" s="45" t="str">
        <f>_xlfn.IFNA(VLOOKUP(U99,'Incoming Material Report'!A:K,11,FALSE)/1000,"")</f>
        <v/>
      </c>
      <c r="AO99" s="45" t="str">
        <f>_xlfn.IFNA(VLOOKUP(U99,'Incoming Material Report'!A:R,18,FALSE)*1000,"")</f>
        <v/>
      </c>
      <c r="AQ99" s="45" t="str">
        <f>_xlfn.IFNA(TEXT(VLOOKUP(U99,'Incoming Material Report'!A:D,4,FALSE),"dd.mm.yy"),"")</f>
        <v/>
      </c>
    </row>
    <row r="100" spans="23:43" x14ac:dyDescent="0.25">
      <c r="W100" s="44"/>
      <c r="AG100" s="45" t="str">
        <f>_xlfn.IFNA(VLOOKUP(U100,'Incoming Material Report'!A:M,13,FALSE),"")</f>
        <v/>
      </c>
      <c r="AH100" s="45" t="str">
        <f>_xlfn.IFNA(IF(VLOOKUP(U100,'Incoming Material Report'!A:N,14,FALSE)="","",VLOOKUP(U100,'Incoming Material Report'!A:N,14,FALSE)),"")</f>
        <v/>
      </c>
      <c r="AI100" s="45" t="str">
        <f>_xlfn.IFNA(VLOOKUP(U100,'Incoming Material Report'!A:Z,24,FALSE),"")</f>
        <v/>
      </c>
      <c r="AJ100" s="45" t="str">
        <f>_xlfn.IFNA(VLOOKUP(U100,'Incoming Material Report'!A:Z,25,FALSE),"")</f>
        <v/>
      </c>
      <c r="AK100" s="45" t="str">
        <f>_xlfn.IFNA(VLOOKUP(U100,'Incoming Material Report'!A:Z,26,FALSE),"")</f>
        <v/>
      </c>
      <c r="AL100" s="45" t="str">
        <f>_xlfn.IFNA(VLOOKUP(U100,'Incoming Material Report'!A:Z,2,FALSE),"")</f>
        <v/>
      </c>
      <c r="AM100" s="45" t="str">
        <f>_xlfn.IFNA(VLOOKUP(U100,'Incoming Material Report'!A:K,11,FALSE)/1000,"")</f>
        <v/>
      </c>
      <c r="AO100" s="45" t="str">
        <f>_xlfn.IFNA(VLOOKUP(U100,'Incoming Material Report'!A:R,18,FALSE)*1000,"")</f>
        <v/>
      </c>
      <c r="AQ100" s="45" t="str">
        <f>_xlfn.IFNA(TEXT(VLOOKUP(U100,'Incoming Material Report'!A:D,4,FALSE),"dd.mm.yy"),"")</f>
        <v/>
      </c>
    </row>
    <row r="101" spans="23:43" x14ac:dyDescent="0.25">
      <c r="W101" s="44"/>
      <c r="AG101" s="45" t="str">
        <f>_xlfn.IFNA(VLOOKUP(U101,'Incoming Material Report'!A:M,13,FALSE),"")</f>
        <v/>
      </c>
      <c r="AH101" s="45" t="str">
        <f>_xlfn.IFNA(IF(VLOOKUP(U101,'Incoming Material Report'!A:N,14,FALSE)="","",VLOOKUP(U101,'Incoming Material Report'!A:N,14,FALSE)),"")</f>
        <v/>
      </c>
      <c r="AI101" s="45" t="str">
        <f>_xlfn.IFNA(VLOOKUP(U101,'Incoming Material Report'!A:Z,24,FALSE),"")</f>
        <v/>
      </c>
      <c r="AJ101" s="45" t="str">
        <f>_xlfn.IFNA(VLOOKUP(U101,'Incoming Material Report'!A:Z,25,FALSE),"")</f>
        <v/>
      </c>
      <c r="AK101" s="45" t="str">
        <f>_xlfn.IFNA(VLOOKUP(U101,'Incoming Material Report'!A:Z,26,FALSE),"")</f>
        <v/>
      </c>
      <c r="AL101" s="45" t="str">
        <f>_xlfn.IFNA(VLOOKUP(U101,'Incoming Material Report'!A:Z,2,FALSE),"")</f>
        <v/>
      </c>
      <c r="AM101" s="45" t="str">
        <f>_xlfn.IFNA(VLOOKUP(U101,'Incoming Material Report'!A:K,11,FALSE)/1000,"")</f>
        <v/>
      </c>
      <c r="AO101" s="45" t="str">
        <f>_xlfn.IFNA(VLOOKUP(U101,'Incoming Material Report'!A:R,18,FALSE)*1000,"")</f>
        <v/>
      </c>
      <c r="AQ101" s="45" t="str">
        <f>_xlfn.IFNA(TEXT(VLOOKUP(U101,'Incoming Material Report'!A:D,4,FALSE),"dd.mm.yy"),"")</f>
        <v/>
      </c>
    </row>
    <row r="102" spans="23:43" x14ac:dyDescent="0.25">
      <c r="W102" s="44"/>
      <c r="AG102" s="45" t="str">
        <f>_xlfn.IFNA(VLOOKUP(U102,'Incoming Material Report'!A:M,13,FALSE),"")</f>
        <v/>
      </c>
      <c r="AH102" s="45" t="str">
        <f>_xlfn.IFNA(IF(VLOOKUP(U102,'Incoming Material Report'!A:N,14,FALSE)="","",VLOOKUP(U102,'Incoming Material Report'!A:N,14,FALSE)),"")</f>
        <v/>
      </c>
      <c r="AI102" s="45" t="str">
        <f>_xlfn.IFNA(VLOOKUP(U102,'Incoming Material Report'!A:Z,24,FALSE),"")</f>
        <v/>
      </c>
      <c r="AJ102" s="45" t="str">
        <f>_xlfn.IFNA(VLOOKUP(U102,'Incoming Material Report'!A:Z,25,FALSE),"")</f>
        <v/>
      </c>
      <c r="AK102" s="45" t="str">
        <f>_xlfn.IFNA(VLOOKUP(U102,'Incoming Material Report'!A:Z,26,FALSE),"")</f>
        <v/>
      </c>
      <c r="AL102" s="45" t="str">
        <f>_xlfn.IFNA(VLOOKUP(U102,'Incoming Material Report'!A:Z,2,FALSE),"")</f>
        <v/>
      </c>
      <c r="AM102" s="45" t="str">
        <f>_xlfn.IFNA(VLOOKUP(U102,'Incoming Material Report'!A:K,11,FALSE)/1000,"")</f>
        <v/>
      </c>
      <c r="AO102" s="45" t="str">
        <f>_xlfn.IFNA(VLOOKUP(U102,'Incoming Material Report'!A:R,18,FALSE)*1000,"")</f>
        <v/>
      </c>
      <c r="AQ102" s="45" t="str">
        <f>_xlfn.IFNA(TEXT(VLOOKUP(U102,'Incoming Material Report'!A:D,4,FALSE),"dd.mm.yy"),"")</f>
        <v/>
      </c>
    </row>
    <row r="103" spans="23:43" x14ac:dyDescent="0.25">
      <c r="W103" s="44"/>
      <c r="AG103" s="45" t="str">
        <f>_xlfn.IFNA(VLOOKUP(U103,'Incoming Material Report'!A:M,13,FALSE),"")</f>
        <v/>
      </c>
      <c r="AH103" s="45" t="str">
        <f>_xlfn.IFNA(IF(VLOOKUP(U103,'Incoming Material Report'!A:N,14,FALSE)="","",VLOOKUP(U103,'Incoming Material Report'!A:N,14,FALSE)),"")</f>
        <v/>
      </c>
      <c r="AI103" s="45" t="str">
        <f>_xlfn.IFNA(VLOOKUP(U103,'Incoming Material Report'!A:Z,24,FALSE),"")</f>
        <v/>
      </c>
      <c r="AJ103" s="45" t="str">
        <f>_xlfn.IFNA(VLOOKUP(U103,'Incoming Material Report'!A:Z,25,FALSE),"")</f>
        <v/>
      </c>
      <c r="AK103" s="45" t="str">
        <f>_xlfn.IFNA(VLOOKUP(U103,'Incoming Material Report'!A:Z,26,FALSE),"")</f>
        <v/>
      </c>
      <c r="AL103" s="45" t="str">
        <f>_xlfn.IFNA(VLOOKUP(U103,'Incoming Material Report'!A:Z,2,FALSE),"")</f>
        <v/>
      </c>
      <c r="AM103" s="45" t="str">
        <f>_xlfn.IFNA(VLOOKUP(U103,'Incoming Material Report'!A:K,11,FALSE)/1000,"")</f>
        <v/>
      </c>
      <c r="AO103" s="45" t="str">
        <f>_xlfn.IFNA(VLOOKUP(U103,'Incoming Material Report'!A:R,18,FALSE)*1000,"")</f>
        <v/>
      </c>
      <c r="AQ103" s="45" t="str">
        <f>_xlfn.IFNA(TEXT(VLOOKUP(U103,'Incoming Material Report'!A:D,4,FALSE),"dd.mm.yy"),"")</f>
        <v/>
      </c>
    </row>
    <row r="104" spans="23:43" x14ac:dyDescent="0.25">
      <c r="W104" s="44"/>
      <c r="AG104" s="45" t="str">
        <f>_xlfn.IFNA(VLOOKUP(U104,'Incoming Material Report'!A:M,13,FALSE),"")</f>
        <v/>
      </c>
      <c r="AH104" s="45" t="str">
        <f>_xlfn.IFNA(IF(VLOOKUP(U104,'Incoming Material Report'!A:N,14,FALSE)="","",VLOOKUP(U104,'Incoming Material Report'!A:N,14,FALSE)),"")</f>
        <v/>
      </c>
      <c r="AI104" s="45" t="str">
        <f>_xlfn.IFNA(VLOOKUP(U104,'Incoming Material Report'!A:Z,24,FALSE),"")</f>
        <v/>
      </c>
      <c r="AJ104" s="45" t="str">
        <f>_xlfn.IFNA(VLOOKUP(U104,'Incoming Material Report'!A:Z,25,FALSE),"")</f>
        <v/>
      </c>
      <c r="AK104" s="45" t="str">
        <f>_xlfn.IFNA(VLOOKUP(U104,'Incoming Material Report'!A:Z,26,FALSE),"")</f>
        <v/>
      </c>
      <c r="AL104" s="45" t="str">
        <f>_xlfn.IFNA(VLOOKUP(U104,'Incoming Material Report'!A:Z,2,FALSE),"")</f>
        <v/>
      </c>
      <c r="AM104" s="45" t="str">
        <f>_xlfn.IFNA(VLOOKUP(U104,'Incoming Material Report'!A:K,11,FALSE)/1000,"")</f>
        <v/>
      </c>
      <c r="AO104" s="45" t="str">
        <f>_xlfn.IFNA(VLOOKUP(U104,'Incoming Material Report'!A:R,18,FALSE)*1000,"")</f>
        <v/>
      </c>
      <c r="AQ104" s="45" t="str">
        <f>_xlfn.IFNA(TEXT(VLOOKUP(U104,'Incoming Material Report'!A:D,4,FALSE),"dd.mm.yy"),"")</f>
        <v/>
      </c>
    </row>
    <row r="105" spans="23:43" x14ac:dyDescent="0.25">
      <c r="W105" s="44"/>
      <c r="AG105" s="45" t="str">
        <f>_xlfn.IFNA(VLOOKUP(U105,'Incoming Material Report'!A:M,13,FALSE),"")</f>
        <v/>
      </c>
      <c r="AH105" s="45" t="str">
        <f>_xlfn.IFNA(IF(VLOOKUP(U105,'Incoming Material Report'!A:N,14,FALSE)="","",VLOOKUP(U105,'Incoming Material Report'!A:N,14,FALSE)),"")</f>
        <v/>
      </c>
      <c r="AI105" s="45" t="str">
        <f>_xlfn.IFNA(VLOOKUP(U105,'Incoming Material Report'!A:Z,24,FALSE),"")</f>
        <v/>
      </c>
      <c r="AJ105" s="45" t="str">
        <f>_xlfn.IFNA(VLOOKUP(U105,'Incoming Material Report'!A:Z,25,FALSE),"")</f>
        <v/>
      </c>
      <c r="AK105" s="45" t="str">
        <f>_xlfn.IFNA(VLOOKUP(U105,'Incoming Material Report'!A:Z,26,FALSE),"")</f>
        <v/>
      </c>
      <c r="AL105" s="45" t="str">
        <f>_xlfn.IFNA(VLOOKUP(U105,'Incoming Material Report'!A:Z,2,FALSE),"")</f>
        <v/>
      </c>
      <c r="AM105" s="45" t="str">
        <f>_xlfn.IFNA(VLOOKUP(U105,'Incoming Material Report'!A:K,11,FALSE)/1000,"")</f>
        <v/>
      </c>
      <c r="AO105" s="45" t="str">
        <f>_xlfn.IFNA(VLOOKUP(U105,'Incoming Material Report'!A:R,18,FALSE)*1000,"")</f>
        <v/>
      </c>
      <c r="AQ105" s="45" t="str">
        <f>_xlfn.IFNA(TEXT(VLOOKUP(U105,'Incoming Material Report'!A:D,4,FALSE),"dd.mm.yy"),"")</f>
        <v/>
      </c>
    </row>
    <row r="106" spans="23:43" x14ac:dyDescent="0.25">
      <c r="W106" s="44"/>
      <c r="AG106" s="45" t="str">
        <f>_xlfn.IFNA(VLOOKUP(U106,'Incoming Material Report'!A:M,13,FALSE),"")</f>
        <v/>
      </c>
      <c r="AH106" s="45" t="str">
        <f>_xlfn.IFNA(IF(VLOOKUP(U106,'Incoming Material Report'!A:N,14,FALSE)="","",VLOOKUP(U106,'Incoming Material Report'!A:N,14,FALSE)),"")</f>
        <v/>
      </c>
      <c r="AI106" s="45" t="str">
        <f>_xlfn.IFNA(VLOOKUP(U106,'Incoming Material Report'!A:Z,24,FALSE),"")</f>
        <v/>
      </c>
      <c r="AJ106" s="45" t="str">
        <f>_xlfn.IFNA(VLOOKUP(U106,'Incoming Material Report'!A:Z,25,FALSE),"")</f>
        <v/>
      </c>
      <c r="AK106" s="45" t="str">
        <f>_xlfn.IFNA(VLOOKUP(U106,'Incoming Material Report'!A:Z,26,FALSE),"")</f>
        <v/>
      </c>
      <c r="AL106" s="45" t="str">
        <f>_xlfn.IFNA(VLOOKUP(U106,'Incoming Material Report'!A:Z,2,FALSE),"")</f>
        <v/>
      </c>
      <c r="AM106" s="45" t="str">
        <f>_xlfn.IFNA(VLOOKUP(U106,'Incoming Material Report'!A:K,11,FALSE)/1000,"")</f>
        <v/>
      </c>
      <c r="AO106" s="45" t="str">
        <f>_xlfn.IFNA(VLOOKUP(U106,'Incoming Material Report'!A:R,18,FALSE)*1000,"")</f>
        <v/>
      </c>
      <c r="AQ106" s="45" t="str">
        <f>_xlfn.IFNA(TEXT(VLOOKUP(U106,'Incoming Material Report'!A:D,4,FALSE),"dd.mm.yy"),"")</f>
        <v/>
      </c>
    </row>
    <row r="107" spans="23:43" x14ac:dyDescent="0.25">
      <c r="W107" s="44"/>
      <c r="AG107" s="45" t="str">
        <f>_xlfn.IFNA(VLOOKUP(U107,'Incoming Material Report'!A:M,13,FALSE),"")</f>
        <v/>
      </c>
      <c r="AH107" s="45" t="str">
        <f>_xlfn.IFNA(IF(VLOOKUP(U107,'Incoming Material Report'!A:N,14,FALSE)="","",VLOOKUP(U107,'Incoming Material Report'!A:N,14,FALSE)),"")</f>
        <v/>
      </c>
      <c r="AI107" s="45" t="str">
        <f>_xlfn.IFNA(VLOOKUP(U107,'Incoming Material Report'!A:Z,24,FALSE),"")</f>
        <v/>
      </c>
      <c r="AJ107" s="45" t="str">
        <f>_xlfn.IFNA(VLOOKUP(U107,'Incoming Material Report'!A:Z,25,FALSE),"")</f>
        <v/>
      </c>
      <c r="AK107" s="45" t="str">
        <f>_xlfn.IFNA(VLOOKUP(U107,'Incoming Material Report'!A:Z,26,FALSE),"")</f>
        <v/>
      </c>
      <c r="AL107" s="45" t="str">
        <f>_xlfn.IFNA(VLOOKUP(U107,'Incoming Material Report'!A:Z,2,FALSE),"")</f>
        <v/>
      </c>
      <c r="AM107" s="45" t="str">
        <f>_xlfn.IFNA(VLOOKUP(U107,'Incoming Material Report'!A:K,11,FALSE)/1000,"")</f>
        <v/>
      </c>
      <c r="AO107" s="45" t="str">
        <f>_xlfn.IFNA(VLOOKUP(U107,'Incoming Material Report'!A:R,18,FALSE)*1000,"")</f>
        <v/>
      </c>
      <c r="AQ107" s="45" t="str">
        <f>_xlfn.IFNA(TEXT(VLOOKUP(U107,'Incoming Material Report'!A:D,4,FALSE),"dd.mm.yy"),"")</f>
        <v/>
      </c>
    </row>
    <row r="108" spans="23:43" x14ac:dyDescent="0.25">
      <c r="W108" s="44"/>
      <c r="AG108" s="45" t="str">
        <f>_xlfn.IFNA(VLOOKUP(U108,'Incoming Material Report'!A:M,13,FALSE),"")</f>
        <v/>
      </c>
      <c r="AH108" s="45" t="str">
        <f>_xlfn.IFNA(IF(VLOOKUP(U108,'Incoming Material Report'!A:N,14,FALSE)="","",VLOOKUP(U108,'Incoming Material Report'!A:N,14,FALSE)),"")</f>
        <v/>
      </c>
      <c r="AI108" s="45" t="str">
        <f>_xlfn.IFNA(VLOOKUP(U108,'Incoming Material Report'!A:Z,24,FALSE),"")</f>
        <v/>
      </c>
      <c r="AJ108" s="45" t="str">
        <f>_xlfn.IFNA(VLOOKUP(U108,'Incoming Material Report'!A:Z,25,FALSE),"")</f>
        <v/>
      </c>
      <c r="AK108" s="45" t="str">
        <f>_xlfn.IFNA(VLOOKUP(U108,'Incoming Material Report'!A:Z,26,FALSE),"")</f>
        <v/>
      </c>
      <c r="AL108" s="45" t="str">
        <f>_xlfn.IFNA(VLOOKUP(U108,'Incoming Material Report'!A:Z,2,FALSE),"")</f>
        <v/>
      </c>
      <c r="AM108" s="45" t="str">
        <f>_xlfn.IFNA(VLOOKUP(U108,'Incoming Material Report'!A:K,11,FALSE)/1000,"")</f>
        <v/>
      </c>
      <c r="AO108" s="45" t="str">
        <f>_xlfn.IFNA(VLOOKUP(U108,'Incoming Material Report'!A:R,18,FALSE)*1000,"")</f>
        <v/>
      </c>
      <c r="AQ108" s="45" t="str">
        <f>_xlfn.IFNA(TEXT(VLOOKUP(U108,'Incoming Material Report'!A:D,4,FALSE),"dd.mm.yy"),"")</f>
        <v/>
      </c>
    </row>
    <row r="109" spans="23:43" x14ac:dyDescent="0.25">
      <c r="W109" s="44"/>
      <c r="AG109" s="45" t="str">
        <f>_xlfn.IFNA(VLOOKUP(U109,'Incoming Material Report'!A:M,13,FALSE),"")</f>
        <v/>
      </c>
      <c r="AH109" s="45" t="str">
        <f>_xlfn.IFNA(IF(VLOOKUP(U109,'Incoming Material Report'!A:N,14,FALSE)="","",VLOOKUP(U109,'Incoming Material Report'!A:N,14,FALSE)),"")</f>
        <v/>
      </c>
      <c r="AI109" s="45" t="str">
        <f>_xlfn.IFNA(VLOOKUP(U109,'Incoming Material Report'!A:Z,24,FALSE),"")</f>
        <v/>
      </c>
      <c r="AJ109" s="45" t="str">
        <f>_xlfn.IFNA(VLOOKUP(U109,'Incoming Material Report'!A:Z,25,FALSE),"")</f>
        <v/>
      </c>
      <c r="AK109" s="45" t="str">
        <f>_xlfn.IFNA(VLOOKUP(U109,'Incoming Material Report'!A:Z,26,FALSE),"")</f>
        <v/>
      </c>
      <c r="AL109" s="45" t="str">
        <f>_xlfn.IFNA(VLOOKUP(U109,'Incoming Material Report'!A:Z,2,FALSE),"")</f>
        <v/>
      </c>
      <c r="AM109" s="45" t="str">
        <f>_xlfn.IFNA(VLOOKUP(U109,'Incoming Material Report'!A:K,11,FALSE)/1000,"")</f>
        <v/>
      </c>
      <c r="AO109" s="45" t="str">
        <f>_xlfn.IFNA(VLOOKUP(U109,'Incoming Material Report'!A:R,18,FALSE)*1000,"")</f>
        <v/>
      </c>
      <c r="AQ109" s="45" t="str">
        <f>_xlfn.IFNA(TEXT(VLOOKUP(U109,'Incoming Material Report'!A:D,4,FALSE),"dd.mm.yy"),"")</f>
        <v/>
      </c>
    </row>
    <row r="110" spans="23:43" x14ac:dyDescent="0.25">
      <c r="W110" s="44"/>
      <c r="AG110" s="45" t="str">
        <f>_xlfn.IFNA(VLOOKUP(U110,'Incoming Material Report'!A:M,13,FALSE),"")</f>
        <v/>
      </c>
      <c r="AH110" s="45" t="str">
        <f>_xlfn.IFNA(IF(VLOOKUP(U110,'Incoming Material Report'!A:N,14,FALSE)="","",VLOOKUP(U110,'Incoming Material Report'!A:N,14,FALSE)),"")</f>
        <v/>
      </c>
      <c r="AI110" s="45" t="str">
        <f>_xlfn.IFNA(VLOOKUP(U110,'Incoming Material Report'!A:Z,24,FALSE),"")</f>
        <v/>
      </c>
      <c r="AJ110" s="45" t="str">
        <f>_xlfn.IFNA(VLOOKUP(U110,'Incoming Material Report'!A:Z,25,FALSE),"")</f>
        <v/>
      </c>
      <c r="AK110" s="45" t="str">
        <f>_xlfn.IFNA(VLOOKUP(U110,'Incoming Material Report'!A:Z,26,FALSE),"")</f>
        <v/>
      </c>
      <c r="AL110" s="45" t="str">
        <f>_xlfn.IFNA(VLOOKUP(U110,'Incoming Material Report'!A:Z,2,FALSE),"")</f>
        <v/>
      </c>
      <c r="AM110" s="45" t="str">
        <f>_xlfn.IFNA(VLOOKUP(U110,'Incoming Material Report'!A:K,11,FALSE)/1000,"")</f>
        <v/>
      </c>
      <c r="AO110" s="45" t="str">
        <f>_xlfn.IFNA(VLOOKUP(U110,'Incoming Material Report'!A:R,18,FALSE)*1000,"")</f>
        <v/>
      </c>
      <c r="AQ110" s="45" t="str">
        <f>_xlfn.IFNA(TEXT(VLOOKUP(U110,'Incoming Material Report'!A:D,4,FALSE),"dd.mm.yy"),"")</f>
        <v/>
      </c>
    </row>
    <row r="111" spans="23:43" x14ac:dyDescent="0.25">
      <c r="W111" s="44"/>
      <c r="AG111" s="45" t="str">
        <f>_xlfn.IFNA(VLOOKUP(U111,'Incoming Material Report'!A:M,13,FALSE),"")</f>
        <v/>
      </c>
      <c r="AH111" s="45" t="str">
        <f>_xlfn.IFNA(IF(VLOOKUP(U111,'Incoming Material Report'!A:N,14,FALSE)="","",VLOOKUP(U111,'Incoming Material Report'!A:N,14,FALSE)),"")</f>
        <v/>
      </c>
      <c r="AI111" s="45" t="str">
        <f>_xlfn.IFNA(VLOOKUP(U111,'Incoming Material Report'!A:Z,24,FALSE),"")</f>
        <v/>
      </c>
      <c r="AJ111" s="45" t="str">
        <f>_xlfn.IFNA(VLOOKUP(U111,'Incoming Material Report'!A:Z,25,FALSE),"")</f>
        <v/>
      </c>
      <c r="AK111" s="45" t="str">
        <f>_xlfn.IFNA(VLOOKUP(U111,'Incoming Material Report'!A:Z,26,FALSE),"")</f>
        <v/>
      </c>
      <c r="AL111" s="45" t="str">
        <f>_xlfn.IFNA(VLOOKUP(U111,'Incoming Material Report'!A:Z,2,FALSE),"")</f>
        <v/>
      </c>
      <c r="AM111" s="45" t="str">
        <f>_xlfn.IFNA(VLOOKUP(U111,'Incoming Material Report'!A:K,11,FALSE)/1000,"")</f>
        <v/>
      </c>
      <c r="AO111" s="45" t="str">
        <f>_xlfn.IFNA(VLOOKUP(U111,'Incoming Material Report'!A:R,18,FALSE)*1000,"")</f>
        <v/>
      </c>
      <c r="AQ111" s="45" t="str">
        <f>_xlfn.IFNA(TEXT(VLOOKUP(U111,'Incoming Material Report'!A:D,4,FALSE),"dd.mm.yy"),"")</f>
        <v/>
      </c>
    </row>
    <row r="112" spans="23:43" x14ac:dyDescent="0.25">
      <c r="W112" s="44"/>
      <c r="AG112" s="45" t="str">
        <f>_xlfn.IFNA(VLOOKUP(U112,'Incoming Material Report'!A:M,13,FALSE),"")</f>
        <v/>
      </c>
      <c r="AH112" s="45" t="str">
        <f>_xlfn.IFNA(IF(VLOOKUP(U112,'Incoming Material Report'!A:N,14,FALSE)="","",VLOOKUP(U112,'Incoming Material Report'!A:N,14,FALSE)),"")</f>
        <v/>
      </c>
      <c r="AI112" s="45" t="str">
        <f>_xlfn.IFNA(VLOOKUP(U112,'Incoming Material Report'!A:Z,24,FALSE),"")</f>
        <v/>
      </c>
      <c r="AJ112" s="45" t="str">
        <f>_xlfn.IFNA(VLOOKUP(U112,'Incoming Material Report'!A:Z,25,FALSE),"")</f>
        <v/>
      </c>
      <c r="AK112" s="45" t="str">
        <f>_xlfn.IFNA(VLOOKUP(U112,'Incoming Material Report'!A:Z,26,FALSE),"")</f>
        <v/>
      </c>
      <c r="AL112" s="45" t="str">
        <f>_xlfn.IFNA(VLOOKUP(U112,'Incoming Material Report'!A:Z,2,FALSE),"")</f>
        <v/>
      </c>
      <c r="AM112" s="45" t="str">
        <f>_xlfn.IFNA(VLOOKUP(U112,'Incoming Material Report'!A:K,11,FALSE)/1000,"")</f>
        <v/>
      </c>
      <c r="AO112" s="45" t="str">
        <f>_xlfn.IFNA(VLOOKUP(U112,'Incoming Material Report'!A:R,18,FALSE)*1000,"")</f>
        <v/>
      </c>
      <c r="AQ112" s="45" t="str">
        <f>_xlfn.IFNA(TEXT(VLOOKUP(U112,'Incoming Material Report'!A:D,4,FALSE),"dd.mm.yy"),"")</f>
        <v/>
      </c>
    </row>
    <row r="113" spans="23:43" x14ac:dyDescent="0.25">
      <c r="W113" s="44"/>
      <c r="AG113" s="45" t="str">
        <f>_xlfn.IFNA(VLOOKUP(U113,'Incoming Material Report'!A:M,13,FALSE),"")</f>
        <v/>
      </c>
      <c r="AH113" s="45" t="str">
        <f>_xlfn.IFNA(IF(VLOOKUP(U113,'Incoming Material Report'!A:N,14,FALSE)="","",VLOOKUP(U113,'Incoming Material Report'!A:N,14,FALSE)),"")</f>
        <v/>
      </c>
      <c r="AI113" s="45" t="str">
        <f>_xlfn.IFNA(VLOOKUP(U113,'Incoming Material Report'!A:Z,24,FALSE),"")</f>
        <v/>
      </c>
      <c r="AJ113" s="45" t="str">
        <f>_xlfn.IFNA(VLOOKUP(U113,'Incoming Material Report'!A:Z,25,FALSE),"")</f>
        <v/>
      </c>
      <c r="AK113" s="45" t="str">
        <f>_xlfn.IFNA(VLOOKUP(U113,'Incoming Material Report'!A:Z,26,FALSE),"")</f>
        <v/>
      </c>
      <c r="AL113" s="45" t="str">
        <f>_xlfn.IFNA(VLOOKUP(U113,'Incoming Material Report'!A:Z,2,FALSE),"")</f>
        <v/>
      </c>
      <c r="AM113" s="45" t="str">
        <f>_xlfn.IFNA(VLOOKUP(U113,'Incoming Material Report'!A:K,11,FALSE)/1000,"")</f>
        <v/>
      </c>
      <c r="AO113" s="45" t="str">
        <f>_xlfn.IFNA(VLOOKUP(U113,'Incoming Material Report'!A:R,18,FALSE)*1000,"")</f>
        <v/>
      </c>
      <c r="AQ113" s="45" t="str">
        <f>_xlfn.IFNA(TEXT(VLOOKUP(U113,'Incoming Material Report'!A:D,4,FALSE),"dd.mm.yy"),"")</f>
        <v/>
      </c>
    </row>
    <row r="114" spans="23:43" x14ac:dyDescent="0.25">
      <c r="W114" s="44"/>
    </row>
    <row r="115" spans="23:43" x14ac:dyDescent="0.25">
      <c r="W115" s="44"/>
    </row>
    <row r="116" spans="23:43" x14ac:dyDescent="0.25">
      <c r="W116" s="44"/>
    </row>
    <row r="117" spans="23:43" x14ac:dyDescent="0.25">
      <c r="W117" s="44"/>
    </row>
    <row r="118" spans="23:43" x14ac:dyDescent="0.25">
      <c r="W118" s="44"/>
    </row>
    <row r="119" spans="23:43" x14ac:dyDescent="0.25">
      <c r="W119" s="44"/>
    </row>
    <row r="120" spans="23:43" x14ac:dyDescent="0.25">
      <c r="W120" s="44"/>
    </row>
    <row r="121" spans="23:43" x14ac:dyDescent="0.25">
      <c r="W121" s="44"/>
    </row>
    <row r="122" spans="23:43" x14ac:dyDescent="0.25">
      <c r="W122" s="44"/>
    </row>
    <row r="123" spans="23:43" x14ac:dyDescent="0.25">
      <c r="W123" s="44"/>
    </row>
    <row r="124" spans="23:43" x14ac:dyDescent="0.25">
      <c r="W124" s="44"/>
    </row>
    <row r="125" spans="23:43" x14ac:dyDescent="0.25">
      <c r="W125" s="44"/>
    </row>
    <row r="126" spans="23:43" x14ac:dyDescent="0.25">
      <c r="W126" s="44"/>
    </row>
    <row r="127" spans="23:43" x14ac:dyDescent="0.25">
      <c r="W127" s="44"/>
    </row>
    <row r="128" spans="23:43" x14ac:dyDescent="0.25">
      <c r="W128" s="44"/>
    </row>
    <row r="129" spans="23:23" x14ac:dyDescent="0.25">
      <c r="W129" s="44"/>
    </row>
    <row r="130" spans="23:23" x14ac:dyDescent="0.25">
      <c r="W130" s="44"/>
    </row>
    <row r="131" spans="23:23" x14ac:dyDescent="0.25">
      <c r="W131" s="44"/>
    </row>
    <row r="132" spans="23:23" x14ac:dyDescent="0.25">
      <c r="W132" s="44"/>
    </row>
    <row r="133" spans="23:23" x14ac:dyDescent="0.25">
      <c r="W133" s="44"/>
    </row>
    <row r="134" spans="23:23" x14ac:dyDescent="0.25">
      <c r="W134" s="44"/>
    </row>
    <row r="135" spans="23:23" x14ac:dyDescent="0.25">
      <c r="W135" s="44"/>
    </row>
    <row r="136" spans="23:23" x14ac:dyDescent="0.25">
      <c r="W136" s="44"/>
    </row>
    <row r="137" spans="23:23" x14ac:dyDescent="0.25">
      <c r="W137" s="44"/>
    </row>
    <row r="138" spans="23:23" x14ac:dyDescent="0.25">
      <c r="W138" s="44"/>
    </row>
    <row r="139" spans="23:23" x14ac:dyDescent="0.25">
      <c r="W139" s="44"/>
    </row>
    <row r="140" spans="23:23" x14ac:dyDescent="0.25">
      <c r="W140" s="44"/>
    </row>
    <row r="141" spans="23:23" x14ac:dyDescent="0.25">
      <c r="W141" s="44"/>
    </row>
    <row r="142" spans="23:23" x14ac:dyDescent="0.25">
      <c r="W142" s="44"/>
    </row>
    <row r="143" spans="23:23" x14ac:dyDescent="0.25">
      <c r="W143" s="44"/>
    </row>
    <row r="144" spans="23:23" x14ac:dyDescent="0.25">
      <c r="W144" s="44"/>
    </row>
    <row r="145" spans="23:23" x14ac:dyDescent="0.25">
      <c r="W145" s="44"/>
    </row>
    <row r="146" spans="23:23" x14ac:dyDescent="0.25">
      <c r="W146" s="44"/>
    </row>
    <row r="147" spans="23:23" x14ac:dyDescent="0.25">
      <c r="W147" s="44"/>
    </row>
    <row r="148" spans="23:23" x14ac:dyDescent="0.25">
      <c r="W148" s="44"/>
    </row>
    <row r="149" spans="23:23" x14ac:dyDescent="0.25">
      <c r="W149" s="44"/>
    </row>
    <row r="150" spans="23:23" x14ac:dyDescent="0.25">
      <c r="W150" s="44"/>
    </row>
    <row r="151" spans="23:23" x14ac:dyDescent="0.25">
      <c r="W151" s="44"/>
    </row>
    <row r="152" spans="23:23" x14ac:dyDescent="0.25">
      <c r="W152" s="44"/>
    </row>
    <row r="153" spans="23:23" x14ac:dyDescent="0.25">
      <c r="W153" s="44"/>
    </row>
    <row r="154" spans="23:23" x14ac:dyDescent="0.25">
      <c r="W154" s="44"/>
    </row>
    <row r="155" spans="23:23" x14ac:dyDescent="0.25">
      <c r="W155" s="44"/>
    </row>
    <row r="156" spans="23:23" x14ac:dyDescent="0.25">
      <c r="W156" s="44"/>
    </row>
    <row r="157" spans="23:23" x14ac:dyDescent="0.25">
      <c r="W157" s="44"/>
    </row>
    <row r="158" spans="23:23" x14ac:dyDescent="0.25">
      <c r="W158" s="44"/>
    </row>
    <row r="159" spans="23:23" x14ac:dyDescent="0.25">
      <c r="W159" s="44"/>
    </row>
    <row r="160" spans="23:23" x14ac:dyDescent="0.25">
      <c r="W160" s="44"/>
    </row>
    <row r="161" spans="23:23" x14ac:dyDescent="0.25">
      <c r="W161" s="44"/>
    </row>
    <row r="162" spans="23:23" x14ac:dyDescent="0.25">
      <c r="W162" s="44"/>
    </row>
    <row r="163" spans="23:23" x14ac:dyDescent="0.25">
      <c r="W163" s="44"/>
    </row>
    <row r="164" spans="23:23" x14ac:dyDescent="0.25">
      <c r="W164" s="44"/>
    </row>
    <row r="165" spans="23:23" x14ac:dyDescent="0.25">
      <c r="W165" s="44"/>
    </row>
    <row r="166" spans="23:23" x14ac:dyDescent="0.25">
      <c r="W166" s="44"/>
    </row>
    <row r="167" spans="23:23" x14ac:dyDescent="0.25">
      <c r="W167" s="44"/>
    </row>
    <row r="168" spans="23:23" x14ac:dyDescent="0.25">
      <c r="W168" s="44"/>
    </row>
    <row r="169" spans="23:23" x14ac:dyDescent="0.25">
      <c r="W169" s="44"/>
    </row>
    <row r="170" spans="23:23" x14ac:dyDescent="0.25">
      <c r="W170" s="44"/>
    </row>
    <row r="171" spans="23:23" x14ac:dyDescent="0.25">
      <c r="W171" s="44"/>
    </row>
    <row r="172" spans="23:23" x14ac:dyDescent="0.25">
      <c r="W172" s="44"/>
    </row>
    <row r="173" spans="23:23" x14ac:dyDescent="0.25">
      <c r="W173" s="44"/>
    </row>
    <row r="174" spans="23:23" x14ac:dyDescent="0.25">
      <c r="W174" s="44"/>
    </row>
    <row r="175" spans="23:23" x14ac:dyDescent="0.25">
      <c r="W175" s="44"/>
    </row>
    <row r="176" spans="23:23" x14ac:dyDescent="0.25">
      <c r="W176" s="44"/>
    </row>
    <row r="177" spans="23:23" x14ac:dyDescent="0.25">
      <c r="W177" s="44"/>
    </row>
    <row r="178" spans="23:23" x14ac:dyDescent="0.25">
      <c r="W178" s="44"/>
    </row>
    <row r="179" spans="23:23" x14ac:dyDescent="0.25">
      <c r="W179" s="44"/>
    </row>
    <row r="180" spans="23:23" x14ac:dyDescent="0.25">
      <c r="W180" s="44"/>
    </row>
    <row r="181" spans="23:23" x14ac:dyDescent="0.25">
      <c r="W181" s="44"/>
    </row>
    <row r="182" spans="23:23" x14ac:dyDescent="0.25">
      <c r="W182" s="44"/>
    </row>
    <row r="183" spans="23:23" x14ac:dyDescent="0.25">
      <c r="W183" s="44"/>
    </row>
    <row r="184" spans="23:23" x14ac:dyDescent="0.25">
      <c r="W184" s="44"/>
    </row>
    <row r="185" spans="23:23" x14ac:dyDescent="0.25">
      <c r="W185" s="44"/>
    </row>
    <row r="186" spans="23:23" x14ac:dyDescent="0.25">
      <c r="W186" s="44"/>
    </row>
    <row r="187" spans="23:23" x14ac:dyDescent="0.25">
      <c r="W187" s="44"/>
    </row>
    <row r="188" spans="23:23" x14ac:dyDescent="0.25">
      <c r="W188" s="44"/>
    </row>
    <row r="189" spans="23:23" x14ac:dyDescent="0.25">
      <c r="W189" s="44"/>
    </row>
    <row r="190" spans="23:23" x14ac:dyDescent="0.25">
      <c r="W190" s="44"/>
    </row>
    <row r="191" spans="23:23" x14ac:dyDescent="0.25">
      <c r="W191" s="44"/>
    </row>
    <row r="192" spans="23:23" x14ac:dyDescent="0.25">
      <c r="W192" s="44"/>
    </row>
    <row r="193" spans="23:23" x14ac:dyDescent="0.25">
      <c r="W193" s="44"/>
    </row>
    <row r="194" spans="23:23" x14ac:dyDescent="0.25">
      <c r="W194" s="44"/>
    </row>
    <row r="195" spans="23:23" x14ac:dyDescent="0.25">
      <c r="W195" s="44"/>
    </row>
    <row r="196" spans="23:23" x14ac:dyDescent="0.25">
      <c r="W196" s="44"/>
    </row>
    <row r="197" spans="23:23" x14ac:dyDescent="0.25">
      <c r="W197" s="44"/>
    </row>
    <row r="198" spans="23:23" x14ac:dyDescent="0.25">
      <c r="W198" s="44"/>
    </row>
    <row r="199" spans="23:23" x14ac:dyDescent="0.25">
      <c r="W199" s="44"/>
    </row>
    <row r="200" spans="23:23" x14ac:dyDescent="0.25">
      <c r="W200" s="44"/>
    </row>
    <row r="201" spans="23:23" x14ac:dyDescent="0.25">
      <c r="W201" s="44"/>
    </row>
    <row r="202" spans="23:23" x14ac:dyDescent="0.25">
      <c r="W202" s="44"/>
    </row>
    <row r="203" spans="23:23" x14ac:dyDescent="0.25">
      <c r="W203" s="44"/>
    </row>
    <row r="204" spans="23:23" x14ac:dyDescent="0.25">
      <c r="W204" s="44"/>
    </row>
    <row r="205" spans="23:23" x14ac:dyDescent="0.25">
      <c r="W205" s="44"/>
    </row>
    <row r="206" spans="23:23" x14ac:dyDescent="0.25">
      <c r="W206" s="44"/>
    </row>
    <row r="207" spans="23:23" x14ac:dyDescent="0.25">
      <c r="W207" s="44"/>
    </row>
    <row r="208" spans="23:23" x14ac:dyDescent="0.25">
      <c r="W208" s="44"/>
    </row>
    <row r="209" spans="23:23" x14ac:dyDescent="0.25">
      <c r="W209" s="44"/>
    </row>
    <row r="210" spans="23:23" x14ac:dyDescent="0.25">
      <c r="W210" s="44"/>
    </row>
    <row r="211" spans="23:23" x14ac:dyDescent="0.25">
      <c r="W211" s="44"/>
    </row>
    <row r="212" spans="23:23" x14ac:dyDescent="0.25">
      <c r="W212" s="44"/>
    </row>
    <row r="213" spans="23:23" x14ac:dyDescent="0.25">
      <c r="W213" s="44"/>
    </row>
    <row r="214" spans="23:23" x14ac:dyDescent="0.25">
      <c r="W214" s="44"/>
    </row>
    <row r="215" spans="23:23" x14ac:dyDescent="0.25">
      <c r="W215" s="44"/>
    </row>
    <row r="216" spans="23:23" x14ac:dyDescent="0.25">
      <c r="W216" s="44"/>
    </row>
    <row r="217" spans="23:23" x14ac:dyDescent="0.25">
      <c r="W217" s="44"/>
    </row>
    <row r="218" spans="23:23" x14ac:dyDescent="0.25">
      <c r="W218" s="44"/>
    </row>
    <row r="219" spans="23:23" x14ac:dyDescent="0.25">
      <c r="W219" s="44"/>
    </row>
    <row r="220" spans="23:23" x14ac:dyDescent="0.25">
      <c r="W220" s="44"/>
    </row>
    <row r="221" spans="23:23" x14ac:dyDescent="0.25">
      <c r="W221" s="44"/>
    </row>
    <row r="222" spans="23:23" x14ac:dyDescent="0.25">
      <c r="W222" s="44"/>
    </row>
    <row r="223" spans="23:23" x14ac:dyDescent="0.25">
      <c r="W223" s="44"/>
    </row>
    <row r="224" spans="23:23" x14ac:dyDescent="0.25">
      <c r="W224" s="44"/>
    </row>
    <row r="225" spans="23:23" x14ac:dyDescent="0.25">
      <c r="W225" s="44"/>
    </row>
    <row r="226" spans="23:23" x14ac:dyDescent="0.25">
      <c r="W226" s="44"/>
    </row>
    <row r="227" spans="23:23" x14ac:dyDescent="0.25">
      <c r="W227" s="44"/>
    </row>
    <row r="228" spans="23:23" x14ac:dyDescent="0.25">
      <c r="W228" s="44"/>
    </row>
    <row r="229" spans="23:23" x14ac:dyDescent="0.25">
      <c r="W229" s="44"/>
    </row>
    <row r="230" spans="23:23" x14ac:dyDescent="0.25">
      <c r="W230" s="44"/>
    </row>
    <row r="231" spans="23:23" x14ac:dyDescent="0.25">
      <c r="W231" s="44"/>
    </row>
    <row r="232" spans="23:23" x14ac:dyDescent="0.25">
      <c r="W232" s="44"/>
    </row>
    <row r="233" spans="23:23" x14ac:dyDescent="0.25">
      <c r="W233" s="44"/>
    </row>
    <row r="234" spans="23:23" x14ac:dyDescent="0.25">
      <c r="W234" s="44"/>
    </row>
    <row r="235" spans="23:23" x14ac:dyDescent="0.25">
      <c r="W235" s="44"/>
    </row>
    <row r="236" spans="23:23" x14ac:dyDescent="0.25">
      <c r="W236" s="44"/>
    </row>
    <row r="237" spans="23:23" x14ac:dyDescent="0.25">
      <c r="W237" s="44"/>
    </row>
    <row r="238" spans="23:23" x14ac:dyDescent="0.25">
      <c r="W238" s="44"/>
    </row>
    <row r="239" spans="23:23" x14ac:dyDescent="0.25">
      <c r="W239" s="44"/>
    </row>
    <row r="240" spans="23:23" x14ac:dyDescent="0.25">
      <c r="W240" s="44"/>
    </row>
    <row r="241" spans="23:23" x14ac:dyDescent="0.25">
      <c r="W241" s="44"/>
    </row>
    <row r="242" spans="23:23" x14ac:dyDescent="0.25">
      <c r="W242" s="44"/>
    </row>
    <row r="243" spans="23:23" x14ac:dyDescent="0.25">
      <c r="W243" s="44"/>
    </row>
    <row r="244" spans="23:23" x14ac:dyDescent="0.25">
      <c r="W244" s="44"/>
    </row>
    <row r="245" spans="23:23" x14ac:dyDescent="0.25">
      <c r="W245" s="44"/>
    </row>
    <row r="246" spans="23:23" x14ac:dyDescent="0.25">
      <c r="W246" s="44"/>
    </row>
    <row r="247" spans="23:23" x14ac:dyDescent="0.25">
      <c r="W247" s="44"/>
    </row>
    <row r="248" spans="23:23" x14ac:dyDescent="0.25">
      <c r="W248" s="44"/>
    </row>
    <row r="249" spans="23:23" x14ac:dyDescent="0.25">
      <c r="W249" s="44"/>
    </row>
    <row r="250" spans="23:23" x14ac:dyDescent="0.25">
      <c r="W250" s="44"/>
    </row>
    <row r="251" spans="23:23" x14ac:dyDescent="0.25">
      <c r="W251" s="44"/>
    </row>
    <row r="252" spans="23:23" x14ac:dyDescent="0.25">
      <c r="W252" s="44"/>
    </row>
    <row r="253" spans="23:23" x14ac:dyDescent="0.25">
      <c r="W253" s="44"/>
    </row>
    <row r="254" spans="23:23" x14ac:dyDescent="0.25">
      <c r="W254" s="44"/>
    </row>
    <row r="255" spans="23:23" x14ac:dyDescent="0.25">
      <c r="W255" s="44"/>
    </row>
    <row r="256" spans="23:23" x14ac:dyDescent="0.25">
      <c r="W256" s="44"/>
    </row>
    <row r="257" spans="23:23" x14ac:dyDescent="0.25">
      <c r="W257" s="44"/>
    </row>
    <row r="258" spans="23:23" x14ac:dyDescent="0.25">
      <c r="W258" s="44"/>
    </row>
    <row r="259" spans="23:23" x14ac:dyDescent="0.25">
      <c r="W259" s="44"/>
    </row>
    <row r="260" spans="23:23" x14ac:dyDescent="0.25">
      <c r="W260" s="44"/>
    </row>
    <row r="261" spans="23:23" x14ac:dyDescent="0.25">
      <c r="W261" s="44"/>
    </row>
    <row r="262" spans="23:23" x14ac:dyDescent="0.25">
      <c r="W262" s="44"/>
    </row>
    <row r="263" spans="23:23" x14ac:dyDescent="0.25">
      <c r="W263" s="44"/>
    </row>
    <row r="264" spans="23:23" x14ac:dyDescent="0.25">
      <c r="W264" s="44"/>
    </row>
    <row r="265" spans="23:23" x14ac:dyDescent="0.25">
      <c r="W265" s="44"/>
    </row>
    <row r="266" spans="23:23" x14ac:dyDescent="0.25">
      <c r="W266" s="44"/>
    </row>
    <row r="267" spans="23:23" x14ac:dyDescent="0.25">
      <c r="W267" s="44"/>
    </row>
    <row r="268" spans="23:23" x14ac:dyDescent="0.25">
      <c r="W268" s="44"/>
    </row>
    <row r="269" spans="23:23" x14ac:dyDescent="0.25">
      <c r="W269" s="44"/>
    </row>
    <row r="270" spans="23:23" x14ac:dyDescent="0.25">
      <c r="W270" s="44"/>
    </row>
    <row r="271" spans="23:23" x14ac:dyDescent="0.25">
      <c r="W271" s="44"/>
    </row>
    <row r="272" spans="23:23" x14ac:dyDescent="0.25">
      <c r="W272" s="44"/>
    </row>
    <row r="273" spans="23:23" x14ac:dyDescent="0.25">
      <c r="W273" s="44"/>
    </row>
    <row r="274" spans="23:23" x14ac:dyDescent="0.25">
      <c r="W274" s="44"/>
    </row>
    <row r="275" spans="23:23" x14ac:dyDescent="0.25">
      <c r="W275" s="44"/>
    </row>
    <row r="276" spans="23:23" x14ac:dyDescent="0.25">
      <c r="W276" s="44"/>
    </row>
    <row r="277" spans="23:23" x14ac:dyDescent="0.25">
      <c r="W277" s="44"/>
    </row>
    <row r="278" spans="23:23" x14ac:dyDescent="0.25">
      <c r="W278" s="44"/>
    </row>
    <row r="279" spans="23:23" x14ac:dyDescent="0.25">
      <c r="W279" s="44"/>
    </row>
    <row r="280" spans="23:23" x14ac:dyDescent="0.25">
      <c r="W280" s="44"/>
    </row>
    <row r="281" spans="23:23" x14ac:dyDescent="0.25">
      <c r="W281" s="44"/>
    </row>
    <row r="282" spans="23:23" x14ac:dyDescent="0.25">
      <c r="W282" s="44"/>
    </row>
    <row r="283" spans="23:23" x14ac:dyDescent="0.25">
      <c r="W283" s="44"/>
    </row>
    <row r="284" spans="23:23" x14ac:dyDescent="0.25">
      <c r="W284" s="44"/>
    </row>
    <row r="285" spans="23:23" x14ac:dyDescent="0.25">
      <c r="W285" s="44"/>
    </row>
    <row r="286" spans="23:23" x14ac:dyDescent="0.25">
      <c r="W286" s="44"/>
    </row>
    <row r="287" spans="23:23" x14ac:dyDescent="0.25">
      <c r="W287" s="44"/>
    </row>
    <row r="288" spans="23:23" x14ac:dyDescent="0.25">
      <c r="W288" s="44"/>
    </row>
    <row r="289" spans="23:23" x14ac:dyDescent="0.25">
      <c r="W289" s="44"/>
    </row>
    <row r="290" spans="23:23" x14ac:dyDescent="0.25">
      <c r="W290" s="44"/>
    </row>
    <row r="291" spans="23:23" x14ac:dyDescent="0.25">
      <c r="W291" s="44"/>
    </row>
    <row r="292" spans="23:23" x14ac:dyDescent="0.25">
      <c r="W292" s="44"/>
    </row>
    <row r="293" spans="23:23" x14ac:dyDescent="0.25">
      <c r="W293" s="44"/>
    </row>
    <row r="294" spans="23:23" x14ac:dyDescent="0.25">
      <c r="W294" s="44"/>
    </row>
    <row r="295" spans="23:23" x14ac:dyDescent="0.25">
      <c r="W295" s="44"/>
    </row>
    <row r="296" spans="23:23" x14ac:dyDescent="0.25">
      <c r="W296" s="44"/>
    </row>
    <row r="297" spans="23:23" x14ac:dyDescent="0.25">
      <c r="W297" s="44"/>
    </row>
    <row r="298" spans="23:23" x14ac:dyDescent="0.25">
      <c r="W298" s="44"/>
    </row>
    <row r="299" spans="23:23" x14ac:dyDescent="0.25">
      <c r="W299" s="44"/>
    </row>
    <row r="300" spans="23:23" x14ac:dyDescent="0.25">
      <c r="W300" s="44"/>
    </row>
    <row r="301" spans="23:23" x14ac:dyDescent="0.25">
      <c r="W301" s="44"/>
    </row>
    <row r="302" spans="23:23" x14ac:dyDescent="0.25">
      <c r="W302" s="44"/>
    </row>
    <row r="303" spans="23:23" x14ac:dyDescent="0.25">
      <c r="W303" s="44"/>
    </row>
    <row r="304" spans="23:23" x14ac:dyDescent="0.25">
      <c r="W304" s="44"/>
    </row>
    <row r="305" spans="23:23" x14ac:dyDescent="0.25">
      <c r="W305" s="44"/>
    </row>
    <row r="306" spans="23:23" x14ac:dyDescent="0.25">
      <c r="W306" s="44"/>
    </row>
    <row r="307" spans="23:23" x14ac:dyDescent="0.25">
      <c r="W307" s="44"/>
    </row>
    <row r="308" spans="23:23" x14ac:dyDescent="0.25">
      <c r="W308" s="44"/>
    </row>
    <row r="309" spans="23:23" x14ac:dyDescent="0.25">
      <c r="W309" s="44"/>
    </row>
    <row r="310" spans="23:23" x14ac:dyDescent="0.25">
      <c r="W310" s="44"/>
    </row>
    <row r="311" spans="23:23" x14ac:dyDescent="0.25">
      <c r="W311" s="44"/>
    </row>
    <row r="312" spans="23:23" x14ac:dyDescent="0.25">
      <c r="W312" s="44"/>
    </row>
    <row r="313" spans="23:23" x14ac:dyDescent="0.25">
      <c r="W313" s="44"/>
    </row>
    <row r="314" spans="23:23" x14ac:dyDescent="0.25">
      <c r="W314" s="44"/>
    </row>
    <row r="315" spans="23:23" x14ac:dyDescent="0.25">
      <c r="W315" s="44"/>
    </row>
    <row r="316" spans="23:23" x14ac:dyDescent="0.25">
      <c r="W316" s="44"/>
    </row>
    <row r="317" spans="23:23" x14ac:dyDescent="0.25">
      <c r="W317" s="44"/>
    </row>
    <row r="318" spans="23:23" x14ac:dyDescent="0.25">
      <c r="W318" s="44"/>
    </row>
    <row r="319" spans="23:23" x14ac:dyDescent="0.25">
      <c r="W319" s="44"/>
    </row>
    <row r="320" spans="23:23" x14ac:dyDescent="0.25">
      <c r="W320" s="44"/>
    </row>
    <row r="321" spans="23:23" x14ac:dyDescent="0.25">
      <c r="W321" s="44"/>
    </row>
    <row r="322" spans="23:23" x14ac:dyDescent="0.25">
      <c r="W322" s="44"/>
    </row>
    <row r="323" spans="23:23" x14ac:dyDescent="0.25">
      <c r="W323" s="44"/>
    </row>
    <row r="324" spans="23:23" x14ac:dyDescent="0.25">
      <c r="W324" s="44"/>
    </row>
    <row r="325" spans="23:23" x14ac:dyDescent="0.25">
      <c r="W325" s="44"/>
    </row>
    <row r="326" spans="23:23" x14ac:dyDescent="0.25">
      <c r="W326" s="44"/>
    </row>
    <row r="327" spans="23:23" x14ac:dyDescent="0.25">
      <c r="W327" s="44"/>
    </row>
    <row r="328" spans="23:23" x14ac:dyDescent="0.25">
      <c r="W328" s="44"/>
    </row>
    <row r="329" spans="23:23" x14ac:dyDescent="0.25">
      <c r="W329" s="44"/>
    </row>
    <row r="330" spans="23:23" x14ac:dyDescent="0.25">
      <c r="W330" s="44"/>
    </row>
    <row r="331" spans="23:23" x14ac:dyDescent="0.25">
      <c r="W331" s="44"/>
    </row>
    <row r="332" spans="23:23" x14ac:dyDescent="0.25">
      <c r="W332" s="44"/>
    </row>
    <row r="333" spans="23:23" x14ac:dyDescent="0.25">
      <c r="W333" s="44"/>
    </row>
    <row r="334" spans="23:23" x14ac:dyDescent="0.25">
      <c r="W334" s="44"/>
    </row>
    <row r="335" spans="23:23" x14ac:dyDescent="0.25">
      <c r="W335" s="44"/>
    </row>
    <row r="336" spans="23:23" x14ac:dyDescent="0.25">
      <c r="W336" s="44"/>
    </row>
    <row r="337" spans="23:23" x14ac:dyDescent="0.25">
      <c r="W337" s="44"/>
    </row>
    <row r="338" spans="23:23" x14ac:dyDescent="0.25">
      <c r="W338" s="44"/>
    </row>
    <row r="339" spans="23:23" x14ac:dyDescent="0.25">
      <c r="W339" s="44"/>
    </row>
    <row r="340" spans="23:23" x14ac:dyDescent="0.25">
      <c r="W340" s="44"/>
    </row>
    <row r="341" spans="23:23" x14ac:dyDescent="0.25">
      <c r="W341" s="44"/>
    </row>
    <row r="342" spans="23:23" x14ac:dyDescent="0.25">
      <c r="W342" s="44"/>
    </row>
    <row r="343" spans="23:23" x14ac:dyDescent="0.25">
      <c r="W343" s="44"/>
    </row>
    <row r="344" spans="23:23" x14ac:dyDescent="0.25">
      <c r="W344" s="44"/>
    </row>
    <row r="345" spans="23:23" x14ac:dyDescent="0.25">
      <c r="W345" s="44"/>
    </row>
    <row r="346" spans="23:23" x14ac:dyDescent="0.25">
      <c r="W346" s="44"/>
    </row>
    <row r="347" spans="23:23" x14ac:dyDescent="0.25">
      <c r="W347" s="44"/>
    </row>
    <row r="348" spans="23:23" x14ac:dyDescent="0.25">
      <c r="W348" s="44"/>
    </row>
    <row r="349" spans="23:23" x14ac:dyDescent="0.25">
      <c r="W349" s="44"/>
    </row>
    <row r="350" spans="23:23" x14ac:dyDescent="0.25">
      <c r="W350" s="44"/>
    </row>
    <row r="351" spans="23:23" x14ac:dyDescent="0.25">
      <c r="W351" s="44"/>
    </row>
    <row r="352" spans="23:23" x14ac:dyDescent="0.25">
      <c r="W352" s="44"/>
    </row>
    <row r="353" spans="23:23" x14ac:dyDescent="0.25">
      <c r="W353" s="44"/>
    </row>
    <row r="354" spans="23:23" x14ac:dyDescent="0.25">
      <c r="W354" s="44"/>
    </row>
    <row r="355" spans="23:23" x14ac:dyDescent="0.25">
      <c r="W355" s="44"/>
    </row>
    <row r="356" spans="23:23" x14ac:dyDescent="0.25">
      <c r="W356" s="44"/>
    </row>
    <row r="357" spans="23:23" x14ac:dyDescent="0.25">
      <c r="W357" s="44"/>
    </row>
    <row r="358" spans="23:23" x14ac:dyDescent="0.25">
      <c r="W358" s="44"/>
    </row>
    <row r="359" spans="23:23" x14ac:dyDescent="0.25">
      <c r="W359" s="44"/>
    </row>
    <row r="360" spans="23:23" x14ac:dyDescent="0.25">
      <c r="W360" s="44"/>
    </row>
    <row r="361" spans="23:23" x14ac:dyDescent="0.25">
      <c r="W361" s="44"/>
    </row>
    <row r="362" spans="23:23" x14ac:dyDescent="0.25">
      <c r="W362" s="44"/>
    </row>
    <row r="363" spans="23:23" x14ac:dyDescent="0.25">
      <c r="W363" s="44"/>
    </row>
    <row r="364" spans="23:23" x14ac:dyDescent="0.25">
      <c r="W364" s="44"/>
    </row>
    <row r="365" spans="23:23" x14ac:dyDescent="0.25">
      <c r="W365" s="44"/>
    </row>
    <row r="366" spans="23:23" x14ac:dyDescent="0.25">
      <c r="W366" s="44"/>
    </row>
    <row r="367" spans="23:23" x14ac:dyDescent="0.25">
      <c r="W367" s="44"/>
    </row>
    <row r="368" spans="23:23" x14ac:dyDescent="0.25">
      <c r="W368" s="44"/>
    </row>
    <row r="369" spans="23:23" x14ac:dyDescent="0.25">
      <c r="W369" s="44"/>
    </row>
    <row r="370" spans="23:23" x14ac:dyDescent="0.25">
      <c r="W370" s="44"/>
    </row>
    <row r="371" spans="23:23" x14ac:dyDescent="0.25">
      <c r="W371" s="44"/>
    </row>
    <row r="372" spans="23:23" x14ac:dyDescent="0.25">
      <c r="W372" s="44"/>
    </row>
    <row r="373" spans="23:23" x14ac:dyDescent="0.25">
      <c r="W373" s="44"/>
    </row>
    <row r="374" spans="23:23" x14ac:dyDescent="0.25">
      <c r="W374" s="44"/>
    </row>
    <row r="375" spans="23:23" x14ac:dyDescent="0.25">
      <c r="W375" s="44"/>
    </row>
    <row r="376" spans="23:23" x14ac:dyDescent="0.25">
      <c r="W376" s="44"/>
    </row>
    <row r="377" spans="23:23" x14ac:dyDescent="0.25">
      <c r="W377" s="44"/>
    </row>
    <row r="378" spans="23:23" x14ac:dyDescent="0.25">
      <c r="W378" s="44"/>
    </row>
    <row r="379" spans="23:23" x14ac:dyDescent="0.25">
      <c r="W379" s="44"/>
    </row>
    <row r="380" spans="23:23" x14ac:dyDescent="0.25">
      <c r="W380" s="44"/>
    </row>
    <row r="381" spans="23:23" x14ac:dyDescent="0.25">
      <c r="W381" s="44"/>
    </row>
    <row r="382" spans="23:23" x14ac:dyDescent="0.25">
      <c r="W382" s="44"/>
    </row>
    <row r="383" spans="23:23" x14ac:dyDescent="0.25">
      <c r="W383" s="44"/>
    </row>
    <row r="384" spans="23:23" x14ac:dyDescent="0.25">
      <c r="W384" s="44"/>
    </row>
    <row r="385" spans="23:23" x14ac:dyDescent="0.25">
      <c r="W385" s="44"/>
    </row>
    <row r="386" spans="23:23" x14ac:dyDescent="0.25">
      <c r="W386" s="44"/>
    </row>
    <row r="387" spans="23:23" x14ac:dyDescent="0.25">
      <c r="W387" s="44"/>
    </row>
    <row r="388" spans="23:23" x14ac:dyDescent="0.25">
      <c r="W388" s="44"/>
    </row>
    <row r="389" spans="23:23" x14ac:dyDescent="0.25">
      <c r="W389" s="44"/>
    </row>
    <row r="390" spans="23:23" x14ac:dyDescent="0.25">
      <c r="W390" s="44"/>
    </row>
    <row r="391" spans="23:23" x14ac:dyDescent="0.25">
      <c r="W391" s="44"/>
    </row>
    <row r="392" spans="23:23" x14ac:dyDescent="0.25">
      <c r="W392" s="44"/>
    </row>
    <row r="393" spans="23:23" x14ac:dyDescent="0.25">
      <c r="W393" s="44"/>
    </row>
    <row r="394" spans="23:23" x14ac:dyDescent="0.25">
      <c r="W394" s="44"/>
    </row>
    <row r="395" spans="23:23" x14ac:dyDescent="0.25">
      <c r="W395" s="44"/>
    </row>
    <row r="396" spans="23:23" x14ac:dyDescent="0.25">
      <c r="W396" s="44"/>
    </row>
    <row r="397" spans="23:23" x14ac:dyDescent="0.25">
      <c r="W397" s="44"/>
    </row>
    <row r="398" spans="23:23" x14ac:dyDescent="0.25">
      <c r="W398" s="44"/>
    </row>
    <row r="399" spans="23:23" x14ac:dyDescent="0.25">
      <c r="W399" s="44"/>
    </row>
    <row r="400" spans="23:23" x14ac:dyDescent="0.25">
      <c r="W400" s="44"/>
    </row>
    <row r="401" spans="23:23" x14ac:dyDescent="0.25">
      <c r="W401" s="44"/>
    </row>
    <row r="402" spans="23:23" x14ac:dyDescent="0.25">
      <c r="W402" s="44"/>
    </row>
    <row r="403" spans="23:23" x14ac:dyDescent="0.25">
      <c r="W403" s="44"/>
    </row>
    <row r="404" spans="23:23" x14ac:dyDescent="0.25">
      <c r="W404" s="44"/>
    </row>
    <row r="405" spans="23:23" x14ac:dyDescent="0.25">
      <c r="W405" s="44"/>
    </row>
    <row r="406" spans="23:23" x14ac:dyDescent="0.25">
      <c r="W406" s="44"/>
    </row>
    <row r="407" spans="23:23" x14ac:dyDescent="0.25">
      <c r="W407" s="44"/>
    </row>
    <row r="408" spans="23:23" x14ac:dyDescent="0.25">
      <c r="W408" s="44"/>
    </row>
    <row r="409" spans="23:23" x14ac:dyDescent="0.25">
      <c r="W409" s="44"/>
    </row>
    <row r="410" spans="23:23" x14ac:dyDescent="0.25">
      <c r="W410" s="44"/>
    </row>
    <row r="411" spans="23:23" x14ac:dyDescent="0.25">
      <c r="W411" s="44"/>
    </row>
    <row r="412" spans="23:23" x14ac:dyDescent="0.25">
      <c r="W412" s="44"/>
    </row>
    <row r="413" spans="23:23" x14ac:dyDescent="0.25">
      <c r="W413" s="44"/>
    </row>
    <row r="414" spans="23:23" x14ac:dyDescent="0.25">
      <c r="W414" s="44"/>
    </row>
    <row r="415" spans="23:23" x14ac:dyDescent="0.25">
      <c r="W415" s="44"/>
    </row>
    <row r="416" spans="23:23" x14ac:dyDescent="0.25">
      <c r="W416" s="44"/>
    </row>
    <row r="417" spans="23:23" x14ac:dyDescent="0.25">
      <c r="W417" s="44"/>
    </row>
    <row r="418" spans="23:23" x14ac:dyDescent="0.25">
      <c r="W418" s="44"/>
    </row>
    <row r="419" spans="23:23" x14ac:dyDescent="0.25">
      <c r="W419" s="44"/>
    </row>
    <row r="420" spans="23:23" x14ac:dyDescent="0.25">
      <c r="W420" s="44"/>
    </row>
    <row r="421" spans="23:23" x14ac:dyDescent="0.25">
      <c r="W421" s="44"/>
    </row>
    <row r="422" spans="23:23" x14ac:dyDescent="0.25">
      <c r="W422" s="44"/>
    </row>
    <row r="423" spans="23:23" x14ac:dyDescent="0.25">
      <c r="W423" s="44"/>
    </row>
    <row r="424" spans="23:23" x14ac:dyDescent="0.25">
      <c r="W424" s="44"/>
    </row>
    <row r="425" spans="23:23" x14ac:dyDescent="0.25">
      <c r="W425" s="44"/>
    </row>
    <row r="426" spans="23:23" x14ac:dyDescent="0.25">
      <c r="W426" s="44"/>
    </row>
    <row r="427" spans="23:23" x14ac:dyDescent="0.25">
      <c r="W427" s="44"/>
    </row>
    <row r="428" spans="23:23" x14ac:dyDescent="0.25">
      <c r="W428" s="44"/>
    </row>
    <row r="429" spans="23:23" x14ac:dyDescent="0.25">
      <c r="W429" s="44"/>
    </row>
    <row r="430" spans="23:23" x14ac:dyDescent="0.25">
      <c r="W430" s="44"/>
    </row>
    <row r="431" spans="23:23" x14ac:dyDescent="0.25">
      <c r="W431" s="44"/>
    </row>
    <row r="432" spans="23:23" x14ac:dyDescent="0.25">
      <c r="W432" s="44"/>
    </row>
    <row r="433" spans="23:23" x14ac:dyDescent="0.25">
      <c r="W433" s="44"/>
    </row>
    <row r="434" spans="23:23" x14ac:dyDescent="0.25">
      <c r="W434" s="44"/>
    </row>
    <row r="435" spans="23:23" x14ac:dyDescent="0.25">
      <c r="W435" s="44"/>
    </row>
    <row r="436" spans="23:23" x14ac:dyDescent="0.25">
      <c r="W436" s="44"/>
    </row>
    <row r="437" spans="23:23" x14ac:dyDescent="0.25">
      <c r="W437" s="44"/>
    </row>
    <row r="438" spans="23:23" x14ac:dyDescent="0.25">
      <c r="W438" s="44"/>
    </row>
    <row r="439" spans="23:23" x14ac:dyDescent="0.25">
      <c r="W439" s="44"/>
    </row>
    <row r="440" spans="23:23" x14ac:dyDescent="0.25">
      <c r="W440" s="44"/>
    </row>
    <row r="441" spans="23:23" x14ac:dyDescent="0.25">
      <c r="W441" s="44"/>
    </row>
    <row r="442" spans="23:23" x14ac:dyDescent="0.25">
      <c r="W442" s="44"/>
    </row>
    <row r="443" spans="23:23" x14ac:dyDescent="0.25">
      <c r="W443" s="44"/>
    </row>
    <row r="444" spans="23:23" x14ac:dyDescent="0.25">
      <c r="W444" s="44"/>
    </row>
    <row r="445" spans="23:23" x14ac:dyDescent="0.25">
      <c r="W445" s="44"/>
    </row>
    <row r="446" spans="23:23" x14ac:dyDescent="0.25">
      <c r="W446" s="44"/>
    </row>
    <row r="447" spans="23:23" x14ac:dyDescent="0.25">
      <c r="W447" s="44"/>
    </row>
    <row r="448" spans="23:23" x14ac:dyDescent="0.25">
      <c r="W448" s="44"/>
    </row>
    <row r="449" spans="23:23" x14ac:dyDescent="0.25">
      <c r="W449" s="44"/>
    </row>
    <row r="450" spans="23:23" x14ac:dyDescent="0.25">
      <c r="W450" s="44"/>
    </row>
    <row r="451" spans="23:23" x14ac:dyDescent="0.25">
      <c r="W451" s="44"/>
    </row>
    <row r="452" spans="23:23" x14ac:dyDescent="0.25">
      <c r="W452" s="44"/>
    </row>
    <row r="453" spans="23:23" x14ac:dyDescent="0.25">
      <c r="W453" s="44"/>
    </row>
    <row r="454" spans="23:23" x14ac:dyDescent="0.25">
      <c r="W454" s="44"/>
    </row>
    <row r="455" spans="23:23" x14ac:dyDescent="0.25">
      <c r="W455" s="44"/>
    </row>
    <row r="456" spans="23:23" x14ac:dyDescent="0.25">
      <c r="W456" s="44"/>
    </row>
    <row r="457" spans="23:23" x14ac:dyDescent="0.25">
      <c r="W457" s="44"/>
    </row>
    <row r="458" spans="23:23" x14ac:dyDescent="0.25">
      <c r="W458" s="44"/>
    </row>
    <row r="459" spans="23:23" x14ac:dyDescent="0.25">
      <c r="W459" s="44"/>
    </row>
    <row r="460" spans="23:23" x14ac:dyDescent="0.25">
      <c r="W460" s="44"/>
    </row>
    <row r="461" spans="23:23" x14ac:dyDescent="0.25">
      <c r="W461" s="44"/>
    </row>
    <row r="462" spans="23:23" x14ac:dyDescent="0.25">
      <c r="W462" s="44"/>
    </row>
    <row r="463" spans="23:23" x14ac:dyDescent="0.25">
      <c r="W463" s="44"/>
    </row>
    <row r="464" spans="23:23" x14ac:dyDescent="0.25">
      <c r="W464" s="44"/>
    </row>
    <row r="465" spans="23:23" x14ac:dyDescent="0.25">
      <c r="W465" s="44"/>
    </row>
    <row r="466" spans="23:23" x14ac:dyDescent="0.25">
      <c r="W466" s="44"/>
    </row>
    <row r="467" spans="23:23" x14ac:dyDescent="0.25">
      <c r="W467" s="44"/>
    </row>
    <row r="468" spans="23:23" x14ac:dyDescent="0.25">
      <c r="W468" s="44"/>
    </row>
    <row r="469" spans="23:23" x14ac:dyDescent="0.25">
      <c r="W469" s="44"/>
    </row>
    <row r="470" spans="23:23" x14ac:dyDescent="0.25">
      <c r="W470" s="44"/>
    </row>
    <row r="471" spans="23:23" x14ac:dyDescent="0.25">
      <c r="W471" s="44"/>
    </row>
    <row r="472" spans="23:23" x14ac:dyDescent="0.25">
      <c r="W472" s="44"/>
    </row>
    <row r="473" spans="23:23" x14ac:dyDescent="0.25">
      <c r="W473" s="44"/>
    </row>
    <row r="474" spans="23:23" x14ac:dyDescent="0.25">
      <c r="W474" s="44"/>
    </row>
    <row r="475" spans="23:23" x14ac:dyDescent="0.25">
      <c r="W475" s="44"/>
    </row>
    <row r="476" spans="23:23" x14ac:dyDescent="0.25">
      <c r="W476" s="44"/>
    </row>
    <row r="477" spans="23:23" x14ac:dyDescent="0.25">
      <c r="W477" s="44"/>
    </row>
    <row r="478" spans="23:23" x14ac:dyDescent="0.25">
      <c r="W478" s="44"/>
    </row>
    <row r="479" spans="23:23" x14ac:dyDescent="0.25">
      <c r="W479" s="44"/>
    </row>
    <row r="480" spans="23:23" x14ac:dyDescent="0.25">
      <c r="W480" s="44"/>
    </row>
    <row r="481" spans="23:23" x14ac:dyDescent="0.25">
      <c r="W481" s="44"/>
    </row>
    <row r="482" spans="23:23" x14ac:dyDescent="0.25">
      <c r="W482" s="44"/>
    </row>
    <row r="483" spans="23:23" x14ac:dyDescent="0.25">
      <c r="W483" s="44"/>
    </row>
    <row r="484" spans="23:23" x14ac:dyDescent="0.25">
      <c r="W484" s="44"/>
    </row>
    <row r="485" spans="23:23" x14ac:dyDescent="0.25">
      <c r="W485" s="44"/>
    </row>
    <row r="486" spans="23:23" x14ac:dyDescent="0.25">
      <c r="W486" s="44"/>
    </row>
    <row r="487" spans="23:23" x14ac:dyDescent="0.25">
      <c r="W487" s="44"/>
    </row>
    <row r="488" spans="23:23" x14ac:dyDescent="0.25">
      <c r="W488" s="44"/>
    </row>
    <row r="489" spans="23:23" x14ac:dyDescent="0.25">
      <c r="W489" s="44"/>
    </row>
    <row r="490" spans="23:23" x14ac:dyDescent="0.25">
      <c r="W490" s="44"/>
    </row>
    <row r="491" spans="23:23" x14ac:dyDescent="0.25">
      <c r="W491" s="44"/>
    </row>
    <row r="492" spans="23:23" x14ac:dyDescent="0.25">
      <c r="W492" s="44"/>
    </row>
    <row r="493" spans="23:23" x14ac:dyDescent="0.25">
      <c r="W493" s="44"/>
    </row>
    <row r="494" spans="23:23" x14ac:dyDescent="0.25">
      <c r="W494" s="44"/>
    </row>
    <row r="495" spans="23:23" x14ac:dyDescent="0.25">
      <c r="W495" s="44"/>
    </row>
    <row r="496" spans="23:23" x14ac:dyDescent="0.25">
      <c r="W496" s="44"/>
    </row>
    <row r="497" spans="23:23" x14ac:dyDescent="0.25">
      <c r="W497" s="44"/>
    </row>
    <row r="498" spans="23:23" x14ac:dyDescent="0.25">
      <c r="W498" s="44"/>
    </row>
    <row r="499" spans="23:23" x14ac:dyDescent="0.25">
      <c r="W499" s="44"/>
    </row>
    <row r="500" spans="23:23" x14ac:dyDescent="0.25">
      <c r="W500" s="44"/>
    </row>
    <row r="501" spans="23:23" x14ac:dyDescent="0.25">
      <c r="W501" s="44"/>
    </row>
    <row r="502" spans="23:23" x14ac:dyDescent="0.25">
      <c r="W502" s="44"/>
    </row>
    <row r="503" spans="23:23" x14ac:dyDescent="0.25">
      <c r="W503" s="44"/>
    </row>
    <row r="504" spans="23:23" x14ac:dyDescent="0.25">
      <c r="W504" s="44"/>
    </row>
    <row r="505" spans="23:23" x14ac:dyDescent="0.25">
      <c r="W505" s="44"/>
    </row>
    <row r="506" spans="23:23" x14ac:dyDescent="0.25">
      <c r="W506" s="44"/>
    </row>
    <row r="507" spans="23:23" x14ac:dyDescent="0.25">
      <c r="W507" s="44"/>
    </row>
    <row r="508" spans="23:23" x14ac:dyDescent="0.25">
      <c r="W508" s="44"/>
    </row>
    <row r="509" spans="23:23" x14ac:dyDescent="0.25">
      <c r="W509" s="44"/>
    </row>
    <row r="510" spans="23:23" x14ac:dyDescent="0.25">
      <c r="W510" s="44"/>
    </row>
    <row r="511" spans="23:23" x14ac:dyDescent="0.25">
      <c r="W511" s="44"/>
    </row>
    <row r="512" spans="23:23" x14ac:dyDescent="0.25">
      <c r="W512" s="44"/>
    </row>
    <row r="513" spans="23:23" x14ac:dyDescent="0.25">
      <c r="W513" s="44"/>
    </row>
    <row r="514" spans="23:23" x14ac:dyDescent="0.25">
      <c r="W514" s="44"/>
    </row>
    <row r="515" spans="23:23" x14ac:dyDescent="0.25">
      <c r="W515" s="44"/>
    </row>
    <row r="516" spans="23:23" x14ac:dyDescent="0.25">
      <c r="W516" s="44"/>
    </row>
    <row r="517" spans="23:23" x14ac:dyDescent="0.25">
      <c r="W517" s="44"/>
    </row>
    <row r="518" spans="23:23" x14ac:dyDescent="0.25">
      <c r="W518" s="44"/>
    </row>
    <row r="519" spans="23:23" x14ac:dyDescent="0.25">
      <c r="W519" s="44"/>
    </row>
    <row r="520" spans="23:23" x14ac:dyDescent="0.25">
      <c r="W520" s="44"/>
    </row>
    <row r="521" spans="23:23" x14ac:dyDescent="0.25">
      <c r="W521" s="44"/>
    </row>
    <row r="522" spans="23:23" x14ac:dyDescent="0.25">
      <c r="W522" s="44"/>
    </row>
    <row r="523" spans="23:23" x14ac:dyDescent="0.25">
      <c r="W523" s="44"/>
    </row>
    <row r="524" spans="23:23" x14ac:dyDescent="0.25">
      <c r="W524" s="44"/>
    </row>
    <row r="525" spans="23:23" x14ac:dyDescent="0.25">
      <c r="W525" s="44"/>
    </row>
    <row r="526" spans="23:23" x14ac:dyDescent="0.25">
      <c r="W526" s="44"/>
    </row>
    <row r="527" spans="23:23" x14ac:dyDescent="0.25">
      <c r="W527" s="44"/>
    </row>
    <row r="528" spans="23:23" x14ac:dyDescent="0.25">
      <c r="W528" s="44"/>
    </row>
    <row r="529" spans="23:23" x14ac:dyDescent="0.25">
      <c r="W529" s="44"/>
    </row>
    <row r="530" spans="23:23" x14ac:dyDescent="0.25">
      <c r="W530" s="44"/>
    </row>
    <row r="531" spans="23:23" x14ac:dyDescent="0.25">
      <c r="W531" s="44"/>
    </row>
    <row r="532" spans="23:23" x14ac:dyDescent="0.25">
      <c r="W532" s="44"/>
    </row>
    <row r="533" spans="23:23" x14ac:dyDescent="0.25">
      <c r="W533" s="44"/>
    </row>
    <row r="534" spans="23:23" x14ac:dyDescent="0.25">
      <c r="W534" s="44"/>
    </row>
    <row r="535" spans="23:23" x14ac:dyDescent="0.25">
      <c r="W535" s="44"/>
    </row>
    <row r="536" spans="23:23" x14ac:dyDescent="0.25">
      <c r="W536" s="44"/>
    </row>
    <row r="537" spans="23:23" x14ac:dyDescent="0.25">
      <c r="W537" s="44"/>
    </row>
    <row r="538" spans="23:23" x14ac:dyDescent="0.25">
      <c r="W538" s="44"/>
    </row>
    <row r="539" spans="23:23" x14ac:dyDescent="0.25">
      <c r="W539" s="44"/>
    </row>
    <row r="540" spans="23:23" x14ac:dyDescent="0.25">
      <c r="W540" s="44"/>
    </row>
    <row r="541" spans="23:23" x14ac:dyDescent="0.25">
      <c r="W541" s="44"/>
    </row>
    <row r="542" spans="23:23" x14ac:dyDescent="0.25">
      <c r="W542" s="44"/>
    </row>
    <row r="543" spans="23:23" x14ac:dyDescent="0.25">
      <c r="W543" s="44"/>
    </row>
    <row r="544" spans="23:23" x14ac:dyDescent="0.25">
      <c r="W544" s="44"/>
    </row>
    <row r="545" spans="23:23" x14ac:dyDescent="0.25">
      <c r="W545" s="44"/>
    </row>
    <row r="546" spans="23:23" x14ac:dyDescent="0.25">
      <c r="W546" s="44"/>
    </row>
    <row r="547" spans="23:23" x14ac:dyDescent="0.25">
      <c r="W547" s="44"/>
    </row>
    <row r="548" spans="23:23" x14ac:dyDescent="0.25">
      <c r="W548" s="44"/>
    </row>
    <row r="549" spans="23:23" x14ac:dyDescent="0.25">
      <c r="W549" s="44"/>
    </row>
    <row r="550" spans="23:23" x14ac:dyDescent="0.25">
      <c r="W550" s="44"/>
    </row>
    <row r="551" spans="23:23" x14ac:dyDescent="0.25">
      <c r="W551" s="44"/>
    </row>
    <row r="552" spans="23:23" x14ac:dyDescent="0.25">
      <c r="W552" s="44"/>
    </row>
    <row r="553" spans="23:23" x14ac:dyDescent="0.25">
      <c r="W553" s="44"/>
    </row>
    <row r="554" spans="23:23" x14ac:dyDescent="0.25">
      <c r="W554" s="44"/>
    </row>
    <row r="555" spans="23:23" x14ac:dyDescent="0.25">
      <c r="W555" s="44"/>
    </row>
    <row r="556" spans="23:23" x14ac:dyDescent="0.25">
      <c r="W556" s="44"/>
    </row>
    <row r="557" spans="23:23" x14ac:dyDescent="0.25">
      <c r="W557" s="44"/>
    </row>
    <row r="558" spans="23:23" x14ac:dyDescent="0.25">
      <c r="W558" s="44"/>
    </row>
    <row r="559" spans="23:23" x14ac:dyDescent="0.25">
      <c r="W559" s="44"/>
    </row>
    <row r="560" spans="23:23" x14ac:dyDescent="0.25">
      <c r="W560" s="44"/>
    </row>
    <row r="561" spans="23:23" x14ac:dyDescent="0.25">
      <c r="W561" s="44"/>
    </row>
    <row r="562" spans="23:23" x14ac:dyDescent="0.25">
      <c r="W562" s="44"/>
    </row>
    <row r="563" spans="23:23" x14ac:dyDescent="0.25">
      <c r="W563" s="44"/>
    </row>
    <row r="564" spans="23:23" x14ac:dyDescent="0.25">
      <c r="W564" s="44"/>
    </row>
    <row r="565" spans="23:23" x14ac:dyDescent="0.25">
      <c r="W565" s="44"/>
    </row>
    <row r="566" spans="23:23" x14ac:dyDescent="0.25">
      <c r="W566" s="44"/>
    </row>
    <row r="567" spans="23:23" x14ac:dyDescent="0.25">
      <c r="W567" s="44"/>
    </row>
    <row r="568" spans="23:23" x14ac:dyDescent="0.25">
      <c r="W568" s="44"/>
    </row>
    <row r="569" spans="23:23" x14ac:dyDescent="0.25">
      <c r="W569" s="44"/>
    </row>
    <row r="570" spans="23:23" x14ac:dyDescent="0.25">
      <c r="W570" s="44"/>
    </row>
    <row r="571" spans="23:23" x14ac:dyDescent="0.25">
      <c r="W571" s="44"/>
    </row>
    <row r="572" spans="23:23" x14ac:dyDescent="0.25">
      <c r="W572" s="44"/>
    </row>
    <row r="573" spans="23:23" x14ac:dyDescent="0.25">
      <c r="W573" s="44"/>
    </row>
    <row r="574" spans="23:23" x14ac:dyDescent="0.25">
      <c r="W574" s="44"/>
    </row>
    <row r="575" spans="23:23" x14ac:dyDescent="0.25">
      <c r="W575" s="44"/>
    </row>
    <row r="576" spans="23:23" x14ac:dyDescent="0.25">
      <c r="W576" s="44"/>
    </row>
    <row r="577" spans="23:23" x14ac:dyDescent="0.25">
      <c r="W577" s="44"/>
    </row>
    <row r="578" spans="23:23" x14ac:dyDescent="0.25">
      <c r="W578" s="44"/>
    </row>
    <row r="579" spans="23:23" x14ac:dyDescent="0.25">
      <c r="W579" s="44"/>
    </row>
    <row r="580" spans="23:23" x14ac:dyDescent="0.25">
      <c r="W580" s="44"/>
    </row>
    <row r="581" spans="23:23" x14ac:dyDescent="0.25">
      <c r="W581" s="44"/>
    </row>
    <row r="582" spans="23:23" x14ac:dyDescent="0.25">
      <c r="W582" s="44"/>
    </row>
    <row r="583" spans="23:23" x14ac:dyDescent="0.25">
      <c r="W583" s="44"/>
    </row>
    <row r="584" spans="23:23" x14ac:dyDescent="0.25">
      <c r="W584" s="44"/>
    </row>
    <row r="585" spans="23:23" x14ac:dyDescent="0.25">
      <c r="W585" s="44"/>
    </row>
    <row r="586" spans="23:23" x14ac:dyDescent="0.25">
      <c r="W586" s="44"/>
    </row>
    <row r="587" spans="23:23" x14ac:dyDescent="0.25">
      <c r="W587" s="44"/>
    </row>
    <row r="588" spans="23:23" x14ac:dyDescent="0.25">
      <c r="W588" s="44"/>
    </row>
    <row r="589" spans="23:23" x14ac:dyDescent="0.25">
      <c r="W589" s="44"/>
    </row>
    <row r="590" spans="23:23" x14ac:dyDescent="0.25">
      <c r="W590" s="44"/>
    </row>
    <row r="591" spans="23:23" x14ac:dyDescent="0.25">
      <c r="W591" s="44"/>
    </row>
    <row r="592" spans="23:23" x14ac:dyDescent="0.25">
      <c r="W592" s="44"/>
    </row>
    <row r="593" spans="23:23" x14ac:dyDescent="0.25">
      <c r="W593" s="44"/>
    </row>
    <row r="594" spans="23:23" x14ac:dyDescent="0.25">
      <c r="W594" s="44"/>
    </row>
    <row r="595" spans="23:23" x14ac:dyDescent="0.25">
      <c r="W595" s="44"/>
    </row>
    <row r="596" spans="23:23" x14ac:dyDescent="0.25">
      <c r="W596" s="44"/>
    </row>
    <row r="597" spans="23:23" x14ac:dyDescent="0.25">
      <c r="W597" s="44"/>
    </row>
    <row r="598" spans="23:23" x14ac:dyDescent="0.25">
      <c r="W598" s="44"/>
    </row>
    <row r="599" spans="23:23" x14ac:dyDescent="0.25">
      <c r="W599" s="44"/>
    </row>
    <row r="600" spans="23:23" x14ac:dyDescent="0.25">
      <c r="W600" s="44"/>
    </row>
    <row r="601" spans="23:23" x14ac:dyDescent="0.25">
      <c r="W601" s="44"/>
    </row>
    <row r="602" spans="23:23" x14ac:dyDescent="0.25">
      <c r="W602" s="44"/>
    </row>
    <row r="603" spans="23:23" x14ac:dyDescent="0.25">
      <c r="W603" s="44"/>
    </row>
    <row r="604" spans="23:23" x14ac:dyDescent="0.25">
      <c r="W604" s="44"/>
    </row>
    <row r="605" spans="23:23" x14ac:dyDescent="0.25">
      <c r="W605" s="44"/>
    </row>
    <row r="606" spans="23:23" x14ac:dyDescent="0.25">
      <c r="W606" s="44"/>
    </row>
    <row r="607" spans="23:23" x14ac:dyDescent="0.25">
      <c r="W607" s="44"/>
    </row>
    <row r="608" spans="23:23" x14ac:dyDescent="0.25">
      <c r="W608" s="44"/>
    </row>
    <row r="609" spans="23:23" x14ac:dyDescent="0.25">
      <c r="W609" s="44"/>
    </row>
    <row r="610" spans="23:23" x14ac:dyDescent="0.25">
      <c r="W610" s="44"/>
    </row>
    <row r="611" spans="23:23" x14ac:dyDescent="0.25">
      <c r="W611" s="44"/>
    </row>
    <row r="612" spans="23:23" x14ac:dyDescent="0.25">
      <c r="W612" s="44"/>
    </row>
    <row r="613" spans="23:23" x14ac:dyDescent="0.25">
      <c r="W613" s="44"/>
    </row>
    <row r="614" spans="23:23" x14ac:dyDescent="0.25">
      <c r="W614" s="44"/>
    </row>
    <row r="615" spans="23:23" x14ac:dyDescent="0.25">
      <c r="W615" s="44"/>
    </row>
    <row r="616" spans="23:23" x14ac:dyDescent="0.25">
      <c r="W616" s="44"/>
    </row>
    <row r="617" spans="23:23" x14ac:dyDescent="0.25">
      <c r="W617" s="44"/>
    </row>
    <row r="618" spans="23:23" x14ac:dyDescent="0.25">
      <c r="W618" s="44"/>
    </row>
    <row r="619" spans="23:23" x14ac:dyDescent="0.25">
      <c r="W619" s="44"/>
    </row>
    <row r="620" spans="23:23" x14ac:dyDescent="0.25">
      <c r="W620" s="44"/>
    </row>
    <row r="621" spans="23:23" x14ac:dyDescent="0.25">
      <c r="W621" s="44"/>
    </row>
    <row r="622" spans="23:23" x14ac:dyDescent="0.25">
      <c r="W622" s="44"/>
    </row>
    <row r="623" spans="23:23" x14ac:dyDescent="0.25">
      <c r="W623" s="44"/>
    </row>
    <row r="624" spans="23:23" x14ac:dyDescent="0.25">
      <c r="W624" s="44"/>
    </row>
    <row r="625" spans="23:23" x14ac:dyDescent="0.25">
      <c r="W625" s="44"/>
    </row>
    <row r="626" spans="23:23" x14ac:dyDescent="0.25">
      <c r="W626" s="44"/>
    </row>
    <row r="627" spans="23:23" x14ac:dyDescent="0.25">
      <c r="W627" s="44"/>
    </row>
    <row r="628" spans="23:23" x14ac:dyDescent="0.25">
      <c r="W628" s="44"/>
    </row>
    <row r="629" spans="23:23" x14ac:dyDescent="0.25">
      <c r="W629" s="44"/>
    </row>
    <row r="630" spans="23:23" x14ac:dyDescent="0.25">
      <c r="W630" s="44"/>
    </row>
    <row r="631" spans="23:23" x14ac:dyDescent="0.25">
      <c r="W631" s="44"/>
    </row>
    <row r="632" spans="23:23" x14ac:dyDescent="0.25">
      <c r="W632" s="44"/>
    </row>
    <row r="633" spans="23:23" x14ac:dyDescent="0.25">
      <c r="W633" s="44"/>
    </row>
    <row r="634" spans="23:23" x14ac:dyDescent="0.25">
      <c r="W634" s="44"/>
    </row>
    <row r="635" spans="23:23" x14ac:dyDescent="0.25">
      <c r="W635" s="44"/>
    </row>
    <row r="636" spans="23:23" x14ac:dyDescent="0.25">
      <c r="W636" s="44"/>
    </row>
    <row r="637" spans="23:23" x14ac:dyDescent="0.25">
      <c r="W637" s="44"/>
    </row>
    <row r="638" spans="23:23" x14ac:dyDescent="0.25">
      <c r="W638" s="44"/>
    </row>
    <row r="639" spans="23:23" x14ac:dyDescent="0.25">
      <c r="W639" s="44"/>
    </row>
    <row r="640" spans="23:23" x14ac:dyDescent="0.25">
      <c r="W640" s="44"/>
    </row>
    <row r="641" spans="23:23" x14ac:dyDescent="0.25">
      <c r="W641" s="44"/>
    </row>
    <row r="642" spans="23:23" x14ac:dyDescent="0.25">
      <c r="W642" s="44"/>
    </row>
    <row r="643" spans="23:23" x14ac:dyDescent="0.25">
      <c r="W643" s="44"/>
    </row>
    <row r="644" spans="23:23" x14ac:dyDescent="0.25">
      <c r="W644" s="44"/>
    </row>
    <row r="645" spans="23:23" x14ac:dyDescent="0.25">
      <c r="W645" s="44"/>
    </row>
    <row r="646" spans="23:23" x14ac:dyDescent="0.25">
      <c r="W646" s="44"/>
    </row>
    <row r="647" spans="23:23" x14ac:dyDescent="0.25">
      <c r="W647" s="44"/>
    </row>
    <row r="648" spans="23:23" x14ac:dyDescent="0.25">
      <c r="W648" s="44"/>
    </row>
    <row r="649" spans="23:23" x14ac:dyDescent="0.25">
      <c r="W649" s="44"/>
    </row>
    <row r="650" spans="23:23" x14ac:dyDescent="0.25">
      <c r="W650" s="44"/>
    </row>
    <row r="651" spans="23:23" x14ac:dyDescent="0.25">
      <c r="W651" s="44"/>
    </row>
    <row r="652" spans="23:23" x14ac:dyDescent="0.25">
      <c r="W652" s="44"/>
    </row>
    <row r="653" spans="23:23" x14ac:dyDescent="0.25">
      <c r="W653" s="44"/>
    </row>
    <row r="654" spans="23:23" x14ac:dyDescent="0.25">
      <c r="W654" s="44"/>
    </row>
    <row r="655" spans="23:23" x14ac:dyDescent="0.25">
      <c r="W655" s="44"/>
    </row>
    <row r="656" spans="23:23" x14ac:dyDescent="0.25">
      <c r="W656" s="44"/>
    </row>
    <row r="657" spans="23:23" x14ac:dyDescent="0.25">
      <c r="W657" s="44"/>
    </row>
    <row r="658" spans="23:23" x14ac:dyDescent="0.25">
      <c r="W658" s="44"/>
    </row>
    <row r="659" spans="23:23" x14ac:dyDescent="0.25">
      <c r="W659" s="44"/>
    </row>
    <row r="660" spans="23:23" x14ac:dyDescent="0.25">
      <c r="W660" s="44"/>
    </row>
    <row r="661" spans="23:23" x14ac:dyDescent="0.25">
      <c r="W661" s="44"/>
    </row>
    <row r="662" spans="23:23" x14ac:dyDescent="0.25">
      <c r="W662" s="44"/>
    </row>
    <row r="663" spans="23:23" x14ac:dyDescent="0.25">
      <c r="W663" s="44"/>
    </row>
    <row r="664" spans="23:23" x14ac:dyDescent="0.25">
      <c r="W664" s="44"/>
    </row>
    <row r="665" spans="23:23" x14ac:dyDescent="0.25">
      <c r="W665" s="44"/>
    </row>
    <row r="666" spans="23:23" x14ac:dyDescent="0.25">
      <c r="W666" s="44"/>
    </row>
    <row r="667" spans="23:23" x14ac:dyDescent="0.25">
      <c r="W667" s="44"/>
    </row>
    <row r="668" spans="23:23" x14ac:dyDescent="0.25">
      <c r="W668" s="44"/>
    </row>
    <row r="669" spans="23:23" x14ac:dyDescent="0.25">
      <c r="W669" s="44"/>
    </row>
    <row r="670" spans="23:23" x14ac:dyDescent="0.25">
      <c r="W670" s="44"/>
    </row>
    <row r="671" spans="23:23" x14ac:dyDescent="0.25">
      <c r="W671" s="44"/>
    </row>
    <row r="672" spans="23:23" x14ac:dyDescent="0.25">
      <c r="W672" s="44"/>
    </row>
    <row r="673" spans="23:23" x14ac:dyDescent="0.25">
      <c r="W673" s="44"/>
    </row>
    <row r="674" spans="23:23" x14ac:dyDescent="0.25">
      <c r="W674" s="44"/>
    </row>
    <row r="675" spans="23:23" x14ac:dyDescent="0.25">
      <c r="W675" s="44"/>
    </row>
    <row r="676" spans="23:23" x14ac:dyDescent="0.25">
      <c r="W676" s="44"/>
    </row>
    <row r="677" spans="23:23" x14ac:dyDescent="0.25">
      <c r="W677" s="44"/>
    </row>
    <row r="678" spans="23:23" x14ac:dyDescent="0.25">
      <c r="W678" s="44"/>
    </row>
    <row r="679" spans="23:23" x14ac:dyDescent="0.25">
      <c r="W679" s="44"/>
    </row>
    <row r="680" spans="23:23" x14ac:dyDescent="0.25">
      <c r="W680" s="44"/>
    </row>
    <row r="681" spans="23:23" x14ac:dyDescent="0.25">
      <c r="W681" s="44"/>
    </row>
    <row r="682" spans="23:23" x14ac:dyDescent="0.25">
      <c r="W682" s="44"/>
    </row>
    <row r="683" spans="23:23" x14ac:dyDescent="0.25">
      <c r="W683" s="44"/>
    </row>
    <row r="684" spans="23:23" x14ac:dyDescent="0.25">
      <c r="W684" s="44"/>
    </row>
    <row r="685" spans="23:23" x14ac:dyDescent="0.25">
      <c r="W685" s="44"/>
    </row>
    <row r="686" spans="23:23" x14ac:dyDescent="0.25">
      <c r="W686" s="44"/>
    </row>
    <row r="687" spans="23:23" x14ac:dyDescent="0.25">
      <c r="W687" s="44"/>
    </row>
    <row r="688" spans="23:23" x14ac:dyDescent="0.25">
      <c r="W688" s="44"/>
    </row>
    <row r="689" spans="23:23" x14ac:dyDescent="0.25">
      <c r="W689" s="44"/>
    </row>
    <row r="690" spans="23:23" x14ac:dyDescent="0.25">
      <c r="W690" s="44"/>
    </row>
    <row r="691" spans="23:23" x14ac:dyDescent="0.25">
      <c r="W691" s="44"/>
    </row>
    <row r="692" spans="23:23" x14ac:dyDescent="0.25">
      <c r="W692" s="44"/>
    </row>
    <row r="693" spans="23:23" x14ac:dyDescent="0.25">
      <c r="W693" s="44"/>
    </row>
    <row r="694" spans="23:23" x14ac:dyDescent="0.25">
      <c r="W694" s="44"/>
    </row>
    <row r="695" spans="23:23" x14ac:dyDescent="0.25">
      <c r="W695" s="44"/>
    </row>
    <row r="696" spans="23:23" x14ac:dyDescent="0.25">
      <c r="W696" s="44"/>
    </row>
    <row r="697" spans="23:23" x14ac:dyDescent="0.25">
      <c r="W697" s="44"/>
    </row>
    <row r="698" spans="23:23" x14ac:dyDescent="0.25">
      <c r="W698" s="44"/>
    </row>
    <row r="699" spans="23:23" x14ac:dyDescent="0.25">
      <c r="W699" s="44"/>
    </row>
    <row r="700" spans="23:23" x14ac:dyDescent="0.25">
      <c r="W700" s="44"/>
    </row>
    <row r="701" spans="23:23" x14ac:dyDescent="0.25">
      <c r="W701" s="44"/>
    </row>
    <row r="702" spans="23:23" x14ac:dyDescent="0.25">
      <c r="W702" s="44"/>
    </row>
    <row r="703" spans="23:23" x14ac:dyDescent="0.25">
      <c r="W703" s="44"/>
    </row>
    <row r="704" spans="23:23" x14ac:dyDescent="0.25">
      <c r="W704" s="44"/>
    </row>
    <row r="705" spans="23:23" x14ac:dyDescent="0.25">
      <c r="W705" s="44"/>
    </row>
    <row r="706" spans="23:23" x14ac:dyDescent="0.25">
      <c r="W706" s="44"/>
    </row>
    <row r="707" spans="23:23" x14ac:dyDescent="0.25">
      <c r="W707" s="44"/>
    </row>
    <row r="708" spans="23:23" x14ac:dyDescent="0.25">
      <c r="W708" s="44"/>
    </row>
    <row r="709" spans="23:23" x14ac:dyDescent="0.25">
      <c r="W709" s="44"/>
    </row>
    <row r="710" spans="23:23" x14ac:dyDescent="0.25">
      <c r="W710" s="44"/>
    </row>
    <row r="711" spans="23:23" x14ac:dyDescent="0.25">
      <c r="W711" s="44"/>
    </row>
    <row r="712" spans="23:23" x14ac:dyDescent="0.25">
      <c r="W712" s="44"/>
    </row>
    <row r="713" spans="23:23" x14ac:dyDescent="0.25">
      <c r="W713" s="44"/>
    </row>
    <row r="714" spans="23:23" x14ac:dyDescent="0.25">
      <c r="W714" s="44"/>
    </row>
    <row r="715" spans="23:23" x14ac:dyDescent="0.25">
      <c r="W715" s="44"/>
    </row>
    <row r="716" spans="23:23" x14ac:dyDescent="0.25">
      <c r="W716" s="44"/>
    </row>
    <row r="717" spans="23:23" x14ac:dyDescent="0.25">
      <c r="W717" s="44"/>
    </row>
    <row r="718" spans="23:23" x14ac:dyDescent="0.25">
      <c r="W718" s="44"/>
    </row>
    <row r="719" spans="23:23" x14ac:dyDescent="0.25">
      <c r="W719" s="44"/>
    </row>
    <row r="720" spans="23:23" x14ac:dyDescent="0.25">
      <c r="W720" s="44"/>
    </row>
    <row r="721" spans="23:23" x14ac:dyDescent="0.25">
      <c r="W721" s="44"/>
    </row>
    <row r="722" spans="23:23" x14ac:dyDescent="0.25">
      <c r="W722" s="44"/>
    </row>
    <row r="723" spans="23:23" x14ac:dyDescent="0.25">
      <c r="W723" s="44"/>
    </row>
    <row r="724" spans="23:23" x14ac:dyDescent="0.25">
      <c r="W724" s="44"/>
    </row>
    <row r="725" spans="23:23" x14ac:dyDescent="0.25">
      <c r="W725" s="44"/>
    </row>
    <row r="726" spans="23:23" x14ac:dyDescent="0.25">
      <c r="W726" s="44"/>
    </row>
    <row r="727" spans="23:23" x14ac:dyDescent="0.25">
      <c r="W727" s="44"/>
    </row>
    <row r="728" spans="23:23" x14ac:dyDescent="0.25">
      <c r="W728" s="44"/>
    </row>
    <row r="729" spans="23:23" x14ac:dyDescent="0.25">
      <c r="W729" s="44"/>
    </row>
    <row r="730" spans="23:23" x14ac:dyDescent="0.25">
      <c r="W730" s="44"/>
    </row>
    <row r="731" spans="23:23" x14ac:dyDescent="0.25">
      <c r="W731" s="44"/>
    </row>
    <row r="732" spans="23:23" x14ac:dyDescent="0.25">
      <c r="W732" s="44"/>
    </row>
    <row r="733" spans="23:23" x14ac:dyDescent="0.25">
      <c r="W733" s="44"/>
    </row>
    <row r="734" spans="23:23" x14ac:dyDescent="0.25">
      <c r="W734" s="44"/>
    </row>
    <row r="735" spans="23:23" x14ac:dyDescent="0.25">
      <c r="W735" s="44"/>
    </row>
    <row r="736" spans="23:23" x14ac:dyDescent="0.25">
      <c r="W736" s="44"/>
    </row>
    <row r="737" spans="23:23" x14ac:dyDescent="0.25">
      <c r="W737" s="44"/>
    </row>
    <row r="738" spans="23:23" x14ac:dyDescent="0.25">
      <c r="W738" s="44"/>
    </row>
    <row r="739" spans="23:23" x14ac:dyDescent="0.25">
      <c r="W739" s="44"/>
    </row>
    <row r="740" spans="23:23" x14ac:dyDescent="0.25">
      <c r="W740" s="44"/>
    </row>
    <row r="741" spans="23:23" x14ac:dyDescent="0.25">
      <c r="W741" s="44"/>
    </row>
    <row r="742" spans="23:23" x14ac:dyDescent="0.25">
      <c r="W742" s="44"/>
    </row>
    <row r="743" spans="23:23" x14ac:dyDescent="0.25">
      <c r="W743" s="44"/>
    </row>
    <row r="744" spans="23:23" x14ac:dyDescent="0.25">
      <c r="W744" s="44"/>
    </row>
    <row r="745" spans="23:23" x14ac:dyDescent="0.25">
      <c r="W745" s="44"/>
    </row>
    <row r="746" spans="23:23" x14ac:dyDescent="0.25">
      <c r="W746" s="44"/>
    </row>
    <row r="747" spans="23:23" x14ac:dyDescent="0.25">
      <c r="W747" s="44"/>
    </row>
    <row r="748" spans="23:23" x14ac:dyDescent="0.25">
      <c r="W748" s="44"/>
    </row>
    <row r="749" spans="23:23" x14ac:dyDescent="0.25">
      <c r="W749" s="44"/>
    </row>
    <row r="750" spans="23:23" x14ac:dyDescent="0.25">
      <c r="W750" s="44"/>
    </row>
    <row r="751" spans="23:23" x14ac:dyDescent="0.25">
      <c r="W751" s="44"/>
    </row>
    <row r="752" spans="23:23" x14ac:dyDescent="0.25">
      <c r="W752" s="44"/>
    </row>
    <row r="753" spans="23:23" x14ac:dyDescent="0.25">
      <c r="W753" s="44"/>
    </row>
    <row r="754" spans="23:23" x14ac:dyDescent="0.25">
      <c r="W754" s="44"/>
    </row>
    <row r="755" spans="23:23" x14ac:dyDescent="0.25">
      <c r="W755" s="44"/>
    </row>
    <row r="756" spans="23:23" x14ac:dyDescent="0.25">
      <c r="W756" s="44"/>
    </row>
    <row r="757" spans="23:23" x14ac:dyDescent="0.25">
      <c r="W757" s="44"/>
    </row>
    <row r="758" spans="23:23" x14ac:dyDescent="0.25">
      <c r="W758" s="44"/>
    </row>
    <row r="759" spans="23:23" x14ac:dyDescent="0.25">
      <c r="W759" s="44"/>
    </row>
    <row r="760" spans="23:23" x14ac:dyDescent="0.25">
      <c r="W760" s="44"/>
    </row>
    <row r="761" spans="23:23" x14ac:dyDescent="0.25">
      <c r="W761" s="44"/>
    </row>
    <row r="762" spans="23:23" x14ac:dyDescent="0.25">
      <c r="W762" s="44"/>
    </row>
    <row r="763" spans="23:23" x14ac:dyDescent="0.25">
      <c r="W763" s="44"/>
    </row>
    <row r="764" spans="23:23" x14ac:dyDescent="0.25">
      <c r="W764" s="44"/>
    </row>
    <row r="765" spans="23:23" x14ac:dyDescent="0.25">
      <c r="W765" s="44"/>
    </row>
    <row r="766" spans="23:23" x14ac:dyDescent="0.25">
      <c r="W766" s="44"/>
    </row>
    <row r="767" spans="23:23" x14ac:dyDescent="0.25">
      <c r="W767" s="44"/>
    </row>
    <row r="768" spans="23:23" x14ac:dyDescent="0.25">
      <c r="W768" s="44"/>
    </row>
    <row r="769" spans="23:23" x14ac:dyDescent="0.25">
      <c r="W769" s="44"/>
    </row>
    <row r="770" spans="23:23" x14ac:dyDescent="0.25">
      <c r="W770" s="44"/>
    </row>
    <row r="771" spans="23:23" x14ac:dyDescent="0.25">
      <c r="W771" s="44"/>
    </row>
    <row r="772" spans="23:23" x14ac:dyDescent="0.25">
      <c r="W772" s="44"/>
    </row>
    <row r="773" spans="23:23" x14ac:dyDescent="0.25">
      <c r="W773" s="44"/>
    </row>
    <row r="774" spans="23:23" x14ac:dyDescent="0.25">
      <c r="W774" s="44"/>
    </row>
    <row r="775" spans="23:23" x14ac:dyDescent="0.25">
      <c r="W775" s="44"/>
    </row>
    <row r="776" spans="23:23" x14ac:dyDescent="0.25">
      <c r="W776" s="44"/>
    </row>
    <row r="777" spans="23:23" x14ac:dyDescent="0.25">
      <c r="W777" s="44"/>
    </row>
    <row r="778" spans="23:23" x14ac:dyDescent="0.25">
      <c r="W778" s="44"/>
    </row>
    <row r="779" spans="23:23" x14ac:dyDescent="0.25">
      <c r="W779" s="44"/>
    </row>
    <row r="780" spans="23:23" x14ac:dyDescent="0.25">
      <c r="W780" s="44"/>
    </row>
    <row r="781" spans="23:23" x14ac:dyDescent="0.25">
      <c r="W781" s="44"/>
    </row>
    <row r="782" spans="23:23" x14ac:dyDescent="0.25">
      <c r="W782" s="44"/>
    </row>
    <row r="783" spans="23:23" x14ac:dyDescent="0.25">
      <c r="W783" s="44"/>
    </row>
    <row r="784" spans="23:23" x14ac:dyDescent="0.25">
      <c r="W784" s="44"/>
    </row>
    <row r="785" spans="23:23" x14ac:dyDescent="0.25">
      <c r="W785" s="44"/>
    </row>
    <row r="786" spans="23:23" x14ac:dyDescent="0.25">
      <c r="W786" s="44"/>
    </row>
    <row r="787" spans="23:23" x14ac:dyDescent="0.25">
      <c r="W787" s="44"/>
    </row>
    <row r="788" spans="23:23" x14ac:dyDescent="0.25">
      <c r="W788" s="44"/>
    </row>
    <row r="789" spans="23:23" x14ac:dyDescent="0.25">
      <c r="W789" s="44"/>
    </row>
    <row r="790" spans="23:23" x14ac:dyDescent="0.25">
      <c r="W790" s="44"/>
    </row>
    <row r="791" spans="23:23" x14ac:dyDescent="0.25">
      <c r="W791" s="44"/>
    </row>
    <row r="792" spans="23:23" x14ac:dyDescent="0.25">
      <c r="W792" s="44"/>
    </row>
    <row r="793" spans="23:23" x14ac:dyDescent="0.25">
      <c r="W793" s="44"/>
    </row>
    <row r="794" spans="23:23" x14ac:dyDescent="0.25">
      <c r="W794" s="44"/>
    </row>
    <row r="795" spans="23:23" x14ac:dyDescent="0.25">
      <c r="W795" s="44"/>
    </row>
    <row r="796" spans="23:23" x14ac:dyDescent="0.25">
      <c r="W796" s="44"/>
    </row>
    <row r="797" spans="23:23" x14ac:dyDescent="0.25">
      <c r="W797" s="44"/>
    </row>
    <row r="798" spans="23:23" x14ac:dyDescent="0.25">
      <c r="W798" s="44"/>
    </row>
    <row r="799" spans="23:23" x14ac:dyDescent="0.25">
      <c r="W799" s="44"/>
    </row>
    <row r="800" spans="23:23" x14ac:dyDescent="0.25">
      <c r="W800" s="44"/>
    </row>
    <row r="801" spans="23:23" x14ac:dyDescent="0.25">
      <c r="W801" s="44"/>
    </row>
    <row r="802" spans="23:23" x14ac:dyDescent="0.25">
      <c r="W802" s="44"/>
    </row>
    <row r="803" spans="23:23" x14ac:dyDescent="0.25">
      <c r="W803" s="44"/>
    </row>
    <row r="804" spans="23:23" x14ac:dyDescent="0.25">
      <c r="W804" s="44"/>
    </row>
    <row r="805" spans="23:23" x14ac:dyDescent="0.25">
      <c r="W805" s="44"/>
    </row>
    <row r="806" spans="23:23" x14ac:dyDescent="0.25">
      <c r="W806" s="44"/>
    </row>
    <row r="807" spans="23:23" x14ac:dyDescent="0.25">
      <c r="W807" s="44"/>
    </row>
    <row r="808" spans="23:23" x14ac:dyDescent="0.25">
      <c r="W808" s="44"/>
    </row>
    <row r="809" spans="23:23" x14ac:dyDescent="0.25">
      <c r="W809" s="44"/>
    </row>
    <row r="810" spans="23:23" x14ac:dyDescent="0.25">
      <c r="W810" s="44"/>
    </row>
    <row r="811" spans="23:23" x14ac:dyDescent="0.25">
      <c r="W811" s="44"/>
    </row>
    <row r="812" spans="23:23" x14ac:dyDescent="0.25">
      <c r="W812" s="44"/>
    </row>
    <row r="813" spans="23:23" x14ac:dyDescent="0.25">
      <c r="W813" s="44"/>
    </row>
    <row r="814" spans="23:23" x14ac:dyDescent="0.25">
      <c r="W814" s="44"/>
    </row>
    <row r="815" spans="23:23" x14ac:dyDescent="0.25">
      <c r="W815" s="44"/>
    </row>
    <row r="816" spans="23:23" x14ac:dyDescent="0.25">
      <c r="W816" s="44"/>
    </row>
    <row r="817" spans="23:23" x14ac:dyDescent="0.25">
      <c r="W817" s="44"/>
    </row>
    <row r="818" spans="23:23" x14ac:dyDescent="0.25">
      <c r="W818" s="44"/>
    </row>
    <row r="819" spans="23:23" x14ac:dyDescent="0.25">
      <c r="W819" s="44"/>
    </row>
    <row r="820" spans="23:23" x14ac:dyDescent="0.25">
      <c r="W820" s="44"/>
    </row>
    <row r="821" spans="23:23" x14ac:dyDescent="0.25">
      <c r="W821" s="44"/>
    </row>
    <row r="822" spans="23:23" x14ac:dyDescent="0.25">
      <c r="W822" s="44"/>
    </row>
    <row r="823" spans="23:23" x14ac:dyDescent="0.25">
      <c r="W823" s="44"/>
    </row>
    <row r="824" spans="23:23" x14ac:dyDescent="0.25">
      <c r="W824" s="44"/>
    </row>
    <row r="825" spans="23:23" x14ac:dyDescent="0.25">
      <c r="W825" s="44"/>
    </row>
    <row r="826" spans="23:23" x14ac:dyDescent="0.25">
      <c r="W826" s="44"/>
    </row>
    <row r="827" spans="23:23" x14ac:dyDescent="0.25">
      <c r="W827" s="44"/>
    </row>
    <row r="828" spans="23:23" x14ac:dyDescent="0.25">
      <c r="W828" s="44"/>
    </row>
    <row r="829" spans="23:23" x14ac:dyDescent="0.25">
      <c r="W829" s="44"/>
    </row>
    <row r="830" spans="23:23" x14ac:dyDescent="0.25">
      <c r="W830" s="44"/>
    </row>
    <row r="831" spans="23:23" x14ac:dyDescent="0.25">
      <c r="W831" s="44"/>
    </row>
    <row r="832" spans="23:23" x14ac:dyDescent="0.25">
      <c r="W832" s="44"/>
    </row>
    <row r="833" spans="23:23" x14ac:dyDescent="0.25">
      <c r="W833" s="44"/>
    </row>
    <row r="834" spans="23:23" x14ac:dyDescent="0.25">
      <c r="W834" s="44"/>
    </row>
    <row r="835" spans="23:23" x14ac:dyDescent="0.25">
      <c r="W835" s="44"/>
    </row>
    <row r="836" spans="23:23" x14ac:dyDescent="0.25">
      <c r="W836" s="44"/>
    </row>
    <row r="837" spans="23:23" x14ac:dyDescent="0.25">
      <c r="W837" s="44"/>
    </row>
    <row r="838" spans="23:23" x14ac:dyDescent="0.25">
      <c r="W838" s="44"/>
    </row>
    <row r="839" spans="23:23" x14ac:dyDescent="0.25">
      <c r="W839" s="44"/>
    </row>
    <row r="840" spans="23:23" x14ac:dyDescent="0.25">
      <c r="W840" s="44"/>
    </row>
    <row r="841" spans="23:23" x14ac:dyDescent="0.25">
      <c r="W841" s="44"/>
    </row>
    <row r="842" spans="23:23" x14ac:dyDescent="0.25">
      <c r="W842" s="44"/>
    </row>
    <row r="843" spans="23:23" x14ac:dyDescent="0.25">
      <c r="W843" s="44"/>
    </row>
    <row r="844" spans="23:23" x14ac:dyDescent="0.25">
      <c r="W844" s="44"/>
    </row>
    <row r="845" spans="23:23" x14ac:dyDescent="0.25">
      <c r="W845" s="44"/>
    </row>
    <row r="846" spans="23:23" x14ac:dyDescent="0.25">
      <c r="W846" s="44"/>
    </row>
    <row r="847" spans="23:23" x14ac:dyDescent="0.25">
      <c r="W847" s="44"/>
    </row>
    <row r="848" spans="23:23" x14ac:dyDescent="0.25">
      <c r="W848" s="44"/>
    </row>
    <row r="849" spans="23:23" x14ac:dyDescent="0.25">
      <c r="W849" s="44"/>
    </row>
    <row r="850" spans="23:23" x14ac:dyDescent="0.25">
      <c r="W850" s="44"/>
    </row>
    <row r="851" spans="23:23" x14ac:dyDescent="0.25">
      <c r="W851" s="44"/>
    </row>
    <row r="852" spans="23:23" x14ac:dyDescent="0.25">
      <c r="W852" s="44"/>
    </row>
    <row r="853" spans="23:23" x14ac:dyDescent="0.25">
      <c r="W853" s="44"/>
    </row>
    <row r="854" spans="23:23" x14ac:dyDescent="0.25">
      <c r="W854" s="44"/>
    </row>
    <row r="855" spans="23:23" x14ac:dyDescent="0.25">
      <c r="W855" s="44"/>
    </row>
    <row r="856" spans="23:23" x14ac:dyDescent="0.25">
      <c r="W856" s="44"/>
    </row>
    <row r="857" spans="23:23" x14ac:dyDescent="0.25">
      <c r="W857" s="44"/>
    </row>
    <row r="858" spans="23:23" x14ac:dyDescent="0.25">
      <c r="W858" s="44"/>
    </row>
    <row r="859" spans="23:23" x14ac:dyDescent="0.25">
      <c r="W859" s="44"/>
    </row>
    <row r="860" spans="23:23" x14ac:dyDescent="0.25">
      <c r="W860" s="44"/>
    </row>
    <row r="861" spans="23:23" x14ac:dyDescent="0.25">
      <c r="W861" s="44"/>
    </row>
    <row r="862" spans="23:23" x14ac:dyDescent="0.25">
      <c r="W862" s="44"/>
    </row>
    <row r="863" spans="23:23" x14ac:dyDescent="0.25">
      <c r="W863" s="44"/>
    </row>
    <row r="864" spans="23:23" x14ac:dyDescent="0.25">
      <c r="W864" s="44"/>
    </row>
    <row r="865" spans="23:23" x14ac:dyDescent="0.25">
      <c r="W865" s="44"/>
    </row>
    <row r="866" spans="23:23" x14ac:dyDescent="0.25">
      <c r="W866" s="44"/>
    </row>
    <row r="867" spans="23:23" x14ac:dyDescent="0.25">
      <c r="W867" s="44"/>
    </row>
    <row r="868" spans="23:23" x14ac:dyDescent="0.25">
      <c r="W868" s="44"/>
    </row>
    <row r="869" spans="23:23" x14ac:dyDescent="0.25">
      <c r="W869" s="44"/>
    </row>
    <row r="870" spans="23:23" x14ac:dyDescent="0.25">
      <c r="W870" s="44"/>
    </row>
    <row r="871" spans="23:23" x14ac:dyDescent="0.25">
      <c r="W871" s="44"/>
    </row>
    <row r="872" spans="23:23" x14ac:dyDescent="0.25">
      <c r="W872" s="44"/>
    </row>
    <row r="873" spans="23:23" x14ac:dyDescent="0.25">
      <c r="W873" s="44"/>
    </row>
    <row r="874" spans="23:23" x14ac:dyDescent="0.25">
      <c r="W874" s="44"/>
    </row>
    <row r="875" spans="23:23" x14ac:dyDescent="0.25">
      <c r="W875" s="44"/>
    </row>
    <row r="876" spans="23:23" x14ac:dyDescent="0.25">
      <c r="W876" s="44"/>
    </row>
    <row r="877" spans="23:23" x14ac:dyDescent="0.25">
      <c r="W877" s="44"/>
    </row>
    <row r="878" spans="23:23" x14ac:dyDescent="0.25">
      <c r="W878" s="44"/>
    </row>
    <row r="879" spans="23:23" x14ac:dyDescent="0.25">
      <c r="W879" s="44"/>
    </row>
    <row r="880" spans="23:23" x14ac:dyDescent="0.25">
      <c r="W880" s="44"/>
    </row>
    <row r="881" spans="23:23" x14ac:dyDescent="0.25">
      <c r="W881" s="44"/>
    </row>
    <row r="882" spans="23:23" x14ac:dyDescent="0.25">
      <c r="W882" s="44"/>
    </row>
    <row r="883" spans="23:23" x14ac:dyDescent="0.25">
      <c r="W883" s="44"/>
    </row>
    <row r="884" spans="23:23" x14ac:dyDescent="0.25">
      <c r="W884" s="44"/>
    </row>
    <row r="885" spans="23:23" x14ac:dyDescent="0.25">
      <c r="W885" s="44"/>
    </row>
    <row r="886" spans="23:23" x14ac:dyDescent="0.25">
      <c r="W886" s="44"/>
    </row>
    <row r="887" spans="23:23" x14ac:dyDescent="0.25">
      <c r="W887" s="44"/>
    </row>
    <row r="888" spans="23:23" x14ac:dyDescent="0.25">
      <c r="W888" s="44"/>
    </row>
    <row r="889" spans="23:23" x14ac:dyDescent="0.25">
      <c r="W889" s="44"/>
    </row>
    <row r="890" spans="23:23" x14ac:dyDescent="0.25">
      <c r="W890" s="44"/>
    </row>
    <row r="891" spans="23:23" x14ac:dyDescent="0.25">
      <c r="W891" s="44"/>
    </row>
    <row r="892" spans="23:23" x14ac:dyDescent="0.25">
      <c r="W892" s="44"/>
    </row>
    <row r="893" spans="23:23" x14ac:dyDescent="0.25">
      <c r="W893" s="44"/>
    </row>
    <row r="894" spans="23:23" x14ac:dyDescent="0.25">
      <c r="W894" s="44"/>
    </row>
    <row r="895" spans="23:23" x14ac:dyDescent="0.25">
      <c r="W895" s="44"/>
    </row>
    <row r="896" spans="23:23" x14ac:dyDescent="0.25">
      <c r="W896" s="44"/>
    </row>
    <row r="897" spans="23:23" x14ac:dyDescent="0.25">
      <c r="W897" s="44"/>
    </row>
    <row r="898" spans="23:23" x14ac:dyDescent="0.25">
      <c r="W898" s="44"/>
    </row>
    <row r="899" spans="23:23" x14ac:dyDescent="0.25">
      <c r="W899" s="44"/>
    </row>
    <row r="900" spans="23:23" x14ac:dyDescent="0.25">
      <c r="W900" s="44"/>
    </row>
    <row r="901" spans="23:23" x14ac:dyDescent="0.25">
      <c r="W901" s="44"/>
    </row>
    <row r="902" spans="23:23" x14ac:dyDescent="0.25">
      <c r="W902" s="44"/>
    </row>
    <row r="903" spans="23:23" x14ac:dyDescent="0.25">
      <c r="W903" s="44"/>
    </row>
    <row r="904" spans="23:23" x14ac:dyDescent="0.25">
      <c r="W904" s="44"/>
    </row>
    <row r="905" spans="23:23" x14ac:dyDescent="0.25">
      <c r="W905" s="44"/>
    </row>
    <row r="906" spans="23:23" x14ac:dyDescent="0.25">
      <c r="W906" s="44"/>
    </row>
    <row r="907" spans="23:23" x14ac:dyDescent="0.25">
      <c r="W907" s="44"/>
    </row>
    <row r="908" spans="23:23" x14ac:dyDescent="0.25">
      <c r="W908" s="44"/>
    </row>
    <row r="909" spans="23:23" x14ac:dyDescent="0.25">
      <c r="W909" s="44"/>
    </row>
    <row r="910" spans="23:23" x14ac:dyDescent="0.25">
      <c r="W910" s="44"/>
    </row>
    <row r="911" spans="23:23" x14ac:dyDescent="0.25">
      <c r="W911" s="44"/>
    </row>
    <row r="912" spans="23:23" x14ac:dyDescent="0.25">
      <c r="W912" s="44"/>
    </row>
    <row r="913" spans="23:23" x14ac:dyDescent="0.25">
      <c r="W913" s="44"/>
    </row>
    <row r="914" spans="23:23" x14ac:dyDescent="0.25">
      <c r="W914" s="44"/>
    </row>
    <row r="915" spans="23:23" x14ac:dyDescent="0.25">
      <c r="W915" s="44"/>
    </row>
    <row r="916" spans="23:23" x14ac:dyDescent="0.25">
      <c r="W916" s="44"/>
    </row>
    <row r="917" spans="23:23" x14ac:dyDescent="0.25">
      <c r="W917" s="44"/>
    </row>
    <row r="918" spans="23:23" x14ac:dyDescent="0.25">
      <c r="W918" s="44"/>
    </row>
    <row r="919" spans="23:23" x14ac:dyDescent="0.25">
      <c r="W919" s="44"/>
    </row>
    <row r="920" spans="23:23" x14ac:dyDescent="0.25">
      <c r="W920" s="44"/>
    </row>
    <row r="921" spans="23:23" x14ac:dyDescent="0.25">
      <c r="W921" s="44"/>
    </row>
    <row r="922" spans="23:23" x14ac:dyDescent="0.25">
      <c r="W922" s="44"/>
    </row>
    <row r="923" spans="23:23" x14ac:dyDescent="0.25">
      <c r="W923" s="44"/>
    </row>
    <row r="924" spans="23:23" x14ac:dyDescent="0.25">
      <c r="W924" s="44"/>
    </row>
    <row r="925" spans="23:23" x14ac:dyDescent="0.25">
      <c r="W925" s="44"/>
    </row>
    <row r="926" spans="23:23" x14ac:dyDescent="0.25">
      <c r="W926" s="44"/>
    </row>
    <row r="927" spans="23:23" x14ac:dyDescent="0.25">
      <c r="W927" s="44"/>
    </row>
    <row r="928" spans="23:23" x14ac:dyDescent="0.25">
      <c r="W928" s="44"/>
    </row>
    <row r="929" spans="23:23" x14ac:dyDescent="0.25">
      <c r="W929" s="44"/>
    </row>
    <row r="930" spans="23:23" x14ac:dyDescent="0.25">
      <c r="W930" s="44"/>
    </row>
    <row r="931" spans="23:23" x14ac:dyDescent="0.25">
      <c r="W931" s="44"/>
    </row>
    <row r="932" spans="23:23" x14ac:dyDescent="0.25">
      <c r="W932" s="44"/>
    </row>
    <row r="933" spans="23:23" x14ac:dyDescent="0.25">
      <c r="W933" s="44"/>
    </row>
    <row r="934" spans="23:23" x14ac:dyDescent="0.25">
      <c r="W934" s="44"/>
    </row>
    <row r="935" spans="23:23" x14ac:dyDescent="0.25">
      <c r="W935" s="44"/>
    </row>
    <row r="936" spans="23:23" x14ac:dyDescent="0.25">
      <c r="W936" s="44"/>
    </row>
    <row r="937" spans="23:23" x14ac:dyDescent="0.25">
      <c r="W937" s="44"/>
    </row>
    <row r="938" spans="23:23" x14ac:dyDescent="0.25">
      <c r="W938" s="44"/>
    </row>
    <row r="939" spans="23:23" x14ac:dyDescent="0.25">
      <c r="W939" s="44"/>
    </row>
    <row r="940" spans="23:23" x14ac:dyDescent="0.25">
      <c r="W940" s="44"/>
    </row>
    <row r="941" spans="23:23" x14ac:dyDescent="0.25">
      <c r="W941" s="44"/>
    </row>
    <row r="942" spans="23:23" x14ac:dyDescent="0.25">
      <c r="W942" s="44"/>
    </row>
    <row r="943" spans="23:23" x14ac:dyDescent="0.25">
      <c r="W943" s="44"/>
    </row>
    <row r="944" spans="23:23" x14ac:dyDescent="0.25">
      <c r="W944" s="44"/>
    </row>
    <row r="945" spans="23:23" x14ac:dyDescent="0.25">
      <c r="W945" s="44"/>
    </row>
    <row r="946" spans="23:23" x14ac:dyDescent="0.25">
      <c r="W946" s="44"/>
    </row>
    <row r="947" spans="23:23" x14ac:dyDescent="0.25">
      <c r="W947" s="44"/>
    </row>
    <row r="948" spans="23:23" x14ac:dyDescent="0.25">
      <c r="W948" s="44"/>
    </row>
    <row r="949" spans="23:23" x14ac:dyDescent="0.25">
      <c r="W949" s="44"/>
    </row>
    <row r="950" spans="23:23" x14ac:dyDescent="0.25">
      <c r="W950" s="44"/>
    </row>
    <row r="951" spans="23:23" x14ac:dyDescent="0.25">
      <c r="W951" s="44"/>
    </row>
    <row r="952" spans="23:23" x14ac:dyDescent="0.25">
      <c r="W952" s="44"/>
    </row>
    <row r="953" spans="23:23" x14ac:dyDescent="0.25">
      <c r="W953" s="44"/>
    </row>
    <row r="954" spans="23:23" x14ac:dyDescent="0.25">
      <c r="W954" s="44"/>
    </row>
    <row r="955" spans="23:23" x14ac:dyDescent="0.25">
      <c r="W955" s="44"/>
    </row>
    <row r="956" spans="23:23" x14ac:dyDescent="0.25">
      <c r="W956" s="44"/>
    </row>
    <row r="957" spans="23:23" x14ac:dyDescent="0.25">
      <c r="W957" s="44"/>
    </row>
    <row r="958" spans="23:23" x14ac:dyDescent="0.25">
      <c r="W958" s="44"/>
    </row>
    <row r="959" spans="23:23" x14ac:dyDescent="0.25">
      <c r="W959" s="44"/>
    </row>
    <row r="960" spans="23:23" x14ac:dyDescent="0.25">
      <c r="W960" s="44"/>
    </row>
    <row r="961" spans="23:23" x14ac:dyDescent="0.25">
      <c r="W961" s="44"/>
    </row>
    <row r="962" spans="23:23" x14ac:dyDescent="0.25">
      <c r="W962" s="44"/>
    </row>
    <row r="963" spans="23:23" x14ac:dyDescent="0.25">
      <c r="W963" s="44"/>
    </row>
    <row r="964" spans="23:23" x14ac:dyDescent="0.25">
      <c r="W964" s="44"/>
    </row>
    <row r="965" spans="23:23" x14ac:dyDescent="0.25">
      <c r="W965" s="44"/>
    </row>
    <row r="966" spans="23:23" x14ac:dyDescent="0.25">
      <c r="W966" s="44"/>
    </row>
    <row r="967" spans="23:23" x14ac:dyDescent="0.25">
      <c r="W967" s="44"/>
    </row>
    <row r="968" spans="23:23" x14ac:dyDescent="0.25">
      <c r="W968" s="44"/>
    </row>
    <row r="969" spans="23:23" x14ac:dyDescent="0.25">
      <c r="W969" s="44"/>
    </row>
    <row r="970" spans="23:23" x14ac:dyDescent="0.25">
      <c r="W970" s="44"/>
    </row>
    <row r="971" spans="23:23" x14ac:dyDescent="0.25">
      <c r="W971" s="44"/>
    </row>
    <row r="972" spans="23:23" x14ac:dyDescent="0.25">
      <c r="W972" s="44"/>
    </row>
    <row r="973" spans="23:23" x14ac:dyDescent="0.25">
      <c r="W973" s="44"/>
    </row>
    <row r="974" spans="23:23" x14ac:dyDescent="0.25">
      <c r="W974" s="44"/>
    </row>
    <row r="975" spans="23:23" x14ac:dyDescent="0.25">
      <c r="W975" s="44"/>
    </row>
    <row r="976" spans="23:23" x14ac:dyDescent="0.25">
      <c r="W976" s="44"/>
    </row>
    <row r="977" spans="23:23" x14ac:dyDescent="0.25">
      <c r="W977" s="44"/>
    </row>
    <row r="978" spans="23:23" x14ac:dyDescent="0.25">
      <c r="W978" s="44"/>
    </row>
    <row r="979" spans="23:23" x14ac:dyDescent="0.25">
      <c r="W979" s="44"/>
    </row>
    <row r="980" spans="23:23" x14ac:dyDescent="0.25">
      <c r="W980" s="44"/>
    </row>
    <row r="981" spans="23:23" x14ac:dyDescent="0.25">
      <c r="W981" s="44"/>
    </row>
    <row r="982" spans="23:23" x14ac:dyDescent="0.25">
      <c r="W982" s="44"/>
    </row>
    <row r="983" spans="23:23" x14ac:dyDescent="0.25">
      <c r="W983" s="44"/>
    </row>
    <row r="984" spans="23:23" x14ac:dyDescent="0.25">
      <c r="W984" s="44"/>
    </row>
    <row r="985" spans="23:23" x14ac:dyDescent="0.25">
      <c r="W985" s="44"/>
    </row>
    <row r="986" spans="23:23" x14ac:dyDescent="0.25">
      <c r="W986" s="44"/>
    </row>
    <row r="987" spans="23:23" x14ac:dyDescent="0.25">
      <c r="W987" s="44"/>
    </row>
    <row r="988" spans="23:23" x14ac:dyDescent="0.25">
      <c r="W988" s="44"/>
    </row>
    <row r="989" spans="23:23" x14ac:dyDescent="0.25">
      <c r="W989" s="44"/>
    </row>
    <row r="990" spans="23:23" x14ac:dyDescent="0.25">
      <c r="W990" s="44"/>
    </row>
    <row r="991" spans="23:23" x14ac:dyDescent="0.25">
      <c r="W991" s="44"/>
    </row>
    <row r="992" spans="23:23" x14ac:dyDescent="0.25">
      <c r="W992" s="44"/>
    </row>
    <row r="993" spans="23:23" x14ac:dyDescent="0.25">
      <c r="W993" s="44"/>
    </row>
    <row r="994" spans="23:23" x14ac:dyDescent="0.25">
      <c r="W994" s="44"/>
    </row>
    <row r="995" spans="23:23" x14ac:dyDescent="0.25">
      <c r="W995" s="44"/>
    </row>
    <row r="996" spans="23:23" x14ac:dyDescent="0.25">
      <c r="W996" s="44"/>
    </row>
    <row r="997" spans="23:23" x14ac:dyDescent="0.25">
      <c r="W997" s="44"/>
    </row>
    <row r="998" spans="23:23" x14ac:dyDescent="0.25">
      <c r="W998" s="44"/>
    </row>
    <row r="999" spans="23:23" x14ac:dyDescent="0.25">
      <c r="W999" s="44"/>
    </row>
    <row r="1000" spans="23:23" x14ac:dyDescent="0.25">
      <c r="W1000" s="4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9EB79DB-40B2-45AE-A23B-71FB102A344C}">
            <xm:f>AND(Validation!A1="NA",A1&lt;&gt;"")</xm:f>
            <x14:dxf>
              <fill>
                <patternFill>
                  <bgColor rgb="FFFF0000"/>
                </patternFill>
              </fill>
            </x14:dxf>
          </x14:cfRule>
          <xm:sqref>A1:CK135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6"/>
  <sheetViews>
    <sheetView workbookViewId="0">
      <selection activeCell="I3" sqref="I3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62.28515625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B2"/>
      <c r="C2"/>
      <c r="D2"/>
      <c r="E2"/>
      <c r="F2"/>
      <c r="G2"/>
      <c r="H2" s="9" t="e">
        <f>LEFT(A2,FIND(" ",A2)-1)</f>
        <v>#VALUE!</v>
      </c>
      <c r="I2" s="1">
        <f>A2</f>
        <v>0</v>
      </c>
      <c r="J2"/>
      <c r="K2" s="9">
        <f>A5</f>
        <v>0</v>
      </c>
      <c r="L2" s="9">
        <f>B5</f>
        <v>0</v>
      </c>
      <c r="M2" s="9">
        <f>C5</f>
        <v>0</v>
      </c>
      <c r="N2" s="9">
        <f>D5</f>
        <v>0</v>
      </c>
      <c r="O2" s="2">
        <f>A11</f>
        <v>0</v>
      </c>
      <c r="P2" s="2">
        <f>B11</f>
        <v>0</v>
      </c>
      <c r="Q2" s="2">
        <f>A16</f>
        <v>0</v>
      </c>
      <c r="R2" s="2">
        <f>A16</f>
        <v>0</v>
      </c>
    </row>
    <row r="10" spans="1:18" x14ac:dyDescent="0.25">
      <c r="B10" s="2"/>
    </row>
    <row r="11" spans="1:18" x14ac:dyDescent="0.25">
      <c r="B11" s="2"/>
    </row>
    <row r="12" spans="1:18" x14ac:dyDescent="0.25">
      <c r="A12" s="2"/>
      <c r="B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5"/>
  <sheetViews>
    <sheetView topLeftCell="E1" workbookViewId="0">
      <selection activeCell="N2" sqref="N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B10</f>
        <v>0</v>
      </c>
      <c r="Q2" s="2">
        <f>A14</f>
        <v>0</v>
      </c>
      <c r="R2" s="2">
        <f>A15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5"/>
  <sheetViews>
    <sheetView topLeftCell="E1" workbookViewId="0">
      <selection activeCell="P2" sqref="P2 P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81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A3</f>
        <v>0</v>
      </c>
      <c r="L2" s="9">
        <f>B3</f>
        <v>0</v>
      </c>
      <c r="M2" s="9">
        <f>C3</f>
        <v>0</v>
      </c>
      <c r="N2" s="9">
        <f>D3</f>
        <v>0</v>
      </c>
      <c r="O2" s="2">
        <f>A9</f>
        <v>0</v>
      </c>
      <c r="P2" s="2">
        <f>B9</f>
        <v>0</v>
      </c>
      <c r="Q2" s="2">
        <f>A13</f>
        <v>0</v>
      </c>
      <c r="R2" s="2">
        <f>A14</f>
        <v>0</v>
      </c>
    </row>
    <row r="9" spans="1:18" x14ac:dyDescent="0.25">
      <c r="A9" s="2"/>
      <c r="B9" s="2"/>
    </row>
    <row r="10" spans="1:18" x14ac:dyDescent="0.25">
      <c r="B10" s="2"/>
    </row>
    <row r="11" spans="1:18" x14ac:dyDescent="0.25">
      <c r="B11" s="2"/>
    </row>
    <row r="12" spans="1:18" x14ac:dyDescent="0.25">
      <c r="A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IP2:IS45"/>
  <sheetViews>
    <sheetView topLeftCell="ID1" workbookViewId="0">
      <selection activeCell="IP1" sqref="IP1:IS1048576"/>
    </sheetView>
  </sheetViews>
  <sheetFormatPr defaultRowHeight="15" x14ac:dyDescent="0.25"/>
  <sheetData>
    <row r="2" spans="250:253" x14ac:dyDescent="0.25">
      <c r="IP2" t="str">
        <f>C2&amp;D2/1000</f>
        <v>0</v>
      </c>
      <c r="IQ2">
        <f>S2</f>
        <v>0</v>
      </c>
      <c r="IR2">
        <f>O2</f>
        <v>0</v>
      </c>
      <c r="IS2">
        <f>F2*1000</f>
        <v>0</v>
      </c>
    </row>
    <row r="3" spans="250:253" x14ac:dyDescent="0.25">
      <c r="IP3" t="str">
        <f t="shared" ref="IP3:IP45" si="0">C3&amp;D3/1000</f>
        <v>0</v>
      </c>
      <c r="IQ3">
        <f t="shared" ref="IQ3:IQ12" si="1">S3</f>
        <v>0</v>
      </c>
      <c r="IR3">
        <f t="shared" ref="IR3:IR12" si="2">O3</f>
        <v>0</v>
      </c>
      <c r="IS3">
        <f t="shared" ref="IS3:IS45" si="3">F3*1000</f>
        <v>0</v>
      </c>
    </row>
    <row r="4" spans="250:253" x14ac:dyDescent="0.25">
      <c r="IP4" t="str">
        <f t="shared" si="0"/>
        <v>0</v>
      </c>
      <c r="IQ4">
        <f t="shared" si="1"/>
        <v>0</v>
      </c>
      <c r="IR4">
        <f t="shared" si="2"/>
        <v>0</v>
      </c>
      <c r="IS4">
        <f t="shared" si="3"/>
        <v>0</v>
      </c>
    </row>
    <row r="5" spans="250:253" x14ac:dyDescent="0.25">
      <c r="IP5" t="str">
        <f t="shared" si="0"/>
        <v>0</v>
      </c>
      <c r="IQ5">
        <f t="shared" si="1"/>
        <v>0</v>
      </c>
      <c r="IR5">
        <f t="shared" si="2"/>
        <v>0</v>
      </c>
      <c r="IS5">
        <f t="shared" si="3"/>
        <v>0</v>
      </c>
    </row>
    <row r="6" spans="250:253" x14ac:dyDescent="0.25">
      <c r="IP6" t="str">
        <f t="shared" si="0"/>
        <v>0</v>
      </c>
      <c r="IQ6">
        <f t="shared" si="1"/>
        <v>0</v>
      </c>
      <c r="IR6">
        <f t="shared" si="2"/>
        <v>0</v>
      </c>
      <c r="IS6">
        <f t="shared" si="3"/>
        <v>0</v>
      </c>
    </row>
    <row r="7" spans="250:253" x14ac:dyDescent="0.25">
      <c r="IP7" t="str">
        <f t="shared" si="0"/>
        <v>0</v>
      </c>
      <c r="IQ7">
        <f t="shared" si="1"/>
        <v>0</v>
      </c>
      <c r="IR7">
        <f t="shared" si="2"/>
        <v>0</v>
      </c>
      <c r="IS7">
        <f t="shared" si="3"/>
        <v>0</v>
      </c>
    </row>
    <row r="8" spans="250:253" x14ac:dyDescent="0.25">
      <c r="IP8" t="str">
        <f t="shared" si="0"/>
        <v>0</v>
      </c>
      <c r="IQ8">
        <f t="shared" si="1"/>
        <v>0</v>
      </c>
      <c r="IR8">
        <f t="shared" si="2"/>
        <v>0</v>
      </c>
      <c r="IS8">
        <f t="shared" si="3"/>
        <v>0</v>
      </c>
    </row>
    <row r="9" spans="250:253" x14ac:dyDescent="0.25">
      <c r="IP9" t="str">
        <f t="shared" si="0"/>
        <v>0</v>
      </c>
      <c r="IQ9">
        <f t="shared" si="1"/>
        <v>0</v>
      </c>
      <c r="IR9">
        <f t="shared" si="2"/>
        <v>0</v>
      </c>
      <c r="IS9">
        <f t="shared" si="3"/>
        <v>0</v>
      </c>
    </row>
    <row r="10" spans="250:253" x14ac:dyDescent="0.25">
      <c r="IP10" t="str">
        <f t="shared" si="0"/>
        <v>0</v>
      </c>
      <c r="IQ10">
        <f t="shared" si="1"/>
        <v>0</v>
      </c>
      <c r="IR10">
        <f t="shared" si="2"/>
        <v>0</v>
      </c>
      <c r="IS10">
        <f t="shared" si="3"/>
        <v>0</v>
      </c>
    </row>
    <row r="11" spans="250:253" x14ac:dyDescent="0.25">
      <c r="IP11" t="str">
        <f t="shared" si="0"/>
        <v>0</v>
      </c>
      <c r="IQ11">
        <f t="shared" si="1"/>
        <v>0</v>
      </c>
      <c r="IR11">
        <f t="shared" si="2"/>
        <v>0</v>
      </c>
      <c r="IS11">
        <f t="shared" si="3"/>
        <v>0</v>
      </c>
    </row>
    <row r="12" spans="250:253" x14ac:dyDescent="0.25">
      <c r="IP12" t="str">
        <f t="shared" si="0"/>
        <v>0</v>
      </c>
      <c r="IQ12">
        <f t="shared" si="1"/>
        <v>0</v>
      </c>
      <c r="IR12">
        <f t="shared" si="2"/>
        <v>0</v>
      </c>
      <c r="IS12">
        <f t="shared" si="3"/>
        <v>0</v>
      </c>
    </row>
    <row r="13" spans="250:253" x14ac:dyDescent="0.25">
      <c r="IP13" t="str">
        <f t="shared" si="0"/>
        <v>0</v>
      </c>
      <c r="IQ13">
        <f t="shared" ref="IQ13:IQ30" si="4">S13</f>
        <v>0</v>
      </c>
      <c r="IR13">
        <f t="shared" ref="IR13:IR30" si="5">O13</f>
        <v>0</v>
      </c>
      <c r="IS13">
        <f t="shared" si="3"/>
        <v>0</v>
      </c>
    </row>
    <row r="14" spans="250:253" x14ac:dyDescent="0.25">
      <c r="IP14" t="str">
        <f t="shared" si="0"/>
        <v>0</v>
      </c>
      <c r="IQ14">
        <f t="shared" si="4"/>
        <v>0</v>
      </c>
      <c r="IR14">
        <f t="shared" si="5"/>
        <v>0</v>
      </c>
      <c r="IS14">
        <f t="shared" si="3"/>
        <v>0</v>
      </c>
    </row>
    <row r="15" spans="250:253" x14ac:dyDescent="0.25">
      <c r="IP15" t="str">
        <f t="shared" si="0"/>
        <v>0</v>
      </c>
      <c r="IQ15">
        <f t="shared" si="4"/>
        <v>0</v>
      </c>
      <c r="IR15">
        <f t="shared" si="5"/>
        <v>0</v>
      </c>
      <c r="IS15">
        <f t="shared" si="3"/>
        <v>0</v>
      </c>
    </row>
    <row r="16" spans="250:253" x14ac:dyDescent="0.25">
      <c r="IP16" t="str">
        <f t="shared" si="0"/>
        <v>0</v>
      </c>
      <c r="IQ16">
        <f t="shared" si="4"/>
        <v>0</v>
      </c>
      <c r="IR16">
        <f t="shared" si="5"/>
        <v>0</v>
      </c>
      <c r="IS16">
        <f t="shared" si="3"/>
        <v>0</v>
      </c>
    </row>
    <row r="17" spans="250:253" x14ac:dyDescent="0.25">
      <c r="IP17" t="str">
        <f t="shared" si="0"/>
        <v>0</v>
      </c>
      <c r="IQ17">
        <f t="shared" si="4"/>
        <v>0</v>
      </c>
      <c r="IR17">
        <f t="shared" si="5"/>
        <v>0</v>
      </c>
      <c r="IS17">
        <f t="shared" si="3"/>
        <v>0</v>
      </c>
    </row>
    <row r="18" spans="250:253" x14ac:dyDescent="0.25">
      <c r="IP18" t="str">
        <f t="shared" si="0"/>
        <v>0</v>
      </c>
      <c r="IQ18">
        <f t="shared" si="4"/>
        <v>0</v>
      </c>
      <c r="IR18">
        <f t="shared" si="5"/>
        <v>0</v>
      </c>
      <c r="IS18">
        <f t="shared" si="3"/>
        <v>0</v>
      </c>
    </row>
    <row r="19" spans="250:253" x14ac:dyDescent="0.25">
      <c r="IP19" t="str">
        <f t="shared" si="0"/>
        <v>0</v>
      </c>
      <c r="IQ19">
        <f t="shared" si="4"/>
        <v>0</v>
      </c>
      <c r="IR19">
        <f t="shared" si="5"/>
        <v>0</v>
      </c>
      <c r="IS19">
        <f t="shared" si="3"/>
        <v>0</v>
      </c>
    </row>
    <row r="20" spans="250:253" x14ac:dyDescent="0.25">
      <c r="IP20" t="str">
        <f t="shared" si="0"/>
        <v>0</v>
      </c>
      <c r="IQ20">
        <f t="shared" si="4"/>
        <v>0</v>
      </c>
      <c r="IR20">
        <f t="shared" si="5"/>
        <v>0</v>
      </c>
      <c r="IS20">
        <f t="shared" si="3"/>
        <v>0</v>
      </c>
    </row>
    <row r="21" spans="250:253" x14ac:dyDescent="0.25">
      <c r="IP21" t="str">
        <f t="shared" si="0"/>
        <v>0</v>
      </c>
      <c r="IQ21">
        <f t="shared" si="4"/>
        <v>0</v>
      </c>
      <c r="IR21">
        <f t="shared" si="5"/>
        <v>0</v>
      </c>
      <c r="IS21">
        <f t="shared" si="3"/>
        <v>0</v>
      </c>
    </row>
    <row r="22" spans="250:253" x14ac:dyDescent="0.25">
      <c r="IP22" t="str">
        <f t="shared" si="0"/>
        <v>0</v>
      </c>
      <c r="IQ22">
        <f t="shared" si="4"/>
        <v>0</v>
      </c>
      <c r="IR22">
        <f t="shared" si="5"/>
        <v>0</v>
      </c>
      <c r="IS22">
        <f t="shared" si="3"/>
        <v>0</v>
      </c>
    </row>
    <row r="23" spans="250:253" x14ac:dyDescent="0.25">
      <c r="IP23" t="str">
        <f t="shared" si="0"/>
        <v>0</v>
      </c>
      <c r="IQ23">
        <f t="shared" si="4"/>
        <v>0</v>
      </c>
      <c r="IR23">
        <f t="shared" si="5"/>
        <v>0</v>
      </c>
      <c r="IS23">
        <f t="shared" si="3"/>
        <v>0</v>
      </c>
    </row>
    <row r="24" spans="250:253" x14ac:dyDescent="0.25">
      <c r="IP24" t="str">
        <f t="shared" si="0"/>
        <v>0</v>
      </c>
      <c r="IQ24">
        <f t="shared" si="4"/>
        <v>0</v>
      </c>
      <c r="IR24">
        <f t="shared" si="5"/>
        <v>0</v>
      </c>
      <c r="IS24">
        <f t="shared" si="3"/>
        <v>0</v>
      </c>
    </row>
    <row r="25" spans="250:253" x14ac:dyDescent="0.25">
      <c r="IP25" t="str">
        <f t="shared" si="0"/>
        <v>0</v>
      </c>
      <c r="IQ25">
        <f t="shared" si="4"/>
        <v>0</v>
      </c>
      <c r="IR25">
        <f t="shared" si="5"/>
        <v>0</v>
      </c>
      <c r="IS25">
        <f t="shared" si="3"/>
        <v>0</v>
      </c>
    </row>
    <row r="26" spans="250:253" x14ac:dyDescent="0.25">
      <c r="IP26" t="str">
        <f t="shared" si="0"/>
        <v>0</v>
      </c>
      <c r="IQ26">
        <f t="shared" si="4"/>
        <v>0</v>
      </c>
      <c r="IR26">
        <f t="shared" si="5"/>
        <v>0</v>
      </c>
      <c r="IS26">
        <f t="shared" si="3"/>
        <v>0</v>
      </c>
    </row>
    <row r="27" spans="250:253" x14ac:dyDescent="0.25">
      <c r="IP27" t="str">
        <f t="shared" si="0"/>
        <v>0</v>
      </c>
      <c r="IQ27">
        <f t="shared" si="4"/>
        <v>0</v>
      </c>
      <c r="IR27">
        <f t="shared" si="5"/>
        <v>0</v>
      </c>
      <c r="IS27">
        <f t="shared" si="3"/>
        <v>0</v>
      </c>
    </row>
    <row r="28" spans="250:253" x14ac:dyDescent="0.25">
      <c r="IP28" t="str">
        <f t="shared" si="0"/>
        <v>0</v>
      </c>
      <c r="IQ28">
        <f t="shared" si="4"/>
        <v>0</v>
      </c>
      <c r="IR28">
        <f t="shared" si="5"/>
        <v>0</v>
      </c>
      <c r="IS28">
        <f t="shared" si="3"/>
        <v>0</v>
      </c>
    </row>
    <row r="29" spans="250:253" x14ac:dyDescent="0.25">
      <c r="IP29" t="str">
        <f t="shared" si="0"/>
        <v>0</v>
      </c>
      <c r="IQ29">
        <f t="shared" si="4"/>
        <v>0</v>
      </c>
      <c r="IR29">
        <f t="shared" si="5"/>
        <v>0</v>
      </c>
      <c r="IS29">
        <f t="shared" si="3"/>
        <v>0</v>
      </c>
    </row>
    <row r="30" spans="250:253" x14ac:dyDescent="0.25">
      <c r="IP30" t="str">
        <f t="shared" si="0"/>
        <v>0</v>
      </c>
      <c r="IQ30">
        <f t="shared" si="4"/>
        <v>0</v>
      </c>
      <c r="IR30">
        <f t="shared" si="5"/>
        <v>0</v>
      </c>
      <c r="IS30">
        <f t="shared" si="3"/>
        <v>0</v>
      </c>
    </row>
    <row r="31" spans="250:253" x14ac:dyDescent="0.25">
      <c r="IP31" t="str">
        <f t="shared" si="0"/>
        <v>0</v>
      </c>
      <c r="IQ31">
        <f t="shared" ref="IQ31:IQ45" si="6">S31</f>
        <v>0</v>
      </c>
      <c r="IR31">
        <f t="shared" ref="IR31:IR45" si="7">O31</f>
        <v>0</v>
      </c>
      <c r="IS31">
        <f t="shared" si="3"/>
        <v>0</v>
      </c>
    </row>
    <row r="32" spans="250:253" x14ac:dyDescent="0.25">
      <c r="IP32" t="str">
        <f t="shared" si="0"/>
        <v>0</v>
      </c>
      <c r="IQ32">
        <f t="shared" si="6"/>
        <v>0</v>
      </c>
      <c r="IR32">
        <f t="shared" si="7"/>
        <v>0</v>
      </c>
      <c r="IS32">
        <f t="shared" si="3"/>
        <v>0</v>
      </c>
    </row>
    <row r="33" spans="250:253" x14ac:dyDescent="0.25">
      <c r="IP33" t="str">
        <f t="shared" si="0"/>
        <v>0</v>
      </c>
      <c r="IQ33">
        <f t="shared" si="6"/>
        <v>0</v>
      </c>
      <c r="IR33">
        <f t="shared" si="7"/>
        <v>0</v>
      </c>
      <c r="IS33">
        <f t="shared" si="3"/>
        <v>0</v>
      </c>
    </row>
    <row r="34" spans="250:253" x14ac:dyDescent="0.25">
      <c r="IP34" t="str">
        <f t="shared" si="0"/>
        <v>0</v>
      </c>
      <c r="IQ34">
        <f t="shared" si="6"/>
        <v>0</v>
      </c>
      <c r="IR34">
        <f t="shared" si="7"/>
        <v>0</v>
      </c>
      <c r="IS34">
        <f t="shared" si="3"/>
        <v>0</v>
      </c>
    </row>
    <row r="35" spans="250:253" x14ac:dyDescent="0.25">
      <c r="IP35" t="str">
        <f t="shared" si="0"/>
        <v>0</v>
      </c>
      <c r="IQ35">
        <f t="shared" si="6"/>
        <v>0</v>
      </c>
      <c r="IR35">
        <f t="shared" si="7"/>
        <v>0</v>
      </c>
      <c r="IS35">
        <f t="shared" si="3"/>
        <v>0</v>
      </c>
    </row>
    <row r="36" spans="250:253" x14ac:dyDescent="0.25">
      <c r="IP36" t="str">
        <f t="shared" si="0"/>
        <v>0</v>
      </c>
      <c r="IQ36">
        <f t="shared" si="6"/>
        <v>0</v>
      </c>
      <c r="IR36">
        <f t="shared" si="7"/>
        <v>0</v>
      </c>
      <c r="IS36">
        <f t="shared" si="3"/>
        <v>0</v>
      </c>
    </row>
    <row r="37" spans="250:253" x14ac:dyDescent="0.25">
      <c r="IP37" t="str">
        <f t="shared" si="0"/>
        <v>0</v>
      </c>
      <c r="IQ37">
        <f t="shared" si="6"/>
        <v>0</v>
      </c>
      <c r="IR37">
        <f t="shared" si="7"/>
        <v>0</v>
      </c>
      <c r="IS37">
        <f t="shared" si="3"/>
        <v>0</v>
      </c>
    </row>
    <row r="38" spans="250:253" x14ac:dyDescent="0.25">
      <c r="IP38" t="str">
        <f t="shared" si="0"/>
        <v>0</v>
      </c>
      <c r="IQ38">
        <f t="shared" si="6"/>
        <v>0</v>
      </c>
      <c r="IR38">
        <f t="shared" si="7"/>
        <v>0</v>
      </c>
      <c r="IS38">
        <f t="shared" si="3"/>
        <v>0</v>
      </c>
    </row>
    <row r="39" spans="250:253" x14ac:dyDescent="0.25">
      <c r="IP39" t="str">
        <f t="shared" si="0"/>
        <v>0</v>
      </c>
      <c r="IQ39">
        <f t="shared" si="6"/>
        <v>0</v>
      </c>
      <c r="IR39">
        <f t="shared" si="7"/>
        <v>0</v>
      </c>
      <c r="IS39">
        <f t="shared" si="3"/>
        <v>0</v>
      </c>
    </row>
    <row r="40" spans="250:253" x14ac:dyDescent="0.25">
      <c r="IP40" t="str">
        <f t="shared" si="0"/>
        <v>0</v>
      </c>
      <c r="IQ40">
        <f t="shared" si="6"/>
        <v>0</v>
      </c>
      <c r="IR40">
        <f t="shared" si="7"/>
        <v>0</v>
      </c>
      <c r="IS40">
        <f t="shared" si="3"/>
        <v>0</v>
      </c>
    </row>
    <row r="41" spans="250:253" x14ac:dyDescent="0.25">
      <c r="IP41" t="str">
        <f t="shared" si="0"/>
        <v>0</v>
      </c>
      <c r="IQ41">
        <f t="shared" si="6"/>
        <v>0</v>
      </c>
      <c r="IR41">
        <f t="shared" si="7"/>
        <v>0</v>
      </c>
      <c r="IS41">
        <f t="shared" si="3"/>
        <v>0</v>
      </c>
    </row>
    <row r="42" spans="250:253" x14ac:dyDescent="0.25">
      <c r="IP42" t="str">
        <f t="shared" si="0"/>
        <v>0</v>
      </c>
      <c r="IQ42">
        <f t="shared" si="6"/>
        <v>0</v>
      </c>
      <c r="IR42">
        <f t="shared" si="7"/>
        <v>0</v>
      </c>
      <c r="IS42">
        <f t="shared" si="3"/>
        <v>0</v>
      </c>
    </row>
    <row r="43" spans="250:253" x14ac:dyDescent="0.25">
      <c r="IP43" t="str">
        <f t="shared" si="0"/>
        <v>0</v>
      </c>
      <c r="IQ43">
        <f t="shared" si="6"/>
        <v>0</v>
      </c>
      <c r="IR43">
        <f t="shared" si="7"/>
        <v>0</v>
      </c>
      <c r="IS43">
        <f t="shared" si="3"/>
        <v>0</v>
      </c>
    </row>
    <row r="44" spans="250:253" x14ac:dyDescent="0.25">
      <c r="IP44" t="str">
        <f t="shared" si="0"/>
        <v>0</v>
      </c>
      <c r="IQ44">
        <f t="shared" si="6"/>
        <v>0</v>
      </c>
      <c r="IR44">
        <f t="shared" si="7"/>
        <v>0</v>
      </c>
      <c r="IS44">
        <f t="shared" si="3"/>
        <v>0</v>
      </c>
    </row>
    <row r="45" spans="250:253" x14ac:dyDescent="0.25">
      <c r="IP45" t="str">
        <f t="shared" si="0"/>
        <v>0</v>
      </c>
      <c r="IQ45">
        <f t="shared" si="6"/>
        <v>0</v>
      </c>
      <c r="IR45">
        <f t="shared" si="7"/>
        <v>0</v>
      </c>
      <c r="IS45">
        <f t="shared" si="3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J2:AN2"/>
  <sheetViews>
    <sheetView topLeftCell="AB1" workbookViewId="0">
      <selection activeCell="AK3" sqref="AK3"/>
    </sheetView>
  </sheetViews>
  <sheetFormatPr defaultRowHeight="15" x14ac:dyDescent="0.25"/>
  <sheetData>
    <row r="2" spans="36:40" x14ac:dyDescent="0.25">
      <c r="AJ2">
        <f>F3</f>
        <v>0</v>
      </c>
      <c r="AK2">
        <f>F4</f>
        <v>0</v>
      </c>
      <c r="AL2">
        <f>F5</f>
        <v>0</v>
      </c>
      <c r="AM2">
        <f>F6</f>
        <v>0</v>
      </c>
      <c r="AN2">
        <f>F3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X725"/>
  <sheetViews>
    <sheetView topLeftCell="BB152" zoomScale="62" workbookViewId="0">
      <selection activeCell="BF185" sqref="BF185:BX725"/>
    </sheetView>
  </sheetViews>
  <sheetFormatPr defaultRowHeight="15" x14ac:dyDescent="0.25"/>
  <cols>
    <col min="1" max="8" width="9.140625" style="52" customWidth="1"/>
    <col min="9" max="9" width="20.5703125" style="52" bestFit="1" customWidth="1"/>
    <col min="10" max="10" width="18.28515625" style="52" bestFit="1" customWidth="1"/>
    <col min="11" max="55" width="9.140625" style="52" customWidth="1"/>
    <col min="56" max="59" width="9.140625" style="1" customWidth="1"/>
    <col min="60" max="60" width="14" style="1" customWidth="1"/>
    <col min="61" max="62" width="9.140625" style="1" customWidth="1"/>
    <col min="63" max="63" width="11.7109375" style="1" bestFit="1" customWidth="1"/>
    <col min="64" max="64" width="18.5703125" style="1" bestFit="1" customWidth="1"/>
    <col min="65" max="65" width="13.140625" style="4" bestFit="1" customWidth="1"/>
    <col min="66" max="67" width="9.140625" style="1" customWidth="1"/>
    <col min="68" max="68" width="10" style="1" bestFit="1" customWidth="1"/>
    <col min="69" max="71" width="9.140625" style="1" customWidth="1"/>
    <col min="72" max="72" width="9.140625" style="4" customWidth="1"/>
  </cols>
  <sheetData>
    <row r="1" spans="58:76" x14ac:dyDescent="0.25">
      <c r="BF1" s="1" t="s">
        <v>83</v>
      </c>
      <c r="BG1" s="1" t="s">
        <v>84</v>
      </c>
      <c r="BH1" s="1" t="s">
        <v>30</v>
      </c>
      <c r="BI1" s="1" t="s">
        <v>31</v>
      </c>
      <c r="BJ1" s="1" t="s">
        <v>32</v>
      </c>
      <c r="BK1" s="1" t="s">
        <v>11</v>
      </c>
      <c r="BL1" s="1" t="s">
        <v>85</v>
      </c>
      <c r="BM1" s="4" t="s">
        <v>86</v>
      </c>
      <c r="BN1" s="1" t="s">
        <v>87</v>
      </c>
      <c r="BO1" s="1" t="s">
        <v>12</v>
      </c>
      <c r="BP1" s="1" t="s">
        <v>88</v>
      </c>
      <c r="BQ1" s="1" t="s">
        <v>89</v>
      </c>
      <c r="BR1" s="1" t="s">
        <v>17</v>
      </c>
      <c r="BS1" s="1" t="s">
        <v>82</v>
      </c>
      <c r="BT1" s="4" t="s">
        <v>28</v>
      </c>
      <c r="BU1" s="1" t="s">
        <v>90</v>
      </c>
      <c r="BV1" s="1" t="s">
        <v>85</v>
      </c>
      <c r="BW1" s="1" t="s">
        <v>20</v>
      </c>
      <c r="BX1" s="1" t="s">
        <v>138</v>
      </c>
    </row>
    <row r="2" spans="58:76" x14ac:dyDescent="0.2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52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65" si="2">L2</f>
        <v>0</v>
      </c>
      <c r="BM2" s="10" t="str">
        <f t="shared" ref="BM2:BM65" si="3">SUBSTITUTE(J2,"/",".")</f>
        <v/>
      </c>
      <c r="BN2" s="52">
        <f>VALUE(Q2)*1000</f>
        <v>0</v>
      </c>
      <c r="BO2" s="52">
        <f>VALUE(P2)/1000</f>
        <v>0</v>
      </c>
      <c r="BP2" s="1">
        <f t="shared" ref="BP2:BP65" si="4">VALUE(D2)</f>
        <v>0</v>
      </c>
      <c r="BQ2" s="1">
        <f t="shared" ref="BQ2:BQ65" si="5">G2</f>
        <v>0</v>
      </c>
      <c r="BR2" s="1" t="str">
        <f t="shared" ref="BR2:BR65" si="6">SUBSTITUTE(O2,".","")</f>
        <v/>
      </c>
      <c r="BS2" s="1">
        <f t="shared" ref="BS2:BS65" si="7">S2</f>
        <v>0</v>
      </c>
      <c r="BT2" s="4">
        <f>VALUE(AJ2)</f>
        <v>0</v>
      </c>
      <c r="BU2" s="52">
        <f>K2</f>
        <v>0</v>
      </c>
      <c r="BV2" s="1">
        <f>AQ2</f>
        <v>0</v>
      </c>
      <c r="BW2">
        <f>X2</f>
        <v>0</v>
      </c>
      <c r="BX2">
        <f>AN2</f>
        <v>0</v>
      </c>
    </row>
    <row r="3" spans="58:76" x14ac:dyDescent="0.2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52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8">IFERROR(INT(I3),I3)</f>
        <v>0</v>
      </c>
      <c r="BL3" s="1">
        <f t="shared" si="2"/>
        <v>0</v>
      </c>
      <c r="BM3" s="10" t="str">
        <f t="shared" si="3"/>
        <v/>
      </c>
      <c r="BN3" s="52">
        <f t="shared" ref="BN3:BN66" si="9">VALUE(Q3)*1000</f>
        <v>0</v>
      </c>
      <c r="BO3" s="52">
        <f t="shared" ref="BO3:BO66" si="10">VALUE(P3)/1000</f>
        <v>0</v>
      </c>
      <c r="BP3" s="1">
        <f t="shared" si="4"/>
        <v>0</v>
      </c>
      <c r="BQ3" s="1">
        <f t="shared" si="5"/>
        <v>0</v>
      </c>
      <c r="BR3" s="1" t="str">
        <f t="shared" si="6"/>
        <v/>
      </c>
      <c r="BS3" s="1">
        <f t="shared" si="7"/>
        <v>0</v>
      </c>
      <c r="BT3" s="4">
        <f t="shared" ref="BT3:BT66" si="11">VALUE(AJ3)</f>
        <v>0</v>
      </c>
      <c r="BU3" s="52">
        <f t="shared" ref="BU3:BU66" si="12">K3</f>
        <v>0</v>
      </c>
      <c r="BV3" s="1">
        <f t="shared" ref="BV3:BV66" si="13">AQ3</f>
        <v>0</v>
      </c>
      <c r="BW3">
        <f t="shared" ref="BW3:BW66" si="14">X3</f>
        <v>0</v>
      </c>
      <c r="BX3">
        <f t="shared" ref="BX3:BX66" si="15">AN3</f>
        <v>0</v>
      </c>
    </row>
    <row r="4" spans="58:76" x14ac:dyDescent="0.2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52">
        <f t="shared" si="0"/>
        <v>0</v>
      </c>
      <c r="BI4" s="1">
        <f t="shared" si="0"/>
        <v>0</v>
      </c>
      <c r="BJ4" s="1">
        <f t="shared" si="1"/>
        <v>0</v>
      </c>
      <c r="BK4" s="1">
        <f t="shared" si="8"/>
        <v>0</v>
      </c>
      <c r="BL4" s="1">
        <f t="shared" si="2"/>
        <v>0</v>
      </c>
      <c r="BM4" s="10" t="str">
        <f t="shared" si="3"/>
        <v/>
      </c>
      <c r="BN4" s="52">
        <f t="shared" si="9"/>
        <v>0</v>
      </c>
      <c r="BO4" s="52">
        <f t="shared" si="10"/>
        <v>0</v>
      </c>
      <c r="BP4" s="1">
        <f t="shared" si="4"/>
        <v>0</v>
      </c>
      <c r="BQ4" s="1">
        <f t="shared" si="5"/>
        <v>0</v>
      </c>
      <c r="BR4" s="1" t="str">
        <f t="shared" si="6"/>
        <v/>
      </c>
      <c r="BS4" s="1">
        <f t="shared" si="7"/>
        <v>0</v>
      </c>
      <c r="BT4" s="4">
        <f t="shared" si="11"/>
        <v>0</v>
      </c>
      <c r="BU4" s="52">
        <f t="shared" si="12"/>
        <v>0</v>
      </c>
      <c r="BV4" s="1">
        <f t="shared" si="13"/>
        <v>0</v>
      </c>
      <c r="BW4">
        <f t="shared" si="14"/>
        <v>0</v>
      </c>
      <c r="BX4">
        <f t="shared" si="15"/>
        <v>0</v>
      </c>
    </row>
    <row r="5" spans="58:76" x14ac:dyDescent="0.2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52">
        <f t="shared" si="0"/>
        <v>0</v>
      </c>
      <c r="BI5" s="1">
        <f t="shared" si="0"/>
        <v>0</v>
      </c>
      <c r="BJ5" s="1">
        <f t="shared" si="1"/>
        <v>0</v>
      </c>
      <c r="BK5" s="1">
        <f t="shared" si="8"/>
        <v>0</v>
      </c>
      <c r="BL5" s="1">
        <f t="shared" si="2"/>
        <v>0</v>
      </c>
      <c r="BM5" s="10" t="str">
        <f t="shared" si="3"/>
        <v/>
      </c>
      <c r="BN5" s="52">
        <f t="shared" si="9"/>
        <v>0</v>
      </c>
      <c r="BO5" s="52">
        <f t="shared" si="10"/>
        <v>0</v>
      </c>
      <c r="BP5" s="1">
        <f t="shared" si="4"/>
        <v>0</v>
      </c>
      <c r="BQ5" s="1">
        <f t="shared" si="5"/>
        <v>0</v>
      </c>
      <c r="BR5" s="1" t="str">
        <f t="shared" si="6"/>
        <v/>
      </c>
      <c r="BS5" s="1">
        <f t="shared" si="7"/>
        <v>0</v>
      </c>
      <c r="BT5" s="4">
        <f t="shared" si="11"/>
        <v>0</v>
      </c>
      <c r="BU5" s="52">
        <f t="shared" si="12"/>
        <v>0</v>
      </c>
      <c r="BV5" s="1">
        <f t="shared" si="13"/>
        <v>0</v>
      </c>
      <c r="BW5">
        <f t="shared" si="14"/>
        <v>0</v>
      </c>
      <c r="BX5">
        <f t="shared" si="15"/>
        <v>0</v>
      </c>
    </row>
    <row r="6" spans="58:76" x14ac:dyDescent="0.2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52">
        <f t="shared" si="0"/>
        <v>0</v>
      </c>
      <c r="BI6" s="1">
        <f t="shared" si="0"/>
        <v>0</v>
      </c>
      <c r="BJ6" s="1">
        <f t="shared" si="1"/>
        <v>0</v>
      </c>
      <c r="BK6" s="1">
        <f t="shared" si="8"/>
        <v>0</v>
      </c>
      <c r="BL6" s="1">
        <f t="shared" si="2"/>
        <v>0</v>
      </c>
      <c r="BM6" s="10" t="str">
        <f t="shared" si="3"/>
        <v/>
      </c>
      <c r="BN6" s="52">
        <f t="shared" si="9"/>
        <v>0</v>
      </c>
      <c r="BO6" s="52">
        <f t="shared" si="10"/>
        <v>0</v>
      </c>
      <c r="BP6" s="1">
        <f t="shared" si="4"/>
        <v>0</v>
      </c>
      <c r="BQ6" s="1">
        <f t="shared" si="5"/>
        <v>0</v>
      </c>
      <c r="BR6" s="1" t="str">
        <f t="shared" si="6"/>
        <v/>
      </c>
      <c r="BS6" s="1">
        <f t="shared" si="7"/>
        <v>0</v>
      </c>
      <c r="BT6" s="4">
        <f t="shared" si="11"/>
        <v>0</v>
      </c>
      <c r="BU6" s="52">
        <f t="shared" si="12"/>
        <v>0</v>
      </c>
      <c r="BV6" s="1">
        <f t="shared" si="13"/>
        <v>0</v>
      </c>
      <c r="BW6">
        <f t="shared" si="14"/>
        <v>0</v>
      </c>
      <c r="BX6">
        <f t="shared" si="15"/>
        <v>0</v>
      </c>
    </row>
    <row r="7" spans="58:76" x14ac:dyDescent="0.2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52">
        <f t="shared" si="0"/>
        <v>0</v>
      </c>
      <c r="BI7" s="1">
        <f t="shared" si="0"/>
        <v>0</v>
      </c>
      <c r="BJ7" s="1">
        <f t="shared" si="1"/>
        <v>0</v>
      </c>
      <c r="BK7" s="1">
        <f t="shared" si="8"/>
        <v>0</v>
      </c>
      <c r="BL7" s="1">
        <f t="shared" si="2"/>
        <v>0</v>
      </c>
      <c r="BM7" s="10" t="str">
        <f t="shared" si="3"/>
        <v/>
      </c>
      <c r="BN7" s="52">
        <f t="shared" si="9"/>
        <v>0</v>
      </c>
      <c r="BO7" s="52">
        <f t="shared" si="10"/>
        <v>0</v>
      </c>
      <c r="BP7" s="1">
        <f t="shared" si="4"/>
        <v>0</v>
      </c>
      <c r="BQ7" s="1">
        <f t="shared" si="5"/>
        <v>0</v>
      </c>
      <c r="BR7" s="1" t="str">
        <f t="shared" si="6"/>
        <v/>
      </c>
      <c r="BS7" s="1">
        <f t="shared" si="7"/>
        <v>0</v>
      </c>
      <c r="BT7" s="4">
        <f t="shared" si="11"/>
        <v>0</v>
      </c>
      <c r="BU7" s="52">
        <f t="shared" si="12"/>
        <v>0</v>
      </c>
      <c r="BV7" s="1">
        <f t="shared" si="13"/>
        <v>0</v>
      </c>
      <c r="BW7">
        <f t="shared" si="14"/>
        <v>0</v>
      </c>
      <c r="BX7">
        <f t="shared" si="15"/>
        <v>0</v>
      </c>
    </row>
    <row r="8" spans="58:76" x14ac:dyDescent="0.2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52">
        <f t="shared" si="0"/>
        <v>0</v>
      </c>
      <c r="BI8" s="1">
        <f t="shared" si="0"/>
        <v>0</v>
      </c>
      <c r="BJ8" s="1">
        <f t="shared" si="1"/>
        <v>0</v>
      </c>
      <c r="BK8" s="1">
        <f t="shared" si="8"/>
        <v>0</v>
      </c>
      <c r="BL8" s="1">
        <f t="shared" si="2"/>
        <v>0</v>
      </c>
      <c r="BM8" s="10" t="str">
        <f t="shared" si="3"/>
        <v/>
      </c>
      <c r="BN8" s="52">
        <f t="shared" si="9"/>
        <v>0</v>
      </c>
      <c r="BO8" s="52">
        <f t="shared" si="10"/>
        <v>0</v>
      </c>
      <c r="BP8" s="1">
        <f t="shared" si="4"/>
        <v>0</v>
      </c>
      <c r="BQ8" s="1">
        <f t="shared" si="5"/>
        <v>0</v>
      </c>
      <c r="BR8" s="1" t="str">
        <f t="shared" si="6"/>
        <v/>
      </c>
      <c r="BS8" s="1">
        <f t="shared" si="7"/>
        <v>0</v>
      </c>
      <c r="BT8" s="4">
        <f t="shared" si="11"/>
        <v>0</v>
      </c>
      <c r="BU8" s="52">
        <f t="shared" si="12"/>
        <v>0</v>
      </c>
      <c r="BV8" s="1">
        <f t="shared" si="13"/>
        <v>0</v>
      </c>
      <c r="BW8">
        <f t="shared" si="14"/>
        <v>0</v>
      </c>
      <c r="BX8">
        <f t="shared" si="15"/>
        <v>0</v>
      </c>
    </row>
    <row r="9" spans="58:76" x14ac:dyDescent="0.2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52">
        <f t="shared" si="0"/>
        <v>0</v>
      </c>
      <c r="BI9" s="1">
        <f t="shared" si="0"/>
        <v>0</v>
      </c>
      <c r="BJ9" s="1">
        <f t="shared" si="1"/>
        <v>0</v>
      </c>
      <c r="BK9" s="1">
        <f t="shared" si="8"/>
        <v>0</v>
      </c>
      <c r="BL9" s="1">
        <f t="shared" si="2"/>
        <v>0</v>
      </c>
      <c r="BM9" s="10" t="str">
        <f t="shared" si="3"/>
        <v/>
      </c>
      <c r="BN9" s="52">
        <f t="shared" si="9"/>
        <v>0</v>
      </c>
      <c r="BO9" s="52">
        <f t="shared" si="10"/>
        <v>0</v>
      </c>
      <c r="BP9" s="1">
        <f t="shared" si="4"/>
        <v>0</v>
      </c>
      <c r="BQ9" s="1">
        <f t="shared" si="5"/>
        <v>0</v>
      </c>
      <c r="BR9" s="1" t="str">
        <f t="shared" si="6"/>
        <v/>
      </c>
      <c r="BS9" s="1">
        <f t="shared" si="7"/>
        <v>0</v>
      </c>
      <c r="BT9" s="4">
        <f t="shared" si="11"/>
        <v>0</v>
      </c>
      <c r="BU9" s="52">
        <f t="shared" si="12"/>
        <v>0</v>
      </c>
      <c r="BV9" s="1">
        <f t="shared" si="13"/>
        <v>0</v>
      </c>
      <c r="BW9">
        <f t="shared" si="14"/>
        <v>0</v>
      </c>
      <c r="BX9">
        <f t="shared" si="15"/>
        <v>0</v>
      </c>
    </row>
    <row r="10" spans="58:76" x14ac:dyDescent="0.2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52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8"/>
        <v>0</v>
      </c>
      <c r="BL10" s="1">
        <f t="shared" si="2"/>
        <v>0</v>
      </c>
      <c r="BM10" s="10" t="str">
        <f t="shared" si="3"/>
        <v/>
      </c>
      <c r="BN10" s="52">
        <f t="shared" si="9"/>
        <v>0</v>
      </c>
      <c r="BO10" s="52">
        <f t="shared" si="10"/>
        <v>0</v>
      </c>
      <c r="BP10" s="1">
        <f t="shared" si="4"/>
        <v>0</v>
      </c>
      <c r="BQ10" s="1">
        <f t="shared" si="5"/>
        <v>0</v>
      </c>
      <c r="BR10" s="1" t="str">
        <f t="shared" si="6"/>
        <v/>
      </c>
      <c r="BS10" s="1">
        <f t="shared" si="7"/>
        <v>0</v>
      </c>
      <c r="BT10" s="4">
        <f t="shared" si="11"/>
        <v>0</v>
      </c>
      <c r="BU10" s="52">
        <f t="shared" si="12"/>
        <v>0</v>
      </c>
      <c r="BV10" s="1">
        <f t="shared" si="13"/>
        <v>0</v>
      </c>
      <c r="BW10">
        <f t="shared" si="14"/>
        <v>0</v>
      </c>
      <c r="BX10">
        <f t="shared" si="15"/>
        <v>0</v>
      </c>
    </row>
    <row r="11" spans="58:76" x14ac:dyDescent="0.2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52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8"/>
        <v>0</v>
      </c>
      <c r="BL11" s="1">
        <f t="shared" si="2"/>
        <v>0</v>
      </c>
      <c r="BM11" s="10" t="str">
        <f t="shared" si="3"/>
        <v/>
      </c>
      <c r="BN11" s="52">
        <f t="shared" si="9"/>
        <v>0</v>
      </c>
      <c r="BO11" s="52">
        <f t="shared" si="10"/>
        <v>0</v>
      </c>
      <c r="BP11" s="1">
        <f t="shared" si="4"/>
        <v>0</v>
      </c>
      <c r="BQ11" s="1">
        <f t="shared" si="5"/>
        <v>0</v>
      </c>
      <c r="BR11" s="1" t="str">
        <f t="shared" si="6"/>
        <v/>
      </c>
      <c r="BS11" s="1">
        <f t="shared" si="7"/>
        <v>0</v>
      </c>
      <c r="BT11" s="4">
        <f t="shared" si="11"/>
        <v>0</v>
      </c>
      <c r="BU11" s="52">
        <f t="shared" si="12"/>
        <v>0</v>
      </c>
      <c r="BV11" s="1">
        <f t="shared" si="13"/>
        <v>0</v>
      </c>
      <c r="BW11">
        <f t="shared" si="14"/>
        <v>0</v>
      </c>
      <c r="BX11">
        <f t="shared" si="15"/>
        <v>0</v>
      </c>
    </row>
    <row r="12" spans="58:76" x14ac:dyDescent="0.2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52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8"/>
        <v>0</v>
      </c>
      <c r="BL12" s="1">
        <f t="shared" si="2"/>
        <v>0</v>
      </c>
      <c r="BM12" s="10" t="str">
        <f t="shared" si="3"/>
        <v/>
      </c>
      <c r="BN12" s="52">
        <f t="shared" si="9"/>
        <v>0</v>
      </c>
      <c r="BO12" s="52">
        <f t="shared" si="10"/>
        <v>0</v>
      </c>
      <c r="BP12" s="1">
        <f t="shared" si="4"/>
        <v>0</v>
      </c>
      <c r="BQ12" s="1">
        <f t="shared" si="5"/>
        <v>0</v>
      </c>
      <c r="BR12" s="1" t="str">
        <f t="shared" si="6"/>
        <v/>
      </c>
      <c r="BS12" s="1">
        <f t="shared" si="7"/>
        <v>0</v>
      </c>
      <c r="BT12" s="4">
        <f t="shared" si="11"/>
        <v>0</v>
      </c>
      <c r="BU12" s="52">
        <f t="shared" si="12"/>
        <v>0</v>
      </c>
      <c r="BV12" s="1">
        <f t="shared" si="13"/>
        <v>0</v>
      </c>
      <c r="BW12">
        <f t="shared" si="14"/>
        <v>0</v>
      </c>
      <c r="BX12">
        <f t="shared" si="15"/>
        <v>0</v>
      </c>
    </row>
    <row r="13" spans="58:76" x14ac:dyDescent="0.2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52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8"/>
        <v>0</v>
      </c>
      <c r="BL13" s="1">
        <f t="shared" si="2"/>
        <v>0</v>
      </c>
      <c r="BM13" s="10" t="str">
        <f t="shared" si="3"/>
        <v/>
      </c>
      <c r="BN13" s="52">
        <f t="shared" si="9"/>
        <v>0</v>
      </c>
      <c r="BO13" s="52">
        <f t="shared" si="10"/>
        <v>0</v>
      </c>
      <c r="BP13" s="1">
        <f t="shared" si="4"/>
        <v>0</v>
      </c>
      <c r="BQ13" s="1">
        <f t="shared" si="5"/>
        <v>0</v>
      </c>
      <c r="BR13" s="1" t="str">
        <f t="shared" si="6"/>
        <v/>
      </c>
      <c r="BS13" s="1">
        <f t="shared" si="7"/>
        <v>0</v>
      </c>
      <c r="BT13" s="4">
        <f t="shared" si="11"/>
        <v>0</v>
      </c>
      <c r="BU13" s="52">
        <f t="shared" si="12"/>
        <v>0</v>
      </c>
      <c r="BV13" s="1">
        <f t="shared" si="13"/>
        <v>0</v>
      </c>
      <c r="BW13">
        <f t="shared" si="14"/>
        <v>0</v>
      </c>
      <c r="BX13">
        <f t="shared" si="15"/>
        <v>0</v>
      </c>
    </row>
    <row r="14" spans="58:76" x14ac:dyDescent="0.2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52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8"/>
        <v>0</v>
      </c>
      <c r="BL14" s="1">
        <f t="shared" si="2"/>
        <v>0</v>
      </c>
      <c r="BM14" s="10" t="str">
        <f t="shared" si="3"/>
        <v/>
      </c>
      <c r="BN14" s="52">
        <f t="shared" si="9"/>
        <v>0</v>
      </c>
      <c r="BO14" s="52">
        <f t="shared" si="10"/>
        <v>0</v>
      </c>
      <c r="BP14" s="1">
        <f t="shared" si="4"/>
        <v>0</v>
      </c>
      <c r="BQ14" s="1">
        <f t="shared" si="5"/>
        <v>0</v>
      </c>
      <c r="BR14" s="1" t="str">
        <f t="shared" si="6"/>
        <v/>
      </c>
      <c r="BS14" s="1">
        <f t="shared" si="7"/>
        <v>0</v>
      </c>
      <c r="BT14" s="4">
        <f t="shared" si="11"/>
        <v>0</v>
      </c>
      <c r="BU14" s="52">
        <f t="shared" si="12"/>
        <v>0</v>
      </c>
      <c r="BV14" s="1">
        <f t="shared" si="13"/>
        <v>0</v>
      </c>
      <c r="BW14">
        <f t="shared" si="14"/>
        <v>0</v>
      </c>
      <c r="BX14">
        <f t="shared" si="15"/>
        <v>0</v>
      </c>
    </row>
    <row r="15" spans="58:76" x14ac:dyDescent="0.2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52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8"/>
        <v>0</v>
      </c>
      <c r="BL15" s="1">
        <f t="shared" si="2"/>
        <v>0</v>
      </c>
      <c r="BM15" s="10" t="str">
        <f t="shared" si="3"/>
        <v/>
      </c>
      <c r="BN15" s="52">
        <f t="shared" si="9"/>
        <v>0</v>
      </c>
      <c r="BO15" s="52">
        <f t="shared" si="10"/>
        <v>0</v>
      </c>
      <c r="BP15" s="1">
        <f t="shared" si="4"/>
        <v>0</v>
      </c>
      <c r="BQ15" s="1">
        <f t="shared" si="5"/>
        <v>0</v>
      </c>
      <c r="BR15" s="1" t="str">
        <f t="shared" si="6"/>
        <v/>
      </c>
      <c r="BS15" s="1">
        <f t="shared" si="7"/>
        <v>0</v>
      </c>
      <c r="BT15" s="4">
        <f t="shared" si="11"/>
        <v>0</v>
      </c>
      <c r="BU15" s="52">
        <f t="shared" si="12"/>
        <v>0</v>
      </c>
      <c r="BV15" s="1">
        <f t="shared" si="13"/>
        <v>0</v>
      </c>
      <c r="BW15">
        <f t="shared" si="14"/>
        <v>0</v>
      </c>
      <c r="BX15">
        <f t="shared" si="15"/>
        <v>0</v>
      </c>
    </row>
    <row r="16" spans="58:76" x14ac:dyDescent="0.2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52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8"/>
        <v>0</v>
      </c>
      <c r="BL16" s="1">
        <f t="shared" si="2"/>
        <v>0</v>
      </c>
      <c r="BM16" s="10" t="str">
        <f t="shared" si="3"/>
        <v/>
      </c>
      <c r="BN16" s="52">
        <f t="shared" si="9"/>
        <v>0</v>
      </c>
      <c r="BO16" s="52">
        <f t="shared" si="10"/>
        <v>0</v>
      </c>
      <c r="BP16" s="1">
        <f t="shared" si="4"/>
        <v>0</v>
      </c>
      <c r="BQ16" s="1">
        <f t="shared" si="5"/>
        <v>0</v>
      </c>
      <c r="BR16" s="1" t="str">
        <f t="shared" si="6"/>
        <v/>
      </c>
      <c r="BS16" s="1">
        <f t="shared" si="7"/>
        <v>0</v>
      </c>
      <c r="BT16" s="4">
        <f t="shared" si="11"/>
        <v>0</v>
      </c>
      <c r="BU16" s="52">
        <f t="shared" si="12"/>
        <v>0</v>
      </c>
      <c r="BV16" s="1">
        <f t="shared" si="13"/>
        <v>0</v>
      </c>
      <c r="BW16">
        <f t="shared" si="14"/>
        <v>0</v>
      </c>
      <c r="BX16">
        <f t="shared" si="15"/>
        <v>0</v>
      </c>
    </row>
    <row r="17" spans="58:76" x14ac:dyDescent="0.2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52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8"/>
        <v>0</v>
      </c>
      <c r="BL17" s="1">
        <f t="shared" si="2"/>
        <v>0</v>
      </c>
      <c r="BM17" s="10" t="str">
        <f t="shared" si="3"/>
        <v/>
      </c>
      <c r="BN17" s="52">
        <f t="shared" si="9"/>
        <v>0</v>
      </c>
      <c r="BO17" s="52">
        <f t="shared" si="10"/>
        <v>0</v>
      </c>
      <c r="BP17" s="1">
        <f t="shared" si="4"/>
        <v>0</v>
      </c>
      <c r="BQ17" s="1">
        <f t="shared" si="5"/>
        <v>0</v>
      </c>
      <c r="BR17" s="1" t="str">
        <f t="shared" si="6"/>
        <v/>
      </c>
      <c r="BS17" s="1">
        <f t="shared" si="7"/>
        <v>0</v>
      </c>
      <c r="BT17" s="4">
        <f t="shared" si="11"/>
        <v>0</v>
      </c>
      <c r="BU17" s="52">
        <f t="shared" si="12"/>
        <v>0</v>
      </c>
      <c r="BV17" s="1">
        <f t="shared" si="13"/>
        <v>0</v>
      </c>
      <c r="BW17">
        <f t="shared" si="14"/>
        <v>0</v>
      </c>
      <c r="BX17">
        <f t="shared" si="15"/>
        <v>0</v>
      </c>
    </row>
    <row r="18" spans="58:76" x14ac:dyDescent="0.2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52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8"/>
        <v>0</v>
      </c>
      <c r="BL18" s="1">
        <f t="shared" si="2"/>
        <v>0</v>
      </c>
      <c r="BM18" s="10" t="str">
        <f t="shared" si="3"/>
        <v/>
      </c>
      <c r="BN18" s="52">
        <f t="shared" si="9"/>
        <v>0</v>
      </c>
      <c r="BO18" s="52">
        <f t="shared" si="10"/>
        <v>0</v>
      </c>
      <c r="BP18" s="1">
        <f t="shared" si="4"/>
        <v>0</v>
      </c>
      <c r="BQ18" s="1">
        <f t="shared" si="5"/>
        <v>0</v>
      </c>
      <c r="BR18" s="1" t="str">
        <f t="shared" si="6"/>
        <v/>
      </c>
      <c r="BS18" s="1">
        <f t="shared" si="7"/>
        <v>0</v>
      </c>
      <c r="BT18" s="4">
        <f t="shared" si="11"/>
        <v>0</v>
      </c>
      <c r="BU18" s="52">
        <f t="shared" si="12"/>
        <v>0</v>
      </c>
      <c r="BV18" s="1">
        <f t="shared" si="13"/>
        <v>0</v>
      </c>
      <c r="BW18">
        <f t="shared" si="14"/>
        <v>0</v>
      </c>
      <c r="BX18">
        <f t="shared" si="15"/>
        <v>0</v>
      </c>
    </row>
    <row r="19" spans="58:76" x14ac:dyDescent="0.2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52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8"/>
        <v>0</v>
      </c>
      <c r="BL19" s="1">
        <f t="shared" si="2"/>
        <v>0</v>
      </c>
      <c r="BM19" s="10" t="str">
        <f t="shared" si="3"/>
        <v/>
      </c>
      <c r="BN19" s="52">
        <f t="shared" si="9"/>
        <v>0</v>
      </c>
      <c r="BO19" s="52">
        <f t="shared" si="10"/>
        <v>0</v>
      </c>
      <c r="BP19" s="1">
        <f t="shared" si="4"/>
        <v>0</v>
      </c>
      <c r="BQ19" s="1">
        <f t="shared" si="5"/>
        <v>0</v>
      </c>
      <c r="BR19" s="1" t="str">
        <f t="shared" si="6"/>
        <v/>
      </c>
      <c r="BS19" s="1">
        <f t="shared" si="7"/>
        <v>0</v>
      </c>
      <c r="BT19" s="4">
        <f t="shared" si="11"/>
        <v>0</v>
      </c>
      <c r="BU19" s="52">
        <f t="shared" si="12"/>
        <v>0</v>
      </c>
      <c r="BV19" s="1">
        <f t="shared" si="13"/>
        <v>0</v>
      </c>
      <c r="BW19">
        <f t="shared" si="14"/>
        <v>0</v>
      </c>
      <c r="BX19">
        <f t="shared" si="15"/>
        <v>0</v>
      </c>
    </row>
    <row r="20" spans="58:76" x14ac:dyDescent="0.2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52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8"/>
        <v>0</v>
      </c>
      <c r="BL20" s="1">
        <f t="shared" si="2"/>
        <v>0</v>
      </c>
      <c r="BM20" s="10" t="str">
        <f t="shared" si="3"/>
        <v/>
      </c>
      <c r="BN20" s="52">
        <f t="shared" si="9"/>
        <v>0</v>
      </c>
      <c r="BO20" s="52">
        <f t="shared" si="10"/>
        <v>0</v>
      </c>
      <c r="BP20" s="1">
        <f t="shared" si="4"/>
        <v>0</v>
      </c>
      <c r="BQ20" s="1">
        <f t="shared" si="5"/>
        <v>0</v>
      </c>
      <c r="BR20" s="1" t="str">
        <f t="shared" si="6"/>
        <v/>
      </c>
      <c r="BS20" s="1">
        <f t="shared" si="7"/>
        <v>0</v>
      </c>
      <c r="BT20" s="4">
        <f t="shared" si="11"/>
        <v>0</v>
      </c>
      <c r="BU20" s="52">
        <f t="shared" si="12"/>
        <v>0</v>
      </c>
      <c r="BV20" s="1">
        <f t="shared" si="13"/>
        <v>0</v>
      </c>
      <c r="BW20">
        <f t="shared" si="14"/>
        <v>0</v>
      </c>
      <c r="BX20">
        <f t="shared" si="15"/>
        <v>0</v>
      </c>
    </row>
    <row r="21" spans="58:76" x14ac:dyDescent="0.2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52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8"/>
        <v>0</v>
      </c>
      <c r="BL21" s="1">
        <f t="shared" si="2"/>
        <v>0</v>
      </c>
      <c r="BM21" s="10" t="str">
        <f t="shared" si="3"/>
        <v/>
      </c>
      <c r="BN21" s="52">
        <f t="shared" si="9"/>
        <v>0</v>
      </c>
      <c r="BO21" s="52">
        <f t="shared" si="10"/>
        <v>0</v>
      </c>
      <c r="BP21" s="1">
        <f t="shared" si="4"/>
        <v>0</v>
      </c>
      <c r="BQ21" s="1">
        <f t="shared" si="5"/>
        <v>0</v>
      </c>
      <c r="BR21" s="1" t="str">
        <f t="shared" si="6"/>
        <v/>
      </c>
      <c r="BS21" s="1">
        <f t="shared" si="7"/>
        <v>0</v>
      </c>
      <c r="BT21" s="4">
        <f t="shared" si="11"/>
        <v>0</v>
      </c>
      <c r="BU21" s="52">
        <f t="shared" si="12"/>
        <v>0</v>
      </c>
      <c r="BV21" s="1">
        <f t="shared" si="13"/>
        <v>0</v>
      </c>
      <c r="BW21">
        <f t="shared" si="14"/>
        <v>0</v>
      </c>
      <c r="BX21">
        <f t="shared" si="15"/>
        <v>0</v>
      </c>
    </row>
    <row r="22" spans="58:76" x14ac:dyDescent="0.2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52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8"/>
        <v>0</v>
      </c>
      <c r="BL22" s="1">
        <f t="shared" si="2"/>
        <v>0</v>
      </c>
      <c r="BM22" s="10" t="str">
        <f t="shared" si="3"/>
        <v/>
      </c>
      <c r="BN22" s="52">
        <f t="shared" si="9"/>
        <v>0</v>
      </c>
      <c r="BO22" s="52">
        <f t="shared" si="10"/>
        <v>0</v>
      </c>
      <c r="BP22" s="1">
        <f t="shared" si="4"/>
        <v>0</v>
      </c>
      <c r="BQ22" s="1">
        <f t="shared" si="5"/>
        <v>0</v>
      </c>
      <c r="BR22" s="1" t="str">
        <f t="shared" si="6"/>
        <v/>
      </c>
      <c r="BS22" s="1">
        <f t="shared" si="7"/>
        <v>0</v>
      </c>
      <c r="BT22" s="4">
        <f t="shared" si="11"/>
        <v>0</v>
      </c>
      <c r="BU22" s="52">
        <f t="shared" si="12"/>
        <v>0</v>
      </c>
      <c r="BV22" s="1">
        <f t="shared" si="13"/>
        <v>0</v>
      </c>
      <c r="BW22">
        <f t="shared" si="14"/>
        <v>0</v>
      </c>
      <c r="BX22">
        <f t="shared" si="15"/>
        <v>0</v>
      </c>
    </row>
    <row r="23" spans="58:76" x14ac:dyDescent="0.2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52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8"/>
        <v>0</v>
      </c>
      <c r="BL23" s="1">
        <f t="shared" si="2"/>
        <v>0</v>
      </c>
      <c r="BM23" s="10" t="str">
        <f t="shared" si="3"/>
        <v/>
      </c>
      <c r="BN23" s="52">
        <f t="shared" si="9"/>
        <v>0</v>
      </c>
      <c r="BO23" s="52">
        <f t="shared" si="10"/>
        <v>0</v>
      </c>
      <c r="BP23" s="1">
        <f t="shared" si="4"/>
        <v>0</v>
      </c>
      <c r="BQ23" s="1">
        <f t="shared" si="5"/>
        <v>0</v>
      </c>
      <c r="BR23" s="1" t="str">
        <f t="shared" si="6"/>
        <v/>
      </c>
      <c r="BS23" s="1">
        <f t="shared" si="7"/>
        <v>0</v>
      </c>
      <c r="BT23" s="4">
        <f t="shared" si="11"/>
        <v>0</v>
      </c>
      <c r="BU23" s="52">
        <f t="shared" si="12"/>
        <v>0</v>
      </c>
      <c r="BV23" s="1">
        <f t="shared" si="13"/>
        <v>0</v>
      </c>
      <c r="BW23">
        <f t="shared" si="14"/>
        <v>0</v>
      </c>
      <c r="BX23">
        <f t="shared" si="15"/>
        <v>0</v>
      </c>
    </row>
    <row r="24" spans="58:76" x14ac:dyDescent="0.2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52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8"/>
        <v>0</v>
      </c>
      <c r="BL24" s="1">
        <f t="shared" si="2"/>
        <v>0</v>
      </c>
      <c r="BM24" s="10" t="str">
        <f t="shared" si="3"/>
        <v/>
      </c>
      <c r="BN24" s="52">
        <f t="shared" si="9"/>
        <v>0</v>
      </c>
      <c r="BO24" s="52">
        <f t="shared" si="10"/>
        <v>0</v>
      </c>
      <c r="BP24" s="1">
        <f t="shared" si="4"/>
        <v>0</v>
      </c>
      <c r="BQ24" s="1">
        <f t="shared" si="5"/>
        <v>0</v>
      </c>
      <c r="BR24" s="1" t="str">
        <f t="shared" si="6"/>
        <v/>
      </c>
      <c r="BS24" s="1">
        <f t="shared" si="7"/>
        <v>0</v>
      </c>
      <c r="BT24" s="4">
        <f t="shared" si="11"/>
        <v>0</v>
      </c>
      <c r="BU24" s="52">
        <f t="shared" si="12"/>
        <v>0</v>
      </c>
      <c r="BV24" s="1">
        <f t="shared" si="13"/>
        <v>0</v>
      </c>
      <c r="BW24">
        <f t="shared" si="14"/>
        <v>0</v>
      </c>
      <c r="BX24">
        <f t="shared" si="15"/>
        <v>0</v>
      </c>
    </row>
    <row r="25" spans="58:76" x14ac:dyDescent="0.2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52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8"/>
        <v>0</v>
      </c>
      <c r="BL25" s="1">
        <f t="shared" si="2"/>
        <v>0</v>
      </c>
      <c r="BM25" s="10" t="str">
        <f t="shared" si="3"/>
        <v/>
      </c>
      <c r="BN25" s="52">
        <f t="shared" si="9"/>
        <v>0</v>
      </c>
      <c r="BO25" s="52">
        <f t="shared" si="10"/>
        <v>0</v>
      </c>
      <c r="BP25" s="1">
        <f t="shared" si="4"/>
        <v>0</v>
      </c>
      <c r="BQ25" s="1">
        <f t="shared" si="5"/>
        <v>0</v>
      </c>
      <c r="BR25" s="1" t="str">
        <f t="shared" si="6"/>
        <v/>
      </c>
      <c r="BS25" s="1">
        <f t="shared" si="7"/>
        <v>0</v>
      </c>
      <c r="BT25" s="4">
        <f t="shared" si="11"/>
        <v>0</v>
      </c>
      <c r="BU25" s="52">
        <f t="shared" si="12"/>
        <v>0</v>
      </c>
      <c r="BV25" s="1">
        <f t="shared" si="13"/>
        <v>0</v>
      </c>
      <c r="BW25">
        <f t="shared" si="14"/>
        <v>0</v>
      </c>
      <c r="BX25">
        <f t="shared" si="15"/>
        <v>0</v>
      </c>
    </row>
    <row r="26" spans="58:76" x14ac:dyDescent="0.2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52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8"/>
        <v>0</v>
      </c>
      <c r="BL26" s="1">
        <f t="shared" si="2"/>
        <v>0</v>
      </c>
      <c r="BM26" s="10" t="str">
        <f t="shared" si="3"/>
        <v/>
      </c>
      <c r="BN26" s="52">
        <f t="shared" si="9"/>
        <v>0</v>
      </c>
      <c r="BO26" s="52">
        <f t="shared" si="10"/>
        <v>0</v>
      </c>
      <c r="BP26" s="1">
        <f t="shared" si="4"/>
        <v>0</v>
      </c>
      <c r="BQ26" s="1">
        <f t="shared" si="5"/>
        <v>0</v>
      </c>
      <c r="BR26" s="1" t="str">
        <f t="shared" si="6"/>
        <v/>
      </c>
      <c r="BS26" s="1">
        <f t="shared" si="7"/>
        <v>0</v>
      </c>
      <c r="BT26" s="4">
        <f t="shared" si="11"/>
        <v>0</v>
      </c>
      <c r="BU26" s="52">
        <f t="shared" si="12"/>
        <v>0</v>
      </c>
      <c r="BV26" s="1">
        <f t="shared" si="13"/>
        <v>0</v>
      </c>
      <c r="BW26">
        <f t="shared" si="14"/>
        <v>0</v>
      </c>
      <c r="BX26">
        <f t="shared" si="15"/>
        <v>0</v>
      </c>
    </row>
    <row r="27" spans="58:76" x14ac:dyDescent="0.2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52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8"/>
        <v>0</v>
      </c>
      <c r="BL27" s="1">
        <f t="shared" si="2"/>
        <v>0</v>
      </c>
      <c r="BM27" s="10" t="str">
        <f t="shared" si="3"/>
        <v/>
      </c>
      <c r="BN27" s="52">
        <f t="shared" si="9"/>
        <v>0</v>
      </c>
      <c r="BO27" s="52">
        <f t="shared" si="10"/>
        <v>0</v>
      </c>
      <c r="BP27" s="1">
        <f t="shared" si="4"/>
        <v>0</v>
      </c>
      <c r="BQ27" s="1">
        <f t="shared" si="5"/>
        <v>0</v>
      </c>
      <c r="BR27" s="1" t="str">
        <f t="shared" si="6"/>
        <v/>
      </c>
      <c r="BS27" s="1">
        <f t="shared" si="7"/>
        <v>0</v>
      </c>
      <c r="BT27" s="4">
        <f t="shared" si="11"/>
        <v>0</v>
      </c>
      <c r="BU27" s="52">
        <f t="shared" si="12"/>
        <v>0</v>
      </c>
      <c r="BV27" s="1">
        <f t="shared" si="13"/>
        <v>0</v>
      </c>
      <c r="BW27">
        <f t="shared" si="14"/>
        <v>0</v>
      </c>
      <c r="BX27">
        <f t="shared" si="15"/>
        <v>0</v>
      </c>
    </row>
    <row r="28" spans="58:76" x14ac:dyDescent="0.2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52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8"/>
        <v>0</v>
      </c>
      <c r="BL28" s="1">
        <f t="shared" si="2"/>
        <v>0</v>
      </c>
      <c r="BM28" s="10" t="str">
        <f t="shared" si="3"/>
        <v/>
      </c>
      <c r="BN28" s="52">
        <f t="shared" si="9"/>
        <v>0</v>
      </c>
      <c r="BO28" s="52">
        <f t="shared" si="10"/>
        <v>0</v>
      </c>
      <c r="BP28" s="1">
        <f t="shared" si="4"/>
        <v>0</v>
      </c>
      <c r="BQ28" s="1">
        <f t="shared" si="5"/>
        <v>0</v>
      </c>
      <c r="BR28" s="1" t="str">
        <f t="shared" si="6"/>
        <v/>
      </c>
      <c r="BS28" s="1">
        <f t="shared" si="7"/>
        <v>0</v>
      </c>
      <c r="BT28" s="4">
        <f t="shared" si="11"/>
        <v>0</v>
      </c>
      <c r="BU28" s="52">
        <f t="shared" si="12"/>
        <v>0</v>
      </c>
      <c r="BV28" s="1">
        <f t="shared" si="13"/>
        <v>0</v>
      </c>
      <c r="BW28">
        <f t="shared" si="14"/>
        <v>0</v>
      </c>
      <c r="BX28">
        <f t="shared" si="15"/>
        <v>0</v>
      </c>
    </row>
    <row r="29" spans="58:76" x14ac:dyDescent="0.2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52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8"/>
        <v>0</v>
      </c>
      <c r="BL29" s="1">
        <f t="shared" si="2"/>
        <v>0</v>
      </c>
      <c r="BM29" s="10" t="str">
        <f t="shared" si="3"/>
        <v/>
      </c>
      <c r="BN29" s="52">
        <f t="shared" si="9"/>
        <v>0</v>
      </c>
      <c r="BO29" s="52">
        <f t="shared" si="10"/>
        <v>0</v>
      </c>
      <c r="BP29" s="1">
        <f t="shared" si="4"/>
        <v>0</v>
      </c>
      <c r="BQ29" s="1">
        <f t="shared" si="5"/>
        <v>0</v>
      </c>
      <c r="BR29" s="1" t="str">
        <f t="shared" si="6"/>
        <v/>
      </c>
      <c r="BS29" s="1">
        <f t="shared" si="7"/>
        <v>0</v>
      </c>
      <c r="BT29" s="4">
        <f t="shared" si="11"/>
        <v>0</v>
      </c>
      <c r="BU29" s="52">
        <f t="shared" si="12"/>
        <v>0</v>
      </c>
      <c r="BV29" s="1">
        <f t="shared" si="13"/>
        <v>0</v>
      </c>
      <c r="BW29">
        <f t="shared" si="14"/>
        <v>0</v>
      </c>
      <c r="BX29">
        <f t="shared" si="15"/>
        <v>0</v>
      </c>
    </row>
    <row r="30" spans="58:76" x14ac:dyDescent="0.2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52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8"/>
        <v>0</v>
      </c>
      <c r="BL30" s="1">
        <f t="shared" si="2"/>
        <v>0</v>
      </c>
      <c r="BM30" s="10" t="str">
        <f t="shared" si="3"/>
        <v/>
      </c>
      <c r="BN30" s="52">
        <f t="shared" si="9"/>
        <v>0</v>
      </c>
      <c r="BO30" s="52">
        <f t="shared" si="10"/>
        <v>0</v>
      </c>
      <c r="BP30" s="1">
        <f t="shared" si="4"/>
        <v>0</v>
      </c>
      <c r="BQ30" s="1">
        <f t="shared" si="5"/>
        <v>0</v>
      </c>
      <c r="BR30" s="1" t="str">
        <f t="shared" si="6"/>
        <v/>
      </c>
      <c r="BS30" s="1">
        <f t="shared" si="7"/>
        <v>0</v>
      </c>
      <c r="BT30" s="4">
        <f t="shared" si="11"/>
        <v>0</v>
      </c>
      <c r="BU30" s="52">
        <f t="shared" si="12"/>
        <v>0</v>
      </c>
      <c r="BV30" s="1">
        <f t="shared" si="13"/>
        <v>0</v>
      </c>
      <c r="BW30">
        <f t="shared" si="14"/>
        <v>0</v>
      </c>
      <c r="BX30">
        <f t="shared" si="15"/>
        <v>0</v>
      </c>
    </row>
    <row r="31" spans="58:76" x14ac:dyDescent="0.2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52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8"/>
        <v>0</v>
      </c>
      <c r="BL31" s="1">
        <f t="shared" si="2"/>
        <v>0</v>
      </c>
      <c r="BM31" s="10" t="str">
        <f t="shared" si="3"/>
        <v/>
      </c>
      <c r="BN31" s="52">
        <f t="shared" si="9"/>
        <v>0</v>
      </c>
      <c r="BO31" s="52">
        <f t="shared" si="10"/>
        <v>0</v>
      </c>
      <c r="BP31" s="1">
        <f t="shared" si="4"/>
        <v>0</v>
      </c>
      <c r="BQ31" s="1">
        <f t="shared" si="5"/>
        <v>0</v>
      </c>
      <c r="BR31" s="1" t="str">
        <f t="shared" si="6"/>
        <v/>
      </c>
      <c r="BS31" s="1">
        <f t="shared" si="7"/>
        <v>0</v>
      </c>
      <c r="BT31" s="4">
        <f t="shared" si="11"/>
        <v>0</v>
      </c>
      <c r="BU31" s="52">
        <f t="shared" si="12"/>
        <v>0</v>
      </c>
      <c r="BV31" s="1">
        <f t="shared" si="13"/>
        <v>0</v>
      </c>
      <c r="BW31">
        <f t="shared" si="14"/>
        <v>0</v>
      </c>
      <c r="BX31">
        <f t="shared" si="15"/>
        <v>0</v>
      </c>
    </row>
    <row r="32" spans="58:76" x14ac:dyDescent="0.2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52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8"/>
        <v>0</v>
      </c>
      <c r="BL32" s="1">
        <f t="shared" si="2"/>
        <v>0</v>
      </c>
      <c r="BM32" s="10" t="str">
        <f t="shared" si="3"/>
        <v/>
      </c>
      <c r="BN32" s="52">
        <f t="shared" si="9"/>
        <v>0</v>
      </c>
      <c r="BO32" s="52">
        <f t="shared" si="10"/>
        <v>0</v>
      </c>
      <c r="BP32" s="1">
        <f t="shared" si="4"/>
        <v>0</v>
      </c>
      <c r="BQ32" s="1">
        <f t="shared" si="5"/>
        <v>0</v>
      </c>
      <c r="BR32" s="1" t="str">
        <f t="shared" si="6"/>
        <v/>
      </c>
      <c r="BS32" s="1">
        <f t="shared" si="7"/>
        <v>0</v>
      </c>
      <c r="BT32" s="4">
        <f t="shared" si="11"/>
        <v>0</v>
      </c>
      <c r="BU32" s="52">
        <f t="shared" si="12"/>
        <v>0</v>
      </c>
      <c r="BV32" s="1">
        <f t="shared" si="13"/>
        <v>0</v>
      </c>
      <c r="BW32">
        <f t="shared" si="14"/>
        <v>0</v>
      </c>
      <c r="BX32">
        <f t="shared" si="15"/>
        <v>0</v>
      </c>
    </row>
    <row r="33" spans="58:76" x14ac:dyDescent="0.2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52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8"/>
        <v>0</v>
      </c>
      <c r="BL33" s="1">
        <f t="shared" si="2"/>
        <v>0</v>
      </c>
      <c r="BM33" s="10" t="str">
        <f t="shared" si="3"/>
        <v/>
      </c>
      <c r="BN33" s="52">
        <f t="shared" si="9"/>
        <v>0</v>
      </c>
      <c r="BO33" s="52">
        <f t="shared" si="10"/>
        <v>0</v>
      </c>
      <c r="BP33" s="1">
        <f t="shared" si="4"/>
        <v>0</v>
      </c>
      <c r="BQ33" s="1">
        <f t="shared" si="5"/>
        <v>0</v>
      </c>
      <c r="BR33" s="1" t="str">
        <f t="shared" si="6"/>
        <v/>
      </c>
      <c r="BS33" s="1">
        <f t="shared" si="7"/>
        <v>0</v>
      </c>
      <c r="BT33" s="4">
        <f t="shared" si="11"/>
        <v>0</v>
      </c>
      <c r="BU33" s="52">
        <f t="shared" si="12"/>
        <v>0</v>
      </c>
      <c r="BV33" s="1">
        <f t="shared" si="13"/>
        <v>0</v>
      </c>
      <c r="BW33">
        <f t="shared" si="14"/>
        <v>0</v>
      </c>
      <c r="BX33">
        <f t="shared" si="15"/>
        <v>0</v>
      </c>
    </row>
    <row r="34" spans="58:76" x14ac:dyDescent="0.2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52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8"/>
        <v>0</v>
      </c>
      <c r="BL34" s="1">
        <f t="shared" si="2"/>
        <v>0</v>
      </c>
      <c r="BM34" s="10" t="str">
        <f t="shared" si="3"/>
        <v/>
      </c>
      <c r="BN34" s="52">
        <f t="shared" si="9"/>
        <v>0</v>
      </c>
      <c r="BO34" s="52">
        <f t="shared" si="10"/>
        <v>0</v>
      </c>
      <c r="BP34" s="1">
        <f t="shared" si="4"/>
        <v>0</v>
      </c>
      <c r="BQ34" s="1">
        <f t="shared" si="5"/>
        <v>0</v>
      </c>
      <c r="BR34" s="1" t="str">
        <f t="shared" si="6"/>
        <v/>
      </c>
      <c r="BS34" s="1">
        <f t="shared" si="7"/>
        <v>0</v>
      </c>
      <c r="BT34" s="4">
        <f t="shared" si="11"/>
        <v>0</v>
      </c>
      <c r="BU34" s="52">
        <f t="shared" si="12"/>
        <v>0</v>
      </c>
      <c r="BV34" s="1">
        <f t="shared" si="13"/>
        <v>0</v>
      </c>
      <c r="BW34">
        <f t="shared" si="14"/>
        <v>0</v>
      </c>
      <c r="BX34">
        <f t="shared" si="15"/>
        <v>0</v>
      </c>
    </row>
    <row r="35" spans="58:76" x14ac:dyDescent="0.2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52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8"/>
        <v>0</v>
      </c>
      <c r="BL35" s="1">
        <f t="shared" si="2"/>
        <v>0</v>
      </c>
      <c r="BM35" s="10" t="str">
        <f t="shared" si="3"/>
        <v/>
      </c>
      <c r="BN35" s="52">
        <f t="shared" si="9"/>
        <v>0</v>
      </c>
      <c r="BO35" s="52">
        <f t="shared" si="10"/>
        <v>0</v>
      </c>
      <c r="BP35" s="1">
        <f t="shared" si="4"/>
        <v>0</v>
      </c>
      <c r="BQ35" s="1">
        <f t="shared" si="5"/>
        <v>0</v>
      </c>
      <c r="BR35" s="1" t="str">
        <f t="shared" si="6"/>
        <v/>
      </c>
      <c r="BS35" s="1">
        <f t="shared" si="7"/>
        <v>0</v>
      </c>
      <c r="BT35" s="4">
        <f t="shared" si="11"/>
        <v>0</v>
      </c>
      <c r="BU35" s="52">
        <f t="shared" si="12"/>
        <v>0</v>
      </c>
      <c r="BV35" s="1">
        <f t="shared" si="13"/>
        <v>0</v>
      </c>
      <c r="BW35">
        <f t="shared" si="14"/>
        <v>0</v>
      </c>
      <c r="BX35">
        <f t="shared" si="15"/>
        <v>0</v>
      </c>
    </row>
    <row r="36" spans="58:76" x14ac:dyDescent="0.2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52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8"/>
        <v>0</v>
      </c>
      <c r="BL36" s="1">
        <f t="shared" si="2"/>
        <v>0</v>
      </c>
      <c r="BM36" s="10" t="str">
        <f t="shared" si="3"/>
        <v/>
      </c>
      <c r="BN36" s="52">
        <f t="shared" si="9"/>
        <v>0</v>
      </c>
      <c r="BO36" s="52">
        <f t="shared" si="10"/>
        <v>0</v>
      </c>
      <c r="BP36" s="1">
        <f t="shared" si="4"/>
        <v>0</v>
      </c>
      <c r="BQ36" s="1">
        <f t="shared" si="5"/>
        <v>0</v>
      </c>
      <c r="BR36" s="1" t="str">
        <f t="shared" si="6"/>
        <v/>
      </c>
      <c r="BS36" s="1">
        <f t="shared" si="7"/>
        <v>0</v>
      </c>
      <c r="BT36" s="4">
        <f t="shared" si="11"/>
        <v>0</v>
      </c>
      <c r="BU36" s="52">
        <f t="shared" si="12"/>
        <v>0</v>
      </c>
      <c r="BV36" s="1">
        <f t="shared" si="13"/>
        <v>0</v>
      </c>
      <c r="BW36">
        <f t="shared" si="14"/>
        <v>0</v>
      </c>
      <c r="BX36">
        <f t="shared" si="15"/>
        <v>0</v>
      </c>
    </row>
    <row r="37" spans="58:76" x14ac:dyDescent="0.2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52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8"/>
        <v>0</v>
      </c>
      <c r="BL37" s="1">
        <f t="shared" si="2"/>
        <v>0</v>
      </c>
      <c r="BM37" s="10" t="str">
        <f t="shared" si="3"/>
        <v/>
      </c>
      <c r="BN37" s="52">
        <f t="shared" si="9"/>
        <v>0</v>
      </c>
      <c r="BO37" s="52">
        <f t="shared" si="10"/>
        <v>0</v>
      </c>
      <c r="BP37" s="1">
        <f t="shared" si="4"/>
        <v>0</v>
      </c>
      <c r="BQ37" s="1">
        <f t="shared" si="5"/>
        <v>0</v>
      </c>
      <c r="BR37" s="1" t="str">
        <f t="shared" si="6"/>
        <v/>
      </c>
      <c r="BS37" s="1">
        <f t="shared" si="7"/>
        <v>0</v>
      </c>
      <c r="BT37" s="4">
        <f t="shared" si="11"/>
        <v>0</v>
      </c>
      <c r="BU37" s="52">
        <f t="shared" si="12"/>
        <v>0</v>
      </c>
      <c r="BV37" s="1">
        <f t="shared" si="13"/>
        <v>0</v>
      </c>
      <c r="BW37">
        <f t="shared" si="14"/>
        <v>0</v>
      </c>
      <c r="BX37">
        <f t="shared" si="15"/>
        <v>0</v>
      </c>
    </row>
    <row r="38" spans="58:76" x14ac:dyDescent="0.2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52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8"/>
        <v>0</v>
      </c>
      <c r="BL38" s="1">
        <f t="shared" si="2"/>
        <v>0</v>
      </c>
      <c r="BM38" s="10" t="str">
        <f t="shared" si="3"/>
        <v/>
      </c>
      <c r="BN38" s="52">
        <f t="shared" si="9"/>
        <v>0</v>
      </c>
      <c r="BO38" s="52">
        <f t="shared" si="10"/>
        <v>0</v>
      </c>
      <c r="BP38" s="1">
        <f t="shared" si="4"/>
        <v>0</v>
      </c>
      <c r="BQ38" s="1">
        <f t="shared" si="5"/>
        <v>0</v>
      </c>
      <c r="BR38" s="1" t="str">
        <f t="shared" si="6"/>
        <v/>
      </c>
      <c r="BS38" s="1">
        <f t="shared" si="7"/>
        <v>0</v>
      </c>
      <c r="BT38" s="4">
        <f t="shared" si="11"/>
        <v>0</v>
      </c>
      <c r="BU38" s="52">
        <f t="shared" si="12"/>
        <v>0</v>
      </c>
      <c r="BV38" s="1">
        <f t="shared" si="13"/>
        <v>0</v>
      </c>
      <c r="BW38">
        <f t="shared" si="14"/>
        <v>0</v>
      </c>
      <c r="BX38">
        <f t="shared" si="15"/>
        <v>0</v>
      </c>
    </row>
    <row r="39" spans="58:76" x14ac:dyDescent="0.2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52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8"/>
        <v>0</v>
      </c>
      <c r="BL39" s="1">
        <f t="shared" si="2"/>
        <v>0</v>
      </c>
      <c r="BM39" s="10" t="str">
        <f t="shared" si="3"/>
        <v/>
      </c>
      <c r="BN39" s="52">
        <f t="shared" si="9"/>
        <v>0</v>
      </c>
      <c r="BO39" s="52">
        <f t="shared" si="10"/>
        <v>0</v>
      </c>
      <c r="BP39" s="1">
        <f t="shared" si="4"/>
        <v>0</v>
      </c>
      <c r="BQ39" s="1">
        <f t="shared" si="5"/>
        <v>0</v>
      </c>
      <c r="BR39" s="1" t="str">
        <f t="shared" si="6"/>
        <v/>
      </c>
      <c r="BS39" s="1">
        <f t="shared" si="7"/>
        <v>0</v>
      </c>
      <c r="BT39" s="4">
        <f t="shared" si="11"/>
        <v>0</v>
      </c>
      <c r="BU39" s="52">
        <f t="shared" si="12"/>
        <v>0</v>
      </c>
      <c r="BV39" s="1">
        <f t="shared" si="13"/>
        <v>0</v>
      </c>
      <c r="BW39">
        <f t="shared" si="14"/>
        <v>0</v>
      </c>
      <c r="BX39">
        <f t="shared" si="15"/>
        <v>0</v>
      </c>
    </row>
    <row r="40" spans="58:76" x14ac:dyDescent="0.2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52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8"/>
        <v>0</v>
      </c>
      <c r="BL40" s="1">
        <f t="shared" si="2"/>
        <v>0</v>
      </c>
      <c r="BM40" s="10" t="str">
        <f t="shared" si="3"/>
        <v/>
      </c>
      <c r="BN40" s="52">
        <f t="shared" si="9"/>
        <v>0</v>
      </c>
      <c r="BO40" s="52">
        <f t="shared" si="10"/>
        <v>0</v>
      </c>
      <c r="BP40" s="1">
        <f t="shared" si="4"/>
        <v>0</v>
      </c>
      <c r="BQ40" s="1">
        <f t="shared" si="5"/>
        <v>0</v>
      </c>
      <c r="BR40" s="1" t="str">
        <f t="shared" si="6"/>
        <v/>
      </c>
      <c r="BS40" s="1">
        <f t="shared" si="7"/>
        <v>0</v>
      </c>
      <c r="BT40" s="4">
        <f t="shared" si="11"/>
        <v>0</v>
      </c>
      <c r="BU40" s="52">
        <f t="shared" si="12"/>
        <v>0</v>
      </c>
      <c r="BV40" s="1">
        <f t="shared" si="13"/>
        <v>0</v>
      </c>
      <c r="BW40">
        <f t="shared" si="14"/>
        <v>0</v>
      </c>
      <c r="BX40">
        <f t="shared" si="15"/>
        <v>0</v>
      </c>
    </row>
    <row r="41" spans="58:76" x14ac:dyDescent="0.2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52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8"/>
        <v>0</v>
      </c>
      <c r="BL41" s="1">
        <f t="shared" si="2"/>
        <v>0</v>
      </c>
      <c r="BM41" s="10" t="str">
        <f t="shared" si="3"/>
        <v/>
      </c>
      <c r="BN41" s="52">
        <f t="shared" si="9"/>
        <v>0</v>
      </c>
      <c r="BO41" s="52">
        <f t="shared" si="10"/>
        <v>0</v>
      </c>
      <c r="BP41" s="1">
        <f t="shared" si="4"/>
        <v>0</v>
      </c>
      <c r="BQ41" s="1">
        <f t="shared" si="5"/>
        <v>0</v>
      </c>
      <c r="BR41" s="1" t="str">
        <f t="shared" si="6"/>
        <v/>
      </c>
      <c r="BS41" s="1">
        <f t="shared" si="7"/>
        <v>0</v>
      </c>
      <c r="BT41" s="4">
        <f t="shared" si="11"/>
        <v>0</v>
      </c>
      <c r="BU41" s="52">
        <f t="shared" si="12"/>
        <v>0</v>
      </c>
      <c r="BV41" s="1">
        <f t="shared" si="13"/>
        <v>0</v>
      </c>
      <c r="BW41">
        <f t="shared" si="14"/>
        <v>0</v>
      </c>
      <c r="BX41">
        <f t="shared" si="15"/>
        <v>0</v>
      </c>
    </row>
    <row r="42" spans="58:76" x14ac:dyDescent="0.2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52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8"/>
        <v>0</v>
      </c>
      <c r="BL42" s="1">
        <f t="shared" si="2"/>
        <v>0</v>
      </c>
      <c r="BM42" s="10" t="str">
        <f t="shared" si="3"/>
        <v/>
      </c>
      <c r="BN42" s="52">
        <f t="shared" si="9"/>
        <v>0</v>
      </c>
      <c r="BO42" s="52">
        <f t="shared" si="10"/>
        <v>0</v>
      </c>
      <c r="BP42" s="1">
        <f t="shared" si="4"/>
        <v>0</v>
      </c>
      <c r="BQ42" s="1">
        <f t="shared" si="5"/>
        <v>0</v>
      </c>
      <c r="BR42" s="1" t="str">
        <f t="shared" si="6"/>
        <v/>
      </c>
      <c r="BS42" s="1">
        <f t="shared" si="7"/>
        <v>0</v>
      </c>
      <c r="BT42" s="4">
        <f t="shared" si="11"/>
        <v>0</v>
      </c>
      <c r="BU42" s="52">
        <f t="shared" si="12"/>
        <v>0</v>
      </c>
      <c r="BV42" s="1">
        <f t="shared" si="13"/>
        <v>0</v>
      </c>
      <c r="BW42">
        <f t="shared" si="14"/>
        <v>0</v>
      </c>
      <c r="BX42">
        <f t="shared" si="15"/>
        <v>0</v>
      </c>
    </row>
    <row r="43" spans="58:76" x14ac:dyDescent="0.2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52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8"/>
        <v>0</v>
      </c>
      <c r="BL43" s="1">
        <f t="shared" si="2"/>
        <v>0</v>
      </c>
      <c r="BM43" s="10" t="str">
        <f t="shared" si="3"/>
        <v/>
      </c>
      <c r="BN43" s="52">
        <f t="shared" si="9"/>
        <v>0</v>
      </c>
      <c r="BO43" s="52">
        <f t="shared" si="10"/>
        <v>0</v>
      </c>
      <c r="BP43" s="1">
        <f t="shared" si="4"/>
        <v>0</v>
      </c>
      <c r="BQ43" s="1">
        <f t="shared" si="5"/>
        <v>0</v>
      </c>
      <c r="BR43" s="1" t="str">
        <f t="shared" si="6"/>
        <v/>
      </c>
      <c r="BS43" s="1">
        <f t="shared" si="7"/>
        <v>0</v>
      </c>
      <c r="BT43" s="4">
        <f t="shared" si="11"/>
        <v>0</v>
      </c>
      <c r="BU43" s="52">
        <f t="shared" si="12"/>
        <v>0</v>
      </c>
      <c r="BV43" s="1">
        <f t="shared" si="13"/>
        <v>0</v>
      </c>
      <c r="BW43">
        <f t="shared" si="14"/>
        <v>0</v>
      </c>
      <c r="BX43">
        <f t="shared" si="15"/>
        <v>0</v>
      </c>
    </row>
    <row r="44" spans="58:76" x14ac:dyDescent="0.2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52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8"/>
        <v>0</v>
      </c>
      <c r="BL44" s="1">
        <f t="shared" si="2"/>
        <v>0</v>
      </c>
      <c r="BM44" s="10" t="str">
        <f t="shared" si="3"/>
        <v/>
      </c>
      <c r="BN44" s="52">
        <f t="shared" si="9"/>
        <v>0</v>
      </c>
      <c r="BO44" s="52">
        <f t="shared" si="10"/>
        <v>0</v>
      </c>
      <c r="BP44" s="1">
        <f t="shared" si="4"/>
        <v>0</v>
      </c>
      <c r="BQ44" s="1">
        <f t="shared" si="5"/>
        <v>0</v>
      </c>
      <c r="BR44" s="1" t="str">
        <f t="shared" si="6"/>
        <v/>
      </c>
      <c r="BS44" s="1">
        <f t="shared" si="7"/>
        <v>0</v>
      </c>
      <c r="BT44" s="4">
        <f t="shared" si="11"/>
        <v>0</v>
      </c>
      <c r="BU44" s="52">
        <f t="shared" si="12"/>
        <v>0</v>
      </c>
      <c r="BV44" s="1">
        <f t="shared" si="13"/>
        <v>0</v>
      </c>
      <c r="BW44">
        <f t="shared" si="14"/>
        <v>0</v>
      </c>
      <c r="BX44">
        <f t="shared" si="15"/>
        <v>0</v>
      </c>
    </row>
    <row r="45" spans="58:76" x14ac:dyDescent="0.2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52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8"/>
        <v>0</v>
      </c>
      <c r="BL45" s="1">
        <f t="shared" si="2"/>
        <v>0</v>
      </c>
      <c r="BM45" s="10" t="str">
        <f t="shared" si="3"/>
        <v/>
      </c>
      <c r="BN45" s="52">
        <f t="shared" si="9"/>
        <v>0</v>
      </c>
      <c r="BO45" s="52">
        <f t="shared" si="10"/>
        <v>0</v>
      </c>
      <c r="BP45" s="1">
        <f t="shared" si="4"/>
        <v>0</v>
      </c>
      <c r="BQ45" s="1">
        <f t="shared" si="5"/>
        <v>0</v>
      </c>
      <c r="BR45" s="1" t="str">
        <f t="shared" si="6"/>
        <v/>
      </c>
      <c r="BS45" s="1">
        <f t="shared" si="7"/>
        <v>0</v>
      </c>
      <c r="BT45" s="4">
        <f t="shared" si="11"/>
        <v>0</v>
      </c>
      <c r="BU45" s="52">
        <f t="shared" si="12"/>
        <v>0</v>
      </c>
      <c r="BV45" s="1">
        <f t="shared" si="13"/>
        <v>0</v>
      </c>
      <c r="BW45">
        <f t="shared" si="14"/>
        <v>0</v>
      </c>
      <c r="BX45">
        <f t="shared" si="15"/>
        <v>0</v>
      </c>
    </row>
    <row r="46" spans="58:76" x14ac:dyDescent="0.2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52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8"/>
        <v>0</v>
      </c>
      <c r="BL46" s="1">
        <f t="shared" si="2"/>
        <v>0</v>
      </c>
      <c r="BM46" s="10" t="str">
        <f t="shared" si="3"/>
        <v/>
      </c>
      <c r="BN46" s="52">
        <f t="shared" si="9"/>
        <v>0</v>
      </c>
      <c r="BO46" s="52">
        <f t="shared" si="10"/>
        <v>0</v>
      </c>
      <c r="BP46" s="1">
        <f t="shared" si="4"/>
        <v>0</v>
      </c>
      <c r="BQ46" s="1">
        <f t="shared" si="5"/>
        <v>0</v>
      </c>
      <c r="BR46" s="1" t="str">
        <f t="shared" si="6"/>
        <v/>
      </c>
      <c r="BS46" s="1">
        <f t="shared" si="7"/>
        <v>0</v>
      </c>
      <c r="BT46" s="4">
        <f t="shared" si="11"/>
        <v>0</v>
      </c>
      <c r="BU46" s="52">
        <f t="shared" si="12"/>
        <v>0</v>
      </c>
      <c r="BV46" s="1">
        <f t="shared" si="13"/>
        <v>0</v>
      </c>
      <c r="BW46">
        <f t="shared" si="14"/>
        <v>0</v>
      </c>
      <c r="BX46">
        <f t="shared" si="15"/>
        <v>0</v>
      </c>
    </row>
    <row r="47" spans="58:76" x14ac:dyDescent="0.2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52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8"/>
        <v>0</v>
      </c>
      <c r="BL47" s="1">
        <f t="shared" si="2"/>
        <v>0</v>
      </c>
      <c r="BM47" s="10" t="str">
        <f t="shared" si="3"/>
        <v/>
      </c>
      <c r="BN47" s="52">
        <f t="shared" si="9"/>
        <v>0</v>
      </c>
      <c r="BO47" s="52">
        <f t="shared" si="10"/>
        <v>0</v>
      </c>
      <c r="BP47" s="1">
        <f t="shared" si="4"/>
        <v>0</v>
      </c>
      <c r="BQ47" s="1">
        <f t="shared" si="5"/>
        <v>0</v>
      </c>
      <c r="BR47" s="1" t="str">
        <f t="shared" si="6"/>
        <v/>
      </c>
      <c r="BS47" s="1">
        <f t="shared" si="7"/>
        <v>0</v>
      </c>
      <c r="BT47" s="4">
        <f t="shared" si="11"/>
        <v>0</v>
      </c>
      <c r="BU47" s="52">
        <f t="shared" si="12"/>
        <v>0</v>
      </c>
      <c r="BV47" s="1">
        <f t="shared" si="13"/>
        <v>0</v>
      </c>
      <c r="BW47">
        <f t="shared" si="14"/>
        <v>0</v>
      </c>
      <c r="BX47">
        <f t="shared" si="15"/>
        <v>0</v>
      </c>
    </row>
    <row r="48" spans="58:76" x14ac:dyDescent="0.2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52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8"/>
        <v>0</v>
      </c>
      <c r="BL48" s="1">
        <f t="shared" si="2"/>
        <v>0</v>
      </c>
      <c r="BM48" s="10" t="str">
        <f t="shared" si="3"/>
        <v/>
      </c>
      <c r="BN48" s="52">
        <f t="shared" si="9"/>
        <v>0</v>
      </c>
      <c r="BO48" s="52">
        <f t="shared" si="10"/>
        <v>0</v>
      </c>
      <c r="BP48" s="1">
        <f t="shared" si="4"/>
        <v>0</v>
      </c>
      <c r="BQ48" s="1">
        <f t="shared" si="5"/>
        <v>0</v>
      </c>
      <c r="BR48" s="1" t="str">
        <f t="shared" si="6"/>
        <v/>
      </c>
      <c r="BS48" s="1">
        <f t="shared" si="7"/>
        <v>0</v>
      </c>
      <c r="BT48" s="4">
        <f t="shared" si="11"/>
        <v>0</v>
      </c>
      <c r="BU48" s="52">
        <f t="shared" si="12"/>
        <v>0</v>
      </c>
      <c r="BV48" s="1">
        <f t="shared" si="13"/>
        <v>0</v>
      </c>
      <c r="BW48">
        <f t="shared" si="14"/>
        <v>0</v>
      </c>
      <c r="BX48">
        <f t="shared" si="15"/>
        <v>0</v>
      </c>
    </row>
    <row r="49" spans="58:76" x14ac:dyDescent="0.2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52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8"/>
        <v>0</v>
      </c>
      <c r="BL49" s="1">
        <f t="shared" si="2"/>
        <v>0</v>
      </c>
      <c r="BM49" s="10" t="str">
        <f t="shared" si="3"/>
        <v/>
      </c>
      <c r="BN49" s="52">
        <f t="shared" si="9"/>
        <v>0</v>
      </c>
      <c r="BO49" s="52">
        <f t="shared" si="10"/>
        <v>0</v>
      </c>
      <c r="BP49" s="1">
        <f t="shared" si="4"/>
        <v>0</v>
      </c>
      <c r="BQ49" s="1">
        <f t="shared" si="5"/>
        <v>0</v>
      </c>
      <c r="BR49" s="1" t="str">
        <f t="shared" si="6"/>
        <v/>
      </c>
      <c r="BS49" s="1">
        <f t="shared" si="7"/>
        <v>0</v>
      </c>
      <c r="BT49" s="4">
        <f t="shared" si="11"/>
        <v>0</v>
      </c>
      <c r="BU49" s="52">
        <f t="shared" si="12"/>
        <v>0</v>
      </c>
      <c r="BV49" s="1">
        <f t="shared" si="13"/>
        <v>0</v>
      </c>
      <c r="BW49">
        <f t="shared" si="14"/>
        <v>0</v>
      </c>
      <c r="BX49">
        <f t="shared" si="15"/>
        <v>0</v>
      </c>
    </row>
    <row r="50" spans="58:76" x14ac:dyDescent="0.2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52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8"/>
        <v>0</v>
      </c>
      <c r="BL50" s="1">
        <f t="shared" si="2"/>
        <v>0</v>
      </c>
      <c r="BM50" s="10" t="str">
        <f t="shared" si="3"/>
        <v/>
      </c>
      <c r="BN50" s="52">
        <f t="shared" si="9"/>
        <v>0</v>
      </c>
      <c r="BO50" s="52">
        <f t="shared" si="10"/>
        <v>0</v>
      </c>
      <c r="BP50" s="1">
        <f t="shared" si="4"/>
        <v>0</v>
      </c>
      <c r="BQ50" s="1">
        <f t="shared" si="5"/>
        <v>0</v>
      </c>
      <c r="BR50" s="1" t="str">
        <f t="shared" si="6"/>
        <v/>
      </c>
      <c r="BS50" s="1">
        <f t="shared" si="7"/>
        <v>0</v>
      </c>
      <c r="BT50" s="4">
        <f t="shared" si="11"/>
        <v>0</v>
      </c>
      <c r="BU50" s="52">
        <f t="shared" si="12"/>
        <v>0</v>
      </c>
      <c r="BV50" s="1">
        <f t="shared" si="13"/>
        <v>0</v>
      </c>
      <c r="BW50">
        <f t="shared" si="14"/>
        <v>0</v>
      </c>
      <c r="BX50">
        <f t="shared" si="15"/>
        <v>0</v>
      </c>
    </row>
    <row r="51" spans="58:76" x14ac:dyDescent="0.2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52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8"/>
        <v>0</v>
      </c>
      <c r="BL51" s="1">
        <f t="shared" si="2"/>
        <v>0</v>
      </c>
      <c r="BM51" s="10" t="str">
        <f t="shared" si="3"/>
        <v/>
      </c>
      <c r="BN51" s="52">
        <f t="shared" si="9"/>
        <v>0</v>
      </c>
      <c r="BO51" s="52">
        <f t="shared" si="10"/>
        <v>0</v>
      </c>
      <c r="BP51" s="1">
        <f t="shared" si="4"/>
        <v>0</v>
      </c>
      <c r="BQ51" s="1">
        <f t="shared" si="5"/>
        <v>0</v>
      </c>
      <c r="BR51" s="1" t="str">
        <f t="shared" si="6"/>
        <v/>
      </c>
      <c r="BS51" s="1">
        <f t="shared" si="7"/>
        <v>0</v>
      </c>
      <c r="BT51" s="4">
        <f t="shared" si="11"/>
        <v>0</v>
      </c>
      <c r="BU51" s="52">
        <f t="shared" si="12"/>
        <v>0</v>
      </c>
      <c r="BV51" s="1">
        <f t="shared" si="13"/>
        <v>0</v>
      </c>
      <c r="BW51">
        <f t="shared" si="14"/>
        <v>0</v>
      </c>
      <c r="BX51">
        <f t="shared" si="15"/>
        <v>0</v>
      </c>
    </row>
    <row r="52" spans="58:76" x14ac:dyDescent="0.2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52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8"/>
        <v>0</v>
      </c>
      <c r="BL52" s="1">
        <f t="shared" si="2"/>
        <v>0</v>
      </c>
      <c r="BM52" s="10" t="str">
        <f t="shared" si="3"/>
        <v/>
      </c>
      <c r="BN52" s="52">
        <f t="shared" si="9"/>
        <v>0</v>
      </c>
      <c r="BO52" s="52">
        <f t="shared" si="10"/>
        <v>0</v>
      </c>
      <c r="BP52" s="1">
        <f t="shared" si="4"/>
        <v>0</v>
      </c>
      <c r="BQ52" s="1">
        <f t="shared" si="5"/>
        <v>0</v>
      </c>
      <c r="BR52" s="1" t="str">
        <f t="shared" si="6"/>
        <v/>
      </c>
      <c r="BS52" s="1">
        <f t="shared" si="7"/>
        <v>0</v>
      </c>
      <c r="BT52" s="4">
        <f t="shared" si="11"/>
        <v>0</v>
      </c>
      <c r="BU52" s="52">
        <f t="shared" si="12"/>
        <v>0</v>
      </c>
      <c r="BV52" s="1">
        <f t="shared" si="13"/>
        <v>0</v>
      </c>
      <c r="BW52">
        <f t="shared" si="14"/>
        <v>0</v>
      </c>
      <c r="BX52">
        <f t="shared" si="15"/>
        <v>0</v>
      </c>
    </row>
    <row r="53" spans="58:76" x14ac:dyDescent="0.2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52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8"/>
        <v>0</v>
      </c>
      <c r="BL53" s="1">
        <f t="shared" si="2"/>
        <v>0</v>
      </c>
      <c r="BM53" s="10" t="str">
        <f t="shared" si="3"/>
        <v/>
      </c>
      <c r="BN53" s="52">
        <f t="shared" si="9"/>
        <v>0</v>
      </c>
      <c r="BO53" s="52">
        <f t="shared" si="10"/>
        <v>0</v>
      </c>
      <c r="BP53" s="1">
        <f t="shared" si="4"/>
        <v>0</v>
      </c>
      <c r="BQ53" s="1">
        <f t="shared" si="5"/>
        <v>0</v>
      </c>
      <c r="BR53" s="1" t="str">
        <f t="shared" si="6"/>
        <v/>
      </c>
      <c r="BS53" s="1">
        <f t="shared" si="7"/>
        <v>0</v>
      </c>
      <c r="BT53" s="4">
        <f t="shared" si="11"/>
        <v>0</v>
      </c>
      <c r="BU53" s="52">
        <f t="shared" si="12"/>
        <v>0</v>
      </c>
      <c r="BV53" s="1">
        <f t="shared" si="13"/>
        <v>0</v>
      </c>
      <c r="BW53">
        <f t="shared" si="14"/>
        <v>0</v>
      </c>
      <c r="BX53">
        <f t="shared" si="15"/>
        <v>0</v>
      </c>
    </row>
    <row r="54" spans="58:76" x14ac:dyDescent="0.2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52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8"/>
        <v>0</v>
      </c>
      <c r="BL54" s="1">
        <f t="shared" si="2"/>
        <v>0</v>
      </c>
      <c r="BM54" s="10" t="str">
        <f t="shared" si="3"/>
        <v/>
      </c>
      <c r="BN54" s="52">
        <f t="shared" si="9"/>
        <v>0</v>
      </c>
      <c r="BO54" s="52">
        <f t="shared" si="10"/>
        <v>0</v>
      </c>
      <c r="BP54" s="1">
        <f t="shared" si="4"/>
        <v>0</v>
      </c>
      <c r="BQ54" s="1">
        <f t="shared" si="5"/>
        <v>0</v>
      </c>
      <c r="BR54" s="1" t="str">
        <f t="shared" si="6"/>
        <v/>
      </c>
      <c r="BS54" s="1">
        <f t="shared" si="7"/>
        <v>0</v>
      </c>
      <c r="BT54" s="4">
        <f t="shared" si="11"/>
        <v>0</v>
      </c>
      <c r="BU54" s="52">
        <f t="shared" si="12"/>
        <v>0</v>
      </c>
      <c r="BV54" s="1">
        <f t="shared" si="13"/>
        <v>0</v>
      </c>
      <c r="BW54">
        <f t="shared" si="14"/>
        <v>0</v>
      </c>
      <c r="BX54">
        <f t="shared" si="15"/>
        <v>0</v>
      </c>
    </row>
    <row r="55" spans="58:76" x14ac:dyDescent="0.2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52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8"/>
        <v>0</v>
      </c>
      <c r="BL55" s="1">
        <f t="shared" si="2"/>
        <v>0</v>
      </c>
      <c r="BM55" s="10" t="str">
        <f t="shared" si="3"/>
        <v/>
      </c>
      <c r="BN55" s="52">
        <f t="shared" si="9"/>
        <v>0</v>
      </c>
      <c r="BO55" s="52">
        <f t="shared" si="10"/>
        <v>0</v>
      </c>
      <c r="BP55" s="1">
        <f t="shared" si="4"/>
        <v>0</v>
      </c>
      <c r="BQ55" s="1">
        <f t="shared" si="5"/>
        <v>0</v>
      </c>
      <c r="BR55" s="1" t="str">
        <f t="shared" si="6"/>
        <v/>
      </c>
      <c r="BS55" s="1">
        <f t="shared" si="7"/>
        <v>0</v>
      </c>
      <c r="BT55" s="4">
        <f t="shared" si="11"/>
        <v>0</v>
      </c>
      <c r="BU55" s="52">
        <f t="shared" si="12"/>
        <v>0</v>
      </c>
      <c r="BV55" s="1">
        <f t="shared" si="13"/>
        <v>0</v>
      </c>
      <c r="BW55">
        <f t="shared" si="14"/>
        <v>0</v>
      </c>
      <c r="BX55">
        <f t="shared" si="15"/>
        <v>0</v>
      </c>
    </row>
    <row r="56" spans="58:76" x14ac:dyDescent="0.2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52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8"/>
        <v>0</v>
      </c>
      <c r="BL56" s="1">
        <f t="shared" si="2"/>
        <v>0</v>
      </c>
      <c r="BM56" s="10" t="str">
        <f t="shared" si="3"/>
        <v/>
      </c>
      <c r="BN56" s="52">
        <f t="shared" si="9"/>
        <v>0</v>
      </c>
      <c r="BO56" s="52">
        <f t="shared" si="10"/>
        <v>0</v>
      </c>
      <c r="BP56" s="1">
        <f t="shared" si="4"/>
        <v>0</v>
      </c>
      <c r="BQ56" s="1">
        <f t="shared" si="5"/>
        <v>0</v>
      </c>
      <c r="BR56" s="1" t="str">
        <f t="shared" si="6"/>
        <v/>
      </c>
      <c r="BS56" s="1">
        <f t="shared" si="7"/>
        <v>0</v>
      </c>
      <c r="BT56" s="4">
        <f t="shared" si="11"/>
        <v>0</v>
      </c>
      <c r="BU56" s="52">
        <f t="shared" si="12"/>
        <v>0</v>
      </c>
      <c r="BV56" s="1">
        <f t="shared" si="13"/>
        <v>0</v>
      </c>
      <c r="BW56">
        <f t="shared" si="14"/>
        <v>0</v>
      </c>
      <c r="BX56">
        <f t="shared" si="15"/>
        <v>0</v>
      </c>
    </row>
    <row r="57" spans="58:76" x14ac:dyDescent="0.2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52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8"/>
        <v>0</v>
      </c>
      <c r="BL57" s="1">
        <f t="shared" si="2"/>
        <v>0</v>
      </c>
      <c r="BM57" s="10" t="str">
        <f t="shared" si="3"/>
        <v/>
      </c>
      <c r="BN57" s="52">
        <f t="shared" si="9"/>
        <v>0</v>
      </c>
      <c r="BO57" s="52">
        <f t="shared" si="10"/>
        <v>0</v>
      </c>
      <c r="BP57" s="1">
        <f t="shared" si="4"/>
        <v>0</v>
      </c>
      <c r="BQ57" s="1">
        <f t="shared" si="5"/>
        <v>0</v>
      </c>
      <c r="BR57" s="1" t="str">
        <f t="shared" si="6"/>
        <v/>
      </c>
      <c r="BS57" s="1">
        <f t="shared" si="7"/>
        <v>0</v>
      </c>
      <c r="BT57" s="4">
        <f t="shared" si="11"/>
        <v>0</v>
      </c>
      <c r="BU57" s="52">
        <f t="shared" si="12"/>
        <v>0</v>
      </c>
      <c r="BV57" s="1">
        <f t="shared" si="13"/>
        <v>0</v>
      </c>
      <c r="BW57">
        <f t="shared" si="14"/>
        <v>0</v>
      </c>
      <c r="BX57">
        <f t="shared" si="15"/>
        <v>0</v>
      </c>
    </row>
    <row r="58" spans="58:76" x14ac:dyDescent="0.2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52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8"/>
        <v>0</v>
      </c>
      <c r="BL58" s="1">
        <f t="shared" si="2"/>
        <v>0</v>
      </c>
      <c r="BM58" s="10" t="str">
        <f t="shared" si="3"/>
        <v/>
      </c>
      <c r="BN58" s="52">
        <f t="shared" si="9"/>
        <v>0</v>
      </c>
      <c r="BO58" s="52">
        <f t="shared" si="10"/>
        <v>0</v>
      </c>
      <c r="BP58" s="1">
        <f t="shared" si="4"/>
        <v>0</v>
      </c>
      <c r="BQ58" s="1">
        <f t="shared" si="5"/>
        <v>0</v>
      </c>
      <c r="BR58" s="1" t="str">
        <f t="shared" si="6"/>
        <v/>
      </c>
      <c r="BS58" s="1">
        <f t="shared" si="7"/>
        <v>0</v>
      </c>
      <c r="BT58" s="4">
        <f t="shared" si="11"/>
        <v>0</v>
      </c>
      <c r="BU58" s="52">
        <f t="shared" si="12"/>
        <v>0</v>
      </c>
      <c r="BV58" s="1">
        <f t="shared" si="13"/>
        <v>0</v>
      </c>
      <c r="BW58">
        <f t="shared" si="14"/>
        <v>0</v>
      </c>
      <c r="BX58">
        <f t="shared" si="15"/>
        <v>0</v>
      </c>
    </row>
    <row r="59" spans="58:76" x14ac:dyDescent="0.2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52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8"/>
        <v>0</v>
      </c>
      <c r="BL59" s="1">
        <f t="shared" si="2"/>
        <v>0</v>
      </c>
      <c r="BM59" s="10" t="str">
        <f t="shared" si="3"/>
        <v/>
      </c>
      <c r="BN59" s="52">
        <f t="shared" si="9"/>
        <v>0</v>
      </c>
      <c r="BO59" s="52">
        <f t="shared" si="10"/>
        <v>0</v>
      </c>
      <c r="BP59" s="1">
        <f t="shared" si="4"/>
        <v>0</v>
      </c>
      <c r="BQ59" s="1">
        <f t="shared" si="5"/>
        <v>0</v>
      </c>
      <c r="BR59" s="1" t="str">
        <f t="shared" si="6"/>
        <v/>
      </c>
      <c r="BS59" s="1">
        <f t="shared" si="7"/>
        <v>0</v>
      </c>
      <c r="BT59" s="4">
        <f t="shared" si="11"/>
        <v>0</v>
      </c>
      <c r="BU59" s="52">
        <f t="shared" si="12"/>
        <v>0</v>
      </c>
      <c r="BV59" s="1">
        <f t="shared" si="13"/>
        <v>0</v>
      </c>
      <c r="BW59">
        <f t="shared" si="14"/>
        <v>0</v>
      </c>
      <c r="BX59">
        <f t="shared" si="15"/>
        <v>0</v>
      </c>
    </row>
    <row r="60" spans="58:76" x14ac:dyDescent="0.2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52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8"/>
        <v>0</v>
      </c>
      <c r="BL60" s="1">
        <f t="shared" si="2"/>
        <v>0</v>
      </c>
      <c r="BM60" s="10" t="str">
        <f t="shared" si="3"/>
        <v/>
      </c>
      <c r="BN60" s="52">
        <f t="shared" si="9"/>
        <v>0</v>
      </c>
      <c r="BO60" s="52">
        <f t="shared" si="10"/>
        <v>0</v>
      </c>
      <c r="BP60" s="1">
        <f t="shared" si="4"/>
        <v>0</v>
      </c>
      <c r="BQ60" s="1">
        <f t="shared" si="5"/>
        <v>0</v>
      </c>
      <c r="BR60" s="1" t="str">
        <f t="shared" si="6"/>
        <v/>
      </c>
      <c r="BS60" s="1">
        <f t="shared" si="7"/>
        <v>0</v>
      </c>
      <c r="BT60" s="4">
        <f t="shared" si="11"/>
        <v>0</v>
      </c>
      <c r="BU60" s="52">
        <f t="shared" si="12"/>
        <v>0</v>
      </c>
      <c r="BV60" s="1">
        <f t="shared" si="13"/>
        <v>0</v>
      </c>
      <c r="BW60">
        <f t="shared" si="14"/>
        <v>0</v>
      </c>
      <c r="BX60">
        <f t="shared" si="15"/>
        <v>0</v>
      </c>
    </row>
    <row r="61" spans="58:76" x14ac:dyDescent="0.2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52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8"/>
        <v>0</v>
      </c>
      <c r="BL61" s="1">
        <f t="shared" si="2"/>
        <v>0</v>
      </c>
      <c r="BM61" s="10" t="str">
        <f t="shared" si="3"/>
        <v/>
      </c>
      <c r="BN61" s="52">
        <f t="shared" si="9"/>
        <v>0</v>
      </c>
      <c r="BO61" s="52">
        <f t="shared" si="10"/>
        <v>0</v>
      </c>
      <c r="BP61" s="1">
        <f t="shared" si="4"/>
        <v>0</v>
      </c>
      <c r="BQ61" s="1">
        <f t="shared" si="5"/>
        <v>0</v>
      </c>
      <c r="BR61" s="1" t="str">
        <f t="shared" si="6"/>
        <v/>
      </c>
      <c r="BS61" s="1">
        <f t="shared" si="7"/>
        <v>0</v>
      </c>
      <c r="BT61" s="4">
        <f t="shared" si="11"/>
        <v>0</v>
      </c>
      <c r="BU61" s="52">
        <f t="shared" si="12"/>
        <v>0</v>
      </c>
      <c r="BV61" s="1">
        <f t="shared" si="13"/>
        <v>0</v>
      </c>
      <c r="BW61">
        <f t="shared" si="14"/>
        <v>0</v>
      </c>
      <c r="BX61">
        <f t="shared" si="15"/>
        <v>0</v>
      </c>
    </row>
    <row r="62" spans="58:76" x14ac:dyDescent="0.2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52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8"/>
        <v>0</v>
      </c>
      <c r="BL62" s="1">
        <f t="shared" si="2"/>
        <v>0</v>
      </c>
      <c r="BM62" s="10" t="str">
        <f t="shared" si="3"/>
        <v/>
      </c>
      <c r="BN62" s="52">
        <f t="shared" si="9"/>
        <v>0</v>
      </c>
      <c r="BO62" s="52">
        <f t="shared" si="10"/>
        <v>0</v>
      </c>
      <c r="BP62" s="1">
        <f t="shared" si="4"/>
        <v>0</v>
      </c>
      <c r="BQ62" s="1">
        <f t="shared" si="5"/>
        <v>0</v>
      </c>
      <c r="BR62" s="1" t="str">
        <f t="shared" si="6"/>
        <v/>
      </c>
      <c r="BS62" s="1">
        <f t="shared" si="7"/>
        <v>0</v>
      </c>
      <c r="BT62" s="4">
        <f t="shared" si="11"/>
        <v>0</v>
      </c>
      <c r="BU62" s="52">
        <f t="shared" si="12"/>
        <v>0</v>
      </c>
      <c r="BV62" s="1">
        <f t="shared" si="13"/>
        <v>0</v>
      </c>
      <c r="BW62">
        <f t="shared" si="14"/>
        <v>0</v>
      </c>
      <c r="BX62">
        <f t="shared" si="15"/>
        <v>0</v>
      </c>
    </row>
    <row r="63" spans="58:76" x14ac:dyDescent="0.2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52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8"/>
        <v>0</v>
      </c>
      <c r="BL63" s="1">
        <f t="shared" si="2"/>
        <v>0</v>
      </c>
      <c r="BM63" s="10" t="str">
        <f t="shared" si="3"/>
        <v/>
      </c>
      <c r="BN63" s="52">
        <f t="shared" si="9"/>
        <v>0</v>
      </c>
      <c r="BO63" s="52">
        <f t="shared" si="10"/>
        <v>0</v>
      </c>
      <c r="BP63" s="1">
        <f t="shared" si="4"/>
        <v>0</v>
      </c>
      <c r="BQ63" s="1">
        <f t="shared" si="5"/>
        <v>0</v>
      </c>
      <c r="BR63" s="1" t="str">
        <f t="shared" si="6"/>
        <v/>
      </c>
      <c r="BS63" s="1">
        <f t="shared" si="7"/>
        <v>0</v>
      </c>
      <c r="BT63" s="4">
        <f t="shared" si="11"/>
        <v>0</v>
      </c>
      <c r="BU63" s="52">
        <f t="shared" si="12"/>
        <v>0</v>
      </c>
      <c r="BV63" s="1">
        <f t="shared" si="13"/>
        <v>0</v>
      </c>
      <c r="BW63">
        <f t="shared" si="14"/>
        <v>0</v>
      </c>
      <c r="BX63">
        <f t="shared" si="15"/>
        <v>0</v>
      </c>
    </row>
    <row r="64" spans="58:76" x14ac:dyDescent="0.2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52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8"/>
        <v>0</v>
      </c>
      <c r="BL64" s="1">
        <f t="shared" si="2"/>
        <v>0</v>
      </c>
      <c r="BM64" s="10" t="str">
        <f t="shared" si="3"/>
        <v/>
      </c>
      <c r="BN64" s="52">
        <f t="shared" si="9"/>
        <v>0</v>
      </c>
      <c r="BO64" s="52">
        <f t="shared" si="10"/>
        <v>0</v>
      </c>
      <c r="BP64" s="1">
        <f t="shared" si="4"/>
        <v>0</v>
      </c>
      <c r="BQ64" s="1">
        <f t="shared" si="5"/>
        <v>0</v>
      </c>
      <c r="BR64" s="1" t="str">
        <f t="shared" si="6"/>
        <v/>
      </c>
      <c r="BS64" s="1">
        <f t="shared" si="7"/>
        <v>0</v>
      </c>
      <c r="BT64" s="4">
        <f t="shared" si="11"/>
        <v>0</v>
      </c>
      <c r="BU64" s="52">
        <f t="shared" si="12"/>
        <v>0</v>
      </c>
      <c r="BV64" s="1">
        <f t="shared" si="13"/>
        <v>0</v>
      </c>
      <c r="BW64">
        <f t="shared" si="14"/>
        <v>0</v>
      </c>
      <c r="BX64">
        <f t="shared" si="15"/>
        <v>0</v>
      </c>
    </row>
    <row r="65" spans="58:76" x14ac:dyDescent="0.2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52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8"/>
        <v>0</v>
      </c>
      <c r="BL65" s="1">
        <f t="shared" si="2"/>
        <v>0</v>
      </c>
      <c r="BM65" s="10" t="str">
        <f t="shared" si="3"/>
        <v/>
      </c>
      <c r="BN65" s="52">
        <f t="shared" si="9"/>
        <v>0</v>
      </c>
      <c r="BO65" s="52">
        <f t="shared" si="10"/>
        <v>0</v>
      </c>
      <c r="BP65" s="1">
        <f t="shared" si="4"/>
        <v>0</v>
      </c>
      <c r="BQ65" s="1">
        <f t="shared" si="5"/>
        <v>0</v>
      </c>
      <c r="BR65" s="1" t="str">
        <f t="shared" si="6"/>
        <v/>
      </c>
      <c r="BS65" s="1">
        <f t="shared" si="7"/>
        <v>0</v>
      </c>
      <c r="BT65" s="4">
        <f t="shared" si="11"/>
        <v>0</v>
      </c>
      <c r="BU65" s="52">
        <f t="shared" si="12"/>
        <v>0</v>
      </c>
      <c r="BV65" s="1">
        <f t="shared" si="13"/>
        <v>0</v>
      </c>
      <c r="BW65">
        <f t="shared" si="14"/>
        <v>0</v>
      </c>
      <c r="BX65">
        <f t="shared" si="15"/>
        <v>0</v>
      </c>
    </row>
    <row r="66" spans="58:76" x14ac:dyDescent="0.2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52">
        <f t="shared" ref="BH66:BI97" si="17">VALUE(T66)</f>
        <v>0</v>
      </c>
      <c r="BI66" s="1">
        <f t="shared" si="17"/>
        <v>0</v>
      </c>
      <c r="BJ66" s="1">
        <f t="shared" ref="BJ66:BJ129" si="18">IFERROR(_xlfn.NUMBERVALUE(V66),V66)</f>
        <v>0</v>
      </c>
      <c r="BK66" s="1">
        <f t="shared" si="8"/>
        <v>0</v>
      </c>
      <c r="BL66" s="1">
        <f t="shared" ref="BL66:BL129" si="19">L66</f>
        <v>0</v>
      </c>
      <c r="BM66" s="10" t="str">
        <f t="shared" ref="BM66:BM129" si="20">SUBSTITUTE(J66,"/",".")</f>
        <v/>
      </c>
      <c r="BN66" s="52">
        <f t="shared" si="9"/>
        <v>0</v>
      </c>
      <c r="BO66" s="52">
        <f t="shared" si="10"/>
        <v>0</v>
      </c>
      <c r="BP66" s="1">
        <f t="shared" ref="BP66:BP129" si="21">VALUE(D66)</f>
        <v>0</v>
      </c>
      <c r="BQ66" s="1">
        <f t="shared" ref="BQ66:BQ129" si="22">G66</f>
        <v>0</v>
      </c>
      <c r="BR66" s="1" t="str">
        <f t="shared" ref="BR66:BR129" si="23">SUBSTITUTE(O66,".","")</f>
        <v/>
      </c>
      <c r="BS66" s="1">
        <f t="shared" ref="BS66:BS129" si="24">S66</f>
        <v>0</v>
      </c>
      <c r="BT66" s="4">
        <f t="shared" si="11"/>
        <v>0</v>
      </c>
      <c r="BU66" s="52">
        <f t="shared" si="12"/>
        <v>0</v>
      </c>
      <c r="BV66" s="1">
        <f t="shared" si="13"/>
        <v>0</v>
      </c>
      <c r="BW66">
        <f t="shared" si="14"/>
        <v>0</v>
      </c>
      <c r="BX66">
        <f t="shared" si="15"/>
        <v>0</v>
      </c>
    </row>
    <row r="67" spans="58:76" x14ac:dyDescent="0.2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52">
        <f t="shared" si="17"/>
        <v>0</v>
      </c>
      <c r="BI67" s="1">
        <f t="shared" si="17"/>
        <v>0</v>
      </c>
      <c r="BJ67" s="1">
        <f t="shared" si="18"/>
        <v>0</v>
      </c>
      <c r="BK67" s="1">
        <f t="shared" ref="BK67:BK130" si="25">IFERROR(INT(I67),I67)</f>
        <v>0</v>
      </c>
      <c r="BL67" s="1">
        <f t="shared" si="19"/>
        <v>0</v>
      </c>
      <c r="BM67" s="10" t="str">
        <f t="shared" si="20"/>
        <v/>
      </c>
      <c r="BN67" s="52">
        <f t="shared" ref="BN67:BN130" si="26">VALUE(Q67)*1000</f>
        <v>0</v>
      </c>
      <c r="BO67" s="52">
        <f t="shared" ref="BO67:BO130" si="27">VALUE(P67)/1000</f>
        <v>0</v>
      </c>
      <c r="BP67" s="1">
        <f t="shared" si="21"/>
        <v>0</v>
      </c>
      <c r="BQ67" s="1">
        <f t="shared" si="22"/>
        <v>0</v>
      </c>
      <c r="BR67" s="1" t="str">
        <f t="shared" si="23"/>
        <v/>
      </c>
      <c r="BS67" s="1">
        <f t="shared" si="24"/>
        <v>0</v>
      </c>
      <c r="BT67" s="4">
        <f t="shared" ref="BT67:BT130" si="28">VALUE(AJ67)</f>
        <v>0</v>
      </c>
      <c r="BU67" s="52">
        <f t="shared" ref="BU67:BU130" si="29">K67</f>
        <v>0</v>
      </c>
      <c r="BV67" s="1">
        <f t="shared" ref="BV67:BV130" si="30">AQ67</f>
        <v>0</v>
      </c>
      <c r="BW67">
        <f t="shared" ref="BW67:BW130" si="31">X67</f>
        <v>0</v>
      </c>
      <c r="BX67">
        <f t="shared" ref="BX67:BX130" si="32">AN67</f>
        <v>0</v>
      </c>
    </row>
    <row r="68" spans="58:76" x14ac:dyDescent="0.2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52">
        <f t="shared" si="17"/>
        <v>0</v>
      </c>
      <c r="BI68" s="1">
        <f t="shared" si="17"/>
        <v>0</v>
      </c>
      <c r="BJ68" s="1">
        <f t="shared" si="18"/>
        <v>0</v>
      </c>
      <c r="BK68" s="1">
        <f t="shared" si="25"/>
        <v>0</v>
      </c>
      <c r="BL68" s="1">
        <f t="shared" si="19"/>
        <v>0</v>
      </c>
      <c r="BM68" s="10" t="str">
        <f t="shared" si="20"/>
        <v/>
      </c>
      <c r="BN68" s="52">
        <f t="shared" si="26"/>
        <v>0</v>
      </c>
      <c r="BO68" s="52">
        <f t="shared" si="27"/>
        <v>0</v>
      </c>
      <c r="BP68" s="1">
        <f t="shared" si="21"/>
        <v>0</v>
      </c>
      <c r="BQ68" s="1">
        <f t="shared" si="22"/>
        <v>0</v>
      </c>
      <c r="BR68" s="1" t="str">
        <f t="shared" si="23"/>
        <v/>
      </c>
      <c r="BS68" s="1">
        <f t="shared" si="24"/>
        <v>0</v>
      </c>
      <c r="BT68" s="4">
        <f t="shared" si="28"/>
        <v>0</v>
      </c>
      <c r="BU68" s="52">
        <f t="shared" si="29"/>
        <v>0</v>
      </c>
      <c r="BV68" s="1">
        <f t="shared" si="30"/>
        <v>0</v>
      </c>
      <c r="BW68">
        <f t="shared" si="31"/>
        <v>0</v>
      </c>
      <c r="BX68">
        <f t="shared" si="32"/>
        <v>0</v>
      </c>
    </row>
    <row r="69" spans="58:76" x14ac:dyDescent="0.2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52">
        <f t="shared" si="17"/>
        <v>0</v>
      </c>
      <c r="BI69" s="1">
        <f t="shared" si="17"/>
        <v>0</v>
      </c>
      <c r="BJ69" s="1">
        <f t="shared" si="18"/>
        <v>0</v>
      </c>
      <c r="BK69" s="1">
        <f t="shared" si="25"/>
        <v>0</v>
      </c>
      <c r="BL69" s="1">
        <f t="shared" si="19"/>
        <v>0</v>
      </c>
      <c r="BM69" s="10" t="str">
        <f t="shared" si="20"/>
        <v/>
      </c>
      <c r="BN69" s="52">
        <f t="shared" si="26"/>
        <v>0</v>
      </c>
      <c r="BO69" s="52">
        <f t="shared" si="27"/>
        <v>0</v>
      </c>
      <c r="BP69" s="1">
        <f t="shared" si="21"/>
        <v>0</v>
      </c>
      <c r="BQ69" s="1">
        <f t="shared" si="22"/>
        <v>0</v>
      </c>
      <c r="BR69" s="1" t="str">
        <f t="shared" si="23"/>
        <v/>
      </c>
      <c r="BS69" s="1">
        <f t="shared" si="24"/>
        <v>0</v>
      </c>
      <c r="BT69" s="4">
        <f t="shared" si="28"/>
        <v>0</v>
      </c>
      <c r="BU69" s="52">
        <f t="shared" si="29"/>
        <v>0</v>
      </c>
      <c r="BV69" s="1">
        <f t="shared" si="30"/>
        <v>0</v>
      </c>
      <c r="BW69">
        <f t="shared" si="31"/>
        <v>0</v>
      </c>
      <c r="BX69">
        <f t="shared" si="32"/>
        <v>0</v>
      </c>
    </row>
    <row r="70" spans="58:76" x14ac:dyDescent="0.2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52">
        <f t="shared" si="17"/>
        <v>0</v>
      </c>
      <c r="BI70" s="1">
        <f t="shared" si="17"/>
        <v>0</v>
      </c>
      <c r="BJ70" s="1">
        <f t="shared" si="18"/>
        <v>0</v>
      </c>
      <c r="BK70" s="1">
        <f t="shared" si="25"/>
        <v>0</v>
      </c>
      <c r="BL70" s="1">
        <f t="shared" si="19"/>
        <v>0</v>
      </c>
      <c r="BM70" s="10" t="str">
        <f t="shared" si="20"/>
        <v/>
      </c>
      <c r="BN70" s="52">
        <f t="shared" si="26"/>
        <v>0</v>
      </c>
      <c r="BO70" s="52">
        <f t="shared" si="27"/>
        <v>0</v>
      </c>
      <c r="BP70" s="1">
        <f t="shared" si="21"/>
        <v>0</v>
      </c>
      <c r="BQ70" s="1">
        <f t="shared" si="22"/>
        <v>0</v>
      </c>
      <c r="BR70" s="1" t="str">
        <f t="shared" si="23"/>
        <v/>
      </c>
      <c r="BS70" s="1">
        <f t="shared" si="24"/>
        <v>0</v>
      </c>
      <c r="BT70" s="4">
        <f t="shared" si="28"/>
        <v>0</v>
      </c>
      <c r="BU70" s="52">
        <f t="shared" si="29"/>
        <v>0</v>
      </c>
      <c r="BV70" s="1">
        <f t="shared" si="30"/>
        <v>0</v>
      </c>
      <c r="BW70">
        <f t="shared" si="31"/>
        <v>0</v>
      </c>
      <c r="BX70">
        <f t="shared" si="32"/>
        <v>0</v>
      </c>
    </row>
    <row r="71" spans="58:76" x14ac:dyDescent="0.2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52">
        <f t="shared" si="17"/>
        <v>0</v>
      </c>
      <c r="BI71" s="1">
        <f t="shared" si="17"/>
        <v>0</v>
      </c>
      <c r="BJ71" s="1">
        <f t="shared" si="18"/>
        <v>0</v>
      </c>
      <c r="BK71" s="1">
        <f t="shared" si="25"/>
        <v>0</v>
      </c>
      <c r="BL71" s="1">
        <f t="shared" si="19"/>
        <v>0</v>
      </c>
      <c r="BM71" s="10" t="str">
        <f t="shared" si="20"/>
        <v/>
      </c>
      <c r="BN71" s="52">
        <f t="shared" si="26"/>
        <v>0</v>
      </c>
      <c r="BO71" s="52">
        <f t="shared" si="27"/>
        <v>0</v>
      </c>
      <c r="BP71" s="1">
        <f t="shared" si="21"/>
        <v>0</v>
      </c>
      <c r="BQ71" s="1">
        <f t="shared" si="22"/>
        <v>0</v>
      </c>
      <c r="BR71" s="1" t="str">
        <f t="shared" si="23"/>
        <v/>
      </c>
      <c r="BS71" s="1">
        <f t="shared" si="24"/>
        <v>0</v>
      </c>
      <c r="BT71" s="4">
        <f t="shared" si="28"/>
        <v>0</v>
      </c>
      <c r="BU71" s="52">
        <f t="shared" si="29"/>
        <v>0</v>
      </c>
      <c r="BV71" s="1">
        <f t="shared" si="30"/>
        <v>0</v>
      </c>
      <c r="BW71">
        <f t="shared" si="31"/>
        <v>0</v>
      </c>
      <c r="BX71">
        <f t="shared" si="32"/>
        <v>0</v>
      </c>
    </row>
    <row r="72" spans="58:76" x14ac:dyDescent="0.2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52">
        <f t="shared" si="17"/>
        <v>0</v>
      </c>
      <c r="BI72" s="1">
        <f t="shared" si="17"/>
        <v>0</v>
      </c>
      <c r="BJ72" s="1">
        <f t="shared" si="18"/>
        <v>0</v>
      </c>
      <c r="BK72" s="1">
        <f t="shared" si="25"/>
        <v>0</v>
      </c>
      <c r="BL72" s="1">
        <f t="shared" si="19"/>
        <v>0</v>
      </c>
      <c r="BM72" s="10" t="str">
        <f t="shared" si="20"/>
        <v/>
      </c>
      <c r="BN72" s="52">
        <f t="shared" si="26"/>
        <v>0</v>
      </c>
      <c r="BO72" s="52">
        <f t="shared" si="27"/>
        <v>0</v>
      </c>
      <c r="BP72" s="1">
        <f t="shared" si="21"/>
        <v>0</v>
      </c>
      <c r="BQ72" s="1">
        <f t="shared" si="22"/>
        <v>0</v>
      </c>
      <c r="BR72" s="1" t="str">
        <f t="shared" si="23"/>
        <v/>
      </c>
      <c r="BS72" s="1">
        <f t="shared" si="24"/>
        <v>0</v>
      </c>
      <c r="BT72" s="4">
        <f t="shared" si="28"/>
        <v>0</v>
      </c>
      <c r="BU72" s="52">
        <f t="shared" si="29"/>
        <v>0</v>
      </c>
      <c r="BV72" s="1">
        <f t="shared" si="30"/>
        <v>0</v>
      </c>
      <c r="BW72">
        <f t="shared" si="31"/>
        <v>0</v>
      </c>
      <c r="BX72">
        <f t="shared" si="32"/>
        <v>0</v>
      </c>
    </row>
    <row r="73" spans="58:76" x14ac:dyDescent="0.2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52">
        <f t="shared" si="17"/>
        <v>0</v>
      </c>
      <c r="BI73" s="1">
        <f t="shared" si="17"/>
        <v>0</v>
      </c>
      <c r="BJ73" s="1">
        <f t="shared" si="18"/>
        <v>0</v>
      </c>
      <c r="BK73" s="1">
        <f t="shared" si="25"/>
        <v>0</v>
      </c>
      <c r="BL73" s="1">
        <f t="shared" si="19"/>
        <v>0</v>
      </c>
      <c r="BM73" s="10" t="str">
        <f t="shared" si="20"/>
        <v/>
      </c>
      <c r="BN73" s="52">
        <f t="shared" si="26"/>
        <v>0</v>
      </c>
      <c r="BO73" s="52">
        <f t="shared" si="27"/>
        <v>0</v>
      </c>
      <c r="BP73" s="1">
        <f t="shared" si="21"/>
        <v>0</v>
      </c>
      <c r="BQ73" s="1">
        <f t="shared" si="22"/>
        <v>0</v>
      </c>
      <c r="BR73" s="1" t="str">
        <f t="shared" si="23"/>
        <v/>
      </c>
      <c r="BS73" s="1">
        <f t="shared" si="24"/>
        <v>0</v>
      </c>
      <c r="BT73" s="4">
        <f t="shared" si="28"/>
        <v>0</v>
      </c>
      <c r="BU73" s="52">
        <f t="shared" si="29"/>
        <v>0</v>
      </c>
      <c r="BV73" s="1">
        <f t="shared" si="30"/>
        <v>0</v>
      </c>
      <c r="BW73">
        <f t="shared" si="31"/>
        <v>0</v>
      </c>
      <c r="BX73">
        <f t="shared" si="32"/>
        <v>0</v>
      </c>
    </row>
    <row r="74" spans="58:76" x14ac:dyDescent="0.2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52">
        <f t="shared" si="17"/>
        <v>0</v>
      </c>
      <c r="BI74" s="1">
        <f t="shared" si="17"/>
        <v>0</v>
      </c>
      <c r="BJ74" s="1">
        <f t="shared" si="18"/>
        <v>0</v>
      </c>
      <c r="BK74" s="1">
        <f t="shared" si="25"/>
        <v>0</v>
      </c>
      <c r="BL74" s="1">
        <f t="shared" si="19"/>
        <v>0</v>
      </c>
      <c r="BM74" s="10" t="str">
        <f t="shared" si="20"/>
        <v/>
      </c>
      <c r="BN74" s="52">
        <f t="shared" si="26"/>
        <v>0</v>
      </c>
      <c r="BO74" s="52">
        <f t="shared" si="27"/>
        <v>0</v>
      </c>
      <c r="BP74" s="1">
        <f t="shared" si="21"/>
        <v>0</v>
      </c>
      <c r="BQ74" s="1">
        <f t="shared" si="22"/>
        <v>0</v>
      </c>
      <c r="BR74" s="1" t="str">
        <f t="shared" si="23"/>
        <v/>
      </c>
      <c r="BS74" s="1">
        <f t="shared" si="24"/>
        <v>0</v>
      </c>
      <c r="BT74" s="4">
        <f t="shared" si="28"/>
        <v>0</v>
      </c>
      <c r="BU74" s="52">
        <f t="shared" si="29"/>
        <v>0</v>
      </c>
      <c r="BV74" s="1">
        <f t="shared" si="30"/>
        <v>0</v>
      </c>
      <c r="BW74">
        <f t="shared" si="31"/>
        <v>0</v>
      </c>
      <c r="BX74">
        <f t="shared" si="32"/>
        <v>0</v>
      </c>
    </row>
    <row r="75" spans="58:76" x14ac:dyDescent="0.2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52">
        <f t="shared" si="17"/>
        <v>0</v>
      </c>
      <c r="BI75" s="1">
        <f t="shared" si="17"/>
        <v>0</v>
      </c>
      <c r="BJ75" s="1">
        <f t="shared" si="18"/>
        <v>0</v>
      </c>
      <c r="BK75" s="1">
        <f t="shared" si="25"/>
        <v>0</v>
      </c>
      <c r="BL75" s="1">
        <f t="shared" si="19"/>
        <v>0</v>
      </c>
      <c r="BM75" s="10" t="str">
        <f t="shared" si="20"/>
        <v/>
      </c>
      <c r="BN75" s="52">
        <f t="shared" si="26"/>
        <v>0</v>
      </c>
      <c r="BO75" s="52">
        <f t="shared" si="27"/>
        <v>0</v>
      </c>
      <c r="BP75" s="1">
        <f t="shared" si="21"/>
        <v>0</v>
      </c>
      <c r="BQ75" s="1">
        <f t="shared" si="22"/>
        <v>0</v>
      </c>
      <c r="BR75" s="1" t="str">
        <f t="shared" si="23"/>
        <v/>
      </c>
      <c r="BS75" s="1">
        <f t="shared" si="24"/>
        <v>0</v>
      </c>
      <c r="BT75" s="4">
        <f t="shared" si="28"/>
        <v>0</v>
      </c>
      <c r="BU75" s="52">
        <f t="shared" si="29"/>
        <v>0</v>
      </c>
      <c r="BV75" s="1">
        <f t="shared" si="30"/>
        <v>0</v>
      </c>
      <c r="BW75">
        <f t="shared" si="31"/>
        <v>0</v>
      </c>
      <c r="BX75">
        <f t="shared" si="32"/>
        <v>0</v>
      </c>
    </row>
    <row r="76" spans="58:76" x14ac:dyDescent="0.2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52">
        <f t="shared" si="17"/>
        <v>0</v>
      </c>
      <c r="BI76" s="1">
        <f t="shared" si="17"/>
        <v>0</v>
      </c>
      <c r="BJ76" s="1">
        <f t="shared" si="18"/>
        <v>0</v>
      </c>
      <c r="BK76" s="1">
        <f t="shared" si="25"/>
        <v>0</v>
      </c>
      <c r="BL76" s="1">
        <f t="shared" si="19"/>
        <v>0</v>
      </c>
      <c r="BM76" s="10" t="str">
        <f t="shared" si="20"/>
        <v/>
      </c>
      <c r="BN76" s="52">
        <f t="shared" si="26"/>
        <v>0</v>
      </c>
      <c r="BO76" s="52">
        <f t="shared" si="27"/>
        <v>0</v>
      </c>
      <c r="BP76" s="1">
        <f t="shared" si="21"/>
        <v>0</v>
      </c>
      <c r="BQ76" s="1">
        <f t="shared" si="22"/>
        <v>0</v>
      </c>
      <c r="BR76" s="1" t="str">
        <f t="shared" si="23"/>
        <v/>
      </c>
      <c r="BS76" s="1">
        <f t="shared" si="24"/>
        <v>0</v>
      </c>
      <c r="BT76" s="4">
        <f t="shared" si="28"/>
        <v>0</v>
      </c>
      <c r="BU76" s="52">
        <f t="shared" si="29"/>
        <v>0</v>
      </c>
      <c r="BV76" s="1">
        <f t="shared" si="30"/>
        <v>0</v>
      </c>
      <c r="BW76">
        <f t="shared" si="31"/>
        <v>0</v>
      </c>
      <c r="BX76">
        <f t="shared" si="32"/>
        <v>0</v>
      </c>
    </row>
    <row r="77" spans="58:76" x14ac:dyDescent="0.2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52">
        <f t="shared" si="17"/>
        <v>0</v>
      </c>
      <c r="BI77" s="1">
        <f t="shared" si="17"/>
        <v>0</v>
      </c>
      <c r="BJ77" s="1">
        <f t="shared" si="18"/>
        <v>0</v>
      </c>
      <c r="BK77" s="1">
        <f t="shared" si="25"/>
        <v>0</v>
      </c>
      <c r="BL77" s="1">
        <f t="shared" si="19"/>
        <v>0</v>
      </c>
      <c r="BM77" s="10" t="str">
        <f t="shared" si="20"/>
        <v/>
      </c>
      <c r="BN77" s="52">
        <f t="shared" si="26"/>
        <v>0</v>
      </c>
      <c r="BO77" s="52">
        <f t="shared" si="27"/>
        <v>0</v>
      </c>
      <c r="BP77" s="1">
        <f t="shared" si="21"/>
        <v>0</v>
      </c>
      <c r="BQ77" s="1">
        <f t="shared" si="22"/>
        <v>0</v>
      </c>
      <c r="BR77" s="1" t="str">
        <f t="shared" si="23"/>
        <v/>
      </c>
      <c r="BS77" s="1">
        <f t="shared" si="24"/>
        <v>0</v>
      </c>
      <c r="BT77" s="4">
        <f t="shared" si="28"/>
        <v>0</v>
      </c>
      <c r="BU77" s="52">
        <f t="shared" si="29"/>
        <v>0</v>
      </c>
      <c r="BV77" s="1">
        <f t="shared" si="30"/>
        <v>0</v>
      </c>
      <c r="BW77">
        <f t="shared" si="31"/>
        <v>0</v>
      </c>
      <c r="BX77">
        <f t="shared" si="32"/>
        <v>0</v>
      </c>
    </row>
    <row r="78" spans="58:76" x14ac:dyDescent="0.2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52">
        <f t="shared" si="17"/>
        <v>0</v>
      </c>
      <c r="BI78" s="1">
        <f t="shared" si="17"/>
        <v>0</v>
      </c>
      <c r="BJ78" s="1">
        <f t="shared" si="18"/>
        <v>0</v>
      </c>
      <c r="BK78" s="1">
        <f t="shared" si="25"/>
        <v>0</v>
      </c>
      <c r="BL78" s="1">
        <f t="shared" si="19"/>
        <v>0</v>
      </c>
      <c r="BM78" s="10" t="str">
        <f t="shared" si="20"/>
        <v/>
      </c>
      <c r="BN78" s="52">
        <f t="shared" si="26"/>
        <v>0</v>
      </c>
      <c r="BO78" s="52">
        <f t="shared" si="27"/>
        <v>0</v>
      </c>
      <c r="BP78" s="1">
        <f t="shared" si="21"/>
        <v>0</v>
      </c>
      <c r="BQ78" s="1">
        <f t="shared" si="22"/>
        <v>0</v>
      </c>
      <c r="BR78" s="1" t="str">
        <f t="shared" si="23"/>
        <v/>
      </c>
      <c r="BS78" s="1">
        <f t="shared" si="24"/>
        <v>0</v>
      </c>
      <c r="BT78" s="4">
        <f t="shared" si="28"/>
        <v>0</v>
      </c>
      <c r="BU78" s="52">
        <f t="shared" si="29"/>
        <v>0</v>
      </c>
      <c r="BV78" s="1">
        <f t="shared" si="30"/>
        <v>0</v>
      </c>
      <c r="BW78">
        <f t="shared" si="31"/>
        <v>0</v>
      </c>
      <c r="BX78">
        <f t="shared" si="32"/>
        <v>0</v>
      </c>
    </row>
    <row r="79" spans="58:76" x14ac:dyDescent="0.2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52">
        <f t="shared" si="17"/>
        <v>0</v>
      </c>
      <c r="BI79" s="1">
        <f t="shared" si="17"/>
        <v>0</v>
      </c>
      <c r="BJ79" s="1">
        <f t="shared" si="18"/>
        <v>0</v>
      </c>
      <c r="BK79" s="1">
        <f t="shared" si="25"/>
        <v>0</v>
      </c>
      <c r="BL79" s="1">
        <f t="shared" si="19"/>
        <v>0</v>
      </c>
      <c r="BM79" s="10" t="str">
        <f t="shared" si="20"/>
        <v/>
      </c>
      <c r="BN79" s="52">
        <f t="shared" si="26"/>
        <v>0</v>
      </c>
      <c r="BO79" s="52">
        <f t="shared" si="27"/>
        <v>0</v>
      </c>
      <c r="BP79" s="1">
        <f t="shared" si="21"/>
        <v>0</v>
      </c>
      <c r="BQ79" s="1">
        <f t="shared" si="22"/>
        <v>0</v>
      </c>
      <c r="BR79" s="1" t="str">
        <f t="shared" si="23"/>
        <v/>
      </c>
      <c r="BS79" s="1">
        <f t="shared" si="24"/>
        <v>0</v>
      </c>
      <c r="BT79" s="4">
        <f t="shared" si="28"/>
        <v>0</v>
      </c>
      <c r="BU79" s="52">
        <f t="shared" si="29"/>
        <v>0</v>
      </c>
      <c r="BV79" s="1">
        <f t="shared" si="30"/>
        <v>0</v>
      </c>
      <c r="BW79">
        <f t="shared" si="31"/>
        <v>0</v>
      </c>
      <c r="BX79">
        <f t="shared" si="32"/>
        <v>0</v>
      </c>
    </row>
    <row r="80" spans="58:76" x14ac:dyDescent="0.2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52">
        <f t="shared" si="17"/>
        <v>0</v>
      </c>
      <c r="BI80" s="1">
        <f t="shared" si="17"/>
        <v>0</v>
      </c>
      <c r="BJ80" s="1">
        <f t="shared" si="18"/>
        <v>0</v>
      </c>
      <c r="BK80" s="1">
        <f t="shared" si="25"/>
        <v>0</v>
      </c>
      <c r="BL80" s="1">
        <f t="shared" si="19"/>
        <v>0</v>
      </c>
      <c r="BM80" s="10" t="str">
        <f t="shared" si="20"/>
        <v/>
      </c>
      <c r="BN80" s="52">
        <f t="shared" si="26"/>
        <v>0</v>
      </c>
      <c r="BO80" s="52">
        <f t="shared" si="27"/>
        <v>0</v>
      </c>
      <c r="BP80" s="1">
        <f t="shared" si="21"/>
        <v>0</v>
      </c>
      <c r="BQ80" s="1">
        <f t="shared" si="22"/>
        <v>0</v>
      </c>
      <c r="BR80" s="1" t="str">
        <f t="shared" si="23"/>
        <v/>
      </c>
      <c r="BS80" s="1">
        <f t="shared" si="24"/>
        <v>0</v>
      </c>
      <c r="BT80" s="4">
        <f t="shared" si="28"/>
        <v>0</v>
      </c>
      <c r="BU80" s="52">
        <f t="shared" si="29"/>
        <v>0</v>
      </c>
      <c r="BV80" s="1">
        <f t="shared" si="30"/>
        <v>0</v>
      </c>
      <c r="BW80">
        <f t="shared" si="31"/>
        <v>0</v>
      </c>
      <c r="BX80">
        <f t="shared" si="32"/>
        <v>0</v>
      </c>
    </row>
    <row r="81" spans="58:76" x14ac:dyDescent="0.2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52">
        <f t="shared" si="17"/>
        <v>0</v>
      </c>
      <c r="BI81" s="1">
        <f t="shared" si="17"/>
        <v>0</v>
      </c>
      <c r="BJ81" s="1">
        <f t="shared" si="18"/>
        <v>0</v>
      </c>
      <c r="BK81" s="1">
        <f t="shared" si="25"/>
        <v>0</v>
      </c>
      <c r="BL81" s="1">
        <f t="shared" si="19"/>
        <v>0</v>
      </c>
      <c r="BM81" s="10" t="str">
        <f t="shared" si="20"/>
        <v/>
      </c>
      <c r="BN81" s="52">
        <f t="shared" si="26"/>
        <v>0</v>
      </c>
      <c r="BO81" s="52">
        <f t="shared" si="27"/>
        <v>0</v>
      </c>
      <c r="BP81" s="1">
        <f t="shared" si="21"/>
        <v>0</v>
      </c>
      <c r="BQ81" s="1">
        <f t="shared" si="22"/>
        <v>0</v>
      </c>
      <c r="BR81" s="1" t="str">
        <f t="shared" si="23"/>
        <v/>
      </c>
      <c r="BS81" s="1">
        <f t="shared" si="24"/>
        <v>0</v>
      </c>
      <c r="BT81" s="4">
        <f t="shared" si="28"/>
        <v>0</v>
      </c>
      <c r="BU81" s="52">
        <f t="shared" si="29"/>
        <v>0</v>
      </c>
      <c r="BV81" s="1">
        <f t="shared" si="30"/>
        <v>0</v>
      </c>
      <c r="BW81">
        <f t="shared" si="31"/>
        <v>0</v>
      </c>
      <c r="BX81">
        <f t="shared" si="32"/>
        <v>0</v>
      </c>
    </row>
    <row r="82" spans="58:76" x14ac:dyDescent="0.2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52">
        <f t="shared" si="17"/>
        <v>0</v>
      </c>
      <c r="BI82" s="1">
        <f t="shared" si="17"/>
        <v>0</v>
      </c>
      <c r="BJ82" s="1">
        <f t="shared" si="18"/>
        <v>0</v>
      </c>
      <c r="BK82" s="1">
        <f t="shared" si="25"/>
        <v>0</v>
      </c>
      <c r="BL82" s="1">
        <f t="shared" si="19"/>
        <v>0</v>
      </c>
      <c r="BM82" s="10" t="str">
        <f t="shared" si="20"/>
        <v/>
      </c>
      <c r="BN82" s="52">
        <f t="shared" si="26"/>
        <v>0</v>
      </c>
      <c r="BO82" s="52">
        <f t="shared" si="27"/>
        <v>0</v>
      </c>
      <c r="BP82" s="1">
        <f t="shared" si="21"/>
        <v>0</v>
      </c>
      <c r="BQ82" s="1">
        <f t="shared" si="22"/>
        <v>0</v>
      </c>
      <c r="BR82" s="1" t="str">
        <f t="shared" si="23"/>
        <v/>
      </c>
      <c r="BS82" s="1">
        <f t="shared" si="24"/>
        <v>0</v>
      </c>
      <c r="BT82" s="4">
        <f t="shared" si="28"/>
        <v>0</v>
      </c>
      <c r="BU82" s="52">
        <f t="shared" si="29"/>
        <v>0</v>
      </c>
      <c r="BV82" s="1">
        <f t="shared" si="30"/>
        <v>0</v>
      </c>
      <c r="BW82">
        <f t="shared" si="31"/>
        <v>0</v>
      </c>
      <c r="BX82">
        <f t="shared" si="32"/>
        <v>0</v>
      </c>
    </row>
    <row r="83" spans="58:76" x14ac:dyDescent="0.2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52">
        <f t="shared" si="17"/>
        <v>0</v>
      </c>
      <c r="BI83" s="1">
        <f t="shared" si="17"/>
        <v>0</v>
      </c>
      <c r="BJ83" s="1">
        <f t="shared" si="18"/>
        <v>0</v>
      </c>
      <c r="BK83" s="1">
        <f t="shared" si="25"/>
        <v>0</v>
      </c>
      <c r="BL83" s="1">
        <f t="shared" si="19"/>
        <v>0</v>
      </c>
      <c r="BM83" s="10" t="str">
        <f t="shared" si="20"/>
        <v/>
      </c>
      <c r="BN83" s="52">
        <f t="shared" si="26"/>
        <v>0</v>
      </c>
      <c r="BO83" s="52">
        <f t="shared" si="27"/>
        <v>0</v>
      </c>
      <c r="BP83" s="1">
        <f t="shared" si="21"/>
        <v>0</v>
      </c>
      <c r="BQ83" s="1">
        <f t="shared" si="22"/>
        <v>0</v>
      </c>
      <c r="BR83" s="1" t="str">
        <f t="shared" si="23"/>
        <v/>
      </c>
      <c r="BS83" s="1">
        <f t="shared" si="24"/>
        <v>0</v>
      </c>
      <c r="BT83" s="4">
        <f t="shared" si="28"/>
        <v>0</v>
      </c>
      <c r="BU83" s="52">
        <f t="shared" si="29"/>
        <v>0</v>
      </c>
      <c r="BV83" s="1">
        <f t="shared" si="30"/>
        <v>0</v>
      </c>
      <c r="BW83">
        <f t="shared" si="31"/>
        <v>0</v>
      </c>
      <c r="BX83">
        <f t="shared" si="32"/>
        <v>0</v>
      </c>
    </row>
    <row r="84" spans="58:76" x14ac:dyDescent="0.2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52">
        <f t="shared" si="17"/>
        <v>0</v>
      </c>
      <c r="BI84" s="1">
        <f t="shared" si="17"/>
        <v>0</v>
      </c>
      <c r="BJ84" s="1">
        <f t="shared" si="18"/>
        <v>0</v>
      </c>
      <c r="BK84" s="1">
        <f t="shared" si="25"/>
        <v>0</v>
      </c>
      <c r="BL84" s="1">
        <f t="shared" si="19"/>
        <v>0</v>
      </c>
      <c r="BM84" s="10" t="str">
        <f t="shared" si="20"/>
        <v/>
      </c>
      <c r="BN84" s="52">
        <f t="shared" si="26"/>
        <v>0</v>
      </c>
      <c r="BO84" s="52">
        <f t="shared" si="27"/>
        <v>0</v>
      </c>
      <c r="BP84" s="1">
        <f t="shared" si="21"/>
        <v>0</v>
      </c>
      <c r="BQ84" s="1">
        <f t="shared" si="22"/>
        <v>0</v>
      </c>
      <c r="BR84" s="1" t="str">
        <f t="shared" si="23"/>
        <v/>
      </c>
      <c r="BS84" s="1">
        <f t="shared" si="24"/>
        <v>0</v>
      </c>
      <c r="BT84" s="4">
        <f t="shared" si="28"/>
        <v>0</v>
      </c>
      <c r="BU84" s="52">
        <f t="shared" si="29"/>
        <v>0</v>
      </c>
      <c r="BV84" s="1">
        <f t="shared" si="30"/>
        <v>0</v>
      </c>
      <c r="BW84">
        <f t="shared" si="31"/>
        <v>0</v>
      </c>
      <c r="BX84">
        <f t="shared" si="32"/>
        <v>0</v>
      </c>
    </row>
    <row r="85" spans="58:76" x14ac:dyDescent="0.2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52">
        <f t="shared" si="17"/>
        <v>0</v>
      </c>
      <c r="BI85" s="1">
        <f t="shared" si="17"/>
        <v>0</v>
      </c>
      <c r="BJ85" s="1">
        <f t="shared" si="18"/>
        <v>0</v>
      </c>
      <c r="BK85" s="1">
        <f t="shared" si="25"/>
        <v>0</v>
      </c>
      <c r="BL85" s="1">
        <f t="shared" si="19"/>
        <v>0</v>
      </c>
      <c r="BM85" s="10" t="str">
        <f t="shared" si="20"/>
        <v/>
      </c>
      <c r="BN85" s="52">
        <f t="shared" si="26"/>
        <v>0</v>
      </c>
      <c r="BO85" s="52">
        <f t="shared" si="27"/>
        <v>0</v>
      </c>
      <c r="BP85" s="1">
        <f t="shared" si="21"/>
        <v>0</v>
      </c>
      <c r="BQ85" s="1">
        <f t="shared" si="22"/>
        <v>0</v>
      </c>
      <c r="BR85" s="1" t="str">
        <f t="shared" si="23"/>
        <v/>
      </c>
      <c r="BS85" s="1">
        <f t="shared" si="24"/>
        <v>0</v>
      </c>
      <c r="BT85" s="4">
        <f t="shared" si="28"/>
        <v>0</v>
      </c>
      <c r="BU85" s="52">
        <f t="shared" si="29"/>
        <v>0</v>
      </c>
      <c r="BV85" s="1">
        <f t="shared" si="30"/>
        <v>0</v>
      </c>
      <c r="BW85">
        <f t="shared" si="31"/>
        <v>0</v>
      </c>
      <c r="BX85">
        <f t="shared" si="32"/>
        <v>0</v>
      </c>
    </row>
    <row r="86" spans="58:76" x14ac:dyDescent="0.2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52">
        <f t="shared" si="17"/>
        <v>0</v>
      </c>
      <c r="BI86" s="1">
        <f t="shared" si="17"/>
        <v>0</v>
      </c>
      <c r="BJ86" s="1">
        <f t="shared" si="18"/>
        <v>0</v>
      </c>
      <c r="BK86" s="1">
        <f t="shared" si="25"/>
        <v>0</v>
      </c>
      <c r="BL86" s="1">
        <f t="shared" si="19"/>
        <v>0</v>
      </c>
      <c r="BM86" s="10" t="str">
        <f t="shared" si="20"/>
        <v/>
      </c>
      <c r="BN86" s="52">
        <f t="shared" si="26"/>
        <v>0</v>
      </c>
      <c r="BO86" s="52">
        <f t="shared" si="27"/>
        <v>0</v>
      </c>
      <c r="BP86" s="1">
        <f t="shared" si="21"/>
        <v>0</v>
      </c>
      <c r="BQ86" s="1">
        <f t="shared" si="22"/>
        <v>0</v>
      </c>
      <c r="BR86" s="1" t="str">
        <f t="shared" si="23"/>
        <v/>
      </c>
      <c r="BS86" s="1">
        <f t="shared" si="24"/>
        <v>0</v>
      </c>
      <c r="BT86" s="4">
        <f t="shared" si="28"/>
        <v>0</v>
      </c>
      <c r="BU86" s="52">
        <f t="shared" si="29"/>
        <v>0</v>
      </c>
      <c r="BV86" s="1">
        <f t="shared" si="30"/>
        <v>0</v>
      </c>
      <c r="BW86">
        <f t="shared" si="31"/>
        <v>0</v>
      </c>
      <c r="BX86">
        <f t="shared" si="32"/>
        <v>0</v>
      </c>
    </row>
    <row r="87" spans="58:76" x14ac:dyDescent="0.2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52">
        <f t="shared" si="17"/>
        <v>0</v>
      </c>
      <c r="BI87" s="1">
        <f t="shared" si="17"/>
        <v>0</v>
      </c>
      <c r="BJ87" s="1">
        <f t="shared" si="18"/>
        <v>0</v>
      </c>
      <c r="BK87" s="1">
        <f t="shared" si="25"/>
        <v>0</v>
      </c>
      <c r="BL87" s="1">
        <f t="shared" si="19"/>
        <v>0</v>
      </c>
      <c r="BM87" s="10" t="str">
        <f t="shared" si="20"/>
        <v/>
      </c>
      <c r="BN87" s="52">
        <f t="shared" si="26"/>
        <v>0</v>
      </c>
      <c r="BO87" s="52">
        <f t="shared" si="27"/>
        <v>0</v>
      </c>
      <c r="BP87" s="1">
        <f t="shared" si="21"/>
        <v>0</v>
      </c>
      <c r="BQ87" s="1">
        <f t="shared" si="22"/>
        <v>0</v>
      </c>
      <c r="BR87" s="1" t="str">
        <f t="shared" si="23"/>
        <v/>
      </c>
      <c r="BS87" s="1">
        <f t="shared" si="24"/>
        <v>0</v>
      </c>
      <c r="BT87" s="4">
        <f t="shared" si="28"/>
        <v>0</v>
      </c>
      <c r="BU87" s="52">
        <f t="shared" si="29"/>
        <v>0</v>
      </c>
      <c r="BV87" s="1">
        <f t="shared" si="30"/>
        <v>0</v>
      </c>
      <c r="BW87">
        <f t="shared" si="31"/>
        <v>0</v>
      </c>
      <c r="BX87">
        <f t="shared" si="32"/>
        <v>0</v>
      </c>
    </row>
    <row r="88" spans="58:76" x14ac:dyDescent="0.2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52">
        <f t="shared" si="17"/>
        <v>0</v>
      </c>
      <c r="BI88" s="1">
        <f t="shared" si="17"/>
        <v>0</v>
      </c>
      <c r="BJ88" s="1">
        <f t="shared" si="18"/>
        <v>0</v>
      </c>
      <c r="BK88" s="1">
        <f t="shared" si="25"/>
        <v>0</v>
      </c>
      <c r="BL88" s="1">
        <f t="shared" si="19"/>
        <v>0</v>
      </c>
      <c r="BM88" s="10" t="str">
        <f t="shared" si="20"/>
        <v/>
      </c>
      <c r="BN88" s="52">
        <f t="shared" si="26"/>
        <v>0</v>
      </c>
      <c r="BO88" s="52">
        <f t="shared" si="27"/>
        <v>0</v>
      </c>
      <c r="BP88" s="1">
        <f t="shared" si="21"/>
        <v>0</v>
      </c>
      <c r="BQ88" s="1">
        <f t="shared" si="22"/>
        <v>0</v>
      </c>
      <c r="BR88" s="1" t="str">
        <f t="shared" si="23"/>
        <v/>
      </c>
      <c r="BS88" s="1">
        <f t="shared" si="24"/>
        <v>0</v>
      </c>
      <c r="BT88" s="4">
        <f t="shared" si="28"/>
        <v>0</v>
      </c>
      <c r="BU88" s="52">
        <f t="shared" si="29"/>
        <v>0</v>
      </c>
      <c r="BV88" s="1">
        <f t="shared" si="30"/>
        <v>0</v>
      </c>
      <c r="BW88">
        <f t="shared" si="31"/>
        <v>0</v>
      </c>
      <c r="BX88">
        <f t="shared" si="32"/>
        <v>0</v>
      </c>
    </row>
    <row r="89" spans="58:76" x14ac:dyDescent="0.2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52">
        <f t="shared" si="17"/>
        <v>0</v>
      </c>
      <c r="BI89" s="1">
        <f t="shared" si="17"/>
        <v>0</v>
      </c>
      <c r="BJ89" s="1">
        <f t="shared" si="18"/>
        <v>0</v>
      </c>
      <c r="BK89" s="1">
        <f t="shared" si="25"/>
        <v>0</v>
      </c>
      <c r="BL89" s="1">
        <f t="shared" si="19"/>
        <v>0</v>
      </c>
      <c r="BM89" s="10" t="str">
        <f t="shared" si="20"/>
        <v/>
      </c>
      <c r="BN89" s="52">
        <f t="shared" si="26"/>
        <v>0</v>
      </c>
      <c r="BO89" s="52">
        <f t="shared" si="27"/>
        <v>0</v>
      </c>
      <c r="BP89" s="1">
        <f t="shared" si="21"/>
        <v>0</v>
      </c>
      <c r="BQ89" s="1">
        <f t="shared" si="22"/>
        <v>0</v>
      </c>
      <c r="BR89" s="1" t="str">
        <f t="shared" si="23"/>
        <v/>
      </c>
      <c r="BS89" s="1">
        <f t="shared" si="24"/>
        <v>0</v>
      </c>
      <c r="BT89" s="4">
        <f t="shared" si="28"/>
        <v>0</v>
      </c>
      <c r="BU89" s="52">
        <f t="shared" si="29"/>
        <v>0</v>
      </c>
      <c r="BV89" s="1">
        <f t="shared" si="30"/>
        <v>0</v>
      </c>
      <c r="BW89">
        <f t="shared" si="31"/>
        <v>0</v>
      </c>
      <c r="BX89">
        <f t="shared" si="32"/>
        <v>0</v>
      </c>
    </row>
    <row r="90" spans="58:76" x14ac:dyDescent="0.2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52">
        <f t="shared" si="17"/>
        <v>0</v>
      </c>
      <c r="BI90" s="1">
        <f t="shared" si="17"/>
        <v>0</v>
      </c>
      <c r="BJ90" s="1">
        <f t="shared" si="18"/>
        <v>0</v>
      </c>
      <c r="BK90" s="1">
        <f t="shared" si="25"/>
        <v>0</v>
      </c>
      <c r="BL90" s="1">
        <f t="shared" si="19"/>
        <v>0</v>
      </c>
      <c r="BM90" s="10" t="str">
        <f t="shared" si="20"/>
        <v/>
      </c>
      <c r="BN90" s="52">
        <f t="shared" si="26"/>
        <v>0</v>
      </c>
      <c r="BO90" s="52">
        <f t="shared" si="27"/>
        <v>0</v>
      </c>
      <c r="BP90" s="1">
        <f t="shared" si="21"/>
        <v>0</v>
      </c>
      <c r="BQ90" s="1">
        <f t="shared" si="22"/>
        <v>0</v>
      </c>
      <c r="BR90" s="1" t="str">
        <f t="shared" si="23"/>
        <v/>
      </c>
      <c r="BS90" s="1">
        <f t="shared" si="24"/>
        <v>0</v>
      </c>
      <c r="BT90" s="4">
        <f t="shared" si="28"/>
        <v>0</v>
      </c>
      <c r="BU90" s="52">
        <f t="shared" si="29"/>
        <v>0</v>
      </c>
      <c r="BV90" s="1">
        <f t="shared" si="30"/>
        <v>0</v>
      </c>
      <c r="BW90">
        <f t="shared" si="31"/>
        <v>0</v>
      </c>
      <c r="BX90">
        <f t="shared" si="32"/>
        <v>0</v>
      </c>
    </row>
    <row r="91" spans="58:76" x14ac:dyDescent="0.2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52">
        <f t="shared" si="17"/>
        <v>0</v>
      </c>
      <c r="BI91" s="1">
        <f t="shared" si="17"/>
        <v>0</v>
      </c>
      <c r="BJ91" s="1">
        <f t="shared" si="18"/>
        <v>0</v>
      </c>
      <c r="BK91" s="1">
        <f t="shared" si="25"/>
        <v>0</v>
      </c>
      <c r="BL91" s="1">
        <f t="shared" si="19"/>
        <v>0</v>
      </c>
      <c r="BM91" s="10" t="str">
        <f t="shared" si="20"/>
        <v/>
      </c>
      <c r="BN91" s="52">
        <f t="shared" si="26"/>
        <v>0</v>
      </c>
      <c r="BO91" s="52">
        <f t="shared" si="27"/>
        <v>0</v>
      </c>
      <c r="BP91" s="1">
        <f t="shared" si="21"/>
        <v>0</v>
      </c>
      <c r="BQ91" s="1">
        <f t="shared" si="22"/>
        <v>0</v>
      </c>
      <c r="BR91" s="1" t="str">
        <f t="shared" si="23"/>
        <v/>
      </c>
      <c r="BS91" s="1">
        <f t="shared" si="24"/>
        <v>0</v>
      </c>
      <c r="BT91" s="4">
        <f t="shared" si="28"/>
        <v>0</v>
      </c>
      <c r="BU91" s="52">
        <f t="shared" si="29"/>
        <v>0</v>
      </c>
      <c r="BV91" s="1">
        <f t="shared" si="30"/>
        <v>0</v>
      </c>
      <c r="BW91">
        <f t="shared" si="31"/>
        <v>0</v>
      </c>
      <c r="BX91">
        <f t="shared" si="32"/>
        <v>0</v>
      </c>
    </row>
    <row r="92" spans="58:76" x14ac:dyDescent="0.2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52">
        <f t="shared" si="17"/>
        <v>0</v>
      </c>
      <c r="BI92" s="1">
        <f t="shared" si="17"/>
        <v>0</v>
      </c>
      <c r="BJ92" s="1">
        <f t="shared" si="18"/>
        <v>0</v>
      </c>
      <c r="BK92" s="1">
        <f t="shared" si="25"/>
        <v>0</v>
      </c>
      <c r="BL92" s="1">
        <f t="shared" si="19"/>
        <v>0</v>
      </c>
      <c r="BM92" s="10" t="str">
        <f t="shared" si="20"/>
        <v/>
      </c>
      <c r="BN92" s="52">
        <f t="shared" si="26"/>
        <v>0</v>
      </c>
      <c r="BO92" s="52">
        <f t="shared" si="27"/>
        <v>0</v>
      </c>
      <c r="BP92" s="1">
        <f t="shared" si="21"/>
        <v>0</v>
      </c>
      <c r="BQ92" s="1">
        <f t="shared" si="22"/>
        <v>0</v>
      </c>
      <c r="BR92" s="1" t="str">
        <f t="shared" si="23"/>
        <v/>
      </c>
      <c r="BS92" s="1">
        <f t="shared" si="24"/>
        <v>0</v>
      </c>
      <c r="BT92" s="4">
        <f t="shared" si="28"/>
        <v>0</v>
      </c>
      <c r="BU92" s="52">
        <f t="shared" si="29"/>
        <v>0</v>
      </c>
      <c r="BV92" s="1">
        <f t="shared" si="30"/>
        <v>0</v>
      </c>
      <c r="BW92">
        <f t="shared" si="31"/>
        <v>0</v>
      </c>
      <c r="BX92">
        <f t="shared" si="32"/>
        <v>0</v>
      </c>
    </row>
    <row r="93" spans="58:76" x14ac:dyDescent="0.2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52">
        <f t="shared" si="17"/>
        <v>0</v>
      </c>
      <c r="BI93" s="1">
        <f t="shared" si="17"/>
        <v>0</v>
      </c>
      <c r="BJ93" s="1">
        <f t="shared" si="18"/>
        <v>0</v>
      </c>
      <c r="BK93" s="1">
        <f t="shared" si="25"/>
        <v>0</v>
      </c>
      <c r="BL93" s="1">
        <f t="shared" si="19"/>
        <v>0</v>
      </c>
      <c r="BM93" s="10" t="str">
        <f t="shared" si="20"/>
        <v/>
      </c>
      <c r="BN93" s="52">
        <f t="shared" si="26"/>
        <v>0</v>
      </c>
      <c r="BO93" s="52">
        <f t="shared" si="27"/>
        <v>0</v>
      </c>
      <c r="BP93" s="1">
        <f t="shared" si="21"/>
        <v>0</v>
      </c>
      <c r="BQ93" s="1">
        <f t="shared" si="22"/>
        <v>0</v>
      </c>
      <c r="BR93" s="1" t="str">
        <f t="shared" si="23"/>
        <v/>
      </c>
      <c r="BS93" s="1">
        <f t="shared" si="24"/>
        <v>0</v>
      </c>
      <c r="BT93" s="4">
        <f t="shared" si="28"/>
        <v>0</v>
      </c>
      <c r="BU93" s="52">
        <f t="shared" si="29"/>
        <v>0</v>
      </c>
      <c r="BV93" s="1">
        <f t="shared" si="30"/>
        <v>0</v>
      </c>
      <c r="BW93">
        <f t="shared" si="31"/>
        <v>0</v>
      </c>
      <c r="BX93">
        <f t="shared" si="32"/>
        <v>0</v>
      </c>
    </row>
    <row r="94" spans="58:76" x14ac:dyDescent="0.2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52">
        <f t="shared" si="17"/>
        <v>0</v>
      </c>
      <c r="BI94" s="1">
        <f t="shared" si="17"/>
        <v>0</v>
      </c>
      <c r="BJ94" s="1">
        <f t="shared" si="18"/>
        <v>0</v>
      </c>
      <c r="BK94" s="1">
        <f t="shared" si="25"/>
        <v>0</v>
      </c>
      <c r="BL94" s="1">
        <f t="shared" si="19"/>
        <v>0</v>
      </c>
      <c r="BM94" s="10" t="str">
        <f t="shared" si="20"/>
        <v/>
      </c>
      <c r="BN94" s="52">
        <f t="shared" si="26"/>
        <v>0</v>
      </c>
      <c r="BO94" s="52">
        <f t="shared" si="27"/>
        <v>0</v>
      </c>
      <c r="BP94" s="1">
        <f t="shared" si="21"/>
        <v>0</v>
      </c>
      <c r="BQ94" s="1">
        <f t="shared" si="22"/>
        <v>0</v>
      </c>
      <c r="BR94" s="1" t="str">
        <f t="shared" si="23"/>
        <v/>
      </c>
      <c r="BS94" s="1">
        <f t="shared" si="24"/>
        <v>0</v>
      </c>
      <c r="BT94" s="4">
        <f t="shared" si="28"/>
        <v>0</v>
      </c>
      <c r="BU94" s="52">
        <f t="shared" si="29"/>
        <v>0</v>
      </c>
      <c r="BV94" s="1">
        <f t="shared" si="30"/>
        <v>0</v>
      </c>
      <c r="BW94">
        <f t="shared" si="31"/>
        <v>0</v>
      </c>
      <c r="BX94">
        <f t="shared" si="32"/>
        <v>0</v>
      </c>
    </row>
    <row r="95" spans="58:76" x14ac:dyDescent="0.2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52">
        <f t="shared" si="17"/>
        <v>0</v>
      </c>
      <c r="BI95" s="1">
        <f t="shared" si="17"/>
        <v>0</v>
      </c>
      <c r="BJ95" s="1">
        <f t="shared" si="18"/>
        <v>0</v>
      </c>
      <c r="BK95" s="1">
        <f t="shared" si="25"/>
        <v>0</v>
      </c>
      <c r="BL95" s="1">
        <f t="shared" si="19"/>
        <v>0</v>
      </c>
      <c r="BM95" s="10" t="str">
        <f t="shared" si="20"/>
        <v/>
      </c>
      <c r="BN95" s="52">
        <f t="shared" si="26"/>
        <v>0</v>
      </c>
      <c r="BO95" s="52">
        <f t="shared" si="27"/>
        <v>0</v>
      </c>
      <c r="BP95" s="1">
        <f t="shared" si="21"/>
        <v>0</v>
      </c>
      <c r="BQ95" s="1">
        <f t="shared" si="22"/>
        <v>0</v>
      </c>
      <c r="BR95" s="1" t="str">
        <f t="shared" si="23"/>
        <v/>
      </c>
      <c r="BS95" s="1">
        <f t="shared" si="24"/>
        <v>0</v>
      </c>
      <c r="BT95" s="4">
        <f t="shared" si="28"/>
        <v>0</v>
      </c>
      <c r="BU95" s="52">
        <f t="shared" si="29"/>
        <v>0</v>
      </c>
      <c r="BV95" s="1">
        <f t="shared" si="30"/>
        <v>0</v>
      </c>
      <c r="BW95">
        <f t="shared" si="31"/>
        <v>0</v>
      </c>
      <c r="BX95">
        <f t="shared" si="32"/>
        <v>0</v>
      </c>
    </row>
    <row r="96" spans="58:76" x14ac:dyDescent="0.2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52">
        <f t="shared" si="17"/>
        <v>0</v>
      </c>
      <c r="BI96" s="1">
        <f t="shared" si="17"/>
        <v>0</v>
      </c>
      <c r="BJ96" s="1">
        <f t="shared" si="18"/>
        <v>0</v>
      </c>
      <c r="BK96" s="1">
        <f t="shared" si="25"/>
        <v>0</v>
      </c>
      <c r="BL96" s="1">
        <f t="shared" si="19"/>
        <v>0</v>
      </c>
      <c r="BM96" s="10" t="str">
        <f t="shared" si="20"/>
        <v/>
      </c>
      <c r="BN96" s="52">
        <f t="shared" si="26"/>
        <v>0</v>
      </c>
      <c r="BO96" s="52">
        <f t="shared" si="27"/>
        <v>0</v>
      </c>
      <c r="BP96" s="1">
        <f t="shared" si="21"/>
        <v>0</v>
      </c>
      <c r="BQ96" s="1">
        <f t="shared" si="22"/>
        <v>0</v>
      </c>
      <c r="BR96" s="1" t="str">
        <f t="shared" si="23"/>
        <v/>
      </c>
      <c r="BS96" s="1">
        <f t="shared" si="24"/>
        <v>0</v>
      </c>
      <c r="BT96" s="4">
        <f t="shared" si="28"/>
        <v>0</v>
      </c>
      <c r="BU96" s="52">
        <f t="shared" si="29"/>
        <v>0</v>
      </c>
      <c r="BV96" s="1">
        <f t="shared" si="30"/>
        <v>0</v>
      </c>
      <c r="BW96">
        <f t="shared" si="31"/>
        <v>0</v>
      </c>
      <c r="BX96">
        <f t="shared" si="32"/>
        <v>0</v>
      </c>
    </row>
    <row r="97" spans="58:76" x14ac:dyDescent="0.2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52">
        <f t="shared" si="17"/>
        <v>0</v>
      </c>
      <c r="BI97" s="1">
        <f t="shared" si="17"/>
        <v>0</v>
      </c>
      <c r="BJ97" s="1">
        <f t="shared" si="18"/>
        <v>0</v>
      </c>
      <c r="BK97" s="1">
        <f t="shared" si="25"/>
        <v>0</v>
      </c>
      <c r="BL97" s="1">
        <f t="shared" si="19"/>
        <v>0</v>
      </c>
      <c r="BM97" s="10" t="str">
        <f t="shared" si="20"/>
        <v/>
      </c>
      <c r="BN97" s="52">
        <f t="shared" si="26"/>
        <v>0</v>
      </c>
      <c r="BO97" s="52">
        <f t="shared" si="27"/>
        <v>0</v>
      </c>
      <c r="BP97" s="1">
        <f t="shared" si="21"/>
        <v>0</v>
      </c>
      <c r="BQ97" s="1">
        <f t="shared" si="22"/>
        <v>0</v>
      </c>
      <c r="BR97" s="1" t="str">
        <f t="shared" si="23"/>
        <v/>
      </c>
      <c r="BS97" s="1">
        <f t="shared" si="24"/>
        <v>0</v>
      </c>
      <c r="BT97" s="4">
        <f t="shared" si="28"/>
        <v>0</v>
      </c>
      <c r="BU97" s="52">
        <f t="shared" si="29"/>
        <v>0</v>
      </c>
      <c r="BV97" s="1">
        <f t="shared" si="30"/>
        <v>0</v>
      </c>
      <c r="BW97">
        <f t="shared" si="31"/>
        <v>0</v>
      </c>
      <c r="BX97">
        <f t="shared" si="32"/>
        <v>0</v>
      </c>
    </row>
    <row r="98" spans="58:76" x14ac:dyDescent="0.2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52">
        <f t="shared" ref="BH98:BI129" si="33">VALUE(T98)</f>
        <v>0</v>
      </c>
      <c r="BI98" s="1">
        <f t="shared" si="33"/>
        <v>0</v>
      </c>
      <c r="BJ98" s="1">
        <f t="shared" si="18"/>
        <v>0</v>
      </c>
      <c r="BK98" s="1">
        <f t="shared" si="25"/>
        <v>0</v>
      </c>
      <c r="BL98" s="1">
        <f t="shared" si="19"/>
        <v>0</v>
      </c>
      <c r="BM98" s="10" t="str">
        <f t="shared" si="20"/>
        <v/>
      </c>
      <c r="BN98" s="52">
        <f t="shared" si="26"/>
        <v>0</v>
      </c>
      <c r="BO98" s="52">
        <f t="shared" si="27"/>
        <v>0</v>
      </c>
      <c r="BP98" s="1">
        <f t="shared" si="21"/>
        <v>0</v>
      </c>
      <c r="BQ98" s="1">
        <f t="shared" si="22"/>
        <v>0</v>
      </c>
      <c r="BR98" s="1" t="str">
        <f t="shared" si="23"/>
        <v/>
      </c>
      <c r="BS98" s="1">
        <f t="shared" si="24"/>
        <v>0</v>
      </c>
      <c r="BT98" s="4">
        <f t="shared" si="28"/>
        <v>0</v>
      </c>
      <c r="BU98" s="52">
        <f t="shared" si="29"/>
        <v>0</v>
      </c>
      <c r="BV98" s="1">
        <f t="shared" si="30"/>
        <v>0</v>
      </c>
      <c r="BW98">
        <f t="shared" si="31"/>
        <v>0</v>
      </c>
      <c r="BX98">
        <f t="shared" si="32"/>
        <v>0</v>
      </c>
    </row>
    <row r="99" spans="58:76" x14ac:dyDescent="0.2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52">
        <f t="shared" si="33"/>
        <v>0</v>
      </c>
      <c r="BI99" s="1">
        <f t="shared" si="33"/>
        <v>0</v>
      </c>
      <c r="BJ99" s="1">
        <f t="shared" si="18"/>
        <v>0</v>
      </c>
      <c r="BK99" s="1">
        <f t="shared" si="25"/>
        <v>0</v>
      </c>
      <c r="BL99" s="1">
        <f t="shared" si="19"/>
        <v>0</v>
      </c>
      <c r="BM99" s="10" t="str">
        <f t="shared" si="20"/>
        <v/>
      </c>
      <c r="BN99" s="52">
        <f t="shared" si="26"/>
        <v>0</v>
      </c>
      <c r="BO99" s="52">
        <f t="shared" si="27"/>
        <v>0</v>
      </c>
      <c r="BP99" s="1">
        <f t="shared" si="21"/>
        <v>0</v>
      </c>
      <c r="BQ99" s="1">
        <f t="shared" si="22"/>
        <v>0</v>
      </c>
      <c r="BR99" s="1" t="str">
        <f t="shared" si="23"/>
        <v/>
      </c>
      <c r="BS99" s="1">
        <f t="shared" si="24"/>
        <v>0</v>
      </c>
      <c r="BT99" s="4">
        <f t="shared" si="28"/>
        <v>0</v>
      </c>
      <c r="BU99" s="52">
        <f t="shared" si="29"/>
        <v>0</v>
      </c>
      <c r="BV99" s="1">
        <f t="shared" si="30"/>
        <v>0</v>
      </c>
      <c r="BW99">
        <f t="shared" si="31"/>
        <v>0</v>
      </c>
      <c r="BX99">
        <f t="shared" si="32"/>
        <v>0</v>
      </c>
    </row>
    <row r="100" spans="58:76" x14ac:dyDescent="0.2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52">
        <f t="shared" si="33"/>
        <v>0</v>
      </c>
      <c r="BI100" s="1">
        <f t="shared" si="33"/>
        <v>0</v>
      </c>
      <c r="BJ100" s="1">
        <f t="shared" si="18"/>
        <v>0</v>
      </c>
      <c r="BK100" s="1">
        <f t="shared" si="25"/>
        <v>0</v>
      </c>
      <c r="BL100" s="1">
        <f t="shared" si="19"/>
        <v>0</v>
      </c>
      <c r="BM100" s="10" t="str">
        <f t="shared" si="20"/>
        <v/>
      </c>
      <c r="BN100" s="52">
        <f t="shared" si="26"/>
        <v>0</v>
      </c>
      <c r="BO100" s="52">
        <f t="shared" si="27"/>
        <v>0</v>
      </c>
      <c r="BP100" s="1">
        <f t="shared" si="21"/>
        <v>0</v>
      </c>
      <c r="BQ100" s="1">
        <f t="shared" si="22"/>
        <v>0</v>
      </c>
      <c r="BR100" s="1" t="str">
        <f t="shared" si="23"/>
        <v/>
      </c>
      <c r="BS100" s="1">
        <f t="shared" si="24"/>
        <v>0</v>
      </c>
      <c r="BT100" s="4">
        <f t="shared" si="28"/>
        <v>0</v>
      </c>
      <c r="BU100" s="52">
        <f t="shared" si="29"/>
        <v>0</v>
      </c>
      <c r="BV100" s="1">
        <f t="shared" si="30"/>
        <v>0</v>
      </c>
      <c r="BW100">
        <f t="shared" si="31"/>
        <v>0</v>
      </c>
      <c r="BX100">
        <f t="shared" si="32"/>
        <v>0</v>
      </c>
    </row>
    <row r="101" spans="58:76" x14ac:dyDescent="0.2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52">
        <f t="shared" si="33"/>
        <v>0</v>
      </c>
      <c r="BI101" s="1">
        <f t="shared" si="33"/>
        <v>0</v>
      </c>
      <c r="BJ101" s="1">
        <f t="shared" si="18"/>
        <v>0</v>
      </c>
      <c r="BK101" s="1">
        <f t="shared" si="25"/>
        <v>0</v>
      </c>
      <c r="BL101" s="1">
        <f t="shared" si="19"/>
        <v>0</v>
      </c>
      <c r="BM101" s="10" t="str">
        <f t="shared" si="20"/>
        <v/>
      </c>
      <c r="BN101" s="52">
        <f t="shared" si="26"/>
        <v>0</v>
      </c>
      <c r="BO101" s="52">
        <f t="shared" si="27"/>
        <v>0</v>
      </c>
      <c r="BP101" s="1">
        <f t="shared" si="21"/>
        <v>0</v>
      </c>
      <c r="BQ101" s="1">
        <f t="shared" si="22"/>
        <v>0</v>
      </c>
      <c r="BR101" s="1" t="str">
        <f t="shared" si="23"/>
        <v/>
      </c>
      <c r="BS101" s="1">
        <f t="shared" si="24"/>
        <v>0</v>
      </c>
      <c r="BT101" s="4">
        <f t="shared" si="28"/>
        <v>0</v>
      </c>
      <c r="BU101" s="52">
        <f t="shared" si="29"/>
        <v>0</v>
      </c>
      <c r="BV101" s="1">
        <f t="shared" si="30"/>
        <v>0</v>
      </c>
      <c r="BW101">
        <f t="shared" si="31"/>
        <v>0</v>
      </c>
      <c r="BX101">
        <f t="shared" si="32"/>
        <v>0</v>
      </c>
    </row>
    <row r="102" spans="58:76" x14ac:dyDescent="0.2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52">
        <f t="shared" si="33"/>
        <v>0</v>
      </c>
      <c r="BI102" s="1">
        <f t="shared" si="33"/>
        <v>0</v>
      </c>
      <c r="BJ102" s="1">
        <f t="shared" si="18"/>
        <v>0</v>
      </c>
      <c r="BK102" s="1">
        <f t="shared" si="25"/>
        <v>0</v>
      </c>
      <c r="BL102" s="1">
        <f t="shared" si="19"/>
        <v>0</v>
      </c>
      <c r="BM102" s="10" t="str">
        <f t="shared" si="20"/>
        <v/>
      </c>
      <c r="BN102" s="52">
        <f t="shared" si="26"/>
        <v>0</v>
      </c>
      <c r="BO102" s="52">
        <f t="shared" si="27"/>
        <v>0</v>
      </c>
      <c r="BP102" s="1">
        <f t="shared" si="21"/>
        <v>0</v>
      </c>
      <c r="BQ102" s="1">
        <f t="shared" si="22"/>
        <v>0</v>
      </c>
      <c r="BR102" s="1" t="str">
        <f t="shared" si="23"/>
        <v/>
      </c>
      <c r="BS102" s="1">
        <f t="shared" si="24"/>
        <v>0</v>
      </c>
      <c r="BT102" s="4">
        <f t="shared" si="28"/>
        <v>0</v>
      </c>
      <c r="BU102" s="52">
        <f t="shared" si="29"/>
        <v>0</v>
      </c>
      <c r="BV102" s="1">
        <f t="shared" si="30"/>
        <v>0</v>
      </c>
      <c r="BW102">
        <f t="shared" si="31"/>
        <v>0</v>
      </c>
      <c r="BX102">
        <f t="shared" si="32"/>
        <v>0</v>
      </c>
    </row>
    <row r="103" spans="58:76" x14ac:dyDescent="0.2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52">
        <f t="shared" si="33"/>
        <v>0</v>
      </c>
      <c r="BI103" s="1">
        <f t="shared" si="33"/>
        <v>0</v>
      </c>
      <c r="BJ103" s="1">
        <f t="shared" si="18"/>
        <v>0</v>
      </c>
      <c r="BK103" s="1">
        <f t="shared" si="25"/>
        <v>0</v>
      </c>
      <c r="BL103" s="1">
        <f t="shared" si="19"/>
        <v>0</v>
      </c>
      <c r="BM103" s="10" t="str">
        <f t="shared" si="20"/>
        <v/>
      </c>
      <c r="BN103" s="52">
        <f t="shared" si="26"/>
        <v>0</v>
      </c>
      <c r="BO103" s="52">
        <f t="shared" si="27"/>
        <v>0</v>
      </c>
      <c r="BP103" s="1">
        <f t="shared" si="21"/>
        <v>0</v>
      </c>
      <c r="BQ103" s="1">
        <f t="shared" si="22"/>
        <v>0</v>
      </c>
      <c r="BR103" s="1" t="str">
        <f t="shared" si="23"/>
        <v/>
      </c>
      <c r="BS103" s="1">
        <f t="shared" si="24"/>
        <v>0</v>
      </c>
      <c r="BT103" s="4">
        <f t="shared" si="28"/>
        <v>0</v>
      </c>
      <c r="BU103" s="52">
        <f t="shared" si="29"/>
        <v>0</v>
      </c>
      <c r="BV103" s="1">
        <f t="shared" si="30"/>
        <v>0</v>
      </c>
      <c r="BW103">
        <f t="shared" si="31"/>
        <v>0</v>
      </c>
      <c r="BX103">
        <f t="shared" si="32"/>
        <v>0</v>
      </c>
    </row>
    <row r="104" spans="58:76" x14ac:dyDescent="0.2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52">
        <f t="shared" si="33"/>
        <v>0</v>
      </c>
      <c r="BI104" s="1">
        <f t="shared" si="33"/>
        <v>0</v>
      </c>
      <c r="BJ104" s="1">
        <f t="shared" si="18"/>
        <v>0</v>
      </c>
      <c r="BK104" s="1">
        <f t="shared" si="25"/>
        <v>0</v>
      </c>
      <c r="BL104" s="1">
        <f t="shared" si="19"/>
        <v>0</v>
      </c>
      <c r="BM104" s="10" t="str">
        <f t="shared" si="20"/>
        <v/>
      </c>
      <c r="BN104" s="52">
        <f t="shared" si="26"/>
        <v>0</v>
      </c>
      <c r="BO104" s="52">
        <f t="shared" si="27"/>
        <v>0</v>
      </c>
      <c r="BP104" s="1">
        <f t="shared" si="21"/>
        <v>0</v>
      </c>
      <c r="BQ104" s="1">
        <f t="shared" si="22"/>
        <v>0</v>
      </c>
      <c r="BR104" s="1" t="str">
        <f t="shared" si="23"/>
        <v/>
      </c>
      <c r="BS104" s="1">
        <f t="shared" si="24"/>
        <v>0</v>
      </c>
      <c r="BT104" s="4">
        <f t="shared" si="28"/>
        <v>0</v>
      </c>
      <c r="BU104" s="52">
        <f t="shared" si="29"/>
        <v>0</v>
      </c>
      <c r="BV104" s="1">
        <f t="shared" si="30"/>
        <v>0</v>
      </c>
      <c r="BW104">
        <f t="shared" si="31"/>
        <v>0</v>
      </c>
      <c r="BX104">
        <f t="shared" si="32"/>
        <v>0</v>
      </c>
    </row>
    <row r="105" spans="58:76" x14ac:dyDescent="0.2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52">
        <f t="shared" si="33"/>
        <v>0</v>
      </c>
      <c r="BI105" s="1">
        <f t="shared" si="33"/>
        <v>0</v>
      </c>
      <c r="BJ105" s="1">
        <f t="shared" si="18"/>
        <v>0</v>
      </c>
      <c r="BK105" s="1">
        <f t="shared" si="25"/>
        <v>0</v>
      </c>
      <c r="BL105" s="1">
        <f t="shared" si="19"/>
        <v>0</v>
      </c>
      <c r="BM105" s="10" t="str">
        <f t="shared" si="20"/>
        <v/>
      </c>
      <c r="BN105" s="52">
        <f t="shared" si="26"/>
        <v>0</v>
      </c>
      <c r="BO105" s="52">
        <f t="shared" si="27"/>
        <v>0</v>
      </c>
      <c r="BP105" s="1">
        <f t="shared" si="21"/>
        <v>0</v>
      </c>
      <c r="BQ105" s="1">
        <f t="shared" si="22"/>
        <v>0</v>
      </c>
      <c r="BR105" s="1" t="str">
        <f t="shared" si="23"/>
        <v/>
      </c>
      <c r="BS105" s="1">
        <f t="shared" si="24"/>
        <v>0</v>
      </c>
      <c r="BT105" s="4">
        <f t="shared" si="28"/>
        <v>0</v>
      </c>
      <c r="BU105" s="52">
        <f t="shared" si="29"/>
        <v>0</v>
      </c>
      <c r="BV105" s="1">
        <f t="shared" si="30"/>
        <v>0</v>
      </c>
      <c r="BW105">
        <f t="shared" si="31"/>
        <v>0</v>
      </c>
      <c r="BX105">
        <f t="shared" si="32"/>
        <v>0</v>
      </c>
    </row>
    <row r="106" spans="58:76" x14ac:dyDescent="0.2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52">
        <f t="shared" si="33"/>
        <v>0</v>
      </c>
      <c r="BI106" s="1">
        <f t="shared" si="33"/>
        <v>0</v>
      </c>
      <c r="BJ106" s="1">
        <f t="shared" si="18"/>
        <v>0</v>
      </c>
      <c r="BK106" s="1">
        <f t="shared" si="25"/>
        <v>0</v>
      </c>
      <c r="BL106" s="1">
        <f t="shared" si="19"/>
        <v>0</v>
      </c>
      <c r="BM106" s="10" t="str">
        <f t="shared" si="20"/>
        <v/>
      </c>
      <c r="BN106" s="52">
        <f t="shared" si="26"/>
        <v>0</v>
      </c>
      <c r="BO106" s="52">
        <f t="shared" si="27"/>
        <v>0</v>
      </c>
      <c r="BP106" s="1">
        <f t="shared" si="21"/>
        <v>0</v>
      </c>
      <c r="BQ106" s="1">
        <f t="shared" si="22"/>
        <v>0</v>
      </c>
      <c r="BR106" s="1" t="str">
        <f t="shared" si="23"/>
        <v/>
      </c>
      <c r="BS106" s="1">
        <f t="shared" si="24"/>
        <v>0</v>
      </c>
      <c r="BT106" s="4">
        <f t="shared" si="28"/>
        <v>0</v>
      </c>
      <c r="BU106" s="52">
        <f t="shared" si="29"/>
        <v>0</v>
      </c>
      <c r="BV106" s="1">
        <f t="shared" si="30"/>
        <v>0</v>
      </c>
      <c r="BW106">
        <f t="shared" si="31"/>
        <v>0</v>
      </c>
      <c r="BX106">
        <f t="shared" si="32"/>
        <v>0</v>
      </c>
    </row>
    <row r="107" spans="58:76" x14ac:dyDescent="0.2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52">
        <f t="shared" si="33"/>
        <v>0</v>
      </c>
      <c r="BI107" s="1">
        <f t="shared" si="33"/>
        <v>0</v>
      </c>
      <c r="BJ107" s="1">
        <f t="shared" si="18"/>
        <v>0</v>
      </c>
      <c r="BK107" s="1">
        <f t="shared" si="25"/>
        <v>0</v>
      </c>
      <c r="BL107" s="1">
        <f t="shared" si="19"/>
        <v>0</v>
      </c>
      <c r="BM107" s="10" t="str">
        <f t="shared" si="20"/>
        <v/>
      </c>
      <c r="BN107" s="52">
        <f t="shared" si="26"/>
        <v>0</v>
      </c>
      <c r="BO107" s="52">
        <f t="shared" si="27"/>
        <v>0</v>
      </c>
      <c r="BP107" s="1">
        <f t="shared" si="21"/>
        <v>0</v>
      </c>
      <c r="BQ107" s="1">
        <f t="shared" si="22"/>
        <v>0</v>
      </c>
      <c r="BR107" s="1" t="str">
        <f t="shared" si="23"/>
        <v/>
      </c>
      <c r="BS107" s="1">
        <f t="shared" si="24"/>
        <v>0</v>
      </c>
      <c r="BT107" s="4">
        <f t="shared" si="28"/>
        <v>0</v>
      </c>
      <c r="BU107" s="52">
        <f t="shared" si="29"/>
        <v>0</v>
      </c>
      <c r="BV107" s="1">
        <f t="shared" si="30"/>
        <v>0</v>
      </c>
      <c r="BW107">
        <f t="shared" si="31"/>
        <v>0</v>
      </c>
      <c r="BX107">
        <f t="shared" si="32"/>
        <v>0</v>
      </c>
    </row>
    <row r="108" spans="58:76" x14ac:dyDescent="0.2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52">
        <f t="shared" si="33"/>
        <v>0</v>
      </c>
      <c r="BI108" s="1">
        <f t="shared" si="33"/>
        <v>0</v>
      </c>
      <c r="BJ108" s="1">
        <f t="shared" si="18"/>
        <v>0</v>
      </c>
      <c r="BK108" s="1">
        <f t="shared" si="25"/>
        <v>0</v>
      </c>
      <c r="BL108" s="1">
        <f t="shared" si="19"/>
        <v>0</v>
      </c>
      <c r="BM108" s="10" t="str">
        <f t="shared" si="20"/>
        <v/>
      </c>
      <c r="BN108" s="52">
        <f t="shared" si="26"/>
        <v>0</v>
      </c>
      <c r="BO108" s="52">
        <f t="shared" si="27"/>
        <v>0</v>
      </c>
      <c r="BP108" s="1">
        <f t="shared" si="21"/>
        <v>0</v>
      </c>
      <c r="BQ108" s="1">
        <f t="shared" si="22"/>
        <v>0</v>
      </c>
      <c r="BR108" s="1" t="str">
        <f t="shared" si="23"/>
        <v/>
      </c>
      <c r="BS108" s="1">
        <f t="shared" si="24"/>
        <v>0</v>
      </c>
      <c r="BT108" s="4">
        <f t="shared" si="28"/>
        <v>0</v>
      </c>
      <c r="BU108" s="52">
        <f t="shared" si="29"/>
        <v>0</v>
      </c>
      <c r="BV108" s="1">
        <f t="shared" si="30"/>
        <v>0</v>
      </c>
      <c r="BW108">
        <f t="shared" si="31"/>
        <v>0</v>
      </c>
      <c r="BX108">
        <f t="shared" si="32"/>
        <v>0</v>
      </c>
    </row>
    <row r="109" spans="58:76" x14ac:dyDescent="0.2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52">
        <f t="shared" si="33"/>
        <v>0</v>
      </c>
      <c r="BI109" s="1">
        <f t="shared" si="33"/>
        <v>0</v>
      </c>
      <c r="BJ109" s="1">
        <f t="shared" si="18"/>
        <v>0</v>
      </c>
      <c r="BK109" s="1">
        <f t="shared" si="25"/>
        <v>0</v>
      </c>
      <c r="BL109" s="1">
        <f t="shared" si="19"/>
        <v>0</v>
      </c>
      <c r="BM109" s="10" t="str">
        <f t="shared" si="20"/>
        <v/>
      </c>
      <c r="BN109" s="52">
        <f t="shared" si="26"/>
        <v>0</v>
      </c>
      <c r="BO109" s="52">
        <f t="shared" si="27"/>
        <v>0</v>
      </c>
      <c r="BP109" s="1">
        <f t="shared" si="21"/>
        <v>0</v>
      </c>
      <c r="BQ109" s="1">
        <f t="shared" si="22"/>
        <v>0</v>
      </c>
      <c r="BR109" s="1" t="str">
        <f t="shared" si="23"/>
        <v/>
      </c>
      <c r="BS109" s="1">
        <f t="shared" si="24"/>
        <v>0</v>
      </c>
      <c r="BT109" s="4">
        <f t="shared" si="28"/>
        <v>0</v>
      </c>
      <c r="BU109" s="52">
        <f t="shared" si="29"/>
        <v>0</v>
      </c>
      <c r="BV109" s="1">
        <f t="shared" si="30"/>
        <v>0</v>
      </c>
      <c r="BW109">
        <f t="shared" si="31"/>
        <v>0</v>
      </c>
      <c r="BX109">
        <f t="shared" si="32"/>
        <v>0</v>
      </c>
    </row>
    <row r="110" spans="58:76" x14ac:dyDescent="0.2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52">
        <f t="shared" si="33"/>
        <v>0</v>
      </c>
      <c r="BI110" s="1">
        <f t="shared" si="33"/>
        <v>0</v>
      </c>
      <c r="BJ110" s="1">
        <f t="shared" si="18"/>
        <v>0</v>
      </c>
      <c r="BK110" s="1">
        <f t="shared" si="25"/>
        <v>0</v>
      </c>
      <c r="BL110" s="1">
        <f t="shared" si="19"/>
        <v>0</v>
      </c>
      <c r="BM110" s="10" t="str">
        <f t="shared" si="20"/>
        <v/>
      </c>
      <c r="BN110" s="52">
        <f t="shared" si="26"/>
        <v>0</v>
      </c>
      <c r="BO110" s="52">
        <f t="shared" si="27"/>
        <v>0</v>
      </c>
      <c r="BP110" s="1">
        <f t="shared" si="21"/>
        <v>0</v>
      </c>
      <c r="BQ110" s="1">
        <f t="shared" si="22"/>
        <v>0</v>
      </c>
      <c r="BR110" s="1" t="str">
        <f t="shared" si="23"/>
        <v/>
      </c>
      <c r="BS110" s="1">
        <f t="shared" si="24"/>
        <v>0</v>
      </c>
      <c r="BT110" s="4">
        <f t="shared" si="28"/>
        <v>0</v>
      </c>
      <c r="BU110" s="52">
        <f t="shared" si="29"/>
        <v>0</v>
      </c>
      <c r="BV110" s="1">
        <f t="shared" si="30"/>
        <v>0</v>
      </c>
      <c r="BW110">
        <f t="shared" si="31"/>
        <v>0</v>
      </c>
      <c r="BX110">
        <f t="shared" si="32"/>
        <v>0</v>
      </c>
    </row>
    <row r="111" spans="58:76" x14ac:dyDescent="0.2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52">
        <f t="shared" si="33"/>
        <v>0</v>
      </c>
      <c r="BI111" s="1">
        <f t="shared" si="33"/>
        <v>0</v>
      </c>
      <c r="BJ111" s="1">
        <f t="shared" si="18"/>
        <v>0</v>
      </c>
      <c r="BK111" s="1">
        <f t="shared" si="25"/>
        <v>0</v>
      </c>
      <c r="BL111" s="1">
        <f t="shared" si="19"/>
        <v>0</v>
      </c>
      <c r="BM111" s="10" t="str">
        <f t="shared" si="20"/>
        <v/>
      </c>
      <c r="BN111" s="52">
        <f t="shared" si="26"/>
        <v>0</v>
      </c>
      <c r="BO111" s="52">
        <f t="shared" si="27"/>
        <v>0</v>
      </c>
      <c r="BP111" s="1">
        <f t="shared" si="21"/>
        <v>0</v>
      </c>
      <c r="BQ111" s="1">
        <f t="shared" si="22"/>
        <v>0</v>
      </c>
      <c r="BR111" s="1" t="str">
        <f t="shared" si="23"/>
        <v/>
      </c>
      <c r="BS111" s="1">
        <f t="shared" si="24"/>
        <v>0</v>
      </c>
      <c r="BT111" s="4">
        <f t="shared" si="28"/>
        <v>0</v>
      </c>
      <c r="BU111" s="52">
        <f t="shared" si="29"/>
        <v>0</v>
      </c>
      <c r="BV111" s="1">
        <f t="shared" si="30"/>
        <v>0</v>
      </c>
      <c r="BW111">
        <f t="shared" si="31"/>
        <v>0</v>
      </c>
      <c r="BX111">
        <f t="shared" si="32"/>
        <v>0</v>
      </c>
    </row>
    <row r="112" spans="58:76" x14ac:dyDescent="0.2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52">
        <f t="shared" si="33"/>
        <v>0</v>
      </c>
      <c r="BI112" s="1">
        <f t="shared" si="33"/>
        <v>0</v>
      </c>
      <c r="BJ112" s="1">
        <f t="shared" si="18"/>
        <v>0</v>
      </c>
      <c r="BK112" s="1">
        <f t="shared" si="25"/>
        <v>0</v>
      </c>
      <c r="BL112" s="1">
        <f t="shared" si="19"/>
        <v>0</v>
      </c>
      <c r="BM112" s="10" t="str">
        <f t="shared" si="20"/>
        <v/>
      </c>
      <c r="BN112" s="52">
        <f t="shared" si="26"/>
        <v>0</v>
      </c>
      <c r="BO112" s="52">
        <f t="shared" si="27"/>
        <v>0</v>
      </c>
      <c r="BP112" s="1">
        <f t="shared" si="21"/>
        <v>0</v>
      </c>
      <c r="BQ112" s="1">
        <f t="shared" si="22"/>
        <v>0</v>
      </c>
      <c r="BR112" s="1" t="str">
        <f t="shared" si="23"/>
        <v/>
      </c>
      <c r="BS112" s="1">
        <f t="shared" si="24"/>
        <v>0</v>
      </c>
      <c r="BT112" s="4">
        <f t="shared" si="28"/>
        <v>0</v>
      </c>
      <c r="BU112" s="52">
        <f t="shared" si="29"/>
        <v>0</v>
      </c>
      <c r="BV112" s="1">
        <f t="shared" si="30"/>
        <v>0</v>
      </c>
      <c r="BW112">
        <f t="shared" si="31"/>
        <v>0</v>
      </c>
      <c r="BX112">
        <f t="shared" si="32"/>
        <v>0</v>
      </c>
    </row>
    <row r="113" spans="58:76" x14ac:dyDescent="0.2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52">
        <f t="shared" si="33"/>
        <v>0</v>
      </c>
      <c r="BI113" s="1">
        <f t="shared" si="33"/>
        <v>0</v>
      </c>
      <c r="BJ113" s="1">
        <f t="shared" si="18"/>
        <v>0</v>
      </c>
      <c r="BK113" s="1">
        <f t="shared" si="25"/>
        <v>0</v>
      </c>
      <c r="BL113" s="1">
        <f t="shared" si="19"/>
        <v>0</v>
      </c>
      <c r="BM113" s="10" t="str">
        <f t="shared" si="20"/>
        <v/>
      </c>
      <c r="BN113" s="52">
        <f t="shared" si="26"/>
        <v>0</v>
      </c>
      <c r="BO113" s="52">
        <f t="shared" si="27"/>
        <v>0</v>
      </c>
      <c r="BP113" s="1">
        <f t="shared" si="21"/>
        <v>0</v>
      </c>
      <c r="BQ113" s="1">
        <f t="shared" si="22"/>
        <v>0</v>
      </c>
      <c r="BR113" s="1" t="str">
        <f t="shared" si="23"/>
        <v/>
      </c>
      <c r="BS113" s="1">
        <f t="shared" si="24"/>
        <v>0</v>
      </c>
      <c r="BT113" s="4">
        <f t="shared" si="28"/>
        <v>0</v>
      </c>
      <c r="BU113" s="52">
        <f t="shared" si="29"/>
        <v>0</v>
      </c>
      <c r="BV113" s="1">
        <f t="shared" si="30"/>
        <v>0</v>
      </c>
      <c r="BW113">
        <f t="shared" si="31"/>
        <v>0</v>
      </c>
      <c r="BX113">
        <f t="shared" si="32"/>
        <v>0</v>
      </c>
    </row>
    <row r="114" spans="58:76" x14ac:dyDescent="0.2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52">
        <f t="shared" si="33"/>
        <v>0</v>
      </c>
      <c r="BI114" s="1">
        <f t="shared" si="33"/>
        <v>0</v>
      </c>
      <c r="BJ114" s="1">
        <f t="shared" si="18"/>
        <v>0</v>
      </c>
      <c r="BK114" s="1">
        <f t="shared" si="25"/>
        <v>0</v>
      </c>
      <c r="BL114" s="1">
        <f t="shared" si="19"/>
        <v>0</v>
      </c>
      <c r="BM114" s="10" t="str">
        <f t="shared" si="20"/>
        <v/>
      </c>
      <c r="BN114" s="52">
        <f t="shared" si="26"/>
        <v>0</v>
      </c>
      <c r="BO114" s="52">
        <f t="shared" si="27"/>
        <v>0</v>
      </c>
      <c r="BP114" s="1">
        <f t="shared" si="21"/>
        <v>0</v>
      </c>
      <c r="BQ114" s="1">
        <f t="shared" si="22"/>
        <v>0</v>
      </c>
      <c r="BR114" s="1" t="str">
        <f t="shared" si="23"/>
        <v/>
      </c>
      <c r="BS114" s="1">
        <f t="shared" si="24"/>
        <v>0</v>
      </c>
      <c r="BT114" s="4">
        <f t="shared" si="28"/>
        <v>0</v>
      </c>
      <c r="BU114" s="52">
        <f t="shared" si="29"/>
        <v>0</v>
      </c>
      <c r="BV114" s="1">
        <f t="shared" si="30"/>
        <v>0</v>
      </c>
      <c r="BW114">
        <f t="shared" si="31"/>
        <v>0</v>
      </c>
      <c r="BX114">
        <f t="shared" si="32"/>
        <v>0</v>
      </c>
    </row>
    <row r="115" spans="58:76" x14ac:dyDescent="0.2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52">
        <f t="shared" si="33"/>
        <v>0</v>
      </c>
      <c r="BI115" s="1">
        <f t="shared" si="33"/>
        <v>0</v>
      </c>
      <c r="BJ115" s="1">
        <f t="shared" si="18"/>
        <v>0</v>
      </c>
      <c r="BK115" s="1">
        <f t="shared" si="25"/>
        <v>0</v>
      </c>
      <c r="BL115" s="1">
        <f t="shared" si="19"/>
        <v>0</v>
      </c>
      <c r="BM115" s="10" t="str">
        <f t="shared" si="20"/>
        <v/>
      </c>
      <c r="BN115" s="52">
        <f t="shared" si="26"/>
        <v>0</v>
      </c>
      <c r="BO115" s="52">
        <f t="shared" si="27"/>
        <v>0</v>
      </c>
      <c r="BP115" s="1">
        <f t="shared" si="21"/>
        <v>0</v>
      </c>
      <c r="BQ115" s="1">
        <f t="shared" si="22"/>
        <v>0</v>
      </c>
      <c r="BR115" s="1" t="str">
        <f t="shared" si="23"/>
        <v/>
      </c>
      <c r="BS115" s="1">
        <f t="shared" si="24"/>
        <v>0</v>
      </c>
      <c r="BT115" s="4">
        <f t="shared" si="28"/>
        <v>0</v>
      </c>
      <c r="BU115" s="52">
        <f t="shared" si="29"/>
        <v>0</v>
      </c>
      <c r="BV115" s="1">
        <f t="shared" si="30"/>
        <v>0</v>
      </c>
      <c r="BW115">
        <f t="shared" si="31"/>
        <v>0</v>
      </c>
      <c r="BX115">
        <f t="shared" si="32"/>
        <v>0</v>
      </c>
    </row>
    <row r="116" spans="58:76" x14ac:dyDescent="0.2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52">
        <f t="shared" si="33"/>
        <v>0</v>
      </c>
      <c r="BI116" s="1">
        <f t="shared" si="33"/>
        <v>0</v>
      </c>
      <c r="BJ116" s="1">
        <f t="shared" si="18"/>
        <v>0</v>
      </c>
      <c r="BK116" s="1">
        <f t="shared" si="25"/>
        <v>0</v>
      </c>
      <c r="BL116" s="1">
        <f t="shared" si="19"/>
        <v>0</v>
      </c>
      <c r="BM116" s="10" t="str">
        <f t="shared" si="20"/>
        <v/>
      </c>
      <c r="BN116" s="52">
        <f t="shared" si="26"/>
        <v>0</v>
      </c>
      <c r="BO116" s="52">
        <f t="shared" si="27"/>
        <v>0</v>
      </c>
      <c r="BP116" s="1">
        <f t="shared" si="21"/>
        <v>0</v>
      </c>
      <c r="BQ116" s="1">
        <f t="shared" si="22"/>
        <v>0</v>
      </c>
      <c r="BR116" s="1" t="str">
        <f t="shared" si="23"/>
        <v/>
      </c>
      <c r="BS116" s="1">
        <f t="shared" si="24"/>
        <v>0</v>
      </c>
      <c r="BT116" s="4">
        <f t="shared" si="28"/>
        <v>0</v>
      </c>
      <c r="BU116" s="52">
        <f t="shared" si="29"/>
        <v>0</v>
      </c>
      <c r="BV116" s="1">
        <f t="shared" si="30"/>
        <v>0</v>
      </c>
      <c r="BW116">
        <f t="shared" si="31"/>
        <v>0</v>
      </c>
      <c r="BX116">
        <f t="shared" si="32"/>
        <v>0</v>
      </c>
    </row>
    <row r="117" spans="58:76" x14ac:dyDescent="0.2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52">
        <f t="shared" si="33"/>
        <v>0</v>
      </c>
      <c r="BI117" s="1">
        <f t="shared" si="33"/>
        <v>0</v>
      </c>
      <c r="BJ117" s="1">
        <f t="shared" si="18"/>
        <v>0</v>
      </c>
      <c r="BK117" s="1">
        <f t="shared" si="25"/>
        <v>0</v>
      </c>
      <c r="BL117" s="1">
        <f t="shared" si="19"/>
        <v>0</v>
      </c>
      <c r="BM117" s="10" t="str">
        <f t="shared" si="20"/>
        <v/>
      </c>
      <c r="BN117" s="52">
        <f t="shared" si="26"/>
        <v>0</v>
      </c>
      <c r="BO117" s="52">
        <f t="shared" si="27"/>
        <v>0</v>
      </c>
      <c r="BP117" s="1">
        <f t="shared" si="21"/>
        <v>0</v>
      </c>
      <c r="BQ117" s="1">
        <f t="shared" si="22"/>
        <v>0</v>
      </c>
      <c r="BR117" s="1" t="str">
        <f t="shared" si="23"/>
        <v/>
      </c>
      <c r="BS117" s="1">
        <f t="shared" si="24"/>
        <v>0</v>
      </c>
      <c r="BT117" s="4">
        <f t="shared" si="28"/>
        <v>0</v>
      </c>
      <c r="BU117" s="52">
        <f t="shared" si="29"/>
        <v>0</v>
      </c>
      <c r="BV117" s="1">
        <f t="shared" si="30"/>
        <v>0</v>
      </c>
      <c r="BW117">
        <f t="shared" si="31"/>
        <v>0</v>
      </c>
      <c r="BX117">
        <f t="shared" si="32"/>
        <v>0</v>
      </c>
    </row>
    <row r="118" spans="58:76" x14ac:dyDescent="0.2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52">
        <f t="shared" si="33"/>
        <v>0</v>
      </c>
      <c r="BI118" s="1">
        <f t="shared" si="33"/>
        <v>0</v>
      </c>
      <c r="BJ118" s="1">
        <f t="shared" si="18"/>
        <v>0</v>
      </c>
      <c r="BK118" s="1">
        <f t="shared" si="25"/>
        <v>0</v>
      </c>
      <c r="BL118" s="1">
        <f t="shared" si="19"/>
        <v>0</v>
      </c>
      <c r="BM118" s="10" t="str">
        <f t="shared" si="20"/>
        <v/>
      </c>
      <c r="BN118" s="52">
        <f t="shared" si="26"/>
        <v>0</v>
      </c>
      <c r="BO118" s="52">
        <f t="shared" si="27"/>
        <v>0</v>
      </c>
      <c r="BP118" s="1">
        <f t="shared" si="21"/>
        <v>0</v>
      </c>
      <c r="BQ118" s="1">
        <f t="shared" si="22"/>
        <v>0</v>
      </c>
      <c r="BR118" s="1" t="str">
        <f t="shared" si="23"/>
        <v/>
      </c>
      <c r="BS118" s="1">
        <f t="shared" si="24"/>
        <v>0</v>
      </c>
      <c r="BT118" s="4">
        <f t="shared" si="28"/>
        <v>0</v>
      </c>
      <c r="BU118" s="52">
        <f t="shared" si="29"/>
        <v>0</v>
      </c>
      <c r="BV118" s="1">
        <f t="shared" si="30"/>
        <v>0</v>
      </c>
      <c r="BW118">
        <f t="shared" si="31"/>
        <v>0</v>
      </c>
      <c r="BX118">
        <f t="shared" si="32"/>
        <v>0</v>
      </c>
    </row>
    <row r="119" spans="58:76" x14ac:dyDescent="0.2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52">
        <f t="shared" si="33"/>
        <v>0</v>
      </c>
      <c r="BI119" s="1">
        <f t="shared" si="33"/>
        <v>0</v>
      </c>
      <c r="BJ119" s="1">
        <f t="shared" si="18"/>
        <v>0</v>
      </c>
      <c r="BK119" s="1">
        <f t="shared" si="25"/>
        <v>0</v>
      </c>
      <c r="BL119" s="1">
        <f t="shared" si="19"/>
        <v>0</v>
      </c>
      <c r="BM119" s="10" t="str">
        <f t="shared" si="20"/>
        <v/>
      </c>
      <c r="BN119" s="52">
        <f t="shared" si="26"/>
        <v>0</v>
      </c>
      <c r="BO119" s="52">
        <f t="shared" si="27"/>
        <v>0</v>
      </c>
      <c r="BP119" s="1">
        <f t="shared" si="21"/>
        <v>0</v>
      </c>
      <c r="BQ119" s="1">
        <f t="shared" si="22"/>
        <v>0</v>
      </c>
      <c r="BR119" s="1" t="str">
        <f t="shared" si="23"/>
        <v/>
      </c>
      <c r="BS119" s="1">
        <f t="shared" si="24"/>
        <v>0</v>
      </c>
      <c r="BT119" s="4">
        <f t="shared" si="28"/>
        <v>0</v>
      </c>
      <c r="BU119" s="52">
        <f t="shared" si="29"/>
        <v>0</v>
      </c>
      <c r="BV119" s="1">
        <f t="shared" si="30"/>
        <v>0</v>
      </c>
      <c r="BW119">
        <f t="shared" si="31"/>
        <v>0</v>
      </c>
      <c r="BX119">
        <f t="shared" si="32"/>
        <v>0</v>
      </c>
    </row>
    <row r="120" spans="58:76" x14ac:dyDescent="0.2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52">
        <f t="shared" si="33"/>
        <v>0</v>
      </c>
      <c r="BI120" s="1">
        <f t="shared" si="33"/>
        <v>0</v>
      </c>
      <c r="BJ120" s="1">
        <f t="shared" si="18"/>
        <v>0</v>
      </c>
      <c r="BK120" s="1">
        <f t="shared" si="25"/>
        <v>0</v>
      </c>
      <c r="BL120" s="1">
        <f t="shared" si="19"/>
        <v>0</v>
      </c>
      <c r="BM120" s="10" t="str">
        <f t="shared" si="20"/>
        <v/>
      </c>
      <c r="BN120" s="52">
        <f t="shared" si="26"/>
        <v>0</v>
      </c>
      <c r="BO120" s="52">
        <f t="shared" si="27"/>
        <v>0</v>
      </c>
      <c r="BP120" s="1">
        <f t="shared" si="21"/>
        <v>0</v>
      </c>
      <c r="BQ120" s="1">
        <f t="shared" si="22"/>
        <v>0</v>
      </c>
      <c r="BR120" s="1" t="str">
        <f t="shared" si="23"/>
        <v/>
      </c>
      <c r="BS120" s="1">
        <f t="shared" si="24"/>
        <v>0</v>
      </c>
      <c r="BT120" s="4">
        <f t="shared" si="28"/>
        <v>0</v>
      </c>
      <c r="BU120" s="52">
        <f t="shared" si="29"/>
        <v>0</v>
      </c>
      <c r="BV120" s="1">
        <f t="shared" si="30"/>
        <v>0</v>
      </c>
      <c r="BW120">
        <f t="shared" si="31"/>
        <v>0</v>
      </c>
      <c r="BX120">
        <f t="shared" si="32"/>
        <v>0</v>
      </c>
    </row>
    <row r="121" spans="58:76" x14ac:dyDescent="0.2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52">
        <f t="shared" si="33"/>
        <v>0</v>
      </c>
      <c r="BI121" s="1">
        <f t="shared" si="33"/>
        <v>0</v>
      </c>
      <c r="BJ121" s="1">
        <f t="shared" si="18"/>
        <v>0</v>
      </c>
      <c r="BK121" s="1">
        <f t="shared" si="25"/>
        <v>0</v>
      </c>
      <c r="BL121" s="1">
        <f t="shared" si="19"/>
        <v>0</v>
      </c>
      <c r="BM121" s="10" t="str">
        <f t="shared" si="20"/>
        <v/>
      </c>
      <c r="BN121" s="52">
        <f t="shared" si="26"/>
        <v>0</v>
      </c>
      <c r="BO121" s="52">
        <f t="shared" si="27"/>
        <v>0</v>
      </c>
      <c r="BP121" s="1">
        <f t="shared" si="21"/>
        <v>0</v>
      </c>
      <c r="BQ121" s="1">
        <f t="shared" si="22"/>
        <v>0</v>
      </c>
      <c r="BR121" s="1" t="str">
        <f t="shared" si="23"/>
        <v/>
      </c>
      <c r="BS121" s="1">
        <f t="shared" si="24"/>
        <v>0</v>
      </c>
      <c r="BT121" s="4">
        <f t="shared" si="28"/>
        <v>0</v>
      </c>
      <c r="BU121" s="52">
        <f t="shared" si="29"/>
        <v>0</v>
      </c>
      <c r="BV121" s="1">
        <f t="shared" si="30"/>
        <v>0</v>
      </c>
      <c r="BW121">
        <f t="shared" si="31"/>
        <v>0</v>
      </c>
      <c r="BX121">
        <f t="shared" si="32"/>
        <v>0</v>
      </c>
    </row>
    <row r="122" spans="58:76" x14ac:dyDescent="0.2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52">
        <f t="shared" si="33"/>
        <v>0</v>
      </c>
      <c r="BI122" s="1">
        <f t="shared" si="33"/>
        <v>0</v>
      </c>
      <c r="BJ122" s="1">
        <f t="shared" si="18"/>
        <v>0</v>
      </c>
      <c r="BK122" s="1">
        <f t="shared" si="25"/>
        <v>0</v>
      </c>
      <c r="BL122" s="1">
        <f t="shared" si="19"/>
        <v>0</v>
      </c>
      <c r="BM122" s="10" t="str">
        <f t="shared" si="20"/>
        <v/>
      </c>
      <c r="BN122" s="52">
        <f t="shared" si="26"/>
        <v>0</v>
      </c>
      <c r="BO122" s="52">
        <f t="shared" si="27"/>
        <v>0</v>
      </c>
      <c r="BP122" s="1">
        <f t="shared" si="21"/>
        <v>0</v>
      </c>
      <c r="BQ122" s="1">
        <f t="shared" si="22"/>
        <v>0</v>
      </c>
      <c r="BR122" s="1" t="str">
        <f t="shared" si="23"/>
        <v/>
      </c>
      <c r="BS122" s="1">
        <f t="shared" si="24"/>
        <v>0</v>
      </c>
      <c r="BT122" s="4">
        <f t="shared" si="28"/>
        <v>0</v>
      </c>
      <c r="BU122" s="52">
        <f t="shared" si="29"/>
        <v>0</v>
      </c>
      <c r="BV122" s="1">
        <f t="shared" si="30"/>
        <v>0</v>
      </c>
      <c r="BW122">
        <f t="shared" si="31"/>
        <v>0</v>
      </c>
      <c r="BX122">
        <f t="shared" si="32"/>
        <v>0</v>
      </c>
    </row>
    <row r="123" spans="58:76" x14ac:dyDescent="0.2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52">
        <f t="shared" si="33"/>
        <v>0</v>
      </c>
      <c r="BI123" s="1">
        <f t="shared" si="33"/>
        <v>0</v>
      </c>
      <c r="BJ123" s="1">
        <f t="shared" si="18"/>
        <v>0</v>
      </c>
      <c r="BK123" s="1">
        <f t="shared" si="25"/>
        <v>0</v>
      </c>
      <c r="BL123" s="1">
        <f t="shared" si="19"/>
        <v>0</v>
      </c>
      <c r="BM123" s="10" t="str">
        <f t="shared" si="20"/>
        <v/>
      </c>
      <c r="BN123" s="52">
        <f t="shared" si="26"/>
        <v>0</v>
      </c>
      <c r="BO123" s="52">
        <f t="shared" si="27"/>
        <v>0</v>
      </c>
      <c r="BP123" s="1">
        <f t="shared" si="21"/>
        <v>0</v>
      </c>
      <c r="BQ123" s="1">
        <f t="shared" si="22"/>
        <v>0</v>
      </c>
      <c r="BR123" s="1" t="str">
        <f t="shared" si="23"/>
        <v/>
      </c>
      <c r="BS123" s="1">
        <f t="shared" si="24"/>
        <v>0</v>
      </c>
      <c r="BT123" s="4">
        <f t="shared" si="28"/>
        <v>0</v>
      </c>
      <c r="BU123" s="52">
        <f t="shared" si="29"/>
        <v>0</v>
      </c>
      <c r="BV123" s="1">
        <f t="shared" si="30"/>
        <v>0</v>
      </c>
      <c r="BW123">
        <f t="shared" si="31"/>
        <v>0</v>
      </c>
      <c r="BX123">
        <f t="shared" si="32"/>
        <v>0</v>
      </c>
    </row>
    <row r="124" spans="58:76" x14ac:dyDescent="0.2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52">
        <f t="shared" si="33"/>
        <v>0</v>
      </c>
      <c r="BI124" s="1">
        <f t="shared" si="33"/>
        <v>0</v>
      </c>
      <c r="BJ124" s="1">
        <f t="shared" si="18"/>
        <v>0</v>
      </c>
      <c r="BK124" s="1">
        <f t="shared" si="25"/>
        <v>0</v>
      </c>
      <c r="BL124" s="1">
        <f t="shared" si="19"/>
        <v>0</v>
      </c>
      <c r="BM124" s="10" t="str">
        <f t="shared" si="20"/>
        <v/>
      </c>
      <c r="BN124" s="52">
        <f t="shared" si="26"/>
        <v>0</v>
      </c>
      <c r="BO124" s="52">
        <f t="shared" si="27"/>
        <v>0</v>
      </c>
      <c r="BP124" s="1">
        <f t="shared" si="21"/>
        <v>0</v>
      </c>
      <c r="BQ124" s="1">
        <f t="shared" si="22"/>
        <v>0</v>
      </c>
      <c r="BR124" s="1" t="str">
        <f t="shared" si="23"/>
        <v/>
      </c>
      <c r="BS124" s="1">
        <f t="shared" si="24"/>
        <v>0</v>
      </c>
      <c r="BT124" s="4">
        <f t="shared" si="28"/>
        <v>0</v>
      </c>
      <c r="BU124" s="52">
        <f t="shared" si="29"/>
        <v>0</v>
      </c>
      <c r="BV124" s="1">
        <f t="shared" si="30"/>
        <v>0</v>
      </c>
      <c r="BW124">
        <f t="shared" si="31"/>
        <v>0</v>
      </c>
      <c r="BX124">
        <f t="shared" si="32"/>
        <v>0</v>
      </c>
    </row>
    <row r="125" spans="58:76" x14ac:dyDescent="0.2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52">
        <f t="shared" si="33"/>
        <v>0</v>
      </c>
      <c r="BI125" s="1">
        <f t="shared" si="33"/>
        <v>0</v>
      </c>
      <c r="BJ125" s="1">
        <f t="shared" si="18"/>
        <v>0</v>
      </c>
      <c r="BK125" s="1">
        <f t="shared" si="25"/>
        <v>0</v>
      </c>
      <c r="BL125" s="1">
        <f t="shared" si="19"/>
        <v>0</v>
      </c>
      <c r="BM125" s="10" t="str">
        <f t="shared" si="20"/>
        <v/>
      </c>
      <c r="BN125" s="52">
        <f t="shared" si="26"/>
        <v>0</v>
      </c>
      <c r="BO125" s="52">
        <f t="shared" si="27"/>
        <v>0</v>
      </c>
      <c r="BP125" s="1">
        <f t="shared" si="21"/>
        <v>0</v>
      </c>
      <c r="BQ125" s="1">
        <f t="shared" si="22"/>
        <v>0</v>
      </c>
      <c r="BR125" s="1" t="str">
        <f t="shared" si="23"/>
        <v/>
      </c>
      <c r="BS125" s="1">
        <f t="shared" si="24"/>
        <v>0</v>
      </c>
      <c r="BT125" s="4">
        <f t="shared" si="28"/>
        <v>0</v>
      </c>
      <c r="BU125" s="52">
        <f t="shared" si="29"/>
        <v>0</v>
      </c>
      <c r="BV125" s="1">
        <f t="shared" si="30"/>
        <v>0</v>
      </c>
      <c r="BW125">
        <f t="shared" si="31"/>
        <v>0</v>
      </c>
      <c r="BX125">
        <f t="shared" si="32"/>
        <v>0</v>
      </c>
    </row>
    <row r="126" spans="58:76" x14ac:dyDescent="0.2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52">
        <f t="shared" si="33"/>
        <v>0</v>
      </c>
      <c r="BI126" s="1">
        <f t="shared" si="33"/>
        <v>0</v>
      </c>
      <c r="BJ126" s="1">
        <f t="shared" si="18"/>
        <v>0</v>
      </c>
      <c r="BK126" s="1">
        <f t="shared" si="25"/>
        <v>0</v>
      </c>
      <c r="BL126" s="1">
        <f t="shared" si="19"/>
        <v>0</v>
      </c>
      <c r="BM126" s="10" t="str">
        <f t="shared" si="20"/>
        <v/>
      </c>
      <c r="BN126" s="52">
        <f t="shared" si="26"/>
        <v>0</v>
      </c>
      <c r="BO126" s="52">
        <f t="shared" si="27"/>
        <v>0</v>
      </c>
      <c r="BP126" s="1">
        <f t="shared" si="21"/>
        <v>0</v>
      </c>
      <c r="BQ126" s="1">
        <f t="shared" si="22"/>
        <v>0</v>
      </c>
      <c r="BR126" s="1" t="str">
        <f t="shared" si="23"/>
        <v/>
      </c>
      <c r="BS126" s="1">
        <f t="shared" si="24"/>
        <v>0</v>
      </c>
      <c r="BT126" s="4">
        <f t="shared" si="28"/>
        <v>0</v>
      </c>
      <c r="BU126" s="52">
        <f t="shared" si="29"/>
        <v>0</v>
      </c>
      <c r="BV126" s="1">
        <f t="shared" si="30"/>
        <v>0</v>
      </c>
      <c r="BW126">
        <f t="shared" si="31"/>
        <v>0</v>
      </c>
      <c r="BX126">
        <f t="shared" si="32"/>
        <v>0</v>
      </c>
    </row>
    <row r="127" spans="58:76" x14ac:dyDescent="0.2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52">
        <f t="shared" si="33"/>
        <v>0</v>
      </c>
      <c r="BI127" s="1">
        <f t="shared" si="33"/>
        <v>0</v>
      </c>
      <c r="BJ127" s="1">
        <f t="shared" si="18"/>
        <v>0</v>
      </c>
      <c r="BK127" s="1">
        <f t="shared" si="25"/>
        <v>0</v>
      </c>
      <c r="BL127" s="1">
        <f t="shared" si="19"/>
        <v>0</v>
      </c>
      <c r="BM127" s="10" t="str">
        <f t="shared" si="20"/>
        <v/>
      </c>
      <c r="BN127" s="52">
        <f t="shared" si="26"/>
        <v>0</v>
      </c>
      <c r="BO127" s="52">
        <f t="shared" si="27"/>
        <v>0</v>
      </c>
      <c r="BP127" s="1">
        <f t="shared" si="21"/>
        <v>0</v>
      </c>
      <c r="BQ127" s="1">
        <f t="shared" si="22"/>
        <v>0</v>
      </c>
      <c r="BR127" s="1" t="str">
        <f t="shared" si="23"/>
        <v/>
      </c>
      <c r="BS127" s="1">
        <f t="shared" si="24"/>
        <v>0</v>
      </c>
      <c r="BT127" s="4">
        <f t="shared" si="28"/>
        <v>0</v>
      </c>
      <c r="BU127" s="52">
        <f t="shared" si="29"/>
        <v>0</v>
      </c>
      <c r="BV127" s="1">
        <f t="shared" si="30"/>
        <v>0</v>
      </c>
      <c r="BW127">
        <f t="shared" si="31"/>
        <v>0</v>
      </c>
      <c r="BX127">
        <f t="shared" si="32"/>
        <v>0</v>
      </c>
    </row>
    <row r="128" spans="58:76" x14ac:dyDescent="0.2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52">
        <f t="shared" si="33"/>
        <v>0</v>
      </c>
      <c r="BI128" s="1">
        <f t="shared" si="33"/>
        <v>0</v>
      </c>
      <c r="BJ128" s="1">
        <f t="shared" si="18"/>
        <v>0</v>
      </c>
      <c r="BK128" s="1">
        <f t="shared" si="25"/>
        <v>0</v>
      </c>
      <c r="BL128" s="1">
        <f t="shared" si="19"/>
        <v>0</v>
      </c>
      <c r="BM128" s="10" t="str">
        <f t="shared" si="20"/>
        <v/>
      </c>
      <c r="BN128" s="52">
        <f t="shared" si="26"/>
        <v>0</v>
      </c>
      <c r="BO128" s="52">
        <f t="shared" si="27"/>
        <v>0</v>
      </c>
      <c r="BP128" s="1">
        <f t="shared" si="21"/>
        <v>0</v>
      </c>
      <c r="BQ128" s="1">
        <f t="shared" si="22"/>
        <v>0</v>
      </c>
      <c r="BR128" s="1" t="str">
        <f t="shared" si="23"/>
        <v/>
      </c>
      <c r="BS128" s="1">
        <f t="shared" si="24"/>
        <v>0</v>
      </c>
      <c r="BT128" s="4">
        <f t="shared" si="28"/>
        <v>0</v>
      </c>
      <c r="BU128" s="52">
        <f t="shared" si="29"/>
        <v>0</v>
      </c>
      <c r="BV128" s="1">
        <f t="shared" si="30"/>
        <v>0</v>
      </c>
      <c r="BW128">
        <f t="shared" si="31"/>
        <v>0</v>
      </c>
      <c r="BX128">
        <f t="shared" si="32"/>
        <v>0</v>
      </c>
    </row>
    <row r="129" spans="58:76" x14ac:dyDescent="0.2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52">
        <f t="shared" si="33"/>
        <v>0</v>
      </c>
      <c r="BI129" s="1">
        <f t="shared" si="33"/>
        <v>0</v>
      </c>
      <c r="BJ129" s="1">
        <f t="shared" si="18"/>
        <v>0</v>
      </c>
      <c r="BK129" s="1">
        <f t="shared" si="25"/>
        <v>0</v>
      </c>
      <c r="BL129" s="1">
        <f t="shared" si="19"/>
        <v>0</v>
      </c>
      <c r="BM129" s="10" t="str">
        <f t="shared" si="20"/>
        <v/>
      </c>
      <c r="BN129" s="52">
        <f t="shared" si="26"/>
        <v>0</v>
      </c>
      <c r="BO129" s="52">
        <f t="shared" si="27"/>
        <v>0</v>
      </c>
      <c r="BP129" s="1">
        <f t="shared" si="21"/>
        <v>0</v>
      </c>
      <c r="BQ129" s="1">
        <f t="shared" si="22"/>
        <v>0</v>
      </c>
      <c r="BR129" s="1" t="str">
        <f t="shared" si="23"/>
        <v/>
      </c>
      <c r="BS129" s="1">
        <f t="shared" si="24"/>
        <v>0</v>
      </c>
      <c r="BT129" s="4">
        <f t="shared" si="28"/>
        <v>0</v>
      </c>
      <c r="BU129" s="52">
        <f t="shared" si="29"/>
        <v>0</v>
      </c>
      <c r="BV129" s="1">
        <f t="shared" si="30"/>
        <v>0</v>
      </c>
      <c r="BW129">
        <f t="shared" si="31"/>
        <v>0</v>
      </c>
      <c r="BX129">
        <f t="shared" si="32"/>
        <v>0</v>
      </c>
    </row>
    <row r="130" spans="58:76" x14ac:dyDescent="0.2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52">
        <f t="shared" ref="BH130:BI161" si="34">VALUE(T130)</f>
        <v>0</v>
      </c>
      <c r="BI130" s="1">
        <f t="shared" si="34"/>
        <v>0</v>
      </c>
      <c r="BJ130" s="1">
        <f t="shared" ref="BJ130:BJ185" si="35">IFERROR(_xlfn.NUMBERVALUE(V130),V130)</f>
        <v>0</v>
      </c>
      <c r="BK130" s="1">
        <f t="shared" si="25"/>
        <v>0</v>
      </c>
      <c r="BL130" s="1">
        <f t="shared" ref="BL130:BL185" si="36">L130</f>
        <v>0</v>
      </c>
      <c r="BM130" s="10" t="str">
        <f t="shared" ref="BM130:BM185" si="37">SUBSTITUTE(J130,"/",".")</f>
        <v/>
      </c>
      <c r="BN130" s="52">
        <f t="shared" si="26"/>
        <v>0</v>
      </c>
      <c r="BO130" s="52">
        <f t="shared" si="27"/>
        <v>0</v>
      </c>
      <c r="BP130" s="1">
        <f t="shared" ref="BP130:BP185" si="38">VALUE(D130)</f>
        <v>0</v>
      </c>
      <c r="BQ130" s="1">
        <f t="shared" ref="BQ130:BQ185" si="39">G130</f>
        <v>0</v>
      </c>
      <c r="BR130" s="1" t="str">
        <f t="shared" ref="BR130:BR185" si="40">SUBSTITUTE(O130,".","")</f>
        <v/>
      </c>
      <c r="BS130" s="1">
        <f t="shared" ref="BS130:BS185" si="41">S130</f>
        <v>0</v>
      </c>
      <c r="BT130" s="4">
        <f t="shared" si="28"/>
        <v>0</v>
      </c>
      <c r="BU130" s="52">
        <f t="shared" si="29"/>
        <v>0</v>
      </c>
      <c r="BV130" s="1">
        <f t="shared" si="30"/>
        <v>0</v>
      </c>
      <c r="BW130">
        <f t="shared" si="31"/>
        <v>0</v>
      </c>
      <c r="BX130">
        <f t="shared" si="32"/>
        <v>0</v>
      </c>
    </row>
    <row r="131" spans="58:76" x14ac:dyDescent="0.2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52">
        <f t="shared" si="34"/>
        <v>0</v>
      </c>
      <c r="BI131" s="1">
        <f t="shared" si="34"/>
        <v>0</v>
      </c>
      <c r="BJ131" s="1">
        <f t="shared" si="35"/>
        <v>0</v>
      </c>
      <c r="BK131" s="1">
        <f t="shared" ref="BK131:BK185" si="42">IFERROR(INT(I131),I131)</f>
        <v>0</v>
      </c>
      <c r="BL131" s="1">
        <f t="shared" si="36"/>
        <v>0</v>
      </c>
      <c r="BM131" s="10" t="str">
        <f t="shared" si="37"/>
        <v/>
      </c>
      <c r="BN131" s="52">
        <f t="shared" ref="BN131:BN185" si="43">VALUE(Q131)*1000</f>
        <v>0</v>
      </c>
      <c r="BO131" s="52">
        <f t="shared" ref="BO131:BO185" si="44">VALUE(P131)/1000</f>
        <v>0</v>
      </c>
      <c r="BP131" s="1">
        <f t="shared" si="38"/>
        <v>0</v>
      </c>
      <c r="BQ131" s="1">
        <f t="shared" si="39"/>
        <v>0</v>
      </c>
      <c r="BR131" s="1" t="str">
        <f t="shared" si="40"/>
        <v/>
      </c>
      <c r="BS131" s="1">
        <f t="shared" si="41"/>
        <v>0</v>
      </c>
      <c r="BT131" s="4">
        <f t="shared" ref="BT131:BT185" si="45">VALUE(AJ131)</f>
        <v>0</v>
      </c>
      <c r="BU131" s="52">
        <f t="shared" ref="BU131:BU185" si="46">K131</f>
        <v>0</v>
      </c>
      <c r="BV131" s="1">
        <f t="shared" ref="BV131:BV185" si="47">AQ131</f>
        <v>0</v>
      </c>
      <c r="BW131">
        <f t="shared" ref="BW131:BW185" si="48">X131</f>
        <v>0</v>
      </c>
      <c r="BX131">
        <f t="shared" ref="BX131:BX185" si="49">AN131</f>
        <v>0</v>
      </c>
    </row>
    <row r="132" spans="58:76" x14ac:dyDescent="0.2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52">
        <f t="shared" si="34"/>
        <v>0</v>
      </c>
      <c r="BI132" s="1">
        <f t="shared" si="34"/>
        <v>0</v>
      </c>
      <c r="BJ132" s="1">
        <f t="shared" si="35"/>
        <v>0</v>
      </c>
      <c r="BK132" s="1">
        <f t="shared" si="42"/>
        <v>0</v>
      </c>
      <c r="BL132" s="1">
        <f t="shared" si="36"/>
        <v>0</v>
      </c>
      <c r="BM132" s="10" t="str">
        <f t="shared" si="37"/>
        <v/>
      </c>
      <c r="BN132" s="52">
        <f t="shared" si="43"/>
        <v>0</v>
      </c>
      <c r="BO132" s="52">
        <f t="shared" si="44"/>
        <v>0</v>
      </c>
      <c r="BP132" s="1">
        <f t="shared" si="38"/>
        <v>0</v>
      </c>
      <c r="BQ132" s="1">
        <f t="shared" si="39"/>
        <v>0</v>
      </c>
      <c r="BR132" s="1" t="str">
        <f t="shared" si="40"/>
        <v/>
      </c>
      <c r="BS132" s="1">
        <f t="shared" si="41"/>
        <v>0</v>
      </c>
      <c r="BT132" s="4">
        <f t="shared" si="45"/>
        <v>0</v>
      </c>
      <c r="BU132" s="52">
        <f t="shared" si="46"/>
        <v>0</v>
      </c>
      <c r="BV132" s="1">
        <f t="shared" si="47"/>
        <v>0</v>
      </c>
      <c r="BW132">
        <f t="shared" si="48"/>
        <v>0</v>
      </c>
      <c r="BX132">
        <f t="shared" si="49"/>
        <v>0</v>
      </c>
    </row>
    <row r="133" spans="58:76" x14ac:dyDescent="0.2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52">
        <f t="shared" si="34"/>
        <v>0</v>
      </c>
      <c r="BI133" s="1">
        <f t="shared" si="34"/>
        <v>0</v>
      </c>
      <c r="BJ133" s="1">
        <f t="shared" si="35"/>
        <v>0</v>
      </c>
      <c r="BK133" s="1">
        <f t="shared" si="42"/>
        <v>0</v>
      </c>
      <c r="BL133" s="1">
        <f t="shared" si="36"/>
        <v>0</v>
      </c>
      <c r="BM133" s="10" t="str">
        <f t="shared" si="37"/>
        <v/>
      </c>
      <c r="BN133" s="52">
        <f t="shared" si="43"/>
        <v>0</v>
      </c>
      <c r="BO133" s="52">
        <f t="shared" si="44"/>
        <v>0</v>
      </c>
      <c r="BP133" s="1">
        <f t="shared" si="38"/>
        <v>0</v>
      </c>
      <c r="BQ133" s="1">
        <f t="shared" si="39"/>
        <v>0</v>
      </c>
      <c r="BR133" s="1" t="str">
        <f t="shared" si="40"/>
        <v/>
      </c>
      <c r="BS133" s="1">
        <f t="shared" si="41"/>
        <v>0</v>
      </c>
      <c r="BT133" s="4">
        <f t="shared" si="45"/>
        <v>0</v>
      </c>
      <c r="BU133" s="52">
        <f t="shared" si="46"/>
        <v>0</v>
      </c>
      <c r="BV133" s="1">
        <f t="shared" si="47"/>
        <v>0</v>
      </c>
      <c r="BW133">
        <f t="shared" si="48"/>
        <v>0</v>
      </c>
      <c r="BX133">
        <f t="shared" si="49"/>
        <v>0</v>
      </c>
    </row>
    <row r="134" spans="58:76" x14ac:dyDescent="0.2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52">
        <f t="shared" si="34"/>
        <v>0</v>
      </c>
      <c r="BI134" s="1">
        <f t="shared" si="34"/>
        <v>0</v>
      </c>
      <c r="BJ134" s="1">
        <f t="shared" si="35"/>
        <v>0</v>
      </c>
      <c r="BK134" s="1">
        <f t="shared" si="42"/>
        <v>0</v>
      </c>
      <c r="BL134" s="1">
        <f t="shared" si="36"/>
        <v>0</v>
      </c>
      <c r="BM134" s="10" t="str">
        <f t="shared" si="37"/>
        <v/>
      </c>
      <c r="BN134" s="52">
        <f t="shared" si="43"/>
        <v>0</v>
      </c>
      <c r="BO134" s="52">
        <f t="shared" si="44"/>
        <v>0</v>
      </c>
      <c r="BP134" s="1">
        <f t="shared" si="38"/>
        <v>0</v>
      </c>
      <c r="BQ134" s="1">
        <f t="shared" si="39"/>
        <v>0</v>
      </c>
      <c r="BR134" s="1" t="str">
        <f t="shared" si="40"/>
        <v/>
      </c>
      <c r="BS134" s="1">
        <f t="shared" si="41"/>
        <v>0</v>
      </c>
      <c r="BT134" s="4">
        <f t="shared" si="45"/>
        <v>0</v>
      </c>
      <c r="BU134" s="52">
        <f t="shared" si="46"/>
        <v>0</v>
      </c>
      <c r="BV134" s="1">
        <f t="shared" si="47"/>
        <v>0</v>
      </c>
      <c r="BW134">
        <f t="shared" si="48"/>
        <v>0</v>
      </c>
      <c r="BX134">
        <f t="shared" si="49"/>
        <v>0</v>
      </c>
    </row>
    <row r="135" spans="58:76" x14ac:dyDescent="0.2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52">
        <f t="shared" si="34"/>
        <v>0</v>
      </c>
      <c r="BI135" s="1">
        <f t="shared" si="34"/>
        <v>0</v>
      </c>
      <c r="BJ135" s="1">
        <f t="shared" si="35"/>
        <v>0</v>
      </c>
      <c r="BK135" s="1">
        <f t="shared" si="42"/>
        <v>0</v>
      </c>
      <c r="BL135" s="1">
        <f t="shared" si="36"/>
        <v>0</v>
      </c>
      <c r="BM135" s="10" t="str">
        <f t="shared" si="37"/>
        <v/>
      </c>
      <c r="BN135" s="52">
        <f t="shared" si="43"/>
        <v>0</v>
      </c>
      <c r="BO135" s="52">
        <f t="shared" si="44"/>
        <v>0</v>
      </c>
      <c r="BP135" s="1">
        <f t="shared" si="38"/>
        <v>0</v>
      </c>
      <c r="BQ135" s="1">
        <f t="shared" si="39"/>
        <v>0</v>
      </c>
      <c r="BR135" s="1" t="str">
        <f t="shared" si="40"/>
        <v/>
      </c>
      <c r="BS135" s="1">
        <f t="shared" si="41"/>
        <v>0</v>
      </c>
      <c r="BT135" s="4">
        <f t="shared" si="45"/>
        <v>0</v>
      </c>
      <c r="BU135" s="52">
        <f t="shared" si="46"/>
        <v>0</v>
      </c>
      <c r="BV135" s="1">
        <f t="shared" si="47"/>
        <v>0</v>
      </c>
      <c r="BW135">
        <f t="shared" si="48"/>
        <v>0</v>
      </c>
      <c r="BX135">
        <f t="shared" si="49"/>
        <v>0</v>
      </c>
    </row>
    <row r="136" spans="58:76" x14ac:dyDescent="0.2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52">
        <f t="shared" si="34"/>
        <v>0</v>
      </c>
      <c r="BI136" s="1">
        <f t="shared" si="34"/>
        <v>0</v>
      </c>
      <c r="BJ136" s="1">
        <f t="shared" si="35"/>
        <v>0</v>
      </c>
      <c r="BK136" s="1">
        <f t="shared" si="42"/>
        <v>0</v>
      </c>
      <c r="BL136" s="1">
        <f t="shared" si="36"/>
        <v>0</v>
      </c>
      <c r="BM136" s="10" t="str">
        <f t="shared" si="37"/>
        <v/>
      </c>
      <c r="BN136" s="52">
        <f t="shared" si="43"/>
        <v>0</v>
      </c>
      <c r="BO136" s="52">
        <f t="shared" si="44"/>
        <v>0</v>
      </c>
      <c r="BP136" s="1">
        <f t="shared" si="38"/>
        <v>0</v>
      </c>
      <c r="BQ136" s="1">
        <f t="shared" si="39"/>
        <v>0</v>
      </c>
      <c r="BR136" s="1" t="str">
        <f t="shared" si="40"/>
        <v/>
      </c>
      <c r="BS136" s="1">
        <f t="shared" si="41"/>
        <v>0</v>
      </c>
      <c r="BT136" s="4">
        <f t="shared" si="45"/>
        <v>0</v>
      </c>
      <c r="BU136" s="52">
        <f t="shared" si="46"/>
        <v>0</v>
      </c>
      <c r="BV136" s="1">
        <f t="shared" si="47"/>
        <v>0</v>
      </c>
      <c r="BW136">
        <f t="shared" si="48"/>
        <v>0</v>
      </c>
      <c r="BX136">
        <f t="shared" si="49"/>
        <v>0</v>
      </c>
    </row>
    <row r="137" spans="58:76" x14ac:dyDescent="0.2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52">
        <f t="shared" si="34"/>
        <v>0</v>
      </c>
      <c r="BI137" s="1">
        <f t="shared" si="34"/>
        <v>0</v>
      </c>
      <c r="BJ137" s="1">
        <f t="shared" si="35"/>
        <v>0</v>
      </c>
      <c r="BK137" s="1">
        <f t="shared" si="42"/>
        <v>0</v>
      </c>
      <c r="BL137" s="1">
        <f t="shared" si="36"/>
        <v>0</v>
      </c>
      <c r="BM137" s="10" t="str">
        <f t="shared" si="37"/>
        <v/>
      </c>
      <c r="BN137" s="52">
        <f t="shared" si="43"/>
        <v>0</v>
      </c>
      <c r="BO137" s="52">
        <f t="shared" si="44"/>
        <v>0</v>
      </c>
      <c r="BP137" s="1">
        <f t="shared" si="38"/>
        <v>0</v>
      </c>
      <c r="BQ137" s="1">
        <f t="shared" si="39"/>
        <v>0</v>
      </c>
      <c r="BR137" s="1" t="str">
        <f t="shared" si="40"/>
        <v/>
      </c>
      <c r="BS137" s="1">
        <f t="shared" si="41"/>
        <v>0</v>
      </c>
      <c r="BT137" s="4">
        <f t="shared" si="45"/>
        <v>0</v>
      </c>
      <c r="BU137" s="52">
        <f t="shared" si="46"/>
        <v>0</v>
      </c>
      <c r="BV137" s="1">
        <f t="shared" si="47"/>
        <v>0</v>
      </c>
      <c r="BW137">
        <f t="shared" si="48"/>
        <v>0</v>
      </c>
      <c r="BX137">
        <f t="shared" si="49"/>
        <v>0</v>
      </c>
    </row>
    <row r="138" spans="58:76" x14ac:dyDescent="0.2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52">
        <f t="shared" si="34"/>
        <v>0</v>
      </c>
      <c r="BI138" s="1">
        <f t="shared" si="34"/>
        <v>0</v>
      </c>
      <c r="BJ138" s="1">
        <f t="shared" si="35"/>
        <v>0</v>
      </c>
      <c r="BK138" s="1">
        <f t="shared" si="42"/>
        <v>0</v>
      </c>
      <c r="BL138" s="1">
        <f t="shared" si="36"/>
        <v>0</v>
      </c>
      <c r="BM138" s="10" t="str">
        <f t="shared" si="37"/>
        <v/>
      </c>
      <c r="BN138" s="52">
        <f t="shared" si="43"/>
        <v>0</v>
      </c>
      <c r="BO138" s="52">
        <f t="shared" si="44"/>
        <v>0</v>
      </c>
      <c r="BP138" s="1">
        <f t="shared" si="38"/>
        <v>0</v>
      </c>
      <c r="BQ138" s="1">
        <f t="shared" si="39"/>
        <v>0</v>
      </c>
      <c r="BR138" s="1" t="str">
        <f t="shared" si="40"/>
        <v/>
      </c>
      <c r="BS138" s="1">
        <f t="shared" si="41"/>
        <v>0</v>
      </c>
      <c r="BT138" s="4">
        <f t="shared" si="45"/>
        <v>0</v>
      </c>
      <c r="BU138" s="52">
        <f t="shared" si="46"/>
        <v>0</v>
      </c>
      <c r="BV138" s="1">
        <f t="shared" si="47"/>
        <v>0</v>
      </c>
      <c r="BW138">
        <f t="shared" si="48"/>
        <v>0</v>
      </c>
      <c r="BX138">
        <f t="shared" si="49"/>
        <v>0</v>
      </c>
    </row>
    <row r="139" spans="58:76" x14ac:dyDescent="0.2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52">
        <f t="shared" si="34"/>
        <v>0</v>
      </c>
      <c r="BI139" s="1">
        <f t="shared" si="34"/>
        <v>0</v>
      </c>
      <c r="BJ139" s="1">
        <f t="shared" si="35"/>
        <v>0</v>
      </c>
      <c r="BK139" s="1">
        <f t="shared" si="42"/>
        <v>0</v>
      </c>
      <c r="BL139" s="1">
        <f t="shared" si="36"/>
        <v>0</v>
      </c>
      <c r="BM139" s="10" t="str">
        <f t="shared" si="37"/>
        <v/>
      </c>
      <c r="BN139" s="52">
        <f t="shared" si="43"/>
        <v>0</v>
      </c>
      <c r="BO139" s="52">
        <f t="shared" si="44"/>
        <v>0</v>
      </c>
      <c r="BP139" s="1">
        <f t="shared" si="38"/>
        <v>0</v>
      </c>
      <c r="BQ139" s="1">
        <f t="shared" si="39"/>
        <v>0</v>
      </c>
      <c r="BR139" s="1" t="str">
        <f t="shared" si="40"/>
        <v/>
      </c>
      <c r="BS139" s="1">
        <f t="shared" si="41"/>
        <v>0</v>
      </c>
      <c r="BT139" s="4">
        <f t="shared" si="45"/>
        <v>0</v>
      </c>
      <c r="BU139" s="52">
        <f t="shared" si="46"/>
        <v>0</v>
      </c>
      <c r="BV139" s="1">
        <f t="shared" si="47"/>
        <v>0</v>
      </c>
      <c r="BW139">
        <f t="shared" si="48"/>
        <v>0</v>
      </c>
      <c r="BX139">
        <f t="shared" si="49"/>
        <v>0</v>
      </c>
    </row>
    <row r="140" spans="58:76" x14ac:dyDescent="0.2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52">
        <f t="shared" si="34"/>
        <v>0</v>
      </c>
      <c r="BI140" s="1">
        <f t="shared" si="34"/>
        <v>0</v>
      </c>
      <c r="BJ140" s="1">
        <f t="shared" si="35"/>
        <v>0</v>
      </c>
      <c r="BK140" s="1">
        <f t="shared" si="42"/>
        <v>0</v>
      </c>
      <c r="BL140" s="1">
        <f t="shared" si="36"/>
        <v>0</v>
      </c>
      <c r="BM140" s="10" t="str">
        <f t="shared" si="37"/>
        <v/>
      </c>
      <c r="BN140" s="52">
        <f t="shared" si="43"/>
        <v>0</v>
      </c>
      <c r="BO140" s="52">
        <f t="shared" si="44"/>
        <v>0</v>
      </c>
      <c r="BP140" s="1">
        <f t="shared" si="38"/>
        <v>0</v>
      </c>
      <c r="BQ140" s="1">
        <f t="shared" si="39"/>
        <v>0</v>
      </c>
      <c r="BR140" s="1" t="str">
        <f t="shared" si="40"/>
        <v/>
      </c>
      <c r="BS140" s="1">
        <f t="shared" si="41"/>
        <v>0</v>
      </c>
      <c r="BT140" s="4">
        <f t="shared" si="45"/>
        <v>0</v>
      </c>
      <c r="BU140" s="52">
        <f t="shared" si="46"/>
        <v>0</v>
      </c>
      <c r="BV140" s="1">
        <f t="shared" si="47"/>
        <v>0</v>
      </c>
      <c r="BW140">
        <f t="shared" si="48"/>
        <v>0</v>
      </c>
      <c r="BX140">
        <f t="shared" si="49"/>
        <v>0</v>
      </c>
    </row>
    <row r="141" spans="58:76" x14ac:dyDescent="0.2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52">
        <f t="shared" si="34"/>
        <v>0</v>
      </c>
      <c r="BI141" s="1">
        <f t="shared" si="34"/>
        <v>0</v>
      </c>
      <c r="BJ141" s="1">
        <f t="shared" si="35"/>
        <v>0</v>
      </c>
      <c r="BK141" s="1">
        <f t="shared" si="42"/>
        <v>0</v>
      </c>
      <c r="BL141" s="1">
        <f t="shared" si="36"/>
        <v>0</v>
      </c>
      <c r="BM141" s="10" t="str">
        <f t="shared" si="37"/>
        <v/>
      </c>
      <c r="BN141" s="52">
        <f t="shared" si="43"/>
        <v>0</v>
      </c>
      <c r="BO141" s="52">
        <f t="shared" si="44"/>
        <v>0</v>
      </c>
      <c r="BP141" s="1">
        <f t="shared" si="38"/>
        <v>0</v>
      </c>
      <c r="BQ141" s="1">
        <f t="shared" si="39"/>
        <v>0</v>
      </c>
      <c r="BR141" s="1" t="str">
        <f t="shared" si="40"/>
        <v/>
      </c>
      <c r="BS141" s="1">
        <f t="shared" si="41"/>
        <v>0</v>
      </c>
      <c r="BT141" s="4">
        <f t="shared" si="45"/>
        <v>0</v>
      </c>
      <c r="BU141" s="52">
        <f t="shared" si="46"/>
        <v>0</v>
      </c>
      <c r="BV141" s="1">
        <f t="shared" si="47"/>
        <v>0</v>
      </c>
      <c r="BW141">
        <f t="shared" si="48"/>
        <v>0</v>
      </c>
      <c r="BX141">
        <f t="shared" si="49"/>
        <v>0</v>
      </c>
    </row>
    <row r="142" spans="58:76" x14ac:dyDescent="0.2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52">
        <f t="shared" si="34"/>
        <v>0</v>
      </c>
      <c r="BI142" s="1">
        <f t="shared" si="34"/>
        <v>0</v>
      </c>
      <c r="BJ142" s="1">
        <f t="shared" si="35"/>
        <v>0</v>
      </c>
      <c r="BK142" s="1">
        <f t="shared" si="42"/>
        <v>0</v>
      </c>
      <c r="BL142" s="1">
        <f t="shared" si="36"/>
        <v>0</v>
      </c>
      <c r="BM142" s="10" t="str">
        <f t="shared" si="37"/>
        <v/>
      </c>
      <c r="BN142" s="52">
        <f t="shared" si="43"/>
        <v>0</v>
      </c>
      <c r="BO142" s="52">
        <f t="shared" si="44"/>
        <v>0</v>
      </c>
      <c r="BP142" s="1">
        <f t="shared" si="38"/>
        <v>0</v>
      </c>
      <c r="BQ142" s="1">
        <f t="shared" si="39"/>
        <v>0</v>
      </c>
      <c r="BR142" s="1" t="str">
        <f t="shared" si="40"/>
        <v/>
      </c>
      <c r="BS142" s="1">
        <f t="shared" si="41"/>
        <v>0</v>
      </c>
      <c r="BT142" s="4">
        <f t="shared" si="45"/>
        <v>0</v>
      </c>
      <c r="BU142" s="52">
        <f t="shared" si="46"/>
        <v>0</v>
      </c>
      <c r="BV142" s="1">
        <f t="shared" si="47"/>
        <v>0</v>
      </c>
      <c r="BW142">
        <f t="shared" si="48"/>
        <v>0</v>
      </c>
      <c r="BX142">
        <f t="shared" si="49"/>
        <v>0</v>
      </c>
    </row>
    <row r="143" spans="58:76" x14ac:dyDescent="0.2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52">
        <f t="shared" si="34"/>
        <v>0</v>
      </c>
      <c r="BI143" s="1">
        <f t="shared" si="34"/>
        <v>0</v>
      </c>
      <c r="BJ143" s="1">
        <f t="shared" si="35"/>
        <v>0</v>
      </c>
      <c r="BK143" s="1">
        <f t="shared" si="42"/>
        <v>0</v>
      </c>
      <c r="BL143" s="1">
        <f t="shared" si="36"/>
        <v>0</v>
      </c>
      <c r="BM143" s="10" t="str">
        <f t="shared" si="37"/>
        <v/>
      </c>
      <c r="BN143" s="52">
        <f t="shared" si="43"/>
        <v>0</v>
      </c>
      <c r="BO143" s="52">
        <f t="shared" si="44"/>
        <v>0</v>
      </c>
      <c r="BP143" s="1">
        <f t="shared" si="38"/>
        <v>0</v>
      </c>
      <c r="BQ143" s="1">
        <f t="shared" si="39"/>
        <v>0</v>
      </c>
      <c r="BR143" s="1" t="str">
        <f t="shared" si="40"/>
        <v/>
      </c>
      <c r="BS143" s="1">
        <f t="shared" si="41"/>
        <v>0</v>
      </c>
      <c r="BT143" s="4">
        <f t="shared" si="45"/>
        <v>0</v>
      </c>
      <c r="BU143" s="52">
        <f t="shared" si="46"/>
        <v>0</v>
      </c>
      <c r="BV143" s="1">
        <f t="shared" si="47"/>
        <v>0</v>
      </c>
      <c r="BW143">
        <f t="shared" si="48"/>
        <v>0</v>
      </c>
      <c r="BX143">
        <f t="shared" si="49"/>
        <v>0</v>
      </c>
    </row>
    <row r="144" spans="58:76" x14ac:dyDescent="0.2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52">
        <f t="shared" si="34"/>
        <v>0</v>
      </c>
      <c r="BI144" s="1">
        <f t="shared" si="34"/>
        <v>0</v>
      </c>
      <c r="BJ144" s="1">
        <f t="shared" si="35"/>
        <v>0</v>
      </c>
      <c r="BK144" s="1">
        <f t="shared" si="42"/>
        <v>0</v>
      </c>
      <c r="BL144" s="1">
        <f t="shared" si="36"/>
        <v>0</v>
      </c>
      <c r="BM144" s="10" t="str">
        <f t="shared" si="37"/>
        <v/>
      </c>
      <c r="BN144" s="52">
        <f t="shared" si="43"/>
        <v>0</v>
      </c>
      <c r="BO144" s="52">
        <f t="shared" si="44"/>
        <v>0</v>
      </c>
      <c r="BP144" s="1">
        <f t="shared" si="38"/>
        <v>0</v>
      </c>
      <c r="BQ144" s="1">
        <f t="shared" si="39"/>
        <v>0</v>
      </c>
      <c r="BR144" s="1" t="str">
        <f t="shared" si="40"/>
        <v/>
      </c>
      <c r="BS144" s="1">
        <f t="shared" si="41"/>
        <v>0</v>
      </c>
      <c r="BT144" s="4">
        <f t="shared" si="45"/>
        <v>0</v>
      </c>
      <c r="BU144" s="52">
        <f t="shared" si="46"/>
        <v>0</v>
      </c>
      <c r="BV144" s="1">
        <f t="shared" si="47"/>
        <v>0</v>
      </c>
      <c r="BW144">
        <f t="shared" si="48"/>
        <v>0</v>
      </c>
      <c r="BX144">
        <f t="shared" si="49"/>
        <v>0</v>
      </c>
    </row>
    <row r="145" spans="58:76" x14ac:dyDescent="0.2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52">
        <f t="shared" si="34"/>
        <v>0</v>
      </c>
      <c r="BI145" s="1">
        <f t="shared" si="34"/>
        <v>0</v>
      </c>
      <c r="BJ145" s="1">
        <f t="shared" si="35"/>
        <v>0</v>
      </c>
      <c r="BK145" s="1">
        <f t="shared" si="42"/>
        <v>0</v>
      </c>
      <c r="BL145" s="1">
        <f t="shared" si="36"/>
        <v>0</v>
      </c>
      <c r="BM145" s="10" t="str">
        <f t="shared" si="37"/>
        <v/>
      </c>
      <c r="BN145" s="52">
        <f t="shared" si="43"/>
        <v>0</v>
      </c>
      <c r="BO145" s="52">
        <f t="shared" si="44"/>
        <v>0</v>
      </c>
      <c r="BP145" s="1">
        <f t="shared" si="38"/>
        <v>0</v>
      </c>
      <c r="BQ145" s="1">
        <f t="shared" si="39"/>
        <v>0</v>
      </c>
      <c r="BR145" s="1" t="str">
        <f t="shared" si="40"/>
        <v/>
      </c>
      <c r="BS145" s="1">
        <f t="shared" si="41"/>
        <v>0</v>
      </c>
      <c r="BT145" s="4">
        <f t="shared" si="45"/>
        <v>0</v>
      </c>
      <c r="BU145" s="52">
        <f t="shared" si="46"/>
        <v>0</v>
      </c>
      <c r="BV145" s="1">
        <f t="shared" si="47"/>
        <v>0</v>
      </c>
      <c r="BW145">
        <f t="shared" si="48"/>
        <v>0</v>
      </c>
      <c r="BX145">
        <f t="shared" si="49"/>
        <v>0</v>
      </c>
    </row>
    <row r="146" spans="58:76" x14ac:dyDescent="0.2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52">
        <f t="shared" si="34"/>
        <v>0</v>
      </c>
      <c r="BI146" s="1">
        <f t="shared" si="34"/>
        <v>0</v>
      </c>
      <c r="BJ146" s="1">
        <f t="shared" si="35"/>
        <v>0</v>
      </c>
      <c r="BK146" s="1">
        <f t="shared" si="42"/>
        <v>0</v>
      </c>
      <c r="BL146" s="1">
        <f t="shared" si="36"/>
        <v>0</v>
      </c>
      <c r="BM146" s="10" t="str">
        <f t="shared" si="37"/>
        <v/>
      </c>
      <c r="BN146" s="52">
        <f t="shared" si="43"/>
        <v>0</v>
      </c>
      <c r="BO146" s="52">
        <f t="shared" si="44"/>
        <v>0</v>
      </c>
      <c r="BP146" s="1">
        <f t="shared" si="38"/>
        <v>0</v>
      </c>
      <c r="BQ146" s="1">
        <f t="shared" si="39"/>
        <v>0</v>
      </c>
      <c r="BR146" s="1" t="str">
        <f t="shared" si="40"/>
        <v/>
      </c>
      <c r="BS146" s="1">
        <f t="shared" si="41"/>
        <v>0</v>
      </c>
      <c r="BT146" s="4">
        <f t="shared" si="45"/>
        <v>0</v>
      </c>
      <c r="BU146" s="52">
        <f t="shared" si="46"/>
        <v>0</v>
      </c>
      <c r="BV146" s="1">
        <f t="shared" si="47"/>
        <v>0</v>
      </c>
      <c r="BW146">
        <f t="shared" si="48"/>
        <v>0</v>
      </c>
      <c r="BX146">
        <f t="shared" si="49"/>
        <v>0</v>
      </c>
    </row>
    <row r="147" spans="58:76" x14ac:dyDescent="0.2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52">
        <f t="shared" si="34"/>
        <v>0</v>
      </c>
      <c r="BI147" s="1">
        <f t="shared" si="34"/>
        <v>0</v>
      </c>
      <c r="BJ147" s="1">
        <f t="shared" si="35"/>
        <v>0</v>
      </c>
      <c r="BK147" s="1">
        <f t="shared" si="42"/>
        <v>0</v>
      </c>
      <c r="BL147" s="1">
        <f t="shared" si="36"/>
        <v>0</v>
      </c>
      <c r="BM147" s="10" t="str">
        <f t="shared" si="37"/>
        <v/>
      </c>
      <c r="BN147" s="52">
        <f t="shared" si="43"/>
        <v>0</v>
      </c>
      <c r="BO147" s="52">
        <f t="shared" si="44"/>
        <v>0</v>
      </c>
      <c r="BP147" s="1">
        <f t="shared" si="38"/>
        <v>0</v>
      </c>
      <c r="BQ147" s="1">
        <f t="shared" si="39"/>
        <v>0</v>
      </c>
      <c r="BR147" s="1" t="str">
        <f t="shared" si="40"/>
        <v/>
      </c>
      <c r="BS147" s="1">
        <f t="shared" si="41"/>
        <v>0</v>
      </c>
      <c r="BT147" s="4">
        <f t="shared" si="45"/>
        <v>0</v>
      </c>
      <c r="BU147" s="52">
        <f t="shared" si="46"/>
        <v>0</v>
      </c>
      <c r="BV147" s="1">
        <f t="shared" si="47"/>
        <v>0</v>
      </c>
      <c r="BW147">
        <f t="shared" si="48"/>
        <v>0</v>
      </c>
      <c r="BX147">
        <f t="shared" si="49"/>
        <v>0</v>
      </c>
    </row>
    <row r="148" spans="58:76" x14ac:dyDescent="0.2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52">
        <f t="shared" si="34"/>
        <v>0</v>
      </c>
      <c r="BI148" s="1">
        <f t="shared" si="34"/>
        <v>0</v>
      </c>
      <c r="BJ148" s="1">
        <f t="shared" si="35"/>
        <v>0</v>
      </c>
      <c r="BK148" s="1">
        <f t="shared" si="42"/>
        <v>0</v>
      </c>
      <c r="BL148" s="1">
        <f t="shared" si="36"/>
        <v>0</v>
      </c>
      <c r="BM148" s="10" t="str">
        <f t="shared" si="37"/>
        <v/>
      </c>
      <c r="BN148" s="52">
        <f t="shared" si="43"/>
        <v>0</v>
      </c>
      <c r="BO148" s="52">
        <f t="shared" si="44"/>
        <v>0</v>
      </c>
      <c r="BP148" s="1">
        <f t="shared" si="38"/>
        <v>0</v>
      </c>
      <c r="BQ148" s="1">
        <f t="shared" si="39"/>
        <v>0</v>
      </c>
      <c r="BR148" s="1" t="str">
        <f t="shared" si="40"/>
        <v/>
      </c>
      <c r="BS148" s="1">
        <f t="shared" si="41"/>
        <v>0</v>
      </c>
      <c r="BT148" s="4">
        <f t="shared" si="45"/>
        <v>0</v>
      </c>
      <c r="BU148" s="52">
        <f t="shared" si="46"/>
        <v>0</v>
      </c>
      <c r="BV148" s="1">
        <f t="shared" si="47"/>
        <v>0</v>
      </c>
      <c r="BW148">
        <f t="shared" si="48"/>
        <v>0</v>
      </c>
      <c r="BX148">
        <f t="shared" si="49"/>
        <v>0</v>
      </c>
    </row>
    <row r="149" spans="58:76" x14ac:dyDescent="0.2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52">
        <f t="shared" si="34"/>
        <v>0</v>
      </c>
      <c r="BI149" s="1">
        <f t="shared" si="34"/>
        <v>0</v>
      </c>
      <c r="BJ149" s="1">
        <f t="shared" si="35"/>
        <v>0</v>
      </c>
      <c r="BK149" s="1">
        <f t="shared" si="42"/>
        <v>0</v>
      </c>
      <c r="BL149" s="1">
        <f t="shared" si="36"/>
        <v>0</v>
      </c>
      <c r="BM149" s="10" t="str">
        <f t="shared" si="37"/>
        <v/>
      </c>
      <c r="BN149" s="52">
        <f t="shared" si="43"/>
        <v>0</v>
      </c>
      <c r="BO149" s="52">
        <f t="shared" si="44"/>
        <v>0</v>
      </c>
      <c r="BP149" s="1">
        <f t="shared" si="38"/>
        <v>0</v>
      </c>
      <c r="BQ149" s="1">
        <f t="shared" si="39"/>
        <v>0</v>
      </c>
      <c r="BR149" s="1" t="str">
        <f t="shared" si="40"/>
        <v/>
      </c>
      <c r="BS149" s="1">
        <f t="shared" si="41"/>
        <v>0</v>
      </c>
      <c r="BT149" s="4">
        <f t="shared" si="45"/>
        <v>0</v>
      </c>
      <c r="BU149" s="52">
        <f t="shared" si="46"/>
        <v>0</v>
      </c>
      <c r="BV149" s="1">
        <f t="shared" si="47"/>
        <v>0</v>
      </c>
      <c r="BW149">
        <f t="shared" si="48"/>
        <v>0</v>
      </c>
      <c r="BX149">
        <f t="shared" si="49"/>
        <v>0</v>
      </c>
    </row>
    <row r="150" spans="58:76" x14ac:dyDescent="0.2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52">
        <f t="shared" si="34"/>
        <v>0</v>
      </c>
      <c r="BI150" s="1">
        <f t="shared" si="34"/>
        <v>0</v>
      </c>
      <c r="BJ150" s="1">
        <f t="shared" si="35"/>
        <v>0</v>
      </c>
      <c r="BK150" s="1">
        <f t="shared" si="42"/>
        <v>0</v>
      </c>
      <c r="BL150" s="1">
        <f t="shared" si="36"/>
        <v>0</v>
      </c>
      <c r="BM150" s="10" t="str">
        <f t="shared" si="37"/>
        <v/>
      </c>
      <c r="BN150" s="52">
        <f t="shared" si="43"/>
        <v>0</v>
      </c>
      <c r="BO150" s="52">
        <f t="shared" si="44"/>
        <v>0</v>
      </c>
      <c r="BP150" s="1">
        <f t="shared" si="38"/>
        <v>0</v>
      </c>
      <c r="BQ150" s="1">
        <f t="shared" si="39"/>
        <v>0</v>
      </c>
      <c r="BR150" s="1" t="str">
        <f t="shared" si="40"/>
        <v/>
      </c>
      <c r="BS150" s="1">
        <f t="shared" si="41"/>
        <v>0</v>
      </c>
      <c r="BT150" s="4">
        <f t="shared" si="45"/>
        <v>0</v>
      </c>
      <c r="BU150" s="52">
        <f t="shared" si="46"/>
        <v>0</v>
      </c>
      <c r="BV150" s="1">
        <f t="shared" si="47"/>
        <v>0</v>
      </c>
      <c r="BW150">
        <f t="shared" si="48"/>
        <v>0</v>
      </c>
      <c r="BX150">
        <f t="shared" si="49"/>
        <v>0</v>
      </c>
    </row>
    <row r="151" spans="58:76" x14ac:dyDescent="0.2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52">
        <f t="shared" si="34"/>
        <v>0</v>
      </c>
      <c r="BI151" s="1">
        <f t="shared" si="34"/>
        <v>0</v>
      </c>
      <c r="BJ151" s="1">
        <f t="shared" si="35"/>
        <v>0</v>
      </c>
      <c r="BK151" s="1">
        <f t="shared" si="42"/>
        <v>0</v>
      </c>
      <c r="BL151" s="1">
        <f t="shared" si="36"/>
        <v>0</v>
      </c>
      <c r="BM151" s="10" t="str">
        <f t="shared" si="37"/>
        <v/>
      </c>
      <c r="BN151" s="52">
        <f t="shared" si="43"/>
        <v>0</v>
      </c>
      <c r="BO151" s="52">
        <f t="shared" si="44"/>
        <v>0</v>
      </c>
      <c r="BP151" s="1">
        <f t="shared" si="38"/>
        <v>0</v>
      </c>
      <c r="BQ151" s="1">
        <f t="shared" si="39"/>
        <v>0</v>
      </c>
      <c r="BR151" s="1" t="str">
        <f t="shared" si="40"/>
        <v/>
      </c>
      <c r="BS151" s="1">
        <f t="shared" si="41"/>
        <v>0</v>
      </c>
      <c r="BT151" s="4">
        <f t="shared" si="45"/>
        <v>0</v>
      </c>
      <c r="BU151" s="52">
        <f t="shared" si="46"/>
        <v>0</v>
      </c>
      <c r="BV151" s="1">
        <f t="shared" si="47"/>
        <v>0</v>
      </c>
      <c r="BW151">
        <f t="shared" si="48"/>
        <v>0</v>
      </c>
      <c r="BX151">
        <f t="shared" si="49"/>
        <v>0</v>
      </c>
    </row>
    <row r="152" spans="58:76" x14ac:dyDescent="0.2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52">
        <f t="shared" si="34"/>
        <v>0</v>
      </c>
      <c r="BI152" s="1">
        <f t="shared" si="34"/>
        <v>0</v>
      </c>
      <c r="BJ152" s="1">
        <f t="shared" si="35"/>
        <v>0</v>
      </c>
      <c r="BK152" s="1">
        <f t="shared" si="42"/>
        <v>0</v>
      </c>
      <c r="BL152" s="1">
        <f t="shared" si="36"/>
        <v>0</v>
      </c>
      <c r="BM152" s="10" t="str">
        <f t="shared" si="37"/>
        <v/>
      </c>
      <c r="BN152" s="52">
        <f t="shared" si="43"/>
        <v>0</v>
      </c>
      <c r="BO152" s="52">
        <f t="shared" si="44"/>
        <v>0</v>
      </c>
      <c r="BP152" s="1">
        <f t="shared" si="38"/>
        <v>0</v>
      </c>
      <c r="BQ152" s="1">
        <f t="shared" si="39"/>
        <v>0</v>
      </c>
      <c r="BR152" s="1" t="str">
        <f t="shared" si="40"/>
        <v/>
      </c>
      <c r="BS152" s="1">
        <f t="shared" si="41"/>
        <v>0</v>
      </c>
      <c r="BT152" s="4">
        <f t="shared" si="45"/>
        <v>0</v>
      </c>
      <c r="BU152" s="52">
        <f t="shared" si="46"/>
        <v>0</v>
      </c>
      <c r="BV152" s="1">
        <f t="shared" si="47"/>
        <v>0</v>
      </c>
      <c r="BW152">
        <f t="shared" si="48"/>
        <v>0</v>
      </c>
      <c r="BX152">
        <f t="shared" si="49"/>
        <v>0</v>
      </c>
    </row>
    <row r="153" spans="58:76" x14ac:dyDescent="0.2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52">
        <f t="shared" si="34"/>
        <v>0</v>
      </c>
      <c r="BI153" s="1">
        <f t="shared" si="34"/>
        <v>0</v>
      </c>
      <c r="BJ153" s="1">
        <f t="shared" si="35"/>
        <v>0</v>
      </c>
      <c r="BK153" s="1">
        <f t="shared" si="42"/>
        <v>0</v>
      </c>
      <c r="BL153" s="1">
        <f t="shared" si="36"/>
        <v>0</v>
      </c>
      <c r="BM153" s="10" t="str">
        <f t="shared" si="37"/>
        <v/>
      </c>
      <c r="BN153" s="52">
        <f t="shared" si="43"/>
        <v>0</v>
      </c>
      <c r="BO153" s="52">
        <f t="shared" si="44"/>
        <v>0</v>
      </c>
      <c r="BP153" s="1">
        <f t="shared" si="38"/>
        <v>0</v>
      </c>
      <c r="BQ153" s="1">
        <f t="shared" si="39"/>
        <v>0</v>
      </c>
      <c r="BR153" s="1" t="str">
        <f t="shared" si="40"/>
        <v/>
      </c>
      <c r="BS153" s="1">
        <f t="shared" si="41"/>
        <v>0</v>
      </c>
      <c r="BT153" s="4">
        <f t="shared" si="45"/>
        <v>0</v>
      </c>
      <c r="BU153" s="52">
        <f t="shared" si="46"/>
        <v>0</v>
      </c>
      <c r="BV153" s="1">
        <f t="shared" si="47"/>
        <v>0</v>
      </c>
      <c r="BW153">
        <f t="shared" si="48"/>
        <v>0</v>
      </c>
      <c r="BX153">
        <f t="shared" si="49"/>
        <v>0</v>
      </c>
    </row>
    <row r="154" spans="58:76" x14ac:dyDescent="0.2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52">
        <f t="shared" si="34"/>
        <v>0</v>
      </c>
      <c r="BI154" s="1">
        <f t="shared" si="34"/>
        <v>0</v>
      </c>
      <c r="BJ154" s="1">
        <f t="shared" si="35"/>
        <v>0</v>
      </c>
      <c r="BK154" s="1">
        <f t="shared" si="42"/>
        <v>0</v>
      </c>
      <c r="BL154" s="1">
        <f t="shared" si="36"/>
        <v>0</v>
      </c>
      <c r="BM154" s="10" t="str">
        <f t="shared" si="37"/>
        <v/>
      </c>
      <c r="BN154" s="52">
        <f t="shared" si="43"/>
        <v>0</v>
      </c>
      <c r="BO154" s="52">
        <f t="shared" si="44"/>
        <v>0</v>
      </c>
      <c r="BP154" s="1">
        <f t="shared" si="38"/>
        <v>0</v>
      </c>
      <c r="BQ154" s="1">
        <f t="shared" si="39"/>
        <v>0</v>
      </c>
      <c r="BR154" s="1" t="str">
        <f t="shared" si="40"/>
        <v/>
      </c>
      <c r="BS154" s="1">
        <f t="shared" si="41"/>
        <v>0</v>
      </c>
      <c r="BT154" s="4">
        <f t="shared" si="45"/>
        <v>0</v>
      </c>
      <c r="BU154" s="52">
        <f t="shared" si="46"/>
        <v>0</v>
      </c>
      <c r="BV154" s="1">
        <f t="shared" si="47"/>
        <v>0</v>
      </c>
      <c r="BW154">
        <f t="shared" si="48"/>
        <v>0</v>
      </c>
      <c r="BX154">
        <f t="shared" si="49"/>
        <v>0</v>
      </c>
    </row>
    <row r="155" spans="58:76" x14ac:dyDescent="0.2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52">
        <f t="shared" si="34"/>
        <v>0</v>
      </c>
      <c r="BI155" s="1">
        <f t="shared" si="34"/>
        <v>0</v>
      </c>
      <c r="BJ155" s="1">
        <f t="shared" si="35"/>
        <v>0</v>
      </c>
      <c r="BK155" s="1">
        <f t="shared" si="42"/>
        <v>0</v>
      </c>
      <c r="BL155" s="1">
        <f t="shared" si="36"/>
        <v>0</v>
      </c>
      <c r="BM155" s="10" t="str">
        <f t="shared" si="37"/>
        <v/>
      </c>
      <c r="BN155" s="52">
        <f t="shared" si="43"/>
        <v>0</v>
      </c>
      <c r="BO155" s="52">
        <f t="shared" si="44"/>
        <v>0</v>
      </c>
      <c r="BP155" s="1">
        <f t="shared" si="38"/>
        <v>0</v>
      </c>
      <c r="BQ155" s="1">
        <f t="shared" si="39"/>
        <v>0</v>
      </c>
      <c r="BR155" s="1" t="str">
        <f t="shared" si="40"/>
        <v/>
      </c>
      <c r="BS155" s="1">
        <f t="shared" si="41"/>
        <v>0</v>
      </c>
      <c r="BT155" s="4">
        <f t="shared" si="45"/>
        <v>0</v>
      </c>
      <c r="BU155" s="52">
        <f t="shared" si="46"/>
        <v>0</v>
      </c>
      <c r="BV155" s="1">
        <f t="shared" si="47"/>
        <v>0</v>
      </c>
      <c r="BW155">
        <f t="shared" si="48"/>
        <v>0</v>
      </c>
      <c r="BX155">
        <f t="shared" si="49"/>
        <v>0</v>
      </c>
    </row>
    <row r="156" spans="58:76" x14ac:dyDescent="0.2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52">
        <f t="shared" si="34"/>
        <v>0</v>
      </c>
      <c r="BI156" s="1">
        <f t="shared" si="34"/>
        <v>0</v>
      </c>
      <c r="BJ156" s="1">
        <f t="shared" si="35"/>
        <v>0</v>
      </c>
      <c r="BK156" s="1">
        <f t="shared" si="42"/>
        <v>0</v>
      </c>
      <c r="BL156" s="1">
        <f t="shared" si="36"/>
        <v>0</v>
      </c>
      <c r="BM156" s="10" t="str">
        <f t="shared" si="37"/>
        <v/>
      </c>
      <c r="BN156" s="52">
        <f t="shared" si="43"/>
        <v>0</v>
      </c>
      <c r="BO156" s="52">
        <f t="shared" si="44"/>
        <v>0</v>
      </c>
      <c r="BP156" s="1">
        <f t="shared" si="38"/>
        <v>0</v>
      </c>
      <c r="BQ156" s="1">
        <f t="shared" si="39"/>
        <v>0</v>
      </c>
      <c r="BR156" s="1" t="str">
        <f t="shared" si="40"/>
        <v/>
      </c>
      <c r="BS156" s="1">
        <f t="shared" si="41"/>
        <v>0</v>
      </c>
      <c r="BT156" s="4">
        <f t="shared" si="45"/>
        <v>0</v>
      </c>
      <c r="BU156" s="52">
        <f t="shared" si="46"/>
        <v>0</v>
      </c>
      <c r="BV156" s="1">
        <f t="shared" si="47"/>
        <v>0</v>
      </c>
      <c r="BW156">
        <f t="shared" si="48"/>
        <v>0</v>
      </c>
      <c r="BX156">
        <f t="shared" si="49"/>
        <v>0</v>
      </c>
    </row>
    <row r="157" spans="58:76" x14ac:dyDescent="0.2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52">
        <f t="shared" si="34"/>
        <v>0</v>
      </c>
      <c r="BI157" s="1">
        <f t="shared" si="34"/>
        <v>0</v>
      </c>
      <c r="BJ157" s="1">
        <f t="shared" si="35"/>
        <v>0</v>
      </c>
      <c r="BK157" s="1">
        <f t="shared" si="42"/>
        <v>0</v>
      </c>
      <c r="BL157" s="1">
        <f t="shared" si="36"/>
        <v>0</v>
      </c>
      <c r="BM157" s="10" t="str">
        <f t="shared" si="37"/>
        <v/>
      </c>
      <c r="BN157" s="52">
        <f t="shared" si="43"/>
        <v>0</v>
      </c>
      <c r="BO157" s="52">
        <f t="shared" si="44"/>
        <v>0</v>
      </c>
      <c r="BP157" s="1">
        <f t="shared" si="38"/>
        <v>0</v>
      </c>
      <c r="BQ157" s="1">
        <f t="shared" si="39"/>
        <v>0</v>
      </c>
      <c r="BR157" s="1" t="str">
        <f t="shared" si="40"/>
        <v/>
      </c>
      <c r="BS157" s="1">
        <f t="shared" si="41"/>
        <v>0</v>
      </c>
      <c r="BT157" s="4">
        <f t="shared" si="45"/>
        <v>0</v>
      </c>
      <c r="BU157" s="52">
        <f t="shared" si="46"/>
        <v>0</v>
      </c>
      <c r="BV157" s="1">
        <f t="shared" si="47"/>
        <v>0</v>
      </c>
      <c r="BW157">
        <f t="shared" si="48"/>
        <v>0</v>
      </c>
      <c r="BX157">
        <f t="shared" si="49"/>
        <v>0</v>
      </c>
    </row>
    <row r="158" spans="58:76" x14ac:dyDescent="0.2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52">
        <f t="shared" si="34"/>
        <v>0</v>
      </c>
      <c r="BI158" s="1">
        <f t="shared" si="34"/>
        <v>0</v>
      </c>
      <c r="BJ158" s="1">
        <f t="shared" si="35"/>
        <v>0</v>
      </c>
      <c r="BK158" s="1">
        <f t="shared" si="42"/>
        <v>0</v>
      </c>
      <c r="BL158" s="1">
        <f t="shared" si="36"/>
        <v>0</v>
      </c>
      <c r="BM158" s="10" t="str">
        <f t="shared" si="37"/>
        <v/>
      </c>
      <c r="BN158" s="52">
        <f t="shared" si="43"/>
        <v>0</v>
      </c>
      <c r="BO158" s="52">
        <f t="shared" si="44"/>
        <v>0</v>
      </c>
      <c r="BP158" s="1">
        <f t="shared" si="38"/>
        <v>0</v>
      </c>
      <c r="BQ158" s="1">
        <f t="shared" si="39"/>
        <v>0</v>
      </c>
      <c r="BR158" s="1" t="str">
        <f t="shared" si="40"/>
        <v/>
      </c>
      <c r="BS158" s="1">
        <f t="shared" si="41"/>
        <v>0</v>
      </c>
      <c r="BT158" s="4">
        <f t="shared" si="45"/>
        <v>0</v>
      </c>
      <c r="BU158" s="52">
        <f t="shared" si="46"/>
        <v>0</v>
      </c>
      <c r="BV158" s="1">
        <f t="shared" si="47"/>
        <v>0</v>
      </c>
      <c r="BW158">
        <f t="shared" si="48"/>
        <v>0</v>
      </c>
      <c r="BX158">
        <f t="shared" si="49"/>
        <v>0</v>
      </c>
    </row>
    <row r="159" spans="58:76" x14ac:dyDescent="0.2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52">
        <f t="shared" si="34"/>
        <v>0</v>
      </c>
      <c r="BI159" s="1">
        <f t="shared" si="34"/>
        <v>0</v>
      </c>
      <c r="BJ159" s="1">
        <f t="shared" si="35"/>
        <v>0</v>
      </c>
      <c r="BK159" s="1">
        <f t="shared" si="42"/>
        <v>0</v>
      </c>
      <c r="BL159" s="1">
        <f t="shared" si="36"/>
        <v>0</v>
      </c>
      <c r="BM159" s="10" t="str">
        <f t="shared" si="37"/>
        <v/>
      </c>
      <c r="BN159" s="52">
        <f t="shared" si="43"/>
        <v>0</v>
      </c>
      <c r="BO159" s="52">
        <f t="shared" si="44"/>
        <v>0</v>
      </c>
      <c r="BP159" s="1">
        <f t="shared" si="38"/>
        <v>0</v>
      </c>
      <c r="BQ159" s="1">
        <f t="shared" si="39"/>
        <v>0</v>
      </c>
      <c r="BR159" s="1" t="str">
        <f t="shared" si="40"/>
        <v/>
      </c>
      <c r="BS159" s="1">
        <f t="shared" si="41"/>
        <v>0</v>
      </c>
      <c r="BT159" s="4">
        <f t="shared" si="45"/>
        <v>0</v>
      </c>
      <c r="BU159" s="52">
        <f t="shared" si="46"/>
        <v>0</v>
      </c>
      <c r="BV159" s="1">
        <f t="shared" si="47"/>
        <v>0</v>
      </c>
      <c r="BW159">
        <f t="shared" si="48"/>
        <v>0</v>
      </c>
      <c r="BX159">
        <f t="shared" si="49"/>
        <v>0</v>
      </c>
    </row>
    <row r="160" spans="58:76" x14ac:dyDescent="0.2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52">
        <f t="shared" si="34"/>
        <v>0</v>
      </c>
      <c r="BI160" s="1">
        <f t="shared" si="34"/>
        <v>0</v>
      </c>
      <c r="BJ160" s="1">
        <f t="shared" si="35"/>
        <v>0</v>
      </c>
      <c r="BK160" s="1">
        <f t="shared" si="42"/>
        <v>0</v>
      </c>
      <c r="BL160" s="1">
        <f t="shared" si="36"/>
        <v>0</v>
      </c>
      <c r="BM160" s="10" t="str">
        <f t="shared" si="37"/>
        <v/>
      </c>
      <c r="BN160" s="52">
        <f t="shared" si="43"/>
        <v>0</v>
      </c>
      <c r="BO160" s="52">
        <f t="shared" si="44"/>
        <v>0</v>
      </c>
      <c r="BP160" s="1">
        <f t="shared" si="38"/>
        <v>0</v>
      </c>
      <c r="BQ160" s="1">
        <f t="shared" si="39"/>
        <v>0</v>
      </c>
      <c r="BR160" s="1" t="str">
        <f t="shared" si="40"/>
        <v/>
      </c>
      <c r="BS160" s="1">
        <f t="shared" si="41"/>
        <v>0</v>
      </c>
      <c r="BT160" s="4">
        <f t="shared" si="45"/>
        <v>0</v>
      </c>
      <c r="BU160" s="52">
        <f t="shared" si="46"/>
        <v>0</v>
      </c>
      <c r="BV160" s="1">
        <f t="shared" si="47"/>
        <v>0</v>
      </c>
      <c r="BW160">
        <f t="shared" si="48"/>
        <v>0</v>
      </c>
      <c r="BX160">
        <f t="shared" si="49"/>
        <v>0</v>
      </c>
    </row>
    <row r="161" spans="58:76" x14ac:dyDescent="0.2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52">
        <f t="shared" si="34"/>
        <v>0</v>
      </c>
      <c r="BI161" s="1">
        <f t="shared" si="34"/>
        <v>0</v>
      </c>
      <c r="BJ161" s="1">
        <f t="shared" si="35"/>
        <v>0</v>
      </c>
      <c r="BK161" s="1">
        <f t="shared" si="42"/>
        <v>0</v>
      </c>
      <c r="BL161" s="1">
        <f t="shared" si="36"/>
        <v>0</v>
      </c>
      <c r="BM161" s="10" t="str">
        <f t="shared" si="37"/>
        <v/>
      </c>
      <c r="BN161" s="52">
        <f t="shared" si="43"/>
        <v>0</v>
      </c>
      <c r="BO161" s="52">
        <f t="shared" si="44"/>
        <v>0</v>
      </c>
      <c r="BP161" s="1">
        <f t="shared" si="38"/>
        <v>0</v>
      </c>
      <c r="BQ161" s="1">
        <f t="shared" si="39"/>
        <v>0</v>
      </c>
      <c r="BR161" s="1" t="str">
        <f t="shared" si="40"/>
        <v/>
      </c>
      <c r="BS161" s="1">
        <f t="shared" si="41"/>
        <v>0</v>
      </c>
      <c r="BT161" s="4">
        <f t="shared" si="45"/>
        <v>0</v>
      </c>
      <c r="BU161" s="52">
        <f t="shared" si="46"/>
        <v>0</v>
      </c>
      <c r="BV161" s="1">
        <f t="shared" si="47"/>
        <v>0</v>
      </c>
      <c r="BW161">
        <f t="shared" si="48"/>
        <v>0</v>
      </c>
      <c r="BX161">
        <f t="shared" si="49"/>
        <v>0</v>
      </c>
    </row>
    <row r="162" spans="58:76" x14ac:dyDescent="0.2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52">
        <f t="shared" ref="BH162:BI185" si="50">VALUE(T162)</f>
        <v>0</v>
      </c>
      <c r="BI162" s="1">
        <f t="shared" si="50"/>
        <v>0</v>
      </c>
      <c r="BJ162" s="1">
        <f t="shared" si="35"/>
        <v>0</v>
      </c>
      <c r="BK162" s="1">
        <f t="shared" si="42"/>
        <v>0</v>
      </c>
      <c r="BL162" s="1">
        <f t="shared" si="36"/>
        <v>0</v>
      </c>
      <c r="BM162" s="10" t="str">
        <f t="shared" si="37"/>
        <v/>
      </c>
      <c r="BN162" s="52">
        <f t="shared" si="43"/>
        <v>0</v>
      </c>
      <c r="BO162" s="52">
        <f t="shared" si="44"/>
        <v>0</v>
      </c>
      <c r="BP162" s="1">
        <f t="shared" si="38"/>
        <v>0</v>
      </c>
      <c r="BQ162" s="1">
        <f t="shared" si="39"/>
        <v>0</v>
      </c>
      <c r="BR162" s="1" t="str">
        <f t="shared" si="40"/>
        <v/>
      </c>
      <c r="BS162" s="1">
        <f t="shared" si="41"/>
        <v>0</v>
      </c>
      <c r="BT162" s="4">
        <f t="shared" si="45"/>
        <v>0</v>
      </c>
      <c r="BU162" s="52">
        <f t="shared" si="46"/>
        <v>0</v>
      </c>
      <c r="BV162" s="1">
        <f t="shared" si="47"/>
        <v>0</v>
      </c>
      <c r="BW162">
        <f t="shared" si="48"/>
        <v>0</v>
      </c>
      <c r="BX162">
        <f t="shared" si="49"/>
        <v>0</v>
      </c>
    </row>
    <row r="163" spans="58:76" x14ac:dyDescent="0.2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52">
        <f t="shared" si="50"/>
        <v>0</v>
      </c>
      <c r="BI163" s="1">
        <f t="shared" si="50"/>
        <v>0</v>
      </c>
      <c r="BJ163" s="1">
        <f t="shared" si="35"/>
        <v>0</v>
      </c>
      <c r="BK163" s="1">
        <f t="shared" si="42"/>
        <v>0</v>
      </c>
      <c r="BL163" s="1">
        <f t="shared" si="36"/>
        <v>0</v>
      </c>
      <c r="BM163" s="10" t="str">
        <f t="shared" si="37"/>
        <v/>
      </c>
      <c r="BN163" s="52">
        <f t="shared" si="43"/>
        <v>0</v>
      </c>
      <c r="BO163" s="52">
        <f t="shared" si="44"/>
        <v>0</v>
      </c>
      <c r="BP163" s="1">
        <f t="shared" si="38"/>
        <v>0</v>
      </c>
      <c r="BQ163" s="1">
        <f t="shared" si="39"/>
        <v>0</v>
      </c>
      <c r="BR163" s="1" t="str">
        <f t="shared" si="40"/>
        <v/>
      </c>
      <c r="BS163" s="1">
        <f t="shared" si="41"/>
        <v>0</v>
      </c>
      <c r="BT163" s="4">
        <f t="shared" si="45"/>
        <v>0</v>
      </c>
      <c r="BU163" s="52">
        <f t="shared" si="46"/>
        <v>0</v>
      </c>
      <c r="BV163" s="1">
        <f t="shared" si="47"/>
        <v>0</v>
      </c>
      <c r="BW163">
        <f t="shared" si="48"/>
        <v>0</v>
      </c>
      <c r="BX163">
        <f t="shared" si="49"/>
        <v>0</v>
      </c>
    </row>
    <row r="164" spans="58:76" x14ac:dyDescent="0.2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52">
        <f t="shared" si="50"/>
        <v>0</v>
      </c>
      <c r="BI164" s="1">
        <f t="shared" si="50"/>
        <v>0</v>
      </c>
      <c r="BJ164" s="1">
        <f t="shared" si="35"/>
        <v>0</v>
      </c>
      <c r="BK164" s="1">
        <f t="shared" si="42"/>
        <v>0</v>
      </c>
      <c r="BL164" s="1">
        <f t="shared" si="36"/>
        <v>0</v>
      </c>
      <c r="BM164" s="10" t="str">
        <f t="shared" si="37"/>
        <v/>
      </c>
      <c r="BN164" s="52">
        <f t="shared" si="43"/>
        <v>0</v>
      </c>
      <c r="BO164" s="52">
        <f t="shared" si="44"/>
        <v>0</v>
      </c>
      <c r="BP164" s="1">
        <f t="shared" si="38"/>
        <v>0</v>
      </c>
      <c r="BQ164" s="1">
        <f t="shared" si="39"/>
        <v>0</v>
      </c>
      <c r="BR164" s="1" t="str">
        <f t="shared" si="40"/>
        <v/>
      </c>
      <c r="BS164" s="1">
        <f t="shared" si="41"/>
        <v>0</v>
      </c>
      <c r="BT164" s="4">
        <f t="shared" si="45"/>
        <v>0</v>
      </c>
      <c r="BU164" s="52">
        <f t="shared" si="46"/>
        <v>0</v>
      </c>
      <c r="BV164" s="1">
        <f t="shared" si="47"/>
        <v>0</v>
      </c>
      <c r="BW164">
        <f t="shared" si="48"/>
        <v>0</v>
      </c>
      <c r="BX164">
        <f t="shared" si="49"/>
        <v>0</v>
      </c>
    </row>
    <row r="165" spans="58:76" x14ac:dyDescent="0.2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52">
        <f t="shared" si="50"/>
        <v>0</v>
      </c>
      <c r="BI165" s="1">
        <f t="shared" si="50"/>
        <v>0</v>
      </c>
      <c r="BJ165" s="1">
        <f t="shared" si="35"/>
        <v>0</v>
      </c>
      <c r="BK165" s="1">
        <f t="shared" si="42"/>
        <v>0</v>
      </c>
      <c r="BL165" s="1">
        <f t="shared" si="36"/>
        <v>0</v>
      </c>
      <c r="BM165" s="10" t="str">
        <f t="shared" si="37"/>
        <v/>
      </c>
      <c r="BN165" s="52">
        <f t="shared" si="43"/>
        <v>0</v>
      </c>
      <c r="BO165" s="52">
        <f t="shared" si="44"/>
        <v>0</v>
      </c>
      <c r="BP165" s="1">
        <f t="shared" si="38"/>
        <v>0</v>
      </c>
      <c r="BQ165" s="1">
        <f t="shared" si="39"/>
        <v>0</v>
      </c>
      <c r="BR165" s="1" t="str">
        <f t="shared" si="40"/>
        <v/>
      </c>
      <c r="BS165" s="1">
        <f t="shared" si="41"/>
        <v>0</v>
      </c>
      <c r="BT165" s="4">
        <f t="shared" si="45"/>
        <v>0</v>
      </c>
      <c r="BU165" s="52">
        <f t="shared" si="46"/>
        <v>0</v>
      </c>
      <c r="BV165" s="1">
        <f t="shared" si="47"/>
        <v>0</v>
      </c>
      <c r="BW165">
        <f t="shared" si="48"/>
        <v>0</v>
      </c>
      <c r="BX165">
        <f t="shared" si="49"/>
        <v>0</v>
      </c>
    </row>
    <row r="166" spans="58:76" x14ac:dyDescent="0.2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52">
        <f t="shared" si="50"/>
        <v>0</v>
      </c>
      <c r="BI166" s="1">
        <f t="shared" si="50"/>
        <v>0</v>
      </c>
      <c r="BJ166" s="1">
        <f t="shared" si="35"/>
        <v>0</v>
      </c>
      <c r="BK166" s="1">
        <f t="shared" si="42"/>
        <v>0</v>
      </c>
      <c r="BL166" s="1">
        <f t="shared" si="36"/>
        <v>0</v>
      </c>
      <c r="BM166" s="10" t="str">
        <f t="shared" si="37"/>
        <v/>
      </c>
      <c r="BN166" s="52">
        <f t="shared" si="43"/>
        <v>0</v>
      </c>
      <c r="BO166" s="52">
        <f t="shared" si="44"/>
        <v>0</v>
      </c>
      <c r="BP166" s="1">
        <f t="shared" si="38"/>
        <v>0</v>
      </c>
      <c r="BQ166" s="1">
        <f t="shared" si="39"/>
        <v>0</v>
      </c>
      <c r="BR166" s="1" t="str">
        <f t="shared" si="40"/>
        <v/>
      </c>
      <c r="BS166" s="1">
        <f t="shared" si="41"/>
        <v>0</v>
      </c>
      <c r="BT166" s="4">
        <f t="shared" si="45"/>
        <v>0</v>
      </c>
      <c r="BU166" s="52">
        <f t="shared" si="46"/>
        <v>0</v>
      </c>
      <c r="BV166" s="1">
        <f t="shared" si="47"/>
        <v>0</v>
      </c>
      <c r="BW166">
        <f t="shared" si="48"/>
        <v>0</v>
      </c>
      <c r="BX166">
        <f t="shared" si="49"/>
        <v>0</v>
      </c>
    </row>
    <row r="167" spans="58:76" x14ac:dyDescent="0.2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52">
        <f t="shared" si="50"/>
        <v>0</v>
      </c>
      <c r="BI167" s="1">
        <f t="shared" si="50"/>
        <v>0</v>
      </c>
      <c r="BJ167" s="1">
        <f t="shared" si="35"/>
        <v>0</v>
      </c>
      <c r="BK167" s="1">
        <f t="shared" si="42"/>
        <v>0</v>
      </c>
      <c r="BL167" s="1">
        <f t="shared" si="36"/>
        <v>0</v>
      </c>
      <c r="BM167" s="10" t="str">
        <f t="shared" si="37"/>
        <v/>
      </c>
      <c r="BN167" s="52">
        <f t="shared" si="43"/>
        <v>0</v>
      </c>
      <c r="BO167" s="52">
        <f t="shared" si="44"/>
        <v>0</v>
      </c>
      <c r="BP167" s="1">
        <f t="shared" si="38"/>
        <v>0</v>
      </c>
      <c r="BQ167" s="1">
        <f t="shared" si="39"/>
        <v>0</v>
      </c>
      <c r="BR167" s="1" t="str">
        <f t="shared" si="40"/>
        <v/>
      </c>
      <c r="BS167" s="1">
        <f t="shared" si="41"/>
        <v>0</v>
      </c>
      <c r="BT167" s="4">
        <f t="shared" si="45"/>
        <v>0</v>
      </c>
      <c r="BU167" s="52">
        <f t="shared" si="46"/>
        <v>0</v>
      </c>
      <c r="BV167" s="1">
        <f t="shared" si="47"/>
        <v>0</v>
      </c>
      <c r="BW167">
        <f t="shared" si="48"/>
        <v>0</v>
      </c>
      <c r="BX167">
        <f t="shared" si="49"/>
        <v>0</v>
      </c>
    </row>
    <row r="168" spans="58:76" x14ac:dyDescent="0.2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52">
        <f t="shared" si="50"/>
        <v>0</v>
      </c>
      <c r="BI168" s="1">
        <f t="shared" si="50"/>
        <v>0</v>
      </c>
      <c r="BJ168" s="1">
        <f t="shared" si="35"/>
        <v>0</v>
      </c>
      <c r="BK168" s="1">
        <f t="shared" si="42"/>
        <v>0</v>
      </c>
      <c r="BL168" s="1">
        <f t="shared" si="36"/>
        <v>0</v>
      </c>
      <c r="BM168" s="10" t="str">
        <f t="shared" si="37"/>
        <v/>
      </c>
      <c r="BN168" s="52">
        <f t="shared" si="43"/>
        <v>0</v>
      </c>
      <c r="BO168" s="52">
        <f t="shared" si="44"/>
        <v>0</v>
      </c>
      <c r="BP168" s="1">
        <f t="shared" si="38"/>
        <v>0</v>
      </c>
      <c r="BQ168" s="1">
        <f t="shared" si="39"/>
        <v>0</v>
      </c>
      <c r="BR168" s="1" t="str">
        <f t="shared" si="40"/>
        <v/>
      </c>
      <c r="BS168" s="1">
        <f t="shared" si="41"/>
        <v>0</v>
      </c>
      <c r="BT168" s="4">
        <f t="shared" si="45"/>
        <v>0</v>
      </c>
      <c r="BU168" s="52">
        <f t="shared" si="46"/>
        <v>0</v>
      </c>
      <c r="BV168" s="1">
        <f t="shared" si="47"/>
        <v>0</v>
      </c>
      <c r="BW168">
        <f t="shared" si="48"/>
        <v>0</v>
      </c>
      <c r="BX168">
        <f t="shared" si="49"/>
        <v>0</v>
      </c>
    </row>
    <row r="169" spans="58:76" x14ac:dyDescent="0.2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52">
        <f t="shared" si="50"/>
        <v>0</v>
      </c>
      <c r="BI169" s="1">
        <f t="shared" si="50"/>
        <v>0</v>
      </c>
      <c r="BJ169" s="1">
        <f t="shared" si="35"/>
        <v>0</v>
      </c>
      <c r="BK169" s="1">
        <f t="shared" si="42"/>
        <v>0</v>
      </c>
      <c r="BL169" s="1">
        <f t="shared" si="36"/>
        <v>0</v>
      </c>
      <c r="BM169" s="10" t="str">
        <f t="shared" si="37"/>
        <v/>
      </c>
      <c r="BN169" s="52">
        <f t="shared" si="43"/>
        <v>0</v>
      </c>
      <c r="BO169" s="52">
        <f t="shared" si="44"/>
        <v>0</v>
      </c>
      <c r="BP169" s="1">
        <f t="shared" si="38"/>
        <v>0</v>
      </c>
      <c r="BQ169" s="1">
        <f t="shared" si="39"/>
        <v>0</v>
      </c>
      <c r="BR169" s="1" t="str">
        <f t="shared" si="40"/>
        <v/>
      </c>
      <c r="BS169" s="1">
        <f t="shared" si="41"/>
        <v>0</v>
      </c>
      <c r="BT169" s="4">
        <f t="shared" si="45"/>
        <v>0</v>
      </c>
      <c r="BU169" s="52">
        <f t="shared" si="46"/>
        <v>0</v>
      </c>
      <c r="BV169" s="1">
        <f t="shared" si="47"/>
        <v>0</v>
      </c>
      <c r="BW169">
        <f t="shared" si="48"/>
        <v>0</v>
      </c>
      <c r="BX169">
        <f t="shared" si="49"/>
        <v>0</v>
      </c>
    </row>
    <row r="170" spans="58:76" x14ac:dyDescent="0.2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52">
        <f t="shared" si="50"/>
        <v>0</v>
      </c>
      <c r="BI170" s="1">
        <f t="shared" si="50"/>
        <v>0</v>
      </c>
      <c r="BJ170" s="1">
        <f t="shared" si="35"/>
        <v>0</v>
      </c>
      <c r="BK170" s="1">
        <f t="shared" si="42"/>
        <v>0</v>
      </c>
      <c r="BL170" s="1">
        <f t="shared" si="36"/>
        <v>0</v>
      </c>
      <c r="BM170" s="10" t="str">
        <f t="shared" si="37"/>
        <v/>
      </c>
      <c r="BN170" s="52">
        <f t="shared" si="43"/>
        <v>0</v>
      </c>
      <c r="BO170" s="52">
        <f t="shared" si="44"/>
        <v>0</v>
      </c>
      <c r="BP170" s="1">
        <f t="shared" si="38"/>
        <v>0</v>
      </c>
      <c r="BQ170" s="1">
        <f t="shared" si="39"/>
        <v>0</v>
      </c>
      <c r="BR170" s="1" t="str">
        <f t="shared" si="40"/>
        <v/>
      </c>
      <c r="BS170" s="1">
        <f t="shared" si="41"/>
        <v>0</v>
      </c>
      <c r="BT170" s="4">
        <f t="shared" si="45"/>
        <v>0</v>
      </c>
      <c r="BU170" s="52">
        <f t="shared" si="46"/>
        <v>0</v>
      </c>
      <c r="BV170" s="1">
        <f t="shared" si="47"/>
        <v>0</v>
      </c>
      <c r="BW170">
        <f t="shared" si="48"/>
        <v>0</v>
      </c>
      <c r="BX170">
        <f t="shared" si="49"/>
        <v>0</v>
      </c>
    </row>
    <row r="171" spans="58:76" x14ac:dyDescent="0.2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52">
        <f t="shared" si="50"/>
        <v>0</v>
      </c>
      <c r="BI171" s="1">
        <f t="shared" si="50"/>
        <v>0</v>
      </c>
      <c r="BJ171" s="1">
        <f t="shared" si="35"/>
        <v>0</v>
      </c>
      <c r="BK171" s="1">
        <f t="shared" si="42"/>
        <v>0</v>
      </c>
      <c r="BL171" s="1">
        <f t="shared" si="36"/>
        <v>0</v>
      </c>
      <c r="BM171" s="10" t="str">
        <f t="shared" si="37"/>
        <v/>
      </c>
      <c r="BN171" s="52">
        <f t="shared" si="43"/>
        <v>0</v>
      </c>
      <c r="BO171" s="52">
        <f t="shared" si="44"/>
        <v>0</v>
      </c>
      <c r="BP171" s="1">
        <f t="shared" si="38"/>
        <v>0</v>
      </c>
      <c r="BQ171" s="1">
        <f t="shared" si="39"/>
        <v>0</v>
      </c>
      <c r="BR171" s="1" t="str">
        <f t="shared" si="40"/>
        <v/>
      </c>
      <c r="BS171" s="1">
        <f t="shared" si="41"/>
        <v>0</v>
      </c>
      <c r="BT171" s="4">
        <f t="shared" si="45"/>
        <v>0</v>
      </c>
      <c r="BU171" s="52">
        <f t="shared" si="46"/>
        <v>0</v>
      </c>
      <c r="BV171" s="1">
        <f t="shared" si="47"/>
        <v>0</v>
      </c>
      <c r="BW171">
        <f t="shared" si="48"/>
        <v>0</v>
      </c>
      <c r="BX171">
        <f t="shared" si="49"/>
        <v>0</v>
      </c>
    </row>
    <row r="172" spans="58:76" x14ac:dyDescent="0.2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52">
        <f t="shared" si="50"/>
        <v>0</v>
      </c>
      <c r="BI172" s="1">
        <f t="shared" si="50"/>
        <v>0</v>
      </c>
      <c r="BJ172" s="1">
        <f t="shared" si="35"/>
        <v>0</v>
      </c>
      <c r="BK172" s="1">
        <f t="shared" si="42"/>
        <v>0</v>
      </c>
      <c r="BL172" s="1">
        <f t="shared" si="36"/>
        <v>0</v>
      </c>
      <c r="BM172" s="10" t="str">
        <f t="shared" si="37"/>
        <v/>
      </c>
      <c r="BN172" s="52">
        <f t="shared" si="43"/>
        <v>0</v>
      </c>
      <c r="BO172" s="52">
        <f t="shared" si="44"/>
        <v>0</v>
      </c>
      <c r="BP172" s="1">
        <f t="shared" si="38"/>
        <v>0</v>
      </c>
      <c r="BQ172" s="1">
        <f t="shared" si="39"/>
        <v>0</v>
      </c>
      <c r="BR172" s="1" t="str">
        <f t="shared" si="40"/>
        <v/>
      </c>
      <c r="BS172" s="1">
        <f t="shared" si="41"/>
        <v>0</v>
      </c>
      <c r="BT172" s="4">
        <f t="shared" si="45"/>
        <v>0</v>
      </c>
      <c r="BU172" s="52">
        <f t="shared" si="46"/>
        <v>0</v>
      </c>
      <c r="BV172" s="1">
        <f t="shared" si="47"/>
        <v>0</v>
      </c>
      <c r="BW172">
        <f t="shared" si="48"/>
        <v>0</v>
      </c>
      <c r="BX172">
        <f t="shared" si="49"/>
        <v>0</v>
      </c>
    </row>
    <row r="173" spans="58:76" x14ac:dyDescent="0.2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52">
        <f t="shared" si="50"/>
        <v>0</v>
      </c>
      <c r="BI173" s="1">
        <f t="shared" si="50"/>
        <v>0</v>
      </c>
      <c r="BJ173" s="1">
        <f t="shared" si="35"/>
        <v>0</v>
      </c>
      <c r="BK173" s="1">
        <f t="shared" si="42"/>
        <v>0</v>
      </c>
      <c r="BL173" s="1">
        <f t="shared" si="36"/>
        <v>0</v>
      </c>
      <c r="BM173" s="10" t="str">
        <f t="shared" si="37"/>
        <v/>
      </c>
      <c r="BN173" s="52">
        <f t="shared" si="43"/>
        <v>0</v>
      </c>
      <c r="BO173" s="52">
        <f t="shared" si="44"/>
        <v>0</v>
      </c>
      <c r="BP173" s="1">
        <f t="shared" si="38"/>
        <v>0</v>
      </c>
      <c r="BQ173" s="1">
        <f t="shared" si="39"/>
        <v>0</v>
      </c>
      <c r="BR173" s="1" t="str">
        <f t="shared" si="40"/>
        <v/>
      </c>
      <c r="BS173" s="1">
        <f t="shared" si="41"/>
        <v>0</v>
      </c>
      <c r="BT173" s="4">
        <f t="shared" si="45"/>
        <v>0</v>
      </c>
      <c r="BU173" s="52">
        <f t="shared" si="46"/>
        <v>0</v>
      </c>
      <c r="BV173" s="1">
        <f t="shared" si="47"/>
        <v>0</v>
      </c>
      <c r="BW173">
        <f t="shared" si="48"/>
        <v>0</v>
      </c>
      <c r="BX173">
        <f t="shared" si="49"/>
        <v>0</v>
      </c>
    </row>
    <row r="174" spans="58:76" x14ac:dyDescent="0.2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52">
        <f t="shared" si="50"/>
        <v>0</v>
      </c>
      <c r="BI174" s="1">
        <f t="shared" si="50"/>
        <v>0</v>
      </c>
      <c r="BJ174" s="1">
        <f t="shared" si="35"/>
        <v>0</v>
      </c>
      <c r="BK174" s="1">
        <f t="shared" si="42"/>
        <v>0</v>
      </c>
      <c r="BL174" s="1">
        <f t="shared" si="36"/>
        <v>0</v>
      </c>
      <c r="BM174" s="10" t="str">
        <f t="shared" si="37"/>
        <v/>
      </c>
      <c r="BN174" s="52">
        <f t="shared" si="43"/>
        <v>0</v>
      </c>
      <c r="BO174" s="52">
        <f t="shared" si="44"/>
        <v>0</v>
      </c>
      <c r="BP174" s="1">
        <f t="shared" si="38"/>
        <v>0</v>
      </c>
      <c r="BQ174" s="1">
        <f t="shared" si="39"/>
        <v>0</v>
      </c>
      <c r="BR174" s="1" t="str">
        <f t="shared" si="40"/>
        <v/>
      </c>
      <c r="BS174" s="1">
        <f t="shared" si="41"/>
        <v>0</v>
      </c>
      <c r="BT174" s="4">
        <f t="shared" si="45"/>
        <v>0</v>
      </c>
      <c r="BU174" s="52">
        <f t="shared" si="46"/>
        <v>0</v>
      </c>
      <c r="BV174" s="1">
        <f t="shared" si="47"/>
        <v>0</v>
      </c>
      <c r="BW174">
        <f t="shared" si="48"/>
        <v>0</v>
      </c>
      <c r="BX174">
        <f t="shared" si="49"/>
        <v>0</v>
      </c>
    </row>
    <row r="175" spans="58:76" x14ac:dyDescent="0.2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52">
        <f t="shared" si="50"/>
        <v>0</v>
      </c>
      <c r="BI175" s="1">
        <f t="shared" si="50"/>
        <v>0</v>
      </c>
      <c r="BJ175" s="1">
        <f t="shared" si="35"/>
        <v>0</v>
      </c>
      <c r="BK175" s="1">
        <f t="shared" si="42"/>
        <v>0</v>
      </c>
      <c r="BL175" s="1">
        <f t="shared" si="36"/>
        <v>0</v>
      </c>
      <c r="BM175" s="10" t="str">
        <f t="shared" si="37"/>
        <v/>
      </c>
      <c r="BN175" s="52">
        <f t="shared" si="43"/>
        <v>0</v>
      </c>
      <c r="BO175" s="52">
        <f t="shared" si="44"/>
        <v>0</v>
      </c>
      <c r="BP175" s="1">
        <f t="shared" si="38"/>
        <v>0</v>
      </c>
      <c r="BQ175" s="1">
        <f t="shared" si="39"/>
        <v>0</v>
      </c>
      <c r="BR175" s="1" t="str">
        <f t="shared" si="40"/>
        <v/>
      </c>
      <c r="BS175" s="1">
        <f t="shared" si="41"/>
        <v>0</v>
      </c>
      <c r="BT175" s="4">
        <f t="shared" si="45"/>
        <v>0</v>
      </c>
      <c r="BU175" s="52">
        <f t="shared" si="46"/>
        <v>0</v>
      </c>
      <c r="BV175" s="1">
        <f t="shared" si="47"/>
        <v>0</v>
      </c>
      <c r="BW175">
        <f t="shared" si="48"/>
        <v>0</v>
      </c>
      <c r="BX175">
        <f t="shared" si="49"/>
        <v>0</v>
      </c>
    </row>
    <row r="176" spans="58:76" x14ac:dyDescent="0.2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52">
        <f t="shared" si="50"/>
        <v>0</v>
      </c>
      <c r="BI176" s="1">
        <f t="shared" si="50"/>
        <v>0</v>
      </c>
      <c r="BJ176" s="1">
        <f t="shared" si="35"/>
        <v>0</v>
      </c>
      <c r="BK176" s="1">
        <f t="shared" si="42"/>
        <v>0</v>
      </c>
      <c r="BL176" s="1">
        <f t="shared" si="36"/>
        <v>0</v>
      </c>
      <c r="BM176" s="10" t="str">
        <f t="shared" si="37"/>
        <v/>
      </c>
      <c r="BN176" s="52">
        <f t="shared" si="43"/>
        <v>0</v>
      </c>
      <c r="BO176" s="52">
        <f t="shared" si="44"/>
        <v>0</v>
      </c>
      <c r="BP176" s="1">
        <f t="shared" si="38"/>
        <v>0</v>
      </c>
      <c r="BQ176" s="1">
        <f t="shared" si="39"/>
        <v>0</v>
      </c>
      <c r="BR176" s="1" t="str">
        <f t="shared" si="40"/>
        <v/>
      </c>
      <c r="BS176" s="1">
        <f t="shared" si="41"/>
        <v>0</v>
      </c>
      <c r="BT176" s="4">
        <f t="shared" si="45"/>
        <v>0</v>
      </c>
      <c r="BU176" s="52">
        <f t="shared" si="46"/>
        <v>0</v>
      </c>
      <c r="BV176" s="1">
        <f t="shared" si="47"/>
        <v>0</v>
      </c>
      <c r="BW176">
        <f t="shared" si="48"/>
        <v>0</v>
      </c>
      <c r="BX176">
        <f t="shared" si="49"/>
        <v>0</v>
      </c>
    </row>
    <row r="177" spans="58:76" x14ac:dyDescent="0.2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52">
        <f t="shared" si="50"/>
        <v>0</v>
      </c>
      <c r="BI177" s="1">
        <f t="shared" si="50"/>
        <v>0</v>
      </c>
      <c r="BJ177" s="1">
        <f t="shared" si="35"/>
        <v>0</v>
      </c>
      <c r="BK177" s="1">
        <f t="shared" si="42"/>
        <v>0</v>
      </c>
      <c r="BL177" s="1">
        <f t="shared" si="36"/>
        <v>0</v>
      </c>
      <c r="BM177" s="10" t="str">
        <f t="shared" si="37"/>
        <v/>
      </c>
      <c r="BN177" s="52">
        <f t="shared" si="43"/>
        <v>0</v>
      </c>
      <c r="BO177" s="52">
        <f t="shared" si="44"/>
        <v>0</v>
      </c>
      <c r="BP177" s="1">
        <f t="shared" si="38"/>
        <v>0</v>
      </c>
      <c r="BQ177" s="1">
        <f t="shared" si="39"/>
        <v>0</v>
      </c>
      <c r="BR177" s="1" t="str">
        <f t="shared" si="40"/>
        <v/>
      </c>
      <c r="BS177" s="1">
        <f t="shared" si="41"/>
        <v>0</v>
      </c>
      <c r="BT177" s="4">
        <f t="shared" si="45"/>
        <v>0</v>
      </c>
      <c r="BU177" s="52">
        <f t="shared" si="46"/>
        <v>0</v>
      </c>
      <c r="BV177" s="1">
        <f t="shared" si="47"/>
        <v>0</v>
      </c>
      <c r="BW177">
        <f t="shared" si="48"/>
        <v>0</v>
      </c>
      <c r="BX177">
        <f t="shared" si="49"/>
        <v>0</v>
      </c>
    </row>
    <row r="178" spans="58:76" x14ac:dyDescent="0.2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52">
        <f t="shared" si="50"/>
        <v>0</v>
      </c>
      <c r="BI178" s="1">
        <f t="shared" si="50"/>
        <v>0</v>
      </c>
      <c r="BJ178" s="1">
        <f t="shared" si="35"/>
        <v>0</v>
      </c>
      <c r="BK178" s="1">
        <f t="shared" si="42"/>
        <v>0</v>
      </c>
      <c r="BL178" s="1">
        <f t="shared" si="36"/>
        <v>0</v>
      </c>
      <c r="BM178" s="10" t="str">
        <f t="shared" si="37"/>
        <v/>
      </c>
      <c r="BN178" s="52">
        <f t="shared" si="43"/>
        <v>0</v>
      </c>
      <c r="BO178" s="52">
        <f t="shared" si="44"/>
        <v>0</v>
      </c>
      <c r="BP178" s="1">
        <f t="shared" si="38"/>
        <v>0</v>
      </c>
      <c r="BQ178" s="1">
        <f t="shared" si="39"/>
        <v>0</v>
      </c>
      <c r="BR178" s="1" t="str">
        <f t="shared" si="40"/>
        <v/>
      </c>
      <c r="BS178" s="1">
        <f t="shared" si="41"/>
        <v>0</v>
      </c>
      <c r="BT178" s="4">
        <f t="shared" si="45"/>
        <v>0</v>
      </c>
      <c r="BU178" s="52">
        <f t="shared" si="46"/>
        <v>0</v>
      </c>
      <c r="BV178" s="1">
        <f t="shared" si="47"/>
        <v>0</v>
      </c>
      <c r="BW178">
        <f t="shared" si="48"/>
        <v>0</v>
      </c>
      <c r="BX178">
        <f t="shared" si="49"/>
        <v>0</v>
      </c>
    </row>
    <row r="179" spans="58:76" x14ac:dyDescent="0.2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52">
        <f t="shared" si="50"/>
        <v>0</v>
      </c>
      <c r="BI179" s="1">
        <f t="shared" si="50"/>
        <v>0</v>
      </c>
      <c r="BJ179" s="1">
        <f t="shared" si="35"/>
        <v>0</v>
      </c>
      <c r="BK179" s="1">
        <f t="shared" si="42"/>
        <v>0</v>
      </c>
      <c r="BL179" s="1">
        <f t="shared" si="36"/>
        <v>0</v>
      </c>
      <c r="BM179" s="10" t="str">
        <f t="shared" si="37"/>
        <v/>
      </c>
      <c r="BN179" s="52">
        <f t="shared" si="43"/>
        <v>0</v>
      </c>
      <c r="BO179" s="52">
        <f t="shared" si="44"/>
        <v>0</v>
      </c>
      <c r="BP179" s="1">
        <f t="shared" si="38"/>
        <v>0</v>
      </c>
      <c r="BQ179" s="1">
        <f t="shared" si="39"/>
        <v>0</v>
      </c>
      <c r="BR179" s="1" t="str">
        <f t="shared" si="40"/>
        <v/>
      </c>
      <c r="BS179" s="1">
        <f t="shared" si="41"/>
        <v>0</v>
      </c>
      <c r="BT179" s="4">
        <f t="shared" si="45"/>
        <v>0</v>
      </c>
      <c r="BU179" s="52">
        <f t="shared" si="46"/>
        <v>0</v>
      </c>
      <c r="BV179" s="1">
        <f t="shared" si="47"/>
        <v>0</v>
      </c>
      <c r="BW179">
        <f t="shared" si="48"/>
        <v>0</v>
      </c>
      <c r="BX179">
        <f t="shared" si="49"/>
        <v>0</v>
      </c>
    </row>
    <row r="180" spans="58:76" x14ac:dyDescent="0.2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52">
        <f t="shared" si="50"/>
        <v>0</v>
      </c>
      <c r="BI180" s="1">
        <f t="shared" si="50"/>
        <v>0</v>
      </c>
      <c r="BJ180" s="1">
        <f t="shared" si="35"/>
        <v>0</v>
      </c>
      <c r="BK180" s="1">
        <f t="shared" si="42"/>
        <v>0</v>
      </c>
      <c r="BL180" s="1">
        <f t="shared" si="36"/>
        <v>0</v>
      </c>
      <c r="BM180" s="10" t="str">
        <f t="shared" si="37"/>
        <v/>
      </c>
      <c r="BN180" s="52">
        <f t="shared" si="43"/>
        <v>0</v>
      </c>
      <c r="BO180" s="52">
        <f t="shared" si="44"/>
        <v>0</v>
      </c>
      <c r="BP180" s="1">
        <f t="shared" si="38"/>
        <v>0</v>
      </c>
      <c r="BQ180" s="1">
        <f t="shared" si="39"/>
        <v>0</v>
      </c>
      <c r="BR180" s="1" t="str">
        <f t="shared" si="40"/>
        <v/>
      </c>
      <c r="BS180" s="1">
        <f t="shared" si="41"/>
        <v>0</v>
      </c>
      <c r="BT180" s="4">
        <f t="shared" si="45"/>
        <v>0</v>
      </c>
      <c r="BU180" s="52">
        <f t="shared" si="46"/>
        <v>0</v>
      </c>
      <c r="BV180" s="1">
        <f t="shared" si="47"/>
        <v>0</v>
      </c>
      <c r="BW180">
        <f t="shared" si="48"/>
        <v>0</v>
      </c>
      <c r="BX180">
        <f t="shared" si="49"/>
        <v>0</v>
      </c>
    </row>
    <row r="181" spans="58:76" x14ac:dyDescent="0.2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52">
        <f t="shared" si="50"/>
        <v>0</v>
      </c>
      <c r="BI181" s="1">
        <f t="shared" si="50"/>
        <v>0</v>
      </c>
      <c r="BJ181" s="1">
        <f t="shared" si="35"/>
        <v>0</v>
      </c>
      <c r="BK181" s="1">
        <f t="shared" si="42"/>
        <v>0</v>
      </c>
      <c r="BL181" s="1">
        <f t="shared" si="36"/>
        <v>0</v>
      </c>
      <c r="BM181" s="10" t="str">
        <f t="shared" si="37"/>
        <v/>
      </c>
      <c r="BN181" s="52">
        <f t="shared" si="43"/>
        <v>0</v>
      </c>
      <c r="BO181" s="52">
        <f t="shared" si="44"/>
        <v>0</v>
      </c>
      <c r="BP181" s="1">
        <f t="shared" si="38"/>
        <v>0</v>
      </c>
      <c r="BQ181" s="1">
        <f t="shared" si="39"/>
        <v>0</v>
      </c>
      <c r="BR181" s="1" t="str">
        <f t="shared" si="40"/>
        <v/>
      </c>
      <c r="BS181" s="1">
        <f t="shared" si="41"/>
        <v>0</v>
      </c>
      <c r="BT181" s="4">
        <f t="shared" si="45"/>
        <v>0</v>
      </c>
      <c r="BU181" s="52">
        <f t="shared" si="46"/>
        <v>0</v>
      </c>
      <c r="BV181" s="1">
        <f t="shared" si="47"/>
        <v>0</v>
      </c>
      <c r="BW181">
        <f t="shared" si="48"/>
        <v>0</v>
      </c>
      <c r="BX181">
        <f t="shared" si="49"/>
        <v>0</v>
      </c>
    </row>
    <row r="182" spans="58:76" x14ac:dyDescent="0.2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52">
        <f t="shared" si="50"/>
        <v>0</v>
      </c>
      <c r="BI182" s="1">
        <f t="shared" si="50"/>
        <v>0</v>
      </c>
      <c r="BJ182" s="1">
        <f t="shared" si="35"/>
        <v>0</v>
      </c>
      <c r="BK182" s="1">
        <f t="shared" si="42"/>
        <v>0</v>
      </c>
      <c r="BL182" s="1">
        <f t="shared" si="36"/>
        <v>0</v>
      </c>
      <c r="BM182" s="10" t="str">
        <f t="shared" si="37"/>
        <v/>
      </c>
      <c r="BN182" s="52">
        <f t="shared" si="43"/>
        <v>0</v>
      </c>
      <c r="BO182" s="52">
        <f t="shared" si="44"/>
        <v>0</v>
      </c>
      <c r="BP182" s="1">
        <f t="shared" si="38"/>
        <v>0</v>
      </c>
      <c r="BQ182" s="1">
        <f t="shared" si="39"/>
        <v>0</v>
      </c>
      <c r="BR182" s="1" t="str">
        <f t="shared" si="40"/>
        <v/>
      </c>
      <c r="BS182" s="1">
        <f t="shared" si="41"/>
        <v>0</v>
      </c>
      <c r="BT182" s="4">
        <f t="shared" si="45"/>
        <v>0</v>
      </c>
      <c r="BU182" s="52">
        <f t="shared" si="46"/>
        <v>0</v>
      </c>
      <c r="BV182" s="1">
        <f t="shared" si="47"/>
        <v>0</v>
      </c>
      <c r="BW182">
        <f t="shared" si="48"/>
        <v>0</v>
      </c>
      <c r="BX182">
        <f t="shared" si="49"/>
        <v>0</v>
      </c>
    </row>
    <row r="183" spans="58:76" x14ac:dyDescent="0.2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52">
        <f t="shared" si="50"/>
        <v>0</v>
      </c>
      <c r="BI183" s="1">
        <f t="shared" si="50"/>
        <v>0</v>
      </c>
      <c r="BJ183" s="1">
        <f t="shared" si="35"/>
        <v>0</v>
      </c>
      <c r="BK183" s="1">
        <f t="shared" si="42"/>
        <v>0</v>
      </c>
      <c r="BL183" s="1">
        <f t="shared" si="36"/>
        <v>0</v>
      </c>
      <c r="BM183" s="10" t="str">
        <f t="shared" si="37"/>
        <v/>
      </c>
      <c r="BN183" s="52">
        <f t="shared" si="43"/>
        <v>0</v>
      </c>
      <c r="BO183" s="52">
        <f t="shared" si="44"/>
        <v>0</v>
      </c>
      <c r="BP183" s="1">
        <f t="shared" si="38"/>
        <v>0</v>
      </c>
      <c r="BQ183" s="1">
        <f t="shared" si="39"/>
        <v>0</v>
      </c>
      <c r="BR183" s="1" t="str">
        <f t="shared" si="40"/>
        <v/>
      </c>
      <c r="BS183" s="1">
        <f t="shared" si="41"/>
        <v>0</v>
      </c>
      <c r="BT183" s="4">
        <f t="shared" si="45"/>
        <v>0</v>
      </c>
      <c r="BU183" s="52">
        <f t="shared" si="46"/>
        <v>0</v>
      </c>
      <c r="BV183" s="1">
        <f t="shared" si="47"/>
        <v>0</v>
      </c>
      <c r="BW183">
        <f t="shared" si="48"/>
        <v>0</v>
      </c>
      <c r="BX183">
        <f t="shared" si="49"/>
        <v>0</v>
      </c>
    </row>
    <row r="184" spans="58:76" x14ac:dyDescent="0.2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52">
        <f t="shared" si="50"/>
        <v>0</v>
      </c>
      <c r="BI184" s="1">
        <f t="shared" si="50"/>
        <v>0</v>
      </c>
      <c r="BJ184" s="1">
        <f t="shared" si="35"/>
        <v>0</v>
      </c>
      <c r="BK184" s="1">
        <f t="shared" si="42"/>
        <v>0</v>
      </c>
      <c r="BL184" s="1">
        <f t="shared" si="36"/>
        <v>0</v>
      </c>
      <c r="BM184" s="10" t="str">
        <f t="shared" si="37"/>
        <v/>
      </c>
      <c r="BN184" s="52">
        <f t="shared" si="43"/>
        <v>0</v>
      </c>
      <c r="BO184" s="52">
        <f t="shared" si="44"/>
        <v>0</v>
      </c>
      <c r="BP184" s="1">
        <f t="shared" si="38"/>
        <v>0</v>
      </c>
      <c r="BQ184" s="1">
        <f t="shared" si="39"/>
        <v>0</v>
      </c>
      <c r="BR184" s="1" t="str">
        <f t="shared" si="40"/>
        <v/>
      </c>
      <c r="BS184" s="1">
        <f t="shared" si="41"/>
        <v>0</v>
      </c>
      <c r="BT184" s="4">
        <f t="shared" si="45"/>
        <v>0</v>
      </c>
      <c r="BU184" s="52">
        <f t="shared" si="46"/>
        <v>0</v>
      </c>
      <c r="BV184" s="1">
        <f t="shared" si="47"/>
        <v>0</v>
      </c>
      <c r="BW184">
        <f t="shared" si="48"/>
        <v>0</v>
      </c>
      <c r="BX184">
        <f t="shared" si="49"/>
        <v>0</v>
      </c>
    </row>
    <row r="185" spans="58:76" x14ac:dyDescent="0.2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52">
        <f t="shared" si="50"/>
        <v>0</v>
      </c>
      <c r="BI185" s="1">
        <f t="shared" si="50"/>
        <v>0</v>
      </c>
      <c r="BJ185" s="1">
        <f t="shared" si="35"/>
        <v>0</v>
      </c>
      <c r="BK185" s="1">
        <f t="shared" si="42"/>
        <v>0</v>
      </c>
      <c r="BL185" s="1">
        <f t="shared" si="36"/>
        <v>0</v>
      </c>
      <c r="BM185" s="10" t="str">
        <f t="shared" si="37"/>
        <v/>
      </c>
      <c r="BN185" s="52">
        <f t="shared" si="43"/>
        <v>0</v>
      </c>
      <c r="BO185" s="52">
        <f t="shared" si="44"/>
        <v>0</v>
      </c>
      <c r="BP185" s="1">
        <f t="shared" si="38"/>
        <v>0</v>
      </c>
      <c r="BQ185" s="1">
        <f t="shared" si="39"/>
        <v>0</v>
      </c>
      <c r="BR185" s="1" t="str">
        <f t="shared" si="40"/>
        <v/>
      </c>
      <c r="BS185" s="1">
        <f t="shared" si="41"/>
        <v>0</v>
      </c>
      <c r="BT185" s="4">
        <f t="shared" si="45"/>
        <v>0</v>
      </c>
      <c r="BU185" s="52">
        <f t="shared" si="46"/>
        <v>0</v>
      </c>
      <c r="BV185" s="1">
        <f t="shared" si="47"/>
        <v>0</v>
      </c>
      <c r="BW185">
        <f t="shared" si="48"/>
        <v>0</v>
      </c>
      <c r="BX185">
        <f t="shared" si="49"/>
        <v>0</v>
      </c>
    </row>
    <row r="186" spans="58:76" x14ac:dyDescent="0.25">
      <c r="BF186" s="1" t="e">
        <f>VLOOKUP(N186,'Incoming Material Report'!H:M,6,FALSE)</f>
        <v>#N/A</v>
      </c>
      <c r="BG186" s="1" t="e">
        <f>IF(VLOOKUP(N186,'Incoming Material Report'!H:N,7,FALSE)=0,"",VLOOKUP(N186,'Incoming Material Report'!H:N,7,FALSE))</f>
        <v>#N/A</v>
      </c>
      <c r="BH186" s="52">
        <f t="shared" ref="BH186:BH249" si="51">VALUE(T186)</f>
        <v>0</v>
      </c>
      <c r="BI186" s="1">
        <f t="shared" ref="BI186:BI249" si="52">VALUE(U186)</f>
        <v>0</v>
      </c>
      <c r="BJ186" s="1">
        <f t="shared" ref="BJ186:BJ249" si="53">IFERROR(_xlfn.NUMBERVALUE(V186),V186)</f>
        <v>0</v>
      </c>
      <c r="BK186" s="1">
        <f t="shared" ref="BK186:BK249" si="54">IFERROR(INT(I186),I186)</f>
        <v>0</v>
      </c>
      <c r="BL186" s="1">
        <f t="shared" ref="BL186:BL249" si="55">L186</f>
        <v>0</v>
      </c>
      <c r="BM186" s="10" t="str">
        <f t="shared" ref="BM186:BM249" si="56">SUBSTITUTE(J186,"/",".")</f>
        <v/>
      </c>
      <c r="BN186" s="52">
        <f t="shared" ref="BN186:BN249" si="57">VALUE(Q186)*1000</f>
        <v>0</v>
      </c>
      <c r="BO186" s="52">
        <f t="shared" ref="BO186:BO249" si="58">VALUE(P186)/1000</f>
        <v>0</v>
      </c>
      <c r="BP186" s="1">
        <f t="shared" ref="BP186:BP249" si="59">VALUE(D186)</f>
        <v>0</v>
      </c>
      <c r="BQ186" s="1">
        <f t="shared" ref="BQ186:BQ249" si="60">G186</f>
        <v>0</v>
      </c>
      <c r="BR186" s="1" t="str">
        <f t="shared" ref="BR186:BR249" si="61">SUBSTITUTE(O186,".","")</f>
        <v/>
      </c>
      <c r="BS186" s="1">
        <f t="shared" ref="BS186:BS249" si="62">S186</f>
        <v>0</v>
      </c>
      <c r="BT186" s="4">
        <f t="shared" ref="BT186:BT249" si="63">VALUE(AJ186)</f>
        <v>0</v>
      </c>
      <c r="BU186" s="52">
        <f t="shared" ref="BU186:BU249" si="64">K186</f>
        <v>0</v>
      </c>
      <c r="BV186" s="1">
        <f t="shared" ref="BV186:BV249" si="65">AQ186</f>
        <v>0</v>
      </c>
      <c r="BW186">
        <f t="shared" ref="BW186:BW249" si="66">X186</f>
        <v>0</v>
      </c>
      <c r="BX186">
        <f t="shared" ref="BX186:BX249" si="67">AN186</f>
        <v>0</v>
      </c>
    </row>
    <row r="187" spans="58:76" x14ac:dyDescent="0.25">
      <c r="BF187" s="1" t="e">
        <f>VLOOKUP(N187,'Incoming Material Report'!H:M,6,FALSE)</f>
        <v>#N/A</v>
      </c>
      <c r="BG187" s="1" t="e">
        <f>IF(VLOOKUP(N187,'Incoming Material Report'!H:N,7,FALSE)=0,"",VLOOKUP(N187,'Incoming Material Report'!H:N,7,FALSE))</f>
        <v>#N/A</v>
      </c>
      <c r="BH187" s="52">
        <f t="shared" si="51"/>
        <v>0</v>
      </c>
      <c r="BI187" s="1">
        <f t="shared" si="52"/>
        <v>0</v>
      </c>
      <c r="BJ187" s="1">
        <f t="shared" si="53"/>
        <v>0</v>
      </c>
      <c r="BK187" s="1">
        <f t="shared" si="54"/>
        <v>0</v>
      </c>
      <c r="BL187" s="1">
        <f t="shared" si="55"/>
        <v>0</v>
      </c>
      <c r="BM187" s="10" t="str">
        <f t="shared" si="56"/>
        <v/>
      </c>
      <c r="BN187" s="52">
        <f t="shared" si="57"/>
        <v>0</v>
      </c>
      <c r="BO187" s="52">
        <f t="shared" si="58"/>
        <v>0</v>
      </c>
      <c r="BP187" s="1">
        <f t="shared" si="59"/>
        <v>0</v>
      </c>
      <c r="BQ187" s="1">
        <f t="shared" si="60"/>
        <v>0</v>
      </c>
      <c r="BR187" s="1" t="str">
        <f t="shared" si="61"/>
        <v/>
      </c>
      <c r="BS187" s="1">
        <f t="shared" si="62"/>
        <v>0</v>
      </c>
      <c r="BT187" s="4">
        <f t="shared" si="63"/>
        <v>0</v>
      </c>
      <c r="BU187" s="52">
        <f t="shared" si="64"/>
        <v>0</v>
      </c>
      <c r="BV187" s="1">
        <f t="shared" si="65"/>
        <v>0</v>
      </c>
      <c r="BW187">
        <f t="shared" si="66"/>
        <v>0</v>
      </c>
      <c r="BX187">
        <f t="shared" si="67"/>
        <v>0</v>
      </c>
    </row>
    <row r="188" spans="58:76" x14ac:dyDescent="0.25">
      <c r="BF188" s="1" t="e">
        <f>VLOOKUP(N188,'Incoming Material Report'!H:M,6,FALSE)</f>
        <v>#N/A</v>
      </c>
      <c r="BG188" s="1" t="e">
        <f>IF(VLOOKUP(N188,'Incoming Material Report'!H:N,7,FALSE)=0,"",VLOOKUP(N188,'Incoming Material Report'!H:N,7,FALSE))</f>
        <v>#N/A</v>
      </c>
      <c r="BH188" s="52">
        <f t="shared" si="51"/>
        <v>0</v>
      </c>
      <c r="BI188" s="1">
        <f t="shared" si="52"/>
        <v>0</v>
      </c>
      <c r="BJ188" s="1">
        <f t="shared" si="53"/>
        <v>0</v>
      </c>
      <c r="BK188" s="1">
        <f t="shared" si="54"/>
        <v>0</v>
      </c>
      <c r="BL188" s="1">
        <f t="shared" si="55"/>
        <v>0</v>
      </c>
      <c r="BM188" s="10" t="str">
        <f t="shared" si="56"/>
        <v/>
      </c>
      <c r="BN188" s="52">
        <f t="shared" si="57"/>
        <v>0</v>
      </c>
      <c r="BO188" s="52">
        <f t="shared" si="58"/>
        <v>0</v>
      </c>
      <c r="BP188" s="1">
        <f t="shared" si="59"/>
        <v>0</v>
      </c>
      <c r="BQ188" s="1">
        <f t="shared" si="60"/>
        <v>0</v>
      </c>
      <c r="BR188" s="1" t="str">
        <f t="shared" si="61"/>
        <v/>
      </c>
      <c r="BS188" s="1">
        <f t="shared" si="62"/>
        <v>0</v>
      </c>
      <c r="BT188" s="4">
        <f t="shared" si="63"/>
        <v>0</v>
      </c>
      <c r="BU188" s="52">
        <f t="shared" si="64"/>
        <v>0</v>
      </c>
      <c r="BV188" s="1">
        <f t="shared" si="65"/>
        <v>0</v>
      </c>
      <c r="BW188">
        <f t="shared" si="66"/>
        <v>0</v>
      </c>
      <c r="BX188">
        <f t="shared" si="67"/>
        <v>0</v>
      </c>
    </row>
    <row r="189" spans="58:76" x14ac:dyDescent="0.25">
      <c r="BF189" s="1" t="e">
        <f>VLOOKUP(N189,'Incoming Material Report'!H:M,6,FALSE)</f>
        <v>#N/A</v>
      </c>
      <c r="BG189" s="1" t="e">
        <f>IF(VLOOKUP(N189,'Incoming Material Report'!H:N,7,FALSE)=0,"",VLOOKUP(N189,'Incoming Material Report'!H:N,7,FALSE))</f>
        <v>#N/A</v>
      </c>
      <c r="BH189" s="52">
        <f t="shared" si="51"/>
        <v>0</v>
      </c>
      <c r="BI189" s="1">
        <f t="shared" si="52"/>
        <v>0</v>
      </c>
      <c r="BJ189" s="1">
        <f t="shared" si="53"/>
        <v>0</v>
      </c>
      <c r="BK189" s="1">
        <f t="shared" si="54"/>
        <v>0</v>
      </c>
      <c r="BL189" s="1">
        <f t="shared" si="55"/>
        <v>0</v>
      </c>
      <c r="BM189" s="10" t="str">
        <f t="shared" si="56"/>
        <v/>
      </c>
      <c r="BN189" s="52">
        <f t="shared" si="57"/>
        <v>0</v>
      </c>
      <c r="BO189" s="52">
        <f t="shared" si="58"/>
        <v>0</v>
      </c>
      <c r="BP189" s="1">
        <f t="shared" si="59"/>
        <v>0</v>
      </c>
      <c r="BQ189" s="1">
        <f t="shared" si="60"/>
        <v>0</v>
      </c>
      <c r="BR189" s="1" t="str">
        <f t="shared" si="61"/>
        <v/>
      </c>
      <c r="BS189" s="1">
        <f t="shared" si="62"/>
        <v>0</v>
      </c>
      <c r="BT189" s="4">
        <f t="shared" si="63"/>
        <v>0</v>
      </c>
      <c r="BU189" s="52">
        <f t="shared" si="64"/>
        <v>0</v>
      </c>
      <c r="BV189" s="1">
        <f t="shared" si="65"/>
        <v>0</v>
      </c>
      <c r="BW189">
        <f t="shared" si="66"/>
        <v>0</v>
      </c>
      <c r="BX189">
        <f t="shared" si="67"/>
        <v>0</v>
      </c>
    </row>
    <row r="190" spans="58:76" x14ac:dyDescent="0.25">
      <c r="BF190" s="1" t="e">
        <f>VLOOKUP(N190,'Incoming Material Report'!H:M,6,FALSE)</f>
        <v>#N/A</v>
      </c>
      <c r="BG190" s="1" t="e">
        <f>IF(VLOOKUP(N190,'Incoming Material Report'!H:N,7,FALSE)=0,"",VLOOKUP(N190,'Incoming Material Report'!H:N,7,FALSE))</f>
        <v>#N/A</v>
      </c>
      <c r="BH190" s="52">
        <f t="shared" si="51"/>
        <v>0</v>
      </c>
      <c r="BI190" s="1">
        <f t="shared" si="52"/>
        <v>0</v>
      </c>
      <c r="BJ190" s="1">
        <f t="shared" si="53"/>
        <v>0</v>
      </c>
      <c r="BK190" s="1">
        <f t="shared" si="54"/>
        <v>0</v>
      </c>
      <c r="BL190" s="1">
        <f t="shared" si="55"/>
        <v>0</v>
      </c>
      <c r="BM190" s="10" t="str">
        <f t="shared" si="56"/>
        <v/>
      </c>
      <c r="BN190" s="52">
        <f t="shared" si="57"/>
        <v>0</v>
      </c>
      <c r="BO190" s="52">
        <f t="shared" si="58"/>
        <v>0</v>
      </c>
      <c r="BP190" s="1">
        <f t="shared" si="59"/>
        <v>0</v>
      </c>
      <c r="BQ190" s="1">
        <f t="shared" si="60"/>
        <v>0</v>
      </c>
      <c r="BR190" s="1" t="str">
        <f t="shared" si="61"/>
        <v/>
      </c>
      <c r="BS190" s="1">
        <f t="shared" si="62"/>
        <v>0</v>
      </c>
      <c r="BT190" s="4">
        <f t="shared" si="63"/>
        <v>0</v>
      </c>
      <c r="BU190" s="52">
        <f t="shared" si="64"/>
        <v>0</v>
      </c>
      <c r="BV190" s="1">
        <f t="shared" si="65"/>
        <v>0</v>
      </c>
      <c r="BW190">
        <f t="shared" si="66"/>
        <v>0</v>
      </c>
      <c r="BX190">
        <f t="shared" si="67"/>
        <v>0</v>
      </c>
    </row>
    <row r="191" spans="58:76" x14ac:dyDescent="0.25">
      <c r="BF191" s="1" t="e">
        <f>VLOOKUP(N191,'Incoming Material Report'!H:M,6,FALSE)</f>
        <v>#N/A</v>
      </c>
      <c r="BG191" s="1" t="e">
        <f>IF(VLOOKUP(N191,'Incoming Material Report'!H:N,7,FALSE)=0,"",VLOOKUP(N191,'Incoming Material Report'!H:N,7,FALSE))</f>
        <v>#N/A</v>
      </c>
      <c r="BH191" s="52">
        <f t="shared" si="51"/>
        <v>0</v>
      </c>
      <c r="BI191" s="1">
        <f t="shared" si="52"/>
        <v>0</v>
      </c>
      <c r="BJ191" s="1">
        <f t="shared" si="53"/>
        <v>0</v>
      </c>
      <c r="BK191" s="1">
        <f t="shared" si="54"/>
        <v>0</v>
      </c>
      <c r="BL191" s="1">
        <f t="shared" si="55"/>
        <v>0</v>
      </c>
      <c r="BM191" s="10" t="str">
        <f t="shared" si="56"/>
        <v/>
      </c>
      <c r="BN191" s="52">
        <f t="shared" si="57"/>
        <v>0</v>
      </c>
      <c r="BO191" s="52">
        <f t="shared" si="58"/>
        <v>0</v>
      </c>
      <c r="BP191" s="1">
        <f t="shared" si="59"/>
        <v>0</v>
      </c>
      <c r="BQ191" s="1">
        <f t="shared" si="60"/>
        <v>0</v>
      </c>
      <c r="BR191" s="1" t="str">
        <f t="shared" si="61"/>
        <v/>
      </c>
      <c r="BS191" s="1">
        <f t="shared" si="62"/>
        <v>0</v>
      </c>
      <c r="BT191" s="4">
        <f t="shared" si="63"/>
        <v>0</v>
      </c>
      <c r="BU191" s="52">
        <f t="shared" si="64"/>
        <v>0</v>
      </c>
      <c r="BV191" s="1">
        <f t="shared" si="65"/>
        <v>0</v>
      </c>
      <c r="BW191">
        <f t="shared" si="66"/>
        <v>0</v>
      </c>
      <c r="BX191">
        <f t="shared" si="67"/>
        <v>0</v>
      </c>
    </row>
    <row r="192" spans="58:76" x14ac:dyDescent="0.25">
      <c r="BF192" s="1" t="e">
        <f>VLOOKUP(N192,'Incoming Material Report'!H:M,6,FALSE)</f>
        <v>#N/A</v>
      </c>
      <c r="BG192" s="1" t="e">
        <f>IF(VLOOKUP(N192,'Incoming Material Report'!H:N,7,FALSE)=0,"",VLOOKUP(N192,'Incoming Material Report'!H:N,7,FALSE))</f>
        <v>#N/A</v>
      </c>
      <c r="BH192" s="52">
        <f t="shared" si="51"/>
        <v>0</v>
      </c>
      <c r="BI192" s="1">
        <f t="shared" si="52"/>
        <v>0</v>
      </c>
      <c r="BJ192" s="1">
        <f t="shared" si="53"/>
        <v>0</v>
      </c>
      <c r="BK192" s="1">
        <f t="shared" si="54"/>
        <v>0</v>
      </c>
      <c r="BL192" s="1">
        <f t="shared" si="55"/>
        <v>0</v>
      </c>
      <c r="BM192" s="10" t="str">
        <f t="shared" si="56"/>
        <v/>
      </c>
      <c r="BN192" s="52">
        <f t="shared" si="57"/>
        <v>0</v>
      </c>
      <c r="BO192" s="52">
        <f t="shared" si="58"/>
        <v>0</v>
      </c>
      <c r="BP192" s="1">
        <f t="shared" si="59"/>
        <v>0</v>
      </c>
      <c r="BQ192" s="1">
        <f t="shared" si="60"/>
        <v>0</v>
      </c>
      <c r="BR192" s="1" t="str">
        <f t="shared" si="61"/>
        <v/>
      </c>
      <c r="BS192" s="1">
        <f t="shared" si="62"/>
        <v>0</v>
      </c>
      <c r="BT192" s="4">
        <f t="shared" si="63"/>
        <v>0</v>
      </c>
      <c r="BU192" s="52">
        <f t="shared" si="64"/>
        <v>0</v>
      </c>
      <c r="BV192" s="1">
        <f t="shared" si="65"/>
        <v>0</v>
      </c>
      <c r="BW192">
        <f t="shared" si="66"/>
        <v>0</v>
      </c>
      <c r="BX192">
        <f t="shared" si="67"/>
        <v>0</v>
      </c>
    </row>
    <row r="193" spans="58:76" x14ac:dyDescent="0.25">
      <c r="BF193" s="1" t="e">
        <f>VLOOKUP(N193,'Incoming Material Report'!H:M,6,FALSE)</f>
        <v>#N/A</v>
      </c>
      <c r="BG193" s="1" t="e">
        <f>IF(VLOOKUP(N193,'Incoming Material Report'!H:N,7,FALSE)=0,"",VLOOKUP(N193,'Incoming Material Report'!H:N,7,FALSE))</f>
        <v>#N/A</v>
      </c>
      <c r="BH193" s="52">
        <f t="shared" si="51"/>
        <v>0</v>
      </c>
      <c r="BI193" s="1">
        <f t="shared" si="52"/>
        <v>0</v>
      </c>
      <c r="BJ193" s="1">
        <f t="shared" si="53"/>
        <v>0</v>
      </c>
      <c r="BK193" s="1">
        <f t="shared" si="54"/>
        <v>0</v>
      </c>
      <c r="BL193" s="1">
        <f t="shared" si="55"/>
        <v>0</v>
      </c>
      <c r="BM193" s="10" t="str">
        <f t="shared" si="56"/>
        <v/>
      </c>
      <c r="BN193" s="52">
        <f t="shared" si="57"/>
        <v>0</v>
      </c>
      <c r="BO193" s="52">
        <f t="shared" si="58"/>
        <v>0</v>
      </c>
      <c r="BP193" s="1">
        <f t="shared" si="59"/>
        <v>0</v>
      </c>
      <c r="BQ193" s="1">
        <f t="shared" si="60"/>
        <v>0</v>
      </c>
      <c r="BR193" s="1" t="str">
        <f t="shared" si="61"/>
        <v/>
      </c>
      <c r="BS193" s="1">
        <f t="shared" si="62"/>
        <v>0</v>
      </c>
      <c r="BT193" s="4">
        <f t="shared" si="63"/>
        <v>0</v>
      </c>
      <c r="BU193" s="52">
        <f t="shared" si="64"/>
        <v>0</v>
      </c>
      <c r="BV193" s="1">
        <f t="shared" si="65"/>
        <v>0</v>
      </c>
      <c r="BW193">
        <f t="shared" si="66"/>
        <v>0</v>
      </c>
      <c r="BX193">
        <f t="shared" si="67"/>
        <v>0</v>
      </c>
    </row>
    <row r="194" spans="58:76" x14ac:dyDescent="0.25">
      <c r="BF194" s="1" t="e">
        <f>VLOOKUP(N194,'Incoming Material Report'!H:M,6,FALSE)</f>
        <v>#N/A</v>
      </c>
      <c r="BG194" s="1" t="e">
        <f>IF(VLOOKUP(N194,'Incoming Material Report'!H:N,7,FALSE)=0,"",VLOOKUP(N194,'Incoming Material Report'!H:N,7,FALSE))</f>
        <v>#N/A</v>
      </c>
      <c r="BH194" s="52">
        <f t="shared" si="51"/>
        <v>0</v>
      </c>
      <c r="BI194" s="1">
        <f t="shared" si="52"/>
        <v>0</v>
      </c>
      <c r="BJ194" s="1">
        <f t="shared" si="53"/>
        <v>0</v>
      </c>
      <c r="BK194" s="1">
        <f t="shared" si="54"/>
        <v>0</v>
      </c>
      <c r="BL194" s="1">
        <f t="shared" si="55"/>
        <v>0</v>
      </c>
      <c r="BM194" s="10" t="str">
        <f t="shared" si="56"/>
        <v/>
      </c>
      <c r="BN194" s="52">
        <f t="shared" si="57"/>
        <v>0</v>
      </c>
      <c r="BO194" s="52">
        <f t="shared" si="58"/>
        <v>0</v>
      </c>
      <c r="BP194" s="1">
        <f t="shared" si="59"/>
        <v>0</v>
      </c>
      <c r="BQ194" s="1">
        <f t="shared" si="60"/>
        <v>0</v>
      </c>
      <c r="BR194" s="1" t="str">
        <f t="shared" si="61"/>
        <v/>
      </c>
      <c r="BS194" s="1">
        <f t="shared" si="62"/>
        <v>0</v>
      </c>
      <c r="BT194" s="4">
        <f t="shared" si="63"/>
        <v>0</v>
      </c>
      <c r="BU194" s="52">
        <f t="shared" si="64"/>
        <v>0</v>
      </c>
      <c r="BV194" s="1">
        <f t="shared" si="65"/>
        <v>0</v>
      </c>
      <c r="BW194">
        <f t="shared" si="66"/>
        <v>0</v>
      </c>
      <c r="BX194">
        <f t="shared" si="67"/>
        <v>0</v>
      </c>
    </row>
    <row r="195" spans="58:76" x14ac:dyDescent="0.25">
      <c r="BF195" s="1" t="e">
        <f>VLOOKUP(N195,'Incoming Material Report'!H:M,6,FALSE)</f>
        <v>#N/A</v>
      </c>
      <c r="BG195" s="1" t="e">
        <f>IF(VLOOKUP(N195,'Incoming Material Report'!H:N,7,FALSE)=0,"",VLOOKUP(N195,'Incoming Material Report'!H:N,7,FALSE))</f>
        <v>#N/A</v>
      </c>
      <c r="BH195" s="52">
        <f t="shared" si="51"/>
        <v>0</v>
      </c>
      <c r="BI195" s="1">
        <f t="shared" si="52"/>
        <v>0</v>
      </c>
      <c r="BJ195" s="1">
        <f t="shared" si="53"/>
        <v>0</v>
      </c>
      <c r="BK195" s="1">
        <f t="shared" si="54"/>
        <v>0</v>
      </c>
      <c r="BL195" s="1">
        <f t="shared" si="55"/>
        <v>0</v>
      </c>
      <c r="BM195" s="10" t="str">
        <f t="shared" si="56"/>
        <v/>
      </c>
      <c r="BN195" s="52">
        <f t="shared" si="57"/>
        <v>0</v>
      </c>
      <c r="BO195" s="52">
        <f t="shared" si="58"/>
        <v>0</v>
      </c>
      <c r="BP195" s="1">
        <f t="shared" si="59"/>
        <v>0</v>
      </c>
      <c r="BQ195" s="1">
        <f t="shared" si="60"/>
        <v>0</v>
      </c>
      <c r="BR195" s="1" t="str">
        <f t="shared" si="61"/>
        <v/>
      </c>
      <c r="BS195" s="1">
        <f t="shared" si="62"/>
        <v>0</v>
      </c>
      <c r="BT195" s="4">
        <f t="shared" si="63"/>
        <v>0</v>
      </c>
      <c r="BU195" s="52">
        <f t="shared" si="64"/>
        <v>0</v>
      </c>
      <c r="BV195" s="1">
        <f t="shared" si="65"/>
        <v>0</v>
      </c>
      <c r="BW195">
        <f t="shared" si="66"/>
        <v>0</v>
      </c>
      <c r="BX195">
        <f t="shared" si="67"/>
        <v>0</v>
      </c>
    </row>
    <row r="196" spans="58:76" x14ac:dyDescent="0.25">
      <c r="BF196" s="1" t="e">
        <f>VLOOKUP(N196,'Incoming Material Report'!H:M,6,FALSE)</f>
        <v>#N/A</v>
      </c>
      <c r="BG196" s="1" t="e">
        <f>IF(VLOOKUP(N196,'Incoming Material Report'!H:N,7,FALSE)=0,"",VLOOKUP(N196,'Incoming Material Report'!H:N,7,FALSE))</f>
        <v>#N/A</v>
      </c>
      <c r="BH196" s="52">
        <f t="shared" si="51"/>
        <v>0</v>
      </c>
      <c r="BI196" s="1">
        <f t="shared" si="52"/>
        <v>0</v>
      </c>
      <c r="BJ196" s="1">
        <f t="shared" si="53"/>
        <v>0</v>
      </c>
      <c r="BK196" s="1">
        <f t="shared" si="54"/>
        <v>0</v>
      </c>
      <c r="BL196" s="1">
        <f t="shared" si="55"/>
        <v>0</v>
      </c>
      <c r="BM196" s="10" t="str">
        <f t="shared" si="56"/>
        <v/>
      </c>
      <c r="BN196" s="52">
        <f t="shared" si="57"/>
        <v>0</v>
      </c>
      <c r="BO196" s="52">
        <f t="shared" si="58"/>
        <v>0</v>
      </c>
      <c r="BP196" s="1">
        <f t="shared" si="59"/>
        <v>0</v>
      </c>
      <c r="BQ196" s="1">
        <f t="shared" si="60"/>
        <v>0</v>
      </c>
      <c r="BR196" s="1" t="str">
        <f t="shared" si="61"/>
        <v/>
      </c>
      <c r="BS196" s="1">
        <f t="shared" si="62"/>
        <v>0</v>
      </c>
      <c r="BT196" s="4">
        <f t="shared" si="63"/>
        <v>0</v>
      </c>
      <c r="BU196" s="52">
        <f t="shared" si="64"/>
        <v>0</v>
      </c>
      <c r="BV196" s="1">
        <f t="shared" si="65"/>
        <v>0</v>
      </c>
      <c r="BW196">
        <f t="shared" si="66"/>
        <v>0</v>
      </c>
      <c r="BX196">
        <f t="shared" si="67"/>
        <v>0</v>
      </c>
    </row>
    <row r="197" spans="58:76" x14ac:dyDescent="0.25">
      <c r="BF197" s="1" t="e">
        <f>VLOOKUP(N197,'Incoming Material Report'!H:M,6,FALSE)</f>
        <v>#N/A</v>
      </c>
      <c r="BG197" s="1" t="e">
        <f>IF(VLOOKUP(N197,'Incoming Material Report'!H:N,7,FALSE)=0,"",VLOOKUP(N197,'Incoming Material Report'!H:N,7,FALSE))</f>
        <v>#N/A</v>
      </c>
      <c r="BH197" s="52">
        <f t="shared" si="51"/>
        <v>0</v>
      </c>
      <c r="BI197" s="1">
        <f t="shared" si="52"/>
        <v>0</v>
      </c>
      <c r="BJ197" s="1">
        <f t="shared" si="53"/>
        <v>0</v>
      </c>
      <c r="BK197" s="1">
        <f t="shared" si="54"/>
        <v>0</v>
      </c>
      <c r="BL197" s="1">
        <f t="shared" si="55"/>
        <v>0</v>
      </c>
      <c r="BM197" s="10" t="str">
        <f t="shared" si="56"/>
        <v/>
      </c>
      <c r="BN197" s="52">
        <f t="shared" si="57"/>
        <v>0</v>
      </c>
      <c r="BO197" s="52">
        <f t="shared" si="58"/>
        <v>0</v>
      </c>
      <c r="BP197" s="1">
        <f t="shared" si="59"/>
        <v>0</v>
      </c>
      <c r="BQ197" s="1">
        <f t="shared" si="60"/>
        <v>0</v>
      </c>
      <c r="BR197" s="1" t="str">
        <f t="shared" si="61"/>
        <v/>
      </c>
      <c r="BS197" s="1">
        <f t="shared" si="62"/>
        <v>0</v>
      </c>
      <c r="BT197" s="4">
        <f t="shared" si="63"/>
        <v>0</v>
      </c>
      <c r="BU197" s="52">
        <f t="shared" si="64"/>
        <v>0</v>
      </c>
      <c r="BV197" s="1">
        <f t="shared" si="65"/>
        <v>0</v>
      </c>
      <c r="BW197">
        <f t="shared" si="66"/>
        <v>0</v>
      </c>
      <c r="BX197">
        <f t="shared" si="67"/>
        <v>0</v>
      </c>
    </row>
    <row r="198" spans="58:76" x14ac:dyDescent="0.25">
      <c r="BF198" s="1" t="e">
        <f>VLOOKUP(N198,'Incoming Material Report'!H:M,6,FALSE)</f>
        <v>#N/A</v>
      </c>
      <c r="BG198" s="1" t="e">
        <f>IF(VLOOKUP(N198,'Incoming Material Report'!H:N,7,FALSE)=0,"",VLOOKUP(N198,'Incoming Material Report'!H:N,7,FALSE))</f>
        <v>#N/A</v>
      </c>
      <c r="BH198" s="52">
        <f t="shared" si="51"/>
        <v>0</v>
      </c>
      <c r="BI198" s="1">
        <f t="shared" si="52"/>
        <v>0</v>
      </c>
      <c r="BJ198" s="1">
        <f t="shared" si="53"/>
        <v>0</v>
      </c>
      <c r="BK198" s="1">
        <f t="shared" si="54"/>
        <v>0</v>
      </c>
      <c r="BL198" s="1">
        <f t="shared" si="55"/>
        <v>0</v>
      </c>
      <c r="BM198" s="10" t="str">
        <f t="shared" si="56"/>
        <v/>
      </c>
      <c r="BN198" s="52">
        <f t="shared" si="57"/>
        <v>0</v>
      </c>
      <c r="BO198" s="52">
        <f t="shared" si="58"/>
        <v>0</v>
      </c>
      <c r="BP198" s="1">
        <f t="shared" si="59"/>
        <v>0</v>
      </c>
      <c r="BQ198" s="1">
        <f t="shared" si="60"/>
        <v>0</v>
      </c>
      <c r="BR198" s="1" t="str">
        <f t="shared" si="61"/>
        <v/>
      </c>
      <c r="BS198" s="1">
        <f t="shared" si="62"/>
        <v>0</v>
      </c>
      <c r="BT198" s="4">
        <f t="shared" si="63"/>
        <v>0</v>
      </c>
      <c r="BU198" s="52">
        <f t="shared" si="64"/>
        <v>0</v>
      </c>
      <c r="BV198" s="1">
        <f t="shared" si="65"/>
        <v>0</v>
      </c>
      <c r="BW198">
        <f t="shared" si="66"/>
        <v>0</v>
      </c>
      <c r="BX198">
        <f t="shared" si="67"/>
        <v>0</v>
      </c>
    </row>
    <row r="199" spans="58:76" x14ac:dyDescent="0.25">
      <c r="BF199" s="1" t="e">
        <f>VLOOKUP(N199,'Incoming Material Report'!H:M,6,FALSE)</f>
        <v>#N/A</v>
      </c>
      <c r="BG199" s="1" t="e">
        <f>IF(VLOOKUP(N199,'Incoming Material Report'!H:N,7,FALSE)=0,"",VLOOKUP(N199,'Incoming Material Report'!H:N,7,FALSE))</f>
        <v>#N/A</v>
      </c>
      <c r="BH199" s="52">
        <f t="shared" si="51"/>
        <v>0</v>
      </c>
      <c r="BI199" s="1">
        <f t="shared" si="52"/>
        <v>0</v>
      </c>
      <c r="BJ199" s="1">
        <f t="shared" si="53"/>
        <v>0</v>
      </c>
      <c r="BK199" s="1">
        <f t="shared" si="54"/>
        <v>0</v>
      </c>
      <c r="BL199" s="1">
        <f t="shared" si="55"/>
        <v>0</v>
      </c>
      <c r="BM199" s="10" t="str">
        <f t="shared" si="56"/>
        <v/>
      </c>
      <c r="BN199" s="52">
        <f t="shared" si="57"/>
        <v>0</v>
      </c>
      <c r="BO199" s="52">
        <f t="shared" si="58"/>
        <v>0</v>
      </c>
      <c r="BP199" s="1">
        <f t="shared" si="59"/>
        <v>0</v>
      </c>
      <c r="BQ199" s="1">
        <f t="shared" si="60"/>
        <v>0</v>
      </c>
      <c r="BR199" s="1" t="str">
        <f t="shared" si="61"/>
        <v/>
      </c>
      <c r="BS199" s="1">
        <f t="shared" si="62"/>
        <v>0</v>
      </c>
      <c r="BT199" s="4">
        <f t="shared" si="63"/>
        <v>0</v>
      </c>
      <c r="BU199" s="52">
        <f t="shared" si="64"/>
        <v>0</v>
      </c>
      <c r="BV199" s="1">
        <f t="shared" si="65"/>
        <v>0</v>
      </c>
      <c r="BW199">
        <f t="shared" si="66"/>
        <v>0</v>
      </c>
      <c r="BX199">
        <f t="shared" si="67"/>
        <v>0</v>
      </c>
    </row>
    <row r="200" spans="58:76" x14ac:dyDescent="0.25">
      <c r="BF200" s="1" t="e">
        <f>VLOOKUP(N200,'Incoming Material Report'!H:M,6,FALSE)</f>
        <v>#N/A</v>
      </c>
      <c r="BG200" s="1" t="e">
        <f>IF(VLOOKUP(N200,'Incoming Material Report'!H:N,7,FALSE)=0,"",VLOOKUP(N200,'Incoming Material Report'!H:N,7,FALSE))</f>
        <v>#N/A</v>
      </c>
      <c r="BH200" s="52">
        <f t="shared" si="51"/>
        <v>0</v>
      </c>
      <c r="BI200" s="1">
        <f t="shared" si="52"/>
        <v>0</v>
      </c>
      <c r="BJ200" s="1">
        <f t="shared" si="53"/>
        <v>0</v>
      </c>
      <c r="BK200" s="1">
        <f t="shared" si="54"/>
        <v>0</v>
      </c>
      <c r="BL200" s="1">
        <f t="shared" si="55"/>
        <v>0</v>
      </c>
      <c r="BM200" s="10" t="str">
        <f t="shared" si="56"/>
        <v/>
      </c>
      <c r="BN200" s="52">
        <f t="shared" si="57"/>
        <v>0</v>
      </c>
      <c r="BO200" s="52">
        <f t="shared" si="58"/>
        <v>0</v>
      </c>
      <c r="BP200" s="1">
        <f t="shared" si="59"/>
        <v>0</v>
      </c>
      <c r="BQ200" s="1">
        <f t="shared" si="60"/>
        <v>0</v>
      </c>
      <c r="BR200" s="1" t="str">
        <f t="shared" si="61"/>
        <v/>
      </c>
      <c r="BS200" s="1">
        <f t="shared" si="62"/>
        <v>0</v>
      </c>
      <c r="BT200" s="4">
        <f t="shared" si="63"/>
        <v>0</v>
      </c>
      <c r="BU200" s="52">
        <f t="shared" si="64"/>
        <v>0</v>
      </c>
      <c r="BV200" s="1">
        <f t="shared" si="65"/>
        <v>0</v>
      </c>
      <c r="BW200">
        <f t="shared" si="66"/>
        <v>0</v>
      </c>
      <c r="BX200">
        <f t="shared" si="67"/>
        <v>0</v>
      </c>
    </row>
    <row r="201" spans="58:76" x14ac:dyDescent="0.25">
      <c r="BF201" s="1" t="e">
        <f>VLOOKUP(N201,'Incoming Material Report'!H:M,6,FALSE)</f>
        <v>#N/A</v>
      </c>
      <c r="BG201" s="1" t="e">
        <f>IF(VLOOKUP(N201,'Incoming Material Report'!H:N,7,FALSE)=0,"",VLOOKUP(N201,'Incoming Material Report'!H:N,7,FALSE))</f>
        <v>#N/A</v>
      </c>
      <c r="BH201" s="52">
        <f t="shared" si="51"/>
        <v>0</v>
      </c>
      <c r="BI201" s="1">
        <f t="shared" si="52"/>
        <v>0</v>
      </c>
      <c r="BJ201" s="1">
        <f t="shared" si="53"/>
        <v>0</v>
      </c>
      <c r="BK201" s="1">
        <f t="shared" si="54"/>
        <v>0</v>
      </c>
      <c r="BL201" s="1">
        <f t="shared" si="55"/>
        <v>0</v>
      </c>
      <c r="BM201" s="10" t="str">
        <f t="shared" si="56"/>
        <v/>
      </c>
      <c r="BN201" s="52">
        <f t="shared" si="57"/>
        <v>0</v>
      </c>
      <c r="BO201" s="52">
        <f t="shared" si="58"/>
        <v>0</v>
      </c>
      <c r="BP201" s="1">
        <f t="shared" si="59"/>
        <v>0</v>
      </c>
      <c r="BQ201" s="1">
        <f t="shared" si="60"/>
        <v>0</v>
      </c>
      <c r="BR201" s="1" t="str">
        <f t="shared" si="61"/>
        <v/>
      </c>
      <c r="BS201" s="1">
        <f t="shared" si="62"/>
        <v>0</v>
      </c>
      <c r="BT201" s="4">
        <f t="shared" si="63"/>
        <v>0</v>
      </c>
      <c r="BU201" s="52">
        <f t="shared" si="64"/>
        <v>0</v>
      </c>
      <c r="BV201" s="1">
        <f t="shared" si="65"/>
        <v>0</v>
      </c>
      <c r="BW201">
        <f t="shared" si="66"/>
        <v>0</v>
      </c>
      <c r="BX201">
        <f t="shared" si="67"/>
        <v>0</v>
      </c>
    </row>
    <row r="202" spans="58:76" x14ac:dyDescent="0.25">
      <c r="BF202" s="1" t="e">
        <f>VLOOKUP(N202,'Incoming Material Report'!H:M,6,FALSE)</f>
        <v>#N/A</v>
      </c>
      <c r="BG202" s="1" t="e">
        <f>IF(VLOOKUP(N202,'Incoming Material Report'!H:N,7,FALSE)=0,"",VLOOKUP(N202,'Incoming Material Report'!H:N,7,FALSE))</f>
        <v>#N/A</v>
      </c>
      <c r="BH202" s="52">
        <f t="shared" si="51"/>
        <v>0</v>
      </c>
      <c r="BI202" s="1">
        <f t="shared" si="52"/>
        <v>0</v>
      </c>
      <c r="BJ202" s="1">
        <f t="shared" si="53"/>
        <v>0</v>
      </c>
      <c r="BK202" s="1">
        <f t="shared" si="54"/>
        <v>0</v>
      </c>
      <c r="BL202" s="1">
        <f t="shared" si="55"/>
        <v>0</v>
      </c>
      <c r="BM202" s="10" t="str">
        <f t="shared" si="56"/>
        <v/>
      </c>
      <c r="BN202" s="52">
        <f t="shared" si="57"/>
        <v>0</v>
      </c>
      <c r="BO202" s="52">
        <f t="shared" si="58"/>
        <v>0</v>
      </c>
      <c r="BP202" s="1">
        <f t="shared" si="59"/>
        <v>0</v>
      </c>
      <c r="BQ202" s="1">
        <f t="shared" si="60"/>
        <v>0</v>
      </c>
      <c r="BR202" s="1" t="str">
        <f t="shared" si="61"/>
        <v/>
      </c>
      <c r="BS202" s="1">
        <f t="shared" si="62"/>
        <v>0</v>
      </c>
      <c r="BT202" s="4">
        <f t="shared" si="63"/>
        <v>0</v>
      </c>
      <c r="BU202" s="52">
        <f t="shared" si="64"/>
        <v>0</v>
      </c>
      <c r="BV202" s="1">
        <f t="shared" si="65"/>
        <v>0</v>
      </c>
      <c r="BW202">
        <f t="shared" si="66"/>
        <v>0</v>
      </c>
      <c r="BX202">
        <f t="shared" si="67"/>
        <v>0</v>
      </c>
    </row>
    <row r="203" spans="58:76" x14ac:dyDescent="0.25">
      <c r="BF203" s="1" t="e">
        <f>VLOOKUP(N203,'Incoming Material Report'!H:M,6,FALSE)</f>
        <v>#N/A</v>
      </c>
      <c r="BG203" s="1" t="e">
        <f>IF(VLOOKUP(N203,'Incoming Material Report'!H:N,7,FALSE)=0,"",VLOOKUP(N203,'Incoming Material Report'!H:N,7,FALSE))</f>
        <v>#N/A</v>
      </c>
      <c r="BH203" s="52">
        <f t="shared" si="51"/>
        <v>0</v>
      </c>
      <c r="BI203" s="1">
        <f t="shared" si="52"/>
        <v>0</v>
      </c>
      <c r="BJ203" s="1">
        <f t="shared" si="53"/>
        <v>0</v>
      </c>
      <c r="BK203" s="1">
        <f t="shared" si="54"/>
        <v>0</v>
      </c>
      <c r="BL203" s="1">
        <f t="shared" si="55"/>
        <v>0</v>
      </c>
      <c r="BM203" s="10" t="str">
        <f t="shared" si="56"/>
        <v/>
      </c>
      <c r="BN203" s="52">
        <f t="shared" si="57"/>
        <v>0</v>
      </c>
      <c r="BO203" s="52">
        <f t="shared" si="58"/>
        <v>0</v>
      </c>
      <c r="BP203" s="1">
        <f t="shared" si="59"/>
        <v>0</v>
      </c>
      <c r="BQ203" s="1">
        <f t="shared" si="60"/>
        <v>0</v>
      </c>
      <c r="BR203" s="1" t="str">
        <f t="shared" si="61"/>
        <v/>
      </c>
      <c r="BS203" s="1">
        <f t="shared" si="62"/>
        <v>0</v>
      </c>
      <c r="BT203" s="4">
        <f t="shared" si="63"/>
        <v>0</v>
      </c>
      <c r="BU203" s="52">
        <f t="shared" si="64"/>
        <v>0</v>
      </c>
      <c r="BV203" s="1">
        <f t="shared" si="65"/>
        <v>0</v>
      </c>
      <c r="BW203">
        <f t="shared" si="66"/>
        <v>0</v>
      </c>
      <c r="BX203">
        <f t="shared" si="67"/>
        <v>0</v>
      </c>
    </row>
    <row r="204" spans="58:76" x14ac:dyDescent="0.25">
      <c r="BF204" s="1" t="e">
        <f>VLOOKUP(N204,'Incoming Material Report'!H:M,6,FALSE)</f>
        <v>#N/A</v>
      </c>
      <c r="BG204" s="1" t="e">
        <f>IF(VLOOKUP(N204,'Incoming Material Report'!H:N,7,FALSE)=0,"",VLOOKUP(N204,'Incoming Material Report'!H:N,7,FALSE))</f>
        <v>#N/A</v>
      </c>
      <c r="BH204" s="52">
        <f t="shared" si="51"/>
        <v>0</v>
      </c>
      <c r="BI204" s="1">
        <f t="shared" si="52"/>
        <v>0</v>
      </c>
      <c r="BJ204" s="1">
        <f t="shared" si="53"/>
        <v>0</v>
      </c>
      <c r="BK204" s="1">
        <f t="shared" si="54"/>
        <v>0</v>
      </c>
      <c r="BL204" s="1">
        <f t="shared" si="55"/>
        <v>0</v>
      </c>
      <c r="BM204" s="10" t="str">
        <f t="shared" si="56"/>
        <v/>
      </c>
      <c r="BN204" s="52">
        <f t="shared" si="57"/>
        <v>0</v>
      </c>
      <c r="BO204" s="52">
        <f t="shared" si="58"/>
        <v>0</v>
      </c>
      <c r="BP204" s="1">
        <f t="shared" si="59"/>
        <v>0</v>
      </c>
      <c r="BQ204" s="1">
        <f t="shared" si="60"/>
        <v>0</v>
      </c>
      <c r="BR204" s="1" t="str">
        <f t="shared" si="61"/>
        <v/>
      </c>
      <c r="BS204" s="1">
        <f t="shared" si="62"/>
        <v>0</v>
      </c>
      <c r="BT204" s="4">
        <f t="shared" si="63"/>
        <v>0</v>
      </c>
      <c r="BU204" s="52">
        <f t="shared" si="64"/>
        <v>0</v>
      </c>
      <c r="BV204" s="1">
        <f t="shared" si="65"/>
        <v>0</v>
      </c>
      <c r="BW204">
        <f t="shared" si="66"/>
        <v>0</v>
      </c>
      <c r="BX204">
        <f t="shared" si="67"/>
        <v>0</v>
      </c>
    </row>
    <row r="205" spans="58:76" x14ac:dyDescent="0.25">
      <c r="BF205" s="1" t="e">
        <f>VLOOKUP(N205,'Incoming Material Report'!H:M,6,FALSE)</f>
        <v>#N/A</v>
      </c>
      <c r="BG205" s="1" t="e">
        <f>IF(VLOOKUP(N205,'Incoming Material Report'!H:N,7,FALSE)=0,"",VLOOKUP(N205,'Incoming Material Report'!H:N,7,FALSE))</f>
        <v>#N/A</v>
      </c>
      <c r="BH205" s="52">
        <f t="shared" si="51"/>
        <v>0</v>
      </c>
      <c r="BI205" s="1">
        <f t="shared" si="52"/>
        <v>0</v>
      </c>
      <c r="BJ205" s="1">
        <f t="shared" si="53"/>
        <v>0</v>
      </c>
      <c r="BK205" s="1">
        <f t="shared" si="54"/>
        <v>0</v>
      </c>
      <c r="BL205" s="1">
        <f t="shared" si="55"/>
        <v>0</v>
      </c>
      <c r="BM205" s="10" t="str">
        <f t="shared" si="56"/>
        <v/>
      </c>
      <c r="BN205" s="52">
        <f t="shared" si="57"/>
        <v>0</v>
      </c>
      <c r="BO205" s="52">
        <f t="shared" si="58"/>
        <v>0</v>
      </c>
      <c r="BP205" s="1">
        <f t="shared" si="59"/>
        <v>0</v>
      </c>
      <c r="BQ205" s="1">
        <f t="shared" si="60"/>
        <v>0</v>
      </c>
      <c r="BR205" s="1" t="str">
        <f t="shared" si="61"/>
        <v/>
      </c>
      <c r="BS205" s="1">
        <f t="shared" si="62"/>
        <v>0</v>
      </c>
      <c r="BT205" s="4">
        <f t="shared" si="63"/>
        <v>0</v>
      </c>
      <c r="BU205" s="52">
        <f t="shared" si="64"/>
        <v>0</v>
      </c>
      <c r="BV205" s="1">
        <f t="shared" si="65"/>
        <v>0</v>
      </c>
      <c r="BW205">
        <f t="shared" si="66"/>
        <v>0</v>
      </c>
      <c r="BX205">
        <f t="shared" si="67"/>
        <v>0</v>
      </c>
    </row>
    <row r="206" spans="58:76" x14ac:dyDescent="0.25">
      <c r="BF206" s="1" t="e">
        <f>VLOOKUP(N206,'Incoming Material Report'!H:M,6,FALSE)</f>
        <v>#N/A</v>
      </c>
      <c r="BG206" s="1" t="e">
        <f>IF(VLOOKUP(N206,'Incoming Material Report'!H:N,7,FALSE)=0,"",VLOOKUP(N206,'Incoming Material Report'!H:N,7,FALSE))</f>
        <v>#N/A</v>
      </c>
      <c r="BH206" s="52">
        <f t="shared" si="51"/>
        <v>0</v>
      </c>
      <c r="BI206" s="1">
        <f t="shared" si="52"/>
        <v>0</v>
      </c>
      <c r="BJ206" s="1">
        <f t="shared" si="53"/>
        <v>0</v>
      </c>
      <c r="BK206" s="1">
        <f t="shared" si="54"/>
        <v>0</v>
      </c>
      <c r="BL206" s="1">
        <f t="shared" si="55"/>
        <v>0</v>
      </c>
      <c r="BM206" s="10" t="str">
        <f t="shared" si="56"/>
        <v/>
      </c>
      <c r="BN206" s="52">
        <f t="shared" si="57"/>
        <v>0</v>
      </c>
      <c r="BO206" s="52">
        <f t="shared" si="58"/>
        <v>0</v>
      </c>
      <c r="BP206" s="1">
        <f t="shared" si="59"/>
        <v>0</v>
      </c>
      <c r="BQ206" s="1">
        <f t="shared" si="60"/>
        <v>0</v>
      </c>
      <c r="BR206" s="1" t="str">
        <f t="shared" si="61"/>
        <v/>
      </c>
      <c r="BS206" s="1">
        <f t="shared" si="62"/>
        <v>0</v>
      </c>
      <c r="BT206" s="4">
        <f t="shared" si="63"/>
        <v>0</v>
      </c>
      <c r="BU206" s="52">
        <f t="shared" si="64"/>
        <v>0</v>
      </c>
      <c r="BV206" s="1">
        <f t="shared" si="65"/>
        <v>0</v>
      </c>
      <c r="BW206">
        <f t="shared" si="66"/>
        <v>0</v>
      </c>
      <c r="BX206">
        <f t="shared" si="67"/>
        <v>0</v>
      </c>
    </row>
    <row r="207" spans="58:76" x14ac:dyDescent="0.25">
      <c r="BF207" s="1" t="e">
        <f>VLOOKUP(N207,'Incoming Material Report'!H:M,6,FALSE)</f>
        <v>#N/A</v>
      </c>
      <c r="BG207" s="1" t="e">
        <f>IF(VLOOKUP(N207,'Incoming Material Report'!H:N,7,FALSE)=0,"",VLOOKUP(N207,'Incoming Material Report'!H:N,7,FALSE))</f>
        <v>#N/A</v>
      </c>
      <c r="BH207" s="52">
        <f t="shared" si="51"/>
        <v>0</v>
      </c>
      <c r="BI207" s="1">
        <f t="shared" si="52"/>
        <v>0</v>
      </c>
      <c r="BJ207" s="1">
        <f t="shared" si="53"/>
        <v>0</v>
      </c>
      <c r="BK207" s="1">
        <f t="shared" si="54"/>
        <v>0</v>
      </c>
      <c r="BL207" s="1">
        <f t="shared" si="55"/>
        <v>0</v>
      </c>
      <c r="BM207" s="10" t="str">
        <f t="shared" si="56"/>
        <v/>
      </c>
      <c r="BN207" s="52">
        <f t="shared" si="57"/>
        <v>0</v>
      </c>
      <c r="BO207" s="52">
        <f t="shared" si="58"/>
        <v>0</v>
      </c>
      <c r="BP207" s="1">
        <f t="shared" si="59"/>
        <v>0</v>
      </c>
      <c r="BQ207" s="1">
        <f t="shared" si="60"/>
        <v>0</v>
      </c>
      <c r="BR207" s="1" t="str">
        <f t="shared" si="61"/>
        <v/>
      </c>
      <c r="BS207" s="1">
        <f t="shared" si="62"/>
        <v>0</v>
      </c>
      <c r="BT207" s="4">
        <f t="shared" si="63"/>
        <v>0</v>
      </c>
      <c r="BU207" s="52">
        <f t="shared" si="64"/>
        <v>0</v>
      </c>
      <c r="BV207" s="1">
        <f t="shared" si="65"/>
        <v>0</v>
      </c>
      <c r="BW207">
        <f t="shared" si="66"/>
        <v>0</v>
      </c>
      <c r="BX207">
        <f t="shared" si="67"/>
        <v>0</v>
      </c>
    </row>
    <row r="208" spans="58:76" x14ac:dyDescent="0.25">
      <c r="BF208" s="1" t="e">
        <f>VLOOKUP(N208,'Incoming Material Report'!H:M,6,FALSE)</f>
        <v>#N/A</v>
      </c>
      <c r="BG208" s="1" t="e">
        <f>IF(VLOOKUP(N208,'Incoming Material Report'!H:N,7,FALSE)=0,"",VLOOKUP(N208,'Incoming Material Report'!H:N,7,FALSE))</f>
        <v>#N/A</v>
      </c>
      <c r="BH208" s="52">
        <f t="shared" si="51"/>
        <v>0</v>
      </c>
      <c r="BI208" s="1">
        <f t="shared" si="52"/>
        <v>0</v>
      </c>
      <c r="BJ208" s="1">
        <f t="shared" si="53"/>
        <v>0</v>
      </c>
      <c r="BK208" s="1">
        <f t="shared" si="54"/>
        <v>0</v>
      </c>
      <c r="BL208" s="1">
        <f t="shared" si="55"/>
        <v>0</v>
      </c>
      <c r="BM208" s="10" t="str">
        <f t="shared" si="56"/>
        <v/>
      </c>
      <c r="BN208" s="52">
        <f t="shared" si="57"/>
        <v>0</v>
      </c>
      <c r="BO208" s="52">
        <f t="shared" si="58"/>
        <v>0</v>
      </c>
      <c r="BP208" s="1">
        <f t="shared" si="59"/>
        <v>0</v>
      </c>
      <c r="BQ208" s="1">
        <f t="shared" si="60"/>
        <v>0</v>
      </c>
      <c r="BR208" s="1" t="str">
        <f t="shared" si="61"/>
        <v/>
      </c>
      <c r="BS208" s="1">
        <f t="shared" si="62"/>
        <v>0</v>
      </c>
      <c r="BT208" s="4">
        <f t="shared" si="63"/>
        <v>0</v>
      </c>
      <c r="BU208" s="52">
        <f t="shared" si="64"/>
        <v>0</v>
      </c>
      <c r="BV208" s="1">
        <f t="shared" si="65"/>
        <v>0</v>
      </c>
      <c r="BW208">
        <f t="shared" si="66"/>
        <v>0</v>
      </c>
      <c r="BX208">
        <f t="shared" si="67"/>
        <v>0</v>
      </c>
    </row>
    <row r="209" spans="58:76" x14ac:dyDescent="0.25">
      <c r="BF209" s="1" t="e">
        <f>VLOOKUP(N209,'Incoming Material Report'!H:M,6,FALSE)</f>
        <v>#N/A</v>
      </c>
      <c r="BG209" s="1" t="e">
        <f>IF(VLOOKUP(N209,'Incoming Material Report'!H:N,7,FALSE)=0,"",VLOOKUP(N209,'Incoming Material Report'!H:N,7,FALSE))</f>
        <v>#N/A</v>
      </c>
      <c r="BH209" s="52">
        <f t="shared" si="51"/>
        <v>0</v>
      </c>
      <c r="BI209" s="1">
        <f t="shared" si="52"/>
        <v>0</v>
      </c>
      <c r="BJ209" s="1">
        <f t="shared" si="53"/>
        <v>0</v>
      </c>
      <c r="BK209" s="1">
        <f t="shared" si="54"/>
        <v>0</v>
      </c>
      <c r="BL209" s="1">
        <f t="shared" si="55"/>
        <v>0</v>
      </c>
      <c r="BM209" s="10" t="str">
        <f t="shared" si="56"/>
        <v/>
      </c>
      <c r="BN209" s="52">
        <f t="shared" si="57"/>
        <v>0</v>
      </c>
      <c r="BO209" s="52">
        <f t="shared" si="58"/>
        <v>0</v>
      </c>
      <c r="BP209" s="1">
        <f t="shared" si="59"/>
        <v>0</v>
      </c>
      <c r="BQ209" s="1">
        <f t="shared" si="60"/>
        <v>0</v>
      </c>
      <c r="BR209" s="1" t="str">
        <f t="shared" si="61"/>
        <v/>
      </c>
      <c r="BS209" s="1">
        <f t="shared" si="62"/>
        <v>0</v>
      </c>
      <c r="BT209" s="4">
        <f t="shared" si="63"/>
        <v>0</v>
      </c>
      <c r="BU209" s="52">
        <f t="shared" si="64"/>
        <v>0</v>
      </c>
      <c r="BV209" s="1">
        <f t="shared" si="65"/>
        <v>0</v>
      </c>
      <c r="BW209">
        <f t="shared" si="66"/>
        <v>0</v>
      </c>
      <c r="BX209">
        <f t="shared" si="67"/>
        <v>0</v>
      </c>
    </row>
    <row r="210" spans="58:76" x14ac:dyDescent="0.25">
      <c r="BF210" s="1" t="e">
        <f>VLOOKUP(N210,'Incoming Material Report'!H:M,6,FALSE)</f>
        <v>#N/A</v>
      </c>
      <c r="BG210" s="1" t="e">
        <f>IF(VLOOKUP(N210,'Incoming Material Report'!H:N,7,FALSE)=0,"",VLOOKUP(N210,'Incoming Material Report'!H:N,7,FALSE))</f>
        <v>#N/A</v>
      </c>
      <c r="BH210" s="52">
        <f t="shared" si="51"/>
        <v>0</v>
      </c>
      <c r="BI210" s="1">
        <f t="shared" si="52"/>
        <v>0</v>
      </c>
      <c r="BJ210" s="1">
        <f t="shared" si="53"/>
        <v>0</v>
      </c>
      <c r="BK210" s="1">
        <f t="shared" si="54"/>
        <v>0</v>
      </c>
      <c r="BL210" s="1">
        <f t="shared" si="55"/>
        <v>0</v>
      </c>
      <c r="BM210" s="10" t="str">
        <f t="shared" si="56"/>
        <v/>
      </c>
      <c r="BN210" s="52">
        <f t="shared" si="57"/>
        <v>0</v>
      </c>
      <c r="BO210" s="52">
        <f t="shared" si="58"/>
        <v>0</v>
      </c>
      <c r="BP210" s="1">
        <f t="shared" si="59"/>
        <v>0</v>
      </c>
      <c r="BQ210" s="1">
        <f t="shared" si="60"/>
        <v>0</v>
      </c>
      <c r="BR210" s="1" t="str">
        <f t="shared" si="61"/>
        <v/>
      </c>
      <c r="BS210" s="1">
        <f t="shared" si="62"/>
        <v>0</v>
      </c>
      <c r="BT210" s="4">
        <f t="shared" si="63"/>
        <v>0</v>
      </c>
      <c r="BU210" s="52">
        <f t="shared" si="64"/>
        <v>0</v>
      </c>
      <c r="BV210" s="1">
        <f t="shared" si="65"/>
        <v>0</v>
      </c>
      <c r="BW210">
        <f t="shared" si="66"/>
        <v>0</v>
      </c>
      <c r="BX210">
        <f t="shared" si="67"/>
        <v>0</v>
      </c>
    </row>
    <row r="211" spans="58:76" x14ac:dyDescent="0.25">
      <c r="BF211" s="1" t="e">
        <f>VLOOKUP(N211,'Incoming Material Report'!H:M,6,FALSE)</f>
        <v>#N/A</v>
      </c>
      <c r="BG211" s="1" t="e">
        <f>IF(VLOOKUP(N211,'Incoming Material Report'!H:N,7,FALSE)=0,"",VLOOKUP(N211,'Incoming Material Report'!H:N,7,FALSE))</f>
        <v>#N/A</v>
      </c>
      <c r="BH211" s="52">
        <f t="shared" si="51"/>
        <v>0</v>
      </c>
      <c r="BI211" s="1">
        <f t="shared" si="52"/>
        <v>0</v>
      </c>
      <c r="BJ211" s="1">
        <f t="shared" si="53"/>
        <v>0</v>
      </c>
      <c r="BK211" s="1">
        <f t="shared" si="54"/>
        <v>0</v>
      </c>
      <c r="BL211" s="1">
        <f t="shared" si="55"/>
        <v>0</v>
      </c>
      <c r="BM211" s="10" t="str">
        <f t="shared" si="56"/>
        <v/>
      </c>
      <c r="BN211" s="52">
        <f t="shared" si="57"/>
        <v>0</v>
      </c>
      <c r="BO211" s="52">
        <f t="shared" si="58"/>
        <v>0</v>
      </c>
      <c r="BP211" s="1">
        <f t="shared" si="59"/>
        <v>0</v>
      </c>
      <c r="BQ211" s="1">
        <f t="shared" si="60"/>
        <v>0</v>
      </c>
      <c r="BR211" s="1" t="str">
        <f t="shared" si="61"/>
        <v/>
      </c>
      <c r="BS211" s="1">
        <f t="shared" si="62"/>
        <v>0</v>
      </c>
      <c r="BT211" s="4">
        <f t="shared" si="63"/>
        <v>0</v>
      </c>
      <c r="BU211" s="52">
        <f t="shared" si="64"/>
        <v>0</v>
      </c>
      <c r="BV211" s="1">
        <f t="shared" si="65"/>
        <v>0</v>
      </c>
      <c r="BW211">
        <f t="shared" si="66"/>
        <v>0</v>
      </c>
      <c r="BX211">
        <f t="shared" si="67"/>
        <v>0</v>
      </c>
    </row>
    <row r="212" spans="58:76" x14ac:dyDescent="0.25">
      <c r="BF212" s="1" t="e">
        <f>VLOOKUP(N212,'Incoming Material Report'!H:M,6,FALSE)</f>
        <v>#N/A</v>
      </c>
      <c r="BG212" s="1" t="e">
        <f>IF(VLOOKUP(N212,'Incoming Material Report'!H:N,7,FALSE)=0,"",VLOOKUP(N212,'Incoming Material Report'!H:N,7,FALSE))</f>
        <v>#N/A</v>
      </c>
      <c r="BH212" s="52">
        <f t="shared" si="51"/>
        <v>0</v>
      </c>
      <c r="BI212" s="1">
        <f t="shared" si="52"/>
        <v>0</v>
      </c>
      <c r="BJ212" s="1">
        <f t="shared" si="53"/>
        <v>0</v>
      </c>
      <c r="BK212" s="1">
        <f t="shared" si="54"/>
        <v>0</v>
      </c>
      <c r="BL212" s="1">
        <f t="shared" si="55"/>
        <v>0</v>
      </c>
      <c r="BM212" s="10" t="str">
        <f t="shared" si="56"/>
        <v/>
      </c>
      <c r="BN212" s="52">
        <f t="shared" si="57"/>
        <v>0</v>
      </c>
      <c r="BO212" s="52">
        <f t="shared" si="58"/>
        <v>0</v>
      </c>
      <c r="BP212" s="1">
        <f t="shared" si="59"/>
        <v>0</v>
      </c>
      <c r="BQ212" s="1">
        <f t="shared" si="60"/>
        <v>0</v>
      </c>
      <c r="BR212" s="1" t="str">
        <f t="shared" si="61"/>
        <v/>
      </c>
      <c r="BS212" s="1">
        <f t="shared" si="62"/>
        <v>0</v>
      </c>
      <c r="BT212" s="4">
        <f t="shared" si="63"/>
        <v>0</v>
      </c>
      <c r="BU212" s="52">
        <f t="shared" si="64"/>
        <v>0</v>
      </c>
      <c r="BV212" s="1">
        <f t="shared" si="65"/>
        <v>0</v>
      </c>
      <c r="BW212">
        <f t="shared" si="66"/>
        <v>0</v>
      </c>
      <c r="BX212">
        <f t="shared" si="67"/>
        <v>0</v>
      </c>
    </row>
    <row r="213" spans="58:76" x14ac:dyDescent="0.25">
      <c r="BF213" s="1" t="e">
        <f>VLOOKUP(N213,'Incoming Material Report'!H:M,6,FALSE)</f>
        <v>#N/A</v>
      </c>
      <c r="BG213" s="1" t="e">
        <f>IF(VLOOKUP(N213,'Incoming Material Report'!H:N,7,FALSE)=0,"",VLOOKUP(N213,'Incoming Material Report'!H:N,7,FALSE))</f>
        <v>#N/A</v>
      </c>
      <c r="BH213" s="52">
        <f t="shared" si="51"/>
        <v>0</v>
      </c>
      <c r="BI213" s="1">
        <f t="shared" si="52"/>
        <v>0</v>
      </c>
      <c r="BJ213" s="1">
        <f t="shared" si="53"/>
        <v>0</v>
      </c>
      <c r="BK213" s="1">
        <f t="shared" si="54"/>
        <v>0</v>
      </c>
      <c r="BL213" s="1">
        <f t="shared" si="55"/>
        <v>0</v>
      </c>
      <c r="BM213" s="10" t="str">
        <f t="shared" si="56"/>
        <v/>
      </c>
      <c r="BN213" s="52">
        <f t="shared" si="57"/>
        <v>0</v>
      </c>
      <c r="BO213" s="52">
        <f t="shared" si="58"/>
        <v>0</v>
      </c>
      <c r="BP213" s="1">
        <f t="shared" si="59"/>
        <v>0</v>
      </c>
      <c r="BQ213" s="1">
        <f t="shared" si="60"/>
        <v>0</v>
      </c>
      <c r="BR213" s="1" t="str">
        <f t="shared" si="61"/>
        <v/>
      </c>
      <c r="BS213" s="1">
        <f t="shared" si="62"/>
        <v>0</v>
      </c>
      <c r="BT213" s="4">
        <f t="shared" si="63"/>
        <v>0</v>
      </c>
      <c r="BU213" s="52">
        <f t="shared" si="64"/>
        <v>0</v>
      </c>
      <c r="BV213" s="1">
        <f t="shared" si="65"/>
        <v>0</v>
      </c>
      <c r="BW213">
        <f t="shared" si="66"/>
        <v>0</v>
      </c>
      <c r="BX213">
        <f t="shared" si="67"/>
        <v>0</v>
      </c>
    </row>
    <row r="214" spans="58:76" x14ac:dyDescent="0.25">
      <c r="BF214" s="1" t="e">
        <f>VLOOKUP(N214,'Incoming Material Report'!H:M,6,FALSE)</f>
        <v>#N/A</v>
      </c>
      <c r="BG214" s="1" t="e">
        <f>IF(VLOOKUP(N214,'Incoming Material Report'!H:N,7,FALSE)=0,"",VLOOKUP(N214,'Incoming Material Report'!H:N,7,FALSE))</f>
        <v>#N/A</v>
      </c>
      <c r="BH214" s="52">
        <f t="shared" si="51"/>
        <v>0</v>
      </c>
      <c r="BI214" s="1">
        <f t="shared" si="52"/>
        <v>0</v>
      </c>
      <c r="BJ214" s="1">
        <f t="shared" si="53"/>
        <v>0</v>
      </c>
      <c r="BK214" s="1">
        <f t="shared" si="54"/>
        <v>0</v>
      </c>
      <c r="BL214" s="1">
        <f t="shared" si="55"/>
        <v>0</v>
      </c>
      <c r="BM214" s="10" t="str">
        <f t="shared" si="56"/>
        <v/>
      </c>
      <c r="BN214" s="52">
        <f t="shared" si="57"/>
        <v>0</v>
      </c>
      <c r="BO214" s="52">
        <f t="shared" si="58"/>
        <v>0</v>
      </c>
      <c r="BP214" s="1">
        <f t="shared" si="59"/>
        <v>0</v>
      </c>
      <c r="BQ214" s="1">
        <f t="shared" si="60"/>
        <v>0</v>
      </c>
      <c r="BR214" s="1" t="str">
        <f t="shared" si="61"/>
        <v/>
      </c>
      <c r="BS214" s="1">
        <f t="shared" si="62"/>
        <v>0</v>
      </c>
      <c r="BT214" s="4">
        <f t="shared" si="63"/>
        <v>0</v>
      </c>
      <c r="BU214" s="52">
        <f t="shared" si="64"/>
        <v>0</v>
      </c>
      <c r="BV214" s="1">
        <f t="shared" si="65"/>
        <v>0</v>
      </c>
      <c r="BW214">
        <f t="shared" si="66"/>
        <v>0</v>
      </c>
      <c r="BX214">
        <f t="shared" si="67"/>
        <v>0</v>
      </c>
    </row>
    <row r="215" spans="58:76" x14ac:dyDescent="0.25">
      <c r="BF215" s="1" t="e">
        <f>VLOOKUP(N215,'Incoming Material Report'!H:M,6,FALSE)</f>
        <v>#N/A</v>
      </c>
      <c r="BG215" s="1" t="e">
        <f>IF(VLOOKUP(N215,'Incoming Material Report'!H:N,7,FALSE)=0,"",VLOOKUP(N215,'Incoming Material Report'!H:N,7,FALSE))</f>
        <v>#N/A</v>
      </c>
      <c r="BH215" s="52">
        <f t="shared" si="51"/>
        <v>0</v>
      </c>
      <c r="BI215" s="1">
        <f t="shared" si="52"/>
        <v>0</v>
      </c>
      <c r="BJ215" s="1">
        <f t="shared" si="53"/>
        <v>0</v>
      </c>
      <c r="BK215" s="1">
        <f t="shared" si="54"/>
        <v>0</v>
      </c>
      <c r="BL215" s="1">
        <f t="shared" si="55"/>
        <v>0</v>
      </c>
      <c r="BM215" s="10" t="str">
        <f t="shared" si="56"/>
        <v/>
      </c>
      <c r="BN215" s="52">
        <f t="shared" si="57"/>
        <v>0</v>
      </c>
      <c r="BO215" s="52">
        <f t="shared" si="58"/>
        <v>0</v>
      </c>
      <c r="BP215" s="1">
        <f t="shared" si="59"/>
        <v>0</v>
      </c>
      <c r="BQ215" s="1">
        <f t="shared" si="60"/>
        <v>0</v>
      </c>
      <c r="BR215" s="1" t="str">
        <f t="shared" si="61"/>
        <v/>
      </c>
      <c r="BS215" s="1">
        <f t="shared" si="62"/>
        <v>0</v>
      </c>
      <c r="BT215" s="4">
        <f t="shared" si="63"/>
        <v>0</v>
      </c>
      <c r="BU215" s="52">
        <f t="shared" si="64"/>
        <v>0</v>
      </c>
      <c r="BV215" s="1">
        <f t="shared" si="65"/>
        <v>0</v>
      </c>
      <c r="BW215">
        <f t="shared" si="66"/>
        <v>0</v>
      </c>
      <c r="BX215">
        <f t="shared" si="67"/>
        <v>0</v>
      </c>
    </row>
    <row r="216" spans="58:76" x14ac:dyDescent="0.25">
      <c r="BF216" s="1" t="e">
        <f>VLOOKUP(N216,'Incoming Material Report'!H:M,6,FALSE)</f>
        <v>#N/A</v>
      </c>
      <c r="BG216" s="1" t="e">
        <f>IF(VLOOKUP(N216,'Incoming Material Report'!H:N,7,FALSE)=0,"",VLOOKUP(N216,'Incoming Material Report'!H:N,7,FALSE))</f>
        <v>#N/A</v>
      </c>
      <c r="BH216" s="52">
        <f t="shared" si="51"/>
        <v>0</v>
      </c>
      <c r="BI216" s="1">
        <f t="shared" si="52"/>
        <v>0</v>
      </c>
      <c r="BJ216" s="1">
        <f t="shared" si="53"/>
        <v>0</v>
      </c>
      <c r="BK216" s="1">
        <f t="shared" si="54"/>
        <v>0</v>
      </c>
      <c r="BL216" s="1">
        <f t="shared" si="55"/>
        <v>0</v>
      </c>
      <c r="BM216" s="10" t="str">
        <f t="shared" si="56"/>
        <v/>
      </c>
      <c r="BN216" s="52">
        <f t="shared" si="57"/>
        <v>0</v>
      </c>
      <c r="BO216" s="52">
        <f t="shared" si="58"/>
        <v>0</v>
      </c>
      <c r="BP216" s="1">
        <f t="shared" si="59"/>
        <v>0</v>
      </c>
      <c r="BQ216" s="1">
        <f t="shared" si="60"/>
        <v>0</v>
      </c>
      <c r="BR216" s="1" t="str">
        <f t="shared" si="61"/>
        <v/>
      </c>
      <c r="BS216" s="1">
        <f t="shared" si="62"/>
        <v>0</v>
      </c>
      <c r="BT216" s="4">
        <f t="shared" si="63"/>
        <v>0</v>
      </c>
      <c r="BU216" s="52">
        <f t="shared" si="64"/>
        <v>0</v>
      </c>
      <c r="BV216" s="1">
        <f t="shared" si="65"/>
        <v>0</v>
      </c>
      <c r="BW216">
        <f t="shared" si="66"/>
        <v>0</v>
      </c>
      <c r="BX216">
        <f t="shared" si="67"/>
        <v>0</v>
      </c>
    </row>
    <row r="217" spans="58:76" x14ac:dyDescent="0.25">
      <c r="BF217" s="1" t="e">
        <f>VLOOKUP(N217,'Incoming Material Report'!H:M,6,FALSE)</f>
        <v>#N/A</v>
      </c>
      <c r="BG217" s="1" t="e">
        <f>IF(VLOOKUP(N217,'Incoming Material Report'!H:N,7,FALSE)=0,"",VLOOKUP(N217,'Incoming Material Report'!H:N,7,FALSE))</f>
        <v>#N/A</v>
      </c>
      <c r="BH217" s="52">
        <f t="shared" si="51"/>
        <v>0</v>
      </c>
      <c r="BI217" s="1">
        <f t="shared" si="52"/>
        <v>0</v>
      </c>
      <c r="BJ217" s="1">
        <f t="shared" si="53"/>
        <v>0</v>
      </c>
      <c r="BK217" s="1">
        <f t="shared" si="54"/>
        <v>0</v>
      </c>
      <c r="BL217" s="1">
        <f t="shared" si="55"/>
        <v>0</v>
      </c>
      <c r="BM217" s="10" t="str">
        <f t="shared" si="56"/>
        <v/>
      </c>
      <c r="BN217" s="52">
        <f t="shared" si="57"/>
        <v>0</v>
      </c>
      <c r="BO217" s="52">
        <f t="shared" si="58"/>
        <v>0</v>
      </c>
      <c r="BP217" s="1">
        <f t="shared" si="59"/>
        <v>0</v>
      </c>
      <c r="BQ217" s="1">
        <f t="shared" si="60"/>
        <v>0</v>
      </c>
      <c r="BR217" s="1" t="str">
        <f t="shared" si="61"/>
        <v/>
      </c>
      <c r="BS217" s="1">
        <f t="shared" si="62"/>
        <v>0</v>
      </c>
      <c r="BT217" s="4">
        <f t="shared" si="63"/>
        <v>0</v>
      </c>
      <c r="BU217" s="52">
        <f t="shared" si="64"/>
        <v>0</v>
      </c>
      <c r="BV217" s="1">
        <f t="shared" si="65"/>
        <v>0</v>
      </c>
      <c r="BW217">
        <f t="shared" si="66"/>
        <v>0</v>
      </c>
      <c r="BX217">
        <f t="shared" si="67"/>
        <v>0</v>
      </c>
    </row>
    <row r="218" spans="58:76" x14ac:dyDescent="0.25">
      <c r="BF218" s="1" t="e">
        <f>VLOOKUP(N218,'Incoming Material Report'!H:M,6,FALSE)</f>
        <v>#N/A</v>
      </c>
      <c r="BG218" s="1" t="e">
        <f>IF(VLOOKUP(N218,'Incoming Material Report'!H:N,7,FALSE)=0,"",VLOOKUP(N218,'Incoming Material Report'!H:N,7,FALSE))</f>
        <v>#N/A</v>
      </c>
      <c r="BH218" s="52">
        <f t="shared" si="51"/>
        <v>0</v>
      </c>
      <c r="BI218" s="1">
        <f t="shared" si="52"/>
        <v>0</v>
      </c>
      <c r="BJ218" s="1">
        <f t="shared" si="53"/>
        <v>0</v>
      </c>
      <c r="BK218" s="1">
        <f t="shared" si="54"/>
        <v>0</v>
      </c>
      <c r="BL218" s="1">
        <f t="shared" si="55"/>
        <v>0</v>
      </c>
      <c r="BM218" s="10" t="str">
        <f t="shared" si="56"/>
        <v/>
      </c>
      <c r="BN218" s="52">
        <f t="shared" si="57"/>
        <v>0</v>
      </c>
      <c r="BO218" s="52">
        <f t="shared" si="58"/>
        <v>0</v>
      </c>
      <c r="BP218" s="1">
        <f t="shared" si="59"/>
        <v>0</v>
      </c>
      <c r="BQ218" s="1">
        <f t="shared" si="60"/>
        <v>0</v>
      </c>
      <c r="BR218" s="1" t="str">
        <f t="shared" si="61"/>
        <v/>
      </c>
      <c r="BS218" s="1">
        <f t="shared" si="62"/>
        <v>0</v>
      </c>
      <c r="BT218" s="4">
        <f t="shared" si="63"/>
        <v>0</v>
      </c>
      <c r="BU218" s="52">
        <f t="shared" si="64"/>
        <v>0</v>
      </c>
      <c r="BV218" s="1">
        <f t="shared" si="65"/>
        <v>0</v>
      </c>
      <c r="BW218">
        <f t="shared" si="66"/>
        <v>0</v>
      </c>
      <c r="BX218">
        <f t="shared" si="67"/>
        <v>0</v>
      </c>
    </row>
    <row r="219" spans="58:76" x14ac:dyDescent="0.25">
      <c r="BF219" s="1" t="e">
        <f>VLOOKUP(N219,'Incoming Material Report'!H:M,6,FALSE)</f>
        <v>#N/A</v>
      </c>
      <c r="BG219" s="1" t="e">
        <f>IF(VLOOKUP(N219,'Incoming Material Report'!H:N,7,FALSE)=0,"",VLOOKUP(N219,'Incoming Material Report'!H:N,7,FALSE))</f>
        <v>#N/A</v>
      </c>
      <c r="BH219" s="52">
        <f t="shared" si="51"/>
        <v>0</v>
      </c>
      <c r="BI219" s="1">
        <f t="shared" si="52"/>
        <v>0</v>
      </c>
      <c r="BJ219" s="1">
        <f t="shared" si="53"/>
        <v>0</v>
      </c>
      <c r="BK219" s="1">
        <f t="shared" si="54"/>
        <v>0</v>
      </c>
      <c r="BL219" s="1">
        <f t="shared" si="55"/>
        <v>0</v>
      </c>
      <c r="BM219" s="10" t="str">
        <f t="shared" si="56"/>
        <v/>
      </c>
      <c r="BN219" s="52">
        <f t="shared" si="57"/>
        <v>0</v>
      </c>
      <c r="BO219" s="52">
        <f t="shared" si="58"/>
        <v>0</v>
      </c>
      <c r="BP219" s="1">
        <f t="shared" si="59"/>
        <v>0</v>
      </c>
      <c r="BQ219" s="1">
        <f t="shared" si="60"/>
        <v>0</v>
      </c>
      <c r="BR219" s="1" t="str">
        <f t="shared" si="61"/>
        <v/>
      </c>
      <c r="BS219" s="1">
        <f t="shared" si="62"/>
        <v>0</v>
      </c>
      <c r="BT219" s="4">
        <f t="shared" si="63"/>
        <v>0</v>
      </c>
      <c r="BU219" s="52">
        <f t="shared" si="64"/>
        <v>0</v>
      </c>
      <c r="BV219" s="1">
        <f t="shared" si="65"/>
        <v>0</v>
      </c>
      <c r="BW219">
        <f t="shared" si="66"/>
        <v>0</v>
      </c>
      <c r="BX219">
        <f t="shared" si="67"/>
        <v>0</v>
      </c>
    </row>
    <row r="220" spans="58:76" x14ac:dyDescent="0.25">
      <c r="BF220" s="1" t="e">
        <f>VLOOKUP(N220,'Incoming Material Report'!H:M,6,FALSE)</f>
        <v>#N/A</v>
      </c>
      <c r="BG220" s="1" t="e">
        <f>IF(VLOOKUP(N220,'Incoming Material Report'!H:N,7,FALSE)=0,"",VLOOKUP(N220,'Incoming Material Report'!H:N,7,FALSE))</f>
        <v>#N/A</v>
      </c>
      <c r="BH220" s="52">
        <f t="shared" si="51"/>
        <v>0</v>
      </c>
      <c r="BI220" s="1">
        <f t="shared" si="52"/>
        <v>0</v>
      </c>
      <c r="BJ220" s="1">
        <f t="shared" si="53"/>
        <v>0</v>
      </c>
      <c r="BK220" s="1">
        <f t="shared" si="54"/>
        <v>0</v>
      </c>
      <c r="BL220" s="1">
        <f t="shared" si="55"/>
        <v>0</v>
      </c>
      <c r="BM220" s="10" t="str">
        <f t="shared" si="56"/>
        <v/>
      </c>
      <c r="BN220" s="52">
        <f t="shared" si="57"/>
        <v>0</v>
      </c>
      <c r="BO220" s="52">
        <f t="shared" si="58"/>
        <v>0</v>
      </c>
      <c r="BP220" s="1">
        <f t="shared" si="59"/>
        <v>0</v>
      </c>
      <c r="BQ220" s="1">
        <f t="shared" si="60"/>
        <v>0</v>
      </c>
      <c r="BR220" s="1" t="str">
        <f t="shared" si="61"/>
        <v/>
      </c>
      <c r="BS220" s="1">
        <f t="shared" si="62"/>
        <v>0</v>
      </c>
      <c r="BT220" s="4">
        <f t="shared" si="63"/>
        <v>0</v>
      </c>
      <c r="BU220" s="52">
        <f t="shared" si="64"/>
        <v>0</v>
      </c>
      <c r="BV220" s="1">
        <f t="shared" si="65"/>
        <v>0</v>
      </c>
      <c r="BW220">
        <f t="shared" si="66"/>
        <v>0</v>
      </c>
      <c r="BX220">
        <f t="shared" si="67"/>
        <v>0</v>
      </c>
    </row>
    <row r="221" spans="58:76" x14ac:dyDescent="0.25">
      <c r="BF221" s="1" t="e">
        <f>VLOOKUP(N221,'Incoming Material Report'!H:M,6,FALSE)</f>
        <v>#N/A</v>
      </c>
      <c r="BG221" s="1" t="e">
        <f>IF(VLOOKUP(N221,'Incoming Material Report'!H:N,7,FALSE)=0,"",VLOOKUP(N221,'Incoming Material Report'!H:N,7,FALSE))</f>
        <v>#N/A</v>
      </c>
      <c r="BH221" s="52">
        <f t="shared" si="51"/>
        <v>0</v>
      </c>
      <c r="BI221" s="1">
        <f t="shared" si="52"/>
        <v>0</v>
      </c>
      <c r="BJ221" s="1">
        <f t="shared" si="53"/>
        <v>0</v>
      </c>
      <c r="BK221" s="1">
        <f t="shared" si="54"/>
        <v>0</v>
      </c>
      <c r="BL221" s="1">
        <f t="shared" si="55"/>
        <v>0</v>
      </c>
      <c r="BM221" s="10" t="str">
        <f t="shared" si="56"/>
        <v/>
      </c>
      <c r="BN221" s="52">
        <f t="shared" si="57"/>
        <v>0</v>
      </c>
      <c r="BO221" s="52">
        <f t="shared" si="58"/>
        <v>0</v>
      </c>
      <c r="BP221" s="1">
        <f t="shared" si="59"/>
        <v>0</v>
      </c>
      <c r="BQ221" s="1">
        <f t="shared" si="60"/>
        <v>0</v>
      </c>
      <c r="BR221" s="1" t="str">
        <f t="shared" si="61"/>
        <v/>
      </c>
      <c r="BS221" s="1">
        <f t="shared" si="62"/>
        <v>0</v>
      </c>
      <c r="BT221" s="4">
        <f t="shared" si="63"/>
        <v>0</v>
      </c>
      <c r="BU221" s="52">
        <f t="shared" si="64"/>
        <v>0</v>
      </c>
      <c r="BV221" s="1">
        <f t="shared" si="65"/>
        <v>0</v>
      </c>
      <c r="BW221">
        <f t="shared" si="66"/>
        <v>0</v>
      </c>
      <c r="BX221">
        <f t="shared" si="67"/>
        <v>0</v>
      </c>
    </row>
    <row r="222" spans="58:76" x14ac:dyDescent="0.25">
      <c r="BF222" s="1" t="e">
        <f>VLOOKUP(N222,'Incoming Material Report'!H:M,6,FALSE)</f>
        <v>#N/A</v>
      </c>
      <c r="BG222" s="1" t="e">
        <f>IF(VLOOKUP(N222,'Incoming Material Report'!H:N,7,FALSE)=0,"",VLOOKUP(N222,'Incoming Material Report'!H:N,7,FALSE))</f>
        <v>#N/A</v>
      </c>
      <c r="BH222" s="52">
        <f t="shared" si="51"/>
        <v>0</v>
      </c>
      <c r="BI222" s="1">
        <f t="shared" si="52"/>
        <v>0</v>
      </c>
      <c r="BJ222" s="1">
        <f t="shared" si="53"/>
        <v>0</v>
      </c>
      <c r="BK222" s="1">
        <f t="shared" si="54"/>
        <v>0</v>
      </c>
      <c r="BL222" s="1">
        <f t="shared" si="55"/>
        <v>0</v>
      </c>
      <c r="BM222" s="10" t="str">
        <f t="shared" si="56"/>
        <v/>
      </c>
      <c r="BN222" s="52">
        <f t="shared" si="57"/>
        <v>0</v>
      </c>
      <c r="BO222" s="52">
        <f t="shared" si="58"/>
        <v>0</v>
      </c>
      <c r="BP222" s="1">
        <f t="shared" si="59"/>
        <v>0</v>
      </c>
      <c r="BQ222" s="1">
        <f t="shared" si="60"/>
        <v>0</v>
      </c>
      <c r="BR222" s="1" t="str">
        <f t="shared" si="61"/>
        <v/>
      </c>
      <c r="BS222" s="1">
        <f t="shared" si="62"/>
        <v>0</v>
      </c>
      <c r="BT222" s="4">
        <f t="shared" si="63"/>
        <v>0</v>
      </c>
      <c r="BU222" s="52">
        <f t="shared" si="64"/>
        <v>0</v>
      </c>
      <c r="BV222" s="1">
        <f t="shared" si="65"/>
        <v>0</v>
      </c>
      <c r="BW222">
        <f t="shared" si="66"/>
        <v>0</v>
      </c>
      <c r="BX222">
        <f t="shared" si="67"/>
        <v>0</v>
      </c>
    </row>
    <row r="223" spans="58:76" x14ac:dyDescent="0.25">
      <c r="BF223" s="1" t="e">
        <f>VLOOKUP(N223,'Incoming Material Report'!H:M,6,FALSE)</f>
        <v>#N/A</v>
      </c>
      <c r="BG223" s="1" t="e">
        <f>IF(VLOOKUP(N223,'Incoming Material Report'!H:N,7,FALSE)=0,"",VLOOKUP(N223,'Incoming Material Report'!H:N,7,FALSE))</f>
        <v>#N/A</v>
      </c>
      <c r="BH223" s="52">
        <f t="shared" si="51"/>
        <v>0</v>
      </c>
      <c r="BI223" s="1">
        <f t="shared" si="52"/>
        <v>0</v>
      </c>
      <c r="BJ223" s="1">
        <f t="shared" si="53"/>
        <v>0</v>
      </c>
      <c r="BK223" s="1">
        <f t="shared" si="54"/>
        <v>0</v>
      </c>
      <c r="BL223" s="1">
        <f t="shared" si="55"/>
        <v>0</v>
      </c>
      <c r="BM223" s="10" t="str">
        <f t="shared" si="56"/>
        <v/>
      </c>
      <c r="BN223" s="52">
        <f t="shared" si="57"/>
        <v>0</v>
      </c>
      <c r="BO223" s="52">
        <f t="shared" si="58"/>
        <v>0</v>
      </c>
      <c r="BP223" s="1">
        <f t="shared" si="59"/>
        <v>0</v>
      </c>
      <c r="BQ223" s="1">
        <f t="shared" si="60"/>
        <v>0</v>
      </c>
      <c r="BR223" s="1" t="str">
        <f t="shared" si="61"/>
        <v/>
      </c>
      <c r="BS223" s="1">
        <f t="shared" si="62"/>
        <v>0</v>
      </c>
      <c r="BT223" s="4">
        <f t="shared" si="63"/>
        <v>0</v>
      </c>
      <c r="BU223" s="52">
        <f t="shared" si="64"/>
        <v>0</v>
      </c>
      <c r="BV223" s="1">
        <f t="shared" si="65"/>
        <v>0</v>
      </c>
      <c r="BW223">
        <f t="shared" si="66"/>
        <v>0</v>
      </c>
      <c r="BX223">
        <f t="shared" si="67"/>
        <v>0</v>
      </c>
    </row>
    <row r="224" spans="58:76" x14ac:dyDescent="0.25">
      <c r="BF224" s="1" t="e">
        <f>VLOOKUP(N224,'Incoming Material Report'!H:M,6,FALSE)</f>
        <v>#N/A</v>
      </c>
      <c r="BG224" s="1" t="e">
        <f>IF(VLOOKUP(N224,'Incoming Material Report'!H:N,7,FALSE)=0,"",VLOOKUP(N224,'Incoming Material Report'!H:N,7,FALSE))</f>
        <v>#N/A</v>
      </c>
      <c r="BH224" s="52">
        <f t="shared" si="51"/>
        <v>0</v>
      </c>
      <c r="BI224" s="1">
        <f t="shared" si="52"/>
        <v>0</v>
      </c>
      <c r="BJ224" s="1">
        <f t="shared" si="53"/>
        <v>0</v>
      </c>
      <c r="BK224" s="1">
        <f t="shared" si="54"/>
        <v>0</v>
      </c>
      <c r="BL224" s="1">
        <f t="shared" si="55"/>
        <v>0</v>
      </c>
      <c r="BM224" s="10" t="str">
        <f t="shared" si="56"/>
        <v/>
      </c>
      <c r="BN224" s="52">
        <f t="shared" si="57"/>
        <v>0</v>
      </c>
      <c r="BO224" s="52">
        <f t="shared" si="58"/>
        <v>0</v>
      </c>
      <c r="BP224" s="1">
        <f t="shared" si="59"/>
        <v>0</v>
      </c>
      <c r="BQ224" s="1">
        <f t="shared" si="60"/>
        <v>0</v>
      </c>
      <c r="BR224" s="1" t="str">
        <f t="shared" si="61"/>
        <v/>
      </c>
      <c r="BS224" s="1">
        <f t="shared" si="62"/>
        <v>0</v>
      </c>
      <c r="BT224" s="4">
        <f t="shared" si="63"/>
        <v>0</v>
      </c>
      <c r="BU224" s="52">
        <f t="shared" si="64"/>
        <v>0</v>
      </c>
      <c r="BV224" s="1">
        <f t="shared" si="65"/>
        <v>0</v>
      </c>
      <c r="BW224">
        <f t="shared" si="66"/>
        <v>0</v>
      </c>
      <c r="BX224">
        <f t="shared" si="67"/>
        <v>0</v>
      </c>
    </row>
    <row r="225" spans="58:76" x14ac:dyDescent="0.25">
      <c r="BF225" s="1" t="e">
        <f>VLOOKUP(N225,'Incoming Material Report'!H:M,6,FALSE)</f>
        <v>#N/A</v>
      </c>
      <c r="BG225" s="1" t="e">
        <f>IF(VLOOKUP(N225,'Incoming Material Report'!H:N,7,FALSE)=0,"",VLOOKUP(N225,'Incoming Material Report'!H:N,7,FALSE))</f>
        <v>#N/A</v>
      </c>
      <c r="BH225" s="52">
        <f t="shared" si="51"/>
        <v>0</v>
      </c>
      <c r="BI225" s="1">
        <f t="shared" si="52"/>
        <v>0</v>
      </c>
      <c r="BJ225" s="1">
        <f t="shared" si="53"/>
        <v>0</v>
      </c>
      <c r="BK225" s="1">
        <f t="shared" si="54"/>
        <v>0</v>
      </c>
      <c r="BL225" s="1">
        <f t="shared" si="55"/>
        <v>0</v>
      </c>
      <c r="BM225" s="10" t="str">
        <f t="shared" si="56"/>
        <v/>
      </c>
      <c r="BN225" s="52">
        <f t="shared" si="57"/>
        <v>0</v>
      </c>
      <c r="BO225" s="52">
        <f t="shared" si="58"/>
        <v>0</v>
      </c>
      <c r="BP225" s="1">
        <f t="shared" si="59"/>
        <v>0</v>
      </c>
      <c r="BQ225" s="1">
        <f t="shared" si="60"/>
        <v>0</v>
      </c>
      <c r="BR225" s="1" t="str">
        <f t="shared" si="61"/>
        <v/>
      </c>
      <c r="BS225" s="1">
        <f t="shared" si="62"/>
        <v>0</v>
      </c>
      <c r="BT225" s="4">
        <f t="shared" si="63"/>
        <v>0</v>
      </c>
      <c r="BU225" s="52">
        <f t="shared" si="64"/>
        <v>0</v>
      </c>
      <c r="BV225" s="1">
        <f t="shared" si="65"/>
        <v>0</v>
      </c>
      <c r="BW225">
        <f t="shared" si="66"/>
        <v>0</v>
      </c>
      <c r="BX225">
        <f t="shared" si="67"/>
        <v>0</v>
      </c>
    </row>
    <row r="226" spans="58:76" x14ac:dyDescent="0.25">
      <c r="BF226" s="1" t="e">
        <f>VLOOKUP(N226,'Incoming Material Report'!H:M,6,FALSE)</f>
        <v>#N/A</v>
      </c>
      <c r="BG226" s="1" t="e">
        <f>IF(VLOOKUP(N226,'Incoming Material Report'!H:N,7,FALSE)=0,"",VLOOKUP(N226,'Incoming Material Report'!H:N,7,FALSE))</f>
        <v>#N/A</v>
      </c>
      <c r="BH226" s="52">
        <f t="shared" si="51"/>
        <v>0</v>
      </c>
      <c r="BI226" s="1">
        <f t="shared" si="52"/>
        <v>0</v>
      </c>
      <c r="BJ226" s="1">
        <f t="shared" si="53"/>
        <v>0</v>
      </c>
      <c r="BK226" s="1">
        <f t="shared" si="54"/>
        <v>0</v>
      </c>
      <c r="BL226" s="1">
        <f t="shared" si="55"/>
        <v>0</v>
      </c>
      <c r="BM226" s="10" t="str">
        <f t="shared" si="56"/>
        <v/>
      </c>
      <c r="BN226" s="52">
        <f t="shared" si="57"/>
        <v>0</v>
      </c>
      <c r="BO226" s="52">
        <f t="shared" si="58"/>
        <v>0</v>
      </c>
      <c r="BP226" s="1">
        <f t="shared" si="59"/>
        <v>0</v>
      </c>
      <c r="BQ226" s="1">
        <f t="shared" si="60"/>
        <v>0</v>
      </c>
      <c r="BR226" s="1" t="str">
        <f t="shared" si="61"/>
        <v/>
      </c>
      <c r="BS226" s="1">
        <f t="shared" si="62"/>
        <v>0</v>
      </c>
      <c r="BT226" s="4">
        <f t="shared" si="63"/>
        <v>0</v>
      </c>
      <c r="BU226" s="52">
        <f t="shared" si="64"/>
        <v>0</v>
      </c>
      <c r="BV226" s="1">
        <f t="shared" si="65"/>
        <v>0</v>
      </c>
      <c r="BW226">
        <f t="shared" si="66"/>
        <v>0</v>
      </c>
      <c r="BX226">
        <f t="shared" si="67"/>
        <v>0</v>
      </c>
    </row>
    <row r="227" spans="58:76" x14ac:dyDescent="0.25">
      <c r="BF227" s="1" t="e">
        <f>VLOOKUP(N227,'Incoming Material Report'!H:M,6,FALSE)</f>
        <v>#N/A</v>
      </c>
      <c r="BG227" s="1" t="e">
        <f>IF(VLOOKUP(N227,'Incoming Material Report'!H:N,7,FALSE)=0,"",VLOOKUP(N227,'Incoming Material Report'!H:N,7,FALSE))</f>
        <v>#N/A</v>
      </c>
      <c r="BH227" s="52">
        <f t="shared" si="51"/>
        <v>0</v>
      </c>
      <c r="BI227" s="1">
        <f t="shared" si="52"/>
        <v>0</v>
      </c>
      <c r="BJ227" s="1">
        <f t="shared" si="53"/>
        <v>0</v>
      </c>
      <c r="BK227" s="1">
        <f t="shared" si="54"/>
        <v>0</v>
      </c>
      <c r="BL227" s="1">
        <f t="shared" si="55"/>
        <v>0</v>
      </c>
      <c r="BM227" s="10" t="str">
        <f t="shared" si="56"/>
        <v/>
      </c>
      <c r="BN227" s="52">
        <f t="shared" si="57"/>
        <v>0</v>
      </c>
      <c r="BO227" s="52">
        <f t="shared" si="58"/>
        <v>0</v>
      </c>
      <c r="BP227" s="1">
        <f t="shared" si="59"/>
        <v>0</v>
      </c>
      <c r="BQ227" s="1">
        <f t="shared" si="60"/>
        <v>0</v>
      </c>
      <c r="BR227" s="1" t="str">
        <f t="shared" si="61"/>
        <v/>
      </c>
      <c r="BS227" s="1">
        <f t="shared" si="62"/>
        <v>0</v>
      </c>
      <c r="BT227" s="4">
        <f t="shared" si="63"/>
        <v>0</v>
      </c>
      <c r="BU227" s="52">
        <f t="shared" si="64"/>
        <v>0</v>
      </c>
      <c r="BV227" s="1">
        <f t="shared" si="65"/>
        <v>0</v>
      </c>
      <c r="BW227">
        <f t="shared" si="66"/>
        <v>0</v>
      </c>
      <c r="BX227">
        <f t="shared" si="67"/>
        <v>0</v>
      </c>
    </row>
    <row r="228" spans="58:76" x14ac:dyDescent="0.25">
      <c r="BF228" s="1" t="e">
        <f>VLOOKUP(N228,'Incoming Material Report'!H:M,6,FALSE)</f>
        <v>#N/A</v>
      </c>
      <c r="BG228" s="1" t="e">
        <f>IF(VLOOKUP(N228,'Incoming Material Report'!H:N,7,FALSE)=0,"",VLOOKUP(N228,'Incoming Material Report'!H:N,7,FALSE))</f>
        <v>#N/A</v>
      </c>
      <c r="BH228" s="52">
        <f t="shared" si="51"/>
        <v>0</v>
      </c>
      <c r="BI228" s="1">
        <f t="shared" si="52"/>
        <v>0</v>
      </c>
      <c r="BJ228" s="1">
        <f t="shared" si="53"/>
        <v>0</v>
      </c>
      <c r="BK228" s="1">
        <f t="shared" si="54"/>
        <v>0</v>
      </c>
      <c r="BL228" s="1">
        <f t="shared" si="55"/>
        <v>0</v>
      </c>
      <c r="BM228" s="10" t="str">
        <f t="shared" si="56"/>
        <v/>
      </c>
      <c r="BN228" s="52">
        <f t="shared" si="57"/>
        <v>0</v>
      </c>
      <c r="BO228" s="52">
        <f t="shared" si="58"/>
        <v>0</v>
      </c>
      <c r="BP228" s="1">
        <f t="shared" si="59"/>
        <v>0</v>
      </c>
      <c r="BQ228" s="1">
        <f t="shared" si="60"/>
        <v>0</v>
      </c>
      <c r="BR228" s="1" t="str">
        <f t="shared" si="61"/>
        <v/>
      </c>
      <c r="BS228" s="1">
        <f t="shared" si="62"/>
        <v>0</v>
      </c>
      <c r="BT228" s="4">
        <f t="shared" si="63"/>
        <v>0</v>
      </c>
      <c r="BU228" s="52">
        <f t="shared" si="64"/>
        <v>0</v>
      </c>
      <c r="BV228" s="1">
        <f t="shared" si="65"/>
        <v>0</v>
      </c>
      <c r="BW228">
        <f t="shared" si="66"/>
        <v>0</v>
      </c>
      <c r="BX228">
        <f t="shared" si="67"/>
        <v>0</v>
      </c>
    </row>
    <row r="229" spans="58:76" x14ac:dyDescent="0.25">
      <c r="BF229" s="1" t="e">
        <f>VLOOKUP(N229,'Incoming Material Report'!H:M,6,FALSE)</f>
        <v>#N/A</v>
      </c>
      <c r="BG229" s="1" t="e">
        <f>IF(VLOOKUP(N229,'Incoming Material Report'!H:N,7,FALSE)=0,"",VLOOKUP(N229,'Incoming Material Report'!H:N,7,FALSE))</f>
        <v>#N/A</v>
      </c>
      <c r="BH229" s="52">
        <f t="shared" si="51"/>
        <v>0</v>
      </c>
      <c r="BI229" s="1">
        <f t="shared" si="52"/>
        <v>0</v>
      </c>
      <c r="BJ229" s="1">
        <f t="shared" si="53"/>
        <v>0</v>
      </c>
      <c r="BK229" s="1">
        <f t="shared" si="54"/>
        <v>0</v>
      </c>
      <c r="BL229" s="1">
        <f t="shared" si="55"/>
        <v>0</v>
      </c>
      <c r="BM229" s="10" t="str">
        <f t="shared" si="56"/>
        <v/>
      </c>
      <c r="BN229" s="52">
        <f t="shared" si="57"/>
        <v>0</v>
      </c>
      <c r="BO229" s="52">
        <f t="shared" si="58"/>
        <v>0</v>
      </c>
      <c r="BP229" s="1">
        <f t="shared" si="59"/>
        <v>0</v>
      </c>
      <c r="BQ229" s="1">
        <f t="shared" si="60"/>
        <v>0</v>
      </c>
      <c r="BR229" s="1" t="str">
        <f t="shared" si="61"/>
        <v/>
      </c>
      <c r="BS229" s="1">
        <f t="shared" si="62"/>
        <v>0</v>
      </c>
      <c r="BT229" s="4">
        <f t="shared" si="63"/>
        <v>0</v>
      </c>
      <c r="BU229" s="52">
        <f t="shared" si="64"/>
        <v>0</v>
      </c>
      <c r="BV229" s="1">
        <f t="shared" si="65"/>
        <v>0</v>
      </c>
      <c r="BW229">
        <f t="shared" si="66"/>
        <v>0</v>
      </c>
      <c r="BX229">
        <f t="shared" si="67"/>
        <v>0</v>
      </c>
    </row>
    <row r="230" spans="58:76" x14ac:dyDescent="0.25">
      <c r="BF230" s="1" t="e">
        <f>VLOOKUP(N230,'Incoming Material Report'!H:M,6,FALSE)</f>
        <v>#N/A</v>
      </c>
      <c r="BG230" s="1" t="e">
        <f>IF(VLOOKUP(N230,'Incoming Material Report'!H:N,7,FALSE)=0,"",VLOOKUP(N230,'Incoming Material Report'!H:N,7,FALSE))</f>
        <v>#N/A</v>
      </c>
      <c r="BH230" s="52">
        <f t="shared" si="51"/>
        <v>0</v>
      </c>
      <c r="BI230" s="1">
        <f t="shared" si="52"/>
        <v>0</v>
      </c>
      <c r="BJ230" s="1">
        <f t="shared" si="53"/>
        <v>0</v>
      </c>
      <c r="BK230" s="1">
        <f t="shared" si="54"/>
        <v>0</v>
      </c>
      <c r="BL230" s="1">
        <f t="shared" si="55"/>
        <v>0</v>
      </c>
      <c r="BM230" s="10" t="str">
        <f t="shared" si="56"/>
        <v/>
      </c>
      <c r="BN230" s="52">
        <f t="shared" si="57"/>
        <v>0</v>
      </c>
      <c r="BO230" s="52">
        <f t="shared" si="58"/>
        <v>0</v>
      </c>
      <c r="BP230" s="1">
        <f t="shared" si="59"/>
        <v>0</v>
      </c>
      <c r="BQ230" s="1">
        <f t="shared" si="60"/>
        <v>0</v>
      </c>
      <c r="BR230" s="1" t="str">
        <f t="shared" si="61"/>
        <v/>
      </c>
      <c r="BS230" s="1">
        <f t="shared" si="62"/>
        <v>0</v>
      </c>
      <c r="BT230" s="4">
        <f t="shared" si="63"/>
        <v>0</v>
      </c>
      <c r="BU230" s="52">
        <f t="shared" si="64"/>
        <v>0</v>
      </c>
      <c r="BV230" s="1">
        <f t="shared" si="65"/>
        <v>0</v>
      </c>
      <c r="BW230">
        <f t="shared" si="66"/>
        <v>0</v>
      </c>
      <c r="BX230">
        <f t="shared" si="67"/>
        <v>0</v>
      </c>
    </row>
    <row r="231" spans="58:76" x14ac:dyDescent="0.25">
      <c r="BF231" s="1" t="e">
        <f>VLOOKUP(N231,'Incoming Material Report'!H:M,6,FALSE)</f>
        <v>#N/A</v>
      </c>
      <c r="BG231" s="1" t="e">
        <f>IF(VLOOKUP(N231,'Incoming Material Report'!H:N,7,FALSE)=0,"",VLOOKUP(N231,'Incoming Material Report'!H:N,7,FALSE))</f>
        <v>#N/A</v>
      </c>
      <c r="BH231" s="52">
        <f t="shared" si="51"/>
        <v>0</v>
      </c>
      <c r="BI231" s="1">
        <f t="shared" si="52"/>
        <v>0</v>
      </c>
      <c r="BJ231" s="1">
        <f t="shared" si="53"/>
        <v>0</v>
      </c>
      <c r="BK231" s="1">
        <f t="shared" si="54"/>
        <v>0</v>
      </c>
      <c r="BL231" s="1">
        <f t="shared" si="55"/>
        <v>0</v>
      </c>
      <c r="BM231" s="10" t="str">
        <f t="shared" si="56"/>
        <v/>
      </c>
      <c r="BN231" s="52">
        <f t="shared" si="57"/>
        <v>0</v>
      </c>
      <c r="BO231" s="52">
        <f t="shared" si="58"/>
        <v>0</v>
      </c>
      <c r="BP231" s="1">
        <f t="shared" si="59"/>
        <v>0</v>
      </c>
      <c r="BQ231" s="1">
        <f t="shared" si="60"/>
        <v>0</v>
      </c>
      <c r="BR231" s="1" t="str">
        <f t="shared" si="61"/>
        <v/>
      </c>
      <c r="BS231" s="1">
        <f t="shared" si="62"/>
        <v>0</v>
      </c>
      <c r="BT231" s="4">
        <f t="shared" si="63"/>
        <v>0</v>
      </c>
      <c r="BU231" s="52">
        <f t="shared" si="64"/>
        <v>0</v>
      </c>
      <c r="BV231" s="1">
        <f t="shared" si="65"/>
        <v>0</v>
      </c>
      <c r="BW231">
        <f t="shared" si="66"/>
        <v>0</v>
      </c>
      <c r="BX231">
        <f t="shared" si="67"/>
        <v>0</v>
      </c>
    </row>
    <row r="232" spans="58:76" x14ac:dyDescent="0.25">
      <c r="BF232" s="1" t="e">
        <f>VLOOKUP(N232,'Incoming Material Report'!H:M,6,FALSE)</f>
        <v>#N/A</v>
      </c>
      <c r="BG232" s="1" t="e">
        <f>IF(VLOOKUP(N232,'Incoming Material Report'!H:N,7,FALSE)=0,"",VLOOKUP(N232,'Incoming Material Report'!H:N,7,FALSE))</f>
        <v>#N/A</v>
      </c>
      <c r="BH232" s="52">
        <f t="shared" si="51"/>
        <v>0</v>
      </c>
      <c r="BI232" s="1">
        <f t="shared" si="52"/>
        <v>0</v>
      </c>
      <c r="BJ232" s="1">
        <f t="shared" si="53"/>
        <v>0</v>
      </c>
      <c r="BK232" s="1">
        <f t="shared" si="54"/>
        <v>0</v>
      </c>
      <c r="BL232" s="1">
        <f t="shared" si="55"/>
        <v>0</v>
      </c>
      <c r="BM232" s="10" t="str">
        <f t="shared" si="56"/>
        <v/>
      </c>
      <c r="BN232" s="52">
        <f t="shared" si="57"/>
        <v>0</v>
      </c>
      <c r="BO232" s="52">
        <f t="shared" si="58"/>
        <v>0</v>
      </c>
      <c r="BP232" s="1">
        <f t="shared" si="59"/>
        <v>0</v>
      </c>
      <c r="BQ232" s="1">
        <f t="shared" si="60"/>
        <v>0</v>
      </c>
      <c r="BR232" s="1" t="str">
        <f t="shared" si="61"/>
        <v/>
      </c>
      <c r="BS232" s="1">
        <f t="shared" si="62"/>
        <v>0</v>
      </c>
      <c r="BT232" s="4">
        <f t="shared" si="63"/>
        <v>0</v>
      </c>
      <c r="BU232" s="52">
        <f t="shared" si="64"/>
        <v>0</v>
      </c>
      <c r="BV232" s="1">
        <f t="shared" si="65"/>
        <v>0</v>
      </c>
      <c r="BW232">
        <f t="shared" si="66"/>
        <v>0</v>
      </c>
      <c r="BX232">
        <f t="shared" si="67"/>
        <v>0</v>
      </c>
    </row>
    <row r="233" spans="58:76" x14ac:dyDescent="0.25">
      <c r="BF233" s="1" t="e">
        <f>VLOOKUP(N233,'Incoming Material Report'!H:M,6,FALSE)</f>
        <v>#N/A</v>
      </c>
      <c r="BG233" s="1" t="e">
        <f>IF(VLOOKUP(N233,'Incoming Material Report'!H:N,7,FALSE)=0,"",VLOOKUP(N233,'Incoming Material Report'!H:N,7,FALSE))</f>
        <v>#N/A</v>
      </c>
      <c r="BH233" s="52">
        <f t="shared" si="51"/>
        <v>0</v>
      </c>
      <c r="BI233" s="1">
        <f t="shared" si="52"/>
        <v>0</v>
      </c>
      <c r="BJ233" s="1">
        <f t="shared" si="53"/>
        <v>0</v>
      </c>
      <c r="BK233" s="1">
        <f t="shared" si="54"/>
        <v>0</v>
      </c>
      <c r="BL233" s="1">
        <f t="shared" si="55"/>
        <v>0</v>
      </c>
      <c r="BM233" s="10" t="str">
        <f t="shared" si="56"/>
        <v/>
      </c>
      <c r="BN233" s="52">
        <f t="shared" si="57"/>
        <v>0</v>
      </c>
      <c r="BO233" s="52">
        <f t="shared" si="58"/>
        <v>0</v>
      </c>
      <c r="BP233" s="1">
        <f t="shared" si="59"/>
        <v>0</v>
      </c>
      <c r="BQ233" s="1">
        <f t="shared" si="60"/>
        <v>0</v>
      </c>
      <c r="BR233" s="1" t="str">
        <f t="shared" si="61"/>
        <v/>
      </c>
      <c r="BS233" s="1">
        <f t="shared" si="62"/>
        <v>0</v>
      </c>
      <c r="BT233" s="4">
        <f t="shared" si="63"/>
        <v>0</v>
      </c>
      <c r="BU233" s="52">
        <f t="shared" si="64"/>
        <v>0</v>
      </c>
      <c r="BV233" s="1">
        <f t="shared" si="65"/>
        <v>0</v>
      </c>
      <c r="BW233">
        <f t="shared" si="66"/>
        <v>0</v>
      </c>
      <c r="BX233">
        <f t="shared" si="67"/>
        <v>0</v>
      </c>
    </row>
    <row r="234" spans="58:76" x14ac:dyDescent="0.25">
      <c r="BF234" s="1" t="e">
        <f>VLOOKUP(N234,'Incoming Material Report'!H:M,6,FALSE)</f>
        <v>#N/A</v>
      </c>
      <c r="BG234" s="1" t="e">
        <f>IF(VLOOKUP(N234,'Incoming Material Report'!H:N,7,FALSE)=0,"",VLOOKUP(N234,'Incoming Material Report'!H:N,7,FALSE))</f>
        <v>#N/A</v>
      </c>
      <c r="BH234" s="52">
        <f t="shared" si="51"/>
        <v>0</v>
      </c>
      <c r="BI234" s="1">
        <f t="shared" si="52"/>
        <v>0</v>
      </c>
      <c r="BJ234" s="1">
        <f t="shared" si="53"/>
        <v>0</v>
      </c>
      <c r="BK234" s="1">
        <f t="shared" si="54"/>
        <v>0</v>
      </c>
      <c r="BL234" s="1">
        <f t="shared" si="55"/>
        <v>0</v>
      </c>
      <c r="BM234" s="10" t="str">
        <f t="shared" si="56"/>
        <v/>
      </c>
      <c r="BN234" s="52">
        <f t="shared" si="57"/>
        <v>0</v>
      </c>
      <c r="BO234" s="52">
        <f t="shared" si="58"/>
        <v>0</v>
      </c>
      <c r="BP234" s="1">
        <f t="shared" si="59"/>
        <v>0</v>
      </c>
      <c r="BQ234" s="1">
        <f t="shared" si="60"/>
        <v>0</v>
      </c>
      <c r="BR234" s="1" t="str">
        <f t="shared" si="61"/>
        <v/>
      </c>
      <c r="BS234" s="1">
        <f t="shared" si="62"/>
        <v>0</v>
      </c>
      <c r="BT234" s="4">
        <f t="shared" si="63"/>
        <v>0</v>
      </c>
      <c r="BU234" s="52">
        <f t="shared" si="64"/>
        <v>0</v>
      </c>
      <c r="BV234" s="1">
        <f t="shared" si="65"/>
        <v>0</v>
      </c>
      <c r="BW234">
        <f t="shared" si="66"/>
        <v>0</v>
      </c>
      <c r="BX234">
        <f t="shared" si="67"/>
        <v>0</v>
      </c>
    </row>
    <row r="235" spans="58:76" x14ac:dyDescent="0.25">
      <c r="BF235" s="1" t="e">
        <f>VLOOKUP(N235,'Incoming Material Report'!H:M,6,FALSE)</f>
        <v>#N/A</v>
      </c>
      <c r="BG235" s="1" t="e">
        <f>IF(VLOOKUP(N235,'Incoming Material Report'!H:N,7,FALSE)=0,"",VLOOKUP(N235,'Incoming Material Report'!H:N,7,FALSE))</f>
        <v>#N/A</v>
      </c>
      <c r="BH235" s="52">
        <f t="shared" si="51"/>
        <v>0</v>
      </c>
      <c r="BI235" s="1">
        <f t="shared" si="52"/>
        <v>0</v>
      </c>
      <c r="BJ235" s="1">
        <f t="shared" si="53"/>
        <v>0</v>
      </c>
      <c r="BK235" s="1">
        <f t="shared" si="54"/>
        <v>0</v>
      </c>
      <c r="BL235" s="1">
        <f t="shared" si="55"/>
        <v>0</v>
      </c>
      <c r="BM235" s="10" t="str">
        <f t="shared" si="56"/>
        <v/>
      </c>
      <c r="BN235" s="52">
        <f t="shared" si="57"/>
        <v>0</v>
      </c>
      <c r="BO235" s="52">
        <f t="shared" si="58"/>
        <v>0</v>
      </c>
      <c r="BP235" s="1">
        <f t="shared" si="59"/>
        <v>0</v>
      </c>
      <c r="BQ235" s="1">
        <f t="shared" si="60"/>
        <v>0</v>
      </c>
      <c r="BR235" s="1" t="str">
        <f t="shared" si="61"/>
        <v/>
      </c>
      <c r="BS235" s="1">
        <f t="shared" si="62"/>
        <v>0</v>
      </c>
      <c r="BT235" s="4">
        <f t="shared" si="63"/>
        <v>0</v>
      </c>
      <c r="BU235" s="52">
        <f t="shared" si="64"/>
        <v>0</v>
      </c>
      <c r="BV235" s="1">
        <f t="shared" si="65"/>
        <v>0</v>
      </c>
      <c r="BW235">
        <f t="shared" si="66"/>
        <v>0</v>
      </c>
      <c r="BX235">
        <f t="shared" si="67"/>
        <v>0</v>
      </c>
    </row>
    <row r="236" spans="58:76" x14ac:dyDescent="0.25">
      <c r="BF236" s="1" t="e">
        <f>VLOOKUP(N236,'Incoming Material Report'!H:M,6,FALSE)</f>
        <v>#N/A</v>
      </c>
      <c r="BG236" s="1" t="e">
        <f>IF(VLOOKUP(N236,'Incoming Material Report'!H:N,7,FALSE)=0,"",VLOOKUP(N236,'Incoming Material Report'!H:N,7,FALSE))</f>
        <v>#N/A</v>
      </c>
      <c r="BH236" s="52">
        <f t="shared" si="51"/>
        <v>0</v>
      </c>
      <c r="BI236" s="1">
        <f t="shared" si="52"/>
        <v>0</v>
      </c>
      <c r="BJ236" s="1">
        <f t="shared" si="53"/>
        <v>0</v>
      </c>
      <c r="BK236" s="1">
        <f t="shared" si="54"/>
        <v>0</v>
      </c>
      <c r="BL236" s="1">
        <f t="shared" si="55"/>
        <v>0</v>
      </c>
      <c r="BM236" s="10" t="str">
        <f t="shared" si="56"/>
        <v/>
      </c>
      <c r="BN236" s="52">
        <f t="shared" si="57"/>
        <v>0</v>
      </c>
      <c r="BO236" s="52">
        <f t="shared" si="58"/>
        <v>0</v>
      </c>
      <c r="BP236" s="1">
        <f t="shared" si="59"/>
        <v>0</v>
      </c>
      <c r="BQ236" s="1">
        <f t="shared" si="60"/>
        <v>0</v>
      </c>
      <c r="BR236" s="1" t="str">
        <f t="shared" si="61"/>
        <v/>
      </c>
      <c r="BS236" s="1">
        <f t="shared" si="62"/>
        <v>0</v>
      </c>
      <c r="BT236" s="4">
        <f t="shared" si="63"/>
        <v>0</v>
      </c>
      <c r="BU236" s="52">
        <f t="shared" si="64"/>
        <v>0</v>
      </c>
      <c r="BV236" s="1">
        <f t="shared" si="65"/>
        <v>0</v>
      </c>
      <c r="BW236">
        <f t="shared" si="66"/>
        <v>0</v>
      </c>
      <c r="BX236">
        <f t="shared" si="67"/>
        <v>0</v>
      </c>
    </row>
    <row r="237" spans="58:76" x14ac:dyDescent="0.25">
      <c r="BF237" s="1" t="e">
        <f>VLOOKUP(N237,'Incoming Material Report'!H:M,6,FALSE)</f>
        <v>#N/A</v>
      </c>
      <c r="BG237" s="1" t="e">
        <f>IF(VLOOKUP(N237,'Incoming Material Report'!H:N,7,FALSE)=0,"",VLOOKUP(N237,'Incoming Material Report'!H:N,7,FALSE))</f>
        <v>#N/A</v>
      </c>
      <c r="BH237" s="52">
        <f t="shared" si="51"/>
        <v>0</v>
      </c>
      <c r="BI237" s="1">
        <f t="shared" si="52"/>
        <v>0</v>
      </c>
      <c r="BJ237" s="1">
        <f t="shared" si="53"/>
        <v>0</v>
      </c>
      <c r="BK237" s="1">
        <f t="shared" si="54"/>
        <v>0</v>
      </c>
      <c r="BL237" s="1">
        <f t="shared" si="55"/>
        <v>0</v>
      </c>
      <c r="BM237" s="10" t="str">
        <f t="shared" si="56"/>
        <v/>
      </c>
      <c r="BN237" s="52">
        <f t="shared" si="57"/>
        <v>0</v>
      </c>
      <c r="BO237" s="52">
        <f t="shared" si="58"/>
        <v>0</v>
      </c>
      <c r="BP237" s="1">
        <f t="shared" si="59"/>
        <v>0</v>
      </c>
      <c r="BQ237" s="1">
        <f t="shared" si="60"/>
        <v>0</v>
      </c>
      <c r="BR237" s="1" t="str">
        <f t="shared" si="61"/>
        <v/>
      </c>
      <c r="BS237" s="1">
        <f t="shared" si="62"/>
        <v>0</v>
      </c>
      <c r="BT237" s="4">
        <f t="shared" si="63"/>
        <v>0</v>
      </c>
      <c r="BU237" s="52">
        <f t="shared" si="64"/>
        <v>0</v>
      </c>
      <c r="BV237" s="1">
        <f t="shared" si="65"/>
        <v>0</v>
      </c>
      <c r="BW237">
        <f t="shared" si="66"/>
        <v>0</v>
      </c>
      <c r="BX237">
        <f t="shared" si="67"/>
        <v>0</v>
      </c>
    </row>
    <row r="238" spans="58:76" x14ac:dyDescent="0.25">
      <c r="BF238" s="1" t="e">
        <f>VLOOKUP(N238,'Incoming Material Report'!H:M,6,FALSE)</f>
        <v>#N/A</v>
      </c>
      <c r="BG238" s="1" t="e">
        <f>IF(VLOOKUP(N238,'Incoming Material Report'!H:N,7,FALSE)=0,"",VLOOKUP(N238,'Incoming Material Report'!H:N,7,FALSE))</f>
        <v>#N/A</v>
      </c>
      <c r="BH238" s="52">
        <f t="shared" si="51"/>
        <v>0</v>
      </c>
      <c r="BI238" s="1">
        <f t="shared" si="52"/>
        <v>0</v>
      </c>
      <c r="BJ238" s="1">
        <f t="shared" si="53"/>
        <v>0</v>
      </c>
      <c r="BK238" s="1">
        <f t="shared" si="54"/>
        <v>0</v>
      </c>
      <c r="BL238" s="1">
        <f t="shared" si="55"/>
        <v>0</v>
      </c>
      <c r="BM238" s="10" t="str">
        <f t="shared" si="56"/>
        <v/>
      </c>
      <c r="BN238" s="52">
        <f t="shared" si="57"/>
        <v>0</v>
      </c>
      <c r="BO238" s="52">
        <f t="shared" si="58"/>
        <v>0</v>
      </c>
      <c r="BP238" s="1">
        <f t="shared" si="59"/>
        <v>0</v>
      </c>
      <c r="BQ238" s="1">
        <f t="shared" si="60"/>
        <v>0</v>
      </c>
      <c r="BR238" s="1" t="str">
        <f t="shared" si="61"/>
        <v/>
      </c>
      <c r="BS238" s="1">
        <f t="shared" si="62"/>
        <v>0</v>
      </c>
      <c r="BT238" s="4">
        <f t="shared" si="63"/>
        <v>0</v>
      </c>
      <c r="BU238" s="52">
        <f t="shared" si="64"/>
        <v>0</v>
      </c>
      <c r="BV238" s="1">
        <f t="shared" si="65"/>
        <v>0</v>
      </c>
      <c r="BW238">
        <f t="shared" si="66"/>
        <v>0</v>
      </c>
      <c r="BX238">
        <f t="shared" si="67"/>
        <v>0</v>
      </c>
    </row>
    <row r="239" spans="58:76" x14ac:dyDescent="0.25">
      <c r="BF239" s="1" t="e">
        <f>VLOOKUP(N239,'Incoming Material Report'!H:M,6,FALSE)</f>
        <v>#N/A</v>
      </c>
      <c r="BG239" s="1" t="e">
        <f>IF(VLOOKUP(N239,'Incoming Material Report'!H:N,7,FALSE)=0,"",VLOOKUP(N239,'Incoming Material Report'!H:N,7,FALSE))</f>
        <v>#N/A</v>
      </c>
      <c r="BH239" s="52">
        <f t="shared" si="51"/>
        <v>0</v>
      </c>
      <c r="BI239" s="1">
        <f t="shared" si="52"/>
        <v>0</v>
      </c>
      <c r="BJ239" s="1">
        <f t="shared" si="53"/>
        <v>0</v>
      </c>
      <c r="BK239" s="1">
        <f t="shared" si="54"/>
        <v>0</v>
      </c>
      <c r="BL239" s="1">
        <f t="shared" si="55"/>
        <v>0</v>
      </c>
      <c r="BM239" s="10" t="str">
        <f t="shared" si="56"/>
        <v/>
      </c>
      <c r="BN239" s="52">
        <f t="shared" si="57"/>
        <v>0</v>
      </c>
      <c r="BO239" s="52">
        <f t="shared" si="58"/>
        <v>0</v>
      </c>
      <c r="BP239" s="1">
        <f t="shared" si="59"/>
        <v>0</v>
      </c>
      <c r="BQ239" s="1">
        <f t="shared" si="60"/>
        <v>0</v>
      </c>
      <c r="BR239" s="1" t="str">
        <f t="shared" si="61"/>
        <v/>
      </c>
      <c r="BS239" s="1">
        <f t="shared" si="62"/>
        <v>0</v>
      </c>
      <c r="BT239" s="4">
        <f t="shared" si="63"/>
        <v>0</v>
      </c>
      <c r="BU239" s="52">
        <f t="shared" si="64"/>
        <v>0</v>
      </c>
      <c r="BV239" s="1">
        <f t="shared" si="65"/>
        <v>0</v>
      </c>
      <c r="BW239">
        <f t="shared" si="66"/>
        <v>0</v>
      </c>
      <c r="BX239">
        <f t="shared" si="67"/>
        <v>0</v>
      </c>
    </row>
    <row r="240" spans="58:76" x14ac:dyDescent="0.25">
      <c r="BF240" s="1" t="e">
        <f>VLOOKUP(N240,'Incoming Material Report'!H:M,6,FALSE)</f>
        <v>#N/A</v>
      </c>
      <c r="BG240" s="1" t="e">
        <f>IF(VLOOKUP(N240,'Incoming Material Report'!H:N,7,FALSE)=0,"",VLOOKUP(N240,'Incoming Material Report'!H:N,7,FALSE))</f>
        <v>#N/A</v>
      </c>
      <c r="BH240" s="52">
        <f t="shared" si="51"/>
        <v>0</v>
      </c>
      <c r="BI240" s="1">
        <f t="shared" si="52"/>
        <v>0</v>
      </c>
      <c r="BJ240" s="1">
        <f t="shared" si="53"/>
        <v>0</v>
      </c>
      <c r="BK240" s="1">
        <f t="shared" si="54"/>
        <v>0</v>
      </c>
      <c r="BL240" s="1">
        <f t="shared" si="55"/>
        <v>0</v>
      </c>
      <c r="BM240" s="10" t="str">
        <f t="shared" si="56"/>
        <v/>
      </c>
      <c r="BN240" s="52">
        <f t="shared" si="57"/>
        <v>0</v>
      </c>
      <c r="BO240" s="52">
        <f t="shared" si="58"/>
        <v>0</v>
      </c>
      <c r="BP240" s="1">
        <f t="shared" si="59"/>
        <v>0</v>
      </c>
      <c r="BQ240" s="1">
        <f t="shared" si="60"/>
        <v>0</v>
      </c>
      <c r="BR240" s="1" t="str">
        <f t="shared" si="61"/>
        <v/>
      </c>
      <c r="BS240" s="1">
        <f t="shared" si="62"/>
        <v>0</v>
      </c>
      <c r="BT240" s="4">
        <f t="shared" si="63"/>
        <v>0</v>
      </c>
      <c r="BU240" s="52">
        <f t="shared" si="64"/>
        <v>0</v>
      </c>
      <c r="BV240" s="1">
        <f t="shared" si="65"/>
        <v>0</v>
      </c>
      <c r="BW240">
        <f t="shared" si="66"/>
        <v>0</v>
      </c>
      <c r="BX240">
        <f t="shared" si="67"/>
        <v>0</v>
      </c>
    </row>
    <row r="241" spans="58:76" x14ac:dyDescent="0.25">
      <c r="BF241" s="1" t="e">
        <f>VLOOKUP(N241,'Incoming Material Report'!H:M,6,FALSE)</f>
        <v>#N/A</v>
      </c>
      <c r="BG241" s="1" t="e">
        <f>IF(VLOOKUP(N241,'Incoming Material Report'!H:N,7,FALSE)=0,"",VLOOKUP(N241,'Incoming Material Report'!H:N,7,FALSE))</f>
        <v>#N/A</v>
      </c>
      <c r="BH241" s="52">
        <f t="shared" si="51"/>
        <v>0</v>
      </c>
      <c r="BI241" s="1">
        <f t="shared" si="52"/>
        <v>0</v>
      </c>
      <c r="BJ241" s="1">
        <f t="shared" si="53"/>
        <v>0</v>
      </c>
      <c r="BK241" s="1">
        <f t="shared" si="54"/>
        <v>0</v>
      </c>
      <c r="BL241" s="1">
        <f t="shared" si="55"/>
        <v>0</v>
      </c>
      <c r="BM241" s="10" t="str">
        <f t="shared" si="56"/>
        <v/>
      </c>
      <c r="BN241" s="52">
        <f t="shared" si="57"/>
        <v>0</v>
      </c>
      <c r="BO241" s="52">
        <f t="shared" si="58"/>
        <v>0</v>
      </c>
      <c r="BP241" s="1">
        <f t="shared" si="59"/>
        <v>0</v>
      </c>
      <c r="BQ241" s="1">
        <f t="shared" si="60"/>
        <v>0</v>
      </c>
      <c r="BR241" s="1" t="str">
        <f t="shared" si="61"/>
        <v/>
      </c>
      <c r="BS241" s="1">
        <f t="shared" si="62"/>
        <v>0</v>
      </c>
      <c r="BT241" s="4">
        <f t="shared" si="63"/>
        <v>0</v>
      </c>
      <c r="BU241" s="52">
        <f t="shared" si="64"/>
        <v>0</v>
      </c>
      <c r="BV241" s="1">
        <f t="shared" si="65"/>
        <v>0</v>
      </c>
      <c r="BW241">
        <f t="shared" si="66"/>
        <v>0</v>
      </c>
      <c r="BX241">
        <f t="shared" si="67"/>
        <v>0</v>
      </c>
    </row>
    <row r="242" spans="58:76" x14ac:dyDescent="0.25">
      <c r="BF242" s="1" t="e">
        <f>VLOOKUP(N242,'Incoming Material Report'!H:M,6,FALSE)</f>
        <v>#N/A</v>
      </c>
      <c r="BG242" s="1" t="e">
        <f>IF(VLOOKUP(N242,'Incoming Material Report'!H:N,7,FALSE)=0,"",VLOOKUP(N242,'Incoming Material Report'!H:N,7,FALSE))</f>
        <v>#N/A</v>
      </c>
      <c r="BH242" s="52">
        <f t="shared" si="51"/>
        <v>0</v>
      </c>
      <c r="BI242" s="1">
        <f t="shared" si="52"/>
        <v>0</v>
      </c>
      <c r="BJ242" s="1">
        <f t="shared" si="53"/>
        <v>0</v>
      </c>
      <c r="BK242" s="1">
        <f t="shared" si="54"/>
        <v>0</v>
      </c>
      <c r="BL242" s="1">
        <f t="shared" si="55"/>
        <v>0</v>
      </c>
      <c r="BM242" s="10" t="str">
        <f t="shared" si="56"/>
        <v/>
      </c>
      <c r="BN242" s="52">
        <f t="shared" si="57"/>
        <v>0</v>
      </c>
      <c r="BO242" s="52">
        <f t="shared" si="58"/>
        <v>0</v>
      </c>
      <c r="BP242" s="1">
        <f t="shared" si="59"/>
        <v>0</v>
      </c>
      <c r="BQ242" s="1">
        <f t="shared" si="60"/>
        <v>0</v>
      </c>
      <c r="BR242" s="1" t="str">
        <f t="shared" si="61"/>
        <v/>
      </c>
      <c r="BS242" s="1">
        <f t="shared" si="62"/>
        <v>0</v>
      </c>
      <c r="BT242" s="4">
        <f t="shared" si="63"/>
        <v>0</v>
      </c>
      <c r="BU242" s="52">
        <f t="shared" si="64"/>
        <v>0</v>
      </c>
      <c r="BV242" s="1">
        <f t="shared" si="65"/>
        <v>0</v>
      </c>
      <c r="BW242">
        <f t="shared" si="66"/>
        <v>0</v>
      </c>
      <c r="BX242">
        <f t="shared" si="67"/>
        <v>0</v>
      </c>
    </row>
    <row r="243" spans="58:76" x14ac:dyDescent="0.25">
      <c r="BF243" s="1" t="e">
        <f>VLOOKUP(N243,'Incoming Material Report'!H:M,6,FALSE)</f>
        <v>#N/A</v>
      </c>
      <c r="BG243" s="1" t="e">
        <f>IF(VLOOKUP(N243,'Incoming Material Report'!H:N,7,FALSE)=0,"",VLOOKUP(N243,'Incoming Material Report'!H:N,7,FALSE))</f>
        <v>#N/A</v>
      </c>
      <c r="BH243" s="52">
        <f t="shared" si="51"/>
        <v>0</v>
      </c>
      <c r="BI243" s="1">
        <f t="shared" si="52"/>
        <v>0</v>
      </c>
      <c r="BJ243" s="1">
        <f t="shared" si="53"/>
        <v>0</v>
      </c>
      <c r="BK243" s="1">
        <f t="shared" si="54"/>
        <v>0</v>
      </c>
      <c r="BL243" s="1">
        <f t="shared" si="55"/>
        <v>0</v>
      </c>
      <c r="BM243" s="10" t="str">
        <f t="shared" si="56"/>
        <v/>
      </c>
      <c r="BN243" s="52">
        <f t="shared" si="57"/>
        <v>0</v>
      </c>
      <c r="BO243" s="52">
        <f t="shared" si="58"/>
        <v>0</v>
      </c>
      <c r="BP243" s="1">
        <f t="shared" si="59"/>
        <v>0</v>
      </c>
      <c r="BQ243" s="1">
        <f t="shared" si="60"/>
        <v>0</v>
      </c>
      <c r="BR243" s="1" t="str">
        <f t="shared" si="61"/>
        <v/>
      </c>
      <c r="BS243" s="1">
        <f t="shared" si="62"/>
        <v>0</v>
      </c>
      <c r="BT243" s="4">
        <f t="shared" si="63"/>
        <v>0</v>
      </c>
      <c r="BU243" s="52">
        <f t="shared" si="64"/>
        <v>0</v>
      </c>
      <c r="BV243" s="1">
        <f t="shared" si="65"/>
        <v>0</v>
      </c>
      <c r="BW243">
        <f t="shared" si="66"/>
        <v>0</v>
      </c>
      <c r="BX243">
        <f t="shared" si="67"/>
        <v>0</v>
      </c>
    </row>
    <row r="244" spans="58:76" x14ac:dyDescent="0.25">
      <c r="BF244" s="1" t="e">
        <f>VLOOKUP(N244,'Incoming Material Report'!H:M,6,FALSE)</f>
        <v>#N/A</v>
      </c>
      <c r="BG244" s="1" t="e">
        <f>IF(VLOOKUP(N244,'Incoming Material Report'!H:N,7,FALSE)=0,"",VLOOKUP(N244,'Incoming Material Report'!H:N,7,FALSE))</f>
        <v>#N/A</v>
      </c>
      <c r="BH244" s="52">
        <f t="shared" si="51"/>
        <v>0</v>
      </c>
      <c r="BI244" s="1">
        <f t="shared" si="52"/>
        <v>0</v>
      </c>
      <c r="BJ244" s="1">
        <f t="shared" si="53"/>
        <v>0</v>
      </c>
      <c r="BK244" s="1">
        <f t="shared" si="54"/>
        <v>0</v>
      </c>
      <c r="BL244" s="1">
        <f t="shared" si="55"/>
        <v>0</v>
      </c>
      <c r="BM244" s="10" t="str">
        <f t="shared" si="56"/>
        <v/>
      </c>
      <c r="BN244" s="52">
        <f t="shared" si="57"/>
        <v>0</v>
      </c>
      <c r="BO244" s="52">
        <f t="shared" si="58"/>
        <v>0</v>
      </c>
      <c r="BP244" s="1">
        <f t="shared" si="59"/>
        <v>0</v>
      </c>
      <c r="BQ244" s="1">
        <f t="shared" si="60"/>
        <v>0</v>
      </c>
      <c r="BR244" s="1" t="str">
        <f t="shared" si="61"/>
        <v/>
      </c>
      <c r="BS244" s="1">
        <f t="shared" si="62"/>
        <v>0</v>
      </c>
      <c r="BT244" s="4">
        <f t="shared" si="63"/>
        <v>0</v>
      </c>
      <c r="BU244" s="52">
        <f t="shared" si="64"/>
        <v>0</v>
      </c>
      <c r="BV244" s="1">
        <f t="shared" si="65"/>
        <v>0</v>
      </c>
      <c r="BW244">
        <f t="shared" si="66"/>
        <v>0</v>
      </c>
      <c r="BX244">
        <f t="shared" si="67"/>
        <v>0</v>
      </c>
    </row>
    <row r="245" spans="58:76" x14ac:dyDescent="0.25">
      <c r="BF245" s="1" t="e">
        <f>VLOOKUP(N245,'Incoming Material Report'!H:M,6,FALSE)</f>
        <v>#N/A</v>
      </c>
      <c r="BG245" s="1" t="e">
        <f>IF(VLOOKUP(N245,'Incoming Material Report'!H:N,7,FALSE)=0,"",VLOOKUP(N245,'Incoming Material Report'!H:N,7,FALSE))</f>
        <v>#N/A</v>
      </c>
      <c r="BH245" s="52">
        <f t="shared" si="51"/>
        <v>0</v>
      </c>
      <c r="BI245" s="1">
        <f t="shared" si="52"/>
        <v>0</v>
      </c>
      <c r="BJ245" s="1">
        <f t="shared" si="53"/>
        <v>0</v>
      </c>
      <c r="BK245" s="1">
        <f t="shared" si="54"/>
        <v>0</v>
      </c>
      <c r="BL245" s="1">
        <f t="shared" si="55"/>
        <v>0</v>
      </c>
      <c r="BM245" s="10" t="str">
        <f t="shared" si="56"/>
        <v/>
      </c>
      <c r="BN245" s="52">
        <f t="shared" si="57"/>
        <v>0</v>
      </c>
      <c r="BO245" s="52">
        <f t="shared" si="58"/>
        <v>0</v>
      </c>
      <c r="BP245" s="1">
        <f t="shared" si="59"/>
        <v>0</v>
      </c>
      <c r="BQ245" s="1">
        <f t="shared" si="60"/>
        <v>0</v>
      </c>
      <c r="BR245" s="1" t="str">
        <f t="shared" si="61"/>
        <v/>
      </c>
      <c r="BS245" s="1">
        <f t="shared" si="62"/>
        <v>0</v>
      </c>
      <c r="BT245" s="4">
        <f t="shared" si="63"/>
        <v>0</v>
      </c>
      <c r="BU245" s="52">
        <f t="shared" si="64"/>
        <v>0</v>
      </c>
      <c r="BV245" s="1">
        <f t="shared" si="65"/>
        <v>0</v>
      </c>
      <c r="BW245">
        <f t="shared" si="66"/>
        <v>0</v>
      </c>
      <c r="BX245">
        <f t="shared" si="67"/>
        <v>0</v>
      </c>
    </row>
    <row r="246" spans="58:76" x14ac:dyDescent="0.25">
      <c r="BF246" s="1" t="e">
        <f>VLOOKUP(N246,'Incoming Material Report'!H:M,6,FALSE)</f>
        <v>#N/A</v>
      </c>
      <c r="BG246" s="1" t="e">
        <f>IF(VLOOKUP(N246,'Incoming Material Report'!H:N,7,FALSE)=0,"",VLOOKUP(N246,'Incoming Material Report'!H:N,7,FALSE))</f>
        <v>#N/A</v>
      </c>
      <c r="BH246" s="52">
        <f t="shared" si="51"/>
        <v>0</v>
      </c>
      <c r="BI246" s="1">
        <f t="shared" si="52"/>
        <v>0</v>
      </c>
      <c r="BJ246" s="1">
        <f t="shared" si="53"/>
        <v>0</v>
      </c>
      <c r="BK246" s="1">
        <f t="shared" si="54"/>
        <v>0</v>
      </c>
      <c r="BL246" s="1">
        <f t="shared" si="55"/>
        <v>0</v>
      </c>
      <c r="BM246" s="10" t="str">
        <f t="shared" si="56"/>
        <v/>
      </c>
      <c r="BN246" s="52">
        <f t="shared" si="57"/>
        <v>0</v>
      </c>
      <c r="BO246" s="52">
        <f t="shared" si="58"/>
        <v>0</v>
      </c>
      <c r="BP246" s="1">
        <f t="shared" si="59"/>
        <v>0</v>
      </c>
      <c r="BQ246" s="1">
        <f t="shared" si="60"/>
        <v>0</v>
      </c>
      <c r="BR246" s="1" t="str">
        <f t="shared" si="61"/>
        <v/>
      </c>
      <c r="BS246" s="1">
        <f t="shared" si="62"/>
        <v>0</v>
      </c>
      <c r="BT246" s="4">
        <f t="shared" si="63"/>
        <v>0</v>
      </c>
      <c r="BU246" s="52">
        <f t="shared" si="64"/>
        <v>0</v>
      </c>
      <c r="BV246" s="1">
        <f t="shared" si="65"/>
        <v>0</v>
      </c>
      <c r="BW246">
        <f t="shared" si="66"/>
        <v>0</v>
      </c>
      <c r="BX246">
        <f t="shared" si="67"/>
        <v>0</v>
      </c>
    </row>
    <row r="247" spans="58:76" x14ac:dyDescent="0.25">
      <c r="BF247" s="1" t="e">
        <f>VLOOKUP(N247,'Incoming Material Report'!H:M,6,FALSE)</f>
        <v>#N/A</v>
      </c>
      <c r="BG247" s="1" t="e">
        <f>IF(VLOOKUP(N247,'Incoming Material Report'!H:N,7,FALSE)=0,"",VLOOKUP(N247,'Incoming Material Report'!H:N,7,FALSE))</f>
        <v>#N/A</v>
      </c>
      <c r="BH247" s="52">
        <f t="shared" si="51"/>
        <v>0</v>
      </c>
      <c r="BI247" s="1">
        <f t="shared" si="52"/>
        <v>0</v>
      </c>
      <c r="BJ247" s="1">
        <f t="shared" si="53"/>
        <v>0</v>
      </c>
      <c r="BK247" s="1">
        <f t="shared" si="54"/>
        <v>0</v>
      </c>
      <c r="BL247" s="1">
        <f t="shared" si="55"/>
        <v>0</v>
      </c>
      <c r="BM247" s="10" t="str">
        <f t="shared" si="56"/>
        <v/>
      </c>
      <c r="BN247" s="52">
        <f t="shared" si="57"/>
        <v>0</v>
      </c>
      <c r="BO247" s="52">
        <f t="shared" si="58"/>
        <v>0</v>
      </c>
      <c r="BP247" s="1">
        <f t="shared" si="59"/>
        <v>0</v>
      </c>
      <c r="BQ247" s="1">
        <f t="shared" si="60"/>
        <v>0</v>
      </c>
      <c r="BR247" s="1" t="str">
        <f t="shared" si="61"/>
        <v/>
      </c>
      <c r="BS247" s="1">
        <f t="shared" si="62"/>
        <v>0</v>
      </c>
      <c r="BT247" s="4">
        <f t="shared" si="63"/>
        <v>0</v>
      </c>
      <c r="BU247" s="52">
        <f t="shared" si="64"/>
        <v>0</v>
      </c>
      <c r="BV247" s="1">
        <f t="shared" si="65"/>
        <v>0</v>
      </c>
      <c r="BW247">
        <f t="shared" si="66"/>
        <v>0</v>
      </c>
      <c r="BX247">
        <f t="shared" si="67"/>
        <v>0</v>
      </c>
    </row>
    <row r="248" spans="58:76" x14ac:dyDescent="0.25">
      <c r="BF248" s="1" t="e">
        <f>VLOOKUP(N248,'Incoming Material Report'!H:M,6,FALSE)</f>
        <v>#N/A</v>
      </c>
      <c r="BG248" s="1" t="e">
        <f>IF(VLOOKUP(N248,'Incoming Material Report'!H:N,7,FALSE)=0,"",VLOOKUP(N248,'Incoming Material Report'!H:N,7,FALSE))</f>
        <v>#N/A</v>
      </c>
      <c r="BH248" s="52">
        <f t="shared" si="51"/>
        <v>0</v>
      </c>
      <c r="BI248" s="1">
        <f t="shared" si="52"/>
        <v>0</v>
      </c>
      <c r="BJ248" s="1">
        <f t="shared" si="53"/>
        <v>0</v>
      </c>
      <c r="BK248" s="1">
        <f t="shared" si="54"/>
        <v>0</v>
      </c>
      <c r="BL248" s="1">
        <f t="shared" si="55"/>
        <v>0</v>
      </c>
      <c r="BM248" s="10" t="str">
        <f t="shared" si="56"/>
        <v/>
      </c>
      <c r="BN248" s="52">
        <f t="shared" si="57"/>
        <v>0</v>
      </c>
      <c r="BO248" s="52">
        <f t="shared" si="58"/>
        <v>0</v>
      </c>
      <c r="BP248" s="1">
        <f t="shared" si="59"/>
        <v>0</v>
      </c>
      <c r="BQ248" s="1">
        <f t="shared" si="60"/>
        <v>0</v>
      </c>
      <c r="BR248" s="1" t="str">
        <f t="shared" si="61"/>
        <v/>
      </c>
      <c r="BS248" s="1">
        <f t="shared" si="62"/>
        <v>0</v>
      </c>
      <c r="BT248" s="4">
        <f t="shared" si="63"/>
        <v>0</v>
      </c>
      <c r="BU248" s="52">
        <f t="shared" si="64"/>
        <v>0</v>
      </c>
      <c r="BV248" s="1">
        <f t="shared" si="65"/>
        <v>0</v>
      </c>
      <c r="BW248">
        <f t="shared" si="66"/>
        <v>0</v>
      </c>
      <c r="BX248">
        <f t="shared" si="67"/>
        <v>0</v>
      </c>
    </row>
    <row r="249" spans="58:76" x14ac:dyDescent="0.25">
      <c r="BF249" s="1" t="e">
        <f>VLOOKUP(N249,'Incoming Material Report'!H:M,6,FALSE)</f>
        <v>#N/A</v>
      </c>
      <c r="BG249" s="1" t="e">
        <f>IF(VLOOKUP(N249,'Incoming Material Report'!H:N,7,FALSE)=0,"",VLOOKUP(N249,'Incoming Material Report'!H:N,7,FALSE))</f>
        <v>#N/A</v>
      </c>
      <c r="BH249" s="52">
        <f t="shared" si="51"/>
        <v>0</v>
      </c>
      <c r="BI249" s="1">
        <f t="shared" si="52"/>
        <v>0</v>
      </c>
      <c r="BJ249" s="1">
        <f t="shared" si="53"/>
        <v>0</v>
      </c>
      <c r="BK249" s="1">
        <f t="shared" si="54"/>
        <v>0</v>
      </c>
      <c r="BL249" s="1">
        <f t="shared" si="55"/>
        <v>0</v>
      </c>
      <c r="BM249" s="10" t="str">
        <f t="shared" si="56"/>
        <v/>
      </c>
      <c r="BN249" s="52">
        <f t="shared" si="57"/>
        <v>0</v>
      </c>
      <c r="BO249" s="52">
        <f t="shared" si="58"/>
        <v>0</v>
      </c>
      <c r="BP249" s="1">
        <f t="shared" si="59"/>
        <v>0</v>
      </c>
      <c r="BQ249" s="1">
        <f t="shared" si="60"/>
        <v>0</v>
      </c>
      <c r="BR249" s="1" t="str">
        <f t="shared" si="61"/>
        <v/>
      </c>
      <c r="BS249" s="1">
        <f t="shared" si="62"/>
        <v>0</v>
      </c>
      <c r="BT249" s="4">
        <f t="shared" si="63"/>
        <v>0</v>
      </c>
      <c r="BU249" s="52">
        <f t="shared" si="64"/>
        <v>0</v>
      </c>
      <c r="BV249" s="1">
        <f t="shared" si="65"/>
        <v>0</v>
      </c>
      <c r="BW249">
        <f t="shared" si="66"/>
        <v>0</v>
      </c>
      <c r="BX249">
        <f t="shared" si="67"/>
        <v>0</v>
      </c>
    </row>
    <row r="250" spans="58:76" x14ac:dyDescent="0.25">
      <c r="BF250" s="1" t="e">
        <f>VLOOKUP(N250,'Incoming Material Report'!H:M,6,FALSE)</f>
        <v>#N/A</v>
      </c>
      <c r="BG250" s="1" t="e">
        <f>IF(VLOOKUP(N250,'Incoming Material Report'!H:N,7,FALSE)=0,"",VLOOKUP(N250,'Incoming Material Report'!H:N,7,FALSE))</f>
        <v>#N/A</v>
      </c>
      <c r="BH250" s="52">
        <f t="shared" ref="BH250:BH313" si="68">VALUE(T250)</f>
        <v>0</v>
      </c>
      <c r="BI250" s="1">
        <f t="shared" ref="BI250:BI313" si="69">VALUE(U250)</f>
        <v>0</v>
      </c>
      <c r="BJ250" s="1">
        <f t="shared" ref="BJ250:BJ313" si="70">IFERROR(_xlfn.NUMBERVALUE(V250),V250)</f>
        <v>0</v>
      </c>
      <c r="BK250" s="1">
        <f t="shared" ref="BK250:BK313" si="71">IFERROR(INT(I250),I250)</f>
        <v>0</v>
      </c>
      <c r="BL250" s="1">
        <f t="shared" ref="BL250:BL313" si="72">L250</f>
        <v>0</v>
      </c>
      <c r="BM250" s="10" t="str">
        <f t="shared" ref="BM250:BM313" si="73">SUBSTITUTE(J250,"/",".")</f>
        <v/>
      </c>
      <c r="BN250" s="52">
        <f t="shared" ref="BN250:BN313" si="74">VALUE(Q250)*1000</f>
        <v>0</v>
      </c>
      <c r="BO250" s="52">
        <f t="shared" ref="BO250:BO313" si="75">VALUE(P250)/1000</f>
        <v>0</v>
      </c>
      <c r="BP250" s="1">
        <f t="shared" ref="BP250:BP313" si="76">VALUE(D250)</f>
        <v>0</v>
      </c>
      <c r="BQ250" s="1">
        <f t="shared" ref="BQ250:BQ313" si="77">G250</f>
        <v>0</v>
      </c>
      <c r="BR250" s="1" t="str">
        <f t="shared" ref="BR250:BR313" si="78">SUBSTITUTE(O250,".","")</f>
        <v/>
      </c>
      <c r="BS250" s="1">
        <f t="shared" ref="BS250:BS313" si="79">S250</f>
        <v>0</v>
      </c>
      <c r="BT250" s="4">
        <f t="shared" ref="BT250:BT313" si="80">VALUE(AJ250)</f>
        <v>0</v>
      </c>
      <c r="BU250" s="52">
        <f t="shared" ref="BU250:BU313" si="81">K250</f>
        <v>0</v>
      </c>
      <c r="BV250" s="1">
        <f t="shared" ref="BV250:BV313" si="82">AQ250</f>
        <v>0</v>
      </c>
      <c r="BW250">
        <f t="shared" ref="BW250:BW313" si="83">X250</f>
        <v>0</v>
      </c>
      <c r="BX250">
        <f t="shared" ref="BX250:BX313" si="84">AN250</f>
        <v>0</v>
      </c>
    </row>
    <row r="251" spans="58:76" x14ac:dyDescent="0.25">
      <c r="BF251" s="1" t="e">
        <f>VLOOKUP(N251,'Incoming Material Report'!H:M,6,FALSE)</f>
        <v>#N/A</v>
      </c>
      <c r="BG251" s="1" t="e">
        <f>IF(VLOOKUP(N251,'Incoming Material Report'!H:N,7,FALSE)=0,"",VLOOKUP(N251,'Incoming Material Report'!H:N,7,FALSE))</f>
        <v>#N/A</v>
      </c>
      <c r="BH251" s="52">
        <f t="shared" si="68"/>
        <v>0</v>
      </c>
      <c r="BI251" s="1">
        <f t="shared" si="69"/>
        <v>0</v>
      </c>
      <c r="BJ251" s="1">
        <f t="shared" si="70"/>
        <v>0</v>
      </c>
      <c r="BK251" s="1">
        <f t="shared" si="71"/>
        <v>0</v>
      </c>
      <c r="BL251" s="1">
        <f t="shared" si="72"/>
        <v>0</v>
      </c>
      <c r="BM251" s="10" t="str">
        <f t="shared" si="73"/>
        <v/>
      </c>
      <c r="BN251" s="52">
        <f t="shared" si="74"/>
        <v>0</v>
      </c>
      <c r="BO251" s="52">
        <f t="shared" si="75"/>
        <v>0</v>
      </c>
      <c r="BP251" s="1">
        <f t="shared" si="76"/>
        <v>0</v>
      </c>
      <c r="BQ251" s="1">
        <f t="shared" si="77"/>
        <v>0</v>
      </c>
      <c r="BR251" s="1" t="str">
        <f t="shared" si="78"/>
        <v/>
      </c>
      <c r="BS251" s="1">
        <f t="shared" si="79"/>
        <v>0</v>
      </c>
      <c r="BT251" s="4">
        <f t="shared" si="80"/>
        <v>0</v>
      </c>
      <c r="BU251" s="52">
        <f t="shared" si="81"/>
        <v>0</v>
      </c>
      <c r="BV251" s="1">
        <f t="shared" si="82"/>
        <v>0</v>
      </c>
      <c r="BW251">
        <f t="shared" si="83"/>
        <v>0</v>
      </c>
      <c r="BX251">
        <f t="shared" si="84"/>
        <v>0</v>
      </c>
    </row>
    <row r="252" spans="58:76" x14ac:dyDescent="0.25">
      <c r="BF252" s="1" t="e">
        <f>VLOOKUP(N252,'Incoming Material Report'!H:M,6,FALSE)</f>
        <v>#N/A</v>
      </c>
      <c r="BG252" s="1" t="e">
        <f>IF(VLOOKUP(N252,'Incoming Material Report'!H:N,7,FALSE)=0,"",VLOOKUP(N252,'Incoming Material Report'!H:N,7,FALSE))</f>
        <v>#N/A</v>
      </c>
      <c r="BH252" s="52">
        <f t="shared" si="68"/>
        <v>0</v>
      </c>
      <c r="BI252" s="1">
        <f t="shared" si="69"/>
        <v>0</v>
      </c>
      <c r="BJ252" s="1">
        <f t="shared" si="70"/>
        <v>0</v>
      </c>
      <c r="BK252" s="1">
        <f t="shared" si="71"/>
        <v>0</v>
      </c>
      <c r="BL252" s="1">
        <f t="shared" si="72"/>
        <v>0</v>
      </c>
      <c r="BM252" s="10" t="str">
        <f t="shared" si="73"/>
        <v/>
      </c>
      <c r="BN252" s="52">
        <f t="shared" si="74"/>
        <v>0</v>
      </c>
      <c r="BO252" s="52">
        <f t="shared" si="75"/>
        <v>0</v>
      </c>
      <c r="BP252" s="1">
        <f t="shared" si="76"/>
        <v>0</v>
      </c>
      <c r="BQ252" s="1">
        <f t="shared" si="77"/>
        <v>0</v>
      </c>
      <c r="BR252" s="1" t="str">
        <f t="shared" si="78"/>
        <v/>
      </c>
      <c r="BS252" s="1">
        <f t="shared" si="79"/>
        <v>0</v>
      </c>
      <c r="BT252" s="4">
        <f t="shared" si="80"/>
        <v>0</v>
      </c>
      <c r="BU252" s="52">
        <f t="shared" si="81"/>
        <v>0</v>
      </c>
      <c r="BV252" s="1">
        <f t="shared" si="82"/>
        <v>0</v>
      </c>
      <c r="BW252">
        <f t="shared" si="83"/>
        <v>0</v>
      </c>
      <c r="BX252">
        <f t="shared" si="84"/>
        <v>0</v>
      </c>
    </row>
    <row r="253" spans="58:76" x14ac:dyDescent="0.25">
      <c r="BF253" s="1" t="e">
        <f>VLOOKUP(N253,'Incoming Material Report'!H:M,6,FALSE)</f>
        <v>#N/A</v>
      </c>
      <c r="BG253" s="1" t="e">
        <f>IF(VLOOKUP(N253,'Incoming Material Report'!H:N,7,FALSE)=0,"",VLOOKUP(N253,'Incoming Material Report'!H:N,7,FALSE))</f>
        <v>#N/A</v>
      </c>
      <c r="BH253" s="52">
        <f t="shared" si="68"/>
        <v>0</v>
      </c>
      <c r="BI253" s="1">
        <f t="shared" si="69"/>
        <v>0</v>
      </c>
      <c r="BJ253" s="1">
        <f t="shared" si="70"/>
        <v>0</v>
      </c>
      <c r="BK253" s="1">
        <f t="shared" si="71"/>
        <v>0</v>
      </c>
      <c r="BL253" s="1">
        <f t="shared" si="72"/>
        <v>0</v>
      </c>
      <c r="BM253" s="10" t="str">
        <f t="shared" si="73"/>
        <v/>
      </c>
      <c r="BN253" s="52">
        <f t="shared" si="74"/>
        <v>0</v>
      </c>
      <c r="BO253" s="52">
        <f t="shared" si="75"/>
        <v>0</v>
      </c>
      <c r="BP253" s="1">
        <f t="shared" si="76"/>
        <v>0</v>
      </c>
      <c r="BQ253" s="1">
        <f t="shared" si="77"/>
        <v>0</v>
      </c>
      <c r="BR253" s="1" t="str">
        <f t="shared" si="78"/>
        <v/>
      </c>
      <c r="BS253" s="1">
        <f t="shared" si="79"/>
        <v>0</v>
      </c>
      <c r="BT253" s="4">
        <f t="shared" si="80"/>
        <v>0</v>
      </c>
      <c r="BU253" s="52">
        <f t="shared" si="81"/>
        <v>0</v>
      </c>
      <c r="BV253" s="1">
        <f t="shared" si="82"/>
        <v>0</v>
      </c>
      <c r="BW253">
        <f t="shared" si="83"/>
        <v>0</v>
      </c>
      <c r="BX253">
        <f t="shared" si="84"/>
        <v>0</v>
      </c>
    </row>
    <row r="254" spans="58:76" x14ac:dyDescent="0.25">
      <c r="BF254" s="1" t="e">
        <f>VLOOKUP(N254,'Incoming Material Report'!H:M,6,FALSE)</f>
        <v>#N/A</v>
      </c>
      <c r="BG254" s="1" t="e">
        <f>IF(VLOOKUP(N254,'Incoming Material Report'!H:N,7,FALSE)=0,"",VLOOKUP(N254,'Incoming Material Report'!H:N,7,FALSE))</f>
        <v>#N/A</v>
      </c>
      <c r="BH254" s="52">
        <f t="shared" si="68"/>
        <v>0</v>
      </c>
      <c r="BI254" s="1">
        <f t="shared" si="69"/>
        <v>0</v>
      </c>
      <c r="BJ254" s="1">
        <f t="shared" si="70"/>
        <v>0</v>
      </c>
      <c r="BK254" s="1">
        <f t="shared" si="71"/>
        <v>0</v>
      </c>
      <c r="BL254" s="1">
        <f t="shared" si="72"/>
        <v>0</v>
      </c>
      <c r="BM254" s="10" t="str">
        <f t="shared" si="73"/>
        <v/>
      </c>
      <c r="BN254" s="52">
        <f t="shared" si="74"/>
        <v>0</v>
      </c>
      <c r="BO254" s="52">
        <f t="shared" si="75"/>
        <v>0</v>
      </c>
      <c r="BP254" s="1">
        <f t="shared" si="76"/>
        <v>0</v>
      </c>
      <c r="BQ254" s="1">
        <f t="shared" si="77"/>
        <v>0</v>
      </c>
      <c r="BR254" s="1" t="str">
        <f t="shared" si="78"/>
        <v/>
      </c>
      <c r="BS254" s="1">
        <f t="shared" si="79"/>
        <v>0</v>
      </c>
      <c r="BT254" s="4">
        <f t="shared" si="80"/>
        <v>0</v>
      </c>
      <c r="BU254" s="52">
        <f t="shared" si="81"/>
        <v>0</v>
      </c>
      <c r="BV254" s="1">
        <f t="shared" si="82"/>
        <v>0</v>
      </c>
      <c r="BW254">
        <f t="shared" si="83"/>
        <v>0</v>
      </c>
      <c r="BX254">
        <f t="shared" si="84"/>
        <v>0</v>
      </c>
    </row>
    <row r="255" spans="58:76" x14ac:dyDescent="0.25">
      <c r="BF255" s="1" t="e">
        <f>VLOOKUP(N255,'Incoming Material Report'!H:M,6,FALSE)</f>
        <v>#N/A</v>
      </c>
      <c r="BG255" s="1" t="e">
        <f>IF(VLOOKUP(N255,'Incoming Material Report'!H:N,7,FALSE)=0,"",VLOOKUP(N255,'Incoming Material Report'!H:N,7,FALSE))</f>
        <v>#N/A</v>
      </c>
      <c r="BH255" s="52">
        <f t="shared" si="68"/>
        <v>0</v>
      </c>
      <c r="BI255" s="1">
        <f t="shared" si="69"/>
        <v>0</v>
      </c>
      <c r="BJ255" s="1">
        <f t="shared" si="70"/>
        <v>0</v>
      </c>
      <c r="BK255" s="1">
        <f t="shared" si="71"/>
        <v>0</v>
      </c>
      <c r="BL255" s="1">
        <f t="shared" si="72"/>
        <v>0</v>
      </c>
      <c r="BM255" s="10" t="str">
        <f t="shared" si="73"/>
        <v/>
      </c>
      <c r="BN255" s="52">
        <f t="shared" si="74"/>
        <v>0</v>
      </c>
      <c r="BO255" s="52">
        <f t="shared" si="75"/>
        <v>0</v>
      </c>
      <c r="BP255" s="1">
        <f t="shared" si="76"/>
        <v>0</v>
      </c>
      <c r="BQ255" s="1">
        <f t="shared" si="77"/>
        <v>0</v>
      </c>
      <c r="BR255" s="1" t="str">
        <f t="shared" si="78"/>
        <v/>
      </c>
      <c r="BS255" s="1">
        <f t="shared" si="79"/>
        <v>0</v>
      </c>
      <c r="BT255" s="4">
        <f t="shared" si="80"/>
        <v>0</v>
      </c>
      <c r="BU255" s="52">
        <f t="shared" si="81"/>
        <v>0</v>
      </c>
      <c r="BV255" s="1">
        <f t="shared" si="82"/>
        <v>0</v>
      </c>
      <c r="BW255">
        <f t="shared" si="83"/>
        <v>0</v>
      </c>
      <c r="BX255">
        <f t="shared" si="84"/>
        <v>0</v>
      </c>
    </row>
    <row r="256" spans="58:76" x14ac:dyDescent="0.25">
      <c r="BF256" s="1" t="e">
        <f>VLOOKUP(N256,'Incoming Material Report'!H:M,6,FALSE)</f>
        <v>#N/A</v>
      </c>
      <c r="BG256" s="1" t="e">
        <f>IF(VLOOKUP(N256,'Incoming Material Report'!H:N,7,FALSE)=0,"",VLOOKUP(N256,'Incoming Material Report'!H:N,7,FALSE))</f>
        <v>#N/A</v>
      </c>
      <c r="BH256" s="52">
        <f t="shared" si="68"/>
        <v>0</v>
      </c>
      <c r="BI256" s="1">
        <f t="shared" si="69"/>
        <v>0</v>
      </c>
      <c r="BJ256" s="1">
        <f t="shared" si="70"/>
        <v>0</v>
      </c>
      <c r="BK256" s="1">
        <f t="shared" si="71"/>
        <v>0</v>
      </c>
      <c r="BL256" s="1">
        <f t="shared" si="72"/>
        <v>0</v>
      </c>
      <c r="BM256" s="10" t="str">
        <f t="shared" si="73"/>
        <v/>
      </c>
      <c r="BN256" s="52">
        <f t="shared" si="74"/>
        <v>0</v>
      </c>
      <c r="BO256" s="52">
        <f t="shared" si="75"/>
        <v>0</v>
      </c>
      <c r="BP256" s="1">
        <f t="shared" si="76"/>
        <v>0</v>
      </c>
      <c r="BQ256" s="1">
        <f t="shared" si="77"/>
        <v>0</v>
      </c>
      <c r="BR256" s="1" t="str">
        <f t="shared" si="78"/>
        <v/>
      </c>
      <c r="BS256" s="1">
        <f t="shared" si="79"/>
        <v>0</v>
      </c>
      <c r="BT256" s="4">
        <f t="shared" si="80"/>
        <v>0</v>
      </c>
      <c r="BU256" s="52">
        <f t="shared" si="81"/>
        <v>0</v>
      </c>
      <c r="BV256" s="1">
        <f t="shared" si="82"/>
        <v>0</v>
      </c>
      <c r="BW256">
        <f t="shared" si="83"/>
        <v>0</v>
      </c>
      <c r="BX256">
        <f t="shared" si="84"/>
        <v>0</v>
      </c>
    </row>
    <row r="257" spans="58:76" x14ac:dyDescent="0.25">
      <c r="BF257" s="1" t="e">
        <f>VLOOKUP(N257,'Incoming Material Report'!H:M,6,FALSE)</f>
        <v>#N/A</v>
      </c>
      <c r="BG257" s="1" t="e">
        <f>IF(VLOOKUP(N257,'Incoming Material Report'!H:N,7,FALSE)=0,"",VLOOKUP(N257,'Incoming Material Report'!H:N,7,FALSE))</f>
        <v>#N/A</v>
      </c>
      <c r="BH257" s="52">
        <f t="shared" si="68"/>
        <v>0</v>
      </c>
      <c r="BI257" s="1">
        <f t="shared" si="69"/>
        <v>0</v>
      </c>
      <c r="BJ257" s="1">
        <f t="shared" si="70"/>
        <v>0</v>
      </c>
      <c r="BK257" s="1">
        <f t="shared" si="71"/>
        <v>0</v>
      </c>
      <c r="BL257" s="1">
        <f t="shared" si="72"/>
        <v>0</v>
      </c>
      <c r="BM257" s="10" t="str">
        <f t="shared" si="73"/>
        <v/>
      </c>
      <c r="BN257" s="52">
        <f t="shared" si="74"/>
        <v>0</v>
      </c>
      <c r="BO257" s="52">
        <f t="shared" si="75"/>
        <v>0</v>
      </c>
      <c r="BP257" s="1">
        <f t="shared" si="76"/>
        <v>0</v>
      </c>
      <c r="BQ257" s="1">
        <f t="shared" si="77"/>
        <v>0</v>
      </c>
      <c r="BR257" s="1" t="str">
        <f t="shared" si="78"/>
        <v/>
      </c>
      <c r="BS257" s="1">
        <f t="shared" si="79"/>
        <v>0</v>
      </c>
      <c r="BT257" s="4">
        <f t="shared" si="80"/>
        <v>0</v>
      </c>
      <c r="BU257" s="52">
        <f t="shared" si="81"/>
        <v>0</v>
      </c>
      <c r="BV257" s="1">
        <f t="shared" si="82"/>
        <v>0</v>
      </c>
      <c r="BW257">
        <f t="shared" si="83"/>
        <v>0</v>
      </c>
      <c r="BX257">
        <f t="shared" si="84"/>
        <v>0</v>
      </c>
    </row>
    <row r="258" spans="58:76" x14ac:dyDescent="0.25">
      <c r="BF258" s="1" t="e">
        <f>VLOOKUP(N258,'Incoming Material Report'!H:M,6,FALSE)</f>
        <v>#N/A</v>
      </c>
      <c r="BG258" s="1" t="e">
        <f>IF(VLOOKUP(N258,'Incoming Material Report'!H:N,7,FALSE)=0,"",VLOOKUP(N258,'Incoming Material Report'!H:N,7,FALSE))</f>
        <v>#N/A</v>
      </c>
      <c r="BH258" s="52">
        <f t="shared" si="68"/>
        <v>0</v>
      </c>
      <c r="BI258" s="1">
        <f t="shared" si="69"/>
        <v>0</v>
      </c>
      <c r="BJ258" s="1">
        <f t="shared" si="70"/>
        <v>0</v>
      </c>
      <c r="BK258" s="1">
        <f t="shared" si="71"/>
        <v>0</v>
      </c>
      <c r="BL258" s="1">
        <f t="shared" si="72"/>
        <v>0</v>
      </c>
      <c r="BM258" s="10" t="str">
        <f t="shared" si="73"/>
        <v/>
      </c>
      <c r="BN258" s="52">
        <f t="shared" si="74"/>
        <v>0</v>
      </c>
      <c r="BO258" s="52">
        <f t="shared" si="75"/>
        <v>0</v>
      </c>
      <c r="BP258" s="1">
        <f t="shared" si="76"/>
        <v>0</v>
      </c>
      <c r="BQ258" s="1">
        <f t="shared" si="77"/>
        <v>0</v>
      </c>
      <c r="BR258" s="1" t="str">
        <f t="shared" si="78"/>
        <v/>
      </c>
      <c r="BS258" s="1">
        <f t="shared" si="79"/>
        <v>0</v>
      </c>
      <c r="BT258" s="4">
        <f t="shared" si="80"/>
        <v>0</v>
      </c>
      <c r="BU258" s="52">
        <f t="shared" si="81"/>
        <v>0</v>
      </c>
      <c r="BV258" s="1">
        <f t="shared" si="82"/>
        <v>0</v>
      </c>
      <c r="BW258">
        <f t="shared" si="83"/>
        <v>0</v>
      </c>
      <c r="BX258">
        <f t="shared" si="84"/>
        <v>0</v>
      </c>
    </row>
    <row r="259" spans="58:76" x14ac:dyDescent="0.25">
      <c r="BF259" s="1" t="e">
        <f>VLOOKUP(N259,'Incoming Material Report'!H:M,6,FALSE)</f>
        <v>#N/A</v>
      </c>
      <c r="BG259" s="1" t="e">
        <f>IF(VLOOKUP(N259,'Incoming Material Report'!H:N,7,FALSE)=0,"",VLOOKUP(N259,'Incoming Material Report'!H:N,7,FALSE))</f>
        <v>#N/A</v>
      </c>
      <c r="BH259" s="52">
        <f t="shared" si="68"/>
        <v>0</v>
      </c>
      <c r="BI259" s="1">
        <f t="shared" si="69"/>
        <v>0</v>
      </c>
      <c r="BJ259" s="1">
        <f t="shared" si="70"/>
        <v>0</v>
      </c>
      <c r="BK259" s="1">
        <f t="shared" si="71"/>
        <v>0</v>
      </c>
      <c r="BL259" s="1">
        <f t="shared" si="72"/>
        <v>0</v>
      </c>
      <c r="BM259" s="10" t="str">
        <f t="shared" si="73"/>
        <v/>
      </c>
      <c r="BN259" s="52">
        <f t="shared" si="74"/>
        <v>0</v>
      </c>
      <c r="BO259" s="52">
        <f t="shared" si="75"/>
        <v>0</v>
      </c>
      <c r="BP259" s="1">
        <f t="shared" si="76"/>
        <v>0</v>
      </c>
      <c r="BQ259" s="1">
        <f t="shared" si="77"/>
        <v>0</v>
      </c>
      <c r="BR259" s="1" t="str">
        <f t="shared" si="78"/>
        <v/>
      </c>
      <c r="BS259" s="1">
        <f t="shared" si="79"/>
        <v>0</v>
      </c>
      <c r="BT259" s="4">
        <f t="shared" si="80"/>
        <v>0</v>
      </c>
      <c r="BU259" s="52">
        <f t="shared" si="81"/>
        <v>0</v>
      </c>
      <c r="BV259" s="1">
        <f t="shared" si="82"/>
        <v>0</v>
      </c>
      <c r="BW259">
        <f t="shared" si="83"/>
        <v>0</v>
      </c>
      <c r="BX259">
        <f t="shared" si="84"/>
        <v>0</v>
      </c>
    </row>
    <row r="260" spans="58:76" x14ac:dyDescent="0.25">
      <c r="BF260" s="1" t="e">
        <f>VLOOKUP(N260,'Incoming Material Report'!H:M,6,FALSE)</f>
        <v>#N/A</v>
      </c>
      <c r="BG260" s="1" t="e">
        <f>IF(VLOOKUP(N260,'Incoming Material Report'!H:N,7,FALSE)=0,"",VLOOKUP(N260,'Incoming Material Report'!H:N,7,FALSE))</f>
        <v>#N/A</v>
      </c>
      <c r="BH260" s="52">
        <f t="shared" si="68"/>
        <v>0</v>
      </c>
      <c r="BI260" s="1">
        <f t="shared" si="69"/>
        <v>0</v>
      </c>
      <c r="BJ260" s="1">
        <f t="shared" si="70"/>
        <v>0</v>
      </c>
      <c r="BK260" s="1">
        <f t="shared" si="71"/>
        <v>0</v>
      </c>
      <c r="BL260" s="1">
        <f t="shared" si="72"/>
        <v>0</v>
      </c>
      <c r="BM260" s="10" t="str">
        <f t="shared" si="73"/>
        <v/>
      </c>
      <c r="BN260" s="52">
        <f t="shared" si="74"/>
        <v>0</v>
      </c>
      <c r="BO260" s="52">
        <f t="shared" si="75"/>
        <v>0</v>
      </c>
      <c r="BP260" s="1">
        <f t="shared" si="76"/>
        <v>0</v>
      </c>
      <c r="BQ260" s="1">
        <f t="shared" si="77"/>
        <v>0</v>
      </c>
      <c r="BR260" s="1" t="str">
        <f t="shared" si="78"/>
        <v/>
      </c>
      <c r="BS260" s="1">
        <f t="shared" si="79"/>
        <v>0</v>
      </c>
      <c r="BT260" s="4">
        <f t="shared" si="80"/>
        <v>0</v>
      </c>
      <c r="BU260" s="52">
        <f t="shared" si="81"/>
        <v>0</v>
      </c>
      <c r="BV260" s="1">
        <f t="shared" si="82"/>
        <v>0</v>
      </c>
      <c r="BW260">
        <f t="shared" si="83"/>
        <v>0</v>
      </c>
      <c r="BX260">
        <f t="shared" si="84"/>
        <v>0</v>
      </c>
    </row>
    <row r="261" spans="58:76" x14ac:dyDescent="0.25">
      <c r="BF261" s="1" t="e">
        <f>VLOOKUP(N261,'Incoming Material Report'!H:M,6,FALSE)</f>
        <v>#N/A</v>
      </c>
      <c r="BG261" s="1" t="e">
        <f>IF(VLOOKUP(N261,'Incoming Material Report'!H:N,7,FALSE)=0,"",VLOOKUP(N261,'Incoming Material Report'!H:N,7,FALSE))</f>
        <v>#N/A</v>
      </c>
      <c r="BH261" s="52">
        <f t="shared" si="68"/>
        <v>0</v>
      </c>
      <c r="BI261" s="1">
        <f t="shared" si="69"/>
        <v>0</v>
      </c>
      <c r="BJ261" s="1">
        <f t="shared" si="70"/>
        <v>0</v>
      </c>
      <c r="BK261" s="1">
        <f t="shared" si="71"/>
        <v>0</v>
      </c>
      <c r="BL261" s="1">
        <f t="shared" si="72"/>
        <v>0</v>
      </c>
      <c r="BM261" s="10" t="str">
        <f t="shared" si="73"/>
        <v/>
      </c>
      <c r="BN261" s="52">
        <f t="shared" si="74"/>
        <v>0</v>
      </c>
      <c r="BO261" s="52">
        <f t="shared" si="75"/>
        <v>0</v>
      </c>
      <c r="BP261" s="1">
        <f t="shared" si="76"/>
        <v>0</v>
      </c>
      <c r="BQ261" s="1">
        <f t="shared" si="77"/>
        <v>0</v>
      </c>
      <c r="BR261" s="1" t="str">
        <f t="shared" si="78"/>
        <v/>
      </c>
      <c r="BS261" s="1">
        <f t="shared" si="79"/>
        <v>0</v>
      </c>
      <c r="BT261" s="4">
        <f t="shared" si="80"/>
        <v>0</v>
      </c>
      <c r="BU261" s="52">
        <f t="shared" si="81"/>
        <v>0</v>
      </c>
      <c r="BV261" s="1">
        <f t="shared" si="82"/>
        <v>0</v>
      </c>
      <c r="BW261">
        <f t="shared" si="83"/>
        <v>0</v>
      </c>
      <c r="BX261">
        <f t="shared" si="84"/>
        <v>0</v>
      </c>
    </row>
    <row r="262" spans="58:76" x14ac:dyDescent="0.25">
      <c r="BF262" s="1" t="e">
        <f>VLOOKUP(N262,'Incoming Material Report'!H:M,6,FALSE)</f>
        <v>#N/A</v>
      </c>
      <c r="BG262" s="1" t="e">
        <f>IF(VLOOKUP(N262,'Incoming Material Report'!H:N,7,FALSE)=0,"",VLOOKUP(N262,'Incoming Material Report'!H:N,7,FALSE))</f>
        <v>#N/A</v>
      </c>
      <c r="BH262" s="52">
        <f t="shared" si="68"/>
        <v>0</v>
      </c>
      <c r="BI262" s="1">
        <f t="shared" si="69"/>
        <v>0</v>
      </c>
      <c r="BJ262" s="1">
        <f t="shared" si="70"/>
        <v>0</v>
      </c>
      <c r="BK262" s="1">
        <f t="shared" si="71"/>
        <v>0</v>
      </c>
      <c r="BL262" s="1">
        <f t="shared" si="72"/>
        <v>0</v>
      </c>
      <c r="BM262" s="10" t="str">
        <f t="shared" si="73"/>
        <v/>
      </c>
      <c r="BN262" s="52">
        <f t="shared" si="74"/>
        <v>0</v>
      </c>
      <c r="BO262" s="52">
        <f t="shared" si="75"/>
        <v>0</v>
      </c>
      <c r="BP262" s="1">
        <f t="shared" si="76"/>
        <v>0</v>
      </c>
      <c r="BQ262" s="1">
        <f t="shared" si="77"/>
        <v>0</v>
      </c>
      <c r="BR262" s="1" t="str">
        <f t="shared" si="78"/>
        <v/>
      </c>
      <c r="BS262" s="1">
        <f t="shared" si="79"/>
        <v>0</v>
      </c>
      <c r="BT262" s="4">
        <f t="shared" si="80"/>
        <v>0</v>
      </c>
      <c r="BU262" s="52">
        <f t="shared" si="81"/>
        <v>0</v>
      </c>
      <c r="BV262" s="1">
        <f t="shared" si="82"/>
        <v>0</v>
      </c>
      <c r="BW262">
        <f t="shared" si="83"/>
        <v>0</v>
      </c>
      <c r="BX262">
        <f t="shared" si="84"/>
        <v>0</v>
      </c>
    </row>
    <row r="263" spans="58:76" x14ac:dyDescent="0.25">
      <c r="BF263" s="1" t="e">
        <f>VLOOKUP(N263,'Incoming Material Report'!H:M,6,FALSE)</f>
        <v>#N/A</v>
      </c>
      <c r="BG263" s="1" t="e">
        <f>IF(VLOOKUP(N263,'Incoming Material Report'!H:N,7,FALSE)=0,"",VLOOKUP(N263,'Incoming Material Report'!H:N,7,FALSE))</f>
        <v>#N/A</v>
      </c>
      <c r="BH263" s="52">
        <f t="shared" si="68"/>
        <v>0</v>
      </c>
      <c r="BI263" s="1">
        <f t="shared" si="69"/>
        <v>0</v>
      </c>
      <c r="BJ263" s="1">
        <f t="shared" si="70"/>
        <v>0</v>
      </c>
      <c r="BK263" s="1">
        <f t="shared" si="71"/>
        <v>0</v>
      </c>
      <c r="BL263" s="1">
        <f t="shared" si="72"/>
        <v>0</v>
      </c>
      <c r="BM263" s="10" t="str">
        <f t="shared" si="73"/>
        <v/>
      </c>
      <c r="BN263" s="52">
        <f t="shared" si="74"/>
        <v>0</v>
      </c>
      <c r="BO263" s="52">
        <f t="shared" si="75"/>
        <v>0</v>
      </c>
      <c r="BP263" s="1">
        <f t="shared" si="76"/>
        <v>0</v>
      </c>
      <c r="BQ263" s="1">
        <f t="shared" si="77"/>
        <v>0</v>
      </c>
      <c r="BR263" s="1" t="str">
        <f t="shared" si="78"/>
        <v/>
      </c>
      <c r="BS263" s="1">
        <f t="shared" si="79"/>
        <v>0</v>
      </c>
      <c r="BT263" s="4">
        <f t="shared" si="80"/>
        <v>0</v>
      </c>
      <c r="BU263" s="52">
        <f t="shared" si="81"/>
        <v>0</v>
      </c>
      <c r="BV263" s="1">
        <f t="shared" si="82"/>
        <v>0</v>
      </c>
      <c r="BW263">
        <f t="shared" si="83"/>
        <v>0</v>
      </c>
      <c r="BX263">
        <f t="shared" si="84"/>
        <v>0</v>
      </c>
    </row>
    <row r="264" spans="58:76" x14ac:dyDescent="0.25">
      <c r="BF264" s="1" t="e">
        <f>VLOOKUP(N264,'Incoming Material Report'!H:M,6,FALSE)</f>
        <v>#N/A</v>
      </c>
      <c r="BG264" s="1" t="e">
        <f>IF(VLOOKUP(N264,'Incoming Material Report'!H:N,7,FALSE)=0,"",VLOOKUP(N264,'Incoming Material Report'!H:N,7,FALSE))</f>
        <v>#N/A</v>
      </c>
      <c r="BH264" s="52">
        <f t="shared" si="68"/>
        <v>0</v>
      </c>
      <c r="BI264" s="1">
        <f t="shared" si="69"/>
        <v>0</v>
      </c>
      <c r="BJ264" s="1">
        <f t="shared" si="70"/>
        <v>0</v>
      </c>
      <c r="BK264" s="1">
        <f t="shared" si="71"/>
        <v>0</v>
      </c>
      <c r="BL264" s="1">
        <f t="shared" si="72"/>
        <v>0</v>
      </c>
      <c r="BM264" s="10" t="str">
        <f t="shared" si="73"/>
        <v/>
      </c>
      <c r="BN264" s="52">
        <f t="shared" si="74"/>
        <v>0</v>
      </c>
      <c r="BO264" s="52">
        <f t="shared" si="75"/>
        <v>0</v>
      </c>
      <c r="BP264" s="1">
        <f t="shared" si="76"/>
        <v>0</v>
      </c>
      <c r="BQ264" s="1">
        <f t="shared" si="77"/>
        <v>0</v>
      </c>
      <c r="BR264" s="1" t="str">
        <f t="shared" si="78"/>
        <v/>
      </c>
      <c r="BS264" s="1">
        <f t="shared" si="79"/>
        <v>0</v>
      </c>
      <c r="BT264" s="4">
        <f t="shared" si="80"/>
        <v>0</v>
      </c>
      <c r="BU264" s="52">
        <f t="shared" si="81"/>
        <v>0</v>
      </c>
      <c r="BV264" s="1">
        <f t="shared" si="82"/>
        <v>0</v>
      </c>
      <c r="BW264">
        <f t="shared" si="83"/>
        <v>0</v>
      </c>
      <c r="BX264">
        <f t="shared" si="84"/>
        <v>0</v>
      </c>
    </row>
    <row r="265" spans="58:76" x14ac:dyDescent="0.25">
      <c r="BF265" s="1" t="e">
        <f>VLOOKUP(N265,'Incoming Material Report'!H:M,6,FALSE)</f>
        <v>#N/A</v>
      </c>
      <c r="BG265" s="1" t="e">
        <f>IF(VLOOKUP(N265,'Incoming Material Report'!H:N,7,FALSE)=0,"",VLOOKUP(N265,'Incoming Material Report'!H:N,7,FALSE))</f>
        <v>#N/A</v>
      </c>
      <c r="BH265" s="52">
        <f t="shared" si="68"/>
        <v>0</v>
      </c>
      <c r="BI265" s="1">
        <f t="shared" si="69"/>
        <v>0</v>
      </c>
      <c r="BJ265" s="1">
        <f t="shared" si="70"/>
        <v>0</v>
      </c>
      <c r="BK265" s="1">
        <f t="shared" si="71"/>
        <v>0</v>
      </c>
      <c r="BL265" s="1">
        <f t="shared" si="72"/>
        <v>0</v>
      </c>
      <c r="BM265" s="10" t="str">
        <f t="shared" si="73"/>
        <v/>
      </c>
      <c r="BN265" s="52">
        <f t="shared" si="74"/>
        <v>0</v>
      </c>
      <c r="BO265" s="52">
        <f t="shared" si="75"/>
        <v>0</v>
      </c>
      <c r="BP265" s="1">
        <f t="shared" si="76"/>
        <v>0</v>
      </c>
      <c r="BQ265" s="1">
        <f t="shared" si="77"/>
        <v>0</v>
      </c>
      <c r="BR265" s="1" t="str">
        <f t="shared" si="78"/>
        <v/>
      </c>
      <c r="BS265" s="1">
        <f t="shared" si="79"/>
        <v>0</v>
      </c>
      <c r="BT265" s="4">
        <f t="shared" si="80"/>
        <v>0</v>
      </c>
      <c r="BU265" s="52">
        <f t="shared" si="81"/>
        <v>0</v>
      </c>
      <c r="BV265" s="1">
        <f t="shared" si="82"/>
        <v>0</v>
      </c>
      <c r="BW265">
        <f t="shared" si="83"/>
        <v>0</v>
      </c>
      <c r="BX265">
        <f t="shared" si="84"/>
        <v>0</v>
      </c>
    </row>
    <row r="266" spans="58:76" x14ac:dyDescent="0.25">
      <c r="BF266" s="1" t="e">
        <f>VLOOKUP(N266,'Incoming Material Report'!H:M,6,FALSE)</f>
        <v>#N/A</v>
      </c>
      <c r="BG266" s="1" t="e">
        <f>IF(VLOOKUP(N266,'Incoming Material Report'!H:N,7,FALSE)=0,"",VLOOKUP(N266,'Incoming Material Report'!H:N,7,FALSE))</f>
        <v>#N/A</v>
      </c>
      <c r="BH266" s="52">
        <f t="shared" si="68"/>
        <v>0</v>
      </c>
      <c r="BI266" s="1">
        <f t="shared" si="69"/>
        <v>0</v>
      </c>
      <c r="BJ266" s="1">
        <f t="shared" si="70"/>
        <v>0</v>
      </c>
      <c r="BK266" s="1">
        <f t="shared" si="71"/>
        <v>0</v>
      </c>
      <c r="BL266" s="1">
        <f t="shared" si="72"/>
        <v>0</v>
      </c>
      <c r="BM266" s="10" t="str">
        <f t="shared" si="73"/>
        <v/>
      </c>
      <c r="BN266" s="52">
        <f t="shared" si="74"/>
        <v>0</v>
      </c>
      <c r="BO266" s="52">
        <f t="shared" si="75"/>
        <v>0</v>
      </c>
      <c r="BP266" s="1">
        <f t="shared" si="76"/>
        <v>0</v>
      </c>
      <c r="BQ266" s="1">
        <f t="shared" si="77"/>
        <v>0</v>
      </c>
      <c r="BR266" s="1" t="str">
        <f t="shared" si="78"/>
        <v/>
      </c>
      <c r="BS266" s="1">
        <f t="shared" si="79"/>
        <v>0</v>
      </c>
      <c r="BT266" s="4">
        <f t="shared" si="80"/>
        <v>0</v>
      </c>
      <c r="BU266" s="52">
        <f t="shared" si="81"/>
        <v>0</v>
      </c>
      <c r="BV266" s="1">
        <f t="shared" si="82"/>
        <v>0</v>
      </c>
      <c r="BW266">
        <f t="shared" si="83"/>
        <v>0</v>
      </c>
      <c r="BX266">
        <f t="shared" si="84"/>
        <v>0</v>
      </c>
    </row>
    <row r="267" spans="58:76" x14ac:dyDescent="0.25">
      <c r="BF267" s="1" t="e">
        <f>VLOOKUP(N267,'Incoming Material Report'!H:M,6,FALSE)</f>
        <v>#N/A</v>
      </c>
      <c r="BG267" s="1" t="e">
        <f>IF(VLOOKUP(N267,'Incoming Material Report'!H:N,7,FALSE)=0,"",VLOOKUP(N267,'Incoming Material Report'!H:N,7,FALSE))</f>
        <v>#N/A</v>
      </c>
      <c r="BH267" s="52">
        <f t="shared" si="68"/>
        <v>0</v>
      </c>
      <c r="BI267" s="1">
        <f t="shared" si="69"/>
        <v>0</v>
      </c>
      <c r="BJ267" s="1">
        <f t="shared" si="70"/>
        <v>0</v>
      </c>
      <c r="BK267" s="1">
        <f t="shared" si="71"/>
        <v>0</v>
      </c>
      <c r="BL267" s="1">
        <f t="shared" si="72"/>
        <v>0</v>
      </c>
      <c r="BM267" s="10" t="str">
        <f t="shared" si="73"/>
        <v/>
      </c>
      <c r="BN267" s="52">
        <f t="shared" si="74"/>
        <v>0</v>
      </c>
      <c r="BO267" s="52">
        <f t="shared" si="75"/>
        <v>0</v>
      </c>
      <c r="BP267" s="1">
        <f t="shared" si="76"/>
        <v>0</v>
      </c>
      <c r="BQ267" s="1">
        <f t="shared" si="77"/>
        <v>0</v>
      </c>
      <c r="BR267" s="1" t="str">
        <f t="shared" si="78"/>
        <v/>
      </c>
      <c r="BS267" s="1">
        <f t="shared" si="79"/>
        <v>0</v>
      </c>
      <c r="BT267" s="4">
        <f t="shared" si="80"/>
        <v>0</v>
      </c>
      <c r="BU267" s="52">
        <f t="shared" si="81"/>
        <v>0</v>
      </c>
      <c r="BV267" s="1">
        <f t="shared" si="82"/>
        <v>0</v>
      </c>
      <c r="BW267">
        <f t="shared" si="83"/>
        <v>0</v>
      </c>
      <c r="BX267">
        <f t="shared" si="84"/>
        <v>0</v>
      </c>
    </row>
    <row r="268" spans="58:76" x14ac:dyDescent="0.25">
      <c r="BF268" s="1" t="e">
        <f>VLOOKUP(N268,'Incoming Material Report'!H:M,6,FALSE)</f>
        <v>#N/A</v>
      </c>
      <c r="BG268" s="1" t="e">
        <f>IF(VLOOKUP(N268,'Incoming Material Report'!H:N,7,FALSE)=0,"",VLOOKUP(N268,'Incoming Material Report'!H:N,7,FALSE))</f>
        <v>#N/A</v>
      </c>
      <c r="BH268" s="52">
        <f t="shared" si="68"/>
        <v>0</v>
      </c>
      <c r="BI268" s="1">
        <f t="shared" si="69"/>
        <v>0</v>
      </c>
      <c r="BJ268" s="1">
        <f t="shared" si="70"/>
        <v>0</v>
      </c>
      <c r="BK268" s="1">
        <f t="shared" si="71"/>
        <v>0</v>
      </c>
      <c r="BL268" s="1">
        <f t="shared" si="72"/>
        <v>0</v>
      </c>
      <c r="BM268" s="10" t="str">
        <f t="shared" si="73"/>
        <v/>
      </c>
      <c r="BN268" s="52">
        <f t="shared" si="74"/>
        <v>0</v>
      </c>
      <c r="BO268" s="52">
        <f t="shared" si="75"/>
        <v>0</v>
      </c>
      <c r="BP268" s="1">
        <f t="shared" si="76"/>
        <v>0</v>
      </c>
      <c r="BQ268" s="1">
        <f t="shared" si="77"/>
        <v>0</v>
      </c>
      <c r="BR268" s="1" t="str">
        <f t="shared" si="78"/>
        <v/>
      </c>
      <c r="BS268" s="1">
        <f t="shared" si="79"/>
        <v>0</v>
      </c>
      <c r="BT268" s="4">
        <f t="shared" si="80"/>
        <v>0</v>
      </c>
      <c r="BU268" s="52">
        <f t="shared" si="81"/>
        <v>0</v>
      </c>
      <c r="BV268" s="1">
        <f t="shared" si="82"/>
        <v>0</v>
      </c>
      <c r="BW268">
        <f t="shared" si="83"/>
        <v>0</v>
      </c>
      <c r="BX268">
        <f t="shared" si="84"/>
        <v>0</v>
      </c>
    </row>
    <row r="269" spans="58:76" x14ac:dyDescent="0.25">
      <c r="BF269" s="1" t="e">
        <f>VLOOKUP(N269,'Incoming Material Report'!H:M,6,FALSE)</f>
        <v>#N/A</v>
      </c>
      <c r="BG269" s="1" t="e">
        <f>IF(VLOOKUP(N269,'Incoming Material Report'!H:N,7,FALSE)=0,"",VLOOKUP(N269,'Incoming Material Report'!H:N,7,FALSE))</f>
        <v>#N/A</v>
      </c>
      <c r="BH269" s="52">
        <f t="shared" si="68"/>
        <v>0</v>
      </c>
      <c r="BI269" s="1">
        <f t="shared" si="69"/>
        <v>0</v>
      </c>
      <c r="BJ269" s="1">
        <f t="shared" si="70"/>
        <v>0</v>
      </c>
      <c r="BK269" s="1">
        <f t="shared" si="71"/>
        <v>0</v>
      </c>
      <c r="BL269" s="1">
        <f t="shared" si="72"/>
        <v>0</v>
      </c>
      <c r="BM269" s="10" t="str">
        <f t="shared" si="73"/>
        <v/>
      </c>
      <c r="BN269" s="52">
        <f t="shared" si="74"/>
        <v>0</v>
      </c>
      <c r="BO269" s="52">
        <f t="shared" si="75"/>
        <v>0</v>
      </c>
      <c r="BP269" s="1">
        <f t="shared" si="76"/>
        <v>0</v>
      </c>
      <c r="BQ269" s="1">
        <f t="shared" si="77"/>
        <v>0</v>
      </c>
      <c r="BR269" s="1" t="str">
        <f t="shared" si="78"/>
        <v/>
      </c>
      <c r="BS269" s="1">
        <f t="shared" si="79"/>
        <v>0</v>
      </c>
      <c r="BT269" s="4">
        <f t="shared" si="80"/>
        <v>0</v>
      </c>
      <c r="BU269" s="52">
        <f t="shared" si="81"/>
        <v>0</v>
      </c>
      <c r="BV269" s="1">
        <f t="shared" si="82"/>
        <v>0</v>
      </c>
      <c r="BW269">
        <f t="shared" si="83"/>
        <v>0</v>
      </c>
      <c r="BX269">
        <f t="shared" si="84"/>
        <v>0</v>
      </c>
    </row>
    <row r="270" spans="58:76" x14ac:dyDescent="0.25">
      <c r="BF270" s="1" t="e">
        <f>VLOOKUP(N270,'Incoming Material Report'!H:M,6,FALSE)</f>
        <v>#N/A</v>
      </c>
      <c r="BG270" s="1" t="e">
        <f>IF(VLOOKUP(N270,'Incoming Material Report'!H:N,7,FALSE)=0,"",VLOOKUP(N270,'Incoming Material Report'!H:N,7,FALSE))</f>
        <v>#N/A</v>
      </c>
      <c r="BH270" s="52">
        <f t="shared" si="68"/>
        <v>0</v>
      </c>
      <c r="BI270" s="1">
        <f t="shared" si="69"/>
        <v>0</v>
      </c>
      <c r="BJ270" s="1">
        <f t="shared" si="70"/>
        <v>0</v>
      </c>
      <c r="BK270" s="1">
        <f t="shared" si="71"/>
        <v>0</v>
      </c>
      <c r="BL270" s="1">
        <f t="shared" si="72"/>
        <v>0</v>
      </c>
      <c r="BM270" s="10" t="str">
        <f t="shared" si="73"/>
        <v/>
      </c>
      <c r="BN270" s="52">
        <f t="shared" si="74"/>
        <v>0</v>
      </c>
      <c r="BO270" s="52">
        <f t="shared" si="75"/>
        <v>0</v>
      </c>
      <c r="BP270" s="1">
        <f t="shared" si="76"/>
        <v>0</v>
      </c>
      <c r="BQ270" s="1">
        <f t="shared" si="77"/>
        <v>0</v>
      </c>
      <c r="BR270" s="1" t="str">
        <f t="shared" si="78"/>
        <v/>
      </c>
      <c r="BS270" s="1">
        <f t="shared" si="79"/>
        <v>0</v>
      </c>
      <c r="BT270" s="4">
        <f t="shared" si="80"/>
        <v>0</v>
      </c>
      <c r="BU270" s="52">
        <f t="shared" si="81"/>
        <v>0</v>
      </c>
      <c r="BV270" s="1">
        <f t="shared" si="82"/>
        <v>0</v>
      </c>
      <c r="BW270">
        <f t="shared" si="83"/>
        <v>0</v>
      </c>
      <c r="BX270">
        <f t="shared" si="84"/>
        <v>0</v>
      </c>
    </row>
    <row r="271" spans="58:76" x14ac:dyDescent="0.25">
      <c r="BF271" s="1" t="e">
        <f>VLOOKUP(N271,'Incoming Material Report'!H:M,6,FALSE)</f>
        <v>#N/A</v>
      </c>
      <c r="BG271" s="1" t="e">
        <f>IF(VLOOKUP(N271,'Incoming Material Report'!H:N,7,FALSE)=0,"",VLOOKUP(N271,'Incoming Material Report'!H:N,7,FALSE))</f>
        <v>#N/A</v>
      </c>
      <c r="BH271" s="52">
        <f t="shared" si="68"/>
        <v>0</v>
      </c>
      <c r="BI271" s="1">
        <f t="shared" si="69"/>
        <v>0</v>
      </c>
      <c r="BJ271" s="1">
        <f t="shared" si="70"/>
        <v>0</v>
      </c>
      <c r="BK271" s="1">
        <f t="shared" si="71"/>
        <v>0</v>
      </c>
      <c r="BL271" s="1">
        <f t="shared" si="72"/>
        <v>0</v>
      </c>
      <c r="BM271" s="10" t="str">
        <f t="shared" si="73"/>
        <v/>
      </c>
      <c r="BN271" s="52">
        <f t="shared" si="74"/>
        <v>0</v>
      </c>
      <c r="BO271" s="52">
        <f t="shared" si="75"/>
        <v>0</v>
      </c>
      <c r="BP271" s="1">
        <f t="shared" si="76"/>
        <v>0</v>
      </c>
      <c r="BQ271" s="1">
        <f t="shared" si="77"/>
        <v>0</v>
      </c>
      <c r="BR271" s="1" t="str">
        <f t="shared" si="78"/>
        <v/>
      </c>
      <c r="BS271" s="1">
        <f t="shared" si="79"/>
        <v>0</v>
      </c>
      <c r="BT271" s="4">
        <f t="shared" si="80"/>
        <v>0</v>
      </c>
      <c r="BU271" s="52">
        <f t="shared" si="81"/>
        <v>0</v>
      </c>
      <c r="BV271" s="1">
        <f t="shared" si="82"/>
        <v>0</v>
      </c>
      <c r="BW271">
        <f t="shared" si="83"/>
        <v>0</v>
      </c>
      <c r="BX271">
        <f t="shared" si="84"/>
        <v>0</v>
      </c>
    </row>
    <row r="272" spans="58:76" x14ac:dyDescent="0.25">
      <c r="BF272" s="1" t="e">
        <f>VLOOKUP(N272,'Incoming Material Report'!H:M,6,FALSE)</f>
        <v>#N/A</v>
      </c>
      <c r="BG272" s="1" t="e">
        <f>IF(VLOOKUP(N272,'Incoming Material Report'!H:N,7,FALSE)=0,"",VLOOKUP(N272,'Incoming Material Report'!H:N,7,FALSE))</f>
        <v>#N/A</v>
      </c>
      <c r="BH272" s="52">
        <f t="shared" si="68"/>
        <v>0</v>
      </c>
      <c r="BI272" s="1">
        <f t="shared" si="69"/>
        <v>0</v>
      </c>
      <c r="BJ272" s="1">
        <f t="shared" si="70"/>
        <v>0</v>
      </c>
      <c r="BK272" s="1">
        <f t="shared" si="71"/>
        <v>0</v>
      </c>
      <c r="BL272" s="1">
        <f t="shared" si="72"/>
        <v>0</v>
      </c>
      <c r="BM272" s="10" t="str">
        <f t="shared" si="73"/>
        <v/>
      </c>
      <c r="BN272" s="52">
        <f t="shared" si="74"/>
        <v>0</v>
      </c>
      <c r="BO272" s="52">
        <f t="shared" si="75"/>
        <v>0</v>
      </c>
      <c r="BP272" s="1">
        <f t="shared" si="76"/>
        <v>0</v>
      </c>
      <c r="BQ272" s="1">
        <f t="shared" si="77"/>
        <v>0</v>
      </c>
      <c r="BR272" s="1" t="str">
        <f t="shared" si="78"/>
        <v/>
      </c>
      <c r="BS272" s="1">
        <f t="shared" si="79"/>
        <v>0</v>
      </c>
      <c r="BT272" s="4">
        <f t="shared" si="80"/>
        <v>0</v>
      </c>
      <c r="BU272" s="52">
        <f t="shared" si="81"/>
        <v>0</v>
      </c>
      <c r="BV272" s="1">
        <f t="shared" si="82"/>
        <v>0</v>
      </c>
      <c r="BW272">
        <f t="shared" si="83"/>
        <v>0</v>
      </c>
      <c r="BX272">
        <f t="shared" si="84"/>
        <v>0</v>
      </c>
    </row>
    <row r="273" spans="58:76" x14ac:dyDescent="0.25">
      <c r="BF273" s="1" t="e">
        <f>VLOOKUP(N273,'Incoming Material Report'!H:M,6,FALSE)</f>
        <v>#N/A</v>
      </c>
      <c r="BG273" s="1" t="e">
        <f>IF(VLOOKUP(N273,'Incoming Material Report'!H:N,7,FALSE)=0,"",VLOOKUP(N273,'Incoming Material Report'!H:N,7,FALSE))</f>
        <v>#N/A</v>
      </c>
      <c r="BH273" s="52">
        <f t="shared" si="68"/>
        <v>0</v>
      </c>
      <c r="BI273" s="1">
        <f t="shared" si="69"/>
        <v>0</v>
      </c>
      <c r="BJ273" s="1">
        <f t="shared" si="70"/>
        <v>0</v>
      </c>
      <c r="BK273" s="1">
        <f t="shared" si="71"/>
        <v>0</v>
      </c>
      <c r="BL273" s="1">
        <f t="shared" si="72"/>
        <v>0</v>
      </c>
      <c r="BM273" s="10" t="str">
        <f t="shared" si="73"/>
        <v/>
      </c>
      <c r="BN273" s="52">
        <f t="shared" si="74"/>
        <v>0</v>
      </c>
      <c r="BO273" s="52">
        <f t="shared" si="75"/>
        <v>0</v>
      </c>
      <c r="BP273" s="1">
        <f t="shared" si="76"/>
        <v>0</v>
      </c>
      <c r="BQ273" s="1">
        <f t="shared" si="77"/>
        <v>0</v>
      </c>
      <c r="BR273" s="1" t="str">
        <f t="shared" si="78"/>
        <v/>
      </c>
      <c r="BS273" s="1">
        <f t="shared" si="79"/>
        <v>0</v>
      </c>
      <c r="BT273" s="4">
        <f t="shared" si="80"/>
        <v>0</v>
      </c>
      <c r="BU273" s="52">
        <f t="shared" si="81"/>
        <v>0</v>
      </c>
      <c r="BV273" s="1">
        <f t="shared" si="82"/>
        <v>0</v>
      </c>
      <c r="BW273">
        <f t="shared" si="83"/>
        <v>0</v>
      </c>
      <c r="BX273">
        <f t="shared" si="84"/>
        <v>0</v>
      </c>
    </row>
    <row r="274" spans="58:76" x14ac:dyDescent="0.25">
      <c r="BF274" s="1" t="e">
        <f>VLOOKUP(N274,'Incoming Material Report'!H:M,6,FALSE)</f>
        <v>#N/A</v>
      </c>
      <c r="BG274" s="1" t="e">
        <f>IF(VLOOKUP(N274,'Incoming Material Report'!H:N,7,FALSE)=0,"",VLOOKUP(N274,'Incoming Material Report'!H:N,7,FALSE))</f>
        <v>#N/A</v>
      </c>
      <c r="BH274" s="52">
        <f t="shared" si="68"/>
        <v>0</v>
      </c>
      <c r="BI274" s="1">
        <f t="shared" si="69"/>
        <v>0</v>
      </c>
      <c r="BJ274" s="1">
        <f t="shared" si="70"/>
        <v>0</v>
      </c>
      <c r="BK274" s="1">
        <f t="shared" si="71"/>
        <v>0</v>
      </c>
      <c r="BL274" s="1">
        <f t="shared" si="72"/>
        <v>0</v>
      </c>
      <c r="BM274" s="10" t="str">
        <f t="shared" si="73"/>
        <v/>
      </c>
      <c r="BN274" s="52">
        <f t="shared" si="74"/>
        <v>0</v>
      </c>
      <c r="BO274" s="52">
        <f t="shared" si="75"/>
        <v>0</v>
      </c>
      <c r="BP274" s="1">
        <f t="shared" si="76"/>
        <v>0</v>
      </c>
      <c r="BQ274" s="1">
        <f t="shared" si="77"/>
        <v>0</v>
      </c>
      <c r="BR274" s="1" t="str">
        <f t="shared" si="78"/>
        <v/>
      </c>
      <c r="BS274" s="1">
        <f t="shared" si="79"/>
        <v>0</v>
      </c>
      <c r="BT274" s="4">
        <f t="shared" si="80"/>
        <v>0</v>
      </c>
      <c r="BU274" s="52">
        <f t="shared" si="81"/>
        <v>0</v>
      </c>
      <c r="BV274" s="1">
        <f t="shared" si="82"/>
        <v>0</v>
      </c>
      <c r="BW274">
        <f t="shared" si="83"/>
        <v>0</v>
      </c>
      <c r="BX274">
        <f t="shared" si="84"/>
        <v>0</v>
      </c>
    </row>
    <row r="275" spans="58:76" x14ac:dyDescent="0.25">
      <c r="BF275" s="1" t="e">
        <f>VLOOKUP(N275,'Incoming Material Report'!H:M,6,FALSE)</f>
        <v>#N/A</v>
      </c>
      <c r="BG275" s="1" t="e">
        <f>IF(VLOOKUP(N275,'Incoming Material Report'!H:N,7,FALSE)=0,"",VLOOKUP(N275,'Incoming Material Report'!H:N,7,FALSE))</f>
        <v>#N/A</v>
      </c>
      <c r="BH275" s="52">
        <f t="shared" si="68"/>
        <v>0</v>
      </c>
      <c r="BI275" s="1">
        <f t="shared" si="69"/>
        <v>0</v>
      </c>
      <c r="BJ275" s="1">
        <f t="shared" si="70"/>
        <v>0</v>
      </c>
      <c r="BK275" s="1">
        <f t="shared" si="71"/>
        <v>0</v>
      </c>
      <c r="BL275" s="1">
        <f t="shared" si="72"/>
        <v>0</v>
      </c>
      <c r="BM275" s="10" t="str">
        <f t="shared" si="73"/>
        <v/>
      </c>
      <c r="BN275" s="52">
        <f t="shared" si="74"/>
        <v>0</v>
      </c>
      <c r="BO275" s="52">
        <f t="shared" si="75"/>
        <v>0</v>
      </c>
      <c r="BP275" s="1">
        <f t="shared" si="76"/>
        <v>0</v>
      </c>
      <c r="BQ275" s="1">
        <f t="shared" si="77"/>
        <v>0</v>
      </c>
      <c r="BR275" s="1" t="str">
        <f t="shared" si="78"/>
        <v/>
      </c>
      <c r="BS275" s="1">
        <f t="shared" si="79"/>
        <v>0</v>
      </c>
      <c r="BT275" s="4">
        <f t="shared" si="80"/>
        <v>0</v>
      </c>
      <c r="BU275" s="52">
        <f t="shared" si="81"/>
        <v>0</v>
      </c>
      <c r="BV275" s="1">
        <f t="shared" si="82"/>
        <v>0</v>
      </c>
      <c r="BW275">
        <f t="shared" si="83"/>
        <v>0</v>
      </c>
      <c r="BX275">
        <f t="shared" si="84"/>
        <v>0</v>
      </c>
    </row>
    <row r="276" spans="58:76" x14ac:dyDescent="0.25">
      <c r="BF276" s="1" t="e">
        <f>VLOOKUP(N276,'Incoming Material Report'!H:M,6,FALSE)</f>
        <v>#N/A</v>
      </c>
      <c r="BG276" s="1" t="e">
        <f>IF(VLOOKUP(N276,'Incoming Material Report'!H:N,7,FALSE)=0,"",VLOOKUP(N276,'Incoming Material Report'!H:N,7,FALSE))</f>
        <v>#N/A</v>
      </c>
      <c r="BH276" s="52">
        <f t="shared" si="68"/>
        <v>0</v>
      </c>
      <c r="BI276" s="1">
        <f t="shared" si="69"/>
        <v>0</v>
      </c>
      <c r="BJ276" s="1">
        <f t="shared" si="70"/>
        <v>0</v>
      </c>
      <c r="BK276" s="1">
        <f t="shared" si="71"/>
        <v>0</v>
      </c>
      <c r="BL276" s="1">
        <f t="shared" si="72"/>
        <v>0</v>
      </c>
      <c r="BM276" s="10" t="str">
        <f t="shared" si="73"/>
        <v/>
      </c>
      <c r="BN276" s="52">
        <f t="shared" si="74"/>
        <v>0</v>
      </c>
      <c r="BO276" s="52">
        <f t="shared" si="75"/>
        <v>0</v>
      </c>
      <c r="BP276" s="1">
        <f t="shared" si="76"/>
        <v>0</v>
      </c>
      <c r="BQ276" s="1">
        <f t="shared" si="77"/>
        <v>0</v>
      </c>
      <c r="BR276" s="1" t="str">
        <f t="shared" si="78"/>
        <v/>
      </c>
      <c r="BS276" s="1">
        <f t="shared" si="79"/>
        <v>0</v>
      </c>
      <c r="BT276" s="4">
        <f t="shared" si="80"/>
        <v>0</v>
      </c>
      <c r="BU276" s="52">
        <f t="shared" si="81"/>
        <v>0</v>
      </c>
      <c r="BV276" s="1">
        <f t="shared" si="82"/>
        <v>0</v>
      </c>
      <c r="BW276">
        <f t="shared" si="83"/>
        <v>0</v>
      </c>
      <c r="BX276">
        <f t="shared" si="84"/>
        <v>0</v>
      </c>
    </row>
    <row r="277" spans="58:76" x14ac:dyDescent="0.25">
      <c r="BF277" s="1" t="e">
        <f>VLOOKUP(N277,'Incoming Material Report'!H:M,6,FALSE)</f>
        <v>#N/A</v>
      </c>
      <c r="BG277" s="1" t="e">
        <f>IF(VLOOKUP(N277,'Incoming Material Report'!H:N,7,FALSE)=0,"",VLOOKUP(N277,'Incoming Material Report'!H:N,7,FALSE))</f>
        <v>#N/A</v>
      </c>
      <c r="BH277" s="52">
        <f t="shared" si="68"/>
        <v>0</v>
      </c>
      <c r="BI277" s="1">
        <f t="shared" si="69"/>
        <v>0</v>
      </c>
      <c r="BJ277" s="1">
        <f t="shared" si="70"/>
        <v>0</v>
      </c>
      <c r="BK277" s="1">
        <f t="shared" si="71"/>
        <v>0</v>
      </c>
      <c r="BL277" s="1">
        <f t="shared" si="72"/>
        <v>0</v>
      </c>
      <c r="BM277" s="10" t="str">
        <f t="shared" si="73"/>
        <v/>
      </c>
      <c r="BN277" s="52">
        <f t="shared" si="74"/>
        <v>0</v>
      </c>
      <c r="BO277" s="52">
        <f t="shared" si="75"/>
        <v>0</v>
      </c>
      <c r="BP277" s="1">
        <f t="shared" si="76"/>
        <v>0</v>
      </c>
      <c r="BQ277" s="1">
        <f t="shared" si="77"/>
        <v>0</v>
      </c>
      <c r="BR277" s="1" t="str">
        <f t="shared" si="78"/>
        <v/>
      </c>
      <c r="BS277" s="1">
        <f t="shared" si="79"/>
        <v>0</v>
      </c>
      <c r="BT277" s="4">
        <f t="shared" si="80"/>
        <v>0</v>
      </c>
      <c r="BU277" s="52">
        <f t="shared" si="81"/>
        <v>0</v>
      </c>
      <c r="BV277" s="1">
        <f t="shared" si="82"/>
        <v>0</v>
      </c>
      <c r="BW277">
        <f t="shared" si="83"/>
        <v>0</v>
      </c>
      <c r="BX277">
        <f t="shared" si="84"/>
        <v>0</v>
      </c>
    </row>
    <row r="278" spans="58:76" x14ac:dyDescent="0.25">
      <c r="BF278" s="1" t="e">
        <f>VLOOKUP(N278,'Incoming Material Report'!H:M,6,FALSE)</f>
        <v>#N/A</v>
      </c>
      <c r="BG278" s="1" t="e">
        <f>IF(VLOOKUP(N278,'Incoming Material Report'!H:N,7,FALSE)=0,"",VLOOKUP(N278,'Incoming Material Report'!H:N,7,FALSE))</f>
        <v>#N/A</v>
      </c>
      <c r="BH278" s="52">
        <f t="shared" si="68"/>
        <v>0</v>
      </c>
      <c r="BI278" s="1">
        <f t="shared" si="69"/>
        <v>0</v>
      </c>
      <c r="BJ278" s="1">
        <f t="shared" si="70"/>
        <v>0</v>
      </c>
      <c r="BK278" s="1">
        <f t="shared" si="71"/>
        <v>0</v>
      </c>
      <c r="BL278" s="1">
        <f t="shared" si="72"/>
        <v>0</v>
      </c>
      <c r="BM278" s="10" t="str">
        <f t="shared" si="73"/>
        <v/>
      </c>
      <c r="BN278" s="52">
        <f t="shared" si="74"/>
        <v>0</v>
      </c>
      <c r="BO278" s="52">
        <f t="shared" si="75"/>
        <v>0</v>
      </c>
      <c r="BP278" s="1">
        <f t="shared" si="76"/>
        <v>0</v>
      </c>
      <c r="BQ278" s="1">
        <f t="shared" si="77"/>
        <v>0</v>
      </c>
      <c r="BR278" s="1" t="str">
        <f t="shared" si="78"/>
        <v/>
      </c>
      <c r="BS278" s="1">
        <f t="shared" si="79"/>
        <v>0</v>
      </c>
      <c r="BT278" s="4">
        <f t="shared" si="80"/>
        <v>0</v>
      </c>
      <c r="BU278" s="52">
        <f t="shared" si="81"/>
        <v>0</v>
      </c>
      <c r="BV278" s="1">
        <f t="shared" si="82"/>
        <v>0</v>
      </c>
      <c r="BW278">
        <f t="shared" si="83"/>
        <v>0</v>
      </c>
      <c r="BX278">
        <f t="shared" si="84"/>
        <v>0</v>
      </c>
    </row>
    <row r="279" spans="58:76" x14ac:dyDescent="0.25">
      <c r="BF279" s="1" t="e">
        <f>VLOOKUP(N279,'Incoming Material Report'!H:M,6,FALSE)</f>
        <v>#N/A</v>
      </c>
      <c r="BG279" s="1" t="e">
        <f>IF(VLOOKUP(N279,'Incoming Material Report'!H:N,7,FALSE)=0,"",VLOOKUP(N279,'Incoming Material Report'!H:N,7,FALSE))</f>
        <v>#N/A</v>
      </c>
      <c r="BH279" s="52">
        <f t="shared" si="68"/>
        <v>0</v>
      </c>
      <c r="BI279" s="1">
        <f t="shared" si="69"/>
        <v>0</v>
      </c>
      <c r="BJ279" s="1">
        <f t="shared" si="70"/>
        <v>0</v>
      </c>
      <c r="BK279" s="1">
        <f t="shared" si="71"/>
        <v>0</v>
      </c>
      <c r="BL279" s="1">
        <f t="shared" si="72"/>
        <v>0</v>
      </c>
      <c r="BM279" s="10" t="str">
        <f t="shared" si="73"/>
        <v/>
      </c>
      <c r="BN279" s="52">
        <f t="shared" si="74"/>
        <v>0</v>
      </c>
      <c r="BO279" s="52">
        <f t="shared" si="75"/>
        <v>0</v>
      </c>
      <c r="BP279" s="1">
        <f t="shared" si="76"/>
        <v>0</v>
      </c>
      <c r="BQ279" s="1">
        <f t="shared" si="77"/>
        <v>0</v>
      </c>
      <c r="BR279" s="1" t="str">
        <f t="shared" si="78"/>
        <v/>
      </c>
      <c r="BS279" s="1">
        <f t="shared" si="79"/>
        <v>0</v>
      </c>
      <c r="BT279" s="4">
        <f t="shared" si="80"/>
        <v>0</v>
      </c>
      <c r="BU279" s="52">
        <f t="shared" si="81"/>
        <v>0</v>
      </c>
      <c r="BV279" s="1">
        <f t="shared" si="82"/>
        <v>0</v>
      </c>
      <c r="BW279">
        <f t="shared" si="83"/>
        <v>0</v>
      </c>
      <c r="BX279">
        <f t="shared" si="84"/>
        <v>0</v>
      </c>
    </row>
    <row r="280" spans="58:76" x14ac:dyDescent="0.25">
      <c r="BF280" s="1" t="e">
        <f>VLOOKUP(N280,'Incoming Material Report'!H:M,6,FALSE)</f>
        <v>#N/A</v>
      </c>
      <c r="BG280" s="1" t="e">
        <f>IF(VLOOKUP(N280,'Incoming Material Report'!H:N,7,FALSE)=0,"",VLOOKUP(N280,'Incoming Material Report'!H:N,7,FALSE))</f>
        <v>#N/A</v>
      </c>
      <c r="BH280" s="52">
        <f t="shared" si="68"/>
        <v>0</v>
      </c>
      <c r="BI280" s="1">
        <f t="shared" si="69"/>
        <v>0</v>
      </c>
      <c r="BJ280" s="1">
        <f t="shared" si="70"/>
        <v>0</v>
      </c>
      <c r="BK280" s="1">
        <f t="shared" si="71"/>
        <v>0</v>
      </c>
      <c r="BL280" s="1">
        <f t="shared" si="72"/>
        <v>0</v>
      </c>
      <c r="BM280" s="10" t="str">
        <f t="shared" si="73"/>
        <v/>
      </c>
      <c r="BN280" s="52">
        <f t="shared" si="74"/>
        <v>0</v>
      </c>
      <c r="BO280" s="52">
        <f t="shared" si="75"/>
        <v>0</v>
      </c>
      <c r="BP280" s="1">
        <f t="shared" si="76"/>
        <v>0</v>
      </c>
      <c r="BQ280" s="1">
        <f t="shared" si="77"/>
        <v>0</v>
      </c>
      <c r="BR280" s="1" t="str">
        <f t="shared" si="78"/>
        <v/>
      </c>
      <c r="BS280" s="1">
        <f t="shared" si="79"/>
        <v>0</v>
      </c>
      <c r="BT280" s="4">
        <f t="shared" si="80"/>
        <v>0</v>
      </c>
      <c r="BU280" s="52">
        <f t="shared" si="81"/>
        <v>0</v>
      </c>
      <c r="BV280" s="1">
        <f t="shared" si="82"/>
        <v>0</v>
      </c>
      <c r="BW280">
        <f t="shared" si="83"/>
        <v>0</v>
      </c>
      <c r="BX280">
        <f t="shared" si="84"/>
        <v>0</v>
      </c>
    </row>
    <row r="281" spans="58:76" x14ac:dyDescent="0.25">
      <c r="BF281" s="1" t="e">
        <f>VLOOKUP(N281,'Incoming Material Report'!H:M,6,FALSE)</f>
        <v>#N/A</v>
      </c>
      <c r="BG281" s="1" t="e">
        <f>IF(VLOOKUP(N281,'Incoming Material Report'!H:N,7,FALSE)=0,"",VLOOKUP(N281,'Incoming Material Report'!H:N,7,FALSE))</f>
        <v>#N/A</v>
      </c>
      <c r="BH281" s="52">
        <f t="shared" si="68"/>
        <v>0</v>
      </c>
      <c r="BI281" s="1">
        <f t="shared" si="69"/>
        <v>0</v>
      </c>
      <c r="BJ281" s="1">
        <f t="shared" si="70"/>
        <v>0</v>
      </c>
      <c r="BK281" s="1">
        <f t="shared" si="71"/>
        <v>0</v>
      </c>
      <c r="BL281" s="1">
        <f t="shared" si="72"/>
        <v>0</v>
      </c>
      <c r="BM281" s="10" t="str">
        <f t="shared" si="73"/>
        <v/>
      </c>
      <c r="BN281" s="52">
        <f t="shared" si="74"/>
        <v>0</v>
      </c>
      <c r="BO281" s="52">
        <f t="shared" si="75"/>
        <v>0</v>
      </c>
      <c r="BP281" s="1">
        <f t="shared" si="76"/>
        <v>0</v>
      </c>
      <c r="BQ281" s="1">
        <f t="shared" si="77"/>
        <v>0</v>
      </c>
      <c r="BR281" s="1" t="str">
        <f t="shared" si="78"/>
        <v/>
      </c>
      <c r="BS281" s="1">
        <f t="shared" si="79"/>
        <v>0</v>
      </c>
      <c r="BT281" s="4">
        <f t="shared" si="80"/>
        <v>0</v>
      </c>
      <c r="BU281" s="52">
        <f t="shared" si="81"/>
        <v>0</v>
      </c>
      <c r="BV281" s="1">
        <f t="shared" si="82"/>
        <v>0</v>
      </c>
      <c r="BW281">
        <f t="shared" si="83"/>
        <v>0</v>
      </c>
      <c r="BX281">
        <f t="shared" si="84"/>
        <v>0</v>
      </c>
    </row>
    <row r="282" spans="58:76" x14ac:dyDescent="0.25">
      <c r="BF282" s="1" t="e">
        <f>VLOOKUP(N282,'Incoming Material Report'!H:M,6,FALSE)</f>
        <v>#N/A</v>
      </c>
      <c r="BG282" s="1" t="e">
        <f>IF(VLOOKUP(N282,'Incoming Material Report'!H:N,7,FALSE)=0,"",VLOOKUP(N282,'Incoming Material Report'!H:N,7,FALSE))</f>
        <v>#N/A</v>
      </c>
      <c r="BH282" s="52">
        <f t="shared" si="68"/>
        <v>0</v>
      </c>
      <c r="BI282" s="1">
        <f t="shared" si="69"/>
        <v>0</v>
      </c>
      <c r="BJ282" s="1">
        <f t="shared" si="70"/>
        <v>0</v>
      </c>
      <c r="BK282" s="1">
        <f t="shared" si="71"/>
        <v>0</v>
      </c>
      <c r="BL282" s="1">
        <f t="shared" si="72"/>
        <v>0</v>
      </c>
      <c r="BM282" s="10" t="str">
        <f t="shared" si="73"/>
        <v/>
      </c>
      <c r="BN282" s="52">
        <f t="shared" si="74"/>
        <v>0</v>
      </c>
      <c r="BO282" s="52">
        <f t="shared" si="75"/>
        <v>0</v>
      </c>
      <c r="BP282" s="1">
        <f t="shared" si="76"/>
        <v>0</v>
      </c>
      <c r="BQ282" s="1">
        <f t="shared" si="77"/>
        <v>0</v>
      </c>
      <c r="BR282" s="1" t="str">
        <f t="shared" si="78"/>
        <v/>
      </c>
      <c r="BS282" s="1">
        <f t="shared" si="79"/>
        <v>0</v>
      </c>
      <c r="BT282" s="4">
        <f t="shared" si="80"/>
        <v>0</v>
      </c>
      <c r="BU282" s="52">
        <f t="shared" si="81"/>
        <v>0</v>
      </c>
      <c r="BV282" s="1">
        <f t="shared" si="82"/>
        <v>0</v>
      </c>
      <c r="BW282">
        <f t="shared" si="83"/>
        <v>0</v>
      </c>
      <c r="BX282">
        <f t="shared" si="84"/>
        <v>0</v>
      </c>
    </row>
    <row r="283" spans="58:76" x14ac:dyDescent="0.25">
      <c r="BF283" s="1" t="e">
        <f>VLOOKUP(N283,'Incoming Material Report'!H:M,6,FALSE)</f>
        <v>#N/A</v>
      </c>
      <c r="BG283" s="1" t="e">
        <f>IF(VLOOKUP(N283,'Incoming Material Report'!H:N,7,FALSE)=0,"",VLOOKUP(N283,'Incoming Material Report'!H:N,7,FALSE))</f>
        <v>#N/A</v>
      </c>
      <c r="BH283" s="52">
        <f t="shared" si="68"/>
        <v>0</v>
      </c>
      <c r="BI283" s="1">
        <f t="shared" si="69"/>
        <v>0</v>
      </c>
      <c r="BJ283" s="1">
        <f t="shared" si="70"/>
        <v>0</v>
      </c>
      <c r="BK283" s="1">
        <f t="shared" si="71"/>
        <v>0</v>
      </c>
      <c r="BL283" s="1">
        <f t="shared" si="72"/>
        <v>0</v>
      </c>
      <c r="BM283" s="10" t="str">
        <f t="shared" si="73"/>
        <v/>
      </c>
      <c r="BN283" s="52">
        <f t="shared" si="74"/>
        <v>0</v>
      </c>
      <c r="BO283" s="52">
        <f t="shared" si="75"/>
        <v>0</v>
      </c>
      <c r="BP283" s="1">
        <f t="shared" si="76"/>
        <v>0</v>
      </c>
      <c r="BQ283" s="1">
        <f t="shared" si="77"/>
        <v>0</v>
      </c>
      <c r="BR283" s="1" t="str">
        <f t="shared" si="78"/>
        <v/>
      </c>
      <c r="BS283" s="1">
        <f t="shared" si="79"/>
        <v>0</v>
      </c>
      <c r="BT283" s="4">
        <f t="shared" si="80"/>
        <v>0</v>
      </c>
      <c r="BU283" s="52">
        <f t="shared" si="81"/>
        <v>0</v>
      </c>
      <c r="BV283" s="1">
        <f t="shared" si="82"/>
        <v>0</v>
      </c>
      <c r="BW283">
        <f t="shared" si="83"/>
        <v>0</v>
      </c>
      <c r="BX283">
        <f t="shared" si="84"/>
        <v>0</v>
      </c>
    </row>
    <row r="284" spans="58:76" x14ac:dyDescent="0.25">
      <c r="BF284" s="1" t="e">
        <f>VLOOKUP(N284,'Incoming Material Report'!H:M,6,FALSE)</f>
        <v>#N/A</v>
      </c>
      <c r="BG284" s="1" t="e">
        <f>IF(VLOOKUP(N284,'Incoming Material Report'!H:N,7,FALSE)=0,"",VLOOKUP(N284,'Incoming Material Report'!H:N,7,FALSE))</f>
        <v>#N/A</v>
      </c>
      <c r="BH284" s="52">
        <f t="shared" si="68"/>
        <v>0</v>
      </c>
      <c r="BI284" s="1">
        <f t="shared" si="69"/>
        <v>0</v>
      </c>
      <c r="BJ284" s="1">
        <f t="shared" si="70"/>
        <v>0</v>
      </c>
      <c r="BK284" s="1">
        <f t="shared" si="71"/>
        <v>0</v>
      </c>
      <c r="BL284" s="1">
        <f t="shared" si="72"/>
        <v>0</v>
      </c>
      <c r="BM284" s="10" t="str">
        <f t="shared" si="73"/>
        <v/>
      </c>
      <c r="BN284" s="52">
        <f t="shared" si="74"/>
        <v>0</v>
      </c>
      <c r="BO284" s="52">
        <f t="shared" si="75"/>
        <v>0</v>
      </c>
      <c r="BP284" s="1">
        <f t="shared" si="76"/>
        <v>0</v>
      </c>
      <c r="BQ284" s="1">
        <f t="shared" si="77"/>
        <v>0</v>
      </c>
      <c r="BR284" s="1" t="str">
        <f t="shared" si="78"/>
        <v/>
      </c>
      <c r="BS284" s="1">
        <f t="shared" si="79"/>
        <v>0</v>
      </c>
      <c r="BT284" s="4">
        <f t="shared" si="80"/>
        <v>0</v>
      </c>
      <c r="BU284" s="52">
        <f t="shared" si="81"/>
        <v>0</v>
      </c>
      <c r="BV284" s="1">
        <f t="shared" si="82"/>
        <v>0</v>
      </c>
      <c r="BW284">
        <f t="shared" si="83"/>
        <v>0</v>
      </c>
      <c r="BX284">
        <f t="shared" si="84"/>
        <v>0</v>
      </c>
    </row>
    <row r="285" spans="58:76" x14ac:dyDescent="0.25">
      <c r="BF285" s="1" t="e">
        <f>VLOOKUP(N285,'Incoming Material Report'!H:M,6,FALSE)</f>
        <v>#N/A</v>
      </c>
      <c r="BG285" s="1" t="e">
        <f>IF(VLOOKUP(N285,'Incoming Material Report'!H:N,7,FALSE)=0,"",VLOOKUP(N285,'Incoming Material Report'!H:N,7,FALSE))</f>
        <v>#N/A</v>
      </c>
      <c r="BH285" s="52">
        <f t="shared" si="68"/>
        <v>0</v>
      </c>
      <c r="BI285" s="1">
        <f t="shared" si="69"/>
        <v>0</v>
      </c>
      <c r="BJ285" s="1">
        <f t="shared" si="70"/>
        <v>0</v>
      </c>
      <c r="BK285" s="1">
        <f t="shared" si="71"/>
        <v>0</v>
      </c>
      <c r="BL285" s="1">
        <f t="shared" si="72"/>
        <v>0</v>
      </c>
      <c r="BM285" s="10" t="str">
        <f t="shared" si="73"/>
        <v/>
      </c>
      <c r="BN285" s="52">
        <f t="shared" si="74"/>
        <v>0</v>
      </c>
      <c r="BO285" s="52">
        <f t="shared" si="75"/>
        <v>0</v>
      </c>
      <c r="BP285" s="1">
        <f t="shared" si="76"/>
        <v>0</v>
      </c>
      <c r="BQ285" s="1">
        <f t="shared" si="77"/>
        <v>0</v>
      </c>
      <c r="BR285" s="1" t="str">
        <f t="shared" si="78"/>
        <v/>
      </c>
      <c r="BS285" s="1">
        <f t="shared" si="79"/>
        <v>0</v>
      </c>
      <c r="BT285" s="4">
        <f t="shared" si="80"/>
        <v>0</v>
      </c>
      <c r="BU285" s="52">
        <f t="shared" si="81"/>
        <v>0</v>
      </c>
      <c r="BV285" s="1">
        <f t="shared" si="82"/>
        <v>0</v>
      </c>
      <c r="BW285">
        <f t="shared" si="83"/>
        <v>0</v>
      </c>
      <c r="BX285">
        <f t="shared" si="84"/>
        <v>0</v>
      </c>
    </row>
    <row r="286" spans="58:76" x14ac:dyDescent="0.25">
      <c r="BF286" s="1" t="e">
        <f>VLOOKUP(N286,'Incoming Material Report'!H:M,6,FALSE)</f>
        <v>#N/A</v>
      </c>
      <c r="BG286" s="1" t="e">
        <f>IF(VLOOKUP(N286,'Incoming Material Report'!H:N,7,FALSE)=0,"",VLOOKUP(N286,'Incoming Material Report'!H:N,7,FALSE))</f>
        <v>#N/A</v>
      </c>
      <c r="BH286" s="52">
        <f t="shared" si="68"/>
        <v>0</v>
      </c>
      <c r="BI286" s="1">
        <f t="shared" si="69"/>
        <v>0</v>
      </c>
      <c r="BJ286" s="1">
        <f t="shared" si="70"/>
        <v>0</v>
      </c>
      <c r="BK286" s="1">
        <f t="shared" si="71"/>
        <v>0</v>
      </c>
      <c r="BL286" s="1">
        <f t="shared" si="72"/>
        <v>0</v>
      </c>
      <c r="BM286" s="10" t="str">
        <f t="shared" si="73"/>
        <v/>
      </c>
      <c r="BN286" s="52">
        <f t="shared" si="74"/>
        <v>0</v>
      </c>
      <c r="BO286" s="52">
        <f t="shared" si="75"/>
        <v>0</v>
      </c>
      <c r="BP286" s="1">
        <f t="shared" si="76"/>
        <v>0</v>
      </c>
      <c r="BQ286" s="1">
        <f t="shared" si="77"/>
        <v>0</v>
      </c>
      <c r="BR286" s="1" t="str">
        <f t="shared" si="78"/>
        <v/>
      </c>
      <c r="BS286" s="1">
        <f t="shared" si="79"/>
        <v>0</v>
      </c>
      <c r="BT286" s="4">
        <f t="shared" si="80"/>
        <v>0</v>
      </c>
      <c r="BU286" s="52">
        <f t="shared" si="81"/>
        <v>0</v>
      </c>
      <c r="BV286" s="1">
        <f t="shared" si="82"/>
        <v>0</v>
      </c>
      <c r="BW286">
        <f t="shared" si="83"/>
        <v>0</v>
      </c>
      <c r="BX286">
        <f t="shared" si="84"/>
        <v>0</v>
      </c>
    </row>
    <row r="287" spans="58:76" x14ac:dyDescent="0.25">
      <c r="BF287" s="1" t="e">
        <f>VLOOKUP(N287,'Incoming Material Report'!H:M,6,FALSE)</f>
        <v>#N/A</v>
      </c>
      <c r="BG287" s="1" t="e">
        <f>IF(VLOOKUP(N287,'Incoming Material Report'!H:N,7,FALSE)=0,"",VLOOKUP(N287,'Incoming Material Report'!H:N,7,FALSE))</f>
        <v>#N/A</v>
      </c>
      <c r="BH287" s="52">
        <f t="shared" si="68"/>
        <v>0</v>
      </c>
      <c r="BI287" s="1">
        <f t="shared" si="69"/>
        <v>0</v>
      </c>
      <c r="BJ287" s="1">
        <f t="shared" si="70"/>
        <v>0</v>
      </c>
      <c r="BK287" s="1">
        <f t="shared" si="71"/>
        <v>0</v>
      </c>
      <c r="BL287" s="1">
        <f t="shared" si="72"/>
        <v>0</v>
      </c>
      <c r="BM287" s="10" t="str">
        <f t="shared" si="73"/>
        <v/>
      </c>
      <c r="BN287" s="52">
        <f t="shared" si="74"/>
        <v>0</v>
      </c>
      <c r="BO287" s="52">
        <f t="shared" si="75"/>
        <v>0</v>
      </c>
      <c r="BP287" s="1">
        <f t="shared" si="76"/>
        <v>0</v>
      </c>
      <c r="BQ287" s="1">
        <f t="shared" si="77"/>
        <v>0</v>
      </c>
      <c r="BR287" s="1" t="str">
        <f t="shared" si="78"/>
        <v/>
      </c>
      <c r="BS287" s="1">
        <f t="shared" si="79"/>
        <v>0</v>
      </c>
      <c r="BT287" s="4">
        <f t="shared" si="80"/>
        <v>0</v>
      </c>
      <c r="BU287" s="52">
        <f t="shared" si="81"/>
        <v>0</v>
      </c>
      <c r="BV287" s="1">
        <f t="shared" si="82"/>
        <v>0</v>
      </c>
      <c r="BW287">
        <f t="shared" si="83"/>
        <v>0</v>
      </c>
      <c r="BX287">
        <f t="shared" si="84"/>
        <v>0</v>
      </c>
    </row>
    <row r="288" spans="58:76" x14ac:dyDescent="0.25">
      <c r="BF288" s="1" t="e">
        <f>VLOOKUP(N288,'Incoming Material Report'!H:M,6,FALSE)</f>
        <v>#N/A</v>
      </c>
      <c r="BG288" s="1" t="e">
        <f>IF(VLOOKUP(N288,'Incoming Material Report'!H:N,7,FALSE)=0,"",VLOOKUP(N288,'Incoming Material Report'!H:N,7,FALSE))</f>
        <v>#N/A</v>
      </c>
      <c r="BH288" s="52">
        <f t="shared" si="68"/>
        <v>0</v>
      </c>
      <c r="BI288" s="1">
        <f t="shared" si="69"/>
        <v>0</v>
      </c>
      <c r="BJ288" s="1">
        <f t="shared" si="70"/>
        <v>0</v>
      </c>
      <c r="BK288" s="1">
        <f t="shared" si="71"/>
        <v>0</v>
      </c>
      <c r="BL288" s="1">
        <f t="shared" si="72"/>
        <v>0</v>
      </c>
      <c r="BM288" s="10" t="str">
        <f t="shared" si="73"/>
        <v/>
      </c>
      <c r="BN288" s="52">
        <f t="shared" si="74"/>
        <v>0</v>
      </c>
      <c r="BO288" s="52">
        <f t="shared" si="75"/>
        <v>0</v>
      </c>
      <c r="BP288" s="1">
        <f t="shared" si="76"/>
        <v>0</v>
      </c>
      <c r="BQ288" s="1">
        <f t="shared" si="77"/>
        <v>0</v>
      </c>
      <c r="BR288" s="1" t="str">
        <f t="shared" si="78"/>
        <v/>
      </c>
      <c r="BS288" s="1">
        <f t="shared" si="79"/>
        <v>0</v>
      </c>
      <c r="BT288" s="4">
        <f t="shared" si="80"/>
        <v>0</v>
      </c>
      <c r="BU288" s="52">
        <f t="shared" si="81"/>
        <v>0</v>
      </c>
      <c r="BV288" s="1">
        <f t="shared" si="82"/>
        <v>0</v>
      </c>
      <c r="BW288">
        <f t="shared" si="83"/>
        <v>0</v>
      </c>
      <c r="BX288">
        <f t="shared" si="84"/>
        <v>0</v>
      </c>
    </row>
    <row r="289" spans="58:76" x14ac:dyDescent="0.25">
      <c r="BF289" s="1" t="e">
        <f>VLOOKUP(N289,'Incoming Material Report'!H:M,6,FALSE)</f>
        <v>#N/A</v>
      </c>
      <c r="BG289" s="1" t="e">
        <f>IF(VLOOKUP(N289,'Incoming Material Report'!H:N,7,FALSE)=0,"",VLOOKUP(N289,'Incoming Material Report'!H:N,7,FALSE))</f>
        <v>#N/A</v>
      </c>
      <c r="BH289" s="52">
        <f t="shared" si="68"/>
        <v>0</v>
      </c>
      <c r="BI289" s="1">
        <f t="shared" si="69"/>
        <v>0</v>
      </c>
      <c r="BJ289" s="1">
        <f t="shared" si="70"/>
        <v>0</v>
      </c>
      <c r="BK289" s="1">
        <f t="shared" si="71"/>
        <v>0</v>
      </c>
      <c r="BL289" s="1">
        <f t="shared" si="72"/>
        <v>0</v>
      </c>
      <c r="BM289" s="10" t="str">
        <f t="shared" si="73"/>
        <v/>
      </c>
      <c r="BN289" s="52">
        <f t="shared" si="74"/>
        <v>0</v>
      </c>
      <c r="BO289" s="52">
        <f t="shared" si="75"/>
        <v>0</v>
      </c>
      <c r="BP289" s="1">
        <f t="shared" si="76"/>
        <v>0</v>
      </c>
      <c r="BQ289" s="1">
        <f t="shared" si="77"/>
        <v>0</v>
      </c>
      <c r="BR289" s="1" t="str">
        <f t="shared" si="78"/>
        <v/>
      </c>
      <c r="BS289" s="1">
        <f t="shared" si="79"/>
        <v>0</v>
      </c>
      <c r="BT289" s="4">
        <f t="shared" si="80"/>
        <v>0</v>
      </c>
      <c r="BU289" s="52">
        <f t="shared" si="81"/>
        <v>0</v>
      </c>
      <c r="BV289" s="1">
        <f t="shared" si="82"/>
        <v>0</v>
      </c>
      <c r="BW289">
        <f t="shared" si="83"/>
        <v>0</v>
      </c>
      <c r="BX289">
        <f t="shared" si="84"/>
        <v>0</v>
      </c>
    </row>
    <row r="290" spans="58:76" x14ac:dyDescent="0.25">
      <c r="BF290" s="1" t="e">
        <f>VLOOKUP(N290,'Incoming Material Report'!H:M,6,FALSE)</f>
        <v>#N/A</v>
      </c>
      <c r="BG290" s="1" t="e">
        <f>IF(VLOOKUP(N290,'Incoming Material Report'!H:N,7,FALSE)=0,"",VLOOKUP(N290,'Incoming Material Report'!H:N,7,FALSE))</f>
        <v>#N/A</v>
      </c>
      <c r="BH290" s="52">
        <f t="shared" si="68"/>
        <v>0</v>
      </c>
      <c r="BI290" s="1">
        <f t="shared" si="69"/>
        <v>0</v>
      </c>
      <c r="BJ290" s="1">
        <f t="shared" si="70"/>
        <v>0</v>
      </c>
      <c r="BK290" s="1">
        <f t="shared" si="71"/>
        <v>0</v>
      </c>
      <c r="BL290" s="1">
        <f t="shared" si="72"/>
        <v>0</v>
      </c>
      <c r="BM290" s="10" t="str">
        <f t="shared" si="73"/>
        <v/>
      </c>
      <c r="BN290" s="52">
        <f t="shared" si="74"/>
        <v>0</v>
      </c>
      <c r="BO290" s="52">
        <f t="shared" si="75"/>
        <v>0</v>
      </c>
      <c r="BP290" s="1">
        <f t="shared" si="76"/>
        <v>0</v>
      </c>
      <c r="BQ290" s="1">
        <f t="shared" si="77"/>
        <v>0</v>
      </c>
      <c r="BR290" s="1" t="str">
        <f t="shared" si="78"/>
        <v/>
      </c>
      <c r="BS290" s="1">
        <f t="shared" si="79"/>
        <v>0</v>
      </c>
      <c r="BT290" s="4">
        <f t="shared" si="80"/>
        <v>0</v>
      </c>
      <c r="BU290" s="52">
        <f t="shared" si="81"/>
        <v>0</v>
      </c>
      <c r="BV290" s="1">
        <f t="shared" si="82"/>
        <v>0</v>
      </c>
      <c r="BW290">
        <f t="shared" si="83"/>
        <v>0</v>
      </c>
      <c r="BX290">
        <f t="shared" si="84"/>
        <v>0</v>
      </c>
    </row>
    <row r="291" spans="58:76" x14ac:dyDescent="0.25">
      <c r="BF291" s="1" t="e">
        <f>VLOOKUP(N291,'Incoming Material Report'!H:M,6,FALSE)</f>
        <v>#N/A</v>
      </c>
      <c r="BG291" s="1" t="e">
        <f>IF(VLOOKUP(N291,'Incoming Material Report'!H:N,7,FALSE)=0,"",VLOOKUP(N291,'Incoming Material Report'!H:N,7,FALSE))</f>
        <v>#N/A</v>
      </c>
      <c r="BH291" s="52">
        <f t="shared" si="68"/>
        <v>0</v>
      </c>
      <c r="BI291" s="1">
        <f t="shared" si="69"/>
        <v>0</v>
      </c>
      <c r="BJ291" s="1">
        <f t="shared" si="70"/>
        <v>0</v>
      </c>
      <c r="BK291" s="1">
        <f t="shared" si="71"/>
        <v>0</v>
      </c>
      <c r="BL291" s="1">
        <f t="shared" si="72"/>
        <v>0</v>
      </c>
      <c r="BM291" s="10" t="str">
        <f t="shared" si="73"/>
        <v/>
      </c>
      <c r="BN291" s="52">
        <f t="shared" si="74"/>
        <v>0</v>
      </c>
      <c r="BO291" s="52">
        <f t="shared" si="75"/>
        <v>0</v>
      </c>
      <c r="BP291" s="1">
        <f t="shared" si="76"/>
        <v>0</v>
      </c>
      <c r="BQ291" s="1">
        <f t="shared" si="77"/>
        <v>0</v>
      </c>
      <c r="BR291" s="1" t="str">
        <f t="shared" si="78"/>
        <v/>
      </c>
      <c r="BS291" s="1">
        <f t="shared" si="79"/>
        <v>0</v>
      </c>
      <c r="BT291" s="4">
        <f t="shared" si="80"/>
        <v>0</v>
      </c>
      <c r="BU291" s="52">
        <f t="shared" si="81"/>
        <v>0</v>
      </c>
      <c r="BV291" s="1">
        <f t="shared" si="82"/>
        <v>0</v>
      </c>
      <c r="BW291">
        <f t="shared" si="83"/>
        <v>0</v>
      </c>
      <c r="BX291">
        <f t="shared" si="84"/>
        <v>0</v>
      </c>
    </row>
    <row r="292" spans="58:76" x14ac:dyDescent="0.25">
      <c r="BF292" s="1" t="e">
        <f>VLOOKUP(N292,'Incoming Material Report'!H:M,6,FALSE)</f>
        <v>#N/A</v>
      </c>
      <c r="BG292" s="1" t="e">
        <f>IF(VLOOKUP(N292,'Incoming Material Report'!H:N,7,FALSE)=0,"",VLOOKUP(N292,'Incoming Material Report'!H:N,7,FALSE))</f>
        <v>#N/A</v>
      </c>
      <c r="BH292" s="52">
        <f t="shared" si="68"/>
        <v>0</v>
      </c>
      <c r="BI292" s="1">
        <f t="shared" si="69"/>
        <v>0</v>
      </c>
      <c r="BJ292" s="1">
        <f t="shared" si="70"/>
        <v>0</v>
      </c>
      <c r="BK292" s="1">
        <f t="shared" si="71"/>
        <v>0</v>
      </c>
      <c r="BL292" s="1">
        <f t="shared" si="72"/>
        <v>0</v>
      </c>
      <c r="BM292" s="10" t="str">
        <f t="shared" si="73"/>
        <v/>
      </c>
      <c r="BN292" s="52">
        <f t="shared" si="74"/>
        <v>0</v>
      </c>
      <c r="BO292" s="52">
        <f t="shared" si="75"/>
        <v>0</v>
      </c>
      <c r="BP292" s="1">
        <f t="shared" si="76"/>
        <v>0</v>
      </c>
      <c r="BQ292" s="1">
        <f t="shared" si="77"/>
        <v>0</v>
      </c>
      <c r="BR292" s="1" t="str">
        <f t="shared" si="78"/>
        <v/>
      </c>
      <c r="BS292" s="1">
        <f t="shared" si="79"/>
        <v>0</v>
      </c>
      <c r="BT292" s="4">
        <f t="shared" si="80"/>
        <v>0</v>
      </c>
      <c r="BU292" s="52">
        <f t="shared" si="81"/>
        <v>0</v>
      </c>
      <c r="BV292" s="1">
        <f t="shared" si="82"/>
        <v>0</v>
      </c>
      <c r="BW292">
        <f t="shared" si="83"/>
        <v>0</v>
      </c>
      <c r="BX292">
        <f t="shared" si="84"/>
        <v>0</v>
      </c>
    </row>
    <row r="293" spans="58:76" x14ac:dyDescent="0.25">
      <c r="BF293" s="1" t="e">
        <f>VLOOKUP(N293,'Incoming Material Report'!H:M,6,FALSE)</f>
        <v>#N/A</v>
      </c>
      <c r="BG293" s="1" t="e">
        <f>IF(VLOOKUP(N293,'Incoming Material Report'!H:N,7,FALSE)=0,"",VLOOKUP(N293,'Incoming Material Report'!H:N,7,FALSE))</f>
        <v>#N/A</v>
      </c>
      <c r="BH293" s="52">
        <f t="shared" si="68"/>
        <v>0</v>
      </c>
      <c r="BI293" s="1">
        <f t="shared" si="69"/>
        <v>0</v>
      </c>
      <c r="BJ293" s="1">
        <f t="shared" si="70"/>
        <v>0</v>
      </c>
      <c r="BK293" s="1">
        <f t="shared" si="71"/>
        <v>0</v>
      </c>
      <c r="BL293" s="1">
        <f t="shared" si="72"/>
        <v>0</v>
      </c>
      <c r="BM293" s="10" t="str">
        <f t="shared" si="73"/>
        <v/>
      </c>
      <c r="BN293" s="52">
        <f t="shared" si="74"/>
        <v>0</v>
      </c>
      <c r="BO293" s="52">
        <f t="shared" si="75"/>
        <v>0</v>
      </c>
      <c r="BP293" s="1">
        <f t="shared" si="76"/>
        <v>0</v>
      </c>
      <c r="BQ293" s="1">
        <f t="shared" si="77"/>
        <v>0</v>
      </c>
      <c r="BR293" s="1" t="str">
        <f t="shared" si="78"/>
        <v/>
      </c>
      <c r="BS293" s="1">
        <f t="shared" si="79"/>
        <v>0</v>
      </c>
      <c r="BT293" s="4">
        <f t="shared" si="80"/>
        <v>0</v>
      </c>
      <c r="BU293" s="52">
        <f t="shared" si="81"/>
        <v>0</v>
      </c>
      <c r="BV293" s="1">
        <f t="shared" si="82"/>
        <v>0</v>
      </c>
      <c r="BW293">
        <f t="shared" si="83"/>
        <v>0</v>
      </c>
      <c r="BX293">
        <f t="shared" si="84"/>
        <v>0</v>
      </c>
    </row>
    <row r="294" spans="58:76" x14ac:dyDescent="0.25">
      <c r="BF294" s="1" t="e">
        <f>VLOOKUP(N294,'Incoming Material Report'!H:M,6,FALSE)</f>
        <v>#N/A</v>
      </c>
      <c r="BG294" s="1" t="e">
        <f>IF(VLOOKUP(N294,'Incoming Material Report'!H:N,7,FALSE)=0,"",VLOOKUP(N294,'Incoming Material Report'!H:N,7,FALSE))</f>
        <v>#N/A</v>
      </c>
      <c r="BH294" s="52">
        <f t="shared" si="68"/>
        <v>0</v>
      </c>
      <c r="BI294" s="1">
        <f t="shared" si="69"/>
        <v>0</v>
      </c>
      <c r="BJ294" s="1">
        <f t="shared" si="70"/>
        <v>0</v>
      </c>
      <c r="BK294" s="1">
        <f t="shared" si="71"/>
        <v>0</v>
      </c>
      <c r="BL294" s="1">
        <f t="shared" si="72"/>
        <v>0</v>
      </c>
      <c r="BM294" s="10" t="str">
        <f t="shared" si="73"/>
        <v/>
      </c>
      <c r="BN294" s="52">
        <f t="shared" si="74"/>
        <v>0</v>
      </c>
      <c r="BO294" s="52">
        <f t="shared" si="75"/>
        <v>0</v>
      </c>
      <c r="BP294" s="1">
        <f t="shared" si="76"/>
        <v>0</v>
      </c>
      <c r="BQ294" s="1">
        <f t="shared" si="77"/>
        <v>0</v>
      </c>
      <c r="BR294" s="1" t="str">
        <f t="shared" si="78"/>
        <v/>
      </c>
      <c r="BS294" s="1">
        <f t="shared" si="79"/>
        <v>0</v>
      </c>
      <c r="BT294" s="4">
        <f t="shared" si="80"/>
        <v>0</v>
      </c>
      <c r="BU294" s="52">
        <f t="shared" si="81"/>
        <v>0</v>
      </c>
      <c r="BV294" s="1">
        <f t="shared" si="82"/>
        <v>0</v>
      </c>
      <c r="BW294">
        <f t="shared" si="83"/>
        <v>0</v>
      </c>
      <c r="BX294">
        <f t="shared" si="84"/>
        <v>0</v>
      </c>
    </row>
    <row r="295" spans="58:76" x14ac:dyDescent="0.25">
      <c r="BF295" s="1" t="e">
        <f>VLOOKUP(N295,'Incoming Material Report'!H:M,6,FALSE)</f>
        <v>#N/A</v>
      </c>
      <c r="BG295" s="1" t="e">
        <f>IF(VLOOKUP(N295,'Incoming Material Report'!H:N,7,FALSE)=0,"",VLOOKUP(N295,'Incoming Material Report'!H:N,7,FALSE))</f>
        <v>#N/A</v>
      </c>
      <c r="BH295" s="52">
        <f t="shared" si="68"/>
        <v>0</v>
      </c>
      <c r="BI295" s="1">
        <f t="shared" si="69"/>
        <v>0</v>
      </c>
      <c r="BJ295" s="1">
        <f t="shared" si="70"/>
        <v>0</v>
      </c>
      <c r="BK295" s="1">
        <f t="shared" si="71"/>
        <v>0</v>
      </c>
      <c r="BL295" s="1">
        <f t="shared" si="72"/>
        <v>0</v>
      </c>
      <c r="BM295" s="10" t="str">
        <f t="shared" si="73"/>
        <v/>
      </c>
      <c r="BN295" s="52">
        <f t="shared" si="74"/>
        <v>0</v>
      </c>
      <c r="BO295" s="52">
        <f t="shared" si="75"/>
        <v>0</v>
      </c>
      <c r="BP295" s="1">
        <f t="shared" si="76"/>
        <v>0</v>
      </c>
      <c r="BQ295" s="1">
        <f t="shared" si="77"/>
        <v>0</v>
      </c>
      <c r="BR295" s="1" t="str">
        <f t="shared" si="78"/>
        <v/>
      </c>
      <c r="BS295" s="1">
        <f t="shared" si="79"/>
        <v>0</v>
      </c>
      <c r="BT295" s="4">
        <f t="shared" si="80"/>
        <v>0</v>
      </c>
      <c r="BU295" s="52">
        <f t="shared" si="81"/>
        <v>0</v>
      </c>
      <c r="BV295" s="1">
        <f t="shared" si="82"/>
        <v>0</v>
      </c>
      <c r="BW295">
        <f t="shared" si="83"/>
        <v>0</v>
      </c>
      <c r="BX295">
        <f t="shared" si="84"/>
        <v>0</v>
      </c>
    </row>
    <row r="296" spans="58:76" x14ac:dyDescent="0.25">
      <c r="BF296" s="1" t="e">
        <f>VLOOKUP(N296,'Incoming Material Report'!H:M,6,FALSE)</f>
        <v>#N/A</v>
      </c>
      <c r="BG296" s="1" t="e">
        <f>IF(VLOOKUP(N296,'Incoming Material Report'!H:N,7,FALSE)=0,"",VLOOKUP(N296,'Incoming Material Report'!H:N,7,FALSE))</f>
        <v>#N/A</v>
      </c>
      <c r="BH296" s="52">
        <f t="shared" si="68"/>
        <v>0</v>
      </c>
      <c r="BI296" s="1">
        <f t="shared" si="69"/>
        <v>0</v>
      </c>
      <c r="BJ296" s="1">
        <f t="shared" si="70"/>
        <v>0</v>
      </c>
      <c r="BK296" s="1">
        <f t="shared" si="71"/>
        <v>0</v>
      </c>
      <c r="BL296" s="1">
        <f t="shared" si="72"/>
        <v>0</v>
      </c>
      <c r="BM296" s="10" t="str">
        <f t="shared" si="73"/>
        <v/>
      </c>
      <c r="BN296" s="52">
        <f t="shared" si="74"/>
        <v>0</v>
      </c>
      <c r="BO296" s="52">
        <f t="shared" si="75"/>
        <v>0</v>
      </c>
      <c r="BP296" s="1">
        <f t="shared" si="76"/>
        <v>0</v>
      </c>
      <c r="BQ296" s="1">
        <f t="shared" si="77"/>
        <v>0</v>
      </c>
      <c r="BR296" s="1" t="str">
        <f t="shared" si="78"/>
        <v/>
      </c>
      <c r="BS296" s="1">
        <f t="shared" si="79"/>
        <v>0</v>
      </c>
      <c r="BT296" s="4">
        <f t="shared" si="80"/>
        <v>0</v>
      </c>
      <c r="BU296" s="52">
        <f t="shared" si="81"/>
        <v>0</v>
      </c>
      <c r="BV296" s="1">
        <f t="shared" si="82"/>
        <v>0</v>
      </c>
      <c r="BW296">
        <f t="shared" si="83"/>
        <v>0</v>
      </c>
      <c r="BX296">
        <f t="shared" si="84"/>
        <v>0</v>
      </c>
    </row>
    <row r="297" spans="58:76" x14ac:dyDescent="0.25">
      <c r="BF297" s="1" t="e">
        <f>VLOOKUP(N297,'Incoming Material Report'!H:M,6,FALSE)</f>
        <v>#N/A</v>
      </c>
      <c r="BG297" s="1" t="e">
        <f>IF(VLOOKUP(N297,'Incoming Material Report'!H:N,7,FALSE)=0,"",VLOOKUP(N297,'Incoming Material Report'!H:N,7,FALSE))</f>
        <v>#N/A</v>
      </c>
      <c r="BH297" s="52">
        <f t="shared" si="68"/>
        <v>0</v>
      </c>
      <c r="BI297" s="1">
        <f t="shared" si="69"/>
        <v>0</v>
      </c>
      <c r="BJ297" s="1">
        <f t="shared" si="70"/>
        <v>0</v>
      </c>
      <c r="BK297" s="1">
        <f t="shared" si="71"/>
        <v>0</v>
      </c>
      <c r="BL297" s="1">
        <f t="shared" si="72"/>
        <v>0</v>
      </c>
      <c r="BM297" s="10" t="str">
        <f t="shared" si="73"/>
        <v/>
      </c>
      <c r="BN297" s="52">
        <f t="shared" si="74"/>
        <v>0</v>
      </c>
      <c r="BO297" s="52">
        <f t="shared" si="75"/>
        <v>0</v>
      </c>
      <c r="BP297" s="1">
        <f t="shared" si="76"/>
        <v>0</v>
      </c>
      <c r="BQ297" s="1">
        <f t="shared" si="77"/>
        <v>0</v>
      </c>
      <c r="BR297" s="1" t="str">
        <f t="shared" si="78"/>
        <v/>
      </c>
      <c r="BS297" s="1">
        <f t="shared" si="79"/>
        <v>0</v>
      </c>
      <c r="BT297" s="4">
        <f t="shared" si="80"/>
        <v>0</v>
      </c>
      <c r="BU297" s="52">
        <f t="shared" si="81"/>
        <v>0</v>
      </c>
      <c r="BV297" s="1">
        <f t="shared" si="82"/>
        <v>0</v>
      </c>
      <c r="BW297">
        <f t="shared" si="83"/>
        <v>0</v>
      </c>
      <c r="BX297">
        <f t="shared" si="84"/>
        <v>0</v>
      </c>
    </row>
    <row r="298" spans="58:76" x14ac:dyDescent="0.25">
      <c r="BF298" s="1" t="e">
        <f>VLOOKUP(N298,'Incoming Material Report'!H:M,6,FALSE)</f>
        <v>#N/A</v>
      </c>
      <c r="BG298" s="1" t="e">
        <f>IF(VLOOKUP(N298,'Incoming Material Report'!H:N,7,FALSE)=0,"",VLOOKUP(N298,'Incoming Material Report'!H:N,7,FALSE))</f>
        <v>#N/A</v>
      </c>
      <c r="BH298" s="52">
        <f t="shared" si="68"/>
        <v>0</v>
      </c>
      <c r="BI298" s="1">
        <f t="shared" si="69"/>
        <v>0</v>
      </c>
      <c r="BJ298" s="1">
        <f t="shared" si="70"/>
        <v>0</v>
      </c>
      <c r="BK298" s="1">
        <f t="shared" si="71"/>
        <v>0</v>
      </c>
      <c r="BL298" s="1">
        <f t="shared" si="72"/>
        <v>0</v>
      </c>
      <c r="BM298" s="10" t="str">
        <f t="shared" si="73"/>
        <v/>
      </c>
      <c r="BN298" s="52">
        <f t="shared" si="74"/>
        <v>0</v>
      </c>
      <c r="BO298" s="52">
        <f t="shared" si="75"/>
        <v>0</v>
      </c>
      <c r="BP298" s="1">
        <f t="shared" si="76"/>
        <v>0</v>
      </c>
      <c r="BQ298" s="1">
        <f t="shared" si="77"/>
        <v>0</v>
      </c>
      <c r="BR298" s="1" t="str">
        <f t="shared" si="78"/>
        <v/>
      </c>
      <c r="BS298" s="1">
        <f t="shared" si="79"/>
        <v>0</v>
      </c>
      <c r="BT298" s="4">
        <f t="shared" si="80"/>
        <v>0</v>
      </c>
      <c r="BU298" s="52">
        <f t="shared" si="81"/>
        <v>0</v>
      </c>
      <c r="BV298" s="1">
        <f t="shared" si="82"/>
        <v>0</v>
      </c>
      <c r="BW298">
        <f t="shared" si="83"/>
        <v>0</v>
      </c>
      <c r="BX298">
        <f t="shared" si="84"/>
        <v>0</v>
      </c>
    </row>
    <row r="299" spans="58:76" x14ac:dyDescent="0.25">
      <c r="BF299" s="1" t="e">
        <f>VLOOKUP(N299,'Incoming Material Report'!H:M,6,FALSE)</f>
        <v>#N/A</v>
      </c>
      <c r="BG299" s="1" t="e">
        <f>IF(VLOOKUP(N299,'Incoming Material Report'!H:N,7,FALSE)=0,"",VLOOKUP(N299,'Incoming Material Report'!H:N,7,FALSE))</f>
        <v>#N/A</v>
      </c>
      <c r="BH299" s="52">
        <f t="shared" si="68"/>
        <v>0</v>
      </c>
      <c r="BI299" s="1">
        <f t="shared" si="69"/>
        <v>0</v>
      </c>
      <c r="BJ299" s="1">
        <f t="shared" si="70"/>
        <v>0</v>
      </c>
      <c r="BK299" s="1">
        <f t="shared" si="71"/>
        <v>0</v>
      </c>
      <c r="BL299" s="1">
        <f t="shared" si="72"/>
        <v>0</v>
      </c>
      <c r="BM299" s="10" t="str">
        <f t="shared" si="73"/>
        <v/>
      </c>
      <c r="BN299" s="52">
        <f t="shared" si="74"/>
        <v>0</v>
      </c>
      <c r="BO299" s="52">
        <f t="shared" si="75"/>
        <v>0</v>
      </c>
      <c r="BP299" s="1">
        <f t="shared" si="76"/>
        <v>0</v>
      </c>
      <c r="BQ299" s="1">
        <f t="shared" si="77"/>
        <v>0</v>
      </c>
      <c r="BR299" s="1" t="str">
        <f t="shared" si="78"/>
        <v/>
      </c>
      <c r="BS299" s="1">
        <f t="shared" si="79"/>
        <v>0</v>
      </c>
      <c r="BT299" s="4">
        <f t="shared" si="80"/>
        <v>0</v>
      </c>
      <c r="BU299" s="52">
        <f t="shared" si="81"/>
        <v>0</v>
      </c>
      <c r="BV299" s="1">
        <f t="shared" si="82"/>
        <v>0</v>
      </c>
      <c r="BW299">
        <f t="shared" si="83"/>
        <v>0</v>
      </c>
      <c r="BX299">
        <f t="shared" si="84"/>
        <v>0</v>
      </c>
    </row>
    <row r="300" spans="58:76" x14ac:dyDescent="0.25">
      <c r="BF300" s="1" t="e">
        <f>VLOOKUP(N300,'Incoming Material Report'!H:M,6,FALSE)</f>
        <v>#N/A</v>
      </c>
      <c r="BG300" s="1" t="e">
        <f>IF(VLOOKUP(N300,'Incoming Material Report'!H:N,7,FALSE)=0,"",VLOOKUP(N300,'Incoming Material Report'!H:N,7,FALSE))</f>
        <v>#N/A</v>
      </c>
      <c r="BH300" s="52">
        <f t="shared" si="68"/>
        <v>0</v>
      </c>
      <c r="BI300" s="1">
        <f t="shared" si="69"/>
        <v>0</v>
      </c>
      <c r="BJ300" s="1">
        <f t="shared" si="70"/>
        <v>0</v>
      </c>
      <c r="BK300" s="1">
        <f t="shared" si="71"/>
        <v>0</v>
      </c>
      <c r="BL300" s="1">
        <f t="shared" si="72"/>
        <v>0</v>
      </c>
      <c r="BM300" s="10" t="str">
        <f t="shared" si="73"/>
        <v/>
      </c>
      <c r="BN300" s="52">
        <f t="shared" si="74"/>
        <v>0</v>
      </c>
      <c r="BO300" s="52">
        <f t="shared" si="75"/>
        <v>0</v>
      </c>
      <c r="BP300" s="1">
        <f t="shared" si="76"/>
        <v>0</v>
      </c>
      <c r="BQ300" s="1">
        <f t="shared" si="77"/>
        <v>0</v>
      </c>
      <c r="BR300" s="1" t="str">
        <f t="shared" si="78"/>
        <v/>
      </c>
      <c r="BS300" s="1">
        <f t="shared" si="79"/>
        <v>0</v>
      </c>
      <c r="BT300" s="4">
        <f t="shared" si="80"/>
        <v>0</v>
      </c>
      <c r="BU300" s="52">
        <f t="shared" si="81"/>
        <v>0</v>
      </c>
      <c r="BV300" s="1">
        <f t="shared" si="82"/>
        <v>0</v>
      </c>
      <c r="BW300">
        <f t="shared" si="83"/>
        <v>0</v>
      </c>
      <c r="BX300">
        <f t="shared" si="84"/>
        <v>0</v>
      </c>
    </row>
    <row r="301" spans="58:76" x14ac:dyDescent="0.25">
      <c r="BF301" s="1" t="e">
        <f>VLOOKUP(N301,'Incoming Material Report'!H:M,6,FALSE)</f>
        <v>#N/A</v>
      </c>
      <c r="BG301" s="1" t="e">
        <f>IF(VLOOKUP(N301,'Incoming Material Report'!H:N,7,FALSE)=0,"",VLOOKUP(N301,'Incoming Material Report'!H:N,7,FALSE))</f>
        <v>#N/A</v>
      </c>
      <c r="BH301" s="52">
        <f t="shared" si="68"/>
        <v>0</v>
      </c>
      <c r="BI301" s="1">
        <f t="shared" si="69"/>
        <v>0</v>
      </c>
      <c r="BJ301" s="1">
        <f t="shared" si="70"/>
        <v>0</v>
      </c>
      <c r="BK301" s="1">
        <f t="shared" si="71"/>
        <v>0</v>
      </c>
      <c r="BL301" s="1">
        <f t="shared" si="72"/>
        <v>0</v>
      </c>
      <c r="BM301" s="10" t="str">
        <f t="shared" si="73"/>
        <v/>
      </c>
      <c r="BN301" s="52">
        <f t="shared" si="74"/>
        <v>0</v>
      </c>
      <c r="BO301" s="52">
        <f t="shared" si="75"/>
        <v>0</v>
      </c>
      <c r="BP301" s="1">
        <f t="shared" si="76"/>
        <v>0</v>
      </c>
      <c r="BQ301" s="1">
        <f t="shared" si="77"/>
        <v>0</v>
      </c>
      <c r="BR301" s="1" t="str">
        <f t="shared" si="78"/>
        <v/>
      </c>
      <c r="BS301" s="1">
        <f t="shared" si="79"/>
        <v>0</v>
      </c>
      <c r="BT301" s="4">
        <f t="shared" si="80"/>
        <v>0</v>
      </c>
      <c r="BU301" s="52">
        <f t="shared" si="81"/>
        <v>0</v>
      </c>
      <c r="BV301" s="1">
        <f t="shared" si="82"/>
        <v>0</v>
      </c>
      <c r="BW301">
        <f t="shared" si="83"/>
        <v>0</v>
      </c>
      <c r="BX301">
        <f t="shared" si="84"/>
        <v>0</v>
      </c>
    </row>
    <row r="302" spans="58:76" x14ac:dyDescent="0.25">
      <c r="BF302" s="1" t="e">
        <f>VLOOKUP(N302,'Incoming Material Report'!H:M,6,FALSE)</f>
        <v>#N/A</v>
      </c>
      <c r="BG302" s="1" t="e">
        <f>IF(VLOOKUP(N302,'Incoming Material Report'!H:N,7,FALSE)=0,"",VLOOKUP(N302,'Incoming Material Report'!H:N,7,FALSE))</f>
        <v>#N/A</v>
      </c>
      <c r="BH302" s="52">
        <f t="shared" si="68"/>
        <v>0</v>
      </c>
      <c r="BI302" s="1">
        <f t="shared" si="69"/>
        <v>0</v>
      </c>
      <c r="BJ302" s="1">
        <f t="shared" si="70"/>
        <v>0</v>
      </c>
      <c r="BK302" s="1">
        <f t="shared" si="71"/>
        <v>0</v>
      </c>
      <c r="BL302" s="1">
        <f t="shared" si="72"/>
        <v>0</v>
      </c>
      <c r="BM302" s="10" t="str">
        <f t="shared" si="73"/>
        <v/>
      </c>
      <c r="BN302" s="52">
        <f t="shared" si="74"/>
        <v>0</v>
      </c>
      <c r="BO302" s="52">
        <f t="shared" si="75"/>
        <v>0</v>
      </c>
      <c r="BP302" s="1">
        <f t="shared" si="76"/>
        <v>0</v>
      </c>
      <c r="BQ302" s="1">
        <f t="shared" si="77"/>
        <v>0</v>
      </c>
      <c r="BR302" s="1" t="str">
        <f t="shared" si="78"/>
        <v/>
      </c>
      <c r="BS302" s="1">
        <f t="shared" si="79"/>
        <v>0</v>
      </c>
      <c r="BT302" s="4">
        <f t="shared" si="80"/>
        <v>0</v>
      </c>
      <c r="BU302" s="52">
        <f t="shared" si="81"/>
        <v>0</v>
      </c>
      <c r="BV302" s="1">
        <f t="shared" si="82"/>
        <v>0</v>
      </c>
      <c r="BW302">
        <f t="shared" si="83"/>
        <v>0</v>
      </c>
      <c r="BX302">
        <f t="shared" si="84"/>
        <v>0</v>
      </c>
    </row>
    <row r="303" spans="58:76" x14ac:dyDescent="0.25">
      <c r="BF303" s="1" t="e">
        <f>VLOOKUP(N303,'Incoming Material Report'!H:M,6,FALSE)</f>
        <v>#N/A</v>
      </c>
      <c r="BG303" s="1" t="e">
        <f>IF(VLOOKUP(N303,'Incoming Material Report'!H:N,7,FALSE)=0,"",VLOOKUP(N303,'Incoming Material Report'!H:N,7,FALSE))</f>
        <v>#N/A</v>
      </c>
      <c r="BH303" s="52">
        <f t="shared" si="68"/>
        <v>0</v>
      </c>
      <c r="BI303" s="1">
        <f t="shared" si="69"/>
        <v>0</v>
      </c>
      <c r="BJ303" s="1">
        <f t="shared" si="70"/>
        <v>0</v>
      </c>
      <c r="BK303" s="1">
        <f t="shared" si="71"/>
        <v>0</v>
      </c>
      <c r="BL303" s="1">
        <f t="shared" si="72"/>
        <v>0</v>
      </c>
      <c r="BM303" s="10" t="str">
        <f t="shared" si="73"/>
        <v/>
      </c>
      <c r="BN303" s="52">
        <f t="shared" si="74"/>
        <v>0</v>
      </c>
      <c r="BO303" s="52">
        <f t="shared" si="75"/>
        <v>0</v>
      </c>
      <c r="BP303" s="1">
        <f t="shared" si="76"/>
        <v>0</v>
      </c>
      <c r="BQ303" s="1">
        <f t="shared" si="77"/>
        <v>0</v>
      </c>
      <c r="BR303" s="1" t="str">
        <f t="shared" si="78"/>
        <v/>
      </c>
      <c r="BS303" s="1">
        <f t="shared" si="79"/>
        <v>0</v>
      </c>
      <c r="BT303" s="4">
        <f t="shared" si="80"/>
        <v>0</v>
      </c>
      <c r="BU303" s="52">
        <f t="shared" si="81"/>
        <v>0</v>
      </c>
      <c r="BV303" s="1">
        <f t="shared" si="82"/>
        <v>0</v>
      </c>
      <c r="BW303">
        <f t="shared" si="83"/>
        <v>0</v>
      </c>
      <c r="BX303">
        <f t="shared" si="84"/>
        <v>0</v>
      </c>
    </row>
    <row r="304" spans="58:76" x14ac:dyDescent="0.25">
      <c r="BF304" s="1" t="e">
        <f>VLOOKUP(N304,'Incoming Material Report'!H:M,6,FALSE)</f>
        <v>#N/A</v>
      </c>
      <c r="BG304" s="1" t="e">
        <f>IF(VLOOKUP(N304,'Incoming Material Report'!H:N,7,FALSE)=0,"",VLOOKUP(N304,'Incoming Material Report'!H:N,7,FALSE))</f>
        <v>#N/A</v>
      </c>
      <c r="BH304" s="52">
        <f t="shared" si="68"/>
        <v>0</v>
      </c>
      <c r="BI304" s="1">
        <f t="shared" si="69"/>
        <v>0</v>
      </c>
      <c r="BJ304" s="1">
        <f t="shared" si="70"/>
        <v>0</v>
      </c>
      <c r="BK304" s="1">
        <f t="shared" si="71"/>
        <v>0</v>
      </c>
      <c r="BL304" s="1">
        <f t="shared" si="72"/>
        <v>0</v>
      </c>
      <c r="BM304" s="10" t="str">
        <f t="shared" si="73"/>
        <v/>
      </c>
      <c r="BN304" s="52">
        <f t="shared" si="74"/>
        <v>0</v>
      </c>
      <c r="BO304" s="52">
        <f t="shared" si="75"/>
        <v>0</v>
      </c>
      <c r="BP304" s="1">
        <f t="shared" si="76"/>
        <v>0</v>
      </c>
      <c r="BQ304" s="1">
        <f t="shared" si="77"/>
        <v>0</v>
      </c>
      <c r="BR304" s="1" t="str">
        <f t="shared" si="78"/>
        <v/>
      </c>
      <c r="BS304" s="1">
        <f t="shared" si="79"/>
        <v>0</v>
      </c>
      <c r="BT304" s="4">
        <f t="shared" si="80"/>
        <v>0</v>
      </c>
      <c r="BU304" s="52">
        <f t="shared" si="81"/>
        <v>0</v>
      </c>
      <c r="BV304" s="1">
        <f t="shared" si="82"/>
        <v>0</v>
      </c>
      <c r="BW304">
        <f t="shared" si="83"/>
        <v>0</v>
      </c>
      <c r="BX304">
        <f t="shared" si="84"/>
        <v>0</v>
      </c>
    </row>
    <row r="305" spans="58:76" x14ac:dyDescent="0.25">
      <c r="BF305" s="1" t="e">
        <f>VLOOKUP(N305,'Incoming Material Report'!H:M,6,FALSE)</f>
        <v>#N/A</v>
      </c>
      <c r="BG305" s="1" t="e">
        <f>IF(VLOOKUP(N305,'Incoming Material Report'!H:N,7,FALSE)=0,"",VLOOKUP(N305,'Incoming Material Report'!H:N,7,FALSE))</f>
        <v>#N/A</v>
      </c>
      <c r="BH305" s="52">
        <f t="shared" si="68"/>
        <v>0</v>
      </c>
      <c r="BI305" s="1">
        <f t="shared" si="69"/>
        <v>0</v>
      </c>
      <c r="BJ305" s="1">
        <f t="shared" si="70"/>
        <v>0</v>
      </c>
      <c r="BK305" s="1">
        <f t="shared" si="71"/>
        <v>0</v>
      </c>
      <c r="BL305" s="1">
        <f t="shared" si="72"/>
        <v>0</v>
      </c>
      <c r="BM305" s="10" t="str">
        <f t="shared" si="73"/>
        <v/>
      </c>
      <c r="BN305" s="52">
        <f t="shared" si="74"/>
        <v>0</v>
      </c>
      <c r="BO305" s="52">
        <f t="shared" si="75"/>
        <v>0</v>
      </c>
      <c r="BP305" s="1">
        <f t="shared" si="76"/>
        <v>0</v>
      </c>
      <c r="BQ305" s="1">
        <f t="shared" si="77"/>
        <v>0</v>
      </c>
      <c r="BR305" s="1" t="str">
        <f t="shared" si="78"/>
        <v/>
      </c>
      <c r="BS305" s="1">
        <f t="shared" si="79"/>
        <v>0</v>
      </c>
      <c r="BT305" s="4">
        <f t="shared" si="80"/>
        <v>0</v>
      </c>
      <c r="BU305" s="52">
        <f t="shared" si="81"/>
        <v>0</v>
      </c>
      <c r="BV305" s="1">
        <f t="shared" si="82"/>
        <v>0</v>
      </c>
      <c r="BW305">
        <f t="shared" si="83"/>
        <v>0</v>
      </c>
      <c r="BX305">
        <f t="shared" si="84"/>
        <v>0</v>
      </c>
    </row>
    <row r="306" spans="58:76" x14ac:dyDescent="0.25">
      <c r="BF306" s="1" t="e">
        <f>VLOOKUP(N306,'Incoming Material Report'!H:M,6,FALSE)</f>
        <v>#N/A</v>
      </c>
      <c r="BG306" s="1" t="e">
        <f>IF(VLOOKUP(N306,'Incoming Material Report'!H:N,7,FALSE)=0,"",VLOOKUP(N306,'Incoming Material Report'!H:N,7,FALSE))</f>
        <v>#N/A</v>
      </c>
      <c r="BH306" s="52">
        <f t="shared" si="68"/>
        <v>0</v>
      </c>
      <c r="BI306" s="1">
        <f t="shared" si="69"/>
        <v>0</v>
      </c>
      <c r="BJ306" s="1">
        <f t="shared" si="70"/>
        <v>0</v>
      </c>
      <c r="BK306" s="1">
        <f t="shared" si="71"/>
        <v>0</v>
      </c>
      <c r="BL306" s="1">
        <f t="shared" si="72"/>
        <v>0</v>
      </c>
      <c r="BM306" s="10" t="str">
        <f t="shared" si="73"/>
        <v/>
      </c>
      <c r="BN306" s="52">
        <f t="shared" si="74"/>
        <v>0</v>
      </c>
      <c r="BO306" s="52">
        <f t="shared" si="75"/>
        <v>0</v>
      </c>
      <c r="BP306" s="1">
        <f t="shared" si="76"/>
        <v>0</v>
      </c>
      <c r="BQ306" s="1">
        <f t="shared" si="77"/>
        <v>0</v>
      </c>
      <c r="BR306" s="1" t="str">
        <f t="shared" si="78"/>
        <v/>
      </c>
      <c r="BS306" s="1">
        <f t="shared" si="79"/>
        <v>0</v>
      </c>
      <c r="BT306" s="4">
        <f t="shared" si="80"/>
        <v>0</v>
      </c>
      <c r="BU306" s="52">
        <f t="shared" si="81"/>
        <v>0</v>
      </c>
      <c r="BV306" s="1">
        <f t="shared" si="82"/>
        <v>0</v>
      </c>
      <c r="BW306">
        <f t="shared" si="83"/>
        <v>0</v>
      </c>
      <c r="BX306">
        <f t="shared" si="84"/>
        <v>0</v>
      </c>
    </row>
    <row r="307" spans="58:76" x14ac:dyDescent="0.25">
      <c r="BF307" s="1" t="e">
        <f>VLOOKUP(N307,'Incoming Material Report'!H:M,6,FALSE)</f>
        <v>#N/A</v>
      </c>
      <c r="BG307" s="1" t="e">
        <f>IF(VLOOKUP(N307,'Incoming Material Report'!H:N,7,FALSE)=0,"",VLOOKUP(N307,'Incoming Material Report'!H:N,7,FALSE))</f>
        <v>#N/A</v>
      </c>
      <c r="BH307" s="52">
        <f t="shared" si="68"/>
        <v>0</v>
      </c>
      <c r="BI307" s="1">
        <f t="shared" si="69"/>
        <v>0</v>
      </c>
      <c r="BJ307" s="1">
        <f t="shared" si="70"/>
        <v>0</v>
      </c>
      <c r="BK307" s="1">
        <f t="shared" si="71"/>
        <v>0</v>
      </c>
      <c r="BL307" s="1">
        <f t="shared" si="72"/>
        <v>0</v>
      </c>
      <c r="BM307" s="10" t="str">
        <f t="shared" si="73"/>
        <v/>
      </c>
      <c r="BN307" s="52">
        <f t="shared" si="74"/>
        <v>0</v>
      </c>
      <c r="BO307" s="52">
        <f t="shared" si="75"/>
        <v>0</v>
      </c>
      <c r="BP307" s="1">
        <f t="shared" si="76"/>
        <v>0</v>
      </c>
      <c r="BQ307" s="1">
        <f t="shared" si="77"/>
        <v>0</v>
      </c>
      <c r="BR307" s="1" t="str">
        <f t="shared" si="78"/>
        <v/>
      </c>
      <c r="BS307" s="1">
        <f t="shared" si="79"/>
        <v>0</v>
      </c>
      <c r="BT307" s="4">
        <f t="shared" si="80"/>
        <v>0</v>
      </c>
      <c r="BU307" s="52">
        <f t="shared" si="81"/>
        <v>0</v>
      </c>
      <c r="BV307" s="1">
        <f t="shared" si="82"/>
        <v>0</v>
      </c>
      <c r="BW307">
        <f t="shared" si="83"/>
        <v>0</v>
      </c>
      <c r="BX307">
        <f t="shared" si="84"/>
        <v>0</v>
      </c>
    </row>
    <row r="308" spans="58:76" x14ac:dyDescent="0.25">
      <c r="BF308" s="1" t="e">
        <f>VLOOKUP(N308,'Incoming Material Report'!H:M,6,FALSE)</f>
        <v>#N/A</v>
      </c>
      <c r="BG308" s="1" t="e">
        <f>IF(VLOOKUP(N308,'Incoming Material Report'!H:N,7,FALSE)=0,"",VLOOKUP(N308,'Incoming Material Report'!H:N,7,FALSE))</f>
        <v>#N/A</v>
      </c>
      <c r="BH308" s="52">
        <f t="shared" si="68"/>
        <v>0</v>
      </c>
      <c r="BI308" s="1">
        <f t="shared" si="69"/>
        <v>0</v>
      </c>
      <c r="BJ308" s="1">
        <f t="shared" si="70"/>
        <v>0</v>
      </c>
      <c r="BK308" s="1">
        <f t="shared" si="71"/>
        <v>0</v>
      </c>
      <c r="BL308" s="1">
        <f t="shared" si="72"/>
        <v>0</v>
      </c>
      <c r="BM308" s="10" t="str">
        <f t="shared" si="73"/>
        <v/>
      </c>
      <c r="BN308" s="52">
        <f t="shared" si="74"/>
        <v>0</v>
      </c>
      <c r="BO308" s="52">
        <f t="shared" si="75"/>
        <v>0</v>
      </c>
      <c r="BP308" s="1">
        <f t="shared" si="76"/>
        <v>0</v>
      </c>
      <c r="BQ308" s="1">
        <f t="shared" si="77"/>
        <v>0</v>
      </c>
      <c r="BR308" s="1" t="str">
        <f t="shared" si="78"/>
        <v/>
      </c>
      <c r="BS308" s="1">
        <f t="shared" si="79"/>
        <v>0</v>
      </c>
      <c r="BT308" s="4">
        <f t="shared" si="80"/>
        <v>0</v>
      </c>
      <c r="BU308" s="52">
        <f t="shared" si="81"/>
        <v>0</v>
      </c>
      <c r="BV308" s="1">
        <f t="shared" si="82"/>
        <v>0</v>
      </c>
      <c r="BW308">
        <f t="shared" si="83"/>
        <v>0</v>
      </c>
      <c r="BX308">
        <f t="shared" si="84"/>
        <v>0</v>
      </c>
    </row>
    <row r="309" spans="58:76" x14ac:dyDescent="0.25">
      <c r="BF309" s="1" t="e">
        <f>VLOOKUP(N309,'Incoming Material Report'!H:M,6,FALSE)</f>
        <v>#N/A</v>
      </c>
      <c r="BG309" s="1" t="e">
        <f>IF(VLOOKUP(N309,'Incoming Material Report'!H:N,7,FALSE)=0,"",VLOOKUP(N309,'Incoming Material Report'!H:N,7,FALSE))</f>
        <v>#N/A</v>
      </c>
      <c r="BH309" s="52">
        <f t="shared" si="68"/>
        <v>0</v>
      </c>
      <c r="BI309" s="1">
        <f t="shared" si="69"/>
        <v>0</v>
      </c>
      <c r="BJ309" s="1">
        <f t="shared" si="70"/>
        <v>0</v>
      </c>
      <c r="BK309" s="1">
        <f t="shared" si="71"/>
        <v>0</v>
      </c>
      <c r="BL309" s="1">
        <f t="shared" si="72"/>
        <v>0</v>
      </c>
      <c r="BM309" s="10" t="str">
        <f t="shared" si="73"/>
        <v/>
      </c>
      <c r="BN309" s="52">
        <f t="shared" si="74"/>
        <v>0</v>
      </c>
      <c r="BO309" s="52">
        <f t="shared" si="75"/>
        <v>0</v>
      </c>
      <c r="BP309" s="1">
        <f t="shared" si="76"/>
        <v>0</v>
      </c>
      <c r="BQ309" s="1">
        <f t="shared" si="77"/>
        <v>0</v>
      </c>
      <c r="BR309" s="1" t="str">
        <f t="shared" si="78"/>
        <v/>
      </c>
      <c r="BS309" s="1">
        <f t="shared" si="79"/>
        <v>0</v>
      </c>
      <c r="BT309" s="4">
        <f t="shared" si="80"/>
        <v>0</v>
      </c>
      <c r="BU309" s="52">
        <f t="shared" si="81"/>
        <v>0</v>
      </c>
      <c r="BV309" s="1">
        <f t="shared" si="82"/>
        <v>0</v>
      </c>
      <c r="BW309">
        <f t="shared" si="83"/>
        <v>0</v>
      </c>
      <c r="BX309">
        <f t="shared" si="84"/>
        <v>0</v>
      </c>
    </row>
    <row r="310" spans="58:76" x14ac:dyDescent="0.25">
      <c r="BF310" s="1" t="e">
        <f>VLOOKUP(N310,'Incoming Material Report'!H:M,6,FALSE)</f>
        <v>#N/A</v>
      </c>
      <c r="BG310" s="1" t="e">
        <f>IF(VLOOKUP(N310,'Incoming Material Report'!H:N,7,FALSE)=0,"",VLOOKUP(N310,'Incoming Material Report'!H:N,7,FALSE))</f>
        <v>#N/A</v>
      </c>
      <c r="BH310" s="52">
        <f t="shared" si="68"/>
        <v>0</v>
      </c>
      <c r="BI310" s="1">
        <f t="shared" si="69"/>
        <v>0</v>
      </c>
      <c r="BJ310" s="1">
        <f t="shared" si="70"/>
        <v>0</v>
      </c>
      <c r="BK310" s="1">
        <f t="shared" si="71"/>
        <v>0</v>
      </c>
      <c r="BL310" s="1">
        <f t="shared" si="72"/>
        <v>0</v>
      </c>
      <c r="BM310" s="10" t="str">
        <f t="shared" si="73"/>
        <v/>
      </c>
      <c r="BN310" s="52">
        <f t="shared" si="74"/>
        <v>0</v>
      </c>
      <c r="BO310" s="52">
        <f t="shared" si="75"/>
        <v>0</v>
      </c>
      <c r="BP310" s="1">
        <f t="shared" si="76"/>
        <v>0</v>
      </c>
      <c r="BQ310" s="1">
        <f t="shared" si="77"/>
        <v>0</v>
      </c>
      <c r="BR310" s="1" t="str">
        <f t="shared" si="78"/>
        <v/>
      </c>
      <c r="BS310" s="1">
        <f t="shared" si="79"/>
        <v>0</v>
      </c>
      <c r="BT310" s="4">
        <f t="shared" si="80"/>
        <v>0</v>
      </c>
      <c r="BU310" s="52">
        <f t="shared" si="81"/>
        <v>0</v>
      </c>
      <c r="BV310" s="1">
        <f t="shared" si="82"/>
        <v>0</v>
      </c>
      <c r="BW310">
        <f t="shared" si="83"/>
        <v>0</v>
      </c>
      <c r="BX310">
        <f t="shared" si="84"/>
        <v>0</v>
      </c>
    </row>
    <row r="311" spans="58:76" x14ac:dyDescent="0.25">
      <c r="BF311" s="1" t="e">
        <f>VLOOKUP(N311,'Incoming Material Report'!H:M,6,FALSE)</f>
        <v>#N/A</v>
      </c>
      <c r="BG311" s="1" t="e">
        <f>IF(VLOOKUP(N311,'Incoming Material Report'!H:N,7,FALSE)=0,"",VLOOKUP(N311,'Incoming Material Report'!H:N,7,FALSE))</f>
        <v>#N/A</v>
      </c>
      <c r="BH311" s="52">
        <f t="shared" si="68"/>
        <v>0</v>
      </c>
      <c r="BI311" s="1">
        <f t="shared" si="69"/>
        <v>0</v>
      </c>
      <c r="BJ311" s="1">
        <f t="shared" si="70"/>
        <v>0</v>
      </c>
      <c r="BK311" s="1">
        <f t="shared" si="71"/>
        <v>0</v>
      </c>
      <c r="BL311" s="1">
        <f t="shared" si="72"/>
        <v>0</v>
      </c>
      <c r="BM311" s="10" t="str">
        <f t="shared" si="73"/>
        <v/>
      </c>
      <c r="BN311" s="52">
        <f t="shared" si="74"/>
        <v>0</v>
      </c>
      <c r="BO311" s="52">
        <f t="shared" si="75"/>
        <v>0</v>
      </c>
      <c r="BP311" s="1">
        <f t="shared" si="76"/>
        <v>0</v>
      </c>
      <c r="BQ311" s="1">
        <f t="shared" si="77"/>
        <v>0</v>
      </c>
      <c r="BR311" s="1" t="str">
        <f t="shared" si="78"/>
        <v/>
      </c>
      <c r="BS311" s="1">
        <f t="shared" si="79"/>
        <v>0</v>
      </c>
      <c r="BT311" s="4">
        <f t="shared" si="80"/>
        <v>0</v>
      </c>
      <c r="BU311" s="52">
        <f t="shared" si="81"/>
        <v>0</v>
      </c>
      <c r="BV311" s="1">
        <f t="shared" si="82"/>
        <v>0</v>
      </c>
      <c r="BW311">
        <f t="shared" si="83"/>
        <v>0</v>
      </c>
      <c r="BX311">
        <f t="shared" si="84"/>
        <v>0</v>
      </c>
    </row>
    <row r="312" spans="58:76" x14ac:dyDescent="0.25">
      <c r="BF312" s="1" t="e">
        <f>VLOOKUP(N312,'Incoming Material Report'!H:M,6,FALSE)</f>
        <v>#N/A</v>
      </c>
      <c r="BG312" s="1" t="e">
        <f>IF(VLOOKUP(N312,'Incoming Material Report'!H:N,7,FALSE)=0,"",VLOOKUP(N312,'Incoming Material Report'!H:N,7,FALSE))</f>
        <v>#N/A</v>
      </c>
      <c r="BH312" s="52">
        <f t="shared" si="68"/>
        <v>0</v>
      </c>
      <c r="BI312" s="1">
        <f t="shared" si="69"/>
        <v>0</v>
      </c>
      <c r="BJ312" s="1">
        <f t="shared" si="70"/>
        <v>0</v>
      </c>
      <c r="BK312" s="1">
        <f t="shared" si="71"/>
        <v>0</v>
      </c>
      <c r="BL312" s="1">
        <f t="shared" si="72"/>
        <v>0</v>
      </c>
      <c r="BM312" s="10" t="str">
        <f t="shared" si="73"/>
        <v/>
      </c>
      <c r="BN312" s="52">
        <f t="shared" si="74"/>
        <v>0</v>
      </c>
      <c r="BO312" s="52">
        <f t="shared" si="75"/>
        <v>0</v>
      </c>
      <c r="BP312" s="1">
        <f t="shared" si="76"/>
        <v>0</v>
      </c>
      <c r="BQ312" s="1">
        <f t="shared" si="77"/>
        <v>0</v>
      </c>
      <c r="BR312" s="1" t="str">
        <f t="shared" si="78"/>
        <v/>
      </c>
      <c r="BS312" s="1">
        <f t="shared" si="79"/>
        <v>0</v>
      </c>
      <c r="BT312" s="4">
        <f t="shared" si="80"/>
        <v>0</v>
      </c>
      <c r="BU312" s="52">
        <f t="shared" si="81"/>
        <v>0</v>
      </c>
      <c r="BV312" s="1">
        <f t="shared" si="82"/>
        <v>0</v>
      </c>
      <c r="BW312">
        <f t="shared" si="83"/>
        <v>0</v>
      </c>
      <c r="BX312">
        <f t="shared" si="84"/>
        <v>0</v>
      </c>
    </row>
    <row r="313" spans="58:76" x14ac:dyDescent="0.25">
      <c r="BF313" s="1" t="e">
        <f>VLOOKUP(N313,'Incoming Material Report'!H:M,6,FALSE)</f>
        <v>#N/A</v>
      </c>
      <c r="BG313" s="1" t="e">
        <f>IF(VLOOKUP(N313,'Incoming Material Report'!H:N,7,FALSE)=0,"",VLOOKUP(N313,'Incoming Material Report'!H:N,7,FALSE))</f>
        <v>#N/A</v>
      </c>
      <c r="BH313" s="52">
        <f t="shared" si="68"/>
        <v>0</v>
      </c>
      <c r="BI313" s="1">
        <f t="shared" si="69"/>
        <v>0</v>
      </c>
      <c r="BJ313" s="1">
        <f t="shared" si="70"/>
        <v>0</v>
      </c>
      <c r="BK313" s="1">
        <f t="shared" si="71"/>
        <v>0</v>
      </c>
      <c r="BL313" s="1">
        <f t="shared" si="72"/>
        <v>0</v>
      </c>
      <c r="BM313" s="10" t="str">
        <f t="shared" si="73"/>
        <v/>
      </c>
      <c r="BN313" s="52">
        <f t="shared" si="74"/>
        <v>0</v>
      </c>
      <c r="BO313" s="52">
        <f t="shared" si="75"/>
        <v>0</v>
      </c>
      <c r="BP313" s="1">
        <f t="shared" si="76"/>
        <v>0</v>
      </c>
      <c r="BQ313" s="1">
        <f t="shared" si="77"/>
        <v>0</v>
      </c>
      <c r="BR313" s="1" t="str">
        <f t="shared" si="78"/>
        <v/>
      </c>
      <c r="BS313" s="1">
        <f t="shared" si="79"/>
        <v>0</v>
      </c>
      <c r="BT313" s="4">
        <f t="shared" si="80"/>
        <v>0</v>
      </c>
      <c r="BU313" s="52">
        <f t="shared" si="81"/>
        <v>0</v>
      </c>
      <c r="BV313" s="1">
        <f t="shared" si="82"/>
        <v>0</v>
      </c>
      <c r="BW313">
        <f t="shared" si="83"/>
        <v>0</v>
      </c>
      <c r="BX313">
        <f t="shared" si="84"/>
        <v>0</v>
      </c>
    </row>
    <row r="314" spans="58:76" x14ac:dyDescent="0.25">
      <c r="BF314" s="1" t="e">
        <f>VLOOKUP(N314,'Incoming Material Report'!H:M,6,FALSE)</f>
        <v>#N/A</v>
      </c>
      <c r="BG314" s="1" t="e">
        <f>IF(VLOOKUP(N314,'Incoming Material Report'!H:N,7,FALSE)=0,"",VLOOKUP(N314,'Incoming Material Report'!H:N,7,FALSE))</f>
        <v>#N/A</v>
      </c>
      <c r="BH314" s="52">
        <f t="shared" ref="BH314:BH377" si="85">VALUE(T314)</f>
        <v>0</v>
      </c>
      <c r="BI314" s="1">
        <f t="shared" ref="BI314:BI377" si="86">VALUE(U314)</f>
        <v>0</v>
      </c>
      <c r="BJ314" s="1">
        <f t="shared" ref="BJ314:BJ377" si="87">IFERROR(_xlfn.NUMBERVALUE(V314),V314)</f>
        <v>0</v>
      </c>
      <c r="BK314" s="1">
        <f t="shared" ref="BK314:BK377" si="88">IFERROR(INT(I314),I314)</f>
        <v>0</v>
      </c>
      <c r="BL314" s="1">
        <f t="shared" ref="BL314:BL377" si="89">L314</f>
        <v>0</v>
      </c>
      <c r="BM314" s="10" t="str">
        <f t="shared" ref="BM314:BM377" si="90">SUBSTITUTE(J314,"/",".")</f>
        <v/>
      </c>
      <c r="BN314" s="52">
        <f t="shared" ref="BN314:BN377" si="91">VALUE(Q314)*1000</f>
        <v>0</v>
      </c>
      <c r="BO314" s="52">
        <f t="shared" ref="BO314:BO377" si="92">VALUE(P314)/1000</f>
        <v>0</v>
      </c>
      <c r="BP314" s="1">
        <f t="shared" ref="BP314:BP377" si="93">VALUE(D314)</f>
        <v>0</v>
      </c>
      <c r="BQ314" s="1">
        <f t="shared" ref="BQ314:BQ377" si="94">G314</f>
        <v>0</v>
      </c>
      <c r="BR314" s="1" t="str">
        <f t="shared" ref="BR314:BR377" si="95">SUBSTITUTE(O314,".","")</f>
        <v/>
      </c>
      <c r="BS314" s="1">
        <f t="shared" ref="BS314:BS377" si="96">S314</f>
        <v>0</v>
      </c>
      <c r="BT314" s="4">
        <f t="shared" ref="BT314:BT377" si="97">VALUE(AJ314)</f>
        <v>0</v>
      </c>
      <c r="BU314" s="52">
        <f t="shared" ref="BU314:BU377" si="98">K314</f>
        <v>0</v>
      </c>
      <c r="BV314" s="1">
        <f t="shared" ref="BV314:BV377" si="99">AQ314</f>
        <v>0</v>
      </c>
      <c r="BW314">
        <f t="shared" ref="BW314:BW377" si="100">X314</f>
        <v>0</v>
      </c>
      <c r="BX314">
        <f t="shared" ref="BX314:BX377" si="101">AN314</f>
        <v>0</v>
      </c>
    </row>
    <row r="315" spans="58:76" x14ac:dyDescent="0.25">
      <c r="BF315" s="1" t="e">
        <f>VLOOKUP(N315,'Incoming Material Report'!H:M,6,FALSE)</f>
        <v>#N/A</v>
      </c>
      <c r="BG315" s="1" t="e">
        <f>IF(VLOOKUP(N315,'Incoming Material Report'!H:N,7,FALSE)=0,"",VLOOKUP(N315,'Incoming Material Report'!H:N,7,FALSE))</f>
        <v>#N/A</v>
      </c>
      <c r="BH315" s="52">
        <f t="shared" si="85"/>
        <v>0</v>
      </c>
      <c r="BI315" s="1">
        <f t="shared" si="86"/>
        <v>0</v>
      </c>
      <c r="BJ315" s="1">
        <f t="shared" si="87"/>
        <v>0</v>
      </c>
      <c r="BK315" s="1">
        <f t="shared" si="88"/>
        <v>0</v>
      </c>
      <c r="BL315" s="1">
        <f t="shared" si="89"/>
        <v>0</v>
      </c>
      <c r="BM315" s="10" t="str">
        <f t="shared" si="90"/>
        <v/>
      </c>
      <c r="BN315" s="52">
        <f t="shared" si="91"/>
        <v>0</v>
      </c>
      <c r="BO315" s="52">
        <f t="shared" si="92"/>
        <v>0</v>
      </c>
      <c r="BP315" s="1">
        <f t="shared" si="93"/>
        <v>0</v>
      </c>
      <c r="BQ315" s="1">
        <f t="shared" si="94"/>
        <v>0</v>
      </c>
      <c r="BR315" s="1" t="str">
        <f t="shared" si="95"/>
        <v/>
      </c>
      <c r="BS315" s="1">
        <f t="shared" si="96"/>
        <v>0</v>
      </c>
      <c r="BT315" s="4">
        <f t="shared" si="97"/>
        <v>0</v>
      </c>
      <c r="BU315" s="52">
        <f t="shared" si="98"/>
        <v>0</v>
      </c>
      <c r="BV315" s="1">
        <f t="shared" si="99"/>
        <v>0</v>
      </c>
      <c r="BW315">
        <f t="shared" si="100"/>
        <v>0</v>
      </c>
      <c r="BX315">
        <f t="shared" si="101"/>
        <v>0</v>
      </c>
    </row>
    <row r="316" spans="58:76" x14ac:dyDescent="0.25">
      <c r="BF316" s="1" t="e">
        <f>VLOOKUP(N316,'Incoming Material Report'!H:M,6,FALSE)</f>
        <v>#N/A</v>
      </c>
      <c r="BG316" s="1" t="e">
        <f>IF(VLOOKUP(N316,'Incoming Material Report'!H:N,7,FALSE)=0,"",VLOOKUP(N316,'Incoming Material Report'!H:N,7,FALSE))</f>
        <v>#N/A</v>
      </c>
      <c r="BH316" s="52">
        <f t="shared" si="85"/>
        <v>0</v>
      </c>
      <c r="BI316" s="1">
        <f t="shared" si="86"/>
        <v>0</v>
      </c>
      <c r="BJ316" s="1">
        <f t="shared" si="87"/>
        <v>0</v>
      </c>
      <c r="BK316" s="1">
        <f t="shared" si="88"/>
        <v>0</v>
      </c>
      <c r="BL316" s="1">
        <f t="shared" si="89"/>
        <v>0</v>
      </c>
      <c r="BM316" s="10" t="str">
        <f t="shared" si="90"/>
        <v/>
      </c>
      <c r="BN316" s="52">
        <f t="shared" si="91"/>
        <v>0</v>
      </c>
      <c r="BO316" s="52">
        <f t="shared" si="92"/>
        <v>0</v>
      </c>
      <c r="BP316" s="1">
        <f t="shared" si="93"/>
        <v>0</v>
      </c>
      <c r="BQ316" s="1">
        <f t="shared" si="94"/>
        <v>0</v>
      </c>
      <c r="BR316" s="1" t="str">
        <f t="shared" si="95"/>
        <v/>
      </c>
      <c r="BS316" s="1">
        <f t="shared" si="96"/>
        <v>0</v>
      </c>
      <c r="BT316" s="4">
        <f t="shared" si="97"/>
        <v>0</v>
      </c>
      <c r="BU316" s="52">
        <f t="shared" si="98"/>
        <v>0</v>
      </c>
      <c r="BV316" s="1">
        <f t="shared" si="99"/>
        <v>0</v>
      </c>
      <c r="BW316">
        <f t="shared" si="100"/>
        <v>0</v>
      </c>
      <c r="BX316">
        <f t="shared" si="101"/>
        <v>0</v>
      </c>
    </row>
    <row r="317" spans="58:76" x14ac:dyDescent="0.25">
      <c r="BF317" s="1" t="e">
        <f>VLOOKUP(N317,'Incoming Material Report'!H:M,6,FALSE)</f>
        <v>#N/A</v>
      </c>
      <c r="BG317" s="1" t="e">
        <f>IF(VLOOKUP(N317,'Incoming Material Report'!H:N,7,FALSE)=0,"",VLOOKUP(N317,'Incoming Material Report'!H:N,7,FALSE))</f>
        <v>#N/A</v>
      </c>
      <c r="BH317" s="52">
        <f t="shared" si="85"/>
        <v>0</v>
      </c>
      <c r="BI317" s="1">
        <f t="shared" si="86"/>
        <v>0</v>
      </c>
      <c r="BJ317" s="1">
        <f t="shared" si="87"/>
        <v>0</v>
      </c>
      <c r="BK317" s="1">
        <f t="shared" si="88"/>
        <v>0</v>
      </c>
      <c r="BL317" s="1">
        <f t="shared" si="89"/>
        <v>0</v>
      </c>
      <c r="BM317" s="10" t="str">
        <f t="shared" si="90"/>
        <v/>
      </c>
      <c r="BN317" s="52">
        <f t="shared" si="91"/>
        <v>0</v>
      </c>
      <c r="BO317" s="52">
        <f t="shared" si="92"/>
        <v>0</v>
      </c>
      <c r="BP317" s="1">
        <f t="shared" si="93"/>
        <v>0</v>
      </c>
      <c r="BQ317" s="1">
        <f t="shared" si="94"/>
        <v>0</v>
      </c>
      <c r="BR317" s="1" t="str">
        <f t="shared" si="95"/>
        <v/>
      </c>
      <c r="BS317" s="1">
        <f t="shared" si="96"/>
        <v>0</v>
      </c>
      <c r="BT317" s="4">
        <f t="shared" si="97"/>
        <v>0</v>
      </c>
      <c r="BU317" s="52">
        <f t="shared" si="98"/>
        <v>0</v>
      </c>
      <c r="BV317" s="1">
        <f t="shared" si="99"/>
        <v>0</v>
      </c>
      <c r="BW317">
        <f t="shared" si="100"/>
        <v>0</v>
      </c>
      <c r="BX317">
        <f t="shared" si="101"/>
        <v>0</v>
      </c>
    </row>
    <row r="318" spans="58:76" x14ac:dyDescent="0.25">
      <c r="BF318" s="1" t="e">
        <f>VLOOKUP(N318,'Incoming Material Report'!H:M,6,FALSE)</f>
        <v>#N/A</v>
      </c>
      <c r="BG318" s="1" t="e">
        <f>IF(VLOOKUP(N318,'Incoming Material Report'!H:N,7,FALSE)=0,"",VLOOKUP(N318,'Incoming Material Report'!H:N,7,FALSE))</f>
        <v>#N/A</v>
      </c>
      <c r="BH318" s="52">
        <f t="shared" si="85"/>
        <v>0</v>
      </c>
      <c r="BI318" s="1">
        <f t="shared" si="86"/>
        <v>0</v>
      </c>
      <c r="BJ318" s="1">
        <f t="shared" si="87"/>
        <v>0</v>
      </c>
      <c r="BK318" s="1">
        <f t="shared" si="88"/>
        <v>0</v>
      </c>
      <c r="BL318" s="1">
        <f t="shared" si="89"/>
        <v>0</v>
      </c>
      <c r="BM318" s="10" t="str">
        <f t="shared" si="90"/>
        <v/>
      </c>
      <c r="BN318" s="52">
        <f t="shared" si="91"/>
        <v>0</v>
      </c>
      <c r="BO318" s="52">
        <f t="shared" si="92"/>
        <v>0</v>
      </c>
      <c r="BP318" s="1">
        <f t="shared" si="93"/>
        <v>0</v>
      </c>
      <c r="BQ318" s="1">
        <f t="shared" si="94"/>
        <v>0</v>
      </c>
      <c r="BR318" s="1" t="str">
        <f t="shared" si="95"/>
        <v/>
      </c>
      <c r="BS318" s="1">
        <f t="shared" si="96"/>
        <v>0</v>
      </c>
      <c r="BT318" s="4">
        <f t="shared" si="97"/>
        <v>0</v>
      </c>
      <c r="BU318" s="52">
        <f t="shared" si="98"/>
        <v>0</v>
      </c>
      <c r="BV318" s="1">
        <f t="shared" si="99"/>
        <v>0</v>
      </c>
      <c r="BW318">
        <f t="shared" si="100"/>
        <v>0</v>
      </c>
      <c r="BX318">
        <f t="shared" si="101"/>
        <v>0</v>
      </c>
    </row>
    <row r="319" spans="58:76" x14ac:dyDescent="0.25">
      <c r="BF319" s="1" t="e">
        <f>VLOOKUP(N319,'Incoming Material Report'!H:M,6,FALSE)</f>
        <v>#N/A</v>
      </c>
      <c r="BG319" s="1" t="e">
        <f>IF(VLOOKUP(N319,'Incoming Material Report'!H:N,7,FALSE)=0,"",VLOOKUP(N319,'Incoming Material Report'!H:N,7,FALSE))</f>
        <v>#N/A</v>
      </c>
      <c r="BH319" s="52">
        <f t="shared" si="85"/>
        <v>0</v>
      </c>
      <c r="BI319" s="1">
        <f t="shared" si="86"/>
        <v>0</v>
      </c>
      <c r="BJ319" s="1">
        <f t="shared" si="87"/>
        <v>0</v>
      </c>
      <c r="BK319" s="1">
        <f t="shared" si="88"/>
        <v>0</v>
      </c>
      <c r="BL319" s="1">
        <f t="shared" si="89"/>
        <v>0</v>
      </c>
      <c r="BM319" s="10" t="str">
        <f t="shared" si="90"/>
        <v/>
      </c>
      <c r="BN319" s="52">
        <f t="shared" si="91"/>
        <v>0</v>
      </c>
      <c r="BO319" s="52">
        <f t="shared" si="92"/>
        <v>0</v>
      </c>
      <c r="BP319" s="1">
        <f t="shared" si="93"/>
        <v>0</v>
      </c>
      <c r="BQ319" s="1">
        <f t="shared" si="94"/>
        <v>0</v>
      </c>
      <c r="BR319" s="1" t="str">
        <f t="shared" si="95"/>
        <v/>
      </c>
      <c r="BS319" s="1">
        <f t="shared" si="96"/>
        <v>0</v>
      </c>
      <c r="BT319" s="4">
        <f t="shared" si="97"/>
        <v>0</v>
      </c>
      <c r="BU319" s="52">
        <f t="shared" si="98"/>
        <v>0</v>
      </c>
      <c r="BV319" s="1">
        <f t="shared" si="99"/>
        <v>0</v>
      </c>
      <c r="BW319">
        <f t="shared" si="100"/>
        <v>0</v>
      </c>
      <c r="BX319">
        <f t="shared" si="101"/>
        <v>0</v>
      </c>
    </row>
    <row r="320" spans="58:76" x14ac:dyDescent="0.25">
      <c r="BF320" s="1" t="e">
        <f>VLOOKUP(N320,'Incoming Material Report'!H:M,6,FALSE)</f>
        <v>#N/A</v>
      </c>
      <c r="BG320" s="1" t="e">
        <f>IF(VLOOKUP(N320,'Incoming Material Report'!H:N,7,FALSE)=0,"",VLOOKUP(N320,'Incoming Material Report'!H:N,7,FALSE))</f>
        <v>#N/A</v>
      </c>
      <c r="BH320" s="52">
        <f t="shared" si="85"/>
        <v>0</v>
      </c>
      <c r="BI320" s="1">
        <f t="shared" si="86"/>
        <v>0</v>
      </c>
      <c r="BJ320" s="1">
        <f t="shared" si="87"/>
        <v>0</v>
      </c>
      <c r="BK320" s="1">
        <f t="shared" si="88"/>
        <v>0</v>
      </c>
      <c r="BL320" s="1">
        <f t="shared" si="89"/>
        <v>0</v>
      </c>
      <c r="BM320" s="10" t="str">
        <f t="shared" si="90"/>
        <v/>
      </c>
      <c r="BN320" s="52">
        <f t="shared" si="91"/>
        <v>0</v>
      </c>
      <c r="BO320" s="52">
        <f t="shared" si="92"/>
        <v>0</v>
      </c>
      <c r="BP320" s="1">
        <f t="shared" si="93"/>
        <v>0</v>
      </c>
      <c r="BQ320" s="1">
        <f t="shared" si="94"/>
        <v>0</v>
      </c>
      <c r="BR320" s="1" t="str">
        <f t="shared" si="95"/>
        <v/>
      </c>
      <c r="BS320" s="1">
        <f t="shared" si="96"/>
        <v>0</v>
      </c>
      <c r="BT320" s="4">
        <f t="shared" si="97"/>
        <v>0</v>
      </c>
      <c r="BU320" s="52">
        <f t="shared" si="98"/>
        <v>0</v>
      </c>
      <c r="BV320" s="1">
        <f t="shared" si="99"/>
        <v>0</v>
      </c>
      <c r="BW320">
        <f t="shared" si="100"/>
        <v>0</v>
      </c>
      <c r="BX320">
        <f t="shared" si="101"/>
        <v>0</v>
      </c>
    </row>
    <row r="321" spans="58:76" x14ac:dyDescent="0.25">
      <c r="BF321" s="1" t="e">
        <f>VLOOKUP(N321,'Incoming Material Report'!H:M,6,FALSE)</f>
        <v>#N/A</v>
      </c>
      <c r="BG321" s="1" t="e">
        <f>IF(VLOOKUP(N321,'Incoming Material Report'!H:N,7,FALSE)=0,"",VLOOKUP(N321,'Incoming Material Report'!H:N,7,FALSE))</f>
        <v>#N/A</v>
      </c>
      <c r="BH321" s="52">
        <f t="shared" si="85"/>
        <v>0</v>
      </c>
      <c r="BI321" s="1">
        <f t="shared" si="86"/>
        <v>0</v>
      </c>
      <c r="BJ321" s="1">
        <f t="shared" si="87"/>
        <v>0</v>
      </c>
      <c r="BK321" s="1">
        <f t="shared" si="88"/>
        <v>0</v>
      </c>
      <c r="BL321" s="1">
        <f t="shared" si="89"/>
        <v>0</v>
      </c>
      <c r="BM321" s="10" t="str">
        <f t="shared" si="90"/>
        <v/>
      </c>
      <c r="BN321" s="52">
        <f t="shared" si="91"/>
        <v>0</v>
      </c>
      <c r="BO321" s="52">
        <f t="shared" si="92"/>
        <v>0</v>
      </c>
      <c r="BP321" s="1">
        <f t="shared" si="93"/>
        <v>0</v>
      </c>
      <c r="BQ321" s="1">
        <f t="shared" si="94"/>
        <v>0</v>
      </c>
      <c r="BR321" s="1" t="str">
        <f t="shared" si="95"/>
        <v/>
      </c>
      <c r="BS321" s="1">
        <f t="shared" si="96"/>
        <v>0</v>
      </c>
      <c r="BT321" s="4">
        <f t="shared" si="97"/>
        <v>0</v>
      </c>
      <c r="BU321" s="52">
        <f t="shared" si="98"/>
        <v>0</v>
      </c>
      <c r="BV321" s="1">
        <f t="shared" si="99"/>
        <v>0</v>
      </c>
      <c r="BW321">
        <f t="shared" si="100"/>
        <v>0</v>
      </c>
      <c r="BX321">
        <f t="shared" si="101"/>
        <v>0</v>
      </c>
    </row>
    <row r="322" spans="58:76" x14ac:dyDescent="0.25">
      <c r="BF322" s="1" t="e">
        <f>VLOOKUP(N322,'Incoming Material Report'!H:M,6,FALSE)</f>
        <v>#N/A</v>
      </c>
      <c r="BG322" s="1" t="e">
        <f>IF(VLOOKUP(N322,'Incoming Material Report'!H:N,7,FALSE)=0,"",VLOOKUP(N322,'Incoming Material Report'!H:N,7,FALSE))</f>
        <v>#N/A</v>
      </c>
      <c r="BH322" s="52">
        <f t="shared" si="85"/>
        <v>0</v>
      </c>
      <c r="BI322" s="1">
        <f t="shared" si="86"/>
        <v>0</v>
      </c>
      <c r="BJ322" s="1">
        <f t="shared" si="87"/>
        <v>0</v>
      </c>
      <c r="BK322" s="1">
        <f t="shared" si="88"/>
        <v>0</v>
      </c>
      <c r="BL322" s="1">
        <f t="shared" si="89"/>
        <v>0</v>
      </c>
      <c r="BM322" s="10" t="str">
        <f t="shared" si="90"/>
        <v/>
      </c>
      <c r="BN322" s="52">
        <f t="shared" si="91"/>
        <v>0</v>
      </c>
      <c r="BO322" s="52">
        <f t="shared" si="92"/>
        <v>0</v>
      </c>
      <c r="BP322" s="1">
        <f t="shared" si="93"/>
        <v>0</v>
      </c>
      <c r="BQ322" s="1">
        <f t="shared" si="94"/>
        <v>0</v>
      </c>
      <c r="BR322" s="1" t="str">
        <f t="shared" si="95"/>
        <v/>
      </c>
      <c r="BS322" s="1">
        <f t="shared" si="96"/>
        <v>0</v>
      </c>
      <c r="BT322" s="4">
        <f t="shared" si="97"/>
        <v>0</v>
      </c>
      <c r="BU322" s="52">
        <f t="shared" si="98"/>
        <v>0</v>
      </c>
      <c r="BV322" s="1">
        <f t="shared" si="99"/>
        <v>0</v>
      </c>
      <c r="BW322">
        <f t="shared" si="100"/>
        <v>0</v>
      </c>
      <c r="BX322">
        <f t="shared" si="101"/>
        <v>0</v>
      </c>
    </row>
    <row r="323" spans="58:76" x14ac:dyDescent="0.25">
      <c r="BF323" s="1" t="e">
        <f>VLOOKUP(N323,'Incoming Material Report'!H:M,6,FALSE)</f>
        <v>#N/A</v>
      </c>
      <c r="BG323" s="1" t="e">
        <f>IF(VLOOKUP(N323,'Incoming Material Report'!H:N,7,FALSE)=0,"",VLOOKUP(N323,'Incoming Material Report'!H:N,7,FALSE))</f>
        <v>#N/A</v>
      </c>
      <c r="BH323" s="52">
        <f t="shared" si="85"/>
        <v>0</v>
      </c>
      <c r="BI323" s="1">
        <f t="shared" si="86"/>
        <v>0</v>
      </c>
      <c r="BJ323" s="1">
        <f t="shared" si="87"/>
        <v>0</v>
      </c>
      <c r="BK323" s="1">
        <f t="shared" si="88"/>
        <v>0</v>
      </c>
      <c r="BL323" s="1">
        <f t="shared" si="89"/>
        <v>0</v>
      </c>
      <c r="BM323" s="10" t="str">
        <f t="shared" si="90"/>
        <v/>
      </c>
      <c r="BN323" s="52">
        <f t="shared" si="91"/>
        <v>0</v>
      </c>
      <c r="BO323" s="52">
        <f t="shared" si="92"/>
        <v>0</v>
      </c>
      <c r="BP323" s="1">
        <f t="shared" si="93"/>
        <v>0</v>
      </c>
      <c r="BQ323" s="1">
        <f t="shared" si="94"/>
        <v>0</v>
      </c>
      <c r="BR323" s="1" t="str">
        <f t="shared" si="95"/>
        <v/>
      </c>
      <c r="BS323" s="1">
        <f t="shared" si="96"/>
        <v>0</v>
      </c>
      <c r="BT323" s="4">
        <f t="shared" si="97"/>
        <v>0</v>
      </c>
      <c r="BU323" s="52">
        <f t="shared" si="98"/>
        <v>0</v>
      </c>
      <c r="BV323" s="1">
        <f t="shared" si="99"/>
        <v>0</v>
      </c>
      <c r="BW323">
        <f t="shared" si="100"/>
        <v>0</v>
      </c>
      <c r="BX323">
        <f t="shared" si="101"/>
        <v>0</v>
      </c>
    </row>
    <row r="324" spans="58:76" x14ac:dyDescent="0.25">
      <c r="BF324" s="1" t="e">
        <f>VLOOKUP(N324,'Incoming Material Report'!H:M,6,FALSE)</f>
        <v>#N/A</v>
      </c>
      <c r="BG324" s="1" t="e">
        <f>IF(VLOOKUP(N324,'Incoming Material Report'!H:N,7,FALSE)=0,"",VLOOKUP(N324,'Incoming Material Report'!H:N,7,FALSE))</f>
        <v>#N/A</v>
      </c>
      <c r="BH324" s="52">
        <f t="shared" si="85"/>
        <v>0</v>
      </c>
      <c r="BI324" s="1">
        <f t="shared" si="86"/>
        <v>0</v>
      </c>
      <c r="BJ324" s="1">
        <f t="shared" si="87"/>
        <v>0</v>
      </c>
      <c r="BK324" s="1">
        <f t="shared" si="88"/>
        <v>0</v>
      </c>
      <c r="BL324" s="1">
        <f t="shared" si="89"/>
        <v>0</v>
      </c>
      <c r="BM324" s="10" t="str">
        <f t="shared" si="90"/>
        <v/>
      </c>
      <c r="BN324" s="52">
        <f t="shared" si="91"/>
        <v>0</v>
      </c>
      <c r="BO324" s="52">
        <f t="shared" si="92"/>
        <v>0</v>
      </c>
      <c r="BP324" s="1">
        <f t="shared" si="93"/>
        <v>0</v>
      </c>
      <c r="BQ324" s="1">
        <f t="shared" si="94"/>
        <v>0</v>
      </c>
      <c r="BR324" s="1" t="str">
        <f t="shared" si="95"/>
        <v/>
      </c>
      <c r="BS324" s="1">
        <f t="shared" si="96"/>
        <v>0</v>
      </c>
      <c r="BT324" s="4">
        <f t="shared" si="97"/>
        <v>0</v>
      </c>
      <c r="BU324" s="52">
        <f t="shared" si="98"/>
        <v>0</v>
      </c>
      <c r="BV324" s="1">
        <f t="shared" si="99"/>
        <v>0</v>
      </c>
      <c r="BW324">
        <f t="shared" si="100"/>
        <v>0</v>
      </c>
      <c r="BX324">
        <f t="shared" si="101"/>
        <v>0</v>
      </c>
    </row>
    <row r="325" spans="58:76" x14ac:dyDescent="0.25">
      <c r="BF325" s="1" t="e">
        <f>VLOOKUP(N325,'Incoming Material Report'!H:M,6,FALSE)</f>
        <v>#N/A</v>
      </c>
      <c r="BG325" s="1" t="e">
        <f>IF(VLOOKUP(N325,'Incoming Material Report'!H:N,7,FALSE)=0,"",VLOOKUP(N325,'Incoming Material Report'!H:N,7,FALSE))</f>
        <v>#N/A</v>
      </c>
      <c r="BH325" s="52">
        <f t="shared" si="85"/>
        <v>0</v>
      </c>
      <c r="BI325" s="1">
        <f t="shared" si="86"/>
        <v>0</v>
      </c>
      <c r="BJ325" s="1">
        <f t="shared" si="87"/>
        <v>0</v>
      </c>
      <c r="BK325" s="1">
        <f t="shared" si="88"/>
        <v>0</v>
      </c>
      <c r="BL325" s="1">
        <f t="shared" si="89"/>
        <v>0</v>
      </c>
      <c r="BM325" s="10" t="str">
        <f t="shared" si="90"/>
        <v/>
      </c>
      <c r="BN325" s="52">
        <f t="shared" si="91"/>
        <v>0</v>
      </c>
      <c r="BO325" s="52">
        <f t="shared" si="92"/>
        <v>0</v>
      </c>
      <c r="BP325" s="1">
        <f t="shared" si="93"/>
        <v>0</v>
      </c>
      <c r="BQ325" s="1">
        <f t="shared" si="94"/>
        <v>0</v>
      </c>
      <c r="BR325" s="1" t="str">
        <f t="shared" si="95"/>
        <v/>
      </c>
      <c r="BS325" s="1">
        <f t="shared" si="96"/>
        <v>0</v>
      </c>
      <c r="BT325" s="4">
        <f t="shared" si="97"/>
        <v>0</v>
      </c>
      <c r="BU325" s="52">
        <f t="shared" si="98"/>
        <v>0</v>
      </c>
      <c r="BV325" s="1">
        <f t="shared" si="99"/>
        <v>0</v>
      </c>
      <c r="BW325">
        <f t="shared" si="100"/>
        <v>0</v>
      </c>
      <c r="BX325">
        <f t="shared" si="101"/>
        <v>0</v>
      </c>
    </row>
    <row r="326" spans="58:76" x14ac:dyDescent="0.25">
      <c r="BF326" s="1" t="e">
        <f>VLOOKUP(N326,'Incoming Material Report'!H:M,6,FALSE)</f>
        <v>#N/A</v>
      </c>
      <c r="BG326" s="1" t="e">
        <f>IF(VLOOKUP(N326,'Incoming Material Report'!H:N,7,FALSE)=0,"",VLOOKUP(N326,'Incoming Material Report'!H:N,7,FALSE))</f>
        <v>#N/A</v>
      </c>
      <c r="BH326" s="52">
        <f t="shared" si="85"/>
        <v>0</v>
      </c>
      <c r="BI326" s="1">
        <f t="shared" si="86"/>
        <v>0</v>
      </c>
      <c r="BJ326" s="1">
        <f t="shared" si="87"/>
        <v>0</v>
      </c>
      <c r="BK326" s="1">
        <f t="shared" si="88"/>
        <v>0</v>
      </c>
      <c r="BL326" s="1">
        <f t="shared" si="89"/>
        <v>0</v>
      </c>
      <c r="BM326" s="10" t="str">
        <f t="shared" si="90"/>
        <v/>
      </c>
      <c r="BN326" s="52">
        <f t="shared" si="91"/>
        <v>0</v>
      </c>
      <c r="BO326" s="52">
        <f t="shared" si="92"/>
        <v>0</v>
      </c>
      <c r="BP326" s="1">
        <f t="shared" si="93"/>
        <v>0</v>
      </c>
      <c r="BQ326" s="1">
        <f t="shared" si="94"/>
        <v>0</v>
      </c>
      <c r="BR326" s="1" t="str">
        <f t="shared" si="95"/>
        <v/>
      </c>
      <c r="BS326" s="1">
        <f t="shared" si="96"/>
        <v>0</v>
      </c>
      <c r="BT326" s="4">
        <f t="shared" si="97"/>
        <v>0</v>
      </c>
      <c r="BU326" s="52">
        <f t="shared" si="98"/>
        <v>0</v>
      </c>
      <c r="BV326" s="1">
        <f t="shared" si="99"/>
        <v>0</v>
      </c>
      <c r="BW326">
        <f t="shared" si="100"/>
        <v>0</v>
      </c>
      <c r="BX326">
        <f t="shared" si="101"/>
        <v>0</v>
      </c>
    </row>
    <row r="327" spans="58:76" x14ac:dyDescent="0.25">
      <c r="BF327" s="1" t="e">
        <f>VLOOKUP(N327,'Incoming Material Report'!H:M,6,FALSE)</f>
        <v>#N/A</v>
      </c>
      <c r="BG327" s="1" t="e">
        <f>IF(VLOOKUP(N327,'Incoming Material Report'!H:N,7,FALSE)=0,"",VLOOKUP(N327,'Incoming Material Report'!H:N,7,FALSE))</f>
        <v>#N/A</v>
      </c>
      <c r="BH327" s="52">
        <f t="shared" si="85"/>
        <v>0</v>
      </c>
      <c r="BI327" s="1">
        <f t="shared" si="86"/>
        <v>0</v>
      </c>
      <c r="BJ327" s="1">
        <f t="shared" si="87"/>
        <v>0</v>
      </c>
      <c r="BK327" s="1">
        <f t="shared" si="88"/>
        <v>0</v>
      </c>
      <c r="BL327" s="1">
        <f t="shared" si="89"/>
        <v>0</v>
      </c>
      <c r="BM327" s="10" t="str">
        <f t="shared" si="90"/>
        <v/>
      </c>
      <c r="BN327" s="52">
        <f t="shared" si="91"/>
        <v>0</v>
      </c>
      <c r="BO327" s="52">
        <f t="shared" si="92"/>
        <v>0</v>
      </c>
      <c r="BP327" s="1">
        <f t="shared" si="93"/>
        <v>0</v>
      </c>
      <c r="BQ327" s="1">
        <f t="shared" si="94"/>
        <v>0</v>
      </c>
      <c r="BR327" s="1" t="str">
        <f t="shared" si="95"/>
        <v/>
      </c>
      <c r="BS327" s="1">
        <f t="shared" si="96"/>
        <v>0</v>
      </c>
      <c r="BT327" s="4">
        <f t="shared" si="97"/>
        <v>0</v>
      </c>
      <c r="BU327" s="52">
        <f t="shared" si="98"/>
        <v>0</v>
      </c>
      <c r="BV327" s="1">
        <f t="shared" si="99"/>
        <v>0</v>
      </c>
      <c r="BW327">
        <f t="shared" si="100"/>
        <v>0</v>
      </c>
      <c r="BX327">
        <f t="shared" si="101"/>
        <v>0</v>
      </c>
    </row>
    <row r="328" spans="58:76" x14ac:dyDescent="0.25">
      <c r="BF328" s="1" t="e">
        <f>VLOOKUP(N328,'Incoming Material Report'!H:M,6,FALSE)</f>
        <v>#N/A</v>
      </c>
      <c r="BG328" s="1" t="e">
        <f>IF(VLOOKUP(N328,'Incoming Material Report'!H:N,7,FALSE)=0,"",VLOOKUP(N328,'Incoming Material Report'!H:N,7,FALSE))</f>
        <v>#N/A</v>
      </c>
      <c r="BH328" s="52">
        <f t="shared" si="85"/>
        <v>0</v>
      </c>
      <c r="BI328" s="1">
        <f t="shared" si="86"/>
        <v>0</v>
      </c>
      <c r="BJ328" s="1">
        <f t="shared" si="87"/>
        <v>0</v>
      </c>
      <c r="BK328" s="1">
        <f t="shared" si="88"/>
        <v>0</v>
      </c>
      <c r="BL328" s="1">
        <f t="shared" si="89"/>
        <v>0</v>
      </c>
      <c r="BM328" s="10" t="str">
        <f t="shared" si="90"/>
        <v/>
      </c>
      <c r="BN328" s="52">
        <f t="shared" si="91"/>
        <v>0</v>
      </c>
      <c r="BO328" s="52">
        <f t="shared" si="92"/>
        <v>0</v>
      </c>
      <c r="BP328" s="1">
        <f t="shared" si="93"/>
        <v>0</v>
      </c>
      <c r="BQ328" s="1">
        <f t="shared" si="94"/>
        <v>0</v>
      </c>
      <c r="BR328" s="1" t="str">
        <f t="shared" si="95"/>
        <v/>
      </c>
      <c r="BS328" s="1">
        <f t="shared" si="96"/>
        <v>0</v>
      </c>
      <c r="BT328" s="4">
        <f t="shared" si="97"/>
        <v>0</v>
      </c>
      <c r="BU328" s="52">
        <f t="shared" si="98"/>
        <v>0</v>
      </c>
      <c r="BV328" s="1">
        <f t="shared" si="99"/>
        <v>0</v>
      </c>
      <c r="BW328">
        <f t="shared" si="100"/>
        <v>0</v>
      </c>
      <c r="BX328">
        <f t="shared" si="101"/>
        <v>0</v>
      </c>
    </row>
    <row r="329" spans="58:76" x14ac:dyDescent="0.25">
      <c r="BF329" s="1" t="e">
        <f>VLOOKUP(N329,'Incoming Material Report'!H:M,6,FALSE)</f>
        <v>#N/A</v>
      </c>
      <c r="BG329" s="1" t="e">
        <f>IF(VLOOKUP(N329,'Incoming Material Report'!H:N,7,FALSE)=0,"",VLOOKUP(N329,'Incoming Material Report'!H:N,7,FALSE))</f>
        <v>#N/A</v>
      </c>
      <c r="BH329" s="52">
        <f t="shared" si="85"/>
        <v>0</v>
      </c>
      <c r="BI329" s="1">
        <f t="shared" si="86"/>
        <v>0</v>
      </c>
      <c r="BJ329" s="1">
        <f t="shared" si="87"/>
        <v>0</v>
      </c>
      <c r="BK329" s="1">
        <f t="shared" si="88"/>
        <v>0</v>
      </c>
      <c r="BL329" s="1">
        <f t="shared" si="89"/>
        <v>0</v>
      </c>
      <c r="BM329" s="10" t="str">
        <f t="shared" si="90"/>
        <v/>
      </c>
      <c r="BN329" s="52">
        <f t="shared" si="91"/>
        <v>0</v>
      </c>
      <c r="BO329" s="52">
        <f t="shared" si="92"/>
        <v>0</v>
      </c>
      <c r="BP329" s="1">
        <f t="shared" si="93"/>
        <v>0</v>
      </c>
      <c r="BQ329" s="1">
        <f t="shared" si="94"/>
        <v>0</v>
      </c>
      <c r="BR329" s="1" t="str">
        <f t="shared" si="95"/>
        <v/>
      </c>
      <c r="BS329" s="1">
        <f t="shared" si="96"/>
        <v>0</v>
      </c>
      <c r="BT329" s="4">
        <f t="shared" si="97"/>
        <v>0</v>
      </c>
      <c r="BU329" s="52">
        <f t="shared" si="98"/>
        <v>0</v>
      </c>
      <c r="BV329" s="1">
        <f t="shared" si="99"/>
        <v>0</v>
      </c>
      <c r="BW329">
        <f t="shared" si="100"/>
        <v>0</v>
      </c>
      <c r="BX329">
        <f t="shared" si="101"/>
        <v>0</v>
      </c>
    </row>
    <row r="330" spans="58:76" x14ac:dyDescent="0.25">
      <c r="BF330" s="1" t="e">
        <f>VLOOKUP(N330,'Incoming Material Report'!H:M,6,FALSE)</f>
        <v>#N/A</v>
      </c>
      <c r="BG330" s="1" t="e">
        <f>IF(VLOOKUP(N330,'Incoming Material Report'!H:N,7,FALSE)=0,"",VLOOKUP(N330,'Incoming Material Report'!H:N,7,FALSE))</f>
        <v>#N/A</v>
      </c>
      <c r="BH330" s="52">
        <f t="shared" si="85"/>
        <v>0</v>
      </c>
      <c r="BI330" s="1">
        <f t="shared" si="86"/>
        <v>0</v>
      </c>
      <c r="BJ330" s="1">
        <f t="shared" si="87"/>
        <v>0</v>
      </c>
      <c r="BK330" s="1">
        <f t="shared" si="88"/>
        <v>0</v>
      </c>
      <c r="BL330" s="1">
        <f t="shared" si="89"/>
        <v>0</v>
      </c>
      <c r="BM330" s="10" t="str">
        <f t="shared" si="90"/>
        <v/>
      </c>
      <c r="BN330" s="52">
        <f t="shared" si="91"/>
        <v>0</v>
      </c>
      <c r="BO330" s="52">
        <f t="shared" si="92"/>
        <v>0</v>
      </c>
      <c r="BP330" s="1">
        <f t="shared" si="93"/>
        <v>0</v>
      </c>
      <c r="BQ330" s="1">
        <f t="shared" si="94"/>
        <v>0</v>
      </c>
      <c r="BR330" s="1" t="str">
        <f t="shared" si="95"/>
        <v/>
      </c>
      <c r="BS330" s="1">
        <f t="shared" si="96"/>
        <v>0</v>
      </c>
      <c r="BT330" s="4">
        <f t="shared" si="97"/>
        <v>0</v>
      </c>
      <c r="BU330" s="52">
        <f t="shared" si="98"/>
        <v>0</v>
      </c>
      <c r="BV330" s="1">
        <f t="shared" si="99"/>
        <v>0</v>
      </c>
      <c r="BW330">
        <f t="shared" si="100"/>
        <v>0</v>
      </c>
      <c r="BX330">
        <f t="shared" si="101"/>
        <v>0</v>
      </c>
    </row>
    <row r="331" spans="58:76" x14ac:dyDescent="0.25">
      <c r="BF331" s="1" t="e">
        <f>VLOOKUP(N331,'Incoming Material Report'!H:M,6,FALSE)</f>
        <v>#N/A</v>
      </c>
      <c r="BG331" s="1" t="e">
        <f>IF(VLOOKUP(N331,'Incoming Material Report'!H:N,7,FALSE)=0,"",VLOOKUP(N331,'Incoming Material Report'!H:N,7,FALSE))</f>
        <v>#N/A</v>
      </c>
      <c r="BH331" s="52">
        <f t="shared" si="85"/>
        <v>0</v>
      </c>
      <c r="BI331" s="1">
        <f t="shared" si="86"/>
        <v>0</v>
      </c>
      <c r="BJ331" s="1">
        <f t="shared" si="87"/>
        <v>0</v>
      </c>
      <c r="BK331" s="1">
        <f t="shared" si="88"/>
        <v>0</v>
      </c>
      <c r="BL331" s="1">
        <f t="shared" si="89"/>
        <v>0</v>
      </c>
      <c r="BM331" s="10" t="str">
        <f t="shared" si="90"/>
        <v/>
      </c>
      <c r="BN331" s="52">
        <f t="shared" si="91"/>
        <v>0</v>
      </c>
      <c r="BO331" s="52">
        <f t="shared" si="92"/>
        <v>0</v>
      </c>
      <c r="BP331" s="1">
        <f t="shared" si="93"/>
        <v>0</v>
      </c>
      <c r="BQ331" s="1">
        <f t="shared" si="94"/>
        <v>0</v>
      </c>
      <c r="BR331" s="1" t="str">
        <f t="shared" si="95"/>
        <v/>
      </c>
      <c r="BS331" s="1">
        <f t="shared" si="96"/>
        <v>0</v>
      </c>
      <c r="BT331" s="4">
        <f t="shared" si="97"/>
        <v>0</v>
      </c>
      <c r="BU331" s="52">
        <f t="shared" si="98"/>
        <v>0</v>
      </c>
      <c r="BV331" s="1">
        <f t="shared" si="99"/>
        <v>0</v>
      </c>
      <c r="BW331">
        <f t="shared" si="100"/>
        <v>0</v>
      </c>
      <c r="BX331">
        <f t="shared" si="101"/>
        <v>0</v>
      </c>
    </row>
    <row r="332" spans="58:76" x14ac:dyDescent="0.25">
      <c r="BF332" s="1" t="e">
        <f>VLOOKUP(N332,'Incoming Material Report'!H:M,6,FALSE)</f>
        <v>#N/A</v>
      </c>
      <c r="BG332" s="1" t="e">
        <f>IF(VLOOKUP(N332,'Incoming Material Report'!H:N,7,FALSE)=0,"",VLOOKUP(N332,'Incoming Material Report'!H:N,7,FALSE))</f>
        <v>#N/A</v>
      </c>
      <c r="BH332" s="52">
        <f t="shared" si="85"/>
        <v>0</v>
      </c>
      <c r="BI332" s="1">
        <f t="shared" si="86"/>
        <v>0</v>
      </c>
      <c r="BJ332" s="1">
        <f t="shared" si="87"/>
        <v>0</v>
      </c>
      <c r="BK332" s="1">
        <f t="shared" si="88"/>
        <v>0</v>
      </c>
      <c r="BL332" s="1">
        <f t="shared" si="89"/>
        <v>0</v>
      </c>
      <c r="BM332" s="10" t="str">
        <f t="shared" si="90"/>
        <v/>
      </c>
      <c r="BN332" s="52">
        <f t="shared" si="91"/>
        <v>0</v>
      </c>
      <c r="BO332" s="52">
        <f t="shared" si="92"/>
        <v>0</v>
      </c>
      <c r="BP332" s="1">
        <f t="shared" si="93"/>
        <v>0</v>
      </c>
      <c r="BQ332" s="1">
        <f t="shared" si="94"/>
        <v>0</v>
      </c>
      <c r="BR332" s="1" t="str">
        <f t="shared" si="95"/>
        <v/>
      </c>
      <c r="BS332" s="1">
        <f t="shared" si="96"/>
        <v>0</v>
      </c>
      <c r="BT332" s="4">
        <f t="shared" si="97"/>
        <v>0</v>
      </c>
      <c r="BU332" s="52">
        <f t="shared" si="98"/>
        <v>0</v>
      </c>
      <c r="BV332" s="1">
        <f t="shared" si="99"/>
        <v>0</v>
      </c>
      <c r="BW332">
        <f t="shared" si="100"/>
        <v>0</v>
      </c>
      <c r="BX332">
        <f t="shared" si="101"/>
        <v>0</v>
      </c>
    </row>
    <row r="333" spans="58:76" x14ac:dyDescent="0.25">
      <c r="BF333" s="1" t="e">
        <f>VLOOKUP(N333,'Incoming Material Report'!H:M,6,FALSE)</f>
        <v>#N/A</v>
      </c>
      <c r="BG333" s="1" t="e">
        <f>IF(VLOOKUP(N333,'Incoming Material Report'!H:N,7,FALSE)=0,"",VLOOKUP(N333,'Incoming Material Report'!H:N,7,FALSE))</f>
        <v>#N/A</v>
      </c>
      <c r="BH333" s="52">
        <f t="shared" si="85"/>
        <v>0</v>
      </c>
      <c r="BI333" s="1">
        <f t="shared" si="86"/>
        <v>0</v>
      </c>
      <c r="BJ333" s="1">
        <f t="shared" si="87"/>
        <v>0</v>
      </c>
      <c r="BK333" s="1">
        <f t="shared" si="88"/>
        <v>0</v>
      </c>
      <c r="BL333" s="1">
        <f t="shared" si="89"/>
        <v>0</v>
      </c>
      <c r="BM333" s="10" t="str">
        <f t="shared" si="90"/>
        <v/>
      </c>
      <c r="BN333" s="52">
        <f t="shared" si="91"/>
        <v>0</v>
      </c>
      <c r="BO333" s="52">
        <f t="shared" si="92"/>
        <v>0</v>
      </c>
      <c r="BP333" s="1">
        <f t="shared" si="93"/>
        <v>0</v>
      </c>
      <c r="BQ333" s="1">
        <f t="shared" si="94"/>
        <v>0</v>
      </c>
      <c r="BR333" s="1" t="str">
        <f t="shared" si="95"/>
        <v/>
      </c>
      <c r="BS333" s="1">
        <f t="shared" si="96"/>
        <v>0</v>
      </c>
      <c r="BT333" s="4">
        <f t="shared" si="97"/>
        <v>0</v>
      </c>
      <c r="BU333" s="52">
        <f t="shared" si="98"/>
        <v>0</v>
      </c>
      <c r="BV333" s="1">
        <f t="shared" si="99"/>
        <v>0</v>
      </c>
      <c r="BW333">
        <f t="shared" si="100"/>
        <v>0</v>
      </c>
      <c r="BX333">
        <f t="shared" si="101"/>
        <v>0</v>
      </c>
    </row>
    <row r="334" spans="58:76" x14ac:dyDescent="0.25">
      <c r="BF334" s="1" t="e">
        <f>VLOOKUP(N334,'Incoming Material Report'!H:M,6,FALSE)</f>
        <v>#N/A</v>
      </c>
      <c r="BG334" s="1" t="e">
        <f>IF(VLOOKUP(N334,'Incoming Material Report'!H:N,7,FALSE)=0,"",VLOOKUP(N334,'Incoming Material Report'!H:N,7,FALSE))</f>
        <v>#N/A</v>
      </c>
      <c r="BH334" s="52">
        <f t="shared" si="85"/>
        <v>0</v>
      </c>
      <c r="BI334" s="1">
        <f t="shared" si="86"/>
        <v>0</v>
      </c>
      <c r="BJ334" s="1">
        <f t="shared" si="87"/>
        <v>0</v>
      </c>
      <c r="BK334" s="1">
        <f t="shared" si="88"/>
        <v>0</v>
      </c>
      <c r="BL334" s="1">
        <f t="shared" si="89"/>
        <v>0</v>
      </c>
      <c r="BM334" s="10" t="str">
        <f t="shared" si="90"/>
        <v/>
      </c>
      <c r="BN334" s="52">
        <f t="shared" si="91"/>
        <v>0</v>
      </c>
      <c r="BO334" s="52">
        <f t="shared" si="92"/>
        <v>0</v>
      </c>
      <c r="BP334" s="1">
        <f t="shared" si="93"/>
        <v>0</v>
      </c>
      <c r="BQ334" s="1">
        <f t="shared" si="94"/>
        <v>0</v>
      </c>
      <c r="BR334" s="1" t="str">
        <f t="shared" si="95"/>
        <v/>
      </c>
      <c r="BS334" s="1">
        <f t="shared" si="96"/>
        <v>0</v>
      </c>
      <c r="BT334" s="4">
        <f t="shared" si="97"/>
        <v>0</v>
      </c>
      <c r="BU334" s="52">
        <f t="shared" si="98"/>
        <v>0</v>
      </c>
      <c r="BV334" s="1">
        <f t="shared" si="99"/>
        <v>0</v>
      </c>
      <c r="BW334">
        <f t="shared" si="100"/>
        <v>0</v>
      </c>
      <c r="BX334">
        <f t="shared" si="101"/>
        <v>0</v>
      </c>
    </row>
    <row r="335" spans="58:76" x14ac:dyDescent="0.25">
      <c r="BF335" s="1" t="e">
        <f>VLOOKUP(N335,'Incoming Material Report'!H:M,6,FALSE)</f>
        <v>#N/A</v>
      </c>
      <c r="BG335" s="1" t="e">
        <f>IF(VLOOKUP(N335,'Incoming Material Report'!H:N,7,FALSE)=0,"",VLOOKUP(N335,'Incoming Material Report'!H:N,7,FALSE))</f>
        <v>#N/A</v>
      </c>
      <c r="BH335" s="52">
        <f t="shared" si="85"/>
        <v>0</v>
      </c>
      <c r="BI335" s="1">
        <f t="shared" si="86"/>
        <v>0</v>
      </c>
      <c r="BJ335" s="1">
        <f t="shared" si="87"/>
        <v>0</v>
      </c>
      <c r="BK335" s="1">
        <f t="shared" si="88"/>
        <v>0</v>
      </c>
      <c r="BL335" s="1">
        <f t="shared" si="89"/>
        <v>0</v>
      </c>
      <c r="BM335" s="10" t="str">
        <f t="shared" si="90"/>
        <v/>
      </c>
      <c r="BN335" s="52">
        <f t="shared" si="91"/>
        <v>0</v>
      </c>
      <c r="BO335" s="52">
        <f t="shared" si="92"/>
        <v>0</v>
      </c>
      <c r="BP335" s="1">
        <f t="shared" si="93"/>
        <v>0</v>
      </c>
      <c r="BQ335" s="1">
        <f t="shared" si="94"/>
        <v>0</v>
      </c>
      <c r="BR335" s="1" t="str">
        <f t="shared" si="95"/>
        <v/>
      </c>
      <c r="BS335" s="1">
        <f t="shared" si="96"/>
        <v>0</v>
      </c>
      <c r="BT335" s="4">
        <f t="shared" si="97"/>
        <v>0</v>
      </c>
      <c r="BU335" s="52">
        <f t="shared" si="98"/>
        <v>0</v>
      </c>
      <c r="BV335" s="1">
        <f t="shared" si="99"/>
        <v>0</v>
      </c>
      <c r="BW335">
        <f t="shared" si="100"/>
        <v>0</v>
      </c>
      <c r="BX335">
        <f t="shared" si="101"/>
        <v>0</v>
      </c>
    </row>
    <row r="336" spans="58:76" x14ac:dyDescent="0.25">
      <c r="BF336" s="1" t="e">
        <f>VLOOKUP(N336,'Incoming Material Report'!H:M,6,FALSE)</f>
        <v>#N/A</v>
      </c>
      <c r="BG336" s="1" t="e">
        <f>IF(VLOOKUP(N336,'Incoming Material Report'!H:N,7,FALSE)=0,"",VLOOKUP(N336,'Incoming Material Report'!H:N,7,FALSE))</f>
        <v>#N/A</v>
      </c>
      <c r="BH336" s="52">
        <f t="shared" si="85"/>
        <v>0</v>
      </c>
      <c r="BI336" s="1">
        <f t="shared" si="86"/>
        <v>0</v>
      </c>
      <c r="BJ336" s="1">
        <f t="shared" si="87"/>
        <v>0</v>
      </c>
      <c r="BK336" s="1">
        <f t="shared" si="88"/>
        <v>0</v>
      </c>
      <c r="BL336" s="1">
        <f t="shared" si="89"/>
        <v>0</v>
      </c>
      <c r="BM336" s="10" t="str">
        <f t="shared" si="90"/>
        <v/>
      </c>
      <c r="BN336" s="52">
        <f t="shared" si="91"/>
        <v>0</v>
      </c>
      <c r="BO336" s="52">
        <f t="shared" si="92"/>
        <v>0</v>
      </c>
      <c r="BP336" s="1">
        <f t="shared" si="93"/>
        <v>0</v>
      </c>
      <c r="BQ336" s="1">
        <f t="shared" si="94"/>
        <v>0</v>
      </c>
      <c r="BR336" s="1" t="str">
        <f t="shared" si="95"/>
        <v/>
      </c>
      <c r="BS336" s="1">
        <f t="shared" si="96"/>
        <v>0</v>
      </c>
      <c r="BT336" s="4">
        <f t="shared" si="97"/>
        <v>0</v>
      </c>
      <c r="BU336" s="52">
        <f t="shared" si="98"/>
        <v>0</v>
      </c>
      <c r="BV336" s="1">
        <f t="shared" si="99"/>
        <v>0</v>
      </c>
      <c r="BW336">
        <f t="shared" si="100"/>
        <v>0</v>
      </c>
      <c r="BX336">
        <f t="shared" si="101"/>
        <v>0</v>
      </c>
    </row>
    <row r="337" spans="58:76" x14ac:dyDescent="0.25">
      <c r="BF337" s="1" t="e">
        <f>VLOOKUP(N337,'Incoming Material Report'!H:M,6,FALSE)</f>
        <v>#N/A</v>
      </c>
      <c r="BG337" s="1" t="e">
        <f>IF(VLOOKUP(N337,'Incoming Material Report'!H:N,7,FALSE)=0,"",VLOOKUP(N337,'Incoming Material Report'!H:N,7,FALSE))</f>
        <v>#N/A</v>
      </c>
      <c r="BH337" s="52">
        <f t="shared" si="85"/>
        <v>0</v>
      </c>
      <c r="BI337" s="1">
        <f t="shared" si="86"/>
        <v>0</v>
      </c>
      <c r="BJ337" s="1">
        <f t="shared" si="87"/>
        <v>0</v>
      </c>
      <c r="BK337" s="1">
        <f t="shared" si="88"/>
        <v>0</v>
      </c>
      <c r="BL337" s="1">
        <f t="shared" si="89"/>
        <v>0</v>
      </c>
      <c r="BM337" s="10" t="str">
        <f t="shared" si="90"/>
        <v/>
      </c>
      <c r="BN337" s="52">
        <f t="shared" si="91"/>
        <v>0</v>
      </c>
      <c r="BO337" s="52">
        <f t="shared" si="92"/>
        <v>0</v>
      </c>
      <c r="BP337" s="1">
        <f t="shared" si="93"/>
        <v>0</v>
      </c>
      <c r="BQ337" s="1">
        <f t="shared" si="94"/>
        <v>0</v>
      </c>
      <c r="BR337" s="1" t="str">
        <f t="shared" si="95"/>
        <v/>
      </c>
      <c r="BS337" s="1">
        <f t="shared" si="96"/>
        <v>0</v>
      </c>
      <c r="BT337" s="4">
        <f t="shared" si="97"/>
        <v>0</v>
      </c>
      <c r="BU337" s="52">
        <f t="shared" si="98"/>
        <v>0</v>
      </c>
      <c r="BV337" s="1">
        <f t="shared" si="99"/>
        <v>0</v>
      </c>
      <c r="BW337">
        <f t="shared" si="100"/>
        <v>0</v>
      </c>
      <c r="BX337">
        <f t="shared" si="101"/>
        <v>0</v>
      </c>
    </row>
    <row r="338" spans="58:76" x14ac:dyDescent="0.25">
      <c r="BF338" s="1" t="e">
        <f>VLOOKUP(N338,'Incoming Material Report'!H:M,6,FALSE)</f>
        <v>#N/A</v>
      </c>
      <c r="BG338" s="1" t="e">
        <f>IF(VLOOKUP(N338,'Incoming Material Report'!H:N,7,FALSE)=0,"",VLOOKUP(N338,'Incoming Material Report'!H:N,7,FALSE))</f>
        <v>#N/A</v>
      </c>
      <c r="BH338" s="52">
        <f t="shared" si="85"/>
        <v>0</v>
      </c>
      <c r="BI338" s="1">
        <f t="shared" si="86"/>
        <v>0</v>
      </c>
      <c r="BJ338" s="1">
        <f t="shared" si="87"/>
        <v>0</v>
      </c>
      <c r="BK338" s="1">
        <f t="shared" si="88"/>
        <v>0</v>
      </c>
      <c r="BL338" s="1">
        <f t="shared" si="89"/>
        <v>0</v>
      </c>
      <c r="BM338" s="10" t="str">
        <f t="shared" si="90"/>
        <v/>
      </c>
      <c r="BN338" s="52">
        <f t="shared" si="91"/>
        <v>0</v>
      </c>
      <c r="BO338" s="52">
        <f t="shared" si="92"/>
        <v>0</v>
      </c>
      <c r="BP338" s="1">
        <f t="shared" si="93"/>
        <v>0</v>
      </c>
      <c r="BQ338" s="1">
        <f t="shared" si="94"/>
        <v>0</v>
      </c>
      <c r="BR338" s="1" t="str">
        <f t="shared" si="95"/>
        <v/>
      </c>
      <c r="BS338" s="1">
        <f t="shared" si="96"/>
        <v>0</v>
      </c>
      <c r="BT338" s="4">
        <f t="shared" si="97"/>
        <v>0</v>
      </c>
      <c r="BU338" s="52">
        <f t="shared" si="98"/>
        <v>0</v>
      </c>
      <c r="BV338" s="1">
        <f t="shared" si="99"/>
        <v>0</v>
      </c>
      <c r="BW338">
        <f t="shared" si="100"/>
        <v>0</v>
      </c>
      <c r="BX338">
        <f t="shared" si="101"/>
        <v>0</v>
      </c>
    </row>
    <row r="339" spans="58:76" x14ac:dyDescent="0.25">
      <c r="BF339" s="1" t="e">
        <f>VLOOKUP(N339,'Incoming Material Report'!H:M,6,FALSE)</f>
        <v>#N/A</v>
      </c>
      <c r="BG339" s="1" t="e">
        <f>IF(VLOOKUP(N339,'Incoming Material Report'!H:N,7,FALSE)=0,"",VLOOKUP(N339,'Incoming Material Report'!H:N,7,FALSE))</f>
        <v>#N/A</v>
      </c>
      <c r="BH339" s="52">
        <f t="shared" si="85"/>
        <v>0</v>
      </c>
      <c r="BI339" s="1">
        <f t="shared" si="86"/>
        <v>0</v>
      </c>
      <c r="BJ339" s="1">
        <f t="shared" si="87"/>
        <v>0</v>
      </c>
      <c r="BK339" s="1">
        <f t="shared" si="88"/>
        <v>0</v>
      </c>
      <c r="BL339" s="1">
        <f t="shared" si="89"/>
        <v>0</v>
      </c>
      <c r="BM339" s="10" t="str">
        <f t="shared" si="90"/>
        <v/>
      </c>
      <c r="BN339" s="52">
        <f t="shared" si="91"/>
        <v>0</v>
      </c>
      <c r="BO339" s="52">
        <f t="shared" si="92"/>
        <v>0</v>
      </c>
      <c r="BP339" s="1">
        <f t="shared" si="93"/>
        <v>0</v>
      </c>
      <c r="BQ339" s="1">
        <f t="shared" si="94"/>
        <v>0</v>
      </c>
      <c r="BR339" s="1" t="str">
        <f t="shared" si="95"/>
        <v/>
      </c>
      <c r="BS339" s="1">
        <f t="shared" si="96"/>
        <v>0</v>
      </c>
      <c r="BT339" s="4">
        <f t="shared" si="97"/>
        <v>0</v>
      </c>
      <c r="BU339" s="52">
        <f t="shared" si="98"/>
        <v>0</v>
      </c>
      <c r="BV339" s="1">
        <f t="shared" si="99"/>
        <v>0</v>
      </c>
      <c r="BW339">
        <f t="shared" si="100"/>
        <v>0</v>
      </c>
      <c r="BX339">
        <f t="shared" si="101"/>
        <v>0</v>
      </c>
    </row>
    <row r="340" spans="58:76" x14ac:dyDescent="0.25">
      <c r="BF340" s="1" t="e">
        <f>VLOOKUP(N340,'Incoming Material Report'!H:M,6,FALSE)</f>
        <v>#N/A</v>
      </c>
      <c r="BG340" s="1" t="e">
        <f>IF(VLOOKUP(N340,'Incoming Material Report'!H:N,7,FALSE)=0,"",VLOOKUP(N340,'Incoming Material Report'!H:N,7,FALSE))</f>
        <v>#N/A</v>
      </c>
      <c r="BH340" s="52">
        <f t="shared" si="85"/>
        <v>0</v>
      </c>
      <c r="BI340" s="1">
        <f t="shared" si="86"/>
        <v>0</v>
      </c>
      <c r="BJ340" s="1">
        <f t="shared" si="87"/>
        <v>0</v>
      </c>
      <c r="BK340" s="1">
        <f t="shared" si="88"/>
        <v>0</v>
      </c>
      <c r="BL340" s="1">
        <f t="shared" si="89"/>
        <v>0</v>
      </c>
      <c r="BM340" s="10" t="str">
        <f t="shared" si="90"/>
        <v/>
      </c>
      <c r="BN340" s="52">
        <f t="shared" si="91"/>
        <v>0</v>
      </c>
      <c r="BO340" s="52">
        <f t="shared" si="92"/>
        <v>0</v>
      </c>
      <c r="BP340" s="1">
        <f t="shared" si="93"/>
        <v>0</v>
      </c>
      <c r="BQ340" s="1">
        <f t="shared" si="94"/>
        <v>0</v>
      </c>
      <c r="BR340" s="1" t="str">
        <f t="shared" si="95"/>
        <v/>
      </c>
      <c r="BS340" s="1">
        <f t="shared" si="96"/>
        <v>0</v>
      </c>
      <c r="BT340" s="4">
        <f t="shared" si="97"/>
        <v>0</v>
      </c>
      <c r="BU340" s="52">
        <f t="shared" si="98"/>
        <v>0</v>
      </c>
      <c r="BV340" s="1">
        <f t="shared" si="99"/>
        <v>0</v>
      </c>
      <c r="BW340">
        <f t="shared" si="100"/>
        <v>0</v>
      </c>
      <c r="BX340">
        <f t="shared" si="101"/>
        <v>0</v>
      </c>
    </row>
    <row r="341" spans="58:76" x14ac:dyDescent="0.25">
      <c r="BF341" s="1" t="e">
        <f>VLOOKUP(N341,'Incoming Material Report'!H:M,6,FALSE)</f>
        <v>#N/A</v>
      </c>
      <c r="BG341" s="1" t="e">
        <f>IF(VLOOKUP(N341,'Incoming Material Report'!H:N,7,FALSE)=0,"",VLOOKUP(N341,'Incoming Material Report'!H:N,7,FALSE))</f>
        <v>#N/A</v>
      </c>
      <c r="BH341" s="52">
        <f t="shared" si="85"/>
        <v>0</v>
      </c>
      <c r="BI341" s="1">
        <f t="shared" si="86"/>
        <v>0</v>
      </c>
      <c r="BJ341" s="1">
        <f t="shared" si="87"/>
        <v>0</v>
      </c>
      <c r="BK341" s="1">
        <f t="shared" si="88"/>
        <v>0</v>
      </c>
      <c r="BL341" s="1">
        <f t="shared" si="89"/>
        <v>0</v>
      </c>
      <c r="BM341" s="10" t="str">
        <f t="shared" si="90"/>
        <v/>
      </c>
      <c r="BN341" s="52">
        <f t="shared" si="91"/>
        <v>0</v>
      </c>
      <c r="BO341" s="52">
        <f t="shared" si="92"/>
        <v>0</v>
      </c>
      <c r="BP341" s="1">
        <f t="shared" si="93"/>
        <v>0</v>
      </c>
      <c r="BQ341" s="1">
        <f t="shared" si="94"/>
        <v>0</v>
      </c>
      <c r="BR341" s="1" t="str">
        <f t="shared" si="95"/>
        <v/>
      </c>
      <c r="BS341" s="1">
        <f t="shared" si="96"/>
        <v>0</v>
      </c>
      <c r="BT341" s="4">
        <f t="shared" si="97"/>
        <v>0</v>
      </c>
      <c r="BU341" s="52">
        <f t="shared" si="98"/>
        <v>0</v>
      </c>
      <c r="BV341" s="1">
        <f t="shared" si="99"/>
        <v>0</v>
      </c>
      <c r="BW341">
        <f t="shared" si="100"/>
        <v>0</v>
      </c>
      <c r="BX341">
        <f t="shared" si="101"/>
        <v>0</v>
      </c>
    </row>
    <row r="342" spans="58:76" x14ac:dyDescent="0.25">
      <c r="BF342" s="1" t="e">
        <f>VLOOKUP(N342,'Incoming Material Report'!H:M,6,FALSE)</f>
        <v>#N/A</v>
      </c>
      <c r="BG342" s="1" t="e">
        <f>IF(VLOOKUP(N342,'Incoming Material Report'!H:N,7,FALSE)=0,"",VLOOKUP(N342,'Incoming Material Report'!H:N,7,FALSE))</f>
        <v>#N/A</v>
      </c>
      <c r="BH342" s="52">
        <f t="shared" si="85"/>
        <v>0</v>
      </c>
      <c r="BI342" s="1">
        <f t="shared" si="86"/>
        <v>0</v>
      </c>
      <c r="BJ342" s="1">
        <f t="shared" si="87"/>
        <v>0</v>
      </c>
      <c r="BK342" s="1">
        <f t="shared" si="88"/>
        <v>0</v>
      </c>
      <c r="BL342" s="1">
        <f t="shared" si="89"/>
        <v>0</v>
      </c>
      <c r="BM342" s="10" t="str">
        <f t="shared" si="90"/>
        <v/>
      </c>
      <c r="BN342" s="52">
        <f t="shared" si="91"/>
        <v>0</v>
      </c>
      <c r="BO342" s="52">
        <f t="shared" si="92"/>
        <v>0</v>
      </c>
      <c r="BP342" s="1">
        <f t="shared" si="93"/>
        <v>0</v>
      </c>
      <c r="BQ342" s="1">
        <f t="shared" si="94"/>
        <v>0</v>
      </c>
      <c r="BR342" s="1" t="str">
        <f t="shared" si="95"/>
        <v/>
      </c>
      <c r="BS342" s="1">
        <f t="shared" si="96"/>
        <v>0</v>
      </c>
      <c r="BT342" s="4">
        <f t="shared" si="97"/>
        <v>0</v>
      </c>
      <c r="BU342" s="52">
        <f t="shared" si="98"/>
        <v>0</v>
      </c>
      <c r="BV342" s="1">
        <f t="shared" si="99"/>
        <v>0</v>
      </c>
      <c r="BW342">
        <f t="shared" si="100"/>
        <v>0</v>
      </c>
      <c r="BX342">
        <f t="shared" si="101"/>
        <v>0</v>
      </c>
    </row>
    <row r="343" spans="58:76" x14ac:dyDescent="0.25">
      <c r="BF343" s="1" t="e">
        <f>VLOOKUP(N343,'Incoming Material Report'!H:M,6,FALSE)</f>
        <v>#N/A</v>
      </c>
      <c r="BG343" s="1" t="e">
        <f>IF(VLOOKUP(N343,'Incoming Material Report'!H:N,7,FALSE)=0,"",VLOOKUP(N343,'Incoming Material Report'!H:N,7,FALSE))</f>
        <v>#N/A</v>
      </c>
      <c r="BH343" s="52">
        <f t="shared" si="85"/>
        <v>0</v>
      </c>
      <c r="BI343" s="1">
        <f t="shared" si="86"/>
        <v>0</v>
      </c>
      <c r="BJ343" s="1">
        <f t="shared" si="87"/>
        <v>0</v>
      </c>
      <c r="BK343" s="1">
        <f t="shared" si="88"/>
        <v>0</v>
      </c>
      <c r="BL343" s="1">
        <f t="shared" si="89"/>
        <v>0</v>
      </c>
      <c r="BM343" s="10" t="str">
        <f t="shared" si="90"/>
        <v/>
      </c>
      <c r="BN343" s="52">
        <f t="shared" si="91"/>
        <v>0</v>
      </c>
      <c r="BO343" s="52">
        <f t="shared" si="92"/>
        <v>0</v>
      </c>
      <c r="BP343" s="1">
        <f t="shared" si="93"/>
        <v>0</v>
      </c>
      <c r="BQ343" s="1">
        <f t="shared" si="94"/>
        <v>0</v>
      </c>
      <c r="BR343" s="1" t="str">
        <f t="shared" si="95"/>
        <v/>
      </c>
      <c r="BS343" s="1">
        <f t="shared" si="96"/>
        <v>0</v>
      </c>
      <c r="BT343" s="4">
        <f t="shared" si="97"/>
        <v>0</v>
      </c>
      <c r="BU343" s="52">
        <f t="shared" si="98"/>
        <v>0</v>
      </c>
      <c r="BV343" s="1">
        <f t="shared" si="99"/>
        <v>0</v>
      </c>
      <c r="BW343">
        <f t="shared" si="100"/>
        <v>0</v>
      </c>
      <c r="BX343">
        <f t="shared" si="101"/>
        <v>0</v>
      </c>
    </row>
    <row r="344" spans="58:76" x14ac:dyDescent="0.25">
      <c r="BF344" s="1" t="e">
        <f>VLOOKUP(N344,'Incoming Material Report'!H:M,6,FALSE)</f>
        <v>#N/A</v>
      </c>
      <c r="BG344" s="1" t="e">
        <f>IF(VLOOKUP(N344,'Incoming Material Report'!H:N,7,FALSE)=0,"",VLOOKUP(N344,'Incoming Material Report'!H:N,7,FALSE))</f>
        <v>#N/A</v>
      </c>
      <c r="BH344" s="52">
        <f t="shared" si="85"/>
        <v>0</v>
      </c>
      <c r="BI344" s="1">
        <f t="shared" si="86"/>
        <v>0</v>
      </c>
      <c r="BJ344" s="1">
        <f t="shared" si="87"/>
        <v>0</v>
      </c>
      <c r="BK344" s="1">
        <f t="shared" si="88"/>
        <v>0</v>
      </c>
      <c r="BL344" s="1">
        <f t="shared" si="89"/>
        <v>0</v>
      </c>
      <c r="BM344" s="10" t="str">
        <f t="shared" si="90"/>
        <v/>
      </c>
      <c r="BN344" s="52">
        <f t="shared" si="91"/>
        <v>0</v>
      </c>
      <c r="BO344" s="52">
        <f t="shared" si="92"/>
        <v>0</v>
      </c>
      <c r="BP344" s="1">
        <f t="shared" si="93"/>
        <v>0</v>
      </c>
      <c r="BQ344" s="1">
        <f t="shared" si="94"/>
        <v>0</v>
      </c>
      <c r="BR344" s="1" t="str">
        <f t="shared" si="95"/>
        <v/>
      </c>
      <c r="BS344" s="1">
        <f t="shared" si="96"/>
        <v>0</v>
      </c>
      <c r="BT344" s="4">
        <f t="shared" si="97"/>
        <v>0</v>
      </c>
      <c r="BU344" s="52">
        <f t="shared" si="98"/>
        <v>0</v>
      </c>
      <c r="BV344" s="1">
        <f t="shared" si="99"/>
        <v>0</v>
      </c>
      <c r="BW344">
        <f t="shared" si="100"/>
        <v>0</v>
      </c>
      <c r="BX344">
        <f t="shared" si="101"/>
        <v>0</v>
      </c>
    </row>
    <row r="345" spans="58:76" x14ac:dyDescent="0.25">
      <c r="BF345" s="1" t="e">
        <f>VLOOKUP(N345,'Incoming Material Report'!H:M,6,FALSE)</f>
        <v>#N/A</v>
      </c>
      <c r="BG345" s="1" t="e">
        <f>IF(VLOOKUP(N345,'Incoming Material Report'!H:N,7,FALSE)=0,"",VLOOKUP(N345,'Incoming Material Report'!H:N,7,FALSE))</f>
        <v>#N/A</v>
      </c>
      <c r="BH345" s="52">
        <f t="shared" si="85"/>
        <v>0</v>
      </c>
      <c r="BI345" s="1">
        <f t="shared" si="86"/>
        <v>0</v>
      </c>
      <c r="BJ345" s="1">
        <f t="shared" si="87"/>
        <v>0</v>
      </c>
      <c r="BK345" s="1">
        <f t="shared" si="88"/>
        <v>0</v>
      </c>
      <c r="BL345" s="1">
        <f t="shared" si="89"/>
        <v>0</v>
      </c>
      <c r="BM345" s="10" t="str">
        <f t="shared" si="90"/>
        <v/>
      </c>
      <c r="BN345" s="52">
        <f t="shared" si="91"/>
        <v>0</v>
      </c>
      <c r="BO345" s="52">
        <f t="shared" si="92"/>
        <v>0</v>
      </c>
      <c r="BP345" s="1">
        <f t="shared" si="93"/>
        <v>0</v>
      </c>
      <c r="BQ345" s="1">
        <f t="shared" si="94"/>
        <v>0</v>
      </c>
      <c r="BR345" s="1" t="str">
        <f t="shared" si="95"/>
        <v/>
      </c>
      <c r="BS345" s="1">
        <f t="shared" si="96"/>
        <v>0</v>
      </c>
      <c r="BT345" s="4">
        <f t="shared" si="97"/>
        <v>0</v>
      </c>
      <c r="BU345" s="52">
        <f t="shared" si="98"/>
        <v>0</v>
      </c>
      <c r="BV345" s="1">
        <f t="shared" si="99"/>
        <v>0</v>
      </c>
      <c r="BW345">
        <f t="shared" si="100"/>
        <v>0</v>
      </c>
      <c r="BX345">
        <f t="shared" si="101"/>
        <v>0</v>
      </c>
    </row>
    <row r="346" spans="58:76" x14ac:dyDescent="0.25">
      <c r="BF346" s="1" t="e">
        <f>VLOOKUP(N346,'Incoming Material Report'!H:M,6,FALSE)</f>
        <v>#N/A</v>
      </c>
      <c r="BG346" s="1" t="e">
        <f>IF(VLOOKUP(N346,'Incoming Material Report'!H:N,7,FALSE)=0,"",VLOOKUP(N346,'Incoming Material Report'!H:N,7,FALSE))</f>
        <v>#N/A</v>
      </c>
      <c r="BH346" s="52">
        <f t="shared" si="85"/>
        <v>0</v>
      </c>
      <c r="BI346" s="1">
        <f t="shared" si="86"/>
        <v>0</v>
      </c>
      <c r="BJ346" s="1">
        <f t="shared" si="87"/>
        <v>0</v>
      </c>
      <c r="BK346" s="1">
        <f t="shared" si="88"/>
        <v>0</v>
      </c>
      <c r="BL346" s="1">
        <f t="shared" si="89"/>
        <v>0</v>
      </c>
      <c r="BM346" s="10" t="str">
        <f t="shared" si="90"/>
        <v/>
      </c>
      <c r="BN346" s="52">
        <f t="shared" si="91"/>
        <v>0</v>
      </c>
      <c r="BO346" s="52">
        <f t="shared" si="92"/>
        <v>0</v>
      </c>
      <c r="BP346" s="1">
        <f t="shared" si="93"/>
        <v>0</v>
      </c>
      <c r="BQ346" s="1">
        <f t="shared" si="94"/>
        <v>0</v>
      </c>
      <c r="BR346" s="1" t="str">
        <f t="shared" si="95"/>
        <v/>
      </c>
      <c r="BS346" s="1">
        <f t="shared" si="96"/>
        <v>0</v>
      </c>
      <c r="BT346" s="4">
        <f t="shared" si="97"/>
        <v>0</v>
      </c>
      <c r="BU346" s="52">
        <f t="shared" si="98"/>
        <v>0</v>
      </c>
      <c r="BV346" s="1">
        <f t="shared" si="99"/>
        <v>0</v>
      </c>
      <c r="BW346">
        <f t="shared" si="100"/>
        <v>0</v>
      </c>
      <c r="BX346">
        <f t="shared" si="101"/>
        <v>0</v>
      </c>
    </row>
    <row r="347" spans="58:76" x14ac:dyDescent="0.25">
      <c r="BF347" s="1" t="e">
        <f>VLOOKUP(N347,'Incoming Material Report'!H:M,6,FALSE)</f>
        <v>#N/A</v>
      </c>
      <c r="BG347" s="1" t="e">
        <f>IF(VLOOKUP(N347,'Incoming Material Report'!H:N,7,FALSE)=0,"",VLOOKUP(N347,'Incoming Material Report'!H:N,7,FALSE))</f>
        <v>#N/A</v>
      </c>
      <c r="BH347" s="52">
        <f t="shared" si="85"/>
        <v>0</v>
      </c>
      <c r="BI347" s="1">
        <f t="shared" si="86"/>
        <v>0</v>
      </c>
      <c r="BJ347" s="1">
        <f t="shared" si="87"/>
        <v>0</v>
      </c>
      <c r="BK347" s="1">
        <f t="shared" si="88"/>
        <v>0</v>
      </c>
      <c r="BL347" s="1">
        <f t="shared" si="89"/>
        <v>0</v>
      </c>
      <c r="BM347" s="10" t="str">
        <f t="shared" si="90"/>
        <v/>
      </c>
      <c r="BN347" s="52">
        <f t="shared" si="91"/>
        <v>0</v>
      </c>
      <c r="BO347" s="52">
        <f t="shared" si="92"/>
        <v>0</v>
      </c>
      <c r="BP347" s="1">
        <f t="shared" si="93"/>
        <v>0</v>
      </c>
      <c r="BQ347" s="1">
        <f t="shared" si="94"/>
        <v>0</v>
      </c>
      <c r="BR347" s="1" t="str">
        <f t="shared" si="95"/>
        <v/>
      </c>
      <c r="BS347" s="1">
        <f t="shared" si="96"/>
        <v>0</v>
      </c>
      <c r="BT347" s="4">
        <f t="shared" si="97"/>
        <v>0</v>
      </c>
      <c r="BU347" s="52">
        <f t="shared" si="98"/>
        <v>0</v>
      </c>
      <c r="BV347" s="1">
        <f t="shared" si="99"/>
        <v>0</v>
      </c>
      <c r="BW347">
        <f t="shared" si="100"/>
        <v>0</v>
      </c>
      <c r="BX347">
        <f t="shared" si="101"/>
        <v>0</v>
      </c>
    </row>
    <row r="348" spans="58:76" x14ac:dyDescent="0.25">
      <c r="BF348" s="1" t="e">
        <f>VLOOKUP(N348,'Incoming Material Report'!H:M,6,FALSE)</f>
        <v>#N/A</v>
      </c>
      <c r="BG348" s="1" t="e">
        <f>IF(VLOOKUP(N348,'Incoming Material Report'!H:N,7,FALSE)=0,"",VLOOKUP(N348,'Incoming Material Report'!H:N,7,FALSE))</f>
        <v>#N/A</v>
      </c>
      <c r="BH348" s="52">
        <f t="shared" si="85"/>
        <v>0</v>
      </c>
      <c r="BI348" s="1">
        <f t="shared" si="86"/>
        <v>0</v>
      </c>
      <c r="BJ348" s="1">
        <f t="shared" si="87"/>
        <v>0</v>
      </c>
      <c r="BK348" s="1">
        <f t="shared" si="88"/>
        <v>0</v>
      </c>
      <c r="BL348" s="1">
        <f t="shared" si="89"/>
        <v>0</v>
      </c>
      <c r="BM348" s="10" t="str">
        <f t="shared" si="90"/>
        <v/>
      </c>
      <c r="BN348" s="52">
        <f t="shared" si="91"/>
        <v>0</v>
      </c>
      <c r="BO348" s="52">
        <f t="shared" si="92"/>
        <v>0</v>
      </c>
      <c r="BP348" s="1">
        <f t="shared" si="93"/>
        <v>0</v>
      </c>
      <c r="BQ348" s="1">
        <f t="shared" si="94"/>
        <v>0</v>
      </c>
      <c r="BR348" s="1" t="str">
        <f t="shared" si="95"/>
        <v/>
      </c>
      <c r="BS348" s="1">
        <f t="shared" si="96"/>
        <v>0</v>
      </c>
      <c r="BT348" s="4">
        <f t="shared" si="97"/>
        <v>0</v>
      </c>
      <c r="BU348" s="52">
        <f t="shared" si="98"/>
        <v>0</v>
      </c>
      <c r="BV348" s="1">
        <f t="shared" si="99"/>
        <v>0</v>
      </c>
      <c r="BW348">
        <f t="shared" si="100"/>
        <v>0</v>
      </c>
      <c r="BX348">
        <f t="shared" si="101"/>
        <v>0</v>
      </c>
    </row>
    <row r="349" spans="58:76" x14ac:dyDescent="0.25">
      <c r="BF349" s="1" t="e">
        <f>VLOOKUP(N349,'Incoming Material Report'!H:M,6,FALSE)</f>
        <v>#N/A</v>
      </c>
      <c r="BG349" s="1" t="e">
        <f>IF(VLOOKUP(N349,'Incoming Material Report'!H:N,7,FALSE)=0,"",VLOOKUP(N349,'Incoming Material Report'!H:N,7,FALSE))</f>
        <v>#N/A</v>
      </c>
      <c r="BH349" s="52">
        <f t="shared" si="85"/>
        <v>0</v>
      </c>
      <c r="BI349" s="1">
        <f t="shared" si="86"/>
        <v>0</v>
      </c>
      <c r="BJ349" s="1">
        <f t="shared" si="87"/>
        <v>0</v>
      </c>
      <c r="BK349" s="1">
        <f t="shared" si="88"/>
        <v>0</v>
      </c>
      <c r="BL349" s="1">
        <f t="shared" si="89"/>
        <v>0</v>
      </c>
      <c r="BM349" s="10" t="str">
        <f t="shared" si="90"/>
        <v/>
      </c>
      <c r="BN349" s="52">
        <f t="shared" si="91"/>
        <v>0</v>
      </c>
      <c r="BO349" s="52">
        <f t="shared" si="92"/>
        <v>0</v>
      </c>
      <c r="BP349" s="1">
        <f t="shared" si="93"/>
        <v>0</v>
      </c>
      <c r="BQ349" s="1">
        <f t="shared" si="94"/>
        <v>0</v>
      </c>
      <c r="BR349" s="1" t="str">
        <f t="shared" si="95"/>
        <v/>
      </c>
      <c r="BS349" s="1">
        <f t="shared" si="96"/>
        <v>0</v>
      </c>
      <c r="BT349" s="4">
        <f t="shared" si="97"/>
        <v>0</v>
      </c>
      <c r="BU349" s="52">
        <f t="shared" si="98"/>
        <v>0</v>
      </c>
      <c r="BV349" s="1">
        <f t="shared" si="99"/>
        <v>0</v>
      </c>
      <c r="BW349">
        <f t="shared" si="100"/>
        <v>0</v>
      </c>
      <c r="BX349">
        <f t="shared" si="101"/>
        <v>0</v>
      </c>
    </row>
    <row r="350" spans="58:76" x14ac:dyDescent="0.25">
      <c r="BF350" s="1" t="e">
        <f>VLOOKUP(N350,'Incoming Material Report'!H:M,6,FALSE)</f>
        <v>#N/A</v>
      </c>
      <c r="BG350" s="1" t="e">
        <f>IF(VLOOKUP(N350,'Incoming Material Report'!H:N,7,FALSE)=0,"",VLOOKUP(N350,'Incoming Material Report'!H:N,7,FALSE))</f>
        <v>#N/A</v>
      </c>
      <c r="BH350" s="52">
        <f t="shared" si="85"/>
        <v>0</v>
      </c>
      <c r="BI350" s="1">
        <f t="shared" si="86"/>
        <v>0</v>
      </c>
      <c r="BJ350" s="1">
        <f t="shared" si="87"/>
        <v>0</v>
      </c>
      <c r="BK350" s="1">
        <f t="shared" si="88"/>
        <v>0</v>
      </c>
      <c r="BL350" s="1">
        <f t="shared" si="89"/>
        <v>0</v>
      </c>
      <c r="BM350" s="10" t="str">
        <f t="shared" si="90"/>
        <v/>
      </c>
      <c r="BN350" s="52">
        <f t="shared" si="91"/>
        <v>0</v>
      </c>
      <c r="BO350" s="52">
        <f t="shared" si="92"/>
        <v>0</v>
      </c>
      <c r="BP350" s="1">
        <f t="shared" si="93"/>
        <v>0</v>
      </c>
      <c r="BQ350" s="1">
        <f t="shared" si="94"/>
        <v>0</v>
      </c>
      <c r="BR350" s="1" t="str">
        <f t="shared" si="95"/>
        <v/>
      </c>
      <c r="BS350" s="1">
        <f t="shared" si="96"/>
        <v>0</v>
      </c>
      <c r="BT350" s="4">
        <f t="shared" si="97"/>
        <v>0</v>
      </c>
      <c r="BU350" s="52">
        <f t="shared" si="98"/>
        <v>0</v>
      </c>
      <c r="BV350" s="1">
        <f t="shared" si="99"/>
        <v>0</v>
      </c>
      <c r="BW350">
        <f t="shared" si="100"/>
        <v>0</v>
      </c>
      <c r="BX350">
        <f t="shared" si="101"/>
        <v>0</v>
      </c>
    </row>
    <row r="351" spans="58:76" x14ac:dyDescent="0.25">
      <c r="BF351" s="1" t="e">
        <f>VLOOKUP(N351,'Incoming Material Report'!H:M,6,FALSE)</f>
        <v>#N/A</v>
      </c>
      <c r="BG351" s="1" t="e">
        <f>IF(VLOOKUP(N351,'Incoming Material Report'!H:N,7,FALSE)=0,"",VLOOKUP(N351,'Incoming Material Report'!H:N,7,FALSE))</f>
        <v>#N/A</v>
      </c>
      <c r="BH351" s="52">
        <f t="shared" si="85"/>
        <v>0</v>
      </c>
      <c r="BI351" s="1">
        <f t="shared" si="86"/>
        <v>0</v>
      </c>
      <c r="BJ351" s="1">
        <f t="shared" si="87"/>
        <v>0</v>
      </c>
      <c r="BK351" s="1">
        <f t="shared" si="88"/>
        <v>0</v>
      </c>
      <c r="BL351" s="1">
        <f t="shared" si="89"/>
        <v>0</v>
      </c>
      <c r="BM351" s="10" t="str">
        <f t="shared" si="90"/>
        <v/>
      </c>
      <c r="BN351" s="52">
        <f t="shared" si="91"/>
        <v>0</v>
      </c>
      <c r="BO351" s="52">
        <f t="shared" si="92"/>
        <v>0</v>
      </c>
      <c r="BP351" s="1">
        <f t="shared" si="93"/>
        <v>0</v>
      </c>
      <c r="BQ351" s="1">
        <f t="shared" si="94"/>
        <v>0</v>
      </c>
      <c r="BR351" s="1" t="str">
        <f t="shared" si="95"/>
        <v/>
      </c>
      <c r="BS351" s="1">
        <f t="shared" si="96"/>
        <v>0</v>
      </c>
      <c r="BT351" s="4">
        <f t="shared" si="97"/>
        <v>0</v>
      </c>
      <c r="BU351" s="52">
        <f t="shared" si="98"/>
        <v>0</v>
      </c>
      <c r="BV351" s="1">
        <f t="shared" si="99"/>
        <v>0</v>
      </c>
      <c r="BW351">
        <f t="shared" si="100"/>
        <v>0</v>
      </c>
      <c r="BX351">
        <f t="shared" si="101"/>
        <v>0</v>
      </c>
    </row>
    <row r="352" spans="58:76" x14ac:dyDescent="0.25">
      <c r="BF352" s="1" t="e">
        <f>VLOOKUP(N352,'Incoming Material Report'!H:M,6,FALSE)</f>
        <v>#N/A</v>
      </c>
      <c r="BG352" s="1" t="e">
        <f>IF(VLOOKUP(N352,'Incoming Material Report'!H:N,7,FALSE)=0,"",VLOOKUP(N352,'Incoming Material Report'!H:N,7,FALSE))</f>
        <v>#N/A</v>
      </c>
      <c r="BH352" s="52">
        <f t="shared" si="85"/>
        <v>0</v>
      </c>
      <c r="BI352" s="1">
        <f t="shared" si="86"/>
        <v>0</v>
      </c>
      <c r="BJ352" s="1">
        <f t="shared" si="87"/>
        <v>0</v>
      </c>
      <c r="BK352" s="1">
        <f t="shared" si="88"/>
        <v>0</v>
      </c>
      <c r="BL352" s="1">
        <f t="shared" si="89"/>
        <v>0</v>
      </c>
      <c r="BM352" s="10" t="str">
        <f t="shared" si="90"/>
        <v/>
      </c>
      <c r="BN352" s="52">
        <f t="shared" si="91"/>
        <v>0</v>
      </c>
      <c r="BO352" s="52">
        <f t="shared" si="92"/>
        <v>0</v>
      </c>
      <c r="BP352" s="1">
        <f t="shared" si="93"/>
        <v>0</v>
      </c>
      <c r="BQ352" s="1">
        <f t="shared" si="94"/>
        <v>0</v>
      </c>
      <c r="BR352" s="1" t="str">
        <f t="shared" si="95"/>
        <v/>
      </c>
      <c r="BS352" s="1">
        <f t="shared" si="96"/>
        <v>0</v>
      </c>
      <c r="BT352" s="4">
        <f t="shared" si="97"/>
        <v>0</v>
      </c>
      <c r="BU352" s="52">
        <f t="shared" si="98"/>
        <v>0</v>
      </c>
      <c r="BV352" s="1">
        <f t="shared" si="99"/>
        <v>0</v>
      </c>
      <c r="BW352">
        <f t="shared" si="100"/>
        <v>0</v>
      </c>
      <c r="BX352">
        <f t="shared" si="101"/>
        <v>0</v>
      </c>
    </row>
    <row r="353" spans="58:76" x14ac:dyDescent="0.25">
      <c r="BF353" s="1" t="e">
        <f>VLOOKUP(N353,'Incoming Material Report'!H:M,6,FALSE)</f>
        <v>#N/A</v>
      </c>
      <c r="BG353" s="1" t="e">
        <f>IF(VLOOKUP(N353,'Incoming Material Report'!H:N,7,FALSE)=0,"",VLOOKUP(N353,'Incoming Material Report'!H:N,7,FALSE))</f>
        <v>#N/A</v>
      </c>
      <c r="BH353" s="52">
        <f t="shared" si="85"/>
        <v>0</v>
      </c>
      <c r="BI353" s="1">
        <f t="shared" si="86"/>
        <v>0</v>
      </c>
      <c r="BJ353" s="1">
        <f t="shared" si="87"/>
        <v>0</v>
      </c>
      <c r="BK353" s="1">
        <f t="shared" si="88"/>
        <v>0</v>
      </c>
      <c r="BL353" s="1">
        <f t="shared" si="89"/>
        <v>0</v>
      </c>
      <c r="BM353" s="10" t="str">
        <f t="shared" si="90"/>
        <v/>
      </c>
      <c r="BN353" s="52">
        <f t="shared" si="91"/>
        <v>0</v>
      </c>
      <c r="BO353" s="52">
        <f t="shared" si="92"/>
        <v>0</v>
      </c>
      <c r="BP353" s="1">
        <f t="shared" si="93"/>
        <v>0</v>
      </c>
      <c r="BQ353" s="1">
        <f t="shared" si="94"/>
        <v>0</v>
      </c>
      <c r="BR353" s="1" t="str">
        <f t="shared" si="95"/>
        <v/>
      </c>
      <c r="BS353" s="1">
        <f t="shared" si="96"/>
        <v>0</v>
      </c>
      <c r="BT353" s="4">
        <f t="shared" si="97"/>
        <v>0</v>
      </c>
      <c r="BU353" s="52">
        <f t="shared" si="98"/>
        <v>0</v>
      </c>
      <c r="BV353" s="1">
        <f t="shared" si="99"/>
        <v>0</v>
      </c>
      <c r="BW353">
        <f t="shared" si="100"/>
        <v>0</v>
      </c>
      <c r="BX353">
        <f t="shared" si="101"/>
        <v>0</v>
      </c>
    </row>
    <row r="354" spans="58:76" x14ac:dyDescent="0.25">
      <c r="BF354" s="1" t="e">
        <f>VLOOKUP(N354,'Incoming Material Report'!H:M,6,FALSE)</f>
        <v>#N/A</v>
      </c>
      <c r="BG354" s="1" t="e">
        <f>IF(VLOOKUP(N354,'Incoming Material Report'!H:N,7,FALSE)=0,"",VLOOKUP(N354,'Incoming Material Report'!H:N,7,FALSE))</f>
        <v>#N/A</v>
      </c>
      <c r="BH354" s="52">
        <f t="shared" si="85"/>
        <v>0</v>
      </c>
      <c r="BI354" s="1">
        <f t="shared" si="86"/>
        <v>0</v>
      </c>
      <c r="BJ354" s="1">
        <f t="shared" si="87"/>
        <v>0</v>
      </c>
      <c r="BK354" s="1">
        <f t="shared" si="88"/>
        <v>0</v>
      </c>
      <c r="BL354" s="1">
        <f t="shared" si="89"/>
        <v>0</v>
      </c>
      <c r="BM354" s="10" t="str">
        <f t="shared" si="90"/>
        <v/>
      </c>
      <c r="BN354" s="52">
        <f t="shared" si="91"/>
        <v>0</v>
      </c>
      <c r="BO354" s="52">
        <f t="shared" si="92"/>
        <v>0</v>
      </c>
      <c r="BP354" s="1">
        <f t="shared" si="93"/>
        <v>0</v>
      </c>
      <c r="BQ354" s="1">
        <f t="shared" si="94"/>
        <v>0</v>
      </c>
      <c r="BR354" s="1" t="str">
        <f t="shared" si="95"/>
        <v/>
      </c>
      <c r="BS354" s="1">
        <f t="shared" si="96"/>
        <v>0</v>
      </c>
      <c r="BT354" s="4">
        <f t="shared" si="97"/>
        <v>0</v>
      </c>
      <c r="BU354" s="52">
        <f t="shared" si="98"/>
        <v>0</v>
      </c>
      <c r="BV354" s="1">
        <f t="shared" si="99"/>
        <v>0</v>
      </c>
      <c r="BW354">
        <f t="shared" si="100"/>
        <v>0</v>
      </c>
      <c r="BX354">
        <f t="shared" si="101"/>
        <v>0</v>
      </c>
    </row>
    <row r="355" spans="58:76" x14ac:dyDescent="0.25">
      <c r="BF355" s="1" t="e">
        <f>VLOOKUP(N355,'Incoming Material Report'!H:M,6,FALSE)</f>
        <v>#N/A</v>
      </c>
      <c r="BG355" s="1" t="e">
        <f>IF(VLOOKUP(N355,'Incoming Material Report'!H:N,7,FALSE)=0,"",VLOOKUP(N355,'Incoming Material Report'!H:N,7,FALSE))</f>
        <v>#N/A</v>
      </c>
      <c r="BH355" s="52">
        <f t="shared" si="85"/>
        <v>0</v>
      </c>
      <c r="BI355" s="1">
        <f t="shared" si="86"/>
        <v>0</v>
      </c>
      <c r="BJ355" s="1">
        <f t="shared" si="87"/>
        <v>0</v>
      </c>
      <c r="BK355" s="1">
        <f t="shared" si="88"/>
        <v>0</v>
      </c>
      <c r="BL355" s="1">
        <f t="shared" si="89"/>
        <v>0</v>
      </c>
      <c r="BM355" s="10" t="str">
        <f t="shared" si="90"/>
        <v/>
      </c>
      <c r="BN355" s="52">
        <f t="shared" si="91"/>
        <v>0</v>
      </c>
      <c r="BO355" s="52">
        <f t="shared" si="92"/>
        <v>0</v>
      </c>
      <c r="BP355" s="1">
        <f t="shared" si="93"/>
        <v>0</v>
      </c>
      <c r="BQ355" s="1">
        <f t="shared" si="94"/>
        <v>0</v>
      </c>
      <c r="BR355" s="1" t="str">
        <f t="shared" si="95"/>
        <v/>
      </c>
      <c r="BS355" s="1">
        <f t="shared" si="96"/>
        <v>0</v>
      </c>
      <c r="BT355" s="4">
        <f t="shared" si="97"/>
        <v>0</v>
      </c>
      <c r="BU355" s="52">
        <f t="shared" si="98"/>
        <v>0</v>
      </c>
      <c r="BV355" s="1">
        <f t="shared" si="99"/>
        <v>0</v>
      </c>
      <c r="BW355">
        <f t="shared" si="100"/>
        <v>0</v>
      </c>
      <c r="BX355">
        <f t="shared" si="101"/>
        <v>0</v>
      </c>
    </row>
    <row r="356" spans="58:76" x14ac:dyDescent="0.25">
      <c r="BF356" s="1" t="e">
        <f>VLOOKUP(N356,'Incoming Material Report'!H:M,6,FALSE)</f>
        <v>#N/A</v>
      </c>
      <c r="BG356" s="1" t="e">
        <f>IF(VLOOKUP(N356,'Incoming Material Report'!H:N,7,FALSE)=0,"",VLOOKUP(N356,'Incoming Material Report'!H:N,7,FALSE))</f>
        <v>#N/A</v>
      </c>
      <c r="BH356" s="52">
        <f t="shared" si="85"/>
        <v>0</v>
      </c>
      <c r="BI356" s="1">
        <f t="shared" si="86"/>
        <v>0</v>
      </c>
      <c r="BJ356" s="1">
        <f t="shared" si="87"/>
        <v>0</v>
      </c>
      <c r="BK356" s="1">
        <f t="shared" si="88"/>
        <v>0</v>
      </c>
      <c r="BL356" s="1">
        <f t="shared" si="89"/>
        <v>0</v>
      </c>
      <c r="BM356" s="10" t="str">
        <f t="shared" si="90"/>
        <v/>
      </c>
      <c r="BN356" s="52">
        <f t="shared" si="91"/>
        <v>0</v>
      </c>
      <c r="BO356" s="52">
        <f t="shared" si="92"/>
        <v>0</v>
      </c>
      <c r="BP356" s="1">
        <f t="shared" si="93"/>
        <v>0</v>
      </c>
      <c r="BQ356" s="1">
        <f t="shared" si="94"/>
        <v>0</v>
      </c>
      <c r="BR356" s="1" t="str">
        <f t="shared" si="95"/>
        <v/>
      </c>
      <c r="BS356" s="1">
        <f t="shared" si="96"/>
        <v>0</v>
      </c>
      <c r="BT356" s="4">
        <f t="shared" si="97"/>
        <v>0</v>
      </c>
      <c r="BU356" s="52">
        <f t="shared" si="98"/>
        <v>0</v>
      </c>
      <c r="BV356" s="1">
        <f t="shared" si="99"/>
        <v>0</v>
      </c>
      <c r="BW356">
        <f t="shared" si="100"/>
        <v>0</v>
      </c>
      <c r="BX356">
        <f t="shared" si="101"/>
        <v>0</v>
      </c>
    </row>
    <row r="357" spans="58:76" x14ac:dyDescent="0.25">
      <c r="BF357" s="1" t="e">
        <f>VLOOKUP(N357,'Incoming Material Report'!H:M,6,FALSE)</f>
        <v>#N/A</v>
      </c>
      <c r="BG357" s="1" t="e">
        <f>IF(VLOOKUP(N357,'Incoming Material Report'!H:N,7,FALSE)=0,"",VLOOKUP(N357,'Incoming Material Report'!H:N,7,FALSE))</f>
        <v>#N/A</v>
      </c>
      <c r="BH357" s="52">
        <f t="shared" si="85"/>
        <v>0</v>
      </c>
      <c r="BI357" s="1">
        <f t="shared" si="86"/>
        <v>0</v>
      </c>
      <c r="BJ357" s="1">
        <f t="shared" si="87"/>
        <v>0</v>
      </c>
      <c r="BK357" s="1">
        <f t="shared" si="88"/>
        <v>0</v>
      </c>
      <c r="BL357" s="1">
        <f t="shared" si="89"/>
        <v>0</v>
      </c>
      <c r="BM357" s="10" t="str">
        <f t="shared" si="90"/>
        <v/>
      </c>
      <c r="BN357" s="52">
        <f t="shared" si="91"/>
        <v>0</v>
      </c>
      <c r="BO357" s="52">
        <f t="shared" si="92"/>
        <v>0</v>
      </c>
      <c r="BP357" s="1">
        <f t="shared" si="93"/>
        <v>0</v>
      </c>
      <c r="BQ357" s="1">
        <f t="shared" si="94"/>
        <v>0</v>
      </c>
      <c r="BR357" s="1" t="str">
        <f t="shared" si="95"/>
        <v/>
      </c>
      <c r="BS357" s="1">
        <f t="shared" si="96"/>
        <v>0</v>
      </c>
      <c r="BT357" s="4">
        <f t="shared" si="97"/>
        <v>0</v>
      </c>
      <c r="BU357" s="52">
        <f t="shared" si="98"/>
        <v>0</v>
      </c>
      <c r="BV357" s="1">
        <f t="shared" si="99"/>
        <v>0</v>
      </c>
      <c r="BW357">
        <f t="shared" si="100"/>
        <v>0</v>
      </c>
      <c r="BX357">
        <f t="shared" si="101"/>
        <v>0</v>
      </c>
    </row>
    <row r="358" spans="58:76" x14ac:dyDescent="0.25">
      <c r="BF358" s="1" t="e">
        <f>VLOOKUP(N358,'Incoming Material Report'!H:M,6,FALSE)</f>
        <v>#N/A</v>
      </c>
      <c r="BG358" s="1" t="e">
        <f>IF(VLOOKUP(N358,'Incoming Material Report'!H:N,7,FALSE)=0,"",VLOOKUP(N358,'Incoming Material Report'!H:N,7,FALSE))</f>
        <v>#N/A</v>
      </c>
      <c r="BH358" s="52">
        <f t="shared" si="85"/>
        <v>0</v>
      </c>
      <c r="BI358" s="1">
        <f t="shared" si="86"/>
        <v>0</v>
      </c>
      <c r="BJ358" s="1">
        <f t="shared" si="87"/>
        <v>0</v>
      </c>
      <c r="BK358" s="1">
        <f t="shared" si="88"/>
        <v>0</v>
      </c>
      <c r="BL358" s="1">
        <f t="shared" si="89"/>
        <v>0</v>
      </c>
      <c r="BM358" s="10" t="str">
        <f t="shared" si="90"/>
        <v/>
      </c>
      <c r="BN358" s="52">
        <f t="shared" si="91"/>
        <v>0</v>
      </c>
      <c r="BO358" s="52">
        <f t="shared" si="92"/>
        <v>0</v>
      </c>
      <c r="BP358" s="1">
        <f t="shared" si="93"/>
        <v>0</v>
      </c>
      <c r="BQ358" s="1">
        <f t="shared" si="94"/>
        <v>0</v>
      </c>
      <c r="BR358" s="1" t="str">
        <f t="shared" si="95"/>
        <v/>
      </c>
      <c r="BS358" s="1">
        <f t="shared" si="96"/>
        <v>0</v>
      </c>
      <c r="BT358" s="4">
        <f t="shared" si="97"/>
        <v>0</v>
      </c>
      <c r="BU358" s="52">
        <f t="shared" si="98"/>
        <v>0</v>
      </c>
      <c r="BV358" s="1">
        <f t="shared" si="99"/>
        <v>0</v>
      </c>
      <c r="BW358">
        <f t="shared" si="100"/>
        <v>0</v>
      </c>
      <c r="BX358">
        <f t="shared" si="101"/>
        <v>0</v>
      </c>
    </row>
    <row r="359" spans="58:76" x14ac:dyDescent="0.25">
      <c r="BF359" s="1" t="e">
        <f>VLOOKUP(N359,'Incoming Material Report'!H:M,6,FALSE)</f>
        <v>#N/A</v>
      </c>
      <c r="BG359" s="1" t="e">
        <f>IF(VLOOKUP(N359,'Incoming Material Report'!H:N,7,FALSE)=0,"",VLOOKUP(N359,'Incoming Material Report'!H:N,7,FALSE))</f>
        <v>#N/A</v>
      </c>
      <c r="BH359" s="52">
        <f t="shared" si="85"/>
        <v>0</v>
      </c>
      <c r="BI359" s="1">
        <f t="shared" si="86"/>
        <v>0</v>
      </c>
      <c r="BJ359" s="1">
        <f t="shared" si="87"/>
        <v>0</v>
      </c>
      <c r="BK359" s="1">
        <f t="shared" si="88"/>
        <v>0</v>
      </c>
      <c r="BL359" s="1">
        <f t="shared" si="89"/>
        <v>0</v>
      </c>
      <c r="BM359" s="10" t="str">
        <f t="shared" si="90"/>
        <v/>
      </c>
      <c r="BN359" s="52">
        <f t="shared" si="91"/>
        <v>0</v>
      </c>
      <c r="BO359" s="52">
        <f t="shared" si="92"/>
        <v>0</v>
      </c>
      <c r="BP359" s="1">
        <f t="shared" si="93"/>
        <v>0</v>
      </c>
      <c r="BQ359" s="1">
        <f t="shared" si="94"/>
        <v>0</v>
      </c>
      <c r="BR359" s="1" t="str">
        <f t="shared" si="95"/>
        <v/>
      </c>
      <c r="BS359" s="1">
        <f t="shared" si="96"/>
        <v>0</v>
      </c>
      <c r="BT359" s="4">
        <f t="shared" si="97"/>
        <v>0</v>
      </c>
      <c r="BU359" s="52">
        <f t="shared" si="98"/>
        <v>0</v>
      </c>
      <c r="BV359" s="1">
        <f t="shared" si="99"/>
        <v>0</v>
      </c>
      <c r="BW359">
        <f t="shared" si="100"/>
        <v>0</v>
      </c>
      <c r="BX359">
        <f t="shared" si="101"/>
        <v>0</v>
      </c>
    </row>
    <row r="360" spans="58:76" x14ac:dyDescent="0.25">
      <c r="BF360" s="1" t="e">
        <f>VLOOKUP(N360,'Incoming Material Report'!H:M,6,FALSE)</f>
        <v>#N/A</v>
      </c>
      <c r="BG360" s="1" t="e">
        <f>IF(VLOOKUP(N360,'Incoming Material Report'!H:N,7,FALSE)=0,"",VLOOKUP(N360,'Incoming Material Report'!H:N,7,FALSE))</f>
        <v>#N/A</v>
      </c>
      <c r="BH360" s="52">
        <f t="shared" si="85"/>
        <v>0</v>
      </c>
      <c r="BI360" s="1">
        <f t="shared" si="86"/>
        <v>0</v>
      </c>
      <c r="BJ360" s="1">
        <f t="shared" si="87"/>
        <v>0</v>
      </c>
      <c r="BK360" s="1">
        <f t="shared" si="88"/>
        <v>0</v>
      </c>
      <c r="BL360" s="1">
        <f t="shared" si="89"/>
        <v>0</v>
      </c>
      <c r="BM360" s="10" t="str">
        <f t="shared" si="90"/>
        <v/>
      </c>
      <c r="BN360" s="52">
        <f t="shared" si="91"/>
        <v>0</v>
      </c>
      <c r="BO360" s="52">
        <f t="shared" si="92"/>
        <v>0</v>
      </c>
      <c r="BP360" s="1">
        <f t="shared" si="93"/>
        <v>0</v>
      </c>
      <c r="BQ360" s="1">
        <f t="shared" si="94"/>
        <v>0</v>
      </c>
      <c r="BR360" s="1" t="str">
        <f t="shared" si="95"/>
        <v/>
      </c>
      <c r="BS360" s="1">
        <f t="shared" si="96"/>
        <v>0</v>
      </c>
      <c r="BT360" s="4">
        <f t="shared" si="97"/>
        <v>0</v>
      </c>
      <c r="BU360" s="52">
        <f t="shared" si="98"/>
        <v>0</v>
      </c>
      <c r="BV360" s="1">
        <f t="shared" si="99"/>
        <v>0</v>
      </c>
      <c r="BW360">
        <f t="shared" si="100"/>
        <v>0</v>
      </c>
      <c r="BX360">
        <f t="shared" si="101"/>
        <v>0</v>
      </c>
    </row>
    <row r="361" spans="58:76" x14ac:dyDescent="0.25">
      <c r="BF361" s="1" t="e">
        <f>VLOOKUP(N361,'Incoming Material Report'!H:M,6,FALSE)</f>
        <v>#N/A</v>
      </c>
      <c r="BG361" s="1" t="e">
        <f>IF(VLOOKUP(N361,'Incoming Material Report'!H:N,7,FALSE)=0,"",VLOOKUP(N361,'Incoming Material Report'!H:N,7,FALSE))</f>
        <v>#N/A</v>
      </c>
      <c r="BH361" s="52">
        <f t="shared" si="85"/>
        <v>0</v>
      </c>
      <c r="BI361" s="1">
        <f t="shared" si="86"/>
        <v>0</v>
      </c>
      <c r="BJ361" s="1">
        <f t="shared" si="87"/>
        <v>0</v>
      </c>
      <c r="BK361" s="1">
        <f t="shared" si="88"/>
        <v>0</v>
      </c>
      <c r="BL361" s="1">
        <f t="shared" si="89"/>
        <v>0</v>
      </c>
      <c r="BM361" s="10" t="str">
        <f t="shared" si="90"/>
        <v/>
      </c>
      <c r="BN361" s="52">
        <f t="shared" si="91"/>
        <v>0</v>
      </c>
      <c r="BO361" s="52">
        <f t="shared" si="92"/>
        <v>0</v>
      </c>
      <c r="BP361" s="1">
        <f t="shared" si="93"/>
        <v>0</v>
      </c>
      <c r="BQ361" s="1">
        <f t="shared" si="94"/>
        <v>0</v>
      </c>
      <c r="BR361" s="1" t="str">
        <f t="shared" si="95"/>
        <v/>
      </c>
      <c r="BS361" s="1">
        <f t="shared" si="96"/>
        <v>0</v>
      </c>
      <c r="BT361" s="4">
        <f t="shared" si="97"/>
        <v>0</v>
      </c>
      <c r="BU361" s="52">
        <f t="shared" si="98"/>
        <v>0</v>
      </c>
      <c r="BV361" s="1">
        <f t="shared" si="99"/>
        <v>0</v>
      </c>
      <c r="BW361">
        <f t="shared" si="100"/>
        <v>0</v>
      </c>
      <c r="BX361">
        <f t="shared" si="101"/>
        <v>0</v>
      </c>
    </row>
    <row r="362" spans="58:76" x14ac:dyDescent="0.25">
      <c r="BF362" s="1" t="e">
        <f>VLOOKUP(N362,'Incoming Material Report'!H:M,6,FALSE)</f>
        <v>#N/A</v>
      </c>
      <c r="BG362" s="1" t="e">
        <f>IF(VLOOKUP(N362,'Incoming Material Report'!H:N,7,FALSE)=0,"",VLOOKUP(N362,'Incoming Material Report'!H:N,7,FALSE))</f>
        <v>#N/A</v>
      </c>
      <c r="BH362" s="52">
        <f t="shared" si="85"/>
        <v>0</v>
      </c>
      <c r="BI362" s="1">
        <f t="shared" si="86"/>
        <v>0</v>
      </c>
      <c r="BJ362" s="1">
        <f t="shared" si="87"/>
        <v>0</v>
      </c>
      <c r="BK362" s="1">
        <f t="shared" si="88"/>
        <v>0</v>
      </c>
      <c r="BL362" s="1">
        <f t="shared" si="89"/>
        <v>0</v>
      </c>
      <c r="BM362" s="10" t="str">
        <f t="shared" si="90"/>
        <v/>
      </c>
      <c r="BN362" s="52">
        <f t="shared" si="91"/>
        <v>0</v>
      </c>
      <c r="BO362" s="52">
        <f t="shared" si="92"/>
        <v>0</v>
      </c>
      <c r="BP362" s="1">
        <f t="shared" si="93"/>
        <v>0</v>
      </c>
      <c r="BQ362" s="1">
        <f t="shared" si="94"/>
        <v>0</v>
      </c>
      <c r="BR362" s="1" t="str">
        <f t="shared" si="95"/>
        <v/>
      </c>
      <c r="BS362" s="1">
        <f t="shared" si="96"/>
        <v>0</v>
      </c>
      <c r="BT362" s="4">
        <f t="shared" si="97"/>
        <v>0</v>
      </c>
      <c r="BU362" s="52">
        <f t="shared" si="98"/>
        <v>0</v>
      </c>
      <c r="BV362" s="1">
        <f t="shared" si="99"/>
        <v>0</v>
      </c>
      <c r="BW362">
        <f t="shared" si="100"/>
        <v>0</v>
      </c>
      <c r="BX362">
        <f t="shared" si="101"/>
        <v>0</v>
      </c>
    </row>
    <row r="363" spans="58:76" x14ac:dyDescent="0.25">
      <c r="BF363" s="1" t="e">
        <f>VLOOKUP(N363,'Incoming Material Report'!H:M,6,FALSE)</f>
        <v>#N/A</v>
      </c>
      <c r="BG363" s="1" t="e">
        <f>IF(VLOOKUP(N363,'Incoming Material Report'!H:N,7,FALSE)=0,"",VLOOKUP(N363,'Incoming Material Report'!H:N,7,FALSE))</f>
        <v>#N/A</v>
      </c>
      <c r="BH363" s="52">
        <f t="shared" si="85"/>
        <v>0</v>
      </c>
      <c r="BI363" s="1">
        <f t="shared" si="86"/>
        <v>0</v>
      </c>
      <c r="BJ363" s="1">
        <f t="shared" si="87"/>
        <v>0</v>
      </c>
      <c r="BK363" s="1">
        <f t="shared" si="88"/>
        <v>0</v>
      </c>
      <c r="BL363" s="1">
        <f t="shared" si="89"/>
        <v>0</v>
      </c>
      <c r="BM363" s="10" t="str">
        <f t="shared" si="90"/>
        <v/>
      </c>
      <c r="BN363" s="52">
        <f t="shared" si="91"/>
        <v>0</v>
      </c>
      <c r="BO363" s="52">
        <f t="shared" si="92"/>
        <v>0</v>
      </c>
      <c r="BP363" s="1">
        <f t="shared" si="93"/>
        <v>0</v>
      </c>
      <c r="BQ363" s="1">
        <f t="shared" si="94"/>
        <v>0</v>
      </c>
      <c r="BR363" s="1" t="str">
        <f t="shared" si="95"/>
        <v/>
      </c>
      <c r="BS363" s="1">
        <f t="shared" si="96"/>
        <v>0</v>
      </c>
      <c r="BT363" s="4">
        <f t="shared" si="97"/>
        <v>0</v>
      </c>
      <c r="BU363" s="52">
        <f t="shared" si="98"/>
        <v>0</v>
      </c>
      <c r="BV363" s="1">
        <f t="shared" si="99"/>
        <v>0</v>
      </c>
      <c r="BW363">
        <f t="shared" si="100"/>
        <v>0</v>
      </c>
      <c r="BX363">
        <f t="shared" si="101"/>
        <v>0</v>
      </c>
    </row>
    <row r="364" spans="58:76" x14ac:dyDescent="0.25">
      <c r="BF364" s="1" t="e">
        <f>VLOOKUP(N364,'Incoming Material Report'!H:M,6,FALSE)</f>
        <v>#N/A</v>
      </c>
      <c r="BG364" s="1" t="e">
        <f>IF(VLOOKUP(N364,'Incoming Material Report'!H:N,7,FALSE)=0,"",VLOOKUP(N364,'Incoming Material Report'!H:N,7,FALSE))</f>
        <v>#N/A</v>
      </c>
      <c r="BH364" s="52">
        <f t="shared" si="85"/>
        <v>0</v>
      </c>
      <c r="BI364" s="1">
        <f t="shared" si="86"/>
        <v>0</v>
      </c>
      <c r="BJ364" s="1">
        <f t="shared" si="87"/>
        <v>0</v>
      </c>
      <c r="BK364" s="1">
        <f t="shared" si="88"/>
        <v>0</v>
      </c>
      <c r="BL364" s="1">
        <f t="shared" si="89"/>
        <v>0</v>
      </c>
      <c r="BM364" s="10" t="str">
        <f t="shared" si="90"/>
        <v/>
      </c>
      <c r="BN364" s="52">
        <f t="shared" si="91"/>
        <v>0</v>
      </c>
      <c r="BO364" s="52">
        <f t="shared" si="92"/>
        <v>0</v>
      </c>
      <c r="BP364" s="1">
        <f t="shared" si="93"/>
        <v>0</v>
      </c>
      <c r="BQ364" s="1">
        <f t="shared" si="94"/>
        <v>0</v>
      </c>
      <c r="BR364" s="1" t="str">
        <f t="shared" si="95"/>
        <v/>
      </c>
      <c r="BS364" s="1">
        <f t="shared" si="96"/>
        <v>0</v>
      </c>
      <c r="BT364" s="4">
        <f t="shared" si="97"/>
        <v>0</v>
      </c>
      <c r="BU364" s="52">
        <f t="shared" si="98"/>
        <v>0</v>
      </c>
      <c r="BV364" s="1">
        <f t="shared" si="99"/>
        <v>0</v>
      </c>
      <c r="BW364">
        <f t="shared" si="100"/>
        <v>0</v>
      </c>
      <c r="BX364">
        <f t="shared" si="101"/>
        <v>0</v>
      </c>
    </row>
    <row r="365" spans="58:76" x14ac:dyDescent="0.25">
      <c r="BF365" s="1" t="e">
        <f>VLOOKUP(N365,'Incoming Material Report'!H:M,6,FALSE)</f>
        <v>#N/A</v>
      </c>
      <c r="BG365" s="1" t="e">
        <f>IF(VLOOKUP(N365,'Incoming Material Report'!H:N,7,FALSE)=0,"",VLOOKUP(N365,'Incoming Material Report'!H:N,7,FALSE))</f>
        <v>#N/A</v>
      </c>
      <c r="BH365" s="52">
        <f t="shared" si="85"/>
        <v>0</v>
      </c>
      <c r="BI365" s="1">
        <f t="shared" si="86"/>
        <v>0</v>
      </c>
      <c r="BJ365" s="1">
        <f t="shared" si="87"/>
        <v>0</v>
      </c>
      <c r="BK365" s="1">
        <f t="shared" si="88"/>
        <v>0</v>
      </c>
      <c r="BL365" s="1">
        <f t="shared" si="89"/>
        <v>0</v>
      </c>
      <c r="BM365" s="10" t="str">
        <f t="shared" si="90"/>
        <v/>
      </c>
      <c r="BN365" s="52">
        <f t="shared" si="91"/>
        <v>0</v>
      </c>
      <c r="BO365" s="52">
        <f t="shared" si="92"/>
        <v>0</v>
      </c>
      <c r="BP365" s="1">
        <f t="shared" si="93"/>
        <v>0</v>
      </c>
      <c r="BQ365" s="1">
        <f t="shared" si="94"/>
        <v>0</v>
      </c>
      <c r="BR365" s="1" t="str">
        <f t="shared" si="95"/>
        <v/>
      </c>
      <c r="BS365" s="1">
        <f t="shared" si="96"/>
        <v>0</v>
      </c>
      <c r="BT365" s="4">
        <f t="shared" si="97"/>
        <v>0</v>
      </c>
      <c r="BU365" s="52">
        <f t="shared" si="98"/>
        <v>0</v>
      </c>
      <c r="BV365" s="1">
        <f t="shared" si="99"/>
        <v>0</v>
      </c>
      <c r="BW365">
        <f t="shared" si="100"/>
        <v>0</v>
      </c>
      <c r="BX365">
        <f t="shared" si="101"/>
        <v>0</v>
      </c>
    </row>
    <row r="366" spans="58:76" x14ac:dyDescent="0.25">
      <c r="BF366" s="1" t="e">
        <f>VLOOKUP(N366,'Incoming Material Report'!H:M,6,FALSE)</f>
        <v>#N/A</v>
      </c>
      <c r="BG366" s="1" t="e">
        <f>IF(VLOOKUP(N366,'Incoming Material Report'!H:N,7,FALSE)=0,"",VLOOKUP(N366,'Incoming Material Report'!H:N,7,FALSE))</f>
        <v>#N/A</v>
      </c>
      <c r="BH366" s="52">
        <f t="shared" si="85"/>
        <v>0</v>
      </c>
      <c r="BI366" s="1">
        <f t="shared" si="86"/>
        <v>0</v>
      </c>
      <c r="BJ366" s="1">
        <f t="shared" si="87"/>
        <v>0</v>
      </c>
      <c r="BK366" s="1">
        <f t="shared" si="88"/>
        <v>0</v>
      </c>
      <c r="BL366" s="1">
        <f t="shared" si="89"/>
        <v>0</v>
      </c>
      <c r="BM366" s="10" t="str">
        <f t="shared" si="90"/>
        <v/>
      </c>
      <c r="BN366" s="52">
        <f t="shared" si="91"/>
        <v>0</v>
      </c>
      <c r="BO366" s="52">
        <f t="shared" si="92"/>
        <v>0</v>
      </c>
      <c r="BP366" s="1">
        <f t="shared" si="93"/>
        <v>0</v>
      </c>
      <c r="BQ366" s="1">
        <f t="shared" si="94"/>
        <v>0</v>
      </c>
      <c r="BR366" s="1" t="str">
        <f t="shared" si="95"/>
        <v/>
      </c>
      <c r="BS366" s="1">
        <f t="shared" si="96"/>
        <v>0</v>
      </c>
      <c r="BT366" s="4">
        <f t="shared" si="97"/>
        <v>0</v>
      </c>
      <c r="BU366" s="52">
        <f t="shared" si="98"/>
        <v>0</v>
      </c>
      <c r="BV366" s="1">
        <f t="shared" si="99"/>
        <v>0</v>
      </c>
      <c r="BW366">
        <f t="shared" si="100"/>
        <v>0</v>
      </c>
      <c r="BX366">
        <f t="shared" si="101"/>
        <v>0</v>
      </c>
    </row>
    <row r="367" spans="58:76" x14ac:dyDescent="0.25">
      <c r="BF367" s="1" t="e">
        <f>VLOOKUP(N367,'Incoming Material Report'!H:M,6,FALSE)</f>
        <v>#N/A</v>
      </c>
      <c r="BG367" s="1" t="e">
        <f>IF(VLOOKUP(N367,'Incoming Material Report'!H:N,7,FALSE)=0,"",VLOOKUP(N367,'Incoming Material Report'!H:N,7,FALSE))</f>
        <v>#N/A</v>
      </c>
      <c r="BH367" s="52">
        <f t="shared" si="85"/>
        <v>0</v>
      </c>
      <c r="BI367" s="1">
        <f t="shared" si="86"/>
        <v>0</v>
      </c>
      <c r="BJ367" s="1">
        <f t="shared" si="87"/>
        <v>0</v>
      </c>
      <c r="BK367" s="1">
        <f t="shared" si="88"/>
        <v>0</v>
      </c>
      <c r="BL367" s="1">
        <f t="shared" si="89"/>
        <v>0</v>
      </c>
      <c r="BM367" s="10" t="str">
        <f t="shared" si="90"/>
        <v/>
      </c>
      <c r="BN367" s="52">
        <f t="shared" si="91"/>
        <v>0</v>
      </c>
      <c r="BO367" s="52">
        <f t="shared" si="92"/>
        <v>0</v>
      </c>
      <c r="BP367" s="1">
        <f t="shared" si="93"/>
        <v>0</v>
      </c>
      <c r="BQ367" s="1">
        <f t="shared" si="94"/>
        <v>0</v>
      </c>
      <c r="BR367" s="1" t="str">
        <f t="shared" si="95"/>
        <v/>
      </c>
      <c r="BS367" s="1">
        <f t="shared" si="96"/>
        <v>0</v>
      </c>
      <c r="BT367" s="4">
        <f t="shared" si="97"/>
        <v>0</v>
      </c>
      <c r="BU367" s="52">
        <f t="shared" si="98"/>
        <v>0</v>
      </c>
      <c r="BV367" s="1">
        <f t="shared" si="99"/>
        <v>0</v>
      </c>
      <c r="BW367">
        <f t="shared" si="100"/>
        <v>0</v>
      </c>
      <c r="BX367">
        <f t="shared" si="101"/>
        <v>0</v>
      </c>
    </row>
    <row r="368" spans="58:76" x14ac:dyDescent="0.25">
      <c r="BF368" s="1" t="e">
        <f>VLOOKUP(N368,'Incoming Material Report'!H:M,6,FALSE)</f>
        <v>#N/A</v>
      </c>
      <c r="BG368" s="1" t="e">
        <f>IF(VLOOKUP(N368,'Incoming Material Report'!H:N,7,FALSE)=0,"",VLOOKUP(N368,'Incoming Material Report'!H:N,7,FALSE))</f>
        <v>#N/A</v>
      </c>
      <c r="BH368" s="52">
        <f t="shared" si="85"/>
        <v>0</v>
      </c>
      <c r="BI368" s="1">
        <f t="shared" si="86"/>
        <v>0</v>
      </c>
      <c r="BJ368" s="1">
        <f t="shared" si="87"/>
        <v>0</v>
      </c>
      <c r="BK368" s="1">
        <f t="shared" si="88"/>
        <v>0</v>
      </c>
      <c r="BL368" s="1">
        <f t="shared" si="89"/>
        <v>0</v>
      </c>
      <c r="BM368" s="10" t="str">
        <f t="shared" si="90"/>
        <v/>
      </c>
      <c r="BN368" s="52">
        <f t="shared" si="91"/>
        <v>0</v>
      </c>
      <c r="BO368" s="52">
        <f t="shared" si="92"/>
        <v>0</v>
      </c>
      <c r="BP368" s="1">
        <f t="shared" si="93"/>
        <v>0</v>
      </c>
      <c r="BQ368" s="1">
        <f t="shared" si="94"/>
        <v>0</v>
      </c>
      <c r="BR368" s="1" t="str">
        <f t="shared" si="95"/>
        <v/>
      </c>
      <c r="BS368" s="1">
        <f t="shared" si="96"/>
        <v>0</v>
      </c>
      <c r="BT368" s="4">
        <f t="shared" si="97"/>
        <v>0</v>
      </c>
      <c r="BU368" s="52">
        <f t="shared" si="98"/>
        <v>0</v>
      </c>
      <c r="BV368" s="1">
        <f t="shared" si="99"/>
        <v>0</v>
      </c>
      <c r="BW368">
        <f t="shared" si="100"/>
        <v>0</v>
      </c>
      <c r="BX368">
        <f t="shared" si="101"/>
        <v>0</v>
      </c>
    </row>
    <row r="369" spans="58:76" x14ac:dyDescent="0.25">
      <c r="BF369" s="1" t="e">
        <f>VLOOKUP(N369,'Incoming Material Report'!H:M,6,FALSE)</f>
        <v>#N/A</v>
      </c>
      <c r="BG369" s="1" t="e">
        <f>IF(VLOOKUP(N369,'Incoming Material Report'!H:N,7,FALSE)=0,"",VLOOKUP(N369,'Incoming Material Report'!H:N,7,FALSE))</f>
        <v>#N/A</v>
      </c>
      <c r="BH369" s="52">
        <f t="shared" si="85"/>
        <v>0</v>
      </c>
      <c r="BI369" s="1">
        <f t="shared" si="86"/>
        <v>0</v>
      </c>
      <c r="BJ369" s="1">
        <f t="shared" si="87"/>
        <v>0</v>
      </c>
      <c r="BK369" s="1">
        <f t="shared" si="88"/>
        <v>0</v>
      </c>
      <c r="BL369" s="1">
        <f t="shared" si="89"/>
        <v>0</v>
      </c>
      <c r="BM369" s="10" t="str">
        <f t="shared" si="90"/>
        <v/>
      </c>
      <c r="BN369" s="52">
        <f t="shared" si="91"/>
        <v>0</v>
      </c>
      <c r="BO369" s="52">
        <f t="shared" si="92"/>
        <v>0</v>
      </c>
      <c r="BP369" s="1">
        <f t="shared" si="93"/>
        <v>0</v>
      </c>
      <c r="BQ369" s="1">
        <f t="shared" si="94"/>
        <v>0</v>
      </c>
      <c r="BR369" s="1" t="str">
        <f t="shared" si="95"/>
        <v/>
      </c>
      <c r="BS369" s="1">
        <f t="shared" si="96"/>
        <v>0</v>
      </c>
      <c r="BT369" s="4">
        <f t="shared" si="97"/>
        <v>0</v>
      </c>
      <c r="BU369" s="52">
        <f t="shared" si="98"/>
        <v>0</v>
      </c>
      <c r="BV369" s="1">
        <f t="shared" si="99"/>
        <v>0</v>
      </c>
      <c r="BW369">
        <f t="shared" si="100"/>
        <v>0</v>
      </c>
      <c r="BX369">
        <f t="shared" si="101"/>
        <v>0</v>
      </c>
    </row>
    <row r="370" spans="58:76" x14ac:dyDescent="0.25">
      <c r="BF370" s="1" t="e">
        <f>VLOOKUP(N370,'Incoming Material Report'!H:M,6,FALSE)</f>
        <v>#N/A</v>
      </c>
      <c r="BG370" s="1" t="e">
        <f>IF(VLOOKUP(N370,'Incoming Material Report'!H:N,7,FALSE)=0,"",VLOOKUP(N370,'Incoming Material Report'!H:N,7,FALSE))</f>
        <v>#N/A</v>
      </c>
      <c r="BH370" s="52">
        <f t="shared" si="85"/>
        <v>0</v>
      </c>
      <c r="BI370" s="1">
        <f t="shared" si="86"/>
        <v>0</v>
      </c>
      <c r="BJ370" s="1">
        <f t="shared" si="87"/>
        <v>0</v>
      </c>
      <c r="BK370" s="1">
        <f t="shared" si="88"/>
        <v>0</v>
      </c>
      <c r="BL370" s="1">
        <f t="shared" si="89"/>
        <v>0</v>
      </c>
      <c r="BM370" s="10" t="str">
        <f t="shared" si="90"/>
        <v/>
      </c>
      <c r="BN370" s="52">
        <f t="shared" si="91"/>
        <v>0</v>
      </c>
      <c r="BO370" s="52">
        <f t="shared" si="92"/>
        <v>0</v>
      </c>
      <c r="BP370" s="1">
        <f t="shared" si="93"/>
        <v>0</v>
      </c>
      <c r="BQ370" s="1">
        <f t="shared" si="94"/>
        <v>0</v>
      </c>
      <c r="BR370" s="1" t="str">
        <f t="shared" si="95"/>
        <v/>
      </c>
      <c r="BS370" s="1">
        <f t="shared" si="96"/>
        <v>0</v>
      </c>
      <c r="BT370" s="4">
        <f t="shared" si="97"/>
        <v>0</v>
      </c>
      <c r="BU370" s="52">
        <f t="shared" si="98"/>
        <v>0</v>
      </c>
      <c r="BV370" s="1">
        <f t="shared" si="99"/>
        <v>0</v>
      </c>
      <c r="BW370">
        <f t="shared" si="100"/>
        <v>0</v>
      </c>
      <c r="BX370">
        <f t="shared" si="101"/>
        <v>0</v>
      </c>
    </row>
    <row r="371" spans="58:76" x14ac:dyDescent="0.25">
      <c r="BF371" s="1" t="e">
        <f>VLOOKUP(N371,'Incoming Material Report'!H:M,6,FALSE)</f>
        <v>#N/A</v>
      </c>
      <c r="BG371" s="1" t="e">
        <f>IF(VLOOKUP(N371,'Incoming Material Report'!H:N,7,FALSE)=0,"",VLOOKUP(N371,'Incoming Material Report'!H:N,7,FALSE))</f>
        <v>#N/A</v>
      </c>
      <c r="BH371" s="52">
        <f t="shared" si="85"/>
        <v>0</v>
      </c>
      <c r="BI371" s="1">
        <f t="shared" si="86"/>
        <v>0</v>
      </c>
      <c r="BJ371" s="1">
        <f t="shared" si="87"/>
        <v>0</v>
      </c>
      <c r="BK371" s="1">
        <f t="shared" si="88"/>
        <v>0</v>
      </c>
      <c r="BL371" s="1">
        <f t="shared" si="89"/>
        <v>0</v>
      </c>
      <c r="BM371" s="10" t="str">
        <f t="shared" si="90"/>
        <v/>
      </c>
      <c r="BN371" s="52">
        <f t="shared" si="91"/>
        <v>0</v>
      </c>
      <c r="BO371" s="52">
        <f t="shared" si="92"/>
        <v>0</v>
      </c>
      <c r="BP371" s="1">
        <f t="shared" si="93"/>
        <v>0</v>
      </c>
      <c r="BQ371" s="1">
        <f t="shared" si="94"/>
        <v>0</v>
      </c>
      <c r="BR371" s="1" t="str">
        <f t="shared" si="95"/>
        <v/>
      </c>
      <c r="BS371" s="1">
        <f t="shared" si="96"/>
        <v>0</v>
      </c>
      <c r="BT371" s="4">
        <f t="shared" si="97"/>
        <v>0</v>
      </c>
      <c r="BU371" s="52">
        <f t="shared" si="98"/>
        <v>0</v>
      </c>
      <c r="BV371" s="1">
        <f t="shared" si="99"/>
        <v>0</v>
      </c>
      <c r="BW371">
        <f t="shared" si="100"/>
        <v>0</v>
      </c>
      <c r="BX371">
        <f t="shared" si="101"/>
        <v>0</v>
      </c>
    </row>
    <row r="372" spans="58:76" x14ac:dyDescent="0.25">
      <c r="BF372" s="1" t="e">
        <f>VLOOKUP(N372,'Incoming Material Report'!H:M,6,FALSE)</f>
        <v>#N/A</v>
      </c>
      <c r="BG372" s="1" t="e">
        <f>IF(VLOOKUP(N372,'Incoming Material Report'!H:N,7,FALSE)=0,"",VLOOKUP(N372,'Incoming Material Report'!H:N,7,FALSE))</f>
        <v>#N/A</v>
      </c>
      <c r="BH372" s="52">
        <f t="shared" si="85"/>
        <v>0</v>
      </c>
      <c r="BI372" s="1">
        <f t="shared" si="86"/>
        <v>0</v>
      </c>
      <c r="BJ372" s="1">
        <f t="shared" si="87"/>
        <v>0</v>
      </c>
      <c r="BK372" s="1">
        <f t="shared" si="88"/>
        <v>0</v>
      </c>
      <c r="BL372" s="1">
        <f t="shared" si="89"/>
        <v>0</v>
      </c>
      <c r="BM372" s="10" t="str">
        <f t="shared" si="90"/>
        <v/>
      </c>
      <c r="BN372" s="52">
        <f t="shared" si="91"/>
        <v>0</v>
      </c>
      <c r="BO372" s="52">
        <f t="shared" si="92"/>
        <v>0</v>
      </c>
      <c r="BP372" s="1">
        <f t="shared" si="93"/>
        <v>0</v>
      </c>
      <c r="BQ372" s="1">
        <f t="shared" si="94"/>
        <v>0</v>
      </c>
      <c r="BR372" s="1" t="str">
        <f t="shared" si="95"/>
        <v/>
      </c>
      <c r="BS372" s="1">
        <f t="shared" si="96"/>
        <v>0</v>
      </c>
      <c r="BT372" s="4">
        <f t="shared" si="97"/>
        <v>0</v>
      </c>
      <c r="BU372" s="52">
        <f t="shared" si="98"/>
        <v>0</v>
      </c>
      <c r="BV372" s="1">
        <f t="shared" si="99"/>
        <v>0</v>
      </c>
      <c r="BW372">
        <f t="shared" si="100"/>
        <v>0</v>
      </c>
      <c r="BX372">
        <f t="shared" si="101"/>
        <v>0</v>
      </c>
    </row>
    <row r="373" spans="58:76" x14ac:dyDescent="0.25">
      <c r="BF373" s="1" t="e">
        <f>VLOOKUP(N373,'Incoming Material Report'!H:M,6,FALSE)</f>
        <v>#N/A</v>
      </c>
      <c r="BG373" s="1" t="e">
        <f>IF(VLOOKUP(N373,'Incoming Material Report'!H:N,7,FALSE)=0,"",VLOOKUP(N373,'Incoming Material Report'!H:N,7,FALSE))</f>
        <v>#N/A</v>
      </c>
      <c r="BH373" s="52">
        <f t="shared" si="85"/>
        <v>0</v>
      </c>
      <c r="BI373" s="1">
        <f t="shared" si="86"/>
        <v>0</v>
      </c>
      <c r="BJ373" s="1">
        <f t="shared" si="87"/>
        <v>0</v>
      </c>
      <c r="BK373" s="1">
        <f t="shared" si="88"/>
        <v>0</v>
      </c>
      <c r="BL373" s="1">
        <f t="shared" si="89"/>
        <v>0</v>
      </c>
      <c r="BM373" s="10" t="str">
        <f t="shared" si="90"/>
        <v/>
      </c>
      <c r="BN373" s="52">
        <f t="shared" si="91"/>
        <v>0</v>
      </c>
      <c r="BO373" s="52">
        <f t="shared" si="92"/>
        <v>0</v>
      </c>
      <c r="BP373" s="1">
        <f t="shared" si="93"/>
        <v>0</v>
      </c>
      <c r="BQ373" s="1">
        <f t="shared" si="94"/>
        <v>0</v>
      </c>
      <c r="BR373" s="1" t="str">
        <f t="shared" si="95"/>
        <v/>
      </c>
      <c r="BS373" s="1">
        <f t="shared" si="96"/>
        <v>0</v>
      </c>
      <c r="BT373" s="4">
        <f t="shared" si="97"/>
        <v>0</v>
      </c>
      <c r="BU373" s="52">
        <f t="shared" si="98"/>
        <v>0</v>
      </c>
      <c r="BV373" s="1">
        <f t="shared" si="99"/>
        <v>0</v>
      </c>
      <c r="BW373">
        <f t="shared" si="100"/>
        <v>0</v>
      </c>
      <c r="BX373">
        <f t="shared" si="101"/>
        <v>0</v>
      </c>
    </row>
    <row r="374" spans="58:76" x14ac:dyDescent="0.25">
      <c r="BF374" s="1" t="e">
        <f>VLOOKUP(N374,'Incoming Material Report'!H:M,6,FALSE)</f>
        <v>#N/A</v>
      </c>
      <c r="BG374" s="1" t="e">
        <f>IF(VLOOKUP(N374,'Incoming Material Report'!H:N,7,FALSE)=0,"",VLOOKUP(N374,'Incoming Material Report'!H:N,7,FALSE))</f>
        <v>#N/A</v>
      </c>
      <c r="BH374" s="52">
        <f t="shared" si="85"/>
        <v>0</v>
      </c>
      <c r="BI374" s="1">
        <f t="shared" si="86"/>
        <v>0</v>
      </c>
      <c r="BJ374" s="1">
        <f t="shared" si="87"/>
        <v>0</v>
      </c>
      <c r="BK374" s="1">
        <f t="shared" si="88"/>
        <v>0</v>
      </c>
      <c r="BL374" s="1">
        <f t="shared" si="89"/>
        <v>0</v>
      </c>
      <c r="BM374" s="10" t="str">
        <f t="shared" si="90"/>
        <v/>
      </c>
      <c r="BN374" s="52">
        <f t="shared" si="91"/>
        <v>0</v>
      </c>
      <c r="BO374" s="52">
        <f t="shared" si="92"/>
        <v>0</v>
      </c>
      <c r="BP374" s="1">
        <f t="shared" si="93"/>
        <v>0</v>
      </c>
      <c r="BQ374" s="1">
        <f t="shared" si="94"/>
        <v>0</v>
      </c>
      <c r="BR374" s="1" t="str">
        <f t="shared" si="95"/>
        <v/>
      </c>
      <c r="BS374" s="1">
        <f t="shared" si="96"/>
        <v>0</v>
      </c>
      <c r="BT374" s="4">
        <f t="shared" si="97"/>
        <v>0</v>
      </c>
      <c r="BU374" s="52">
        <f t="shared" si="98"/>
        <v>0</v>
      </c>
      <c r="BV374" s="1">
        <f t="shared" si="99"/>
        <v>0</v>
      </c>
      <c r="BW374">
        <f t="shared" si="100"/>
        <v>0</v>
      </c>
      <c r="BX374">
        <f t="shared" si="101"/>
        <v>0</v>
      </c>
    </row>
    <row r="375" spans="58:76" x14ac:dyDescent="0.25">
      <c r="BF375" s="1" t="e">
        <f>VLOOKUP(N375,'Incoming Material Report'!H:M,6,FALSE)</f>
        <v>#N/A</v>
      </c>
      <c r="BG375" s="1" t="e">
        <f>IF(VLOOKUP(N375,'Incoming Material Report'!H:N,7,FALSE)=0,"",VLOOKUP(N375,'Incoming Material Report'!H:N,7,FALSE))</f>
        <v>#N/A</v>
      </c>
      <c r="BH375" s="52">
        <f t="shared" si="85"/>
        <v>0</v>
      </c>
      <c r="BI375" s="1">
        <f t="shared" si="86"/>
        <v>0</v>
      </c>
      <c r="BJ375" s="1">
        <f t="shared" si="87"/>
        <v>0</v>
      </c>
      <c r="BK375" s="1">
        <f t="shared" si="88"/>
        <v>0</v>
      </c>
      <c r="BL375" s="1">
        <f t="shared" si="89"/>
        <v>0</v>
      </c>
      <c r="BM375" s="10" t="str">
        <f t="shared" si="90"/>
        <v/>
      </c>
      <c r="BN375" s="52">
        <f t="shared" si="91"/>
        <v>0</v>
      </c>
      <c r="BO375" s="52">
        <f t="shared" si="92"/>
        <v>0</v>
      </c>
      <c r="BP375" s="1">
        <f t="shared" si="93"/>
        <v>0</v>
      </c>
      <c r="BQ375" s="1">
        <f t="shared" si="94"/>
        <v>0</v>
      </c>
      <c r="BR375" s="1" t="str">
        <f t="shared" si="95"/>
        <v/>
      </c>
      <c r="BS375" s="1">
        <f t="shared" si="96"/>
        <v>0</v>
      </c>
      <c r="BT375" s="4">
        <f t="shared" si="97"/>
        <v>0</v>
      </c>
      <c r="BU375" s="52">
        <f t="shared" si="98"/>
        <v>0</v>
      </c>
      <c r="BV375" s="1">
        <f t="shared" si="99"/>
        <v>0</v>
      </c>
      <c r="BW375">
        <f t="shared" si="100"/>
        <v>0</v>
      </c>
      <c r="BX375">
        <f t="shared" si="101"/>
        <v>0</v>
      </c>
    </row>
    <row r="376" spans="58:76" x14ac:dyDescent="0.25">
      <c r="BF376" s="1" t="e">
        <f>VLOOKUP(N376,'Incoming Material Report'!H:M,6,FALSE)</f>
        <v>#N/A</v>
      </c>
      <c r="BG376" s="1" t="e">
        <f>IF(VLOOKUP(N376,'Incoming Material Report'!H:N,7,FALSE)=0,"",VLOOKUP(N376,'Incoming Material Report'!H:N,7,FALSE))</f>
        <v>#N/A</v>
      </c>
      <c r="BH376" s="52">
        <f t="shared" si="85"/>
        <v>0</v>
      </c>
      <c r="BI376" s="1">
        <f t="shared" si="86"/>
        <v>0</v>
      </c>
      <c r="BJ376" s="1">
        <f t="shared" si="87"/>
        <v>0</v>
      </c>
      <c r="BK376" s="1">
        <f t="shared" si="88"/>
        <v>0</v>
      </c>
      <c r="BL376" s="1">
        <f t="shared" si="89"/>
        <v>0</v>
      </c>
      <c r="BM376" s="10" t="str">
        <f t="shared" si="90"/>
        <v/>
      </c>
      <c r="BN376" s="52">
        <f t="shared" si="91"/>
        <v>0</v>
      </c>
      <c r="BO376" s="52">
        <f t="shared" si="92"/>
        <v>0</v>
      </c>
      <c r="BP376" s="1">
        <f t="shared" si="93"/>
        <v>0</v>
      </c>
      <c r="BQ376" s="1">
        <f t="shared" si="94"/>
        <v>0</v>
      </c>
      <c r="BR376" s="1" t="str">
        <f t="shared" si="95"/>
        <v/>
      </c>
      <c r="BS376" s="1">
        <f t="shared" si="96"/>
        <v>0</v>
      </c>
      <c r="BT376" s="4">
        <f t="shared" si="97"/>
        <v>0</v>
      </c>
      <c r="BU376" s="52">
        <f t="shared" si="98"/>
        <v>0</v>
      </c>
      <c r="BV376" s="1">
        <f t="shared" si="99"/>
        <v>0</v>
      </c>
      <c r="BW376">
        <f t="shared" si="100"/>
        <v>0</v>
      </c>
      <c r="BX376">
        <f t="shared" si="101"/>
        <v>0</v>
      </c>
    </row>
    <row r="377" spans="58:76" x14ac:dyDescent="0.25">
      <c r="BF377" s="1" t="e">
        <f>VLOOKUP(N377,'Incoming Material Report'!H:M,6,FALSE)</f>
        <v>#N/A</v>
      </c>
      <c r="BG377" s="1" t="e">
        <f>IF(VLOOKUP(N377,'Incoming Material Report'!H:N,7,FALSE)=0,"",VLOOKUP(N377,'Incoming Material Report'!H:N,7,FALSE))</f>
        <v>#N/A</v>
      </c>
      <c r="BH377" s="52">
        <f t="shared" si="85"/>
        <v>0</v>
      </c>
      <c r="BI377" s="1">
        <f t="shared" si="86"/>
        <v>0</v>
      </c>
      <c r="BJ377" s="1">
        <f t="shared" si="87"/>
        <v>0</v>
      </c>
      <c r="BK377" s="1">
        <f t="shared" si="88"/>
        <v>0</v>
      </c>
      <c r="BL377" s="1">
        <f t="shared" si="89"/>
        <v>0</v>
      </c>
      <c r="BM377" s="10" t="str">
        <f t="shared" si="90"/>
        <v/>
      </c>
      <c r="BN377" s="52">
        <f t="shared" si="91"/>
        <v>0</v>
      </c>
      <c r="BO377" s="52">
        <f t="shared" si="92"/>
        <v>0</v>
      </c>
      <c r="BP377" s="1">
        <f t="shared" si="93"/>
        <v>0</v>
      </c>
      <c r="BQ377" s="1">
        <f t="shared" si="94"/>
        <v>0</v>
      </c>
      <c r="BR377" s="1" t="str">
        <f t="shared" si="95"/>
        <v/>
      </c>
      <c r="BS377" s="1">
        <f t="shared" si="96"/>
        <v>0</v>
      </c>
      <c r="BT377" s="4">
        <f t="shared" si="97"/>
        <v>0</v>
      </c>
      <c r="BU377" s="52">
        <f t="shared" si="98"/>
        <v>0</v>
      </c>
      <c r="BV377" s="1">
        <f t="shared" si="99"/>
        <v>0</v>
      </c>
      <c r="BW377">
        <f t="shared" si="100"/>
        <v>0</v>
      </c>
      <c r="BX377">
        <f t="shared" si="101"/>
        <v>0</v>
      </c>
    </row>
    <row r="378" spans="58:76" x14ac:dyDescent="0.25">
      <c r="BF378" s="1" t="e">
        <f>VLOOKUP(N378,'Incoming Material Report'!H:M,6,FALSE)</f>
        <v>#N/A</v>
      </c>
      <c r="BG378" s="1" t="e">
        <f>IF(VLOOKUP(N378,'Incoming Material Report'!H:N,7,FALSE)=0,"",VLOOKUP(N378,'Incoming Material Report'!H:N,7,FALSE))</f>
        <v>#N/A</v>
      </c>
      <c r="BH378" s="52">
        <f t="shared" ref="BH378:BH441" si="102">VALUE(T378)</f>
        <v>0</v>
      </c>
      <c r="BI378" s="1">
        <f t="shared" ref="BI378:BI441" si="103">VALUE(U378)</f>
        <v>0</v>
      </c>
      <c r="BJ378" s="1">
        <f t="shared" ref="BJ378:BJ441" si="104">IFERROR(_xlfn.NUMBERVALUE(V378),V378)</f>
        <v>0</v>
      </c>
      <c r="BK378" s="1">
        <f t="shared" ref="BK378:BK441" si="105">IFERROR(INT(I378),I378)</f>
        <v>0</v>
      </c>
      <c r="BL378" s="1">
        <f t="shared" ref="BL378:BL441" si="106">L378</f>
        <v>0</v>
      </c>
      <c r="BM378" s="10" t="str">
        <f t="shared" ref="BM378:BM441" si="107">SUBSTITUTE(J378,"/",".")</f>
        <v/>
      </c>
      <c r="BN378" s="52">
        <f t="shared" ref="BN378:BN441" si="108">VALUE(Q378)*1000</f>
        <v>0</v>
      </c>
      <c r="BO378" s="52">
        <f t="shared" ref="BO378:BO441" si="109">VALUE(P378)/1000</f>
        <v>0</v>
      </c>
      <c r="BP378" s="1">
        <f t="shared" ref="BP378:BP441" si="110">VALUE(D378)</f>
        <v>0</v>
      </c>
      <c r="BQ378" s="1">
        <f t="shared" ref="BQ378:BQ441" si="111">G378</f>
        <v>0</v>
      </c>
      <c r="BR378" s="1" t="str">
        <f t="shared" ref="BR378:BR441" si="112">SUBSTITUTE(O378,".","")</f>
        <v/>
      </c>
      <c r="BS378" s="1">
        <f t="shared" ref="BS378:BS441" si="113">S378</f>
        <v>0</v>
      </c>
      <c r="BT378" s="4">
        <f t="shared" ref="BT378:BT441" si="114">VALUE(AJ378)</f>
        <v>0</v>
      </c>
      <c r="BU378" s="52">
        <f t="shared" ref="BU378:BU441" si="115">K378</f>
        <v>0</v>
      </c>
      <c r="BV378" s="1">
        <f t="shared" ref="BV378:BV441" si="116">AQ378</f>
        <v>0</v>
      </c>
      <c r="BW378">
        <f t="shared" ref="BW378:BW441" si="117">X378</f>
        <v>0</v>
      </c>
      <c r="BX378">
        <f t="shared" ref="BX378:BX441" si="118">AN378</f>
        <v>0</v>
      </c>
    </row>
    <row r="379" spans="58:76" x14ac:dyDescent="0.25">
      <c r="BF379" s="1" t="e">
        <f>VLOOKUP(N379,'Incoming Material Report'!H:M,6,FALSE)</f>
        <v>#N/A</v>
      </c>
      <c r="BG379" s="1" t="e">
        <f>IF(VLOOKUP(N379,'Incoming Material Report'!H:N,7,FALSE)=0,"",VLOOKUP(N379,'Incoming Material Report'!H:N,7,FALSE))</f>
        <v>#N/A</v>
      </c>
      <c r="BH379" s="52">
        <f t="shared" si="102"/>
        <v>0</v>
      </c>
      <c r="BI379" s="1">
        <f t="shared" si="103"/>
        <v>0</v>
      </c>
      <c r="BJ379" s="1">
        <f t="shared" si="104"/>
        <v>0</v>
      </c>
      <c r="BK379" s="1">
        <f t="shared" si="105"/>
        <v>0</v>
      </c>
      <c r="BL379" s="1">
        <f t="shared" si="106"/>
        <v>0</v>
      </c>
      <c r="BM379" s="10" t="str">
        <f t="shared" si="107"/>
        <v/>
      </c>
      <c r="BN379" s="52">
        <f t="shared" si="108"/>
        <v>0</v>
      </c>
      <c r="BO379" s="52">
        <f t="shared" si="109"/>
        <v>0</v>
      </c>
      <c r="BP379" s="1">
        <f t="shared" si="110"/>
        <v>0</v>
      </c>
      <c r="BQ379" s="1">
        <f t="shared" si="111"/>
        <v>0</v>
      </c>
      <c r="BR379" s="1" t="str">
        <f t="shared" si="112"/>
        <v/>
      </c>
      <c r="BS379" s="1">
        <f t="shared" si="113"/>
        <v>0</v>
      </c>
      <c r="BT379" s="4">
        <f t="shared" si="114"/>
        <v>0</v>
      </c>
      <c r="BU379" s="52">
        <f t="shared" si="115"/>
        <v>0</v>
      </c>
      <c r="BV379" s="1">
        <f t="shared" si="116"/>
        <v>0</v>
      </c>
      <c r="BW379">
        <f t="shared" si="117"/>
        <v>0</v>
      </c>
      <c r="BX379">
        <f t="shared" si="118"/>
        <v>0</v>
      </c>
    </row>
    <row r="380" spans="58:76" x14ac:dyDescent="0.25">
      <c r="BF380" s="1" t="e">
        <f>VLOOKUP(N380,'Incoming Material Report'!H:M,6,FALSE)</f>
        <v>#N/A</v>
      </c>
      <c r="BG380" s="1" t="e">
        <f>IF(VLOOKUP(N380,'Incoming Material Report'!H:N,7,FALSE)=0,"",VLOOKUP(N380,'Incoming Material Report'!H:N,7,FALSE))</f>
        <v>#N/A</v>
      </c>
      <c r="BH380" s="52">
        <f t="shared" si="102"/>
        <v>0</v>
      </c>
      <c r="BI380" s="1">
        <f t="shared" si="103"/>
        <v>0</v>
      </c>
      <c r="BJ380" s="1">
        <f t="shared" si="104"/>
        <v>0</v>
      </c>
      <c r="BK380" s="1">
        <f t="shared" si="105"/>
        <v>0</v>
      </c>
      <c r="BL380" s="1">
        <f t="shared" si="106"/>
        <v>0</v>
      </c>
      <c r="BM380" s="10" t="str">
        <f t="shared" si="107"/>
        <v/>
      </c>
      <c r="BN380" s="52">
        <f t="shared" si="108"/>
        <v>0</v>
      </c>
      <c r="BO380" s="52">
        <f t="shared" si="109"/>
        <v>0</v>
      </c>
      <c r="BP380" s="1">
        <f t="shared" si="110"/>
        <v>0</v>
      </c>
      <c r="BQ380" s="1">
        <f t="shared" si="111"/>
        <v>0</v>
      </c>
      <c r="BR380" s="1" t="str">
        <f t="shared" si="112"/>
        <v/>
      </c>
      <c r="BS380" s="1">
        <f t="shared" si="113"/>
        <v>0</v>
      </c>
      <c r="BT380" s="4">
        <f t="shared" si="114"/>
        <v>0</v>
      </c>
      <c r="BU380" s="52">
        <f t="shared" si="115"/>
        <v>0</v>
      </c>
      <c r="BV380" s="1">
        <f t="shared" si="116"/>
        <v>0</v>
      </c>
      <c r="BW380">
        <f t="shared" si="117"/>
        <v>0</v>
      </c>
      <c r="BX380">
        <f t="shared" si="118"/>
        <v>0</v>
      </c>
    </row>
    <row r="381" spans="58:76" x14ac:dyDescent="0.25">
      <c r="BF381" s="1" t="e">
        <f>VLOOKUP(N381,'Incoming Material Report'!H:M,6,FALSE)</f>
        <v>#N/A</v>
      </c>
      <c r="BG381" s="1" t="e">
        <f>IF(VLOOKUP(N381,'Incoming Material Report'!H:N,7,FALSE)=0,"",VLOOKUP(N381,'Incoming Material Report'!H:N,7,FALSE))</f>
        <v>#N/A</v>
      </c>
      <c r="BH381" s="52">
        <f t="shared" si="102"/>
        <v>0</v>
      </c>
      <c r="BI381" s="1">
        <f t="shared" si="103"/>
        <v>0</v>
      </c>
      <c r="BJ381" s="1">
        <f t="shared" si="104"/>
        <v>0</v>
      </c>
      <c r="BK381" s="1">
        <f t="shared" si="105"/>
        <v>0</v>
      </c>
      <c r="BL381" s="1">
        <f t="shared" si="106"/>
        <v>0</v>
      </c>
      <c r="BM381" s="10" t="str">
        <f t="shared" si="107"/>
        <v/>
      </c>
      <c r="BN381" s="52">
        <f t="shared" si="108"/>
        <v>0</v>
      </c>
      <c r="BO381" s="52">
        <f t="shared" si="109"/>
        <v>0</v>
      </c>
      <c r="BP381" s="1">
        <f t="shared" si="110"/>
        <v>0</v>
      </c>
      <c r="BQ381" s="1">
        <f t="shared" si="111"/>
        <v>0</v>
      </c>
      <c r="BR381" s="1" t="str">
        <f t="shared" si="112"/>
        <v/>
      </c>
      <c r="BS381" s="1">
        <f t="shared" si="113"/>
        <v>0</v>
      </c>
      <c r="BT381" s="4">
        <f t="shared" si="114"/>
        <v>0</v>
      </c>
      <c r="BU381" s="52">
        <f t="shared" si="115"/>
        <v>0</v>
      </c>
      <c r="BV381" s="1">
        <f t="shared" si="116"/>
        <v>0</v>
      </c>
      <c r="BW381">
        <f t="shared" si="117"/>
        <v>0</v>
      </c>
      <c r="BX381">
        <f t="shared" si="118"/>
        <v>0</v>
      </c>
    </row>
    <row r="382" spans="58:76" x14ac:dyDescent="0.25">
      <c r="BF382" s="1" t="e">
        <f>VLOOKUP(N382,'Incoming Material Report'!H:M,6,FALSE)</f>
        <v>#N/A</v>
      </c>
      <c r="BG382" s="1" t="e">
        <f>IF(VLOOKUP(N382,'Incoming Material Report'!H:N,7,FALSE)=0,"",VLOOKUP(N382,'Incoming Material Report'!H:N,7,FALSE))</f>
        <v>#N/A</v>
      </c>
      <c r="BH382" s="52">
        <f t="shared" si="102"/>
        <v>0</v>
      </c>
      <c r="BI382" s="1">
        <f t="shared" si="103"/>
        <v>0</v>
      </c>
      <c r="BJ382" s="1">
        <f t="shared" si="104"/>
        <v>0</v>
      </c>
      <c r="BK382" s="1">
        <f t="shared" si="105"/>
        <v>0</v>
      </c>
      <c r="BL382" s="1">
        <f t="shared" si="106"/>
        <v>0</v>
      </c>
      <c r="BM382" s="10" t="str">
        <f t="shared" si="107"/>
        <v/>
      </c>
      <c r="BN382" s="52">
        <f t="shared" si="108"/>
        <v>0</v>
      </c>
      <c r="BO382" s="52">
        <f t="shared" si="109"/>
        <v>0</v>
      </c>
      <c r="BP382" s="1">
        <f t="shared" si="110"/>
        <v>0</v>
      </c>
      <c r="BQ382" s="1">
        <f t="shared" si="111"/>
        <v>0</v>
      </c>
      <c r="BR382" s="1" t="str">
        <f t="shared" si="112"/>
        <v/>
      </c>
      <c r="BS382" s="1">
        <f t="shared" si="113"/>
        <v>0</v>
      </c>
      <c r="BT382" s="4">
        <f t="shared" si="114"/>
        <v>0</v>
      </c>
      <c r="BU382" s="52">
        <f t="shared" si="115"/>
        <v>0</v>
      </c>
      <c r="BV382" s="1">
        <f t="shared" si="116"/>
        <v>0</v>
      </c>
      <c r="BW382">
        <f t="shared" si="117"/>
        <v>0</v>
      </c>
      <c r="BX382">
        <f t="shared" si="118"/>
        <v>0</v>
      </c>
    </row>
    <row r="383" spans="58:76" x14ac:dyDescent="0.25">
      <c r="BF383" s="1" t="e">
        <f>VLOOKUP(N383,'Incoming Material Report'!H:M,6,FALSE)</f>
        <v>#N/A</v>
      </c>
      <c r="BG383" s="1" t="e">
        <f>IF(VLOOKUP(N383,'Incoming Material Report'!H:N,7,FALSE)=0,"",VLOOKUP(N383,'Incoming Material Report'!H:N,7,FALSE))</f>
        <v>#N/A</v>
      </c>
      <c r="BH383" s="52">
        <f t="shared" si="102"/>
        <v>0</v>
      </c>
      <c r="BI383" s="1">
        <f t="shared" si="103"/>
        <v>0</v>
      </c>
      <c r="BJ383" s="1">
        <f t="shared" si="104"/>
        <v>0</v>
      </c>
      <c r="BK383" s="1">
        <f t="shared" si="105"/>
        <v>0</v>
      </c>
      <c r="BL383" s="1">
        <f t="shared" si="106"/>
        <v>0</v>
      </c>
      <c r="BM383" s="10" t="str">
        <f t="shared" si="107"/>
        <v/>
      </c>
      <c r="BN383" s="52">
        <f t="shared" si="108"/>
        <v>0</v>
      </c>
      <c r="BO383" s="52">
        <f t="shared" si="109"/>
        <v>0</v>
      </c>
      <c r="BP383" s="1">
        <f t="shared" si="110"/>
        <v>0</v>
      </c>
      <c r="BQ383" s="1">
        <f t="shared" si="111"/>
        <v>0</v>
      </c>
      <c r="BR383" s="1" t="str">
        <f t="shared" si="112"/>
        <v/>
      </c>
      <c r="BS383" s="1">
        <f t="shared" si="113"/>
        <v>0</v>
      </c>
      <c r="BT383" s="4">
        <f t="shared" si="114"/>
        <v>0</v>
      </c>
      <c r="BU383" s="52">
        <f t="shared" si="115"/>
        <v>0</v>
      </c>
      <c r="BV383" s="1">
        <f t="shared" si="116"/>
        <v>0</v>
      </c>
      <c r="BW383">
        <f t="shared" si="117"/>
        <v>0</v>
      </c>
      <c r="BX383">
        <f t="shared" si="118"/>
        <v>0</v>
      </c>
    </row>
    <row r="384" spans="58:76" x14ac:dyDescent="0.25">
      <c r="BF384" s="1" t="e">
        <f>VLOOKUP(N384,'Incoming Material Report'!H:M,6,FALSE)</f>
        <v>#N/A</v>
      </c>
      <c r="BG384" s="1" t="e">
        <f>IF(VLOOKUP(N384,'Incoming Material Report'!H:N,7,FALSE)=0,"",VLOOKUP(N384,'Incoming Material Report'!H:N,7,FALSE))</f>
        <v>#N/A</v>
      </c>
      <c r="BH384" s="52">
        <f t="shared" si="102"/>
        <v>0</v>
      </c>
      <c r="BI384" s="1">
        <f t="shared" si="103"/>
        <v>0</v>
      </c>
      <c r="BJ384" s="1">
        <f t="shared" si="104"/>
        <v>0</v>
      </c>
      <c r="BK384" s="1">
        <f t="shared" si="105"/>
        <v>0</v>
      </c>
      <c r="BL384" s="1">
        <f t="shared" si="106"/>
        <v>0</v>
      </c>
      <c r="BM384" s="10" t="str">
        <f t="shared" si="107"/>
        <v/>
      </c>
      <c r="BN384" s="52">
        <f t="shared" si="108"/>
        <v>0</v>
      </c>
      <c r="BO384" s="52">
        <f t="shared" si="109"/>
        <v>0</v>
      </c>
      <c r="BP384" s="1">
        <f t="shared" si="110"/>
        <v>0</v>
      </c>
      <c r="BQ384" s="1">
        <f t="shared" si="111"/>
        <v>0</v>
      </c>
      <c r="BR384" s="1" t="str">
        <f t="shared" si="112"/>
        <v/>
      </c>
      <c r="BS384" s="1">
        <f t="shared" si="113"/>
        <v>0</v>
      </c>
      <c r="BT384" s="4">
        <f t="shared" si="114"/>
        <v>0</v>
      </c>
      <c r="BU384" s="52">
        <f t="shared" si="115"/>
        <v>0</v>
      </c>
      <c r="BV384" s="1">
        <f t="shared" si="116"/>
        <v>0</v>
      </c>
      <c r="BW384">
        <f t="shared" si="117"/>
        <v>0</v>
      </c>
      <c r="BX384">
        <f t="shared" si="118"/>
        <v>0</v>
      </c>
    </row>
    <row r="385" spans="58:76" x14ac:dyDescent="0.25">
      <c r="BF385" s="1" t="e">
        <f>VLOOKUP(N385,'Incoming Material Report'!H:M,6,FALSE)</f>
        <v>#N/A</v>
      </c>
      <c r="BG385" s="1" t="e">
        <f>IF(VLOOKUP(N385,'Incoming Material Report'!H:N,7,FALSE)=0,"",VLOOKUP(N385,'Incoming Material Report'!H:N,7,FALSE))</f>
        <v>#N/A</v>
      </c>
      <c r="BH385" s="52">
        <f t="shared" si="102"/>
        <v>0</v>
      </c>
      <c r="BI385" s="1">
        <f t="shared" si="103"/>
        <v>0</v>
      </c>
      <c r="BJ385" s="1">
        <f t="shared" si="104"/>
        <v>0</v>
      </c>
      <c r="BK385" s="1">
        <f t="shared" si="105"/>
        <v>0</v>
      </c>
      <c r="BL385" s="1">
        <f t="shared" si="106"/>
        <v>0</v>
      </c>
      <c r="BM385" s="10" t="str">
        <f t="shared" si="107"/>
        <v/>
      </c>
      <c r="BN385" s="52">
        <f t="shared" si="108"/>
        <v>0</v>
      </c>
      <c r="BO385" s="52">
        <f t="shared" si="109"/>
        <v>0</v>
      </c>
      <c r="BP385" s="1">
        <f t="shared" si="110"/>
        <v>0</v>
      </c>
      <c r="BQ385" s="1">
        <f t="shared" si="111"/>
        <v>0</v>
      </c>
      <c r="BR385" s="1" t="str">
        <f t="shared" si="112"/>
        <v/>
      </c>
      <c r="BS385" s="1">
        <f t="shared" si="113"/>
        <v>0</v>
      </c>
      <c r="BT385" s="4">
        <f t="shared" si="114"/>
        <v>0</v>
      </c>
      <c r="BU385" s="52">
        <f t="shared" si="115"/>
        <v>0</v>
      </c>
      <c r="BV385" s="1">
        <f t="shared" si="116"/>
        <v>0</v>
      </c>
      <c r="BW385">
        <f t="shared" si="117"/>
        <v>0</v>
      </c>
      <c r="BX385">
        <f t="shared" si="118"/>
        <v>0</v>
      </c>
    </row>
    <row r="386" spans="58:76" x14ac:dyDescent="0.25">
      <c r="BF386" s="1" t="e">
        <f>VLOOKUP(N386,'Incoming Material Report'!H:M,6,FALSE)</f>
        <v>#N/A</v>
      </c>
      <c r="BG386" s="1" t="e">
        <f>IF(VLOOKUP(N386,'Incoming Material Report'!H:N,7,FALSE)=0,"",VLOOKUP(N386,'Incoming Material Report'!H:N,7,FALSE))</f>
        <v>#N/A</v>
      </c>
      <c r="BH386" s="52">
        <f t="shared" si="102"/>
        <v>0</v>
      </c>
      <c r="BI386" s="1">
        <f t="shared" si="103"/>
        <v>0</v>
      </c>
      <c r="BJ386" s="1">
        <f t="shared" si="104"/>
        <v>0</v>
      </c>
      <c r="BK386" s="1">
        <f t="shared" si="105"/>
        <v>0</v>
      </c>
      <c r="BL386" s="1">
        <f t="shared" si="106"/>
        <v>0</v>
      </c>
      <c r="BM386" s="10" t="str">
        <f t="shared" si="107"/>
        <v/>
      </c>
      <c r="BN386" s="52">
        <f t="shared" si="108"/>
        <v>0</v>
      </c>
      <c r="BO386" s="52">
        <f t="shared" si="109"/>
        <v>0</v>
      </c>
      <c r="BP386" s="1">
        <f t="shared" si="110"/>
        <v>0</v>
      </c>
      <c r="BQ386" s="1">
        <f t="shared" si="111"/>
        <v>0</v>
      </c>
      <c r="BR386" s="1" t="str">
        <f t="shared" si="112"/>
        <v/>
      </c>
      <c r="BS386" s="1">
        <f t="shared" si="113"/>
        <v>0</v>
      </c>
      <c r="BT386" s="4">
        <f t="shared" si="114"/>
        <v>0</v>
      </c>
      <c r="BU386" s="52">
        <f t="shared" si="115"/>
        <v>0</v>
      </c>
      <c r="BV386" s="1">
        <f t="shared" si="116"/>
        <v>0</v>
      </c>
      <c r="BW386">
        <f t="shared" si="117"/>
        <v>0</v>
      </c>
      <c r="BX386">
        <f t="shared" si="118"/>
        <v>0</v>
      </c>
    </row>
    <row r="387" spans="58:76" x14ac:dyDescent="0.25">
      <c r="BF387" s="1" t="e">
        <f>VLOOKUP(N387,'Incoming Material Report'!H:M,6,FALSE)</f>
        <v>#N/A</v>
      </c>
      <c r="BG387" s="1" t="e">
        <f>IF(VLOOKUP(N387,'Incoming Material Report'!H:N,7,FALSE)=0,"",VLOOKUP(N387,'Incoming Material Report'!H:N,7,FALSE))</f>
        <v>#N/A</v>
      </c>
      <c r="BH387" s="52">
        <f t="shared" si="102"/>
        <v>0</v>
      </c>
      <c r="BI387" s="1">
        <f t="shared" si="103"/>
        <v>0</v>
      </c>
      <c r="BJ387" s="1">
        <f t="shared" si="104"/>
        <v>0</v>
      </c>
      <c r="BK387" s="1">
        <f t="shared" si="105"/>
        <v>0</v>
      </c>
      <c r="BL387" s="1">
        <f t="shared" si="106"/>
        <v>0</v>
      </c>
      <c r="BM387" s="10" t="str">
        <f t="shared" si="107"/>
        <v/>
      </c>
      <c r="BN387" s="52">
        <f t="shared" si="108"/>
        <v>0</v>
      </c>
      <c r="BO387" s="52">
        <f t="shared" si="109"/>
        <v>0</v>
      </c>
      <c r="BP387" s="1">
        <f t="shared" si="110"/>
        <v>0</v>
      </c>
      <c r="BQ387" s="1">
        <f t="shared" si="111"/>
        <v>0</v>
      </c>
      <c r="BR387" s="1" t="str">
        <f t="shared" si="112"/>
        <v/>
      </c>
      <c r="BS387" s="1">
        <f t="shared" si="113"/>
        <v>0</v>
      </c>
      <c r="BT387" s="4">
        <f t="shared" si="114"/>
        <v>0</v>
      </c>
      <c r="BU387" s="52">
        <f t="shared" si="115"/>
        <v>0</v>
      </c>
      <c r="BV387" s="1">
        <f t="shared" si="116"/>
        <v>0</v>
      </c>
      <c r="BW387">
        <f t="shared" si="117"/>
        <v>0</v>
      </c>
      <c r="BX387">
        <f t="shared" si="118"/>
        <v>0</v>
      </c>
    </row>
    <row r="388" spans="58:76" x14ac:dyDescent="0.25">
      <c r="BF388" s="1" t="e">
        <f>VLOOKUP(N388,'Incoming Material Report'!H:M,6,FALSE)</f>
        <v>#N/A</v>
      </c>
      <c r="BG388" s="1" t="e">
        <f>IF(VLOOKUP(N388,'Incoming Material Report'!H:N,7,FALSE)=0,"",VLOOKUP(N388,'Incoming Material Report'!H:N,7,FALSE))</f>
        <v>#N/A</v>
      </c>
      <c r="BH388" s="52">
        <f t="shared" si="102"/>
        <v>0</v>
      </c>
      <c r="BI388" s="1">
        <f t="shared" si="103"/>
        <v>0</v>
      </c>
      <c r="BJ388" s="1">
        <f t="shared" si="104"/>
        <v>0</v>
      </c>
      <c r="BK388" s="1">
        <f t="shared" si="105"/>
        <v>0</v>
      </c>
      <c r="BL388" s="1">
        <f t="shared" si="106"/>
        <v>0</v>
      </c>
      <c r="BM388" s="10" t="str">
        <f t="shared" si="107"/>
        <v/>
      </c>
      <c r="BN388" s="52">
        <f t="shared" si="108"/>
        <v>0</v>
      </c>
      <c r="BO388" s="52">
        <f t="shared" si="109"/>
        <v>0</v>
      </c>
      <c r="BP388" s="1">
        <f t="shared" si="110"/>
        <v>0</v>
      </c>
      <c r="BQ388" s="1">
        <f t="shared" si="111"/>
        <v>0</v>
      </c>
      <c r="BR388" s="1" t="str">
        <f t="shared" si="112"/>
        <v/>
      </c>
      <c r="BS388" s="1">
        <f t="shared" si="113"/>
        <v>0</v>
      </c>
      <c r="BT388" s="4">
        <f t="shared" si="114"/>
        <v>0</v>
      </c>
      <c r="BU388" s="52">
        <f t="shared" si="115"/>
        <v>0</v>
      </c>
      <c r="BV388" s="1">
        <f t="shared" si="116"/>
        <v>0</v>
      </c>
      <c r="BW388">
        <f t="shared" si="117"/>
        <v>0</v>
      </c>
      <c r="BX388">
        <f t="shared" si="118"/>
        <v>0</v>
      </c>
    </row>
    <row r="389" spans="58:76" x14ac:dyDescent="0.25">
      <c r="BF389" s="1" t="e">
        <f>VLOOKUP(N389,'Incoming Material Report'!H:M,6,FALSE)</f>
        <v>#N/A</v>
      </c>
      <c r="BG389" s="1" t="e">
        <f>IF(VLOOKUP(N389,'Incoming Material Report'!H:N,7,FALSE)=0,"",VLOOKUP(N389,'Incoming Material Report'!H:N,7,FALSE))</f>
        <v>#N/A</v>
      </c>
      <c r="BH389" s="52">
        <f t="shared" si="102"/>
        <v>0</v>
      </c>
      <c r="BI389" s="1">
        <f t="shared" si="103"/>
        <v>0</v>
      </c>
      <c r="BJ389" s="1">
        <f t="shared" si="104"/>
        <v>0</v>
      </c>
      <c r="BK389" s="1">
        <f t="shared" si="105"/>
        <v>0</v>
      </c>
      <c r="BL389" s="1">
        <f t="shared" si="106"/>
        <v>0</v>
      </c>
      <c r="BM389" s="10" t="str">
        <f t="shared" si="107"/>
        <v/>
      </c>
      <c r="BN389" s="52">
        <f t="shared" si="108"/>
        <v>0</v>
      </c>
      <c r="BO389" s="52">
        <f t="shared" si="109"/>
        <v>0</v>
      </c>
      <c r="BP389" s="1">
        <f t="shared" si="110"/>
        <v>0</v>
      </c>
      <c r="BQ389" s="1">
        <f t="shared" si="111"/>
        <v>0</v>
      </c>
      <c r="BR389" s="1" t="str">
        <f t="shared" si="112"/>
        <v/>
      </c>
      <c r="BS389" s="1">
        <f t="shared" si="113"/>
        <v>0</v>
      </c>
      <c r="BT389" s="4">
        <f t="shared" si="114"/>
        <v>0</v>
      </c>
      <c r="BU389" s="52">
        <f t="shared" si="115"/>
        <v>0</v>
      </c>
      <c r="BV389" s="1">
        <f t="shared" si="116"/>
        <v>0</v>
      </c>
      <c r="BW389">
        <f t="shared" si="117"/>
        <v>0</v>
      </c>
      <c r="BX389">
        <f t="shared" si="118"/>
        <v>0</v>
      </c>
    </row>
    <row r="390" spans="58:76" x14ac:dyDescent="0.25">
      <c r="BF390" s="1" t="e">
        <f>VLOOKUP(N390,'Incoming Material Report'!H:M,6,FALSE)</f>
        <v>#N/A</v>
      </c>
      <c r="BG390" s="1" t="e">
        <f>IF(VLOOKUP(N390,'Incoming Material Report'!H:N,7,FALSE)=0,"",VLOOKUP(N390,'Incoming Material Report'!H:N,7,FALSE))</f>
        <v>#N/A</v>
      </c>
      <c r="BH390" s="52">
        <f t="shared" si="102"/>
        <v>0</v>
      </c>
      <c r="BI390" s="1">
        <f t="shared" si="103"/>
        <v>0</v>
      </c>
      <c r="BJ390" s="1">
        <f t="shared" si="104"/>
        <v>0</v>
      </c>
      <c r="BK390" s="1">
        <f t="shared" si="105"/>
        <v>0</v>
      </c>
      <c r="BL390" s="1">
        <f t="shared" si="106"/>
        <v>0</v>
      </c>
      <c r="BM390" s="10" t="str">
        <f t="shared" si="107"/>
        <v/>
      </c>
      <c r="BN390" s="52">
        <f t="shared" si="108"/>
        <v>0</v>
      </c>
      <c r="BO390" s="52">
        <f t="shared" si="109"/>
        <v>0</v>
      </c>
      <c r="BP390" s="1">
        <f t="shared" si="110"/>
        <v>0</v>
      </c>
      <c r="BQ390" s="1">
        <f t="shared" si="111"/>
        <v>0</v>
      </c>
      <c r="BR390" s="1" t="str">
        <f t="shared" si="112"/>
        <v/>
      </c>
      <c r="BS390" s="1">
        <f t="shared" si="113"/>
        <v>0</v>
      </c>
      <c r="BT390" s="4">
        <f t="shared" si="114"/>
        <v>0</v>
      </c>
      <c r="BU390" s="52">
        <f t="shared" si="115"/>
        <v>0</v>
      </c>
      <c r="BV390" s="1">
        <f t="shared" si="116"/>
        <v>0</v>
      </c>
      <c r="BW390">
        <f t="shared" si="117"/>
        <v>0</v>
      </c>
      <c r="BX390">
        <f t="shared" si="118"/>
        <v>0</v>
      </c>
    </row>
    <row r="391" spans="58:76" x14ac:dyDescent="0.25">
      <c r="BF391" s="1" t="e">
        <f>VLOOKUP(N391,'Incoming Material Report'!H:M,6,FALSE)</f>
        <v>#N/A</v>
      </c>
      <c r="BG391" s="1" t="e">
        <f>IF(VLOOKUP(N391,'Incoming Material Report'!H:N,7,FALSE)=0,"",VLOOKUP(N391,'Incoming Material Report'!H:N,7,FALSE))</f>
        <v>#N/A</v>
      </c>
      <c r="BH391" s="52">
        <f t="shared" si="102"/>
        <v>0</v>
      </c>
      <c r="BI391" s="1">
        <f t="shared" si="103"/>
        <v>0</v>
      </c>
      <c r="BJ391" s="1">
        <f t="shared" si="104"/>
        <v>0</v>
      </c>
      <c r="BK391" s="1">
        <f t="shared" si="105"/>
        <v>0</v>
      </c>
      <c r="BL391" s="1">
        <f t="shared" si="106"/>
        <v>0</v>
      </c>
      <c r="BM391" s="10" t="str">
        <f t="shared" si="107"/>
        <v/>
      </c>
      <c r="BN391" s="52">
        <f t="shared" si="108"/>
        <v>0</v>
      </c>
      <c r="BO391" s="52">
        <f t="shared" si="109"/>
        <v>0</v>
      </c>
      <c r="BP391" s="1">
        <f t="shared" si="110"/>
        <v>0</v>
      </c>
      <c r="BQ391" s="1">
        <f t="shared" si="111"/>
        <v>0</v>
      </c>
      <c r="BR391" s="1" t="str">
        <f t="shared" si="112"/>
        <v/>
      </c>
      <c r="BS391" s="1">
        <f t="shared" si="113"/>
        <v>0</v>
      </c>
      <c r="BT391" s="4">
        <f t="shared" si="114"/>
        <v>0</v>
      </c>
      <c r="BU391" s="52">
        <f t="shared" si="115"/>
        <v>0</v>
      </c>
      <c r="BV391" s="1">
        <f t="shared" si="116"/>
        <v>0</v>
      </c>
      <c r="BW391">
        <f t="shared" si="117"/>
        <v>0</v>
      </c>
      <c r="BX391">
        <f t="shared" si="118"/>
        <v>0</v>
      </c>
    </row>
    <row r="392" spans="58:76" x14ac:dyDescent="0.25">
      <c r="BF392" s="1" t="e">
        <f>VLOOKUP(N392,'Incoming Material Report'!H:M,6,FALSE)</f>
        <v>#N/A</v>
      </c>
      <c r="BG392" s="1" t="e">
        <f>IF(VLOOKUP(N392,'Incoming Material Report'!H:N,7,FALSE)=0,"",VLOOKUP(N392,'Incoming Material Report'!H:N,7,FALSE))</f>
        <v>#N/A</v>
      </c>
      <c r="BH392" s="52">
        <f t="shared" si="102"/>
        <v>0</v>
      </c>
      <c r="BI392" s="1">
        <f t="shared" si="103"/>
        <v>0</v>
      </c>
      <c r="BJ392" s="1">
        <f t="shared" si="104"/>
        <v>0</v>
      </c>
      <c r="BK392" s="1">
        <f t="shared" si="105"/>
        <v>0</v>
      </c>
      <c r="BL392" s="1">
        <f t="shared" si="106"/>
        <v>0</v>
      </c>
      <c r="BM392" s="10" t="str">
        <f t="shared" si="107"/>
        <v/>
      </c>
      <c r="BN392" s="52">
        <f t="shared" si="108"/>
        <v>0</v>
      </c>
      <c r="BO392" s="52">
        <f t="shared" si="109"/>
        <v>0</v>
      </c>
      <c r="BP392" s="1">
        <f t="shared" si="110"/>
        <v>0</v>
      </c>
      <c r="BQ392" s="1">
        <f t="shared" si="111"/>
        <v>0</v>
      </c>
      <c r="BR392" s="1" t="str">
        <f t="shared" si="112"/>
        <v/>
      </c>
      <c r="BS392" s="1">
        <f t="shared" si="113"/>
        <v>0</v>
      </c>
      <c r="BT392" s="4">
        <f t="shared" si="114"/>
        <v>0</v>
      </c>
      <c r="BU392" s="52">
        <f t="shared" si="115"/>
        <v>0</v>
      </c>
      <c r="BV392" s="1">
        <f t="shared" si="116"/>
        <v>0</v>
      </c>
      <c r="BW392">
        <f t="shared" si="117"/>
        <v>0</v>
      </c>
      <c r="BX392">
        <f t="shared" si="118"/>
        <v>0</v>
      </c>
    </row>
    <row r="393" spans="58:76" x14ac:dyDescent="0.25">
      <c r="BF393" s="1" t="e">
        <f>VLOOKUP(N393,'Incoming Material Report'!H:M,6,FALSE)</f>
        <v>#N/A</v>
      </c>
      <c r="BG393" s="1" t="e">
        <f>IF(VLOOKUP(N393,'Incoming Material Report'!H:N,7,FALSE)=0,"",VLOOKUP(N393,'Incoming Material Report'!H:N,7,FALSE))</f>
        <v>#N/A</v>
      </c>
      <c r="BH393" s="52">
        <f t="shared" si="102"/>
        <v>0</v>
      </c>
      <c r="BI393" s="1">
        <f t="shared" si="103"/>
        <v>0</v>
      </c>
      <c r="BJ393" s="1">
        <f t="shared" si="104"/>
        <v>0</v>
      </c>
      <c r="BK393" s="1">
        <f t="shared" si="105"/>
        <v>0</v>
      </c>
      <c r="BL393" s="1">
        <f t="shared" si="106"/>
        <v>0</v>
      </c>
      <c r="BM393" s="10" t="str">
        <f t="shared" si="107"/>
        <v/>
      </c>
      <c r="BN393" s="52">
        <f t="shared" si="108"/>
        <v>0</v>
      </c>
      <c r="BO393" s="52">
        <f t="shared" si="109"/>
        <v>0</v>
      </c>
      <c r="BP393" s="1">
        <f t="shared" si="110"/>
        <v>0</v>
      </c>
      <c r="BQ393" s="1">
        <f t="shared" si="111"/>
        <v>0</v>
      </c>
      <c r="BR393" s="1" t="str">
        <f t="shared" si="112"/>
        <v/>
      </c>
      <c r="BS393" s="1">
        <f t="shared" si="113"/>
        <v>0</v>
      </c>
      <c r="BT393" s="4">
        <f t="shared" si="114"/>
        <v>0</v>
      </c>
      <c r="BU393" s="52">
        <f t="shared" si="115"/>
        <v>0</v>
      </c>
      <c r="BV393" s="1">
        <f t="shared" si="116"/>
        <v>0</v>
      </c>
      <c r="BW393">
        <f t="shared" si="117"/>
        <v>0</v>
      </c>
      <c r="BX393">
        <f t="shared" si="118"/>
        <v>0</v>
      </c>
    </row>
    <row r="394" spans="58:76" x14ac:dyDescent="0.25">
      <c r="BF394" s="1" t="e">
        <f>VLOOKUP(N394,'Incoming Material Report'!H:M,6,FALSE)</f>
        <v>#N/A</v>
      </c>
      <c r="BG394" s="1" t="e">
        <f>IF(VLOOKUP(N394,'Incoming Material Report'!H:N,7,FALSE)=0,"",VLOOKUP(N394,'Incoming Material Report'!H:N,7,FALSE))</f>
        <v>#N/A</v>
      </c>
      <c r="BH394" s="52">
        <f t="shared" si="102"/>
        <v>0</v>
      </c>
      <c r="BI394" s="1">
        <f t="shared" si="103"/>
        <v>0</v>
      </c>
      <c r="BJ394" s="1">
        <f t="shared" si="104"/>
        <v>0</v>
      </c>
      <c r="BK394" s="1">
        <f t="shared" si="105"/>
        <v>0</v>
      </c>
      <c r="BL394" s="1">
        <f t="shared" si="106"/>
        <v>0</v>
      </c>
      <c r="BM394" s="10" t="str">
        <f t="shared" si="107"/>
        <v/>
      </c>
      <c r="BN394" s="52">
        <f t="shared" si="108"/>
        <v>0</v>
      </c>
      <c r="BO394" s="52">
        <f t="shared" si="109"/>
        <v>0</v>
      </c>
      <c r="BP394" s="1">
        <f t="shared" si="110"/>
        <v>0</v>
      </c>
      <c r="BQ394" s="1">
        <f t="shared" si="111"/>
        <v>0</v>
      </c>
      <c r="BR394" s="1" t="str">
        <f t="shared" si="112"/>
        <v/>
      </c>
      <c r="BS394" s="1">
        <f t="shared" si="113"/>
        <v>0</v>
      </c>
      <c r="BT394" s="4">
        <f t="shared" si="114"/>
        <v>0</v>
      </c>
      <c r="BU394" s="52">
        <f t="shared" si="115"/>
        <v>0</v>
      </c>
      <c r="BV394" s="1">
        <f t="shared" si="116"/>
        <v>0</v>
      </c>
      <c r="BW394">
        <f t="shared" si="117"/>
        <v>0</v>
      </c>
      <c r="BX394">
        <f t="shared" si="118"/>
        <v>0</v>
      </c>
    </row>
    <row r="395" spans="58:76" x14ac:dyDescent="0.25">
      <c r="BF395" s="1" t="e">
        <f>VLOOKUP(N395,'Incoming Material Report'!H:M,6,FALSE)</f>
        <v>#N/A</v>
      </c>
      <c r="BG395" s="1" t="e">
        <f>IF(VLOOKUP(N395,'Incoming Material Report'!H:N,7,FALSE)=0,"",VLOOKUP(N395,'Incoming Material Report'!H:N,7,FALSE))</f>
        <v>#N/A</v>
      </c>
      <c r="BH395" s="52">
        <f t="shared" si="102"/>
        <v>0</v>
      </c>
      <c r="BI395" s="1">
        <f t="shared" si="103"/>
        <v>0</v>
      </c>
      <c r="BJ395" s="1">
        <f t="shared" si="104"/>
        <v>0</v>
      </c>
      <c r="BK395" s="1">
        <f t="shared" si="105"/>
        <v>0</v>
      </c>
      <c r="BL395" s="1">
        <f t="shared" si="106"/>
        <v>0</v>
      </c>
      <c r="BM395" s="10" t="str">
        <f t="shared" si="107"/>
        <v/>
      </c>
      <c r="BN395" s="52">
        <f t="shared" si="108"/>
        <v>0</v>
      </c>
      <c r="BO395" s="52">
        <f t="shared" si="109"/>
        <v>0</v>
      </c>
      <c r="BP395" s="1">
        <f t="shared" si="110"/>
        <v>0</v>
      </c>
      <c r="BQ395" s="1">
        <f t="shared" si="111"/>
        <v>0</v>
      </c>
      <c r="BR395" s="1" t="str">
        <f t="shared" si="112"/>
        <v/>
      </c>
      <c r="BS395" s="1">
        <f t="shared" si="113"/>
        <v>0</v>
      </c>
      <c r="BT395" s="4">
        <f t="shared" si="114"/>
        <v>0</v>
      </c>
      <c r="BU395" s="52">
        <f t="shared" si="115"/>
        <v>0</v>
      </c>
      <c r="BV395" s="1">
        <f t="shared" si="116"/>
        <v>0</v>
      </c>
      <c r="BW395">
        <f t="shared" si="117"/>
        <v>0</v>
      </c>
      <c r="BX395">
        <f t="shared" si="118"/>
        <v>0</v>
      </c>
    </row>
    <row r="396" spans="58:76" x14ac:dyDescent="0.25">
      <c r="BF396" s="1" t="e">
        <f>VLOOKUP(N396,'Incoming Material Report'!H:M,6,FALSE)</f>
        <v>#N/A</v>
      </c>
      <c r="BG396" s="1" t="e">
        <f>IF(VLOOKUP(N396,'Incoming Material Report'!H:N,7,FALSE)=0,"",VLOOKUP(N396,'Incoming Material Report'!H:N,7,FALSE))</f>
        <v>#N/A</v>
      </c>
      <c r="BH396" s="52">
        <f t="shared" si="102"/>
        <v>0</v>
      </c>
      <c r="BI396" s="1">
        <f t="shared" si="103"/>
        <v>0</v>
      </c>
      <c r="BJ396" s="1">
        <f t="shared" si="104"/>
        <v>0</v>
      </c>
      <c r="BK396" s="1">
        <f t="shared" si="105"/>
        <v>0</v>
      </c>
      <c r="BL396" s="1">
        <f t="shared" si="106"/>
        <v>0</v>
      </c>
      <c r="BM396" s="10" t="str">
        <f t="shared" si="107"/>
        <v/>
      </c>
      <c r="BN396" s="52">
        <f t="shared" si="108"/>
        <v>0</v>
      </c>
      <c r="BO396" s="52">
        <f t="shared" si="109"/>
        <v>0</v>
      </c>
      <c r="BP396" s="1">
        <f t="shared" si="110"/>
        <v>0</v>
      </c>
      <c r="BQ396" s="1">
        <f t="shared" si="111"/>
        <v>0</v>
      </c>
      <c r="BR396" s="1" t="str">
        <f t="shared" si="112"/>
        <v/>
      </c>
      <c r="BS396" s="1">
        <f t="shared" si="113"/>
        <v>0</v>
      </c>
      <c r="BT396" s="4">
        <f t="shared" si="114"/>
        <v>0</v>
      </c>
      <c r="BU396" s="52">
        <f t="shared" si="115"/>
        <v>0</v>
      </c>
      <c r="BV396" s="1">
        <f t="shared" si="116"/>
        <v>0</v>
      </c>
      <c r="BW396">
        <f t="shared" si="117"/>
        <v>0</v>
      </c>
      <c r="BX396">
        <f t="shared" si="118"/>
        <v>0</v>
      </c>
    </row>
    <row r="397" spans="58:76" x14ac:dyDescent="0.25">
      <c r="BF397" s="1" t="e">
        <f>VLOOKUP(N397,'Incoming Material Report'!H:M,6,FALSE)</f>
        <v>#N/A</v>
      </c>
      <c r="BG397" s="1" t="e">
        <f>IF(VLOOKUP(N397,'Incoming Material Report'!H:N,7,FALSE)=0,"",VLOOKUP(N397,'Incoming Material Report'!H:N,7,FALSE))</f>
        <v>#N/A</v>
      </c>
      <c r="BH397" s="52">
        <f t="shared" si="102"/>
        <v>0</v>
      </c>
      <c r="BI397" s="1">
        <f t="shared" si="103"/>
        <v>0</v>
      </c>
      <c r="BJ397" s="1">
        <f t="shared" si="104"/>
        <v>0</v>
      </c>
      <c r="BK397" s="1">
        <f t="shared" si="105"/>
        <v>0</v>
      </c>
      <c r="BL397" s="1">
        <f t="shared" si="106"/>
        <v>0</v>
      </c>
      <c r="BM397" s="10" t="str">
        <f t="shared" si="107"/>
        <v/>
      </c>
      <c r="BN397" s="52">
        <f t="shared" si="108"/>
        <v>0</v>
      </c>
      <c r="BO397" s="52">
        <f t="shared" si="109"/>
        <v>0</v>
      </c>
      <c r="BP397" s="1">
        <f t="shared" si="110"/>
        <v>0</v>
      </c>
      <c r="BQ397" s="1">
        <f t="shared" si="111"/>
        <v>0</v>
      </c>
      <c r="BR397" s="1" t="str">
        <f t="shared" si="112"/>
        <v/>
      </c>
      <c r="BS397" s="1">
        <f t="shared" si="113"/>
        <v>0</v>
      </c>
      <c r="BT397" s="4">
        <f t="shared" si="114"/>
        <v>0</v>
      </c>
      <c r="BU397" s="52">
        <f t="shared" si="115"/>
        <v>0</v>
      </c>
      <c r="BV397" s="1">
        <f t="shared" si="116"/>
        <v>0</v>
      </c>
      <c r="BW397">
        <f t="shared" si="117"/>
        <v>0</v>
      </c>
      <c r="BX397">
        <f t="shared" si="118"/>
        <v>0</v>
      </c>
    </row>
    <row r="398" spans="58:76" x14ac:dyDescent="0.25">
      <c r="BF398" s="1" t="e">
        <f>VLOOKUP(N398,'Incoming Material Report'!H:M,6,FALSE)</f>
        <v>#N/A</v>
      </c>
      <c r="BG398" s="1" t="e">
        <f>IF(VLOOKUP(N398,'Incoming Material Report'!H:N,7,FALSE)=0,"",VLOOKUP(N398,'Incoming Material Report'!H:N,7,FALSE))</f>
        <v>#N/A</v>
      </c>
      <c r="BH398" s="52">
        <f t="shared" si="102"/>
        <v>0</v>
      </c>
      <c r="BI398" s="1">
        <f t="shared" si="103"/>
        <v>0</v>
      </c>
      <c r="BJ398" s="1">
        <f t="shared" si="104"/>
        <v>0</v>
      </c>
      <c r="BK398" s="1">
        <f t="shared" si="105"/>
        <v>0</v>
      </c>
      <c r="BL398" s="1">
        <f t="shared" si="106"/>
        <v>0</v>
      </c>
      <c r="BM398" s="10" t="str">
        <f t="shared" si="107"/>
        <v/>
      </c>
      <c r="BN398" s="52">
        <f t="shared" si="108"/>
        <v>0</v>
      </c>
      <c r="BO398" s="52">
        <f t="shared" si="109"/>
        <v>0</v>
      </c>
      <c r="BP398" s="1">
        <f t="shared" si="110"/>
        <v>0</v>
      </c>
      <c r="BQ398" s="1">
        <f t="shared" si="111"/>
        <v>0</v>
      </c>
      <c r="BR398" s="1" t="str">
        <f t="shared" si="112"/>
        <v/>
      </c>
      <c r="BS398" s="1">
        <f t="shared" si="113"/>
        <v>0</v>
      </c>
      <c r="BT398" s="4">
        <f t="shared" si="114"/>
        <v>0</v>
      </c>
      <c r="BU398" s="52">
        <f t="shared" si="115"/>
        <v>0</v>
      </c>
      <c r="BV398" s="1">
        <f t="shared" si="116"/>
        <v>0</v>
      </c>
      <c r="BW398">
        <f t="shared" si="117"/>
        <v>0</v>
      </c>
      <c r="BX398">
        <f t="shared" si="118"/>
        <v>0</v>
      </c>
    </row>
    <row r="399" spans="58:76" x14ac:dyDescent="0.25">
      <c r="BF399" s="1" t="e">
        <f>VLOOKUP(N399,'Incoming Material Report'!H:M,6,FALSE)</f>
        <v>#N/A</v>
      </c>
      <c r="BG399" s="1" t="e">
        <f>IF(VLOOKUP(N399,'Incoming Material Report'!H:N,7,FALSE)=0,"",VLOOKUP(N399,'Incoming Material Report'!H:N,7,FALSE))</f>
        <v>#N/A</v>
      </c>
      <c r="BH399" s="52">
        <f t="shared" si="102"/>
        <v>0</v>
      </c>
      <c r="BI399" s="1">
        <f t="shared" si="103"/>
        <v>0</v>
      </c>
      <c r="BJ399" s="1">
        <f t="shared" si="104"/>
        <v>0</v>
      </c>
      <c r="BK399" s="1">
        <f t="shared" si="105"/>
        <v>0</v>
      </c>
      <c r="BL399" s="1">
        <f t="shared" si="106"/>
        <v>0</v>
      </c>
      <c r="BM399" s="10" t="str">
        <f t="shared" si="107"/>
        <v/>
      </c>
      <c r="BN399" s="52">
        <f t="shared" si="108"/>
        <v>0</v>
      </c>
      <c r="BO399" s="52">
        <f t="shared" si="109"/>
        <v>0</v>
      </c>
      <c r="BP399" s="1">
        <f t="shared" si="110"/>
        <v>0</v>
      </c>
      <c r="BQ399" s="1">
        <f t="shared" si="111"/>
        <v>0</v>
      </c>
      <c r="BR399" s="1" t="str">
        <f t="shared" si="112"/>
        <v/>
      </c>
      <c r="BS399" s="1">
        <f t="shared" si="113"/>
        <v>0</v>
      </c>
      <c r="BT399" s="4">
        <f t="shared" si="114"/>
        <v>0</v>
      </c>
      <c r="BU399" s="52">
        <f t="shared" si="115"/>
        <v>0</v>
      </c>
      <c r="BV399" s="1">
        <f t="shared" si="116"/>
        <v>0</v>
      </c>
      <c r="BW399">
        <f t="shared" si="117"/>
        <v>0</v>
      </c>
      <c r="BX399">
        <f t="shared" si="118"/>
        <v>0</v>
      </c>
    </row>
    <row r="400" spans="58:76" x14ac:dyDescent="0.25">
      <c r="BF400" s="1" t="e">
        <f>VLOOKUP(N400,'Incoming Material Report'!H:M,6,FALSE)</f>
        <v>#N/A</v>
      </c>
      <c r="BG400" s="1" t="e">
        <f>IF(VLOOKUP(N400,'Incoming Material Report'!H:N,7,FALSE)=0,"",VLOOKUP(N400,'Incoming Material Report'!H:N,7,FALSE))</f>
        <v>#N/A</v>
      </c>
      <c r="BH400" s="52">
        <f t="shared" si="102"/>
        <v>0</v>
      </c>
      <c r="BI400" s="1">
        <f t="shared" si="103"/>
        <v>0</v>
      </c>
      <c r="BJ400" s="1">
        <f t="shared" si="104"/>
        <v>0</v>
      </c>
      <c r="BK400" s="1">
        <f t="shared" si="105"/>
        <v>0</v>
      </c>
      <c r="BL400" s="1">
        <f t="shared" si="106"/>
        <v>0</v>
      </c>
      <c r="BM400" s="10" t="str">
        <f t="shared" si="107"/>
        <v/>
      </c>
      <c r="BN400" s="52">
        <f t="shared" si="108"/>
        <v>0</v>
      </c>
      <c r="BO400" s="52">
        <f t="shared" si="109"/>
        <v>0</v>
      </c>
      <c r="BP400" s="1">
        <f t="shared" si="110"/>
        <v>0</v>
      </c>
      <c r="BQ400" s="1">
        <f t="shared" si="111"/>
        <v>0</v>
      </c>
      <c r="BR400" s="1" t="str">
        <f t="shared" si="112"/>
        <v/>
      </c>
      <c r="BS400" s="1">
        <f t="shared" si="113"/>
        <v>0</v>
      </c>
      <c r="BT400" s="4">
        <f t="shared" si="114"/>
        <v>0</v>
      </c>
      <c r="BU400" s="52">
        <f t="shared" si="115"/>
        <v>0</v>
      </c>
      <c r="BV400" s="1">
        <f t="shared" si="116"/>
        <v>0</v>
      </c>
      <c r="BW400">
        <f t="shared" si="117"/>
        <v>0</v>
      </c>
      <c r="BX400">
        <f t="shared" si="118"/>
        <v>0</v>
      </c>
    </row>
    <row r="401" spans="58:76" x14ac:dyDescent="0.25">
      <c r="BF401" s="1" t="e">
        <f>VLOOKUP(N401,'Incoming Material Report'!H:M,6,FALSE)</f>
        <v>#N/A</v>
      </c>
      <c r="BG401" s="1" t="e">
        <f>IF(VLOOKUP(N401,'Incoming Material Report'!H:N,7,FALSE)=0,"",VLOOKUP(N401,'Incoming Material Report'!H:N,7,FALSE))</f>
        <v>#N/A</v>
      </c>
      <c r="BH401" s="52">
        <f t="shared" si="102"/>
        <v>0</v>
      </c>
      <c r="BI401" s="1">
        <f t="shared" si="103"/>
        <v>0</v>
      </c>
      <c r="BJ401" s="1">
        <f t="shared" si="104"/>
        <v>0</v>
      </c>
      <c r="BK401" s="1">
        <f t="shared" si="105"/>
        <v>0</v>
      </c>
      <c r="BL401" s="1">
        <f t="shared" si="106"/>
        <v>0</v>
      </c>
      <c r="BM401" s="10" t="str">
        <f t="shared" si="107"/>
        <v/>
      </c>
      <c r="BN401" s="52">
        <f t="shared" si="108"/>
        <v>0</v>
      </c>
      <c r="BO401" s="52">
        <f t="shared" si="109"/>
        <v>0</v>
      </c>
      <c r="BP401" s="1">
        <f t="shared" si="110"/>
        <v>0</v>
      </c>
      <c r="BQ401" s="1">
        <f t="shared" si="111"/>
        <v>0</v>
      </c>
      <c r="BR401" s="1" t="str">
        <f t="shared" si="112"/>
        <v/>
      </c>
      <c r="BS401" s="1">
        <f t="shared" si="113"/>
        <v>0</v>
      </c>
      <c r="BT401" s="4">
        <f t="shared" si="114"/>
        <v>0</v>
      </c>
      <c r="BU401" s="52">
        <f t="shared" si="115"/>
        <v>0</v>
      </c>
      <c r="BV401" s="1">
        <f t="shared" si="116"/>
        <v>0</v>
      </c>
      <c r="BW401">
        <f t="shared" si="117"/>
        <v>0</v>
      </c>
      <c r="BX401">
        <f t="shared" si="118"/>
        <v>0</v>
      </c>
    </row>
    <row r="402" spans="58:76" x14ac:dyDescent="0.25">
      <c r="BF402" s="1" t="e">
        <f>VLOOKUP(N402,'Incoming Material Report'!H:M,6,FALSE)</f>
        <v>#N/A</v>
      </c>
      <c r="BG402" s="1" t="e">
        <f>IF(VLOOKUP(N402,'Incoming Material Report'!H:N,7,FALSE)=0,"",VLOOKUP(N402,'Incoming Material Report'!H:N,7,FALSE))</f>
        <v>#N/A</v>
      </c>
      <c r="BH402" s="52">
        <f t="shared" si="102"/>
        <v>0</v>
      </c>
      <c r="BI402" s="1">
        <f t="shared" si="103"/>
        <v>0</v>
      </c>
      <c r="BJ402" s="1">
        <f t="shared" si="104"/>
        <v>0</v>
      </c>
      <c r="BK402" s="1">
        <f t="shared" si="105"/>
        <v>0</v>
      </c>
      <c r="BL402" s="1">
        <f t="shared" si="106"/>
        <v>0</v>
      </c>
      <c r="BM402" s="10" t="str">
        <f t="shared" si="107"/>
        <v/>
      </c>
      <c r="BN402" s="52">
        <f t="shared" si="108"/>
        <v>0</v>
      </c>
      <c r="BO402" s="52">
        <f t="shared" si="109"/>
        <v>0</v>
      </c>
      <c r="BP402" s="1">
        <f t="shared" si="110"/>
        <v>0</v>
      </c>
      <c r="BQ402" s="1">
        <f t="shared" si="111"/>
        <v>0</v>
      </c>
      <c r="BR402" s="1" t="str">
        <f t="shared" si="112"/>
        <v/>
      </c>
      <c r="BS402" s="1">
        <f t="shared" si="113"/>
        <v>0</v>
      </c>
      <c r="BT402" s="4">
        <f t="shared" si="114"/>
        <v>0</v>
      </c>
      <c r="BU402" s="52">
        <f t="shared" si="115"/>
        <v>0</v>
      </c>
      <c r="BV402" s="1">
        <f t="shared" si="116"/>
        <v>0</v>
      </c>
      <c r="BW402">
        <f t="shared" si="117"/>
        <v>0</v>
      </c>
      <c r="BX402">
        <f t="shared" si="118"/>
        <v>0</v>
      </c>
    </row>
    <row r="403" spans="58:76" x14ac:dyDescent="0.25">
      <c r="BF403" s="1" t="e">
        <f>VLOOKUP(N403,'Incoming Material Report'!H:M,6,FALSE)</f>
        <v>#N/A</v>
      </c>
      <c r="BG403" s="1" t="e">
        <f>IF(VLOOKUP(N403,'Incoming Material Report'!H:N,7,FALSE)=0,"",VLOOKUP(N403,'Incoming Material Report'!H:N,7,FALSE))</f>
        <v>#N/A</v>
      </c>
      <c r="BH403" s="52">
        <f t="shared" si="102"/>
        <v>0</v>
      </c>
      <c r="BI403" s="1">
        <f t="shared" si="103"/>
        <v>0</v>
      </c>
      <c r="BJ403" s="1">
        <f t="shared" si="104"/>
        <v>0</v>
      </c>
      <c r="BK403" s="1">
        <f t="shared" si="105"/>
        <v>0</v>
      </c>
      <c r="BL403" s="1">
        <f t="shared" si="106"/>
        <v>0</v>
      </c>
      <c r="BM403" s="10" t="str">
        <f t="shared" si="107"/>
        <v/>
      </c>
      <c r="BN403" s="52">
        <f t="shared" si="108"/>
        <v>0</v>
      </c>
      <c r="BO403" s="52">
        <f t="shared" si="109"/>
        <v>0</v>
      </c>
      <c r="BP403" s="1">
        <f t="shared" si="110"/>
        <v>0</v>
      </c>
      <c r="BQ403" s="1">
        <f t="shared" si="111"/>
        <v>0</v>
      </c>
      <c r="BR403" s="1" t="str">
        <f t="shared" si="112"/>
        <v/>
      </c>
      <c r="BS403" s="1">
        <f t="shared" si="113"/>
        <v>0</v>
      </c>
      <c r="BT403" s="4">
        <f t="shared" si="114"/>
        <v>0</v>
      </c>
      <c r="BU403" s="52">
        <f t="shared" si="115"/>
        <v>0</v>
      </c>
      <c r="BV403" s="1">
        <f t="shared" si="116"/>
        <v>0</v>
      </c>
      <c r="BW403">
        <f t="shared" si="117"/>
        <v>0</v>
      </c>
      <c r="BX403">
        <f t="shared" si="118"/>
        <v>0</v>
      </c>
    </row>
    <row r="404" spans="58:76" x14ac:dyDescent="0.25">
      <c r="BF404" s="1" t="e">
        <f>VLOOKUP(N404,'Incoming Material Report'!H:M,6,FALSE)</f>
        <v>#N/A</v>
      </c>
      <c r="BG404" s="1" t="e">
        <f>IF(VLOOKUP(N404,'Incoming Material Report'!H:N,7,FALSE)=0,"",VLOOKUP(N404,'Incoming Material Report'!H:N,7,FALSE))</f>
        <v>#N/A</v>
      </c>
      <c r="BH404" s="52">
        <f t="shared" si="102"/>
        <v>0</v>
      </c>
      <c r="BI404" s="1">
        <f t="shared" si="103"/>
        <v>0</v>
      </c>
      <c r="BJ404" s="1">
        <f t="shared" si="104"/>
        <v>0</v>
      </c>
      <c r="BK404" s="1">
        <f t="shared" si="105"/>
        <v>0</v>
      </c>
      <c r="BL404" s="1">
        <f t="shared" si="106"/>
        <v>0</v>
      </c>
      <c r="BM404" s="10" t="str">
        <f t="shared" si="107"/>
        <v/>
      </c>
      <c r="BN404" s="52">
        <f t="shared" si="108"/>
        <v>0</v>
      </c>
      <c r="BO404" s="52">
        <f t="shared" si="109"/>
        <v>0</v>
      </c>
      <c r="BP404" s="1">
        <f t="shared" si="110"/>
        <v>0</v>
      </c>
      <c r="BQ404" s="1">
        <f t="shared" si="111"/>
        <v>0</v>
      </c>
      <c r="BR404" s="1" t="str">
        <f t="shared" si="112"/>
        <v/>
      </c>
      <c r="BS404" s="1">
        <f t="shared" si="113"/>
        <v>0</v>
      </c>
      <c r="BT404" s="4">
        <f t="shared" si="114"/>
        <v>0</v>
      </c>
      <c r="BU404" s="52">
        <f t="shared" si="115"/>
        <v>0</v>
      </c>
      <c r="BV404" s="1">
        <f t="shared" si="116"/>
        <v>0</v>
      </c>
      <c r="BW404">
        <f t="shared" si="117"/>
        <v>0</v>
      </c>
      <c r="BX404">
        <f t="shared" si="118"/>
        <v>0</v>
      </c>
    </row>
    <row r="405" spans="58:76" x14ac:dyDescent="0.25">
      <c r="BF405" s="1" t="e">
        <f>VLOOKUP(N405,'Incoming Material Report'!H:M,6,FALSE)</f>
        <v>#N/A</v>
      </c>
      <c r="BG405" s="1" t="e">
        <f>IF(VLOOKUP(N405,'Incoming Material Report'!H:N,7,FALSE)=0,"",VLOOKUP(N405,'Incoming Material Report'!H:N,7,FALSE))</f>
        <v>#N/A</v>
      </c>
      <c r="BH405" s="52">
        <f t="shared" si="102"/>
        <v>0</v>
      </c>
      <c r="BI405" s="1">
        <f t="shared" si="103"/>
        <v>0</v>
      </c>
      <c r="BJ405" s="1">
        <f t="shared" si="104"/>
        <v>0</v>
      </c>
      <c r="BK405" s="1">
        <f t="shared" si="105"/>
        <v>0</v>
      </c>
      <c r="BL405" s="1">
        <f t="shared" si="106"/>
        <v>0</v>
      </c>
      <c r="BM405" s="10" t="str">
        <f t="shared" si="107"/>
        <v/>
      </c>
      <c r="BN405" s="52">
        <f t="shared" si="108"/>
        <v>0</v>
      </c>
      <c r="BO405" s="52">
        <f t="shared" si="109"/>
        <v>0</v>
      </c>
      <c r="BP405" s="1">
        <f t="shared" si="110"/>
        <v>0</v>
      </c>
      <c r="BQ405" s="1">
        <f t="shared" si="111"/>
        <v>0</v>
      </c>
      <c r="BR405" s="1" t="str">
        <f t="shared" si="112"/>
        <v/>
      </c>
      <c r="BS405" s="1">
        <f t="shared" si="113"/>
        <v>0</v>
      </c>
      <c r="BT405" s="4">
        <f t="shared" si="114"/>
        <v>0</v>
      </c>
      <c r="BU405" s="52">
        <f t="shared" si="115"/>
        <v>0</v>
      </c>
      <c r="BV405" s="1">
        <f t="shared" si="116"/>
        <v>0</v>
      </c>
      <c r="BW405">
        <f t="shared" si="117"/>
        <v>0</v>
      </c>
      <c r="BX405">
        <f t="shared" si="118"/>
        <v>0</v>
      </c>
    </row>
    <row r="406" spans="58:76" x14ac:dyDescent="0.25">
      <c r="BF406" s="1" t="e">
        <f>VLOOKUP(N406,'Incoming Material Report'!H:M,6,FALSE)</f>
        <v>#N/A</v>
      </c>
      <c r="BG406" s="1" t="e">
        <f>IF(VLOOKUP(N406,'Incoming Material Report'!H:N,7,FALSE)=0,"",VLOOKUP(N406,'Incoming Material Report'!H:N,7,FALSE))</f>
        <v>#N/A</v>
      </c>
      <c r="BH406" s="52">
        <f t="shared" si="102"/>
        <v>0</v>
      </c>
      <c r="BI406" s="1">
        <f t="shared" si="103"/>
        <v>0</v>
      </c>
      <c r="BJ406" s="1">
        <f t="shared" si="104"/>
        <v>0</v>
      </c>
      <c r="BK406" s="1">
        <f t="shared" si="105"/>
        <v>0</v>
      </c>
      <c r="BL406" s="1">
        <f t="shared" si="106"/>
        <v>0</v>
      </c>
      <c r="BM406" s="10" t="str">
        <f t="shared" si="107"/>
        <v/>
      </c>
      <c r="BN406" s="52">
        <f t="shared" si="108"/>
        <v>0</v>
      </c>
      <c r="BO406" s="52">
        <f t="shared" si="109"/>
        <v>0</v>
      </c>
      <c r="BP406" s="1">
        <f t="shared" si="110"/>
        <v>0</v>
      </c>
      <c r="BQ406" s="1">
        <f t="shared" si="111"/>
        <v>0</v>
      </c>
      <c r="BR406" s="1" t="str">
        <f t="shared" si="112"/>
        <v/>
      </c>
      <c r="BS406" s="1">
        <f t="shared" si="113"/>
        <v>0</v>
      </c>
      <c r="BT406" s="4">
        <f t="shared" si="114"/>
        <v>0</v>
      </c>
      <c r="BU406" s="52">
        <f t="shared" si="115"/>
        <v>0</v>
      </c>
      <c r="BV406" s="1">
        <f t="shared" si="116"/>
        <v>0</v>
      </c>
      <c r="BW406">
        <f t="shared" si="117"/>
        <v>0</v>
      </c>
      <c r="BX406">
        <f t="shared" si="118"/>
        <v>0</v>
      </c>
    </row>
    <row r="407" spans="58:76" x14ac:dyDescent="0.25">
      <c r="BF407" s="1" t="e">
        <f>VLOOKUP(N407,'Incoming Material Report'!H:M,6,FALSE)</f>
        <v>#N/A</v>
      </c>
      <c r="BG407" s="1" t="e">
        <f>IF(VLOOKUP(N407,'Incoming Material Report'!H:N,7,FALSE)=0,"",VLOOKUP(N407,'Incoming Material Report'!H:N,7,FALSE))</f>
        <v>#N/A</v>
      </c>
      <c r="BH407" s="52">
        <f t="shared" si="102"/>
        <v>0</v>
      </c>
      <c r="BI407" s="1">
        <f t="shared" si="103"/>
        <v>0</v>
      </c>
      <c r="BJ407" s="1">
        <f t="shared" si="104"/>
        <v>0</v>
      </c>
      <c r="BK407" s="1">
        <f t="shared" si="105"/>
        <v>0</v>
      </c>
      <c r="BL407" s="1">
        <f t="shared" si="106"/>
        <v>0</v>
      </c>
      <c r="BM407" s="10" t="str">
        <f t="shared" si="107"/>
        <v/>
      </c>
      <c r="BN407" s="52">
        <f t="shared" si="108"/>
        <v>0</v>
      </c>
      <c r="BO407" s="52">
        <f t="shared" si="109"/>
        <v>0</v>
      </c>
      <c r="BP407" s="1">
        <f t="shared" si="110"/>
        <v>0</v>
      </c>
      <c r="BQ407" s="1">
        <f t="shared" si="111"/>
        <v>0</v>
      </c>
      <c r="BR407" s="1" t="str">
        <f t="shared" si="112"/>
        <v/>
      </c>
      <c r="BS407" s="1">
        <f t="shared" si="113"/>
        <v>0</v>
      </c>
      <c r="BT407" s="4">
        <f t="shared" si="114"/>
        <v>0</v>
      </c>
      <c r="BU407" s="52">
        <f t="shared" si="115"/>
        <v>0</v>
      </c>
      <c r="BV407" s="1">
        <f t="shared" si="116"/>
        <v>0</v>
      </c>
      <c r="BW407">
        <f t="shared" si="117"/>
        <v>0</v>
      </c>
      <c r="BX407">
        <f t="shared" si="118"/>
        <v>0</v>
      </c>
    </row>
    <row r="408" spans="58:76" x14ac:dyDescent="0.25">
      <c r="BF408" s="1" t="e">
        <f>VLOOKUP(N408,'Incoming Material Report'!H:M,6,FALSE)</f>
        <v>#N/A</v>
      </c>
      <c r="BG408" s="1" t="e">
        <f>IF(VLOOKUP(N408,'Incoming Material Report'!H:N,7,FALSE)=0,"",VLOOKUP(N408,'Incoming Material Report'!H:N,7,FALSE))</f>
        <v>#N/A</v>
      </c>
      <c r="BH408" s="52">
        <f t="shared" si="102"/>
        <v>0</v>
      </c>
      <c r="BI408" s="1">
        <f t="shared" si="103"/>
        <v>0</v>
      </c>
      <c r="BJ408" s="1">
        <f t="shared" si="104"/>
        <v>0</v>
      </c>
      <c r="BK408" s="1">
        <f t="shared" si="105"/>
        <v>0</v>
      </c>
      <c r="BL408" s="1">
        <f t="shared" si="106"/>
        <v>0</v>
      </c>
      <c r="BM408" s="10" t="str">
        <f t="shared" si="107"/>
        <v/>
      </c>
      <c r="BN408" s="52">
        <f t="shared" si="108"/>
        <v>0</v>
      </c>
      <c r="BO408" s="52">
        <f t="shared" si="109"/>
        <v>0</v>
      </c>
      <c r="BP408" s="1">
        <f t="shared" si="110"/>
        <v>0</v>
      </c>
      <c r="BQ408" s="1">
        <f t="shared" si="111"/>
        <v>0</v>
      </c>
      <c r="BR408" s="1" t="str">
        <f t="shared" si="112"/>
        <v/>
      </c>
      <c r="BS408" s="1">
        <f t="shared" si="113"/>
        <v>0</v>
      </c>
      <c r="BT408" s="4">
        <f t="shared" si="114"/>
        <v>0</v>
      </c>
      <c r="BU408" s="52">
        <f t="shared" si="115"/>
        <v>0</v>
      </c>
      <c r="BV408" s="1">
        <f t="shared" si="116"/>
        <v>0</v>
      </c>
      <c r="BW408">
        <f t="shared" si="117"/>
        <v>0</v>
      </c>
      <c r="BX408">
        <f t="shared" si="118"/>
        <v>0</v>
      </c>
    </row>
    <row r="409" spans="58:76" x14ac:dyDescent="0.25">
      <c r="BF409" s="1" t="e">
        <f>VLOOKUP(N409,'Incoming Material Report'!H:M,6,FALSE)</f>
        <v>#N/A</v>
      </c>
      <c r="BG409" s="1" t="e">
        <f>IF(VLOOKUP(N409,'Incoming Material Report'!H:N,7,FALSE)=0,"",VLOOKUP(N409,'Incoming Material Report'!H:N,7,FALSE))</f>
        <v>#N/A</v>
      </c>
      <c r="BH409" s="52">
        <f t="shared" si="102"/>
        <v>0</v>
      </c>
      <c r="BI409" s="1">
        <f t="shared" si="103"/>
        <v>0</v>
      </c>
      <c r="BJ409" s="1">
        <f t="shared" si="104"/>
        <v>0</v>
      </c>
      <c r="BK409" s="1">
        <f t="shared" si="105"/>
        <v>0</v>
      </c>
      <c r="BL409" s="1">
        <f t="shared" si="106"/>
        <v>0</v>
      </c>
      <c r="BM409" s="10" t="str">
        <f t="shared" si="107"/>
        <v/>
      </c>
      <c r="BN409" s="52">
        <f t="shared" si="108"/>
        <v>0</v>
      </c>
      <c r="BO409" s="52">
        <f t="shared" si="109"/>
        <v>0</v>
      </c>
      <c r="BP409" s="1">
        <f t="shared" si="110"/>
        <v>0</v>
      </c>
      <c r="BQ409" s="1">
        <f t="shared" si="111"/>
        <v>0</v>
      </c>
      <c r="BR409" s="1" t="str">
        <f t="shared" si="112"/>
        <v/>
      </c>
      <c r="BS409" s="1">
        <f t="shared" si="113"/>
        <v>0</v>
      </c>
      <c r="BT409" s="4">
        <f t="shared" si="114"/>
        <v>0</v>
      </c>
      <c r="BU409" s="52">
        <f t="shared" si="115"/>
        <v>0</v>
      </c>
      <c r="BV409" s="1">
        <f t="shared" si="116"/>
        <v>0</v>
      </c>
      <c r="BW409">
        <f t="shared" si="117"/>
        <v>0</v>
      </c>
      <c r="BX409">
        <f t="shared" si="118"/>
        <v>0</v>
      </c>
    </row>
    <row r="410" spans="58:76" x14ac:dyDescent="0.25">
      <c r="BF410" s="1" t="e">
        <f>VLOOKUP(N410,'Incoming Material Report'!H:M,6,FALSE)</f>
        <v>#N/A</v>
      </c>
      <c r="BG410" s="1" t="e">
        <f>IF(VLOOKUP(N410,'Incoming Material Report'!H:N,7,FALSE)=0,"",VLOOKUP(N410,'Incoming Material Report'!H:N,7,FALSE))</f>
        <v>#N/A</v>
      </c>
      <c r="BH410" s="52">
        <f t="shared" si="102"/>
        <v>0</v>
      </c>
      <c r="BI410" s="1">
        <f t="shared" si="103"/>
        <v>0</v>
      </c>
      <c r="BJ410" s="1">
        <f t="shared" si="104"/>
        <v>0</v>
      </c>
      <c r="BK410" s="1">
        <f t="shared" si="105"/>
        <v>0</v>
      </c>
      <c r="BL410" s="1">
        <f t="shared" si="106"/>
        <v>0</v>
      </c>
      <c r="BM410" s="10" t="str">
        <f t="shared" si="107"/>
        <v/>
      </c>
      <c r="BN410" s="52">
        <f t="shared" si="108"/>
        <v>0</v>
      </c>
      <c r="BO410" s="52">
        <f t="shared" si="109"/>
        <v>0</v>
      </c>
      <c r="BP410" s="1">
        <f t="shared" si="110"/>
        <v>0</v>
      </c>
      <c r="BQ410" s="1">
        <f t="shared" si="111"/>
        <v>0</v>
      </c>
      <c r="BR410" s="1" t="str">
        <f t="shared" si="112"/>
        <v/>
      </c>
      <c r="BS410" s="1">
        <f t="shared" si="113"/>
        <v>0</v>
      </c>
      <c r="BT410" s="4">
        <f t="shared" si="114"/>
        <v>0</v>
      </c>
      <c r="BU410" s="52">
        <f t="shared" si="115"/>
        <v>0</v>
      </c>
      <c r="BV410" s="1">
        <f t="shared" si="116"/>
        <v>0</v>
      </c>
      <c r="BW410">
        <f t="shared" si="117"/>
        <v>0</v>
      </c>
      <c r="BX410">
        <f t="shared" si="118"/>
        <v>0</v>
      </c>
    </row>
    <row r="411" spans="58:76" x14ac:dyDescent="0.25">
      <c r="BF411" s="1" t="e">
        <f>VLOOKUP(N411,'Incoming Material Report'!H:M,6,FALSE)</f>
        <v>#N/A</v>
      </c>
      <c r="BG411" s="1" t="e">
        <f>IF(VLOOKUP(N411,'Incoming Material Report'!H:N,7,FALSE)=0,"",VLOOKUP(N411,'Incoming Material Report'!H:N,7,FALSE))</f>
        <v>#N/A</v>
      </c>
      <c r="BH411" s="52">
        <f t="shared" si="102"/>
        <v>0</v>
      </c>
      <c r="BI411" s="1">
        <f t="shared" si="103"/>
        <v>0</v>
      </c>
      <c r="BJ411" s="1">
        <f t="shared" si="104"/>
        <v>0</v>
      </c>
      <c r="BK411" s="1">
        <f t="shared" si="105"/>
        <v>0</v>
      </c>
      <c r="BL411" s="1">
        <f t="shared" si="106"/>
        <v>0</v>
      </c>
      <c r="BM411" s="10" t="str">
        <f t="shared" si="107"/>
        <v/>
      </c>
      <c r="BN411" s="52">
        <f t="shared" si="108"/>
        <v>0</v>
      </c>
      <c r="BO411" s="52">
        <f t="shared" si="109"/>
        <v>0</v>
      </c>
      <c r="BP411" s="1">
        <f t="shared" si="110"/>
        <v>0</v>
      </c>
      <c r="BQ411" s="1">
        <f t="shared" si="111"/>
        <v>0</v>
      </c>
      <c r="BR411" s="1" t="str">
        <f t="shared" si="112"/>
        <v/>
      </c>
      <c r="BS411" s="1">
        <f t="shared" si="113"/>
        <v>0</v>
      </c>
      <c r="BT411" s="4">
        <f t="shared" si="114"/>
        <v>0</v>
      </c>
      <c r="BU411" s="52">
        <f t="shared" si="115"/>
        <v>0</v>
      </c>
      <c r="BV411" s="1">
        <f t="shared" si="116"/>
        <v>0</v>
      </c>
      <c r="BW411">
        <f t="shared" si="117"/>
        <v>0</v>
      </c>
      <c r="BX411">
        <f t="shared" si="118"/>
        <v>0</v>
      </c>
    </row>
    <row r="412" spans="58:76" x14ac:dyDescent="0.25">
      <c r="BF412" s="1" t="e">
        <f>VLOOKUP(N412,'Incoming Material Report'!H:M,6,FALSE)</f>
        <v>#N/A</v>
      </c>
      <c r="BG412" s="1" t="e">
        <f>IF(VLOOKUP(N412,'Incoming Material Report'!H:N,7,FALSE)=0,"",VLOOKUP(N412,'Incoming Material Report'!H:N,7,FALSE))</f>
        <v>#N/A</v>
      </c>
      <c r="BH412" s="52">
        <f t="shared" si="102"/>
        <v>0</v>
      </c>
      <c r="BI412" s="1">
        <f t="shared" si="103"/>
        <v>0</v>
      </c>
      <c r="BJ412" s="1">
        <f t="shared" si="104"/>
        <v>0</v>
      </c>
      <c r="BK412" s="1">
        <f t="shared" si="105"/>
        <v>0</v>
      </c>
      <c r="BL412" s="1">
        <f t="shared" si="106"/>
        <v>0</v>
      </c>
      <c r="BM412" s="10" t="str">
        <f t="shared" si="107"/>
        <v/>
      </c>
      <c r="BN412" s="52">
        <f t="shared" si="108"/>
        <v>0</v>
      </c>
      <c r="BO412" s="52">
        <f t="shared" si="109"/>
        <v>0</v>
      </c>
      <c r="BP412" s="1">
        <f t="shared" si="110"/>
        <v>0</v>
      </c>
      <c r="BQ412" s="1">
        <f t="shared" si="111"/>
        <v>0</v>
      </c>
      <c r="BR412" s="1" t="str">
        <f t="shared" si="112"/>
        <v/>
      </c>
      <c r="BS412" s="1">
        <f t="shared" si="113"/>
        <v>0</v>
      </c>
      <c r="BT412" s="4">
        <f t="shared" si="114"/>
        <v>0</v>
      </c>
      <c r="BU412" s="52">
        <f t="shared" si="115"/>
        <v>0</v>
      </c>
      <c r="BV412" s="1">
        <f t="shared" si="116"/>
        <v>0</v>
      </c>
      <c r="BW412">
        <f t="shared" si="117"/>
        <v>0</v>
      </c>
      <c r="BX412">
        <f t="shared" si="118"/>
        <v>0</v>
      </c>
    </row>
    <row r="413" spans="58:76" x14ac:dyDescent="0.25">
      <c r="BF413" s="1" t="e">
        <f>VLOOKUP(N413,'Incoming Material Report'!H:M,6,FALSE)</f>
        <v>#N/A</v>
      </c>
      <c r="BG413" s="1" t="e">
        <f>IF(VLOOKUP(N413,'Incoming Material Report'!H:N,7,FALSE)=0,"",VLOOKUP(N413,'Incoming Material Report'!H:N,7,FALSE))</f>
        <v>#N/A</v>
      </c>
      <c r="BH413" s="52">
        <f t="shared" si="102"/>
        <v>0</v>
      </c>
      <c r="BI413" s="1">
        <f t="shared" si="103"/>
        <v>0</v>
      </c>
      <c r="BJ413" s="1">
        <f t="shared" si="104"/>
        <v>0</v>
      </c>
      <c r="BK413" s="1">
        <f t="shared" si="105"/>
        <v>0</v>
      </c>
      <c r="BL413" s="1">
        <f t="shared" si="106"/>
        <v>0</v>
      </c>
      <c r="BM413" s="10" t="str">
        <f t="shared" si="107"/>
        <v/>
      </c>
      <c r="BN413" s="52">
        <f t="shared" si="108"/>
        <v>0</v>
      </c>
      <c r="BO413" s="52">
        <f t="shared" si="109"/>
        <v>0</v>
      </c>
      <c r="BP413" s="1">
        <f t="shared" si="110"/>
        <v>0</v>
      </c>
      <c r="BQ413" s="1">
        <f t="shared" si="111"/>
        <v>0</v>
      </c>
      <c r="BR413" s="1" t="str">
        <f t="shared" si="112"/>
        <v/>
      </c>
      <c r="BS413" s="1">
        <f t="shared" si="113"/>
        <v>0</v>
      </c>
      <c r="BT413" s="4">
        <f t="shared" si="114"/>
        <v>0</v>
      </c>
      <c r="BU413" s="52">
        <f t="shared" si="115"/>
        <v>0</v>
      </c>
      <c r="BV413" s="1">
        <f t="shared" si="116"/>
        <v>0</v>
      </c>
      <c r="BW413">
        <f t="shared" si="117"/>
        <v>0</v>
      </c>
      <c r="BX413">
        <f t="shared" si="118"/>
        <v>0</v>
      </c>
    </row>
    <row r="414" spans="58:76" x14ac:dyDescent="0.25">
      <c r="BF414" s="1" t="e">
        <f>VLOOKUP(N414,'Incoming Material Report'!H:M,6,FALSE)</f>
        <v>#N/A</v>
      </c>
      <c r="BG414" s="1" t="e">
        <f>IF(VLOOKUP(N414,'Incoming Material Report'!H:N,7,FALSE)=0,"",VLOOKUP(N414,'Incoming Material Report'!H:N,7,FALSE))</f>
        <v>#N/A</v>
      </c>
      <c r="BH414" s="52">
        <f t="shared" si="102"/>
        <v>0</v>
      </c>
      <c r="BI414" s="1">
        <f t="shared" si="103"/>
        <v>0</v>
      </c>
      <c r="BJ414" s="1">
        <f t="shared" si="104"/>
        <v>0</v>
      </c>
      <c r="BK414" s="1">
        <f t="shared" si="105"/>
        <v>0</v>
      </c>
      <c r="BL414" s="1">
        <f t="shared" si="106"/>
        <v>0</v>
      </c>
      <c r="BM414" s="10" t="str">
        <f t="shared" si="107"/>
        <v/>
      </c>
      <c r="BN414" s="52">
        <f t="shared" si="108"/>
        <v>0</v>
      </c>
      <c r="BO414" s="52">
        <f t="shared" si="109"/>
        <v>0</v>
      </c>
      <c r="BP414" s="1">
        <f t="shared" si="110"/>
        <v>0</v>
      </c>
      <c r="BQ414" s="1">
        <f t="shared" si="111"/>
        <v>0</v>
      </c>
      <c r="BR414" s="1" t="str">
        <f t="shared" si="112"/>
        <v/>
      </c>
      <c r="BS414" s="1">
        <f t="shared" si="113"/>
        <v>0</v>
      </c>
      <c r="BT414" s="4">
        <f t="shared" si="114"/>
        <v>0</v>
      </c>
      <c r="BU414" s="52">
        <f t="shared" si="115"/>
        <v>0</v>
      </c>
      <c r="BV414" s="1">
        <f t="shared" si="116"/>
        <v>0</v>
      </c>
      <c r="BW414">
        <f t="shared" si="117"/>
        <v>0</v>
      </c>
      <c r="BX414">
        <f t="shared" si="118"/>
        <v>0</v>
      </c>
    </row>
    <row r="415" spans="58:76" x14ac:dyDescent="0.25">
      <c r="BF415" s="1" t="e">
        <f>VLOOKUP(N415,'Incoming Material Report'!H:M,6,FALSE)</f>
        <v>#N/A</v>
      </c>
      <c r="BG415" s="1" t="e">
        <f>IF(VLOOKUP(N415,'Incoming Material Report'!H:N,7,FALSE)=0,"",VLOOKUP(N415,'Incoming Material Report'!H:N,7,FALSE))</f>
        <v>#N/A</v>
      </c>
      <c r="BH415" s="52">
        <f t="shared" si="102"/>
        <v>0</v>
      </c>
      <c r="BI415" s="1">
        <f t="shared" si="103"/>
        <v>0</v>
      </c>
      <c r="BJ415" s="1">
        <f t="shared" si="104"/>
        <v>0</v>
      </c>
      <c r="BK415" s="1">
        <f t="shared" si="105"/>
        <v>0</v>
      </c>
      <c r="BL415" s="1">
        <f t="shared" si="106"/>
        <v>0</v>
      </c>
      <c r="BM415" s="10" t="str">
        <f t="shared" si="107"/>
        <v/>
      </c>
      <c r="BN415" s="52">
        <f t="shared" si="108"/>
        <v>0</v>
      </c>
      <c r="BO415" s="52">
        <f t="shared" si="109"/>
        <v>0</v>
      </c>
      <c r="BP415" s="1">
        <f t="shared" si="110"/>
        <v>0</v>
      </c>
      <c r="BQ415" s="1">
        <f t="shared" si="111"/>
        <v>0</v>
      </c>
      <c r="BR415" s="1" t="str">
        <f t="shared" si="112"/>
        <v/>
      </c>
      <c r="BS415" s="1">
        <f t="shared" si="113"/>
        <v>0</v>
      </c>
      <c r="BT415" s="4">
        <f t="shared" si="114"/>
        <v>0</v>
      </c>
      <c r="BU415" s="52">
        <f t="shared" si="115"/>
        <v>0</v>
      </c>
      <c r="BV415" s="1">
        <f t="shared" si="116"/>
        <v>0</v>
      </c>
      <c r="BW415">
        <f t="shared" si="117"/>
        <v>0</v>
      </c>
      <c r="BX415">
        <f t="shared" si="118"/>
        <v>0</v>
      </c>
    </row>
    <row r="416" spans="58:76" x14ac:dyDescent="0.25">
      <c r="BF416" s="1" t="e">
        <f>VLOOKUP(N416,'Incoming Material Report'!H:M,6,FALSE)</f>
        <v>#N/A</v>
      </c>
      <c r="BG416" s="1" t="e">
        <f>IF(VLOOKUP(N416,'Incoming Material Report'!H:N,7,FALSE)=0,"",VLOOKUP(N416,'Incoming Material Report'!H:N,7,FALSE))</f>
        <v>#N/A</v>
      </c>
      <c r="BH416" s="52">
        <f t="shared" si="102"/>
        <v>0</v>
      </c>
      <c r="BI416" s="1">
        <f t="shared" si="103"/>
        <v>0</v>
      </c>
      <c r="BJ416" s="1">
        <f t="shared" si="104"/>
        <v>0</v>
      </c>
      <c r="BK416" s="1">
        <f t="shared" si="105"/>
        <v>0</v>
      </c>
      <c r="BL416" s="1">
        <f t="shared" si="106"/>
        <v>0</v>
      </c>
      <c r="BM416" s="10" t="str">
        <f t="shared" si="107"/>
        <v/>
      </c>
      <c r="BN416" s="52">
        <f t="shared" si="108"/>
        <v>0</v>
      </c>
      <c r="BO416" s="52">
        <f t="shared" si="109"/>
        <v>0</v>
      </c>
      <c r="BP416" s="1">
        <f t="shared" si="110"/>
        <v>0</v>
      </c>
      <c r="BQ416" s="1">
        <f t="shared" si="111"/>
        <v>0</v>
      </c>
      <c r="BR416" s="1" t="str">
        <f t="shared" si="112"/>
        <v/>
      </c>
      <c r="BS416" s="1">
        <f t="shared" si="113"/>
        <v>0</v>
      </c>
      <c r="BT416" s="4">
        <f t="shared" si="114"/>
        <v>0</v>
      </c>
      <c r="BU416" s="52">
        <f t="shared" si="115"/>
        <v>0</v>
      </c>
      <c r="BV416" s="1">
        <f t="shared" si="116"/>
        <v>0</v>
      </c>
      <c r="BW416">
        <f t="shared" si="117"/>
        <v>0</v>
      </c>
      <c r="BX416">
        <f t="shared" si="118"/>
        <v>0</v>
      </c>
    </row>
    <row r="417" spans="58:76" x14ac:dyDescent="0.25">
      <c r="BF417" s="1" t="e">
        <f>VLOOKUP(N417,'Incoming Material Report'!H:M,6,FALSE)</f>
        <v>#N/A</v>
      </c>
      <c r="BG417" s="1" t="e">
        <f>IF(VLOOKUP(N417,'Incoming Material Report'!H:N,7,FALSE)=0,"",VLOOKUP(N417,'Incoming Material Report'!H:N,7,FALSE))</f>
        <v>#N/A</v>
      </c>
      <c r="BH417" s="52">
        <f t="shared" si="102"/>
        <v>0</v>
      </c>
      <c r="BI417" s="1">
        <f t="shared" si="103"/>
        <v>0</v>
      </c>
      <c r="BJ417" s="1">
        <f t="shared" si="104"/>
        <v>0</v>
      </c>
      <c r="BK417" s="1">
        <f t="shared" si="105"/>
        <v>0</v>
      </c>
      <c r="BL417" s="1">
        <f t="shared" si="106"/>
        <v>0</v>
      </c>
      <c r="BM417" s="10" t="str">
        <f t="shared" si="107"/>
        <v/>
      </c>
      <c r="BN417" s="52">
        <f t="shared" si="108"/>
        <v>0</v>
      </c>
      <c r="BO417" s="52">
        <f t="shared" si="109"/>
        <v>0</v>
      </c>
      <c r="BP417" s="1">
        <f t="shared" si="110"/>
        <v>0</v>
      </c>
      <c r="BQ417" s="1">
        <f t="shared" si="111"/>
        <v>0</v>
      </c>
      <c r="BR417" s="1" t="str">
        <f t="shared" si="112"/>
        <v/>
      </c>
      <c r="BS417" s="1">
        <f t="shared" si="113"/>
        <v>0</v>
      </c>
      <c r="BT417" s="4">
        <f t="shared" si="114"/>
        <v>0</v>
      </c>
      <c r="BU417" s="52">
        <f t="shared" si="115"/>
        <v>0</v>
      </c>
      <c r="BV417" s="1">
        <f t="shared" si="116"/>
        <v>0</v>
      </c>
      <c r="BW417">
        <f t="shared" si="117"/>
        <v>0</v>
      </c>
      <c r="BX417">
        <f t="shared" si="118"/>
        <v>0</v>
      </c>
    </row>
    <row r="418" spans="58:76" x14ac:dyDescent="0.25">
      <c r="BF418" s="1" t="e">
        <f>VLOOKUP(N418,'Incoming Material Report'!H:M,6,FALSE)</f>
        <v>#N/A</v>
      </c>
      <c r="BG418" s="1" t="e">
        <f>IF(VLOOKUP(N418,'Incoming Material Report'!H:N,7,FALSE)=0,"",VLOOKUP(N418,'Incoming Material Report'!H:N,7,FALSE))</f>
        <v>#N/A</v>
      </c>
      <c r="BH418" s="52">
        <f t="shared" si="102"/>
        <v>0</v>
      </c>
      <c r="BI418" s="1">
        <f t="shared" si="103"/>
        <v>0</v>
      </c>
      <c r="BJ418" s="1">
        <f t="shared" si="104"/>
        <v>0</v>
      </c>
      <c r="BK418" s="1">
        <f t="shared" si="105"/>
        <v>0</v>
      </c>
      <c r="BL418" s="1">
        <f t="shared" si="106"/>
        <v>0</v>
      </c>
      <c r="BM418" s="10" t="str">
        <f t="shared" si="107"/>
        <v/>
      </c>
      <c r="BN418" s="52">
        <f t="shared" si="108"/>
        <v>0</v>
      </c>
      <c r="BO418" s="52">
        <f t="shared" si="109"/>
        <v>0</v>
      </c>
      <c r="BP418" s="1">
        <f t="shared" si="110"/>
        <v>0</v>
      </c>
      <c r="BQ418" s="1">
        <f t="shared" si="111"/>
        <v>0</v>
      </c>
      <c r="BR418" s="1" t="str">
        <f t="shared" si="112"/>
        <v/>
      </c>
      <c r="BS418" s="1">
        <f t="shared" si="113"/>
        <v>0</v>
      </c>
      <c r="BT418" s="4">
        <f t="shared" si="114"/>
        <v>0</v>
      </c>
      <c r="BU418" s="52">
        <f t="shared" si="115"/>
        <v>0</v>
      </c>
      <c r="BV418" s="1">
        <f t="shared" si="116"/>
        <v>0</v>
      </c>
      <c r="BW418">
        <f t="shared" si="117"/>
        <v>0</v>
      </c>
      <c r="BX418">
        <f t="shared" si="118"/>
        <v>0</v>
      </c>
    </row>
    <row r="419" spans="58:76" x14ac:dyDescent="0.25">
      <c r="BF419" s="1" t="e">
        <f>VLOOKUP(N419,'Incoming Material Report'!H:M,6,FALSE)</f>
        <v>#N/A</v>
      </c>
      <c r="BG419" s="1" t="e">
        <f>IF(VLOOKUP(N419,'Incoming Material Report'!H:N,7,FALSE)=0,"",VLOOKUP(N419,'Incoming Material Report'!H:N,7,FALSE))</f>
        <v>#N/A</v>
      </c>
      <c r="BH419" s="52">
        <f t="shared" si="102"/>
        <v>0</v>
      </c>
      <c r="BI419" s="1">
        <f t="shared" si="103"/>
        <v>0</v>
      </c>
      <c r="BJ419" s="1">
        <f t="shared" si="104"/>
        <v>0</v>
      </c>
      <c r="BK419" s="1">
        <f t="shared" si="105"/>
        <v>0</v>
      </c>
      <c r="BL419" s="1">
        <f t="shared" si="106"/>
        <v>0</v>
      </c>
      <c r="BM419" s="10" t="str">
        <f t="shared" si="107"/>
        <v/>
      </c>
      <c r="BN419" s="52">
        <f t="shared" si="108"/>
        <v>0</v>
      </c>
      <c r="BO419" s="52">
        <f t="shared" si="109"/>
        <v>0</v>
      </c>
      <c r="BP419" s="1">
        <f t="shared" si="110"/>
        <v>0</v>
      </c>
      <c r="BQ419" s="1">
        <f t="shared" si="111"/>
        <v>0</v>
      </c>
      <c r="BR419" s="1" t="str">
        <f t="shared" si="112"/>
        <v/>
      </c>
      <c r="BS419" s="1">
        <f t="shared" si="113"/>
        <v>0</v>
      </c>
      <c r="BT419" s="4">
        <f t="shared" si="114"/>
        <v>0</v>
      </c>
      <c r="BU419" s="52">
        <f t="shared" si="115"/>
        <v>0</v>
      </c>
      <c r="BV419" s="1">
        <f t="shared" si="116"/>
        <v>0</v>
      </c>
      <c r="BW419">
        <f t="shared" si="117"/>
        <v>0</v>
      </c>
      <c r="BX419">
        <f t="shared" si="118"/>
        <v>0</v>
      </c>
    </row>
    <row r="420" spans="58:76" x14ac:dyDescent="0.25">
      <c r="BF420" s="1" t="e">
        <f>VLOOKUP(N420,'Incoming Material Report'!H:M,6,FALSE)</f>
        <v>#N/A</v>
      </c>
      <c r="BG420" s="1" t="e">
        <f>IF(VLOOKUP(N420,'Incoming Material Report'!H:N,7,FALSE)=0,"",VLOOKUP(N420,'Incoming Material Report'!H:N,7,FALSE))</f>
        <v>#N/A</v>
      </c>
      <c r="BH420" s="52">
        <f t="shared" si="102"/>
        <v>0</v>
      </c>
      <c r="BI420" s="1">
        <f t="shared" si="103"/>
        <v>0</v>
      </c>
      <c r="BJ420" s="1">
        <f t="shared" si="104"/>
        <v>0</v>
      </c>
      <c r="BK420" s="1">
        <f t="shared" si="105"/>
        <v>0</v>
      </c>
      <c r="BL420" s="1">
        <f t="shared" si="106"/>
        <v>0</v>
      </c>
      <c r="BM420" s="10" t="str">
        <f t="shared" si="107"/>
        <v/>
      </c>
      <c r="BN420" s="52">
        <f t="shared" si="108"/>
        <v>0</v>
      </c>
      <c r="BO420" s="52">
        <f t="shared" si="109"/>
        <v>0</v>
      </c>
      <c r="BP420" s="1">
        <f t="shared" si="110"/>
        <v>0</v>
      </c>
      <c r="BQ420" s="1">
        <f t="shared" si="111"/>
        <v>0</v>
      </c>
      <c r="BR420" s="1" t="str">
        <f t="shared" si="112"/>
        <v/>
      </c>
      <c r="BS420" s="1">
        <f t="shared" si="113"/>
        <v>0</v>
      </c>
      <c r="BT420" s="4">
        <f t="shared" si="114"/>
        <v>0</v>
      </c>
      <c r="BU420" s="52">
        <f t="shared" si="115"/>
        <v>0</v>
      </c>
      <c r="BV420" s="1">
        <f t="shared" si="116"/>
        <v>0</v>
      </c>
      <c r="BW420">
        <f t="shared" si="117"/>
        <v>0</v>
      </c>
      <c r="BX420">
        <f t="shared" si="118"/>
        <v>0</v>
      </c>
    </row>
    <row r="421" spans="58:76" x14ac:dyDescent="0.25">
      <c r="BF421" s="1" t="e">
        <f>VLOOKUP(N421,'Incoming Material Report'!H:M,6,FALSE)</f>
        <v>#N/A</v>
      </c>
      <c r="BG421" s="1" t="e">
        <f>IF(VLOOKUP(N421,'Incoming Material Report'!H:N,7,FALSE)=0,"",VLOOKUP(N421,'Incoming Material Report'!H:N,7,FALSE))</f>
        <v>#N/A</v>
      </c>
      <c r="BH421" s="52">
        <f t="shared" si="102"/>
        <v>0</v>
      </c>
      <c r="BI421" s="1">
        <f t="shared" si="103"/>
        <v>0</v>
      </c>
      <c r="BJ421" s="1">
        <f t="shared" si="104"/>
        <v>0</v>
      </c>
      <c r="BK421" s="1">
        <f t="shared" si="105"/>
        <v>0</v>
      </c>
      <c r="BL421" s="1">
        <f t="shared" si="106"/>
        <v>0</v>
      </c>
      <c r="BM421" s="10" t="str">
        <f t="shared" si="107"/>
        <v/>
      </c>
      <c r="BN421" s="52">
        <f t="shared" si="108"/>
        <v>0</v>
      </c>
      <c r="BO421" s="52">
        <f t="shared" si="109"/>
        <v>0</v>
      </c>
      <c r="BP421" s="1">
        <f t="shared" si="110"/>
        <v>0</v>
      </c>
      <c r="BQ421" s="1">
        <f t="shared" si="111"/>
        <v>0</v>
      </c>
      <c r="BR421" s="1" t="str">
        <f t="shared" si="112"/>
        <v/>
      </c>
      <c r="BS421" s="1">
        <f t="shared" si="113"/>
        <v>0</v>
      </c>
      <c r="BT421" s="4">
        <f t="shared" si="114"/>
        <v>0</v>
      </c>
      <c r="BU421" s="52">
        <f t="shared" si="115"/>
        <v>0</v>
      </c>
      <c r="BV421" s="1">
        <f t="shared" si="116"/>
        <v>0</v>
      </c>
      <c r="BW421">
        <f t="shared" si="117"/>
        <v>0</v>
      </c>
      <c r="BX421">
        <f t="shared" si="118"/>
        <v>0</v>
      </c>
    </row>
    <row r="422" spans="58:76" x14ac:dyDescent="0.25">
      <c r="BF422" s="1" t="e">
        <f>VLOOKUP(N422,'Incoming Material Report'!H:M,6,FALSE)</f>
        <v>#N/A</v>
      </c>
      <c r="BG422" s="1" t="e">
        <f>IF(VLOOKUP(N422,'Incoming Material Report'!H:N,7,FALSE)=0,"",VLOOKUP(N422,'Incoming Material Report'!H:N,7,FALSE))</f>
        <v>#N/A</v>
      </c>
      <c r="BH422" s="52">
        <f t="shared" si="102"/>
        <v>0</v>
      </c>
      <c r="BI422" s="1">
        <f t="shared" si="103"/>
        <v>0</v>
      </c>
      <c r="BJ422" s="1">
        <f t="shared" si="104"/>
        <v>0</v>
      </c>
      <c r="BK422" s="1">
        <f t="shared" si="105"/>
        <v>0</v>
      </c>
      <c r="BL422" s="1">
        <f t="shared" si="106"/>
        <v>0</v>
      </c>
      <c r="BM422" s="10" t="str">
        <f t="shared" si="107"/>
        <v/>
      </c>
      <c r="BN422" s="52">
        <f t="shared" si="108"/>
        <v>0</v>
      </c>
      <c r="BO422" s="52">
        <f t="shared" si="109"/>
        <v>0</v>
      </c>
      <c r="BP422" s="1">
        <f t="shared" si="110"/>
        <v>0</v>
      </c>
      <c r="BQ422" s="1">
        <f t="shared" si="111"/>
        <v>0</v>
      </c>
      <c r="BR422" s="1" t="str">
        <f t="shared" si="112"/>
        <v/>
      </c>
      <c r="BS422" s="1">
        <f t="shared" si="113"/>
        <v>0</v>
      </c>
      <c r="BT422" s="4">
        <f t="shared" si="114"/>
        <v>0</v>
      </c>
      <c r="BU422" s="52">
        <f t="shared" si="115"/>
        <v>0</v>
      </c>
      <c r="BV422" s="1">
        <f t="shared" si="116"/>
        <v>0</v>
      </c>
      <c r="BW422">
        <f t="shared" si="117"/>
        <v>0</v>
      </c>
      <c r="BX422">
        <f t="shared" si="118"/>
        <v>0</v>
      </c>
    </row>
    <row r="423" spans="58:76" x14ac:dyDescent="0.25">
      <c r="BF423" s="1" t="e">
        <f>VLOOKUP(N423,'Incoming Material Report'!H:M,6,FALSE)</f>
        <v>#N/A</v>
      </c>
      <c r="BG423" s="1" t="e">
        <f>IF(VLOOKUP(N423,'Incoming Material Report'!H:N,7,FALSE)=0,"",VLOOKUP(N423,'Incoming Material Report'!H:N,7,FALSE))</f>
        <v>#N/A</v>
      </c>
      <c r="BH423" s="52">
        <f t="shared" si="102"/>
        <v>0</v>
      </c>
      <c r="BI423" s="1">
        <f t="shared" si="103"/>
        <v>0</v>
      </c>
      <c r="BJ423" s="1">
        <f t="shared" si="104"/>
        <v>0</v>
      </c>
      <c r="BK423" s="1">
        <f t="shared" si="105"/>
        <v>0</v>
      </c>
      <c r="BL423" s="1">
        <f t="shared" si="106"/>
        <v>0</v>
      </c>
      <c r="BM423" s="10" t="str">
        <f t="shared" si="107"/>
        <v/>
      </c>
      <c r="BN423" s="52">
        <f t="shared" si="108"/>
        <v>0</v>
      </c>
      <c r="BO423" s="52">
        <f t="shared" si="109"/>
        <v>0</v>
      </c>
      <c r="BP423" s="1">
        <f t="shared" si="110"/>
        <v>0</v>
      </c>
      <c r="BQ423" s="1">
        <f t="shared" si="111"/>
        <v>0</v>
      </c>
      <c r="BR423" s="1" t="str">
        <f t="shared" si="112"/>
        <v/>
      </c>
      <c r="BS423" s="1">
        <f t="shared" si="113"/>
        <v>0</v>
      </c>
      <c r="BT423" s="4">
        <f t="shared" si="114"/>
        <v>0</v>
      </c>
      <c r="BU423" s="52">
        <f t="shared" si="115"/>
        <v>0</v>
      </c>
      <c r="BV423" s="1">
        <f t="shared" si="116"/>
        <v>0</v>
      </c>
      <c r="BW423">
        <f t="shared" si="117"/>
        <v>0</v>
      </c>
      <c r="BX423">
        <f t="shared" si="118"/>
        <v>0</v>
      </c>
    </row>
    <row r="424" spans="58:76" x14ac:dyDescent="0.25">
      <c r="BF424" s="1" t="e">
        <f>VLOOKUP(N424,'Incoming Material Report'!H:M,6,FALSE)</f>
        <v>#N/A</v>
      </c>
      <c r="BG424" s="1" t="e">
        <f>IF(VLOOKUP(N424,'Incoming Material Report'!H:N,7,FALSE)=0,"",VLOOKUP(N424,'Incoming Material Report'!H:N,7,FALSE))</f>
        <v>#N/A</v>
      </c>
      <c r="BH424" s="52">
        <f t="shared" si="102"/>
        <v>0</v>
      </c>
      <c r="BI424" s="1">
        <f t="shared" si="103"/>
        <v>0</v>
      </c>
      <c r="BJ424" s="1">
        <f t="shared" si="104"/>
        <v>0</v>
      </c>
      <c r="BK424" s="1">
        <f t="shared" si="105"/>
        <v>0</v>
      </c>
      <c r="BL424" s="1">
        <f t="shared" si="106"/>
        <v>0</v>
      </c>
      <c r="BM424" s="10" t="str">
        <f t="shared" si="107"/>
        <v/>
      </c>
      <c r="BN424" s="52">
        <f t="shared" si="108"/>
        <v>0</v>
      </c>
      <c r="BO424" s="52">
        <f t="shared" si="109"/>
        <v>0</v>
      </c>
      <c r="BP424" s="1">
        <f t="shared" si="110"/>
        <v>0</v>
      </c>
      <c r="BQ424" s="1">
        <f t="shared" si="111"/>
        <v>0</v>
      </c>
      <c r="BR424" s="1" t="str">
        <f t="shared" si="112"/>
        <v/>
      </c>
      <c r="BS424" s="1">
        <f t="shared" si="113"/>
        <v>0</v>
      </c>
      <c r="BT424" s="4">
        <f t="shared" si="114"/>
        <v>0</v>
      </c>
      <c r="BU424" s="52">
        <f t="shared" si="115"/>
        <v>0</v>
      </c>
      <c r="BV424" s="1">
        <f t="shared" si="116"/>
        <v>0</v>
      </c>
      <c r="BW424">
        <f t="shared" si="117"/>
        <v>0</v>
      </c>
      <c r="BX424">
        <f t="shared" si="118"/>
        <v>0</v>
      </c>
    </row>
    <row r="425" spans="58:76" x14ac:dyDescent="0.25">
      <c r="BF425" s="1" t="e">
        <f>VLOOKUP(N425,'Incoming Material Report'!H:M,6,FALSE)</f>
        <v>#N/A</v>
      </c>
      <c r="BG425" s="1" t="e">
        <f>IF(VLOOKUP(N425,'Incoming Material Report'!H:N,7,FALSE)=0,"",VLOOKUP(N425,'Incoming Material Report'!H:N,7,FALSE))</f>
        <v>#N/A</v>
      </c>
      <c r="BH425" s="52">
        <f t="shared" si="102"/>
        <v>0</v>
      </c>
      <c r="BI425" s="1">
        <f t="shared" si="103"/>
        <v>0</v>
      </c>
      <c r="BJ425" s="1">
        <f t="shared" si="104"/>
        <v>0</v>
      </c>
      <c r="BK425" s="1">
        <f t="shared" si="105"/>
        <v>0</v>
      </c>
      <c r="BL425" s="1">
        <f t="shared" si="106"/>
        <v>0</v>
      </c>
      <c r="BM425" s="10" t="str">
        <f t="shared" si="107"/>
        <v/>
      </c>
      <c r="BN425" s="52">
        <f t="shared" si="108"/>
        <v>0</v>
      </c>
      <c r="BO425" s="52">
        <f t="shared" si="109"/>
        <v>0</v>
      </c>
      <c r="BP425" s="1">
        <f t="shared" si="110"/>
        <v>0</v>
      </c>
      <c r="BQ425" s="1">
        <f t="shared" si="111"/>
        <v>0</v>
      </c>
      <c r="BR425" s="1" t="str">
        <f t="shared" si="112"/>
        <v/>
      </c>
      <c r="BS425" s="1">
        <f t="shared" si="113"/>
        <v>0</v>
      </c>
      <c r="BT425" s="4">
        <f t="shared" si="114"/>
        <v>0</v>
      </c>
      <c r="BU425" s="52">
        <f t="shared" si="115"/>
        <v>0</v>
      </c>
      <c r="BV425" s="1">
        <f t="shared" si="116"/>
        <v>0</v>
      </c>
      <c r="BW425">
        <f t="shared" si="117"/>
        <v>0</v>
      </c>
      <c r="BX425">
        <f t="shared" si="118"/>
        <v>0</v>
      </c>
    </row>
    <row r="426" spans="58:76" x14ac:dyDescent="0.25">
      <c r="BF426" s="1" t="e">
        <f>VLOOKUP(N426,'Incoming Material Report'!H:M,6,FALSE)</f>
        <v>#N/A</v>
      </c>
      <c r="BG426" s="1" t="e">
        <f>IF(VLOOKUP(N426,'Incoming Material Report'!H:N,7,FALSE)=0,"",VLOOKUP(N426,'Incoming Material Report'!H:N,7,FALSE))</f>
        <v>#N/A</v>
      </c>
      <c r="BH426" s="52">
        <f t="shared" si="102"/>
        <v>0</v>
      </c>
      <c r="BI426" s="1">
        <f t="shared" si="103"/>
        <v>0</v>
      </c>
      <c r="BJ426" s="1">
        <f t="shared" si="104"/>
        <v>0</v>
      </c>
      <c r="BK426" s="1">
        <f t="shared" si="105"/>
        <v>0</v>
      </c>
      <c r="BL426" s="1">
        <f t="shared" si="106"/>
        <v>0</v>
      </c>
      <c r="BM426" s="10" t="str">
        <f t="shared" si="107"/>
        <v/>
      </c>
      <c r="BN426" s="52">
        <f t="shared" si="108"/>
        <v>0</v>
      </c>
      <c r="BO426" s="52">
        <f t="shared" si="109"/>
        <v>0</v>
      </c>
      <c r="BP426" s="1">
        <f t="shared" si="110"/>
        <v>0</v>
      </c>
      <c r="BQ426" s="1">
        <f t="shared" si="111"/>
        <v>0</v>
      </c>
      <c r="BR426" s="1" t="str">
        <f t="shared" si="112"/>
        <v/>
      </c>
      <c r="BS426" s="1">
        <f t="shared" si="113"/>
        <v>0</v>
      </c>
      <c r="BT426" s="4">
        <f t="shared" si="114"/>
        <v>0</v>
      </c>
      <c r="BU426" s="52">
        <f t="shared" si="115"/>
        <v>0</v>
      </c>
      <c r="BV426" s="1">
        <f t="shared" si="116"/>
        <v>0</v>
      </c>
      <c r="BW426">
        <f t="shared" si="117"/>
        <v>0</v>
      </c>
      <c r="BX426">
        <f t="shared" si="118"/>
        <v>0</v>
      </c>
    </row>
    <row r="427" spans="58:76" x14ac:dyDescent="0.25">
      <c r="BF427" s="1" t="e">
        <f>VLOOKUP(N427,'Incoming Material Report'!H:M,6,FALSE)</f>
        <v>#N/A</v>
      </c>
      <c r="BG427" s="1" t="e">
        <f>IF(VLOOKUP(N427,'Incoming Material Report'!H:N,7,FALSE)=0,"",VLOOKUP(N427,'Incoming Material Report'!H:N,7,FALSE))</f>
        <v>#N/A</v>
      </c>
      <c r="BH427" s="52">
        <f t="shared" si="102"/>
        <v>0</v>
      </c>
      <c r="BI427" s="1">
        <f t="shared" si="103"/>
        <v>0</v>
      </c>
      <c r="BJ427" s="1">
        <f t="shared" si="104"/>
        <v>0</v>
      </c>
      <c r="BK427" s="1">
        <f t="shared" si="105"/>
        <v>0</v>
      </c>
      <c r="BL427" s="1">
        <f t="shared" si="106"/>
        <v>0</v>
      </c>
      <c r="BM427" s="10" t="str">
        <f t="shared" si="107"/>
        <v/>
      </c>
      <c r="BN427" s="52">
        <f t="shared" si="108"/>
        <v>0</v>
      </c>
      <c r="BO427" s="52">
        <f t="shared" si="109"/>
        <v>0</v>
      </c>
      <c r="BP427" s="1">
        <f t="shared" si="110"/>
        <v>0</v>
      </c>
      <c r="BQ427" s="1">
        <f t="shared" si="111"/>
        <v>0</v>
      </c>
      <c r="BR427" s="1" t="str">
        <f t="shared" si="112"/>
        <v/>
      </c>
      <c r="BS427" s="1">
        <f t="shared" si="113"/>
        <v>0</v>
      </c>
      <c r="BT427" s="4">
        <f t="shared" si="114"/>
        <v>0</v>
      </c>
      <c r="BU427" s="52">
        <f t="shared" si="115"/>
        <v>0</v>
      </c>
      <c r="BV427" s="1">
        <f t="shared" si="116"/>
        <v>0</v>
      </c>
      <c r="BW427">
        <f t="shared" si="117"/>
        <v>0</v>
      </c>
      <c r="BX427">
        <f t="shared" si="118"/>
        <v>0</v>
      </c>
    </row>
    <row r="428" spans="58:76" x14ac:dyDescent="0.25">
      <c r="BF428" s="1" t="e">
        <f>VLOOKUP(N428,'Incoming Material Report'!H:M,6,FALSE)</f>
        <v>#N/A</v>
      </c>
      <c r="BG428" s="1" t="e">
        <f>IF(VLOOKUP(N428,'Incoming Material Report'!H:N,7,FALSE)=0,"",VLOOKUP(N428,'Incoming Material Report'!H:N,7,FALSE))</f>
        <v>#N/A</v>
      </c>
      <c r="BH428" s="52">
        <f t="shared" si="102"/>
        <v>0</v>
      </c>
      <c r="BI428" s="1">
        <f t="shared" si="103"/>
        <v>0</v>
      </c>
      <c r="BJ428" s="1">
        <f t="shared" si="104"/>
        <v>0</v>
      </c>
      <c r="BK428" s="1">
        <f t="shared" si="105"/>
        <v>0</v>
      </c>
      <c r="BL428" s="1">
        <f t="shared" si="106"/>
        <v>0</v>
      </c>
      <c r="BM428" s="10" t="str">
        <f t="shared" si="107"/>
        <v/>
      </c>
      <c r="BN428" s="52">
        <f t="shared" si="108"/>
        <v>0</v>
      </c>
      <c r="BO428" s="52">
        <f t="shared" si="109"/>
        <v>0</v>
      </c>
      <c r="BP428" s="1">
        <f t="shared" si="110"/>
        <v>0</v>
      </c>
      <c r="BQ428" s="1">
        <f t="shared" si="111"/>
        <v>0</v>
      </c>
      <c r="BR428" s="1" t="str">
        <f t="shared" si="112"/>
        <v/>
      </c>
      <c r="BS428" s="1">
        <f t="shared" si="113"/>
        <v>0</v>
      </c>
      <c r="BT428" s="4">
        <f t="shared" si="114"/>
        <v>0</v>
      </c>
      <c r="BU428" s="52">
        <f t="shared" si="115"/>
        <v>0</v>
      </c>
      <c r="BV428" s="1">
        <f t="shared" si="116"/>
        <v>0</v>
      </c>
      <c r="BW428">
        <f t="shared" si="117"/>
        <v>0</v>
      </c>
      <c r="BX428">
        <f t="shared" si="118"/>
        <v>0</v>
      </c>
    </row>
    <row r="429" spans="58:76" x14ac:dyDescent="0.25">
      <c r="BF429" s="1" t="e">
        <f>VLOOKUP(N429,'Incoming Material Report'!H:M,6,FALSE)</f>
        <v>#N/A</v>
      </c>
      <c r="BG429" s="1" t="e">
        <f>IF(VLOOKUP(N429,'Incoming Material Report'!H:N,7,FALSE)=0,"",VLOOKUP(N429,'Incoming Material Report'!H:N,7,FALSE))</f>
        <v>#N/A</v>
      </c>
      <c r="BH429" s="52">
        <f t="shared" si="102"/>
        <v>0</v>
      </c>
      <c r="BI429" s="1">
        <f t="shared" si="103"/>
        <v>0</v>
      </c>
      <c r="BJ429" s="1">
        <f t="shared" si="104"/>
        <v>0</v>
      </c>
      <c r="BK429" s="1">
        <f t="shared" si="105"/>
        <v>0</v>
      </c>
      <c r="BL429" s="1">
        <f t="shared" si="106"/>
        <v>0</v>
      </c>
      <c r="BM429" s="10" t="str">
        <f t="shared" si="107"/>
        <v/>
      </c>
      <c r="BN429" s="52">
        <f t="shared" si="108"/>
        <v>0</v>
      </c>
      <c r="BO429" s="52">
        <f t="shared" si="109"/>
        <v>0</v>
      </c>
      <c r="BP429" s="1">
        <f t="shared" si="110"/>
        <v>0</v>
      </c>
      <c r="BQ429" s="1">
        <f t="shared" si="111"/>
        <v>0</v>
      </c>
      <c r="BR429" s="1" t="str">
        <f t="shared" si="112"/>
        <v/>
      </c>
      <c r="BS429" s="1">
        <f t="shared" si="113"/>
        <v>0</v>
      </c>
      <c r="BT429" s="4">
        <f t="shared" si="114"/>
        <v>0</v>
      </c>
      <c r="BU429" s="52">
        <f t="shared" si="115"/>
        <v>0</v>
      </c>
      <c r="BV429" s="1">
        <f t="shared" si="116"/>
        <v>0</v>
      </c>
      <c r="BW429">
        <f t="shared" si="117"/>
        <v>0</v>
      </c>
      <c r="BX429">
        <f t="shared" si="118"/>
        <v>0</v>
      </c>
    </row>
    <row r="430" spans="58:76" x14ac:dyDescent="0.25">
      <c r="BF430" s="1" t="e">
        <f>VLOOKUP(N430,'Incoming Material Report'!H:M,6,FALSE)</f>
        <v>#N/A</v>
      </c>
      <c r="BG430" s="1" t="e">
        <f>IF(VLOOKUP(N430,'Incoming Material Report'!H:N,7,FALSE)=0,"",VLOOKUP(N430,'Incoming Material Report'!H:N,7,FALSE))</f>
        <v>#N/A</v>
      </c>
      <c r="BH430" s="52">
        <f t="shared" si="102"/>
        <v>0</v>
      </c>
      <c r="BI430" s="1">
        <f t="shared" si="103"/>
        <v>0</v>
      </c>
      <c r="BJ430" s="1">
        <f t="shared" si="104"/>
        <v>0</v>
      </c>
      <c r="BK430" s="1">
        <f t="shared" si="105"/>
        <v>0</v>
      </c>
      <c r="BL430" s="1">
        <f t="shared" si="106"/>
        <v>0</v>
      </c>
      <c r="BM430" s="10" t="str">
        <f t="shared" si="107"/>
        <v/>
      </c>
      <c r="BN430" s="52">
        <f t="shared" si="108"/>
        <v>0</v>
      </c>
      <c r="BO430" s="52">
        <f t="shared" si="109"/>
        <v>0</v>
      </c>
      <c r="BP430" s="1">
        <f t="shared" si="110"/>
        <v>0</v>
      </c>
      <c r="BQ430" s="1">
        <f t="shared" si="111"/>
        <v>0</v>
      </c>
      <c r="BR430" s="1" t="str">
        <f t="shared" si="112"/>
        <v/>
      </c>
      <c r="BS430" s="1">
        <f t="shared" si="113"/>
        <v>0</v>
      </c>
      <c r="BT430" s="4">
        <f t="shared" si="114"/>
        <v>0</v>
      </c>
      <c r="BU430" s="52">
        <f t="shared" si="115"/>
        <v>0</v>
      </c>
      <c r="BV430" s="1">
        <f t="shared" si="116"/>
        <v>0</v>
      </c>
      <c r="BW430">
        <f t="shared" si="117"/>
        <v>0</v>
      </c>
      <c r="BX430">
        <f t="shared" si="118"/>
        <v>0</v>
      </c>
    </row>
    <row r="431" spans="58:76" x14ac:dyDescent="0.25">
      <c r="BF431" s="1" t="e">
        <f>VLOOKUP(N431,'Incoming Material Report'!H:M,6,FALSE)</f>
        <v>#N/A</v>
      </c>
      <c r="BG431" s="1" t="e">
        <f>IF(VLOOKUP(N431,'Incoming Material Report'!H:N,7,FALSE)=0,"",VLOOKUP(N431,'Incoming Material Report'!H:N,7,FALSE))</f>
        <v>#N/A</v>
      </c>
      <c r="BH431" s="52">
        <f t="shared" si="102"/>
        <v>0</v>
      </c>
      <c r="BI431" s="1">
        <f t="shared" si="103"/>
        <v>0</v>
      </c>
      <c r="BJ431" s="1">
        <f t="shared" si="104"/>
        <v>0</v>
      </c>
      <c r="BK431" s="1">
        <f t="shared" si="105"/>
        <v>0</v>
      </c>
      <c r="BL431" s="1">
        <f t="shared" si="106"/>
        <v>0</v>
      </c>
      <c r="BM431" s="10" t="str">
        <f t="shared" si="107"/>
        <v/>
      </c>
      <c r="BN431" s="52">
        <f t="shared" si="108"/>
        <v>0</v>
      </c>
      <c r="BO431" s="52">
        <f t="shared" si="109"/>
        <v>0</v>
      </c>
      <c r="BP431" s="1">
        <f t="shared" si="110"/>
        <v>0</v>
      </c>
      <c r="BQ431" s="1">
        <f t="shared" si="111"/>
        <v>0</v>
      </c>
      <c r="BR431" s="1" t="str">
        <f t="shared" si="112"/>
        <v/>
      </c>
      <c r="BS431" s="1">
        <f t="shared" si="113"/>
        <v>0</v>
      </c>
      <c r="BT431" s="4">
        <f t="shared" si="114"/>
        <v>0</v>
      </c>
      <c r="BU431" s="52">
        <f t="shared" si="115"/>
        <v>0</v>
      </c>
      <c r="BV431" s="1">
        <f t="shared" si="116"/>
        <v>0</v>
      </c>
      <c r="BW431">
        <f t="shared" si="117"/>
        <v>0</v>
      </c>
      <c r="BX431">
        <f t="shared" si="118"/>
        <v>0</v>
      </c>
    </row>
    <row r="432" spans="58:76" x14ac:dyDescent="0.25">
      <c r="BF432" s="1" t="e">
        <f>VLOOKUP(N432,'Incoming Material Report'!H:M,6,FALSE)</f>
        <v>#N/A</v>
      </c>
      <c r="BG432" s="1" t="e">
        <f>IF(VLOOKUP(N432,'Incoming Material Report'!H:N,7,FALSE)=0,"",VLOOKUP(N432,'Incoming Material Report'!H:N,7,FALSE))</f>
        <v>#N/A</v>
      </c>
      <c r="BH432" s="52">
        <f t="shared" si="102"/>
        <v>0</v>
      </c>
      <c r="BI432" s="1">
        <f t="shared" si="103"/>
        <v>0</v>
      </c>
      <c r="BJ432" s="1">
        <f t="shared" si="104"/>
        <v>0</v>
      </c>
      <c r="BK432" s="1">
        <f t="shared" si="105"/>
        <v>0</v>
      </c>
      <c r="BL432" s="1">
        <f t="shared" si="106"/>
        <v>0</v>
      </c>
      <c r="BM432" s="10" t="str">
        <f t="shared" si="107"/>
        <v/>
      </c>
      <c r="BN432" s="52">
        <f t="shared" si="108"/>
        <v>0</v>
      </c>
      <c r="BO432" s="52">
        <f t="shared" si="109"/>
        <v>0</v>
      </c>
      <c r="BP432" s="1">
        <f t="shared" si="110"/>
        <v>0</v>
      </c>
      <c r="BQ432" s="1">
        <f t="shared" si="111"/>
        <v>0</v>
      </c>
      <c r="BR432" s="1" t="str">
        <f t="shared" si="112"/>
        <v/>
      </c>
      <c r="BS432" s="1">
        <f t="shared" si="113"/>
        <v>0</v>
      </c>
      <c r="BT432" s="4">
        <f t="shared" si="114"/>
        <v>0</v>
      </c>
      <c r="BU432" s="52">
        <f t="shared" si="115"/>
        <v>0</v>
      </c>
      <c r="BV432" s="1">
        <f t="shared" si="116"/>
        <v>0</v>
      </c>
      <c r="BW432">
        <f t="shared" si="117"/>
        <v>0</v>
      </c>
      <c r="BX432">
        <f t="shared" si="118"/>
        <v>0</v>
      </c>
    </row>
    <row r="433" spans="58:76" x14ac:dyDescent="0.25">
      <c r="BF433" s="1" t="e">
        <f>VLOOKUP(N433,'Incoming Material Report'!H:M,6,FALSE)</f>
        <v>#N/A</v>
      </c>
      <c r="BG433" s="1" t="e">
        <f>IF(VLOOKUP(N433,'Incoming Material Report'!H:N,7,FALSE)=0,"",VLOOKUP(N433,'Incoming Material Report'!H:N,7,FALSE))</f>
        <v>#N/A</v>
      </c>
      <c r="BH433" s="52">
        <f t="shared" si="102"/>
        <v>0</v>
      </c>
      <c r="BI433" s="1">
        <f t="shared" si="103"/>
        <v>0</v>
      </c>
      <c r="BJ433" s="1">
        <f t="shared" si="104"/>
        <v>0</v>
      </c>
      <c r="BK433" s="1">
        <f t="shared" si="105"/>
        <v>0</v>
      </c>
      <c r="BL433" s="1">
        <f t="shared" si="106"/>
        <v>0</v>
      </c>
      <c r="BM433" s="10" t="str">
        <f t="shared" si="107"/>
        <v/>
      </c>
      <c r="BN433" s="52">
        <f t="shared" si="108"/>
        <v>0</v>
      </c>
      <c r="BO433" s="52">
        <f t="shared" si="109"/>
        <v>0</v>
      </c>
      <c r="BP433" s="1">
        <f t="shared" si="110"/>
        <v>0</v>
      </c>
      <c r="BQ433" s="1">
        <f t="shared" si="111"/>
        <v>0</v>
      </c>
      <c r="BR433" s="1" t="str">
        <f t="shared" si="112"/>
        <v/>
      </c>
      <c r="BS433" s="1">
        <f t="shared" si="113"/>
        <v>0</v>
      </c>
      <c r="BT433" s="4">
        <f t="shared" si="114"/>
        <v>0</v>
      </c>
      <c r="BU433" s="52">
        <f t="shared" si="115"/>
        <v>0</v>
      </c>
      <c r="BV433" s="1">
        <f t="shared" si="116"/>
        <v>0</v>
      </c>
      <c r="BW433">
        <f t="shared" si="117"/>
        <v>0</v>
      </c>
      <c r="BX433">
        <f t="shared" si="118"/>
        <v>0</v>
      </c>
    </row>
    <row r="434" spans="58:76" x14ac:dyDescent="0.25">
      <c r="BF434" s="1" t="e">
        <f>VLOOKUP(N434,'Incoming Material Report'!H:M,6,FALSE)</f>
        <v>#N/A</v>
      </c>
      <c r="BG434" s="1" t="e">
        <f>IF(VLOOKUP(N434,'Incoming Material Report'!H:N,7,FALSE)=0,"",VLOOKUP(N434,'Incoming Material Report'!H:N,7,FALSE))</f>
        <v>#N/A</v>
      </c>
      <c r="BH434" s="52">
        <f t="shared" si="102"/>
        <v>0</v>
      </c>
      <c r="BI434" s="1">
        <f t="shared" si="103"/>
        <v>0</v>
      </c>
      <c r="BJ434" s="1">
        <f t="shared" si="104"/>
        <v>0</v>
      </c>
      <c r="BK434" s="1">
        <f t="shared" si="105"/>
        <v>0</v>
      </c>
      <c r="BL434" s="1">
        <f t="shared" si="106"/>
        <v>0</v>
      </c>
      <c r="BM434" s="10" t="str">
        <f t="shared" si="107"/>
        <v/>
      </c>
      <c r="BN434" s="52">
        <f t="shared" si="108"/>
        <v>0</v>
      </c>
      <c r="BO434" s="52">
        <f t="shared" si="109"/>
        <v>0</v>
      </c>
      <c r="BP434" s="1">
        <f t="shared" si="110"/>
        <v>0</v>
      </c>
      <c r="BQ434" s="1">
        <f t="shared" si="111"/>
        <v>0</v>
      </c>
      <c r="BR434" s="1" t="str">
        <f t="shared" si="112"/>
        <v/>
      </c>
      <c r="BS434" s="1">
        <f t="shared" si="113"/>
        <v>0</v>
      </c>
      <c r="BT434" s="4">
        <f t="shared" si="114"/>
        <v>0</v>
      </c>
      <c r="BU434" s="52">
        <f t="shared" si="115"/>
        <v>0</v>
      </c>
      <c r="BV434" s="1">
        <f t="shared" si="116"/>
        <v>0</v>
      </c>
      <c r="BW434">
        <f t="shared" si="117"/>
        <v>0</v>
      </c>
      <c r="BX434">
        <f t="shared" si="118"/>
        <v>0</v>
      </c>
    </row>
    <row r="435" spans="58:76" x14ac:dyDescent="0.25">
      <c r="BF435" s="1" t="e">
        <f>VLOOKUP(N435,'Incoming Material Report'!H:M,6,FALSE)</f>
        <v>#N/A</v>
      </c>
      <c r="BG435" s="1" t="e">
        <f>IF(VLOOKUP(N435,'Incoming Material Report'!H:N,7,FALSE)=0,"",VLOOKUP(N435,'Incoming Material Report'!H:N,7,FALSE))</f>
        <v>#N/A</v>
      </c>
      <c r="BH435" s="52">
        <f t="shared" si="102"/>
        <v>0</v>
      </c>
      <c r="BI435" s="1">
        <f t="shared" si="103"/>
        <v>0</v>
      </c>
      <c r="BJ435" s="1">
        <f t="shared" si="104"/>
        <v>0</v>
      </c>
      <c r="BK435" s="1">
        <f t="shared" si="105"/>
        <v>0</v>
      </c>
      <c r="BL435" s="1">
        <f t="shared" si="106"/>
        <v>0</v>
      </c>
      <c r="BM435" s="10" t="str">
        <f t="shared" si="107"/>
        <v/>
      </c>
      <c r="BN435" s="52">
        <f t="shared" si="108"/>
        <v>0</v>
      </c>
      <c r="BO435" s="52">
        <f t="shared" si="109"/>
        <v>0</v>
      </c>
      <c r="BP435" s="1">
        <f t="shared" si="110"/>
        <v>0</v>
      </c>
      <c r="BQ435" s="1">
        <f t="shared" si="111"/>
        <v>0</v>
      </c>
      <c r="BR435" s="1" t="str">
        <f t="shared" si="112"/>
        <v/>
      </c>
      <c r="BS435" s="1">
        <f t="shared" si="113"/>
        <v>0</v>
      </c>
      <c r="BT435" s="4">
        <f t="shared" si="114"/>
        <v>0</v>
      </c>
      <c r="BU435" s="52">
        <f t="shared" si="115"/>
        <v>0</v>
      </c>
      <c r="BV435" s="1">
        <f t="shared" si="116"/>
        <v>0</v>
      </c>
      <c r="BW435">
        <f t="shared" si="117"/>
        <v>0</v>
      </c>
      <c r="BX435">
        <f t="shared" si="118"/>
        <v>0</v>
      </c>
    </row>
    <row r="436" spans="58:76" x14ac:dyDescent="0.25">
      <c r="BF436" s="1" t="e">
        <f>VLOOKUP(N436,'Incoming Material Report'!H:M,6,FALSE)</f>
        <v>#N/A</v>
      </c>
      <c r="BG436" s="1" t="e">
        <f>IF(VLOOKUP(N436,'Incoming Material Report'!H:N,7,FALSE)=0,"",VLOOKUP(N436,'Incoming Material Report'!H:N,7,FALSE))</f>
        <v>#N/A</v>
      </c>
      <c r="BH436" s="52">
        <f t="shared" si="102"/>
        <v>0</v>
      </c>
      <c r="BI436" s="1">
        <f t="shared" si="103"/>
        <v>0</v>
      </c>
      <c r="BJ436" s="1">
        <f t="shared" si="104"/>
        <v>0</v>
      </c>
      <c r="BK436" s="1">
        <f t="shared" si="105"/>
        <v>0</v>
      </c>
      <c r="BL436" s="1">
        <f t="shared" si="106"/>
        <v>0</v>
      </c>
      <c r="BM436" s="10" t="str">
        <f t="shared" si="107"/>
        <v/>
      </c>
      <c r="BN436" s="52">
        <f t="shared" si="108"/>
        <v>0</v>
      </c>
      <c r="BO436" s="52">
        <f t="shared" si="109"/>
        <v>0</v>
      </c>
      <c r="BP436" s="1">
        <f t="shared" si="110"/>
        <v>0</v>
      </c>
      <c r="BQ436" s="1">
        <f t="shared" si="111"/>
        <v>0</v>
      </c>
      <c r="BR436" s="1" t="str">
        <f t="shared" si="112"/>
        <v/>
      </c>
      <c r="BS436" s="1">
        <f t="shared" si="113"/>
        <v>0</v>
      </c>
      <c r="BT436" s="4">
        <f t="shared" si="114"/>
        <v>0</v>
      </c>
      <c r="BU436" s="52">
        <f t="shared" si="115"/>
        <v>0</v>
      </c>
      <c r="BV436" s="1">
        <f t="shared" si="116"/>
        <v>0</v>
      </c>
      <c r="BW436">
        <f t="shared" si="117"/>
        <v>0</v>
      </c>
      <c r="BX436">
        <f t="shared" si="118"/>
        <v>0</v>
      </c>
    </row>
    <row r="437" spans="58:76" x14ac:dyDescent="0.25">
      <c r="BF437" s="1" t="e">
        <f>VLOOKUP(N437,'Incoming Material Report'!H:M,6,FALSE)</f>
        <v>#N/A</v>
      </c>
      <c r="BG437" s="1" t="e">
        <f>IF(VLOOKUP(N437,'Incoming Material Report'!H:N,7,FALSE)=0,"",VLOOKUP(N437,'Incoming Material Report'!H:N,7,FALSE))</f>
        <v>#N/A</v>
      </c>
      <c r="BH437" s="52">
        <f t="shared" si="102"/>
        <v>0</v>
      </c>
      <c r="BI437" s="1">
        <f t="shared" si="103"/>
        <v>0</v>
      </c>
      <c r="BJ437" s="1">
        <f t="shared" si="104"/>
        <v>0</v>
      </c>
      <c r="BK437" s="1">
        <f t="shared" si="105"/>
        <v>0</v>
      </c>
      <c r="BL437" s="1">
        <f t="shared" si="106"/>
        <v>0</v>
      </c>
      <c r="BM437" s="10" t="str">
        <f t="shared" si="107"/>
        <v/>
      </c>
      <c r="BN437" s="52">
        <f t="shared" si="108"/>
        <v>0</v>
      </c>
      <c r="BO437" s="52">
        <f t="shared" si="109"/>
        <v>0</v>
      </c>
      <c r="BP437" s="1">
        <f t="shared" si="110"/>
        <v>0</v>
      </c>
      <c r="BQ437" s="1">
        <f t="shared" si="111"/>
        <v>0</v>
      </c>
      <c r="BR437" s="1" t="str">
        <f t="shared" si="112"/>
        <v/>
      </c>
      <c r="BS437" s="1">
        <f t="shared" si="113"/>
        <v>0</v>
      </c>
      <c r="BT437" s="4">
        <f t="shared" si="114"/>
        <v>0</v>
      </c>
      <c r="BU437" s="52">
        <f t="shared" si="115"/>
        <v>0</v>
      </c>
      <c r="BV437" s="1">
        <f t="shared" si="116"/>
        <v>0</v>
      </c>
      <c r="BW437">
        <f t="shared" si="117"/>
        <v>0</v>
      </c>
      <c r="BX437">
        <f t="shared" si="118"/>
        <v>0</v>
      </c>
    </row>
    <row r="438" spans="58:76" x14ac:dyDescent="0.25">
      <c r="BF438" s="1" t="e">
        <f>VLOOKUP(N438,'Incoming Material Report'!H:M,6,FALSE)</f>
        <v>#N/A</v>
      </c>
      <c r="BG438" s="1" t="e">
        <f>IF(VLOOKUP(N438,'Incoming Material Report'!H:N,7,FALSE)=0,"",VLOOKUP(N438,'Incoming Material Report'!H:N,7,FALSE))</f>
        <v>#N/A</v>
      </c>
      <c r="BH438" s="52">
        <f t="shared" si="102"/>
        <v>0</v>
      </c>
      <c r="BI438" s="1">
        <f t="shared" si="103"/>
        <v>0</v>
      </c>
      <c r="BJ438" s="1">
        <f t="shared" si="104"/>
        <v>0</v>
      </c>
      <c r="BK438" s="1">
        <f t="shared" si="105"/>
        <v>0</v>
      </c>
      <c r="BL438" s="1">
        <f t="shared" si="106"/>
        <v>0</v>
      </c>
      <c r="BM438" s="10" t="str">
        <f t="shared" si="107"/>
        <v/>
      </c>
      <c r="BN438" s="52">
        <f t="shared" si="108"/>
        <v>0</v>
      </c>
      <c r="BO438" s="52">
        <f t="shared" si="109"/>
        <v>0</v>
      </c>
      <c r="BP438" s="1">
        <f t="shared" si="110"/>
        <v>0</v>
      </c>
      <c r="BQ438" s="1">
        <f t="shared" si="111"/>
        <v>0</v>
      </c>
      <c r="BR438" s="1" t="str">
        <f t="shared" si="112"/>
        <v/>
      </c>
      <c r="BS438" s="1">
        <f t="shared" si="113"/>
        <v>0</v>
      </c>
      <c r="BT438" s="4">
        <f t="shared" si="114"/>
        <v>0</v>
      </c>
      <c r="BU438" s="52">
        <f t="shared" si="115"/>
        <v>0</v>
      </c>
      <c r="BV438" s="1">
        <f t="shared" si="116"/>
        <v>0</v>
      </c>
      <c r="BW438">
        <f t="shared" si="117"/>
        <v>0</v>
      </c>
      <c r="BX438">
        <f t="shared" si="118"/>
        <v>0</v>
      </c>
    </row>
    <row r="439" spans="58:76" x14ac:dyDescent="0.25">
      <c r="BF439" s="1" t="e">
        <f>VLOOKUP(N439,'Incoming Material Report'!H:M,6,FALSE)</f>
        <v>#N/A</v>
      </c>
      <c r="BG439" s="1" t="e">
        <f>IF(VLOOKUP(N439,'Incoming Material Report'!H:N,7,FALSE)=0,"",VLOOKUP(N439,'Incoming Material Report'!H:N,7,FALSE))</f>
        <v>#N/A</v>
      </c>
      <c r="BH439" s="52">
        <f t="shared" si="102"/>
        <v>0</v>
      </c>
      <c r="BI439" s="1">
        <f t="shared" si="103"/>
        <v>0</v>
      </c>
      <c r="BJ439" s="1">
        <f t="shared" si="104"/>
        <v>0</v>
      </c>
      <c r="BK439" s="1">
        <f t="shared" si="105"/>
        <v>0</v>
      </c>
      <c r="BL439" s="1">
        <f t="shared" si="106"/>
        <v>0</v>
      </c>
      <c r="BM439" s="10" t="str">
        <f t="shared" si="107"/>
        <v/>
      </c>
      <c r="BN439" s="52">
        <f t="shared" si="108"/>
        <v>0</v>
      </c>
      <c r="BO439" s="52">
        <f t="shared" si="109"/>
        <v>0</v>
      </c>
      <c r="BP439" s="1">
        <f t="shared" si="110"/>
        <v>0</v>
      </c>
      <c r="BQ439" s="1">
        <f t="shared" si="111"/>
        <v>0</v>
      </c>
      <c r="BR439" s="1" t="str">
        <f t="shared" si="112"/>
        <v/>
      </c>
      <c r="BS439" s="1">
        <f t="shared" si="113"/>
        <v>0</v>
      </c>
      <c r="BT439" s="4">
        <f t="shared" si="114"/>
        <v>0</v>
      </c>
      <c r="BU439" s="52">
        <f t="shared" si="115"/>
        <v>0</v>
      </c>
      <c r="BV439" s="1">
        <f t="shared" si="116"/>
        <v>0</v>
      </c>
      <c r="BW439">
        <f t="shared" si="117"/>
        <v>0</v>
      </c>
      <c r="BX439">
        <f t="shared" si="118"/>
        <v>0</v>
      </c>
    </row>
    <row r="440" spans="58:76" x14ac:dyDescent="0.25">
      <c r="BF440" s="1" t="e">
        <f>VLOOKUP(N440,'Incoming Material Report'!H:M,6,FALSE)</f>
        <v>#N/A</v>
      </c>
      <c r="BG440" s="1" t="e">
        <f>IF(VLOOKUP(N440,'Incoming Material Report'!H:N,7,FALSE)=0,"",VLOOKUP(N440,'Incoming Material Report'!H:N,7,FALSE))</f>
        <v>#N/A</v>
      </c>
      <c r="BH440" s="52">
        <f t="shared" si="102"/>
        <v>0</v>
      </c>
      <c r="BI440" s="1">
        <f t="shared" si="103"/>
        <v>0</v>
      </c>
      <c r="BJ440" s="1">
        <f t="shared" si="104"/>
        <v>0</v>
      </c>
      <c r="BK440" s="1">
        <f t="shared" si="105"/>
        <v>0</v>
      </c>
      <c r="BL440" s="1">
        <f t="shared" si="106"/>
        <v>0</v>
      </c>
      <c r="BM440" s="10" t="str">
        <f t="shared" si="107"/>
        <v/>
      </c>
      <c r="BN440" s="52">
        <f t="shared" si="108"/>
        <v>0</v>
      </c>
      <c r="BO440" s="52">
        <f t="shared" si="109"/>
        <v>0</v>
      </c>
      <c r="BP440" s="1">
        <f t="shared" si="110"/>
        <v>0</v>
      </c>
      <c r="BQ440" s="1">
        <f t="shared" si="111"/>
        <v>0</v>
      </c>
      <c r="BR440" s="1" t="str">
        <f t="shared" si="112"/>
        <v/>
      </c>
      <c r="BS440" s="1">
        <f t="shared" si="113"/>
        <v>0</v>
      </c>
      <c r="BT440" s="4">
        <f t="shared" si="114"/>
        <v>0</v>
      </c>
      <c r="BU440" s="52">
        <f t="shared" si="115"/>
        <v>0</v>
      </c>
      <c r="BV440" s="1">
        <f t="shared" si="116"/>
        <v>0</v>
      </c>
      <c r="BW440">
        <f t="shared" si="117"/>
        <v>0</v>
      </c>
      <c r="BX440">
        <f t="shared" si="118"/>
        <v>0</v>
      </c>
    </row>
    <row r="441" spans="58:76" x14ac:dyDescent="0.25">
      <c r="BF441" s="1" t="e">
        <f>VLOOKUP(N441,'Incoming Material Report'!H:M,6,FALSE)</f>
        <v>#N/A</v>
      </c>
      <c r="BG441" s="1" t="e">
        <f>IF(VLOOKUP(N441,'Incoming Material Report'!H:N,7,FALSE)=0,"",VLOOKUP(N441,'Incoming Material Report'!H:N,7,FALSE))</f>
        <v>#N/A</v>
      </c>
      <c r="BH441" s="52">
        <f t="shared" si="102"/>
        <v>0</v>
      </c>
      <c r="BI441" s="1">
        <f t="shared" si="103"/>
        <v>0</v>
      </c>
      <c r="BJ441" s="1">
        <f t="shared" si="104"/>
        <v>0</v>
      </c>
      <c r="BK441" s="1">
        <f t="shared" si="105"/>
        <v>0</v>
      </c>
      <c r="BL441" s="1">
        <f t="shared" si="106"/>
        <v>0</v>
      </c>
      <c r="BM441" s="10" t="str">
        <f t="shared" si="107"/>
        <v/>
      </c>
      <c r="BN441" s="52">
        <f t="shared" si="108"/>
        <v>0</v>
      </c>
      <c r="BO441" s="52">
        <f t="shared" si="109"/>
        <v>0</v>
      </c>
      <c r="BP441" s="1">
        <f t="shared" si="110"/>
        <v>0</v>
      </c>
      <c r="BQ441" s="1">
        <f t="shared" si="111"/>
        <v>0</v>
      </c>
      <c r="BR441" s="1" t="str">
        <f t="shared" si="112"/>
        <v/>
      </c>
      <c r="BS441" s="1">
        <f t="shared" si="113"/>
        <v>0</v>
      </c>
      <c r="BT441" s="4">
        <f t="shared" si="114"/>
        <v>0</v>
      </c>
      <c r="BU441" s="52">
        <f t="shared" si="115"/>
        <v>0</v>
      </c>
      <c r="BV441" s="1">
        <f t="shared" si="116"/>
        <v>0</v>
      </c>
      <c r="BW441">
        <f t="shared" si="117"/>
        <v>0</v>
      </c>
      <c r="BX441">
        <f t="shared" si="118"/>
        <v>0</v>
      </c>
    </row>
    <row r="442" spans="58:76" x14ac:dyDescent="0.25">
      <c r="BF442" s="1" t="e">
        <f>VLOOKUP(N442,'Incoming Material Report'!H:M,6,FALSE)</f>
        <v>#N/A</v>
      </c>
      <c r="BG442" s="1" t="e">
        <f>IF(VLOOKUP(N442,'Incoming Material Report'!H:N,7,FALSE)=0,"",VLOOKUP(N442,'Incoming Material Report'!H:N,7,FALSE))</f>
        <v>#N/A</v>
      </c>
      <c r="BH442" s="52">
        <f t="shared" ref="BH442:BH505" si="119">VALUE(T442)</f>
        <v>0</v>
      </c>
      <c r="BI442" s="1">
        <f t="shared" ref="BI442:BI505" si="120">VALUE(U442)</f>
        <v>0</v>
      </c>
      <c r="BJ442" s="1">
        <f t="shared" ref="BJ442:BJ505" si="121">IFERROR(_xlfn.NUMBERVALUE(V442),V442)</f>
        <v>0</v>
      </c>
      <c r="BK442" s="1">
        <f t="shared" ref="BK442:BK505" si="122">IFERROR(INT(I442),I442)</f>
        <v>0</v>
      </c>
      <c r="BL442" s="1">
        <f t="shared" ref="BL442:BL505" si="123">L442</f>
        <v>0</v>
      </c>
      <c r="BM442" s="10" t="str">
        <f t="shared" ref="BM442:BM505" si="124">SUBSTITUTE(J442,"/",".")</f>
        <v/>
      </c>
      <c r="BN442" s="52">
        <f t="shared" ref="BN442:BN505" si="125">VALUE(Q442)*1000</f>
        <v>0</v>
      </c>
      <c r="BO442" s="52">
        <f t="shared" ref="BO442:BO505" si="126">VALUE(P442)/1000</f>
        <v>0</v>
      </c>
      <c r="BP442" s="1">
        <f t="shared" ref="BP442:BP505" si="127">VALUE(D442)</f>
        <v>0</v>
      </c>
      <c r="BQ442" s="1">
        <f t="shared" ref="BQ442:BQ505" si="128">G442</f>
        <v>0</v>
      </c>
      <c r="BR442" s="1" t="str">
        <f t="shared" ref="BR442:BR505" si="129">SUBSTITUTE(O442,".","")</f>
        <v/>
      </c>
      <c r="BS442" s="1">
        <f t="shared" ref="BS442:BS505" si="130">S442</f>
        <v>0</v>
      </c>
      <c r="BT442" s="4">
        <f t="shared" ref="BT442:BT505" si="131">VALUE(AJ442)</f>
        <v>0</v>
      </c>
      <c r="BU442" s="52">
        <f t="shared" ref="BU442:BU505" si="132">K442</f>
        <v>0</v>
      </c>
      <c r="BV442" s="1">
        <f t="shared" ref="BV442:BV505" si="133">AQ442</f>
        <v>0</v>
      </c>
      <c r="BW442">
        <f t="shared" ref="BW442:BW505" si="134">X442</f>
        <v>0</v>
      </c>
      <c r="BX442">
        <f t="shared" ref="BX442:BX505" si="135">AN442</f>
        <v>0</v>
      </c>
    </row>
    <row r="443" spans="58:76" x14ac:dyDescent="0.25">
      <c r="BF443" s="1" t="e">
        <f>VLOOKUP(N443,'Incoming Material Report'!H:M,6,FALSE)</f>
        <v>#N/A</v>
      </c>
      <c r="BG443" s="1" t="e">
        <f>IF(VLOOKUP(N443,'Incoming Material Report'!H:N,7,FALSE)=0,"",VLOOKUP(N443,'Incoming Material Report'!H:N,7,FALSE))</f>
        <v>#N/A</v>
      </c>
      <c r="BH443" s="52">
        <f t="shared" si="119"/>
        <v>0</v>
      </c>
      <c r="BI443" s="1">
        <f t="shared" si="120"/>
        <v>0</v>
      </c>
      <c r="BJ443" s="1">
        <f t="shared" si="121"/>
        <v>0</v>
      </c>
      <c r="BK443" s="1">
        <f t="shared" si="122"/>
        <v>0</v>
      </c>
      <c r="BL443" s="1">
        <f t="shared" si="123"/>
        <v>0</v>
      </c>
      <c r="BM443" s="10" t="str">
        <f t="shared" si="124"/>
        <v/>
      </c>
      <c r="BN443" s="52">
        <f t="shared" si="125"/>
        <v>0</v>
      </c>
      <c r="BO443" s="52">
        <f t="shared" si="126"/>
        <v>0</v>
      </c>
      <c r="BP443" s="1">
        <f t="shared" si="127"/>
        <v>0</v>
      </c>
      <c r="BQ443" s="1">
        <f t="shared" si="128"/>
        <v>0</v>
      </c>
      <c r="BR443" s="1" t="str">
        <f t="shared" si="129"/>
        <v/>
      </c>
      <c r="BS443" s="1">
        <f t="shared" si="130"/>
        <v>0</v>
      </c>
      <c r="BT443" s="4">
        <f t="shared" si="131"/>
        <v>0</v>
      </c>
      <c r="BU443" s="52">
        <f t="shared" si="132"/>
        <v>0</v>
      </c>
      <c r="BV443" s="1">
        <f t="shared" si="133"/>
        <v>0</v>
      </c>
      <c r="BW443">
        <f t="shared" si="134"/>
        <v>0</v>
      </c>
      <c r="BX443">
        <f t="shared" si="135"/>
        <v>0</v>
      </c>
    </row>
    <row r="444" spans="58:76" x14ac:dyDescent="0.25">
      <c r="BF444" s="1" t="e">
        <f>VLOOKUP(N444,'Incoming Material Report'!H:M,6,FALSE)</f>
        <v>#N/A</v>
      </c>
      <c r="BG444" s="1" t="e">
        <f>IF(VLOOKUP(N444,'Incoming Material Report'!H:N,7,FALSE)=0,"",VLOOKUP(N444,'Incoming Material Report'!H:N,7,FALSE))</f>
        <v>#N/A</v>
      </c>
      <c r="BH444" s="52">
        <f t="shared" si="119"/>
        <v>0</v>
      </c>
      <c r="BI444" s="1">
        <f t="shared" si="120"/>
        <v>0</v>
      </c>
      <c r="BJ444" s="1">
        <f t="shared" si="121"/>
        <v>0</v>
      </c>
      <c r="BK444" s="1">
        <f t="shared" si="122"/>
        <v>0</v>
      </c>
      <c r="BL444" s="1">
        <f t="shared" si="123"/>
        <v>0</v>
      </c>
      <c r="BM444" s="10" t="str">
        <f t="shared" si="124"/>
        <v/>
      </c>
      <c r="BN444" s="52">
        <f t="shared" si="125"/>
        <v>0</v>
      </c>
      <c r="BO444" s="52">
        <f t="shared" si="126"/>
        <v>0</v>
      </c>
      <c r="BP444" s="1">
        <f t="shared" si="127"/>
        <v>0</v>
      </c>
      <c r="BQ444" s="1">
        <f t="shared" si="128"/>
        <v>0</v>
      </c>
      <c r="BR444" s="1" t="str">
        <f t="shared" si="129"/>
        <v/>
      </c>
      <c r="BS444" s="1">
        <f t="shared" si="130"/>
        <v>0</v>
      </c>
      <c r="BT444" s="4">
        <f t="shared" si="131"/>
        <v>0</v>
      </c>
      <c r="BU444" s="52">
        <f t="shared" si="132"/>
        <v>0</v>
      </c>
      <c r="BV444" s="1">
        <f t="shared" si="133"/>
        <v>0</v>
      </c>
      <c r="BW444">
        <f t="shared" si="134"/>
        <v>0</v>
      </c>
      <c r="BX444">
        <f t="shared" si="135"/>
        <v>0</v>
      </c>
    </row>
    <row r="445" spans="58:76" x14ac:dyDescent="0.25">
      <c r="BF445" s="1" t="e">
        <f>VLOOKUP(N445,'Incoming Material Report'!H:M,6,FALSE)</f>
        <v>#N/A</v>
      </c>
      <c r="BG445" s="1" t="e">
        <f>IF(VLOOKUP(N445,'Incoming Material Report'!H:N,7,FALSE)=0,"",VLOOKUP(N445,'Incoming Material Report'!H:N,7,FALSE))</f>
        <v>#N/A</v>
      </c>
      <c r="BH445" s="52">
        <f t="shared" si="119"/>
        <v>0</v>
      </c>
      <c r="BI445" s="1">
        <f t="shared" si="120"/>
        <v>0</v>
      </c>
      <c r="BJ445" s="1">
        <f t="shared" si="121"/>
        <v>0</v>
      </c>
      <c r="BK445" s="1">
        <f t="shared" si="122"/>
        <v>0</v>
      </c>
      <c r="BL445" s="1">
        <f t="shared" si="123"/>
        <v>0</v>
      </c>
      <c r="BM445" s="10" t="str">
        <f t="shared" si="124"/>
        <v/>
      </c>
      <c r="BN445" s="52">
        <f t="shared" si="125"/>
        <v>0</v>
      </c>
      <c r="BO445" s="52">
        <f t="shared" si="126"/>
        <v>0</v>
      </c>
      <c r="BP445" s="1">
        <f t="shared" si="127"/>
        <v>0</v>
      </c>
      <c r="BQ445" s="1">
        <f t="shared" si="128"/>
        <v>0</v>
      </c>
      <c r="BR445" s="1" t="str">
        <f t="shared" si="129"/>
        <v/>
      </c>
      <c r="BS445" s="1">
        <f t="shared" si="130"/>
        <v>0</v>
      </c>
      <c r="BT445" s="4">
        <f t="shared" si="131"/>
        <v>0</v>
      </c>
      <c r="BU445" s="52">
        <f t="shared" si="132"/>
        <v>0</v>
      </c>
      <c r="BV445" s="1">
        <f t="shared" si="133"/>
        <v>0</v>
      </c>
      <c r="BW445">
        <f t="shared" si="134"/>
        <v>0</v>
      </c>
      <c r="BX445">
        <f t="shared" si="135"/>
        <v>0</v>
      </c>
    </row>
    <row r="446" spans="58:76" x14ac:dyDescent="0.25">
      <c r="BF446" s="1" t="e">
        <f>VLOOKUP(N446,'Incoming Material Report'!H:M,6,FALSE)</f>
        <v>#N/A</v>
      </c>
      <c r="BG446" s="1" t="e">
        <f>IF(VLOOKUP(N446,'Incoming Material Report'!H:N,7,FALSE)=0,"",VLOOKUP(N446,'Incoming Material Report'!H:N,7,FALSE))</f>
        <v>#N/A</v>
      </c>
      <c r="BH446" s="52">
        <f t="shared" si="119"/>
        <v>0</v>
      </c>
      <c r="BI446" s="1">
        <f t="shared" si="120"/>
        <v>0</v>
      </c>
      <c r="BJ446" s="1">
        <f t="shared" si="121"/>
        <v>0</v>
      </c>
      <c r="BK446" s="1">
        <f t="shared" si="122"/>
        <v>0</v>
      </c>
      <c r="BL446" s="1">
        <f t="shared" si="123"/>
        <v>0</v>
      </c>
      <c r="BM446" s="10" t="str">
        <f t="shared" si="124"/>
        <v/>
      </c>
      <c r="BN446" s="52">
        <f t="shared" si="125"/>
        <v>0</v>
      </c>
      <c r="BO446" s="52">
        <f t="shared" si="126"/>
        <v>0</v>
      </c>
      <c r="BP446" s="1">
        <f t="shared" si="127"/>
        <v>0</v>
      </c>
      <c r="BQ446" s="1">
        <f t="shared" si="128"/>
        <v>0</v>
      </c>
      <c r="BR446" s="1" t="str">
        <f t="shared" si="129"/>
        <v/>
      </c>
      <c r="BS446" s="1">
        <f t="shared" si="130"/>
        <v>0</v>
      </c>
      <c r="BT446" s="4">
        <f t="shared" si="131"/>
        <v>0</v>
      </c>
      <c r="BU446" s="52">
        <f t="shared" si="132"/>
        <v>0</v>
      </c>
      <c r="BV446" s="1">
        <f t="shared" si="133"/>
        <v>0</v>
      </c>
      <c r="BW446">
        <f t="shared" si="134"/>
        <v>0</v>
      </c>
      <c r="BX446">
        <f t="shared" si="135"/>
        <v>0</v>
      </c>
    </row>
    <row r="447" spans="58:76" x14ac:dyDescent="0.25">
      <c r="BF447" s="1" t="e">
        <f>VLOOKUP(N447,'Incoming Material Report'!H:M,6,FALSE)</f>
        <v>#N/A</v>
      </c>
      <c r="BG447" s="1" t="e">
        <f>IF(VLOOKUP(N447,'Incoming Material Report'!H:N,7,FALSE)=0,"",VLOOKUP(N447,'Incoming Material Report'!H:N,7,FALSE))</f>
        <v>#N/A</v>
      </c>
      <c r="BH447" s="52">
        <f t="shared" si="119"/>
        <v>0</v>
      </c>
      <c r="BI447" s="1">
        <f t="shared" si="120"/>
        <v>0</v>
      </c>
      <c r="BJ447" s="1">
        <f t="shared" si="121"/>
        <v>0</v>
      </c>
      <c r="BK447" s="1">
        <f t="shared" si="122"/>
        <v>0</v>
      </c>
      <c r="BL447" s="1">
        <f t="shared" si="123"/>
        <v>0</v>
      </c>
      <c r="BM447" s="10" t="str">
        <f t="shared" si="124"/>
        <v/>
      </c>
      <c r="BN447" s="52">
        <f t="shared" si="125"/>
        <v>0</v>
      </c>
      <c r="BO447" s="52">
        <f t="shared" si="126"/>
        <v>0</v>
      </c>
      <c r="BP447" s="1">
        <f t="shared" si="127"/>
        <v>0</v>
      </c>
      <c r="BQ447" s="1">
        <f t="shared" si="128"/>
        <v>0</v>
      </c>
      <c r="BR447" s="1" t="str">
        <f t="shared" si="129"/>
        <v/>
      </c>
      <c r="BS447" s="1">
        <f t="shared" si="130"/>
        <v>0</v>
      </c>
      <c r="BT447" s="4">
        <f t="shared" si="131"/>
        <v>0</v>
      </c>
      <c r="BU447" s="52">
        <f t="shared" si="132"/>
        <v>0</v>
      </c>
      <c r="BV447" s="1">
        <f t="shared" si="133"/>
        <v>0</v>
      </c>
      <c r="BW447">
        <f t="shared" si="134"/>
        <v>0</v>
      </c>
      <c r="BX447">
        <f t="shared" si="135"/>
        <v>0</v>
      </c>
    </row>
    <row r="448" spans="58:76" x14ac:dyDescent="0.25">
      <c r="BF448" s="1" t="e">
        <f>VLOOKUP(N448,'Incoming Material Report'!H:M,6,FALSE)</f>
        <v>#N/A</v>
      </c>
      <c r="BG448" s="1" t="e">
        <f>IF(VLOOKUP(N448,'Incoming Material Report'!H:N,7,FALSE)=0,"",VLOOKUP(N448,'Incoming Material Report'!H:N,7,FALSE))</f>
        <v>#N/A</v>
      </c>
      <c r="BH448" s="52">
        <f t="shared" si="119"/>
        <v>0</v>
      </c>
      <c r="BI448" s="1">
        <f t="shared" si="120"/>
        <v>0</v>
      </c>
      <c r="BJ448" s="1">
        <f t="shared" si="121"/>
        <v>0</v>
      </c>
      <c r="BK448" s="1">
        <f t="shared" si="122"/>
        <v>0</v>
      </c>
      <c r="BL448" s="1">
        <f t="shared" si="123"/>
        <v>0</v>
      </c>
      <c r="BM448" s="10" t="str">
        <f t="shared" si="124"/>
        <v/>
      </c>
      <c r="BN448" s="52">
        <f t="shared" si="125"/>
        <v>0</v>
      </c>
      <c r="BO448" s="52">
        <f t="shared" si="126"/>
        <v>0</v>
      </c>
      <c r="BP448" s="1">
        <f t="shared" si="127"/>
        <v>0</v>
      </c>
      <c r="BQ448" s="1">
        <f t="shared" si="128"/>
        <v>0</v>
      </c>
      <c r="BR448" s="1" t="str">
        <f t="shared" si="129"/>
        <v/>
      </c>
      <c r="BS448" s="1">
        <f t="shared" si="130"/>
        <v>0</v>
      </c>
      <c r="BT448" s="4">
        <f t="shared" si="131"/>
        <v>0</v>
      </c>
      <c r="BU448" s="52">
        <f t="shared" si="132"/>
        <v>0</v>
      </c>
      <c r="BV448" s="1">
        <f t="shared" si="133"/>
        <v>0</v>
      </c>
      <c r="BW448">
        <f t="shared" si="134"/>
        <v>0</v>
      </c>
      <c r="BX448">
        <f t="shared" si="135"/>
        <v>0</v>
      </c>
    </row>
    <row r="449" spans="58:76" x14ac:dyDescent="0.25">
      <c r="BF449" s="1" t="e">
        <f>VLOOKUP(N449,'Incoming Material Report'!H:M,6,FALSE)</f>
        <v>#N/A</v>
      </c>
      <c r="BG449" s="1" t="e">
        <f>IF(VLOOKUP(N449,'Incoming Material Report'!H:N,7,FALSE)=0,"",VLOOKUP(N449,'Incoming Material Report'!H:N,7,FALSE))</f>
        <v>#N/A</v>
      </c>
      <c r="BH449" s="52">
        <f t="shared" si="119"/>
        <v>0</v>
      </c>
      <c r="BI449" s="1">
        <f t="shared" si="120"/>
        <v>0</v>
      </c>
      <c r="BJ449" s="1">
        <f t="shared" si="121"/>
        <v>0</v>
      </c>
      <c r="BK449" s="1">
        <f t="shared" si="122"/>
        <v>0</v>
      </c>
      <c r="BL449" s="1">
        <f t="shared" si="123"/>
        <v>0</v>
      </c>
      <c r="BM449" s="10" t="str">
        <f t="shared" si="124"/>
        <v/>
      </c>
      <c r="BN449" s="52">
        <f t="shared" si="125"/>
        <v>0</v>
      </c>
      <c r="BO449" s="52">
        <f t="shared" si="126"/>
        <v>0</v>
      </c>
      <c r="BP449" s="1">
        <f t="shared" si="127"/>
        <v>0</v>
      </c>
      <c r="BQ449" s="1">
        <f t="shared" si="128"/>
        <v>0</v>
      </c>
      <c r="BR449" s="1" t="str">
        <f t="shared" si="129"/>
        <v/>
      </c>
      <c r="BS449" s="1">
        <f t="shared" si="130"/>
        <v>0</v>
      </c>
      <c r="BT449" s="4">
        <f t="shared" si="131"/>
        <v>0</v>
      </c>
      <c r="BU449" s="52">
        <f t="shared" si="132"/>
        <v>0</v>
      </c>
      <c r="BV449" s="1">
        <f t="shared" si="133"/>
        <v>0</v>
      </c>
      <c r="BW449">
        <f t="shared" si="134"/>
        <v>0</v>
      </c>
      <c r="BX449">
        <f t="shared" si="135"/>
        <v>0</v>
      </c>
    </row>
    <row r="450" spans="58:76" x14ac:dyDescent="0.25">
      <c r="BF450" s="1" t="e">
        <f>VLOOKUP(N450,'Incoming Material Report'!H:M,6,FALSE)</f>
        <v>#N/A</v>
      </c>
      <c r="BG450" s="1" t="e">
        <f>IF(VLOOKUP(N450,'Incoming Material Report'!H:N,7,FALSE)=0,"",VLOOKUP(N450,'Incoming Material Report'!H:N,7,FALSE))</f>
        <v>#N/A</v>
      </c>
      <c r="BH450" s="52">
        <f t="shared" si="119"/>
        <v>0</v>
      </c>
      <c r="BI450" s="1">
        <f t="shared" si="120"/>
        <v>0</v>
      </c>
      <c r="BJ450" s="1">
        <f t="shared" si="121"/>
        <v>0</v>
      </c>
      <c r="BK450" s="1">
        <f t="shared" si="122"/>
        <v>0</v>
      </c>
      <c r="BL450" s="1">
        <f t="shared" si="123"/>
        <v>0</v>
      </c>
      <c r="BM450" s="10" t="str">
        <f t="shared" si="124"/>
        <v/>
      </c>
      <c r="BN450" s="52">
        <f t="shared" si="125"/>
        <v>0</v>
      </c>
      <c r="BO450" s="52">
        <f t="shared" si="126"/>
        <v>0</v>
      </c>
      <c r="BP450" s="1">
        <f t="shared" si="127"/>
        <v>0</v>
      </c>
      <c r="BQ450" s="1">
        <f t="shared" si="128"/>
        <v>0</v>
      </c>
      <c r="BR450" s="1" t="str">
        <f t="shared" si="129"/>
        <v/>
      </c>
      <c r="BS450" s="1">
        <f t="shared" si="130"/>
        <v>0</v>
      </c>
      <c r="BT450" s="4">
        <f t="shared" si="131"/>
        <v>0</v>
      </c>
      <c r="BU450" s="52">
        <f t="shared" si="132"/>
        <v>0</v>
      </c>
      <c r="BV450" s="1">
        <f t="shared" si="133"/>
        <v>0</v>
      </c>
      <c r="BW450">
        <f t="shared" si="134"/>
        <v>0</v>
      </c>
      <c r="BX450">
        <f t="shared" si="135"/>
        <v>0</v>
      </c>
    </row>
    <row r="451" spans="58:76" x14ac:dyDescent="0.25">
      <c r="BF451" s="1" t="e">
        <f>VLOOKUP(N451,'Incoming Material Report'!H:M,6,FALSE)</f>
        <v>#N/A</v>
      </c>
      <c r="BG451" s="1" t="e">
        <f>IF(VLOOKUP(N451,'Incoming Material Report'!H:N,7,FALSE)=0,"",VLOOKUP(N451,'Incoming Material Report'!H:N,7,FALSE))</f>
        <v>#N/A</v>
      </c>
      <c r="BH451" s="52">
        <f t="shared" si="119"/>
        <v>0</v>
      </c>
      <c r="BI451" s="1">
        <f t="shared" si="120"/>
        <v>0</v>
      </c>
      <c r="BJ451" s="1">
        <f t="shared" si="121"/>
        <v>0</v>
      </c>
      <c r="BK451" s="1">
        <f t="shared" si="122"/>
        <v>0</v>
      </c>
      <c r="BL451" s="1">
        <f t="shared" si="123"/>
        <v>0</v>
      </c>
      <c r="BM451" s="10" t="str">
        <f t="shared" si="124"/>
        <v/>
      </c>
      <c r="BN451" s="52">
        <f t="shared" si="125"/>
        <v>0</v>
      </c>
      <c r="BO451" s="52">
        <f t="shared" si="126"/>
        <v>0</v>
      </c>
      <c r="BP451" s="1">
        <f t="shared" si="127"/>
        <v>0</v>
      </c>
      <c r="BQ451" s="1">
        <f t="shared" si="128"/>
        <v>0</v>
      </c>
      <c r="BR451" s="1" t="str">
        <f t="shared" si="129"/>
        <v/>
      </c>
      <c r="BS451" s="1">
        <f t="shared" si="130"/>
        <v>0</v>
      </c>
      <c r="BT451" s="4">
        <f t="shared" si="131"/>
        <v>0</v>
      </c>
      <c r="BU451" s="52">
        <f t="shared" si="132"/>
        <v>0</v>
      </c>
      <c r="BV451" s="1">
        <f t="shared" si="133"/>
        <v>0</v>
      </c>
      <c r="BW451">
        <f t="shared" si="134"/>
        <v>0</v>
      </c>
      <c r="BX451">
        <f t="shared" si="135"/>
        <v>0</v>
      </c>
    </row>
    <row r="452" spans="58:76" x14ac:dyDescent="0.25">
      <c r="BF452" s="1" t="e">
        <f>VLOOKUP(N452,'Incoming Material Report'!H:M,6,FALSE)</f>
        <v>#N/A</v>
      </c>
      <c r="BG452" s="1" t="e">
        <f>IF(VLOOKUP(N452,'Incoming Material Report'!H:N,7,FALSE)=0,"",VLOOKUP(N452,'Incoming Material Report'!H:N,7,FALSE))</f>
        <v>#N/A</v>
      </c>
      <c r="BH452" s="52">
        <f t="shared" si="119"/>
        <v>0</v>
      </c>
      <c r="BI452" s="1">
        <f t="shared" si="120"/>
        <v>0</v>
      </c>
      <c r="BJ452" s="1">
        <f t="shared" si="121"/>
        <v>0</v>
      </c>
      <c r="BK452" s="1">
        <f t="shared" si="122"/>
        <v>0</v>
      </c>
      <c r="BL452" s="1">
        <f t="shared" si="123"/>
        <v>0</v>
      </c>
      <c r="BM452" s="10" t="str">
        <f t="shared" si="124"/>
        <v/>
      </c>
      <c r="BN452" s="52">
        <f t="shared" si="125"/>
        <v>0</v>
      </c>
      <c r="BO452" s="52">
        <f t="shared" si="126"/>
        <v>0</v>
      </c>
      <c r="BP452" s="1">
        <f t="shared" si="127"/>
        <v>0</v>
      </c>
      <c r="BQ452" s="1">
        <f t="shared" si="128"/>
        <v>0</v>
      </c>
      <c r="BR452" s="1" t="str">
        <f t="shared" si="129"/>
        <v/>
      </c>
      <c r="BS452" s="1">
        <f t="shared" si="130"/>
        <v>0</v>
      </c>
      <c r="BT452" s="4">
        <f t="shared" si="131"/>
        <v>0</v>
      </c>
      <c r="BU452" s="52">
        <f t="shared" si="132"/>
        <v>0</v>
      </c>
      <c r="BV452" s="1">
        <f t="shared" si="133"/>
        <v>0</v>
      </c>
      <c r="BW452">
        <f t="shared" si="134"/>
        <v>0</v>
      </c>
      <c r="BX452">
        <f t="shared" si="135"/>
        <v>0</v>
      </c>
    </row>
    <row r="453" spans="58:76" x14ac:dyDescent="0.25">
      <c r="BF453" s="1" t="e">
        <f>VLOOKUP(N453,'Incoming Material Report'!H:M,6,FALSE)</f>
        <v>#N/A</v>
      </c>
      <c r="BG453" s="1" t="e">
        <f>IF(VLOOKUP(N453,'Incoming Material Report'!H:N,7,FALSE)=0,"",VLOOKUP(N453,'Incoming Material Report'!H:N,7,FALSE))</f>
        <v>#N/A</v>
      </c>
      <c r="BH453" s="52">
        <f t="shared" si="119"/>
        <v>0</v>
      </c>
      <c r="BI453" s="1">
        <f t="shared" si="120"/>
        <v>0</v>
      </c>
      <c r="BJ453" s="1">
        <f t="shared" si="121"/>
        <v>0</v>
      </c>
      <c r="BK453" s="1">
        <f t="shared" si="122"/>
        <v>0</v>
      </c>
      <c r="BL453" s="1">
        <f t="shared" si="123"/>
        <v>0</v>
      </c>
      <c r="BM453" s="10" t="str">
        <f t="shared" si="124"/>
        <v/>
      </c>
      <c r="BN453" s="52">
        <f t="shared" si="125"/>
        <v>0</v>
      </c>
      <c r="BO453" s="52">
        <f t="shared" si="126"/>
        <v>0</v>
      </c>
      <c r="BP453" s="1">
        <f t="shared" si="127"/>
        <v>0</v>
      </c>
      <c r="BQ453" s="1">
        <f t="shared" si="128"/>
        <v>0</v>
      </c>
      <c r="BR453" s="1" t="str">
        <f t="shared" si="129"/>
        <v/>
      </c>
      <c r="BS453" s="1">
        <f t="shared" si="130"/>
        <v>0</v>
      </c>
      <c r="BT453" s="4">
        <f t="shared" si="131"/>
        <v>0</v>
      </c>
      <c r="BU453" s="52">
        <f t="shared" si="132"/>
        <v>0</v>
      </c>
      <c r="BV453" s="1">
        <f t="shared" si="133"/>
        <v>0</v>
      </c>
      <c r="BW453">
        <f t="shared" si="134"/>
        <v>0</v>
      </c>
      <c r="BX453">
        <f t="shared" si="135"/>
        <v>0</v>
      </c>
    </row>
    <row r="454" spans="58:76" x14ac:dyDescent="0.25">
      <c r="BF454" s="1" t="e">
        <f>VLOOKUP(N454,'Incoming Material Report'!H:M,6,FALSE)</f>
        <v>#N/A</v>
      </c>
      <c r="BG454" s="1" t="e">
        <f>IF(VLOOKUP(N454,'Incoming Material Report'!H:N,7,FALSE)=0,"",VLOOKUP(N454,'Incoming Material Report'!H:N,7,FALSE))</f>
        <v>#N/A</v>
      </c>
      <c r="BH454" s="52">
        <f t="shared" si="119"/>
        <v>0</v>
      </c>
      <c r="BI454" s="1">
        <f t="shared" si="120"/>
        <v>0</v>
      </c>
      <c r="BJ454" s="1">
        <f t="shared" si="121"/>
        <v>0</v>
      </c>
      <c r="BK454" s="1">
        <f t="shared" si="122"/>
        <v>0</v>
      </c>
      <c r="BL454" s="1">
        <f t="shared" si="123"/>
        <v>0</v>
      </c>
      <c r="BM454" s="10" t="str">
        <f t="shared" si="124"/>
        <v/>
      </c>
      <c r="BN454" s="52">
        <f t="shared" si="125"/>
        <v>0</v>
      </c>
      <c r="BO454" s="52">
        <f t="shared" si="126"/>
        <v>0</v>
      </c>
      <c r="BP454" s="1">
        <f t="shared" si="127"/>
        <v>0</v>
      </c>
      <c r="BQ454" s="1">
        <f t="shared" si="128"/>
        <v>0</v>
      </c>
      <c r="BR454" s="1" t="str">
        <f t="shared" si="129"/>
        <v/>
      </c>
      <c r="BS454" s="1">
        <f t="shared" si="130"/>
        <v>0</v>
      </c>
      <c r="BT454" s="4">
        <f t="shared" si="131"/>
        <v>0</v>
      </c>
      <c r="BU454" s="52">
        <f t="shared" si="132"/>
        <v>0</v>
      </c>
      <c r="BV454" s="1">
        <f t="shared" si="133"/>
        <v>0</v>
      </c>
      <c r="BW454">
        <f t="shared" si="134"/>
        <v>0</v>
      </c>
      <c r="BX454">
        <f t="shared" si="135"/>
        <v>0</v>
      </c>
    </row>
    <row r="455" spans="58:76" x14ac:dyDescent="0.25">
      <c r="BF455" s="1" t="e">
        <f>VLOOKUP(N455,'Incoming Material Report'!H:M,6,FALSE)</f>
        <v>#N/A</v>
      </c>
      <c r="BG455" s="1" t="e">
        <f>IF(VLOOKUP(N455,'Incoming Material Report'!H:N,7,FALSE)=0,"",VLOOKUP(N455,'Incoming Material Report'!H:N,7,FALSE))</f>
        <v>#N/A</v>
      </c>
      <c r="BH455" s="52">
        <f t="shared" si="119"/>
        <v>0</v>
      </c>
      <c r="BI455" s="1">
        <f t="shared" si="120"/>
        <v>0</v>
      </c>
      <c r="BJ455" s="1">
        <f t="shared" si="121"/>
        <v>0</v>
      </c>
      <c r="BK455" s="1">
        <f t="shared" si="122"/>
        <v>0</v>
      </c>
      <c r="BL455" s="1">
        <f t="shared" si="123"/>
        <v>0</v>
      </c>
      <c r="BM455" s="10" t="str">
        <f t="shared" si="124"/>
        <v/>
      </c>
      <c r="BN455" s="52">
        <f t="shared" si="125"/>
        <v>0</v>
      </c>
      <c r="BO455" s="52">
        <f t="shared" si="126"/>
        <v>0</v>
      </c>
      <c r="BP455" s="1">
        <f t="shared" si="127"/>
        <v>0</v>
      </c>
      <c r="BQ455" s="1">
        <f t="shared" si="128"/>
        <v>0</v>
      </c>
      <c r="BR455" s="1" t="str">
        <f t="shared" si="129"/>
        <v/>
      </c>
      <c r="BS455" s="1">
        <f t="shared" si="130"/>
        <v>0</v>
      </c>
      <c r="BT455" s="4">
        <f t="shared" si="131"/>
        <v>0</v>
      </c>
      <c r="BU455" s="52">
        <f t="shared" si="132"/>
        <v>0</v>
      </c>
      <c r="BV455" s="1">
        <f t="shared" si="133"/>
        <v>0</v>
      </c>
      <c r="BW455">
        <f t="shared" si="134"/>
        <v>0</v>
      </c>
      <c r="BX455">
        <f t="shared" si="135"/>
        <v>0</v>
      </c>
    </row>
    <row r="456" spans="58:76" x14ac:dyDescent="0.25">
      <c r="BF456" s="1" t="e">
        <f>VLOOKUP(N456,'Incoming Material Report'!H:M,6,FALSE)</f>
        <v>#N/A</v>
      </c>
      <c r="BG456" s="1" t="e">
        <f>IF(VLOOKUP(N456,'Incoming Material Report'!H:N,7,FALSE)=0,"",VLOOKUP(N456,'Incoming Material Report'!H:N,7,FALSE))</f>
        <v>#N/A</v>
      </c>
      <c r="BH456" s="52">
        <f t="shared" si="119"/>
        <v>0</v>
      </c>
      <c r="BI456" s="1">
        <f t="shared" si="120"/>
        <v>0</v>
      </c>
      <c r="BJ456" s="1">
        <f t="shared" si="121"/>
        <v>0</v>
      </c>
      <c r="BK456" s="1">
        <f t="shared" si="122"/>
        <v>0</v>
      </c>
      <c r="BL456" s="1">
        <f t="shared" si="123"/>
        <v>0</v>
      </c>
      <c r="BM456" s="10" t="str">
        <f t="shared" si="124"/>
        <v/>
      </c>
      <c r="BN456" s="52">
        <f t="shared" si="125"/>
        <v>0</v>
      </c>
      <c r="BO456" s="52">
        <f t="shared" si="126"/>
        <v>0</v>
      </c>
      <c r="BP456" s="1">
        <f t="shared" si="127"/>
        <v>0</v>
      </c>
      <c r="BQ456" s="1">
        <f t="shared" si="128"/>
        <v>0</v>
      </c>
      <c r="BR456" s="1" t="str">
        <f t="shared" si="129"/>
        <v/>
      </c>
      <c r="BS456" s="1">
        <f t="shared" si="130"/>
        <v>0</v>
      </c>
      <c r="BT456" s="4">
        <f t="shared" si="131"/>
        <v>0</v>
      </c>
      <c r="BU456" s="52">
        <f t="shared" si="132"/>
        <v>0</v>
      </c>
      <c r="BV456" s="1">
        <f t="shared" si="133"/>
        <v>0</v>
      </c>
      <c r="BW456">
        <f t="shared" si="134"/>
        <v>0</v>
      </c>
      <c r="BX456">
        <f t="shared" si="135"/>
        <v>0</v>
      </c>
    </row>
    <row r="457" spans="58:76" x14ac:dyDescent="0.25">
      <c r="BF457" s="1" t="e">
        <f>VLOOKUP(N457,'Incoming Material Report'!H:M,6,FALSE)</f>
        <v>#N/A</v>
      </c>
      <c r="BG457" s="1" t="e">
        <f>IF(VLOOKUP(N457,'Incoming Material Report'!H:N,7,FALSE)=0,"",VLOOKUP(N457,'Incoming Material Report'!H:N,7,FALSE))</f>
        <v>#N/A</v>
      </c>
      <c r="BH457" s="52">
        <f t="shared" si="119"/>
        <v>0</v>
      </c>
      <c r="BI457" s="1">
        <f t="shared" si="120"/>
        <v>0</v>
      </c>
      <c r="BJ457" s="1">
        <f t="shared" si="121"/>
        <v>0</v>
      </c>
      <c r="BK457" s="1">
        <f t="shared" si="122"/>
        <v>0</v>
      </c>
      <c r="BL457" s="1">
        <f t="shared" si="123"/>
        <v>0</v>
      </c>
      <c r="BM457" s="10" t="str">
        <f t="shared" si="124"/>
        <v/>
      </c>
      <c r="BN457" s="52">
        <f t="shared" si="125"/>
        <v>0</v>
      </c>
      <c r="BO457" s="52">
        <f t="shared" si="126"/>
        <v>0</v>
      </c>
      <c r="BP457" s="1">
        <f t="shared" si="127"/>
        <v>0</v>
      </c>
      <c r="BQ457" s="1">
        <f t="shared" si="128"/>
        <v>0</v>
      </c>
      <c r="BR457" s="1" t="str">
        <f t="shared" si="129"/>
        <v/>
      </c>
      <c r="BS457" s="1">
        <f t="shared" si="130"/>
        <v>0</v>
      </c>
      <c r="BT457" s="4">
        <f t="shared" si="131"/>
        <v>0</v>
      </c>
      <c r="BU457" s="52">
        <f t="shared" si="132"/>
        <v>0</v>
      </c>
      <c r="BV457" s="1">
        <f t="shared" si="133"/>
        <v>0</v>
      </c>
      <c r="BW457">
        <f t="shared" si="134"/>
        <v>0</v>
      </c>
      <c r="BX457">
        <f t="shared" si="135"/>
        <v>0</v>
      </c>
    </row>
    <row r="458" spans="58:76" x14ac:dyDescent="0.25">
      <c r="BF458" s="1" t="e">
        <f>VLOOKUP(N458,'Incoming Material Report'!H:M,6,FALSE)</f>
        <v>#N/A</v>
      </c>
      <c r="BG458" s="1" t="e">
        <f>IF(VLOOKUP(N458,'Incoming Material Report'!H:N,7,FALSE)=0,"",VLOOKUP(N458,'Incoming Material Report'!H:N,7,FALSE))</f>
        <v>#N/A</v>
      </c>
      <c r="BH458" s="52">
        <f t="shared" si="119"/>
        <v>0</v>
      </c>
      <c r="BI458" s="1">
        <f t="shared" si="120"/>
        <v>0</v>
      </c>
      <c r="BJ458" s="1">
        <f t="shared" si="121"/>
        <v>0</v>
      </c>
      <c r="BK458" s="1">
        <f t="shared" si="122"/>
        <v>0</v>
      </c>
      <c r="BL458" s="1">
        <f t="shared" si="123"/>
        <v>0</v>
      </c>
      <c r="BM458" s="10" t="str">
        <f t="shared" si="124"/>
        <v/>
      </c>
      <c r="BN458" s="52">
        <f t="shared" si="125"/>
        <v>0</v>
      </c>
      <c r="BO458" s="52">
        <f t="shared" si="126"/>
        <v>0</v>
      </c>
      <c r="BP458" s="1">
        <f t="shared" si="127"/>
        <v>0</v>
      </c>
      <c r="BQ458" s="1">
        <f t="shared" si="128"/>
        <v>0</v>
      </c>
      <c r="BR458" s="1" t="str">
        <f t="shared" si="129"/>
        <v/>
      </c>
      <c r="BS458" s="1">
        <f t="shared" si="130"/>
        <v>0</v>
      </c>
      <c r="BT458" s="4">
        <f t="shared" si="131"/>
        <v>0</v>
      </c>
      <c r="BU458" s="52">
        <f t="shared" si="132"/>
        <v>0</v>
      </c>
      <c r="BV458" s="1">
        <f t="shared" si="133"/>
        <v>0</v>
      </c>
      <c r="BW458">
        <f t="shared" si="134"/>
        <v>0</v>
      </c>
      <c r="BX458">
        <f t="shared" si="135"/>
        <v>0</v>
      </c>
    </row>
    <row r="459" spans="58:76" x14ac:dyDescent="0.25">
      <c r="BF459" s="1" t="e">
        <f>VLOOKUP(N459,'Incoming Material Report'!H:M,6,FALSE)</f>
        <v>#N/A</v>
      </c>
      <c r="BG459" s="1" t="e">
        <f>IF(VLOOKUP(N459,'Incoming Material Report'!H:N,7,FALSE)=0,"",VLOOKUP(N459,'Incoming Material Report'!H:N,7,FALSE))</f>
        <v>#N/A</v>
      </c>
      <c r="BH459" s="52">
        <f t="shared" si="119"/>
        <v>0</v>
      </c>
      <c r="BI459" s="1">
        <f t="shared" si="120"/>
        <v>0</v>
      </c>
      <c r="BJ459" s="1">
        <f t="shared" si="121"/>
        <v>0</v>
      </c>
      <c r="BK459" s="1">
        <f t="shared" si="122"/>
        <v>0</v>
      </c>
      <c r="BL459" s="1">
        <f t="shared" si="123"/>
        <v>0</v>
      </c>
      <c r="BM459" s="10" t="str">
        <f t="shared" si="124"/>
        <v/>
      </c>
      <c r="BN459" s="52">
        <f t="shared" si="125"/>
        <v>0</v>
      </c>
      <c r="BO459" s="52">
        <f t="shared" si="126"/>
        <v>0</v>
      </c>
      <c r="BP459" s="1">
        <f t="shared" si="127"/>
        <v>0</v>
      </c>
      <c r="BQ459" s="1">
        <f t="shared" si="128"/>
        <v>0</v>
      </c>
      <c r="BR459" s="1" t="str">
        <f t="shared" si="129"/>
        <v/>
      </c>
      <c r="BS459" s="1">
        <f t="shared" si="130"/>
        <v>0</v>
      </c>
      <c r="BT459" s="4">
        <f t="shared" si="131"/>
        <v>0</v>
      </c>
      <c r="BU459" s="52">
        <f t="shared" si="132"/>
        <v>0</v>
      </c>
      <c r="BV459" s="1">
        <f t="shared" si="133"/>
        <v>0</v>
      </c>
      <c r="BW459">
        <f t="shared" si="134"/>
        <v>0</v>
      </c>
      <c r="BX459">
        <f t="shared" si="135"/>
        <v>0</v>
      </c>
    </row>
    <row r="460" spans="58:76" x14ac:dyDescent="0.25">
      <c r="BF460" s="1" t="e">
        <f>VLOOKUP(N460,'Incoming Material Report'!H:M,6,FALSE)</f>
        <v>#N/A</v>
      </c>
      <c r="BG460" s="1" t="e">
        <f>IF(VLOOKUP(N460,'Incoming Material Report'!H:N,7,FALSE)=0,"",VLOOKUP(N460,'Incoming Material Report'!H:N,7,FALSE))</f>
        <v>#N/A</v>
      </c>
      <c r="BH460" s="52">
        <f t="shared" si="119"/>
        <v>0</v>
      </c>
      <c r="BI460" s="1">
        <f t="shared" si="120"/>
        <v>0</v>
      </c>
      <c r="BJ460" s="1">
        <f t="shared" si="121"/>
        <v>0</v>
      </c>
      <c r="BK460" s="1">
        <f t="shared" si="122"/>
        <v>0</v>
      </c>
      <c r="BL460" s="1">
        <f t="shared" si="123"/>
        <v>0</v>
      </c>
      <c r="BM460" s="10" t="str">
        <f t="shared" si="124"/>
        <v/>
      </c>
      <c r="BN460" s="52">
        <f t="shared" si="125"/>
        <v>0</v>
      </c>
      <c r="BO460" s="52">
        <f t="shared" si="126"/>
        <v>0</v>
      </c>
      <c r="BP460" s="1">
        <f t="shared" si="127"/>
        <v>0</v>
      </c>
      <c r="BQ460" s="1">
        <f t="shared" si="128"/>
        <v>0</v>
      </c>
      <c r="BR460" s="1" t="str">
        <f t="shared" si="129"/>
        <v/>
      </c>
      <c r="BS460" s="1">
        <f t="shared" si="130"/>
        <v>0</v>
      </c>
      <c r="BT460" s="4">
        <f t="shared" si="131"/>
        <v>0</v>
      </c>
      <c r="BU460" s="52">
        <f t="shared" si="132"/>
        <v>0</v>
      </c>
      <c r="BV460" s="1">
        <f t="shared" si="133"/>
        <v>0</v>
      </c>
      <c r="BW460">
        <f t="shared" si="134"/>
        <v>0</v>
      </c>
      <c r="BX460">
        <f t="shared" si="135"/>
        <v>0</v>
      </c>
    </row>
    <row r="461" spans="58:76" x14ac:dyDescent="0.25">
      <c r="BF461" s="1" t="e">
        <f>VLOOKUP(N461,'Incoming Material Report'!H:M,6,FALSE)</f>
        <v>#N/A</v>
      </c>
      <c r="BG461" s="1" t="e">
        <f>IF(VLOOKUP(N461,'Incoming Material Report'!H:N,7,FALSE)=0,"",VLOOKUP(N461,'Incoming Material Report'!H:N,7,FALSE))</f>
        <v>#N/A</v>
      </c>
      <c r="BH461" s="52">
        <f t="shared" si="119"/>
        <v>0</v>
      </c>
      <c r="BI461" s="1">
        <f t="shared" si="120"/>
        <v>0</v>
      </c>
      <c r="BJ461" s="1">
        <f t="shared" si="121"/>
        <v>0</v>
      </c>
      <c r="BK461" s="1">
        <f t="shared" si="122"/>
        <v>0</v>
      </c>
      <c r="BL461" s="1">
        <f t="shared" si="123"/>
        <v>0</v>
      </c>
      <c r="BM461" s="10" t="str">
        <f t="shared" si="124"/>
        <v/>
      </c>
      <c r="BN461" s="52">
        <f t="shared" si="125"/>
        <v>0</v>
      </c>
      <c r="BO461" s="52">
        <f t="shared" si="126"/>
        <v>0</v>
      </c>
      <c r="BP461" s="1">
        <f t="shared" si="127"/>
        <v>0</v>
      </c>
      <c r="BQ461" s="1">
        <f t="shared" si="128"/>
        <v>0</v>
      </c>
      <c r="BR461" s="1" t="str">
        <f t="shared" si="129"/>
        <v/>
      </c>
      <c r="BS461" s="1">
        <f t="shared" si="130"/>
        <v>0</v>
      </c>
      <c r="BT461" s="4">
        <f t="shared" si="131"/>
        <v>0</v>
      </c>
      <c r="BU461" s="52">
        <f t="shared" si="132"/>
        <v>0</v>
      </c>
      <c r="BV461" s="1">
        <f t="shared" si="133"/>
        <v>0</v>
      </c>
      <c r="BW461">
        <f t="shared" si="134"/>
        <v>0</v>
      </c>
      <c r="BX461">
        <f t="shared" si="135"/>
        <v>0</v>
      </c>
    </row>
    <row r="462" spans="58:76" x14ac:dyDescent="0.25">
      <c r="BF462" s="1" t="e">
        <f>VLOOKUP(N462,'Incoming Material Report'!H:M,6,FALSE)</f>
        <v>#N/A</v>
      </c>
      <c r="BG462" s="1" t="e">
        <f>IF(VLOOKUP(N462,'Incoming Material Report'!H:N,7,FALSE)=0,"",VLOOKUP(N462,'Incoming Material Report'!H:N,7,FALSE))</f>
        <v>#N/A</v>
      </c>
      <c r="BH462" s="52">
        <f t="shared" si="119"/>
        <v>0</v>
      </c>
      <c r="BI462" s="1">
        <f t="shared" si="120"/>
        <v>0</v>
      </c>
      <c r="BJ462" s="1">
        <f t="shared" si="121"/>
        <v>0</v>
      </c>
      <c r="BK462" s="1">
        <f t="shared" si="122"/>
        <v>0</v>
      </c>
      <c r="BL462" s="1">
        <f t="shared" si="123"/>
        <v>0</v>
      </c>
      <c r="BM462" s="10" t="str">
        <f t="shared" si="124"/>
        <v/>
      </c>
      <c r="BN462" s="52">
        <f t="shared" si="125"/>
        <v>0</v>
      </c>
      <c r="BO462" s="52">
        <f t="shared" si="126"/>
        <v>0</v>
      </c>
      <c r="BP462" s="1">
        <f t="shared" si="127"/>
        <v>0</v>
      </c>
      <c r="BQ462" s="1">
        <f t="shared" si="128"/>
        <v>0</v>
      </c>
      <c r="BR462" s="1" t="str">
        <f t="shared" si="129"/>
        <v/>
      </c>
      <c r="BS462" s="1">
        <f t="shared" si="130"/>
        <v>0</v>
      </c>
      <c r="BT462" s="4">
        <f t="shared" si="131"/>
        <v>0</v>
      </c>
      <c r="BU462" s="52">
        <f t="shared" si="132"/>
        <v>0</v>
      </c>
      <c r="BV462" s="1">
        <f t="shared" si="133"/>
        <v>0</v>
      </c>
      <c r="BW462">
        <f t="shared" si="134"/>
        <v>0</v>
      </c>
      <c r="BX462">
        <f t="shared" si="135"/>
        <v>0</v>
      </c>
    </row>
    <row r="463" spans="58:76" x14ac:dyDescent="0.25">
      <c r="BF463" s="1" t="e">
        <f>VLOOKUP(N463,'Incoming Material Report'!H:M,6,FALSE)</f>
        <v>#N/A</v>
      </c>
      <c r="BG463" s="1" t="e">
        <f>IF(VLOOKUP(N463,'Incoming Material Report'!H:N,7,FALSE)=0,"",VLOOKUP(N463,'Incoming Material Report'!H:N,7,FALSE))</f>
        <v>#N/A</v>
      </c>
      <c r="BH463" s="52">
        <f t="shared" si="119"/>
        <v>0</v>
      </c>
      <c r="BI463" s="1">
        <f t="shared" si="120"/>
        <v>0</v>
      </c>
      <c r="BJ463" s="1">
        <f t="shared" si="121"/>
        <v>0</v>
      </c>
      <c r="BK463" s="1">
        <f t="shared" si="122"/>
        <v>0</v>
      </c>
      <c r="BL463" s="1">
        <f t="shared" si="123"/>
        <v>0</v>
      </c>
      <c r="BM463" s="10" t="str">
        <f t="shared" si="124"/>
        <v/>
      </c>
      <c r="BN463" s="52">
        <f t="shared" si="125"/>
        <v>0</v>
      </c>
      <c r="BO463" s="52">
        <f t="shared" si="126"/>
        <v>0</v>
      </c>
      <c r="BP463" s="1">
        <f t="shared" si="127"/>
        <v>0</v>
      </c>
      <c r="BQ463" s="1">
        <f t="shared" si="128"/>
        <v>0</v>
      </c>
      <c r="BR463" s="1" t="str">
        <f t="shared" si="129"/>
        <v/>
      </c>
      <c r="BS463" s="1">
        <f t="shared" si="130"/>
        <v>0</v>
      </c>
      <c r="BT463" s="4">
        <f t="shared" si="131"/>
        <v>0</v>
      </c>
      <c r="BU463" s="52">
        <f t="shared" si="132"/>
        <v>0</v>
      </c>
      <c r="BV463" s="1">
        <f t="shared" si="133"/>
        <v>0</v>
      </c>
      <c r="BW463">
        <f t="shared" si="134"/>
        <v>0</v>
      </c>
      <c r="BX463">
        <f t="shared" si="135"/>
        <v>0</v>
      </c>
    </row>
    <row r="464" spans="58:76" x14ac:dyDescent="0.25">
      <c r="BF464" s="1" t="e">
        <f>VLOOKUP(N464,'Incoming Material Report'!H:M,6,FALSE)</f>
        <v>#N/A</v>
      </c>
      <c r="BG464" s="1" t="e">
        <f>IF(VLOOKUP(N464,'Incoming Material Report'!H:N,7,FALSE)=0,"",VLOOKUP(N464,'Incoming Material Report'!H:N,7,FALSE))</f>
        <v>#N/A</v>
      </c>
      <c r="BH464" s="52">
        <f t="shared" si="119"/>
        <v>0</v>
      </c>
      <c r="BI464" s="1">
        <f t="shared" si="120"/>
        <v>0</v>
      </c>
      <c r="BJ464" s="1">
        <f t="shared" si="121"/>
        <v>0</v>
      </c>
      <c r="BK464" s="1">
        <f t="shared" si="122"/>
        <v>0</v>
      </c>
      <c r="BL464" s="1">
        <f t="shared" si="123"/>
        <v>0</v>
      </c>
      <c r="BM464" s="10" t="str">
        <f t="shared" si="124"/>
        <v/>
      </c>
      <c r="BN464" s="52">
        <f t="shared" si="125"/>
        <v>0</v>
      </c>
      <c r="BO464" s="52">
        <f t="shared" si="126"/>
        <v>0</v>
      </c>
      <c r="BP464" s="1">
        <f t="shared" si="127"/>
        <v>0</v>
      </c>
      <c r="BQ464" s="1">
        <f t="shared" si="128"/>
        <v>0</v>
      </c>
      <c r="BR464" s="1" t="str">
        <f t="shared" si="129"/>
        <v/>
      </c>
      <c r="BS464" s="1">
        <f t="shared" si="130"/>
        <v>0</v>
      </c>
      <c r="BT464" s="4">
        <f t="shared" si="131"/>
        <v>0</v>
      </c>
      <c r="BU464" s="52">
        <f t="shared" si="132"/>
        <v>0</v>
      </c>
      <c r="BV464" s="1">
        <f t="shared" si="133"/>
        <v>0</v>
      </c>
      <c r="BW464">
        <f t="shared" si="134"/>
        <v>0</v>
      </c>
      <c r="BX464">
        <f t="shared" si="135"/>
        <v>0</v>
      </c>
    </row>
    <row r="465" spans="58:76" x14ac:dyDescent="0.25">
      <c r="BF465" s="1" t="e">
        <f>VLOOKUP(N465,'Incoming Material Report'!H:M,6,FALSE)</f>
        <v>#N/A</v>
      </c>
      <c r="BG465" s="1" t="e">
        <f>IF(VLOOKUP(N465,'Incoming Material Report'!H:N,7,FALSE)=0,"",VLOOKUP(N465,'Incoming Material Report'!H:N,7,FALSE))</f>
        <v>#N/A</v>
      </c>
      <c r="BH465" s="52">
        <f t="shared" si="119"/>
        <v>0</v>
      </c>
      <c r="BI465" s="1">
        <f t="shared" si="120"/>
        <v>0</v>
      </c>
      <c r="BJ465" s="1">
        <f t="shared" si="121"/>
        <v>0</v>
      </c>
      <c r="BK465" s="1">
        <f t="shared" si="122"/>
        <v>0</v>
      </c>
      <c r="BL465" s="1">
        <f t="shared" si="123"/>
        <v>0</v>
      </c>
      <c r="BM465" s="10" t="str">
        <f t="shared" si="124"/>
        <v/>
      </c>
      <c r="BN465" s="52">
        <f t="shared" si="125"/>
        <v>0</v>
      </c>
      <c r="BO465" s="52">
        <f t="shared" si="126"/>
        <v>0</v>
      </c>
      <c r="BP465" s="1">
        <f t="shared" si="127"/>
        <v>0</v>
      </c>
      <c r="BQ465" s="1">
        <f t="shared" si="128"/>
        <v>0</v>
      </c>
      <c r="BR465" s="1" t="str">
        <f t="shared" si="129"/>
        <v/>
      </c>
      <c r="BS465" s="1">
        <f t="shared" si="130"/>
        <v>0</v>
      </c>
      <c r="BT465" s="4">
        <f t="shared" si="131"/>
        <v>0</v>
      </c>
      <c r="BU465" s="52">
        <f t="shared" si="132"/>
        <v>0</v>
      </c>
      <c r="BV465" s="1">
        <f t="shared" si="133"/>
        <v>0</v>
      </c>
      <c r="BW465">
        <f t="shared" si="134"/>
        <v>0</v>
      </c>
      <c r="BX465">
        <f t="shared" si="135"/>
        <v>0</v>
      </c>
    </row>
    <row r="466" spans="58:76" x14ac:dyDescent="0.25">
      <c r="BF466" s="1" t="e">
        <f>VLOOKUP(N466,'Incoming Material Report'!H:M,6,FALSE)</f>
        <v>#N/A</v>
      </c>
      <c r="BG466" s="1" t="e">
        <f>IF(VLOOKUP(N466,'Incoming Material Report'!H:N,7,FALSE)=0,"",VLOOKUP(N466,'Incoming Material Report'!H:N,7,FALSE))</f>
        <v>#N/A</v>
      </c>
      <c r="BH466" s="52">
        <f t="shared" si="119"/>
        <v>0</v>
      </c>
      <c r="BI466" s="1">
        <f t="shared" si="120"/>
        <v>0</v>
      </c>
      <c r="BJ466" s="1">
        <f t="shared" si="121"/>
        <v>0</v>
      </c>
      <c r="BK466" s="1">
        <f t="shared" si="122"/>
        <v>0</v>
      </c>
      <c r="BL466" s="1">
        <f t="shared" si="123"/>
        <v>0</v>
      </c>
      <c r="BM466" s="10" t="str">
        <f t="shared" si="124"/>
        <v/>
      </c>
      <c r="BN466" s="52">
        <f t="shared" si="125"/>
        <v>0</v>
      </c>
      <c r="BO466" s="52">
        <f t="shared" si="126"/>
        <v>0</v>
      </c>
      <c r="BP466" s="1">
        <f t="shared" si="127"/>
        <v>0</v>
      </c>
      <c r="BQ466" s="1">
        <f t="shared" si="128"/>
        <v>0</v>
      </c>
      <c r="BR466" s="1" t="str">
        <f t="shared" si="129"/>
        <v/>
      </c>
      <c r="BS466" s="1">
        <f t="shared" si="130"/>
        <v>0</v>
      </c>
      <c r="BT466" s="4">
        <f t="shared" si="131"/>
        <v>0</v>
      </c>
      <c r="BU466" s="52">
        <f t="shared" si="132"/>
        <v>0</v>
      </c>
      <c r="BV466" s="1">
        <f t="shared" si="133"/>
        <v>0</v>
      </c>
      <c r="BW466">
        <f t="shared" si="134"/>
        <v>0</v>
      </c>
      <c r="BX466">
        <f t="shared" si="135"/>
        <v>0</v>
      </c>
    </row>
    <row r="467" spans="58:76" x14ac:dyDescent="0.25">
      <c r="BF467" s="1" t="e">
        <f>VLOOKUP(N467,'Incoming Material Report'!H:M,6,FALSE)</f>
        <v>#N/A</v>
      </c>
      <c r="BG467" s="1" t="e">
        <f>IF(VLOOKUP(N467,'Incoming Material Report'!H:N,7,FALSE)=0,"",VLOOKUP(N467,'Incoming Material Report'!H:N,7,FALSE))</f>
        <v>#N/A</v>
      </c>
      <c r="BH467" s="52">
        <f t="shared" si="119"/>
        <v>0</v>
      </c>
      <c r="BI467" s="1">
        <f t="shared" si="120"/>
        <v>0</v>
      </c>
      <c r="BJ467" s="1">
        <f t="shared" si="121"/>
        <v>0</v>
      </c>
      <c r="BK467" s="1">
        <f t="shared" si="122"/>
        <v>0</v>
      </c>
      <c r="BL467" s="1">
        <f t="shared" si="123"/>
        <v>0</v>
      </c>
      <c r="BM467" s="10" t="str">
        <f t="shared" si="124"/>
        <v/>
      </c>
      <c r="BN467" s="52">
        <f t="shared" si="125"/>
        <v>0</v>
      </c>
      <c r="BO467" s="52">
        <f t="shared" si="126"/>
        <v>0</v>
      </c>
      <c r="BP467" s="1">
        <f t="shared" si="127"/>
        <v>0</v>
      </c>
      <c r="BQ467" s="1">
        <f t="shared" si="128"/>
        <v>0</v>
      </c>
      <c r="BR467" s="1" t="str">
        <f t="shared" si="129"/>
        <v/>
      </c>
      <c r="BS467" s="1">
        <f t="shared" si="130"/>
        <v>0</v>
      </c>
      <c r="BT467" s="4">
        <f t="shared" si="131"/>
        <v>0</v>
      </c>
      <c r="BU467" s="52">
        <f t="shared" si="132"/>
        <v>0</v>
      </c>
      <c r="BV467" s="1">
        <f t="shared" si="133"/>
        <v>0</v>
      </c>
      <c r="BW467">
        <f t="shared" si="134"/>
        <v>0</v>
      </c>
      <c r="BX467">
        <f t="shared" si="135"/>
        <v>0</v>
      </c>
    </row>
    <row r="468" spans="58:76" x14ac:dyDescent="0.25">
      <c r="BF468" s="1" t="e">
        <f>VLOOKUP(N468,'Incoming Material Report'!H:M,6,FALSE)</f>
        <v>#N/A</v>
      </c>
      <c r="BG468" s="1" t="e">
        <f>IF(VLOOKUP(N468,'Incoming Material Report'!H:N,7,FALSE)=0,"",VLOOKUP(N468,'Incoming Material Report'!H:N,7,FALSE))</f>
        <v>#N/A</v>
      </c>
      <c r="BH468" s="52">
        <f t="shared" si="119"/>
        <v>0</v>
      </c>
      <c r="BI468" s="1">
        <f t="shared" si="120"/>
        <v>0</v>
      </c>
      <c r="BJ468" s="1">
        <f t="shared" si="121"/>
        <v>0</v>
      </c>
      <c r="BK468" s="1">
        <f t="shared" si="122"/>
        <v>0</v>
      </c>
      <c r="BL468" s="1">
        <f t="shared" si="123"/>
        <v>0</v>
      </c>
      <c r="BM468" s="10" t="str">
        <f t="shared" si="124"/>
        <v/>
      </c>
      <c r="BN468" s="52">
        <f t="shared" si="125"/>
        <v>0</v>
      </c>
      <c r="BO468" s="52">
        <f t="shared" si="126"/>
        <v>0</v>
      </c>
      <c r="BP468" s="1">
        <f t="shared" si="127"/>
        <v>0</v>
      </c>
      <c r="BQ468" s="1">
        <f t="shared" si="128"/>
        <v>0</v>
      </c>
      <c r="BR468" s="1" t="str">
        <f t="shared" si="129"/>
        <v/>
      </c>
      <c r="BS468" s="1">
        <f t="shared" si="130"/>
        <v>0</v>
      </c>
      <c r="BT468" s="4">
        <f t="shared" si="131"/>
        <v>0</v>
      </c>
      <c r="BU468" s="52">
        <f t="shared" si="132"/>
        <v>0</v>
      </c>
      <c r="BV468" s="1">
        <f t="shared" si="133"/>
        <v>0</v>
      </c>
      <c r="BW468">
        <f t="shared" si="134"/>
        <v>0</v>
      </c>
      <c r="BX468">
        <f t="shared" si="135"/>
        <v>0</v>
      </c>
    </row>
    <row r="469" spans="58:76" x14ac:dyDescent="0.25">
      <c r="BF469" s="1" t="e">
        <f>VLOOKUP(N469,'Incoming Material Report'!H:M,6,FALSE)</f>
        <v>#N/A</v>
      </c>
      <c r="BG469" s="1" t="e">
        <f>IF(VLOOKUP(N469,'Incoming Material Report'!H:N,7,FALSE)=0,"",VLOOKUP(N469,'Incoming Material Report'!H:N,7,FALSE))</f>
        <v>#N/A</v>
      </c>
      <c r="BH469" s="52">
        <f t="shared" si="119"/>
        <v>0</v>
      </c>
      <c r="BI469" s="1">
        <f t="shared" si="120"/>
        <v>0</v>
      </c>
      <c r="BJ469" s="1">
        <f t="shared" si="121"/>
        <v>0</v>
      </c>
      <c r="BK469" s="1">
        <f t="shared" si="122"/>
        <v>0</v>
      </c>
      <c r="BL469" s="1">
        <f t="shared" si="123"/>
        <v>0</v>
      </c>
      <c r="BM469" s="10" t="str">
        <f t="shared" si="124"/>
        <v/>
      </c>
      <c r="BN469" s="52">
        <f t="shared" si="125"/>
        <v>0</v>
      </c>
      <c r="BO469" s="52">
        <f t="shared" si="126"/>
        <v>0</v>
      </c>
      <c r="BP469" s="1">
        <f t="shared" si="127"/>
        <v>0</v>
      </c>
      <c r="BQ469" s="1">
        <f t="shared" si="128"/>
        <v>0</v>
      </c>
      <c r="BR469" s="1" t="str">
        <f t="shared" si="129"/>
        <v/>
      </c>
      <c r="BS469" s="1">
        <f t="shared" si="130"/>
        <v>0</v>
      </c>
      <c r="BT469" s="4">
        <f t="shared" si="131"/>
        <v>0</v>
      </c>
      <c r="BU469" s="52">
        <f t="shared" si="132"/>
        <v>0</v>
      </c>
      <c r="BV469" s="1">
        <f t="shared" si="133"/>
        <v>0</v>
      </c>
      <c r="BW469">
        <f t="shared" si="134"/>
        <v>0</v>
      </c>
      <c r="BX469">
        <f t="shared" si="135"/>
        <v>0</v>
      </c>
    </row>
    <row r="470" spans="58:76" x14ac:dyDescent="0.25">
      <c r="BF470" s="1" t="e">
        <f>VLOOKUP(N470,'Incoming Material Report'!H:M,6,FALSE)</f>
        <v>#N/A</v>
      </c>
      <c r="BG470" s="1" t="e">
        <f>IF(VLOOKUP(N470,'Incoming Material Report'!H:N,7,FALSE)=0,"",VLOOKUP(N470,'Incoming Material Report'!H:N,7,FALSE))</f>
        <v>#N/A</v>
      </c>
      <c r="BH470" s="52">
        <f t="shared" si="119"/>
        <v>0</v>
      </c>
      <c r="BI470" s="1">
        <f t="shared" si="120"/>
        <v>0</v>
      </c>
      <c r="BJ470" s="1">
        <f t="shared" si="121"/>
        <v>0</v>
      </c>
      <c r="BK470" s="1">
        <f t="shared" si="122"/>
        <v>0</v>
      </c>
      <c r="BL470" s="1">
        <f t="shared" si="123"/>
        <v>0</v>
      </c>
      <c r="BM470" s="10" t="str">
        <f t="shared" si="124"/>
        <v/>
      </c>
      <c r="BN470" s="52">
        <f t="shared" si="125"/>
        <v>0</v>
      </c>
      <c r="BO470" s="52">
        <f t="shared" si="126"/>
        <v>0</v>
      </c>
      <c r="BP470" s="1">
        <f t="shared" si="127"/>
        <v>0</v>
      </c>
      <c r="BQ470" s="1">
        <f t="shared" si="128"/>
        <v>0</v>
      </c>
      <c r="BR470" s="1" t="str">
        <f t="shared" si="129"/>
        <v/>
      </c>
      <c r="BS470" s="1">
        <f t="shared" si="130"/>
        <v>0</v>
      </c>
      <c r="BT470" s="4">
        <f t="shared" si="131"/>
        <v>0</v>
      </c>
      <c r="BU470" s="52">
        <f t="shared" si="132"/>
        <v>0</v>
      </c>
      <c r="BV470" s="1">
        <f t="shared" si="133"/>
        <v>0</v>
      </c>
      <c r="BW470">
        <f t="shared" si="134"/>
        <v>0</v>
      </c>
      <c r="BX470">
        <f t="shared" si="135"/>
        <v>0</v>
      </c>
    </row>
    <row r="471" spans="58:76" x14ac:dyDescent="0.25">
      <c r="BF471" s="1" t="e">
        <f>VLOOKUP(N471,'Incoming Material Report'!H:M,6,FALSE)</f>
        <v>#N/A</v>
      </c>
      <c r="BG471" s="1" t="e">
        <f>IF(VLOOKUP(N471,'Incoming Material Report'!H:N,7,FALSE)=0,"",VLOOKUP(N471,'Incoming Material Report'!H:N,7,FALSE))</f>
        <v>#N/A</v>
      </c>
      <c r="BH471" s="52">
        <f t="shared" si="119"/>
        <v>0</v>
      </c>
      <c r="BI471" s="1">
        <f t="shared" si="120"/>
        <v>0</v>
      </c>
      <c r="BJ471" s="1">
        <f t="shared" si="121"/>
        <v>0</v>
      </c>
      <c r="BK471" s="1">
        <f t="shared" si="122"/>
        <v>0</v>
      </c>
      <c r="BL471" s="1">
        <f t="shared" si="123"/>
        <v>0</v>
      </c>
      <c r="BM471" s="10" t="str">
        <f t="shared" si="124"/>
        <v/>
      </c>
      <c r="BN471" s="52">
        <f t="shared" si="125"/>
        <v>0</v>
      </c>
      <c r="BO471" s="52">
        <f t="shared" si="126"/>
        <v>0</v>
      </c>
      <c r="BP471" s="1">
        <f t="shared" si="127"/>
        <v>0</v>
      </c>
      <c r="BQ471" s="1">
        <f t="shared" si="128"/>
        <v>0</v>
      </c>
      <c r="BR471" s="1" t="str">
        <f t="shared" si="129"/>
        <v/>
      </c>
      <c r="BS471" s="1">
        <f t="shared" si="130"/>
        <v>0</v>
      </c>
      <c r="BT471" s="4">
        <f t="shared" si="131"/>
        <v>0</v>
      </c>
      <c r="BU471" s="52">
        <f t="shared" si="132"/>
        <v>0</v>
      </c>
      <c r="BV471" s="1">
        <f t="shared" si="133"/>
        <v>0</v>
      </c>
      <c r="BW471">
        <f t="shared" si="134"/>
        <v>0</v>
      </c>
      <c r="BX471">
        <f t="shared" si="135"/>
        <v>0</v>
      </c>
    </row>
    <row r="472" spans="58:76" x14ac:dyDescent="0.25">
      <c r="BF472" s="1" t="e">
        <f>VLOOKUP(N472,'Incoming Material Report'!H:M,6,FALSE)</f>
        <v>#N/A</v>
      </c>
      <c r="BG472" s="1" t="e">
        <f>IF(VLOOKUP(N472,'Incoming Material Report'!H:N,7,FALSE)=0,"",VLOOKUP(N472,'Incoming Material Report'!H:N,7,FALSE))</f>
        <v>#N/A</v>
      </c>
      <c r="BH472" s="52">
        <f t="shared" si="119"/>
        <v>0</v>
      </c>
      <c r="BI472" s="1">
        <f t="shared" si="120"/>
        <v>0</v>
      </c>
      <c r="BJ472" s="1">
        <f t="shared" si="121"/>
        <v>0</v>
      </c>
      <c r="BK472" s="1">
        <f t="shared" si="122"/>
        <v>0</v>
      </c>
      <c r="BL472" s="1">
        <f t="shared" si="123"/>
        <v>0</v>
      </c>
      <c r="BM472" s="10" t="str">
        <f t="shared" si="124"/>
        <v/>
      </c>
      <c r="BN472" s="52">
        <f t="shared" si="125"/>
        <v>0</v>
      </c>
      <c r="BO472" s="52">
        <f t="shared" si="126"/>
        <v>0</v>
      </c>
      <c r="BP472" s="1">
        <f t="shared" si="127"/>
        <v>0</v>
      </c>
      <c r="BQ472" s="1">
        <f t="shared" si="128"/>
        <v>0</v>
      </c>
      <c r="BR472" s="1" t="str">
        <f t="shared" si="129"/>
        <v/>
      </c>
      <c r="BS472" s="1">
        <f t="shared" si="130"/>
        <v>0</v>
      </c>
      <c r="BT472" s="4">
        <f t="shared" si="131"/>
        <v>0</v>
      </c>
      <c r="BU472" s="52">
        <f t="shared" si="132"/>
        <v>0</v>
      </c>
      <c r="BV472" s="1">
        <f t="shared" si="133"/>
        <v>0</v>
      </c>
      <c r="BW472">
        <f t="shared" si="134"/>
        <v>0</v>
      </c>
      <c r="BX472">
        <f t="shared" si="135"/>
        <v>0</v>
      </c>
    </row>
    <row r="473" spans="58:76" x14ac:dyDescent="0.25">
      <c r="BF473" s="1" t="e">
        <f>VLOOKUP(N473,'Incoming Material Report'!H:M,6,FALSE)</f>
        <v>#N/A</v>
      </c>
      <c r="BG473" s="1" t="e">
        <f>IF(VLOOKUP(N473,'Incoming Material Report'!H:N,7,FALSE)=0,"",VLOOKUP(N473,'Incoming Material Report'!H:N,7,FALSE))</f>
        <v>#N/A</v>
      </c>
      <c r="BH473" s="52">
        <f t="shared" si="119"/>
        <v>0</v>
      </c>
      <c r="BI473" s="1">
        <f t="shared" si="120"/>
        <v>0</v>
      </c>
      <c r="BJ473" s="1">
        <f t="shared" si="121"/>
        <v>0</v>
      </c>
      <c r="BK473" s="1">
        <f t="shared" si="122"/>
        <v>0</v>
      </c>
      <c r="BL473" s="1">
        <f t="shared" si="123"/>
        <v>0</v>
      </c>
      <c r="BM473" s="10" t="str">
        <f t="shared" si="124"/>
        <v/>
      </c>
      <c r="BN473" s="52">
        <f t="shared" si="125"/>
        <v>0</v>
      </c>
      <c r="BO473" s="52">
        <f t="shared" si="126"/>
        <v>0</v>
      </c>
      <c r="BP473" s="1">
        <f t="shared" si="127"/>
        <v>0</v>
      </c>
      <c r="BQ473" s="1">
        <f t="shared" si="128"/>
        <v>0</v>
      </c>
      <c r="BR473" s="1" t="str">
        <f t="shared" si="129"/>
        <v/>
      </c>
      <c r="BS473" s="1">
        <f t="shared" si="130"/>
        <v>0</v>
      </c>
      <c r="BT473" s="4">
        <f t="shared" si="131"/>
        <v>0</v>
      </c>
      <c r="BU473" s="52">
        <f t="shared" si="132"/>
        <v>0</v>
      </c>
      <c r="BV473" s="1">
        <f t="shared" si="133"/>
        <v>0</v>
      </c>
      <c r="BW473">
        <f t="shared" si="134"/>
        <v>0</v>
      </c>
      <c r="BX473">
        <f t="shared" si="135"/>
        <v>0</v>
      </c>
    </row>
    <row r="474" spans="58:76" x14ac:dyDescent="0.25">
      <c r="BF474" s="1" t="e">
        <f>VLOOKUP(N474,'Incoming Material Report'!H:M,6,FALSE)</f>
        <v>#N/A</v>
      </c>
      <c r="BG474" s="1" t="e">
        <f>IF(VLOOKUP(N474,'Incoming Material Report'!H:N,7,FALSE)=0,"",VLOOKUP(N474,'Incoming Material Report'!H:N,7,FALSE))</f>
        <v>#N/A</v>
      </c>
      <c r="BH474" s="52">
        <f t="shared" si="119"/>
        <v>0</v>
      </c>
      <c r="BI474" s="1">
        <f t="shared" si="120"/>
        <v>0</v>
      </c>
      <c r="BJ474" s="1">
        <f t="shared" si="121"/>
        <v>0</v>
      </c>
      <c r="BK474" s="1">
        <f t="shared" si="122"/>
        <v>0</v>
      </c>
      <c r="BL474" s="1">
        <f t="shared" si="123"/>
        <v>0</v>
      </c>
      <c r="BM474" s="10" t="str">
        <f t="shared" si="124"/>
        <v/>
      </c>
      <c r="BN474" s="52">
        <f t="shared" si="125"/>
        <v>0</v>
      </c>
      <c r="BO474" s="52">
        <f t="shared" si="126"/>
        <v>0</v>
      </c>
      <c r="BP474" s="1">
        <f t="shared" si="127"/>
        <v>0</v>
      </c>
      <c r="BQ474" s="1">
        <f t="shared" si="128"/>
        <v>0</v>
      </c>
      <c r="BR474" s="1" t="str">
        <f t="shared" si="129"/>
        <v/>
      </c>
      <c r="BS474" s="1">
        <f t="shared" si="130"/>
        <v>0</v>
      </c>
      <c r="BT474" s="4">
        <f t="shared" si="131"/>
        <v>0</v>
      </c>
      <c r="BU474" s="52">
        <f t="shared" si="132"/>
        <v>0</v>
      </c>
      <c r="BV474" s="1">
        <f t="shared" si="133"/>
        <v>0</v>
      </c>
      <c r="BW474">
        <f t="shared" si="134"/>
        <v>0</v>
      </c>
      <c r="BX474">
        <f t="shared" si="135"/>
        <v>0</v>
      </c>
    </row>
    <row r="475" spans="58:76" x14ac:dyDescent="0.25">
      <c r="BF475" s="1" t="e">
        <f>VLOOKUP(N475,'Incoming Material Report'!H:M,6,FALSE)</f>
        <v>#N/A</v>
      </c>
      <c r="BG475" s="1" t="e">
        <f>IF(VLOOKUP(N475,'Incoming Material Report'!H:N,7,FALSE)=0,"",VLOOKUP(N475,'Incoming Material Report'!H:N,7,FALSE))</f>
        <v>#N/A</v>
      </c>
      <c r="BH475" s="52">
        <f t="shared" si="119"/>
        <v>0</v>
      </c>
      <c r="BI475" s="1">
        <f t="shared" si="120"/>
        <v>0</v>
      </c>
      <c r="BJ475" s="1">
        <f t="shared" si="121"/>
        <v>0</v>
      </c>
      <c r="BK475" s="1">
        <f t="shared" si="122"/>
        <v>0</v>
      </c>
      <c r="BL475" s="1">
        <f t="shared" si="123"/>
        <v>0</v>
      </c>
      <c r="BM475" s="10" t="str">
        <f t="shared" si="124"/>
        <v/>
      </c>
      <c r="BN475" s="52">
        <f t="shared" si="125"/>
        <v>0</v>
      </c>
      <c r="BO475" s="52">
        <f t="shared" si="126"/>
        <v>0</v>
      </c>
      <c r="BP475" s="1">
        <f t="shared" si="127"/>
        <v>0</v>
      </c>
      <c r="BQ475" s="1">
        <f t="shared" si="128"/>
        <v>0</v>
      </c>
      <c r="BR475" s="1" t="str">
        <f t="shared" si="129"/>
        <v/>
      </c>
      <c r="BS475" s="1">
        <f t="shared" si="130"/>
        <v>0</v>
      </c>
      <c r="BT475" s="4">
        <f t="shared" si="131"/>
        <v>0</v>
      </c>
      <c r="BU475" s="52">
        <f t="shared" si="132"/>
        <v>0</v>
      </c>
      <c r="BV475" s="1">
        <f t="shared" si="133"/>
        <v>0</v>
      </c>
      <c r="BW475">
        <f t="shared" si="134"/>
        <v>0</v>
      </c>
      <c r="BX475">
        <f t="shared" si="135"/>
        <v>0</v>
      </c>
    </row>
    <row r="476" spans="58:76" x14ac:dyDescent="0.25">
      <c r="BF476" s="1" t="e">
        <f>VLOOKUP(N476,'Incoming Material Report'!H:M,6,FALSE)</f>
        <v>#N/A</v>
      </c>
      <c r="BG476" s="1" t="e">
        <f>IF(VLOOKUP(N476,'Incoming Material Report'!H:N,7,FALSE)=0,"",VLOOKUP(N476,'Incoming Material Report'!H:N,7,FALSE))</f>
        <v>#N/A</v>
      </c>
      <c r="BH476" s="52">
        <f t="shared" si="119"/>
        <v>0</v>
      </c>
      <c r="BI476" s="1">
        <f t="shared" si="120"/>
        <v>0</v>
      </c>
      <c r="BJ476" s="1">
        <f t="shared" si="121"/>
        <v>0</v>
      </c>
      <c r="BK476" s="1">
        <f t="shared" si="122"/>
        <v>0</v>
      </c>
      <c r="BL476" s="1">
        <f t="shared" si="123"/>
        <v>0</v>
      </c>
      <c r="BM476" s="10" t="str">
        <f t="shared" si="124"/>
        <v/>
      </c>
      <c r="BN476" s="52">
        <f t="shared" si="125"/>
        <v>0</v>
      </c>
      <c r="BO476" s="52">
        <f t="shared" si="126"/>
        <v>0</v>
      </c>
      <c r="BP476" s="1">
        <f t="shared" si="127"/>
        <v>0</v>
      </c>
      <c r="BQ476" s="1">
        <f t="shared" si="128"/>
        <v>0</v>
      </c>
      <c r="BR476" s="1" t="str">
        <f t="shared" si="129"/>
        <v/>
      </c>
      <c r="BS476" s="1">
        <f t="shared" si="130"/>
        <v>0</v>
      </c>
      <c r="BT476" s="4">
        <f t="shared" si="131"/>
        <v>0</v>
      </c>
      <c r="BU476" s="52">
        <f t="shared" si="132"/>
        <v>0</v>
      </c>
      <c r="BV476" s="1">
        <f t="shared" si="133"/>
        <v>0</v>
      </c>
      <c r="BW476">
        <f t="shared" si="134"/>
        <v>0</v>
      </c>
      <c r="BX476">
        <f t="shared" si="135"/>
        <v>0</v>
      </c>
    </row>
    <row r="477" spans="58:76" x14ac:dyDescent="0.25">
      <c r="BF477" s="1" t="e">
        <f>VLOOKUP(N477,'Incoming Material Report'!H:M,6,FALSE)</f>
        <v>#N/A</v>
      </c>
      <c r="BG477" s="1" t="e">
        <f>IF(VLOOKUP(N477,'Incoming Material Report'!H:N,7,FALSE)=0,"",VLOOKUP(N477,'Incoming Material Report'!H:N,7,FALSE))</f>
        <v>#N/A</v>
      </c>
      <c r="BH477" s="52">
        <f t="shared" si="119"/>
        <v>0</v>
      </c>
      <c r="BI477" s="1">
        <f t="shared" si="120"/>
        <v>0</v>
      </c>
      <c r="BJ477" s="1">
        <f t="shared" si="121"/>
        <v>0</v>
      </c>
      <c r="BK477" s="1">
        <f t="shared" si="122"/>
        <v>0</v>
      </c>
      <c r="BL477" s="1">
        <f t="shared" si="123"/>
        <v>0</v>
      </c>
      <c r="BM477" s="10" t="str">
        <f t="shared" si="124"/>
        <v/>
      </c>
      <c r="BN477" s="52">
        <f t="shared" si="125"/>
        <v>0</v>
      </c>
      <c r="BO477" s="52">
        <f t="shared" si="126"/>
        <v>0</v>
      </c>
      <c r="BP477" s="1">
        <f t="shared" si="127"/>
        <v>0</v>
      </c>
      <c r="BQ477" s="1">
        <f t="shared" si="128"/>
        <v>0</v>
      </c>
      <c r="BR477" s="1" t="str">
        <f t="shared" si="129"/>
        <v/>
      </c>
      <c r="BS477" s="1">
        <f t="shared" si="130"/>
        <v>0</v>
      </c>
      <c r="BT477" s="4">
        <f t="shared" si="131"/>
        <v>0</v>
      </c>
      <c r="BU477" s="52">
        <f t="shared" si="132"/>
        <v>0</v>
      </c>
      <c r="BV477" s="1">
        <f t="shared" si="133"/>
        <v>0</v>
      </c>
      <c r="BW477">
        <f t="shared" si="134"/>
        <v>0</v>
      </c>
      <c r="BX477">
        <f t="shared" si="135"/>
        <v>0</v>
      </c>
    </row>
    <row r="478" spans="58:76" x14ac:dyDescent="0.25">
      <c r="BF478" s="1" t="e">
        <f>VLOOKUP(N478,'Incoming Material Report'!H:M,6,FALSE)</f>
        <v>#N/A</v>
      </c>
      <c r="BG478" s="1" t="e">
        <f>IF(VLOOKUP(N478,'Incoming Material Report'!H:N,7,FALSE)=0,"",VLOOKUP(N478,'Incoming Material Report'!H:N,7,FALSE))</f>
        <v>#N/A</v>
      </c>
      <c r="BH478" s="52">
        <f t="shared" si="119"/>
        <v>0</v>
      </c>
      <c r="BI478" s="1">
        <f t="shared" si="120"/>
        <v>0</v>
      </c>
      <c r="BJ478" s="1">
        <f t="shared" si="121"/>
        <v>0</v>
      </c>
      <c r="BK478" s="1">
        <f t="shared" si="122"/>
        <v>0</v>
      </c>
      <c r="BL478" s="1">
        <f t="shared" si="123"/>
        <v>0</v>
      </c>
      <c r="BM478" s="10" t="str">
        <f t="shared" si="124"/>
        <v/>
      </c>
      <c r="BN478" s="52">
        <f t="shared" si="125"/>
        <v>0</v>
      </c>
      <c r="BO478" s="52">
        <f t="shared" si="126"/>
        <v>0</v>
      </c>
      <c r="BP478" s="1">
        <f t="shared" si="127"/>
        <v>0</v>
      </c>
      <c r="BQ478" s="1">
        <f t="shared" si="128"/>
        <v>0</v>
      </c>
      <c r="BR478" s="1" t="str">
        <f t="shared" si="129"/>
        <v/>
      </c>
      <c r="BS478" s="1">
        <f t="shared" si="130"/>
        <v>0</v>
      </c>
      <c r="BT478" s="4">
        <f t="shared" si="131"/>
        <v>0</v>
      </c>
      <c r="BU478" s="52">
        <f t="shared" si="132"/>
        <v>0</v>
      </c>
      <c r="BV478" s="1">
        <f t="shared" si="133"/>
        <v>0</v>
      </c>
      <c r="BW478">
        <f t="shared" si="134"/>
        <v>0</v>
      </c>
      <c r="BX478">
        <f t="shared" si="135"/>
        <v>0</v>
      </c>
    </row>
    <row r="479" spans="58:76" x14ac:dyDescent="0.25">
      <c r="BF479" s="1" t="e">
        <f>VLOOKUP(N479,'Incoming Material Report'!H:M,6,FALSE)</f>
        <v>#N/A</v>
      </c>
      <c r="BG479" s="1" t="e">
        <f>IF(VLOOKUP(N479,'Incoming Material Report'!H:N,7,FALSE)=0,"",VLOOKUP(N479,'Incoming Material Report'!H:N,7,FALSE))</f>
        <v>#N/A</v>
      </c>
      <c r="BH479" s="52">
        <f t="shared" si="119"/>
        <v>0</v>
      </c>
      <c r="BI479" s="1">
        <f t="shared" si="120"/>
        <v>0</v>
      </c>
      <c r="BJ479" s="1">
        <f t="shared" si="121"/>
        <v>0</v>
      </c>
      <c r="BK479" s="1">
        <f t="shared" si="122"/>
        <v>0</v>
      </c>
      <c r="BL479" s="1">
        <f t="shared" si="123"/>
        <v>0</v>
      </c>
      <c r="BM479" s="10" t="str">
        <f t="shared" si="124"/>
        <v/>
      </c>
      <c r="BN479" s="52">
        <f t="shared" si="125"/>
        <v>0</v>
      </c>
      <c r="BO479" s="52">
        <f t="shared" si="126"/>
        <v>0</v>
      </c>
      <c r="BP479" s="1">
        <f t="shared" si="127"/>
        <v>0</v>
      </c>
      <c r="BQ479" s="1">
        <f t="shared" si="128"/>
        <v>0</v>
      </c>
      <c r="BR479" s="1" t="str">
        <f t="shared" si="129"/>
        <v/>
      </c>
      <c r="BS479" s="1">
        <f t="shared" si="130"/>
        <v>0</v>
      </c>
      <c r="BT479" s="4">
        <f t="shared" si="131"/>
        <v>0</v>
      </c>
      <c r="BU479" s="52">
        <f t="shared" si="132"/>
        <v>0</v>
      </c>
      <c r="BV479" s="1">
        <f t="shared" si="133"/>
        <v>0</v>
      </c>
      <c r="BW479">
        <f t="shared" si="134"/>
        <v>0</v>
      </c>
      <c r="BX479">
        <f t="shared" si="135"/>
        <v>0</v>
      </c>
    </row>
    <row r="480" spans="58:76" x14ac:dyDescent="0.25">
      <c r="BF480" s="1" t="e">
        <f>VLOOKUP(N480,'Incoming Material Report'!H:M,6,FALSE)</f>
        <v>#N/A</v>
      </c>
      <c r="BG480" s="1" t="e">
        <f>IF(VLOOKUP(N480,'Incoming Material Report'!H:N,7,FALSE)=0,"",VLOOKUP(N480,'Incoming Material Report'!H:N,7,FALSE))</f>
        <v>#N/A</v>
      </c>
      <c r="BH480" s="52">
        <f t="shared" si="119"/>
        <v>0</v>
      </c>
      <c r="BI480" s="1">
        <f t="shared" si="120"/>
        <v>0</v>
      </c>
      <c r="BJ480" s="1">
        <f t="shared" si="121"/>
        <v>0</v>
      </c>
      <c r="BK480" s="1">
        <f t="shared" si="122"/>
        <v>0</v>
      </c>
      <c r="BL480" s="1">
        <f t="shared" si="123"/>
        <v>0</v>
      </c>
      <c r="BM480" s="10" t="str">
        <f t="shared" si="124"/>
        <v/>
      </c>
      <c r="BN480" s="52">
        <f t="shared" si="125"/>
        <v>0</v>
      </c>
      <c r="BO480" s="52">
        <f t="shared" si="126"/>
        <v>0</v>
      </c>
      <c r="BP480" s="1">
        <f t="shared" si="127"/>
        <v>0</v>
      </c>
      <c r="BQ480" s="1">
        <f t="shared" si="128"/>
        <v>0</v>
      </c>
      <c r="BR480" s="1" t="str">
        <f t="shared" si="129"/>
        <v/>
      </c>
      <c r="BS480" s="1">
        <f t="shared" si="130"/>
        <v>0</v>
      </c>
      <c r="BT480" s="4">
        <f t="shared" si="131"/>
        <v>0</v>
      </c>
      <c r="BU480" s="52">
        <f t="shared" si="132"/>
        <v>0</v>
      </c>
      <c r="BV480" s="1">
        <f t="shared" si="133"/>
        <v>0</v>
      </c>
      <c r="BW480">
        <f t="shared" si="134"/>
        <v>0</v>
      </c>
      <c r="BX480">
        <f t="shared" si="135"/>
        <v>0</v>
      </c>
    </row>
    <row r="481" spans="58:76" x14ac:dyDescent="0.25">
      <c r="BF481" s="1" t="e">
        <f>VLOOKUP(N481,'Incoming Material Report'!H:M,6,FALSE)</f>
        <v>#N/A</v>
      </c>
      <c r="BG481" s="1" t="e">
        <f>IF(VLOOKUP(N481,'Incoming Material Report'!H:N,7,FALSE)=0,"",VLOOKUP(N481,'Incoming Material Report'!H:N,7,FALSE))</f>
        <v>#N/A</v>
      </c>
      <c r="BH481" s="52">
        <f t="shared" si="119"/>
        <v>0</v>
      </c>
      <c r="BI481" s="1">
        <f t="shared" si="120"/>
        <v>0</v>
      </c>
      <c r="BJ481" s="1">
        <f t="shared" si="121"/>
        <v>0</v>
      </c>
      <c r="BK481" s="1">
        <f t="shared" si="122"/>
        <v>0</v>
      </c>
      <c r="BL481" s="1">
        <f t="shared" si="123"/>
        <v>0</v>
      </c>
      <c r="BM481" s="10" t="str">
        <f t="shared" si="124"/>
        <v/>
      </c>
      <c r="BN481" s="52">
        <f t="shared" si="125"/>
        <v>0</v>
      </c>
      <c r="BO481" s="52">
        <f t="shared" si="126"/>
        <v>0</v>
      </c>
      <c r="BP481" s="1">
        <f t="shared" si="127"/>
        <v>0</v>
      </c>
      <c r="BQ481" s="1">
        <f t="shared" si="128"/>
        <v>0</v>
      </c>
      <c r="BR481" s="1" t="str">
        <f t="shared" si="129"/>
        <v/>
      </c>
      <c r="BS481" s="1">
        <f t="shared" si="130"/>
        <v>0</v>
      </c>
      <c r="BT481" s="4">
        <f t="shared" si="131"/>
        <v>0</v>
      </c>
      <c r="BU481" s="52">
        <f t="shared" si="132"/>
        <v>0</v>
      </c>
      <c r="BV481" s="1">
        <f t="shared" si="133"/>
        <v>0</v>
      </c>
      <c r="BW481">
        <f t="shared" si="134"/>
        <v>0</v>
      </c>
      <c r="BX481">
        <f t="shared" si="135"/>
        <v>0</v>
      </c>
    </row>
    <row r="482" spans="58:76" x14ac:dyDescent="0.25">
      <c r="BF482" s="1" t="e">
        <f>VLOOKUP(N482,'Incoming Material Report'!H:M,6,FALSE)</f>
        <v>#N/A</v>
      </c>
      <c r="BG482" s="1" t="e">
        <f>IF(VLOOKUP(N482,'Incoming Material Report'!H:N,7,FALSE)=0,"",VLOOKUP(N482,'Incoming Material Report'!H:N,7,FALSE))</f>
        <v>#N/A</v>
      </c>
      <c r="BH482" s="52">
        <f t="shared" si="119"/>
        <v>0</v>
      </c>
      <c r="BI482" s="1">
        <f t="shared" si="120"/>
        <v>0</v>
      </c>
      <c r="BJ482" s="1">
        <f t="shared" si="121"/>
        <v>0</v>
      </c>
      <c r="BK482" s="1">
        <f t="shared" si="122"/>
        <v>0</v>
      </c>
      <c r="BL482" s="1">
        <f t="shared" si="123"/>
        <v>0</v>
      </c>
      <c r="BM482" s="10" t="str">
        <f t="shared" si="124"/>
        <v/>
      </c>
      <c r="BN482" s="52">
        <f t="shared" si="125"/>
        <v>0</v>
      </c>
      <c r="BO482" s="52">
        <f t="shared" si="126"/>
        <v>0</v>
      </c>
      <c r="BP482" s="1">
        <f t="shared" si="127"/>
        <v>0</v>
      </c>
      <c r="BQ482" s="1">
        <f t="shared" si="128"/>
        <v>0</v>
      </c>
      <c r="BR482" s="1" t="str">
        <f t="shared" si="129"/>
        <v/>
      </c>
      <c r="BS482" s="1">
        <f t="shared" si="130"/>
        <v>0</v>
      </c>
      <c r="BT482" s="4">
        <f t="shared" si="131"/>
        <v>0</v>
      </c>
      <c r="BU482" s="52">
        <f t="shared" si="132"/>
        <v>0</v>
      </c>
      <c r="BV482" s="1">
        <f t="shared" si="133"/>
        <v>0</v>
      </c>
      <c r="BW482">
        <f t="shared" si="134"/>
        <v>0</v>
      </c>
      <c r="BX482">
        <f t="shared" si="135"/>
        <v>0</v>
      </c>
    </row>
    <row r="483" spans="58:76" x14ac:dyDescent="0.25">
      <c r="BF483" s="1" t="e">
        <f>VLOOKUP(N483,'Incoming Material Report'!H:M,6,FALSE)</f>
        <v>#N/A</v>
      </c>
      <c r="BG483" s="1" t="e">
        <f>IF(VLOOKUP(N483,'Incoming Material Report'!H:N,7,FALSE)=0,"",VLOOKUP(N483,'Incoming Material Report'!H:N,7,FALSE))</f>
        <v>#N/A</v>
      </c>
      <c r="BH483" s="52">
        <f t="shared" si="119"/>
        <v>0</v>
      </c>
      <c r="BI483" s="1">
        <f t="shared" si="120"/>
        <v>0</v>
      </c>
      <c r="BJ483" s="1">
        <f t="shared" si="121"/>
        <v>0</v>
      </c>
      <c r="BK483" s="1">
        <f t="shared" si="122"/>
        <v>0</v>
      </c>
      <c r="BL483" s="1">
        <f t="shared" si="123"/>
        <v>0</v>
      </c>
      <c r="BM483" s="10" t="str">
        <f t="shared" si="124"/>
        <v/>
      </c>
      <c r="BN483" s="52">
        <f t="shared" si="125"/>
        <v>0</v>
      </c>
      <c r="BO483" s="52">
        <f t="shared" si="126"/>
        <v>0</v>
      </c>
      <c r="BP483" s="1">
        <f t="shared" si="127"/>
        <v>0</v>
      </c>
      <c r="BQ483" s="1">
        <f t="shared" si="128"/>
        <v>0</v>
      </c>
      <c r="BR483" s="1" t="str">
        <f t="shared" si="129"/>
        <v/>
      </c>
      <c r="BS483" s="1">
        <f t="shared" si="130"/>
        <v>0</v>
      </c>
      <c r="BT483" s="4">
        <f t="shared" si="131"/>
        <v>0</v>
      </c>
      <c r="BU483" s="52">
        <f t="shared" si="132"/>
        <v>0</v>
      </c>
      <c r="BV483" s="1">
        <f t="shared" si="133"/>
        <v>0</v>
      </c>
      <c r="BW483">
        <f t="shared" si="134"/>
        <v>0</v>
      </c>
      <c r="BX483">
        <f t="shared" si="135"/>
        <v>0</v>
      </c>
    </row>
    <row r="484" spans="58:76" x14ac:dyDescent="0.25">
      <c r="BF484" s="1" t="e">
        <f>VLOOKUP(N484,'Incoming Material Report'!H:M,6,FALSE)</f>
        <v>#N/A</v>
      </c>
      <c r="BG484" s="1" t="e">
        <f>IF(VLOOKUP(N484,'Incoming Material Report'!H:N,7,FALSE)=0,"",VLOOKUP(N484,'Incoming Material Report'!H:N,7,FALSE))</f>
        <v>#N/A</v>
      </c>
      <c r="BH484" s="52">
        <f t="shared" si="119"/>
        <v>0</v>
      </c>
      <c r="BI484" s="1">
        <f t="shared" si="120"/>
        <v>0</v>
      </c>
      <c r="BJ484" s="1">
        <f t="shared" si="121"/>
        <v>0</v>
      </c>
      <c r="BK484" s="1">
        <f t="shared" si="122"/>
        <v>0</v>
      </c>
      <c r="BL484" s="1">
        <f t="shared" si="123"/>
        <v>0</v>
      </c>
      <c r="BM484" s="10" t="str">
        <f t="shared" si="124"/>
        <v/>
      </c>
      <c r="BN484" s="52">
        <f t="shared" si="125"/>
        <v>0</v>
      </c>
      <c r="BO484" s="52">
        <f t="shared" si="126"/>
        <v>0</v>
      </c>
      <c r="BP484" s="1">
        <f t="shared" si="127"/>
        <v>0</v>
      </c>
      <c r="BQ484" s="1">
        <f t="shared" si="128"/>
        <v>0</v>
      </c>
      <c r="BR484" s="1" t="str">
        <f t="shared" si="129"/>
        <v/>
      </c>
      <c r="BS484" s="1">
        <f t="shared" si="130"/>
        <v>0</v>
      </c>
      <c r="BT484" s="4">
        <f t="shared" si="131"/>
        <v>0</v>
      </c>
      <c r="BU484" s="52">
        <f t="shared" si="132"/>
        <v>0</v>
      </c>
      <c r="BV484" s="1">
        <f t="shared" si="133"/>
        <v>0</v>
      </c>
      <c r="BW484">
        <f t="shared" si="134"/>
        <v>0</v>
      </c>
      <c r="BX484">
        <f t="shared" si="135"/>
        <v>0</v>
      </c>
    </row>
    <row r="485" spans="58:76" x14ac:dyDescent="0.25">
      <c r="BF485" s="1" t="e">
        <f>VLOOKUP(N485,'Incoming Material Report'!H:M,6,FALSE)</f>
        <v>#N/A</v>
      </c>
      <c r="BG485" s="1" t="e">
        <f>IF(VLOOKUP(N485,'Incoming Material Report'!H:N,7,FALSE)=0,"",VLOOKUP(N485,'Incoming Material Report'!H:N,7,FALSE))</f>
        <v>#N/A</v>
      </c>
      <c r="BH485" s="52">
        <f t="shared" si="119"/>
        <v>0</v>
      </c>
      <c r="BI485" s="1">
        <f t="shared" si="120"/>
        <v>0</v>
      </c>
      <c r="BJ485" s="1">
        <f t="shared" si="121"/>
        <v>0</v>
      </c>
      <c r="BK485" s="1">
        <f t="shared" si="122"/>
        <v>0</v>
      </c>
      <c r="BL485" s="1">
        <f t="shared" si="123"/>
        <v>0</v>
      </c>
      <c r="BM485" s="10" t="str">
        <f t="shared" si="124"/>
        <v/>
      </c>
      <c r="BN485" s="52">
        <f t="shared" si="125"/>
        <v>0</v>
      </c>
      <c r="BO485" s="52">
        <f t="shared" si="126"/>
        <v>0</v>
      </c>
      <c r="BP485" s="1">
        <f t="shared" si="127"/>
        <v>0</v>
      </c>
      <c r="BQ485" s="1">
        <f t="shared" si="128"/>
        <v>0</v>
      </c>
      <c r="BR485" s="1" t="str">
        <f t="shared" si="129"/>
        <v/>
      </c>
      <c r="BS485" s="1">
        <f t="shared" si="130"/>
        <v>0</v>
      </c>
      <c r="BT485" s="4">
        <f t="shared" si="131"/>
        <v>0</v>
      </c>
      <c r="BU485" s="52">
        <f t="shared" si="132"/>
        <v>0</v>
      </c>
      <c r="BV485" s="1">
        <f t="shared" si="133"/>
        <v>0</v>
      </c>
      <c r="BW485">
        <f t="shared" si="134"/>
        <v>0</v>
      </c>
      <c r="BX485">
        <f t="shared" si="135"/>
        <v>0</v>
      </c>
    </row>
    <row r="486" spans="58:76" x14ac:dyDescent="0.25">
      <c r="BF486" s="1" t="e">
        <f>VLOOKUP(N486,'Incoming Material Report'!H:M,6,FALSE)</f>
        <v>#N/A</v>
      </c>
      <c r="BG486" s="1" t="e">
        <f>IF(VLOOKUP(N486,'Incoming Material Report'!H:N,7,FALSE)=0,"",VLOOKUP(N486,'Incoming Material Report'!H:N,7,FALSE))</f>
        <v>#N/A</v>
      </c>
      <c r="BH486" s="52">
        <f t="shared" si="119"/>
        <v>0</v>
      </c>
      <c r="BI486" s="1">
        <f t="shared" si="120"/>
        <v>0</v>
      </c>
      <c r="BJ486" s="1">
        <f t="shared" si="121"/>
        <v>0</v>
      </c>
      <c r="BK486" s="1">
        <f t="shared" si="122"/>
        <v>0</v>
      </c>
      <c r="BL486" s="1">
        <f t="shared" si="123"/>
        <v>0</v>
      </c>
      <c r="BM486" s="10" t="str">
        <f t="shared" si="124"/>
        <v/>
      </c>
      <c r="BN486" s="52">
        <f t="shared" si="125"/>
        <v>0</v>
      </c>
      <c r="BO486" s="52">
        <f t="shared" si="126"/>
        <v>0</v>
      </c>
      <c r="BP486" s="1">
        <f t="shared" si="127"/>
        <v>0</v>
      </c>
      <c r="BQ486" s="1">
        <f t="shared" si="128"/>
        <v>0</v>
      </c>
      <c r="BR486" s="1" t="str">
        <f t="shared" si="129"/>
        <v/>
      </c>
      <c r="BS486" s="1">
        <f t="shared" si="130"/>
        <v>0</v>
      </c>
      <c r="BT486" s="4">
        <f t="shared" si="131"/>
        <v>0</v>
      </c>
      <c r="BU486" s="52">
        <f t="shared" si="132"/>
        <v>0</v>
      </c>
      <c r="BV486" s="1">
        <f t="shared" si="133"/>
        <v>0</v>
      </c>
      <c r="BW486">
        <f t="shared" si="134"/>
        <v>0</v>
      </c>
      <c r="BX486">
        <f t="shared" si="135"/>
        <v>0</v>
      </c>
    </row>
    <row r="487" spans="58:76" x14ac:dyDescent="0.25">
      <c r="BF487" s="1" t="e">
        <f>VLOOKUP(N487,'Incoming Material Report'!H:M,6,FALSE)</f>
        <v>#N/A</v>
      </c>
      <c r="BG487" s="1" t="e">
        <f>IF(VLOOKUP(N487,'Incoming Material Report'!H:N,7,FALSE)=0,"",VLOOKUP(N487,'Incoming Material Report'!H:N,7,FALSE))</f>
        <v>#N/A</v>
      </c>
      <c r="BH487" s="52">
        <f t="shared" si="119"/>
        <v>0</v>
      </c>
      <c r="BI487" s="1">
        <f t="shared" si="120"/>
        <v>0</v>
      </c>
      <c r="BJ487" s="1">
        <f t="shared" si="121"/>
        <v>0</v>
      </c>
      <c r="BK487" s="1">
        <f t="shared" si="122"/>
        <v>0</v>
      </c>
      <c r="BL487" s="1">
        <f t="shared" si="123"/>
        <v>0</v>
      </c>
      <c r="BM487" s="10" t="str">
        <f t="shared" si="124"/>
        <v/>
      </c>
      <c r="BN487" s="52">
        <f t="shared" si="125"/>
        <v>0</v>
      </c>
      <c r="BO487" s="52">
        <f t="shared" si="126"/>
        <v>0</v>
      </c>
      <c r="BP487" s="1">
        <f t="shared" si="127"/>
        <v>0</v>
      </c>
      <c r="BQ487" s="1">
        <f t="shared" si="128"/>
        <v>0</v>
      </c>
      <c r="BR487" s="1" t="str">
        <f t="shared" si="129"/>
        <v/>
      </c>
      <c r="BS487" s="1">
        <f t="shared" si="130"/>
        <v>0</v>
      </c>
      <c r="BT487" s="4">
        <f t="shared" si="131"/>
        <v>0</v>
      </c>
      <c r="BU487" s="52">
        <f t="shared" si="132"/>
        <v>0</v>
      </c>
      <c r="BV487" s="1">
        <f t="shared" si="133"/>
        <v>0</v>
      </c>
      <c r="BW487">
        <f t="shared" si="134"/>
        <v>0</v>
      </c>
      <c r="BX487">
        <f t="shared" si="135"/>
        <v>0</v>
      </c>
    </row>
    <row r="488" spans="58:76" x14ac:dyDescent="0.25">
      <c r="BF488" s="1" t="e">
        <f>VLOOKUP(N488,'Incoming Material Report'!H:M,6,FALSE)</f>
        <v>#N/A</v>
      </c>
      <c r="BG488" s="1" t="e">
        <f>IF(VLOOKUP(N488,'Incoming Material Report'!H:N,7,FALSE)=0,"",VLOOKUP(N488,'Incoming Material Report'!H:N,7,FALSE))</f>
        <v>#N/A</v>
      </c>
      <c r="BH488" s="52">
        <f t="shared" si="119"/>
        <v>0</v>
      </c>
      <c r="BI488" s="1">
        <f t="shared" si="120"/>
        <v>0</v>
      </c>
      <c r="BJ488" s="1">
        <f t="shared" si="121"/>
        <v>0</v>
      </c>
      <c r="BK488" s="1">
        <f t="shared" si="122"/>
        <v>0</v>
      </c>
      <c r="BL488" s="1">
        <f t="shared" si="123"/>
        <v>0</v>
      </c>
      <c r="BM488" s="10" t="str">
        <f t="shared" si="124"/>
        <v/>
      </c>
      <c r="BN488" s="52">
        <f t="shared" si="125"/>
        <v>0</v>
      </c>
      <c r="BO488" s="52">
        <f t="shared" si="126"/>
        <v>0</v>
      </c>
      <c r="BP488" s="1">
        <f t="shared" si="127"/>
        <v>0</v>
      </c>
      <c r="BQ488" s="1">
        <f t="shared" si="128"/>
        <v>0</v>
      </c>
      <c r="BR488" s="1" t="str">
        <f t="shared" si="129"/>
        <v/>
      </c>
      <c r="BS488" s="1">
        <f t="shared" si="130"/>
        <v>0</v>
      </c>
      <c r="BT488" s="4">
        <f t="shared" si="131"/>
        <v>0</v>
      </c>
      <c r="BU488" s="52">
        <f t="shared" si="132"/>
        <v>0</v>
      </c>
      <c r="BV488" s="1">
        <f t="shared" si="133"/>
        <v>0</v>
      </c>
      <c r="BW488">
        <f t="shared" si="134"/>
        <v>0</v>
      </c>
      <c r="BX488">
        <f t="shared" si="135"/>
        <v>0</v>
      </c>
    </row>
    <row r="489" spans="58:76" x14ac:dyDescent="0.25">
      <c r="BF489" s="1" t="e">
        <f>VLOOKUP(N489,'Incoming Material Report'!H:M,6,FALSE)</f>
        <v>#N/A</v>
      </c>
      <c r="BG489" s="1" t="e">
        <f>IF(VLOOKUP(N489,'Incoming Material Report'!H:N,7,FALSE)=0,"",VLOOKUP(N489,'Incoming Material Report'!H:N,7,FALSE))</f>
        <v>#N/A</v>
      </c>
      <c r="BH489" s="52">
        <f t="shared" si="119"/>
        <v>0</v>
      </c>
      <c r="BI489" s="1">
        <f t="shared" si="120"/>
        <v>0</v>
      </c>
      <c r="BJ489" s="1">
        <f t="shared" si="121"/>
        <v>0</v>
      </c>
      <c r="BK489" s="1">
        <f t="shared" si="122"/>
        <v>0</v>
      </c>
      <c r="BL489" s="1">
        <f t="shared" si="123"/>
        <v>0</v>
      </c>
      <c r="BM489" s="10" t="str">
        <f t="shared" si="124"/>
        <v/>
      </c>
      <c r="BN489" s="52">
        <f t="shared" si="125"/>
        <v>0</v>
      </c>
      <c r="BO489" s="52">
        <f t="shared" si="126"/>
        <v>0</v>
      </c>
      <c r="BP489" s="1">
        <f t="shared" si="127"/>
        <v>0</v>
      </c>
      <c r="BQ489" s="1">
        <f t="shared" si="128"/>
        <v>0</v>
      </c>
      <c r="BR489" s="1" t="str">
        <f t="shared" si="129"/>
        <v/>
      </c>
      <c r="BS489" s="1">
        <f t="shared" si="130"/>
        <v>0</v>
      </c>
      <c r="BT489" s="4">
        <f t="shared" si="131"/>
        <v>0</v>
      </c>
      <c r="BU489" s="52">
        <f t="shared" si="132"/>
        <v>0</v>
      </c>
      <c r="BV489" s="1">
        <f t="shared" si="133"/>
        <v>0</v>
      </c>
      <c r="BW489">
        <f t="shared" si="134"/>
        <v>0</v>
      </c>
      <c r="BX489">
        <f t="shared" si="135"/>
        <v>0</v>
      </c>
    </row>
    <row r="490" spans="58:76" x14ac:dyDescent="0.25">
      <c r="BF490" s="1" t="e">
        <f>VLOOKUP(N490,'Incoming Material Report'!H:M,6,FALSE)</f>
        <v>#N/A</v>
      </c>
      <c r="BG490" s="1" t="e">
        <f>IF(VLOOKUP(N490,'Incoming Material Report'!H:N,7,FALSE)=0,"",VLOOKUP(N490,'Incoming Material Report'!H:N,7,FALSE))</f>
        <v>#N/A</v>
      </c>
      <c r="BH490" s="52">
        <f t="shared" si="119"/>
        <v>0</v>
      </c>
      <c r="BI490" s="1">
        <f t="shared" si="120"/>
        <v>0</v>
      </c>
      <c r="BJ490" s="1">
        <f t="shared" si="121"/>
        <v>0</v>
      </c>
      <c r="BK490" s="1">
        <f t="shared" si="122"/>
        <v>0</v>
      </c>
      <c r="BL490" s="1">
        <f t="shared" si="123"/>
        <v>0</v>
      </c>
      <c r="BM490" s="10" t="str">
        <f t="shared" si="124"/>
        <v/>
      </c>
      <c r="BN490" s="52">
        <f t="shared" si="125"/>
        <v>0</v>
      </c>
      <c r="BO490" s="52">
        <f t="shared" si="126"/>
        <v>0</v>
      </c>
      <c r="BP490" s="1">
        <f t="shared" si="127"/>
        <v>0</v>
      </c>
      <c r="BQ490" s="1">
        <f t="shared" si="128"/>
        <v>0</v>
      </c>
      <c r="BR490" s="1" t="str">
        <f t="shared" si="129"/>
        <v/>
      </c>
      <c r="BS490" s="1">
        <f t="shared" si="130"/>
        <v>0</v>
      </c>
      <c r="BT490" s="4">
        <f t="shared" si="131"/>
        <v>0</v>
      </c>
      <c r="BU490" s="52">
        <f t="shared" si="132"/>
        <v>0</v>
      </c>
      <c r="BV490" s="1">
        <f t="shared" si="133"/>
        <v>0</v>
      </c>
      <c r="BW490">
        <f t="shared" si="134"/>
        <v>0</v>
      </c>
      <c r="BX490">
        <f t="shared" si="135"/>
        <v>0</v>
      </c>
    </row>
    <row r="491" spans="58:76" x14ac:dyDescent="0.25">
      <c r="BF491" s="1" t="e">
        <f>VLOOKUP(N491,'Incoming Material Report'!H:M,6,FALSE)</f>
        <v>#N/A</v>
      </c>
      <c r="BG491" s="1" t="e">
        <f>IF(VLOOKUP(N491,'Incoming Material Report'!H:N,7,FALSE)=0,"",VLOOKUP(N491,'Incoming Material Report'!H:N,7,FALSE))</f>
        <v>#N/A</v>
      </c>
      <c r="BH491" s="52">
        <f t="shared" si="119"/>
        <v>0</v>
      </c>
      <c r="BI491" s="1">
        <f t="shared" si="120"/>
        <v>0</v>
      </c>
      <c r="BJ491" s="1">
        <f t="shared" si="121"/>
        <v>0</v>
      </c>
      <c r="BK491" s="1">
        <f t="shared" si="122"/>
        <v>0</v>
      </c>
      <c r="BL491" s="1">
        <f t="shared" si="123"/>
        <v>0</v>
      </c>
      <c r="BM491" s="10" t="str">
        <f t="shared" si="124"/>
        <v/>
      </c>
      <c r="BN491" s="52">
        <f t="shared" si="125"/>
        <v>0</v>
      </c>
      <c r="BO491" s="52">
        <f t="shared" si="126"/>
        <v>0</v>
      </c>
      <c r="BP491" s="1">
        <f t="shared" si="127"/>
        <v>0</v>
      </c>
      <c r="BQ491" s="1">
        <f t="shared" si="128"/>
        <v>0</v>
      </c>
      <c r="BR491" s="1" t="str">
        <f t="shared" si="129"/>
        <v/>
      </c>
      <c r="BS491" s="1">
        <f t="shared" si="130"/>
        <v>0</v>
      </c>
      <c r="BT491" s="4">
        <f t="shared" si="131"/>
        <v>0</v>
      </c>
      <c r="BU491" s="52">
        <f t="shared" si="132"/>
        <v>0</v>
      </c>
      <c r="BV491" s="1">
        <f t="shared" si="133"/>
        <v>0</v>
      </c>
      <c r="BW491">
        <f t="shared" si="134"/>
        <v>0</v>
      </c>
      <c r="BX491">
        <f t="shared" si="135"/>
        <v>0</v>
      </c>
    </row>
    <row r="492" spans="58:76" x14ac:dyDescent="0.25">
      <c r="BF492" s="1" t="e">
        <f>VLOOKUP(N492,'Incoming Material Report'!H:M,6,FALSE)</f>
        <v>#N/A</v>
      </c>
      <c r="BG492" s="1" t="e">
        <f>IF(VLOOKUP(N492,'Incoming Material Report'!H:N,7,FALSE)=0,"",VLOOKUP(N492,'Incoming Material Report'!H:N,7,FALSE))</f>
        <v>#N/A</v>
      </c>
      <c r="BH492" s="52">
        <f t="shared" si="119"/>
        <v>0</v>
      </c>
      <c r="BI492" s="1">
        <f t="shared" si="120"/>
        <v>0</v>
      </c>
      <c r="BJ492" s="1">
        <f t="shared" si="121"/>
        <v>0</v>
      </c>
      <c r="BK492" s="1">
        <f t="shared" si="122"/>
        <v>0</v>
      </c>
      <c r="BL492" s="1">
        <f t="shared" si="123"/>
        <v>0</v>
      </c>
      <c r="BM492" s="10" t="str">
        <f t="shared" si="124"/>
        <v/>
      </c>
      <c r="BN492" s="52">
        <f t="shared" si="125"/>
        <v>0</v>
      </c>
      <c r="BO492" s="52">
        <f t="shared" si="126"/>
        <v>0</v>
      </c>
      <c r="BP492" s="1">
        <f t="shared" si="127"/>
        <v>0</v>
      </c>
      <c r="BQ492" s="1">
        <f t="shared" si="128"/>
        <v>0</v>
      </c>
      <c r="BR492" s="1" t="str">
        <f t="shared" si="129"/>
        <v/>
      </c>
      <c r="BS492" s="1">
        <f t="shared" si="130"/>
        <v>0</v>
      </c>
      <c r="BT492" s="4">
        <f t="shared" si="131"/>
        <v>0</v>
      </c>
      <c r="BU492" s="52">
        <f t="shared" si="132"/>
        <v>0</v>
      </c>
      <c r="BV492" s="1">
        <f t="shared" si="133"/>
        <v>0</v>
      </c>
      <c r="BW492">
        <f t="shared" si="134"/>
        <v>0</v>
      </c>
      <c r="BX492">
        <f t="shared" si="135"/>
        <v>0</v>
      </c>
    </row>
    <row r="493" spans="58:76" x14ac:dyDescent="0.25">
      <c r="BF493" s="1" t="e">
        <f>VLOOKUP(N493,'Incoming Material Report'!H:M,6,FALSE)</f>
        <v>#N/A</v>
      </c>
      <c r="BG493" s="1" t="e">
        <f>IF(VLOOKUP(N493,'Incoming Material Report'!H:N,7,FALSE)=0,"",VLOOKUP(N493,'Incoming Material Report'!H:N,7,FALSE))</f>
        <v>#N/A</v>
      </c>
      <c r="BH493" s="52">
        <f t="shared" si="119"/>
        <v>0</v>
      </c>
      <c r="BI493" s="1">
        <f t="shared" si="120"/>
        <v>0</v>
      </c>
      <c r="BJ493" s="1">
        <f t="shared" si="121"/>
        <v>0</v>
      </c>
      <c r="BK493" s="1">
        <f t="shared" si="122"/>
        <v>0</v>
      </c>
      <c r="BL493" s="1">
        <f t="shared" si="123"/>
        <v>0</v>
      </c>
      <c r="BM493" s="10" t="str">
        <f t="shared" si="124"/>
        <v/>
      </c>
      <c r="BN493" s="52">
        <f t="shared" si="125"/>
        <v>0</v>
      </c>
      <c r="BO493" s="52">
        <f t="shared" si="126"/>
        <v>0</v>
      </c>
      <c r="BP493" s="1">
        <f t="shared" si="127"/>
        <v>0</v>
      </c>
      <c r="BQ493" s="1">
        <f t="shared" si="128"/>
        <v>0</v>
      </c>
      <c r="BR493" s="1" t="str">
        <f t="shared" si="129"/>
        <v/>
      </c>
      <c r="BS493" s="1">
        <f t="shared" si="130"/>
        <v>0</v>
      </c>
      <c r="BT493" s="4">
        <f t="shared" si="131"/>
        <v>0</v>
      </c>
      <c r="BU493" s="52">
        <f t="shared" si="132"/>
        <v>0</v>
      </c>
      <c r="BV493" s="1">
        <f t="shared" si="133"/>
        <v>0</v>
      </c>
      <c r="BW493">
        <f t="shared" si="134"/>
        <v>0</v>
      </c>
      <c r="BX493">
        <f t="shared" si="135"/>
        <v>0</v>
      </c>
    </row>
    <row r="494" spans="58:76" x14ac:dyDescent="0.25">
      <c r="BF494" s="1" t="e">
        <f>VLOOKUP(N494,'Incoming Material Report'!H:M,6,FALSE)</f>
        <v>#N/A</v>
      </c>
      <c r="BG494" s="1" t="e">
        <f>IF(VLOOKUP(N494,'Incoming Material Report'!H:N,7,FALSE)=0,"",VLOOKUP(N494,'Incoming Material Report'!H:N,7,FALSE))</f>
        <v>#N/A</v>
      </c>
      <c r="BH494" s="52">
        <f t="shared" si="119"/>
        <v>0</v>
      </c>
      <c r="BI494" s="1">
        <f t="shared" si="120"/>
        <v>0</v>
      </c>
      <c r="BJ494" s="1">
        <f t="shared" si="121"/>
        <v>0</v>
      </c>
      <c r="BK494" s="1">
        <f t="shared" si="122"/>
        <v>0</v>
      </c>
      <c r="BL494" s="1">
        <f t="shared" si="123"/>
        <v>0</v>
      </c>
      <c r="BM494" s="10" t="str">
        <f t="shared" si="124"/>
        <v/>
      </c>
      <c r="BN494" s="52">
        <f t="shared" si="125"/>
        <v>0</v>
      </c>
      <c r="BO494" s="52">
        <f t="shared" si="126"/>
        <v>0</v>
      </c>
      <c r="BP494" s="1">
        <f t="shared" si="127"/>
        <v>0</v>
      </c>
      <c r="BQ494" s="1">
        <f t="shared" si="128"/>
        <v>0</v>
      </c>
      <c r="BR494" s="1" t="str">
        <f t="shared" si="129"/>
        <v/>
      </c>
      <c r="BS494" s="1">
        <f t="shared" si="130"/>
        <v>0</v>
      </c>
      <c r="BT494" s="4">
        <f t="shared" si="131"/>
        <v>0</v>
      </c>
      <c r="BU494" s="52">
        <f t="shared" si="132"/>
        <v>0</v>
      </c>
      <c r="BV494" s="1">
        <f t="shared" si="133"/>
        <v>0</v>
      </c>
      <c r="BW494">
        <f t="shared" si="134"/>
        <v>0</v>
      </c>
      <c r="BX494">
        <f t="shared" si="135"/>
        <v>0</v>
      </c>
    </row>
    <row r="495" spans="58:76" x14ac:dyDescent="0.25">
      <c r="BF495" s="1" t="e">
        <f>VLOOKUP(N495,'Incoming Material Report'!H:M,6,FALSE)</f>
        <v>#N/A</v>
      </c>
      <c r="BG495" s="1" t="e">
        <f>IF(VLOOKUP(N495,'Incoming Material Report'!H:N,7,FALSE)=0,"",VLOOKUP(N495,'Incoming Material Report'!H:N,7,FALSE))</f>
        <v>#N/A</v>
      </c>
      <c r="BH495" s="52">
        <f t="shared" si="119"/>
        <v>0</v>
      </c>
      <c r="BI495" s="1">
        <f t="shared" si="120"/>
        <v>0</v>
      </c>
      <c r="BJ495" s="1">
        <f t="shared" si="121"/>
        <v>0</v>
      </c>
      <c r="BK495" s="1">
        <f t="shared" si="122"/>
        <v>0</v>
      </c>
      <c r="BL495" s="1">
        <f t="shared" si="123"/>
        <v>0</v>
      </c>
      <c r="BM495" s="10" t="str">
        <f t="shared" si="124"/>
        <v/>
      </c>
      <c r="BN495" s="52">
        <f t="shared" si="125"/>
        <v>0</v>
      </c>
      <c r="BO495" s="52">
        <f t="shared" si="126"/>
        <v>0</v>
      </c>
      <c r="BP495" s="1">
        <f t="shared" si="127"/>
        <v>0</v>
      </c>
      <c r="BQ495" s="1">
        <f t="shared" si="128"/>
        <v>0</v>
      </c>
      <c r="BR495" s="1" t="str">
        <f t="shared" si="129"/>
        <v/>
      </c>
      <c r="BS495" s="1">
        <f t="shared" si="130"/>
        <v>0</v>
      </c>
      <c r="BT495" s="4">
        <f t="shared" si="131"/>
        <v>0</v>
      </c>
      <c r="BU495" s="52">
        <f t="shared" si="132"/>
        <v>0</v>
      </c>
      <c r="BV495" s="1">
        <f t="shared" si="133"/>
        <v>0</v>
      </c>
      <c r="BW495">
        <f t="shared" si="134"/>
        <v>0</v>
      </c>
      <c r="BX495">
        <f t="shared" si="135"/>
        <v>0</v>
      </c>
    </row>
    <row r="496" spans="58:76" x14ac:dyDescent="0.25">
      <c r="BF496" s="1" t="e">
        <f>VLOOKUP(N496,'Incoming Material Report'!H:M,6,FALSE)</f>
        <v>#N/A</v>
      </c>
      <c r="BG496" s="1" t="e">
        <f>IF(VLOOKUP(N496,'Incoming Material Report'!H:N,7,FALSE)=0,"",VLOOKUP(N496,'Incoming Material Report'!H:N,7,FALSE))</f>
        <v>#N/A</v>
      </c>
      <c r="BH496" s="52">
        <f t="shared" si="119"/>
        <v>0</v>
      </c>
      <c r="BI496" s="1">
        <f t="shared" si="120"/>
        <v>0</v>
      </c>
      <c r="BJ496" s="1">
        <f t="shared" si="121"/>
        <v>0</v>
      </c>
      <c r="BK496" s="1">
        <f t="shared" si="122"/>
        <v>0</v>
      </c>
      <c r="BL496" s="1">
        <f t="shared" si="123"/>
        <v>0</v>
      </c>
      <c r="BM496" s="10" t="str">
        <f t="shared" si="124"/>
        <v/>
      </c>
      <c r="BN496" s="52">
        <f t="shared" si="125"/>
        <v>0</v>
      </c>
      <c r="BO496" s="52">
        <f t="shared" si="126"/>
        <v>0</v>
      </c>
      <c r="BP496" s="1">
        <f t="shared" si="127"/>
        <v>0</v>
      </c>
      <c r="BQ496" s="1">
        <f t="shared" si="128"/>
        <v>0</v>
      </c>
      <c r="BR496" s="1" t="str">
        <f t="shared" si="129"/>
        <v/>
      </c>
      <c r="BS496" s="1">
        <f t="shared" si="130"/>
        <v>0</v>
      </c>
      <c r="BT496" s="4">
        <f t="shared" si="131"/>
        <v>0</v>
      </c>
      <c r="BU496" s="52">
        <f t="shared" si="132"/>
        <v>0</v>
      </c>
      <c r="BV496" s="1">
        <f t="shared" si="133"/>
        <v>0</v>
      </c>
      <c r="BW496">
        <f t="shared" si="134"/>
        <v>0</v>
      </c>
      <c r="BX496">
        <f t="shared" si="135"/>
        <v>0</v>
      </c>
    </row>
    <row r="497" spans="58:76" x14ac:dyDescent="0.25">
      <c r="BF497" s="1" t="e">
        <f>VLOOKUP(N497,'Incoming Material Report'!H:M,6,FALSE)</f>
        <v>#N/A</v>
      </c>
      <c r="BG497" s="1" t="e">
        <f>IF(VLOOKUP(N497,'Incoming Material Report'!H:N,7,FALSE)=0,"",VLOOKUP(N497,'Incoming Material Report'!H:N,7,FALSE))</f>
        <v>#N/A</v>
      </c>
      <c r="BH497" s="52">
        <f t="shared" si="119"/>
        <v>0</v>
      </c>
      <c r="BI497" s="1">
        <f t="shared" si="120"/>
        <v>0</v>
      </c>
      <c r="BJ497" s="1">
        <f t="shared" si="121"/>
        <v>0</v>
      </c>
      <c r="BK497" s="1">
        <f t="shared" si="122"/>
        <v>0</v>
      </c>
      <c r="BL497" s="1">
        <f t="shared" si="123"/>
        <v>0</v>
      </c>
      <c r="BM497" s="10" t="str">
        <f t="shared" si="124"/>
        <v/>
      </c>
      <c r="BN497" s="52">
        <f t="shared" si="125"/>
        <v>0</v>
      </c>
      <c r="BO497" s="52">
        <f t="shared" si="126"/>
        <v>0</v>
      </c>
      <c r="BP497" s="1">
        <f t="shared" si="127"/>
        <v>0</v>
      </c>
      <c r="BQ497" s="1">
        <f t="shared" si="128"/>
        <v>0</v>
      </c>
      <c r="BR497" s="1" t="str">
        <f t="shared" si="129"/>
        <v/>
      </c>
      <c r="BS497" s="1">
        <f t="shared" si="130"/>
        <v>0</v>
      </c>
      <c r="BT497" s="4">
        <f t="shared" si="131"/>
        <v>0</v>
      </c>
      <c r="BU497" s="52">
        <f t="shared" si="132"/>
        <v>0</v>
      </c>
      <c r="BV497" s="1">
        <f t="shared" si="133"/>
        <v>0</v>
      </c>
      <c r="BW497">
        <f t="shared" si="134"/>
        <v>0</v>
      </c>
      <c r="BX497">
        <f t="shared" si="135"/>
        <v>0</v>
      </c>
    </row>
    <row r="498" spans="58:76" x14ac:dyDescent="0.25">
      <c r="BF498" s="1" t="e">
        <f>VLOOKUP(N498,'Incoming Material Report'!H:M,6,FALSE)</f>
        <v>#N/A</v>
      </c>
      <c r="BG498" s="1" t="e">
        <f>IF(VLOOKUP(N498,'Incoming Material Report'!H:N,7,FALSE)=0,"",VLOOKUP(N498,'Incoming Material Report'!H:N,7,FALSE))</f>
        <v>#N/A</v>
      </c>
      <c r="BH498" s="52">
        <f t="shared" si="119"/>
        <v>0</v>
      </c>
      <c r="BI498" s="1">
        <f t="shared" si="120"/>
        <v>0</v>
      </c>
      <c r="BJ498" s="1">
        <f t="shared" si="121"/>
        <v>0</v>
      </c>
      <c r="BK498" s="1">
        <f t="shared" si="122"/>
        <v>0</v>
      </c>
      <c r="BL498" s="1">
        <f t="shared" si="123"/>
        <v>0</v>
      </c>
      <c r="BM498" s="10" t="str">
        <f t="shared" si="124"/>
        <v/>
      </c>
      <c r="BN498" s="52">
        <f t="shared" si="125"/>
        <v>0</v>
      </c>
      <c r="BO498" s="52">
        <f t="shared" si="126"/>
        <v>0</v>
      </c>
      <c r="BP498" s="1">
        <f t="shared" si="127"/>
        <v>0</v>
      </c>
      <c r="BQ498" s="1">
        <f t="shared" si="128"/>
        <v>0</v>
      </c>
      <c r="BR498" s="1" t="str">
        <f t="shared" si="129"/>
        <v/>
      </c>
      <c r="BS498" s="1">
        <f t="shared" si="130"/>
        <v>0</v>
      </c>
      <c r="BT498" s="4">
        <f t="shared" si="131"/>
        <v>0</v>
      </c>
      <c r="BU498" s="52">
        <f t="shared" si="132"/>
        <v>0</v>
      </c>
      <c r="BV498" s="1">
        <f t="shared" si="133"/>
        <v>0</v>
      </c>
      <c r="BW498">
        <f t="shared" si="134"/>
        <v>0</v>
      </c>
      <c r="BX498">
        <f t="shared" si="135"/>
        <v>0</v>
      </c>
    </row>
    <row r="499" spans="58:76" x14ac:dyDescent="0.25">
      <c r="BF499" s="1" t="e">
        <f>VLOOKUP(N499,'Incoming Material Report'!H:M,6,FALSE)</f>
        <v>#N/A</v>
      </c>
      <c r="BG499" s="1" t="e">
        <f>IF(VLOOKUP(N499,'Incoming Material Report'!H:N,7,FALSE)=0,"",VLOOKUP(N499,'Incoming Material Report'!H:N,7,FALSE))</f>
        <v>#N/A</v>
      </c>
      <c r="BH499" s="52">
        <f t="shared" si="119"/>
        <v>0</v>
      </c>
      <c r="BI499" s="1">
        <f t="shared" si="120"/>
        <v>0</v>
      </c>
      <c r="BJ499" s="1">
        <f t="shared" si="121"/>
        <v>0</v>
      </c>
      <c r="BK499" s="1">
        <f t="shared" si="122"/>
        <v>0</v>
      </c>
      <c r="BL499" s="1">
        <f t="shared" si="123"/>
        <v>0</v>
      </c>
      <c r="BM499" s="10" t="str">
        <f t="shared" si="124"/>
        <v/>
      </c>
      <c r="BN499" s="52">
        <f t="shared" si="125"/>
        <v>0</v>
      </c>
      <c r="BO499" s="52">
        <f t="shared" si="126"/>
        <v>0</v>
      </c>
      <c r="BP499" s="1">
        <f t="shared" si="127"/>
        <v>0</v>
      </c>
      <c r="BQ499" s="1">
        <f t="shared" si="128"/>
        <v>0</v>
      </c>
      <c r="BR499" s="1" t="str">
        <f t="shared" si="129"/>
        <v/>
      </c>
      <c r="BS499" s="1">
        <f t="shared" si="130"/>
        <v>0</v>
      </c>
      <c r="BT499" s="4">
        <f t="shared" si="131"/>
        <v>0</v>
      </c>
      <c r="BU499" s="52">
        <f t="shared" si="132"/>
        <v>0</v>
      </c>
      <c r="BV499" s="1">
        <f t="shared" si="133"/>
        <v>0</v>
      </c>
      <c r="BW499">
        <f t="shared" si="134"/>
        <v>0</v>
      </c>
      <c r="BX499">
        <f t="shared" si="135"/>
        <v>0</v>
      </c>
    </row>
    <row r="500" spans="58:76" x14ac:dyDescent="0.25">
      <c r="BF500" s="1" t="e">
        <f>VLOOKUP(N500,'Incoming Material Report'!H:M,6,FALSE)</f>
        <v>#N/A</v>
      </c>
      <c r="BG500" s="1" t="e">
        <f>IF(VLOOKUP(N500,'Incoming Material Report'!H:N,7,FALSE)=0,"",VLOOKUP(N500,'Incoming Material Report'!H:N,7,FALSE))</f>
        <v>#N/A</v>
      </c>
      <c r="BH500" s="52">
        <f t="shared" si="119"/>
        <v>0</v>
      </c>
      <c r="BI500" s="1">
        <f t="shared" si="120"/>
        <v>0</v>
      </c>
      <c r="BJ500" s="1">
        <f t="shared" si="121"/>
        <v>0</v>
      </c>
      <c r="BK500" s="1">
        <f t="shared" si="122"/>
        <v>0</v>
      </c>
      <c r="BL500" s="1">
        <f t="shared" si="123"/>
        <v>0</v>
      </c>
      <c r="BM500" s="10" t="str">
        <f t="shared" si="124"/>
        <v/>
      </c>
      <c r="BN500" s="52">
        <f t="shared" si="125"/>
        <v>0</v>
      </c>
      <c r="BO500" s="52">
        <f t="shared" si="126"/>
        <v>0</v>
      </c>
      <c r="BP500" s="1">
        <f t="shared" si="127"/>
        <v>0</v>
      </c>
      <c r="BQ500" s="1">
        <f t="shared" si="128"/>
        <v>0</v>
      </c>
      <c r="BR500" s="1" t="str">
        <f t="shared" si="129"/>
        <v/>
      </c>
      <c r="BS500" s="1">
        <f t="shared" si="130"/>
        <v>0</v>
      </c>
      <c r="BT500" s="4">
        <f t="shared" si="131"/>
        <v>0</v>
      </c>
      <c r="BU500" s="52">
        <f t="shared" si="132"/>
        <v>0</v>
      </c>
      <c r="BV500" s="1">
        <f t="shared" si="133"/>
        <v>0</v>
      </c>
      <c r="BW500">
        <f t="shared" si="134"/>
        <v>0</v>
      </c>
      <c r="BX500">
        <f t="shared" si="135"/>
        <v>0</v>
      </c>
    </row>
    <row r="501" spans="58:76" x14ac:dyDescent="0.25">
      <c r="BF501" s="1" t="e">
        <f>VLOOKUP(N501,'Incoming Material Report'!H:M,6,FALSE)</f>
        <v>#N/A</v>
      </c>
      <c r="BG501" s="1" t="e">
        <f>IF(VLOOKUP(N501,'Incoming Material Report'!H:N,7,FALSE)=0,"",VLOOKUP(N501,'Incoming Material Report'!H:N,7,FALSE))</f>
        <v>#N/A</v>
      </c>
      <c r="BH501" s="52">
        <f t="shared" si="119"/>
        <v>0</v>
      </c>
      <c r="BI501" s="1">
        <f t="shared" si="120"/>
        <v>0</v>
      </c>
      <c r="BJ501" s="1">
        <f t="shared" si="121"/>
        <v>0</v>
      </c>
      <c r="BK501" s="1">
        <f t="shared" si="122"/>
        <v>0</v>
      </c>
      <c r="BL501" s="1">
        <f t="shared" si="123"/>
        <v>0</v>
      </c>
      <c r="BM501" s="10" t="str">
        <f t="shared" si="124"/>
        <v/>
      </c>
      <c r="BN501" s="52">
        <f t="shared" si="125"/>
        <v>0</v>
      </c>
      <c r="BO501" s="52">
        <f t="shared" si="126"/>
        <v>0</v>
      </c>
      <c r="BP501" s="1">
        <f t="shared" si="127"/>
        <v>0</v>
      </c>
      <c r="BQ501" s="1">
        <f t="shared" si="128"/>
        <v>0</v>
      </c>
      <c r="BR501" s="1" t="str">
        <f t="shared" si="129"/>
        <v/>
      </c>
      <c r="BS501" s="1">
        <f t="shared" si="130"/>
        <v>0</v>
      </c>
      <c r="BT501" s="4">
        <f t="shared" si="131"/>
        <v>0</v>
      </c>
      <c r="BU501" s="52">
        <f t="shared" si="132"/>
        <v>0</v>
      </c>
      <c r="BV501" s="1">
        <f t="shared" si="133"/>
        <v>0</v>
      </c>
      <c r="BW501">
        <f t="shared" si="134"/>
        <v>0</v>
      </c>
      <c r="BX501">
        <f t="shared" si="135"/>
        <v>0</v>
      </c>
    </row>
    <row r="502" spans="58:76" x14ac:dyDescent="0.25">
      <c r="BF502" s="1" t="e">
        <f>VLOOKUP(N502,'Incoming Material Report'!H:M,6,FALSE)</f>
        <v>#N/A</v>
      </c>
      <c r="BG502" s="1" t="e">
        <f>IF(VLOOKUP(N502,'Incoming Material Report'!H:N,7,FALSE)=0,"",VLOOKUP(N502,'Incoming Material Report'!H:N,7,FALSE))</f>
        <v>#N/A</v>
      </c>
      <c r="BH502" s="52">
        <f t="shared" si="119"/>
        <v>0</v>
      </c>
      <c r="BI502" s="1">
        <f t="shared" si="120"/>
        <v>0</v>
      </c>
      <c r="BJ502" s="1">
        <f t="shared" si="121"/>
        <v>0</v>
      </c>
      <c r="BK502" s="1">
        <f t="shared" si="122"/>
        <v>0</v>
      </c>
      <c r="BL502" s="1">
        <f t="shared" si="123"/>
        <v>0</v>
      </c>
      <c r="BM502" s="10" t="str">
        <f t="shared" si="124"/>
        <v/>
      </c>
      <c r="BN502" s="52">
        <f t="shared" si="125"/>
        <v>0</v>
      </c>
      <c r="BO502" s="52">
        <f t="shared" si="126"/>
        <v>0</v>
      </c>
      <c r="BP502" s="1">
        <f t="shared" si="127"/>
        <v>0</v>
      </c>
      <c r="BQ502" s="1">
        <f t="shared" si="128"/>
        <v>0</v>
      </c>
      <c r="BR502" s="1" t="str">
        <f t="shared" si="129"/>
        <v/>
      </c>
      <c r="BS502" s="1">
        <f t="shared" si="130"/>
        <v>0</v>
      </c>
      <c r="BT502" s="4">
        <f t="shared" si="131"/>
        <v>0</v>
      </c>
      <c r="BU502" s="52">
        <f t="shared" si="132"/>
        <v>0</v>
      </c>
      <c r="BV502" s="1">
        <f t="shared" si="133"/>
        <v>0</v>
      </c>
      <c r="BW502">
        <f t="shared" si="134"/>
        <v>0</v>
      </c>
      <c r="BX502">
        <f t="shared" si="135"/>
        <v>0</v>
      </c>
    </row>
    <row r="503" spans="58:76" x14ac:dyDescent="0.25">
      <c r="BF503" s="1" t="e">
        <f>VLOOKUP(N503,'Incoming Material Report'!H:M,6,FALSE)</f>
        <v>#N/A</v>
      </c>
      <c r="BG503" s="1" t="e">
        <f>IF(VLOOKUP(N503,'Incoming Material Report'!H:N,7,FALSE)=0,"",VLOOKUP(N503,'Incoming Material Report'!H:N,7,FALSE))</f>
        <v>#N/A</v>
      </c>
      <c r="BH503" s="52">
        <f t="shared" si="119"/>
        <v>0</v>
      </c>
      <c r="BI503" s="1">
        <f t="shared" si="120"/>
        <v>0</v>
      </c>
      <c r="BJ503" s="1">
        <f t="shared" si="121"/>
        <v>0</v>
      </c>
      <c r="BK503" s="1">
        <f t="shared" si="122"/>
        <v>0</v>
      </c>
      <c r="BL503" s="1">
        <f t="shared" si="123"/>
        <v>0</v>
      </c>
      <c r="BM503" s="10" t="str">
        <f t="shared" si="124"/>
        <v/>
      </c>
      <c r="BN503" s="52">
        <f t="shared" si="125"/>
        <v>0</v>
      </c>
      <c r="BO503" s="52">
        <f t="shared" si="126"/>
        <v>0</v>
      </c>
      <c r="BP503" s="1">
        <f t="shared" si="127"/>
        <v>0</v>
      </c>
      <c r="BQ503" s="1">
        <f t="shared" si="128"/>
        <v>0</v>
      </c>
      <c r="BR503" s="1" t="str">
        <f t="shared" si="129"/>
        <v/>
      </c>
      <c r="BS503" s="1">
        <f t="shared" si="130"/>
        <v>0</v>
      </c>
      <c r="BT503" s="4">
        <f t="shared" si="131"/>
        <v>0</v>
      </c>
      <c r="BU503" s="52">
        <f t="shared" si="132"/>
        <v>0</v>
      </c>
      <c r="BV503" s="1">
        <f t="shared" si="133"/>
        <v>0</v>
      </c>
      <c r="BW503">
        <f t="shared" si="134"/>
        <v>0</v>
      </c>
      <c r="BX503">
        <f t="shared" si="135"/>
        <v>0</v>
      </c>
    </row>
    <row r="504" spans="58:76" x14ac:dyDescent="0.25">
      <c r="BF504" s="1" t="e">
        <f>VLOOKUP(N504,'Incoming Material Report'!H:M,6,FALSE)</f>
        <v>#N/A</v>
      </c>
      <c r="BG504" s="1" t="e">
        <f>IF(VLOOKUP(N504,'Incoming Material Report'!H:N,7,FALSE)=0,"",VLOOKUP(N504,'Incoming Material Report'!H:N,7,FALSE))</f>
        <v>#N/A</v>
      </c>
      <c r="BH504" s="52">
        <f t="shared" si="119"/>
        <v>0</v>
      </c>
      <c r="BI504" s="1">
        <f t="shared" si="120"/>
        <v>0</v>
      </c>
      <c r="BJ504" s="1">
        <f t="shared" si="121"/>
        <v>0</v>
      </c>
      <c r="BK504" s="1">
        <f t="shared" si="122"/>
        <v>0</v>
      </c>
      <c r="BL504" s="1">
        <f t="shared" si="123"/>
        <v>0</v>
      </c>
      <c r="BM504" s="10" t="str">
        <f t="shared" si="124"/>
        <v/>
      </c>
      <c r="BN504" s="52">
        <f t="shared" si="125"/>
        <v>0</v>
      </c>
      <c r="BO504" s="52">
        <f t="shared" si="126"/>
        <v>0</v>
      </c>
      <c r="BP504" s="1">
        <f t="shared" si="127"/>
        <v>0</v>
      </c>
      <c r="BQ504" s="1">
        <f t="shared" si="128"/>
        <v>0</v>
      </c>
      <c r="BR504" s="1" t="str">
        <f t="shared" si="129"/>
        <v/>
      </c>
      <c r="BS504" s="1">
        <f t="shared" si="130"/>
        <v>0</v>
      </c>
      <c r="BT504" s="4">
        <f t="shared" si="131"/>
        <v>0</v>
      </c>
      <c r="BU504" s="52">
        <f t="shared" si="132"/>
        <v>0</v>
      </c>
      <c r="BV504" s="1">
        <f t="shared" si="133"/>
        <v>0</v>
      </c>
      <c r="BW504">
        <f t="shared" si="134"/>
        <v>0</v>
      </c>
      <c r="BX504">
        <f t="shared" si="135"/>
        <v>0</v>
      </c>
    </row>
    <row r="505" spans="58:76" x14ac:dyDescent="0.25">
      <c r="BF505" s="1" t="e">
        <f>VLOOKUP(N505,'Incoming Material Report'!H:M,6,FALSE)</f>
        <v>#N/A</v>
      </c>
      <c r="BG505" s="1" t="e">
        <f>IF(VLOOKUP(N505,'Incoming Material Report'!H:N,7,FALSE)=0,"",VLOOKUP(N505,'Incoming Material Report'!H:N,7,FALSE))</f>
        <v>#N/A</v>
      </c>
      <c r="BH505" s="52">
        <f t="shared" si="119"/>
        <v>0</v>
      </c>
      <c r="BI505" s="1">
        <f t="shared" si="120"/>
        <v>0</v>
      </c>
      <c r="BJ505" s="1">
        <f t="shared" si="121"/>
        <v>0</v>
      </c>
      <c r="BK505" s="1">
        <f t="shared" si="122"/>
        <v>0</v>
      </c>
      <c r="BL505" s="1">
        <f t="shared" si="123"/>
        <v>0</v>
      </c>
      <c r="BM505" s="10" t="str">
        <f t="shared" si="124"/>
        <v/>
      </c>
      <c r="BN505" s="52">
        <f t="shared" si="125"/>
        <v>0</v>
      </c>
      <c r="BO505" s="52">
        <f t="shared" si="126"/>
        <v>0</v>
      </c>
      <c r="BP505" s="1">
        <f t="shared" si="127"/>
        <v>0</v>
      </c>
      <c r="BQ505" s="1">
        <f t="shared" si="128"/>
        <v>0</v>
      </c>
      <c r="BR505" s="1" t="str">
        <f t="shared" si="129"/>
        <v/>
      </c>
      <c r="BS505" s="1">
        <f t="shared" si="130"/>
        <v>0</v>
      </c>
      <c r="BT505" s="4">
        <f t="shared" si="131"/>
        <v>0</v>
      </c>
      <c r="BU505" s="52">
        <f t="shared" si="132"/>
        <v>0</v>
      </c>
      <c r="BV505" s="1">
        <f t="shared" si="133"/>
        <v>0</v>
      </c>
      <c r="BW505">
        <f t="shared" si="134"/>
        <v>0</v>
      </c>
      <c r="BX505">
        <f t="shared" si="135"/>
        <v>0</v>
      </c>
    </row>
    <row r="506" spans="58:76" x14ac:dyDescent="0.25">
      <c r="BF506" s="1" t="e">
        <f>VLOOKUP(N506,'Incoming Material Report'!H:M,6,FALSE)</f>
        <v>#N/A</v>
      </c>
      <c r="BG506" s="1" t="e">
        <f>IF(VLOOKUP(N506,'Incoming Material Report'!H:N,7,FALSE)=0,"",VLOOKUP(N506,'Incoming Material Report'!H:N,7,FALSE))</f>
        <v>#N/A</v>
      </c>
      <c r="BH506" s="52">
        <f t="shared" ref="BH506:BH569" si="136">VALUE(T506)</f>
        <v>0</v>
      </c>
      <c r="BI506" s="1">
        <f t="shared" ref="BI506:BI569" si="137">VALUE(U506)</f>
        <v>0</v>
      </c>
      <c r="BJ506" s="1">
        <f t="shared" ref="BJ506:BJ569" si="138">IFERROR(_xlfn.NUMBERVALUE(V506),V506)</f>
        <v>0</v>
      </c>
      <c r="BK506" s="1">
        <f t="shared" ref="BK506:BK569" si="139">IFERROR(INT(I506),I506)</f>
        <v>0</v>
      </c>
      <c r="BL506" s="1">
        <f t="shared" ref="BL506:BL569" si="140">L506</f>
        <v>0</v>
      </c>
      <c r="BM506" s="10" t="str">
        <f t="shared" ref="BM506:BM569" si="141">SUBSTITUTE(J506,"/",".")</f>
        <v/>
      </c>
      <c r="BN506" s="52">
        <f t="shared" ref="BN506:BN569" si="142">VALUE(Q506)*1000</f>
        <v>0</v>
      </c>
      <c r="BO506" s="52">
        <f t="shared" ref="BO506:BO569" si="143">VALUE(P506)/1000</f>
        <v>0</v>
      </c>
      <c r="BP506" s="1">
        <f t="shared" ref="BP506:BP569" si="144">VALUE(D506)</f>
        <v>0</v>
      </c>
      <c r="BQ506" s="1">
        <f t="shared" ref="BQ506:BQ569" si="145">G506</f>
        <v>0</v>
      </c>
      <c r="BR506" s="1" t="str">
        <f t="shared" ref="BR506:BR569" si="146">SUBSTITUTE(O506,".","")</f>
        <v/>
      </c>
      <c r="BS506" s="1">
        <f t="shared" ref="BS506:BS569" si="147">S506</f>
        <v>0</v>
      </c>
      <c r="BT506" s="4">
        <f t="shared" ref="BT506:BT569" si="148">VALUE(AJ506)</f>
        <v>0</v>
      </c>
      <c r="BU506" s="52">
        <f t="shared" ref="BU506:BU569" si="149">K506</f>
        <v>0</v>
      </c>
      <c r="BV506" s="1">
        <f t="shared" ref="BV506:BV569" si="150">AQ506</f>
        <v>0</v>
      </c>
      <c r="BW506">
        <f t="shared" ref="BW506:BW569" si="151">X506</f>
        <v>0</v>
      </c>
      <c r="BX506">
        <f t="shared" ref="BX506:BX569" si="152">AN506</f>
        <v>0</v>
      </c>
    </row>
    <row r="507" spans="58:76" x14ac:dyDescent="0.25">
      <c r="BF507" s="1" t="e">
        <f>VLOOKUP(N507,'Incoming Material Report'!H:M,6,FALSE)</f>
        <v>#N/A</v>
      </c>
      <c r="BG507" s="1" t="e">
        <f>IF(VLOOKUP(N507,'Incoming Material Report'!H:N,7,FALSE)=0,"",VLOOKUP(N507,'Incoming Material Report'!H:N,7,FALSE))</f>
        <v>#N/A</v>
      </c>
      <c r="BH507" s="52">
        <f t="shared" si="136"/>
        <v>0</v>
      </c>
      <c r="BI507" s="1">
        <f t="shared" si="137"/>
        <v>0</v>
      </c>
      <c r="BJ507" s="1">
        <f t="shared" si="138"/>
        <v>0</v>
      </c>
      <c r="BK507" s="1">
        <f t="shared" si="139"/>
        <v>0</v>
      </c>
      <c r="BL507" s="1">
        <f t="shared" si="140"/>
        <v>0</v>
      </c>
      <c r="BM507" s="10" t="str">
        <f t="shared" si="141"/>
        <v/>
      </c>
      <c r="BN507" s="52">
        <f t="shared" si="142"/>
        <v>0</v>
      </c>
      <c r="BO507" s="52">
        <f t="shared" si="143"/>
        <v>0</v>
      </c>
      <c r="BP507" s="1">
        <f t="shared" si="144"/>
        <v>0</v>
      </c>
      <c r="BQ507" s="1">
        <f t="shared" si="145"/>
        <v>0</v>
      </c>
      <c r="BR507" s="1" t="str">
        <f t="shared" si="146"/>
        <v/>
      </c>
      <c r="BS507" s="1">
        <f t="shared" si="147"/>
        <v>0</v>
      </c>
      <c r="BT507" s="4">
        <f t="shared" si="148"/>
        <v>0</v>
      </c>
      <c r="BU507" s="52">
        <f t="shared" si="149"/>
        <v>0</v>
      </c>
      <c r="BV507" s="1">
        <f t="shared" si="150"/>
        <v>0</v>
      </c>
      <c r="BW507">
        <f t="shared" si="151"/>
        <v>0</v>
      </c>
      <c r="BX507">
        <f t="shared" si="152"/>
        <v>0</v>
      </c>
    </row>
    <row r="508" spans="58:76" x14ac:dyDescent="0.25">
      <c r="BF508" s="1" t="e">
        <f>VLOOKUP(N508,'Incoming Material Report'!H:M,6,FALSE)</f>
        <v>#N/A</v>
      </c>
      <c r="BG508" s="1" t="e">
        <f>IF(VLOOKUP(N508,'Incoming Material Report'!H:N,7,FALSE)=0,"",VLOOKUP(N508,'Incoming Material Report'!H:N,7,FALSE))</f>
        <v>#N/A</v>
      </c>
      <c r="BH508" s="52">
        <f t="shared" si="136"/>
        <v>0</v>
      </c>
      <c r="BI508" s="1">
        <f t="shared" si="137"/>
        <v>0</v>
      </c>
      <c r="BJ508" s="1">
        <f t="shared" si="138"/>
        <v>0</v>
      </c>
      <c r="BK508" s="1">
        <f t="shared" si="139"/>
        <v>0</v>
      </c>
      <c r="BL508" s="1">
        <f t="shared" si="140"/>
        <v>0</v>
      </c>
      <c r="BM508" s="10" t="str">
        <f t="shared" si="141"/>
        <v/>
      </c>
      <c r="BN508" s="52">
        <f t="shared" si="142"/>
        <v>0</v>
      </c>
      <c r="BO508" s="52">
        <f t="shared" si="143"/>
        <v>0</v>
      </c>
      <c r="BP508" s="1">
        <f t="shared" si="144"/>
        <v>0</v>
      </c>
      <c r="BQ508" s="1">
        <f t="shared" si="145"/>
        <v>0</v>
      </c>
      <c r="BR508" s="1" t="str">
        <f t="shared" si="146"/>
        <v/>
      </c>
      <c r="BS508" s="1">
        <f t="shared" si="147"/>
        <v>0</v>
      </c>
      <c r="BT508" s="4">
        <f t="shared" si="148"/>
        <v>0</v>
      </c>
      <c r="BU508" s="52">
        <f t="shared" si="149"/>
        <v>0</v>
      </c>
      <c r="BV508" s="1">
        <f t="shared" si="150"/>
        <v>0</v>
      </c>
      <c r="BW508">
        <f t="shared" si="151"/>
        <v>0</v>
      </c>
      <c r="BX508">
        <f t="shared" si="152"/>
        <v>0</v>
      </c>
    </row>
    <row r="509" spans="58:76" x14ac:dyDescent="0.25">
      <c r="BF509" s="1" t="e">
        <f>VLOOKUP(N509,'Incoming Material Report'!H:M,6,FALSE)</f>
        <v>#N/A</v>
      </c>
      <c r="BG509" s="1" t="e">
        <f>IF(VLOOKUP(N509,'Incoming Material Report'!H:N,7,FALSE)=0,"",VLOOKUP(N509,'Incoming Material Report'!H:N,7,FALSE))</f>
        <v>#N/A</v>
      </c>
      <c r="BH509" s="52">
        <f t="shared" si="136"/>
        <v>0</v>
      </c>
      <c r="BI509" s="1">
        <f t="shared" si="137"/>
        <v>0</v>
      </c>
      <c r="BJ509" s="1">
        <f t="shared" si="138"/>
        <v>0</v>
      </c>
      <c r="BK509" s="1">
        <f t="shared" si="139"/>
        <v>0</v>
      </c>
      <c r="BL509" s="1">
        <f t="shared" si="140"/>
        <v>0</v>
      </c>
      <c r="BM509" s="10" t="str">
        <f t="shared" si="141"/>
        <v/>
      </c>
      <c r="BN509" s="52">
        <f t="shared" si="142"/>
        <v>0</v>
      </c>
      <c r="BO509" s="52">
        <f t="shared" si="143"/>
        <v>0</v>
      </c>
      <c r="BP509" s="1">
        <f t="shared" si="144"/>
        <v>0</v>
      </c>
      <c r="BQ509" s="1">
        <f t="shared" si="145"/>
        <v>0</v>
      </c>
      <c r="BR509" s="1" t="str">
        <f t="shared" si="146"/>
        <v/>
      </c>
      <c r="BS509" s="1">
        <f t="shared" si="147"/>
        <v>0</v>
      </c>
      <c r="BT509" s="4">
        <f t="shared" si="148"/>
        <v>0</v>
      </c>
      <c r="BU509" s="52">
        <f t="shared" si="149"/>
        <v>0</v>
      </c>
      <c r="BV509" s="1">
        <f t="shared" si="150"/>
        <v>0</v>
      </c>
      <c r="BW509">
        <f t="shared" si="151"/>
        <v>0</v>
      </c>
      <c r="BX509">
        <f t="shared" si="152"/>
        <v>0</v>
      </c>
    </row>
    <row r="510" spans="58:76" x14ac:dyDescent="0.25">
      <c r="BF510" s="1" t="e">
        <f>VLOOKUP(N510,'Incoming Material Report'!H:M,6,FALSE)</f>
        <v>#N/A</v>
      </c>
      <c r="BG510" s="1" t="e">
        <f>IF(VLOOKUP(N510,'Incoming Material Report'!H:N,7,FALSE)=0,"",VLOOKUP(N510,'Incoming Material Report'!H:N,7,FALSE))</f>
        <v>#N/A</v>
      </c>
      <c r="BH510" s="52">
        <f t="shared" si="136"/>
        <v>0</v>
      </c>
      <c r="BI510" s="1">
        <f t="shared" si="137"/>
        <v>0</v>
      </c>
      <c r="BJ510" s="1">
        <f t="shared" si="138"/>
        <v>0</v>
      </c>
      <c r="BK510" s="1">
        <f t="shared" si="139"/>
        <v>0</v>
      </c>
      <c r="BL510" s="1">
        <f t="shared" si="140"/>
        <v>0</v>
      </c>
      <c r="BM510" s="10" t="str">
        <f t="shared" si="141"/>
        <v/>
      </c>
      <c r="BN510" s="52">
        <f t="shared" si="142"/>
        <v>0</v>
      </c>
      <c r="BO510" s="52">
        <f t="shared" si="143"/>
        <v>0</v>
      </c>
      <c r="BP510" s="1">
        <f t="shared" si="144"/>
        <v>0</v>
      </c>
      <c r="BQ510" s="1">
        <f t="shared" si="145"/>
        <v>0</v>
      </c>
      <c r="BR510" s="1" t="str">
        <f t="shared" si="146"/>
        <v/>
      </c>
      <c r="BS510" s="1">
        <f t="shared" si="147"/>
        <v>0</v>
      </c>
      <c r="BT510" s="4">
        <f t="shared" si="148"/>
        <v>0</v>
      </c>
      <c r="BU510" s="52">
        <f t="shared" si="149"/>
        <v>0</v>
      </c>
      <c r="BV510" s="1">
        <f t="shared" si="150"/>
        <v>0</v>
      </c>
      <c r="BW510">
        <f t="shared" si="151"/>
        <v>0</v>
      </c>
      <c r="BX510">
        <f t="shared" si="152"/>
        <v>0</v>
      </c>
    </row>
    <row r="511" spans="58:76" x14ac:dyDescent="0.25">
      <c r="BF511" s="1" t="e">
        <f>VLOOKUP(N511,'Incoming Material Report'!H:M,6,FALSE)</f>
        <v>#N/A</v>
      </c>
      <c r="BG511" s="1" t="e">
        <f>IF(VLOOKUP(N511,'Incoming Material Report'!H:N,7,FALSE)=0,"",VLOOKUP(N511,'Incoming Material Report'!H:N,7,FALSE))</f>
        <v>#N/A</v>
      </c>
      <c r="BH511" s="52">
        <f t="shared" si="136"/>
        <v>0</v>
      </c>
      <c r="BI511" s="1">
        <f t="shared" si="137"/>
        <v>0</v>
      </c>
      <c r="BJ511" s="1">
        <f t="shared" si="138"/>
        <v>0</v>
      </c>
      <c r="BK511" s="1">
        <f t="shared" si="139"/>
        <v>0</v>
      </c>
      <c r="BL511" s="1">
        <f t="shared" si="140"/>
        <v>0</v>
      </c>
      <c r="BM511" s="10" t="str">
        <f t="shared" si="141"/>
        <v/>
      </c>
      <c r="BN511" s="52">
        <f t="shared" si="142"/>
        <v>0</v>
      </c>
      <c r="BO511" s="52">
        <f t="shared" si="143"/>
        <v>0</v>
      </c>
      <c r="BP511" s="1">
        <f t="shared" si="144"/>
        <v>0</v>
      </c>
      <c r="BQ511" s="1">
        <f t="shared" si="145"/>
        <v>0</v>
      </c>
      <c r="BR511" s="1" t="str">
        <f t="shared" si="146"/>
        <v/>
      </c>
      <c r="BS511" s="1">
        <f t="shared" si="147"/>
        <v>0</v>
      </c>
      <c r="BT511" s="4">
        <f t="shared" si="148"/>
        <v>0</v>
      </c>
      <c r="BU511" s="52">
        <f t="shared" si="149"/>
        <v>0</v>
      </c>
      <c r="BV511" s="1">
        <f t="shared" si="150"/>
        <v>0</v>
      </c>
      <c r="BW511">
        <f t="shared" si="151"/>
        <v>0</v>
      </c>
      <c r="BX511">
        <f t="shared" si="152"/>
        <v>0</v>
      </c>
    </row>
    <row r="512" spans="58:76" x14ac:dyDescent="0.25">
      <c r="BF512" s="1" t="e">
        <f>VLOOKUP(N512,'Incoming Material Report'!H:M,6,FALSE)</f>
        <v>#N/A</v>
      </c>
      <c r="BG512" s="1" t="e">
        <f>IF(VLOOKUP(N512,'Incoming Material Report'!H:N,7,FALSE)=0,"",VLOOKUP(N512,'Incoming Material Report'!H:N,7,FALSE))</f>
        <v>#N/A</v>
      </c>
      <c r="BH512" s="52">
        <f t="shared" si="136"/>
        <v>0</v>
      </c>
      <c r="BI512" s="1">
        <f t="shared" si="137"/>
        <v>0</v>
      </c>
      <c r="BJ512" s="1">
        <f t="shared" si="138"/>
        <v>0</v>
      </c>
      <c r="BK512" s="1">
        <f t="shared" si="139"/>
        <v>0</v>
      </c>
      <c r="BL512" s="1">
        <f t="shared" si="140"/>
        <v>0</v>
      </c>
      <c r="BM512" s="10" t="str">
        <f t="shared" si="141"/>
        <v/>
      </c>
      <c r="BN512" s="52">
        <f t="shared" si="142"/>
        <v>0</v>
      </c>
      <c r="BO512" s="52">
        <f t="shared" si="143"/>
        <v>0</v>
      </c>
      <c r="BP512" s="1">
        <f t="shared" si="144"/>
        <v>0</v>
      </c>
      <c r="BQ512" s="1">
        <f t="shared" si="145"/>
        <v>0</v>
      </c>
      <c r="BR512" s="1" t="str">
        <f t="shared" si="146"/>
        <v/>
      </c>
      <c r="BS512" s="1">
        <f t="shared" si="147"/>
        <v>0</v>
      </c>
      <c r="BT512" s="4">
        <f t="shared" si="148"/>
        <v>0</v>
      </c>
      <c r="BU512" s="52">
        <f t="shared" si="149"/>
        <v>0</v>
      </c>
      <c r="BV512" s="1">
        <f t="shared" si="150"/>
        <v>0</v>
      </c>
      <c r="BW512">
        <f t="shared" si="151"/>
        <v>0</v>
      </c>
      <c r="BX512">
        <f t="shared" si="152"/>
        <v>0</v>
      </c>
    </row>
    <row r="513" spans="58:76" x14ac:dyDescent="0.25">
      <c r="BF513" s="1" t="e">
        <f>VLOOKUP(N513,'Incoming Material Report'!H:M,6,FALSE)</f>
        <v>#N/A</v>
      </c>
      <c r="BG513" s="1" t="e">
        <f>IF(VLOOKUP(N513,'Incoming Material Report'!H:N,7,FALSE)=0,"",VLOOKUP(N513,'Incoming Material Report'!H:N,7,FALSE))</f>
        <v>#N/A</v>
      </c>
      <c r="BH513" s="52">
        <f t="shared" si="136"/>
        <v>0</v>
      </c>
      <c r="BI513" s="1">
        <f t="shared" si="137"/>
        <v>0</v>
      </c>
      <c r="BJ513" s="1">
        <f t="shared" si="138"/>
        <v>0</v>
      </c>
      <c r="BK513" s="1">
        <f t="shared" si="139"/>
        <v>0</v>
      </c>
      <c r="BL513" s="1">
        <f t="shared" si="140"/>
        <v>0</v>
      </c>
      <c r="BM513" s="10" t="str">
        <f t="shared" si="141"/>
        <v/>
      </c>
      <c r="BN513" s="52">
        <f t="shared" si="142"/>
        <v>0</v>
      </c>
      <c r="BO513" s="52">
        <f t="shared" si="143"/>
        <v>0</v>
      </c>
      <c r="BP513" s="1">
        <f t="shared" si="144"/>
        <v>0</v>
      </c>
      <c r="BQ513" s="1">
        <f t="shared" si="145"/>
        <v>0</v>
      </c>
      <c r="BR513" s="1" t="str">
        <f t="shared" si="146"/>
        <v/>
      </c>
      <c r="BS513" s="1">
        <f t="shared" si="147"/>
        <v>0</v>
      </c>
      <c r="BT513" s="4">
        <f t="shared" si="148"/>
        <v>0</v>
      </c>
      <c r="BU513" s="52">
        <f t="shared" si="149"/>
        <v>0</v>
      </c>
      <c r="BV513" s="1">
        <f t="shared" si="150"/>
        <v>0</v>
      </c>
      <c r="BW513">
        <f t="shared" si="151"/>
        <v>0</v>
      </c>
      <c r="BX513">
        <f t="shared" si="152"/>
        <v>0</v>
      </c>
    </row>
    <row r="514" spans="58:76" x14ac:dyDescent="0.25">
      <c r="BF514" s="1" t="e">
        <f>VLOOKUP(N514,'Incoming Material Report'!H:M,6,FALSE)</f>
        <v>#N/A</v>
      </c>
      <c r="BG514" s="1" t="e">
        <f>IF(VLOOKUP(N514,'Incoming Material Report'!H:N,7,FALSE)=0,"",VLOOKUP(N514,'Incoming Material Report'!H:N,7,FALSE))</f>
        <v>#N/A</v>
      </c>
      <c r="BH514" s="52">
        <f t="shared" si="136"/>
        <v>0</v>
      </c>
      <c r="BI514" s="1">
        <f t="shared" si="137"/>
        <v>0</v>
      </c>
      <c r="BJ514" s="1">
        <f t="shared" si="138"/>
        <v>0</v>
      </c>
      <c r="BK514" s="1">
        <f t="shared" si="139"/>
        <v>0</v>
      </c>
      <c r="BL514" s="1">
        <f t="shared" si="140"/>
        <v>0</v>
      </c>
      <c r="BM514" s="10" t="str">
        <f t="shared" si="141"/>
        <v/>
      </c>
      <c r="BN514" s="52">
        <f t="shared" si="142"/>
        <v>0</v>
      </c>
      <c r="BO514" s="52">
        <f t="shared" si="143"/>
        <v>0</v>
      </c>
      <c r="BP514" s="1">
        <f t="shared" si="144"/>
        <v>0</v>
      </c>
      <c r="BQ514" s="1">
        <f t="shared" si="145"/>
        <v>0</v>
      </c>
      <c r="BR514" s="1" t="str">
        <f t="shared" si="146"/>
        <v/>
      </c>
      <c r="BS514" s="1">
        <f t="shared" si="147"/>
        <v>0</v>
      </c>
      <c r="BT514" s="4">
        <f t="shared" si="148"/>
        <v>0</v>
      </c>
      <c r="BU514" s="52">
        <f t="shared" si="149"/>
        <v>0</v>
      </c>
      <c r="BV514" s="1">
        <f t="shared" si="150"/>
        <v>0</v>
      </c>
      <c r="BW514">
        <f t="shared" si="151"/>
        <v>0</v>
      </c>
      <c r="BX514">
        <f t="shared" si="152"/>
        <v>0</v>
      </c>
    </row>
    <row r="515" spans="58:76" x14ac:dyDescent="0.25">
      <c r="BF515" s="1" t="e">
        <f>VLOOKUP(N515,'Incoming Material Report'!H:M,6,FALSE)</f>
        <v>#N/A</v>
      </c>
      <c r="BG515" s="1" t="e">
        <f>IF(VLOOKUP(N515,'Incoming Material Report'!H:N,7,FALSE)=0,"",VLOOKUP(N515,'Incoming Material Report'!H:N,7,FALSE))</f>
        <v>#N/A</v>
      </c>
      <c r="BH515" s="52">
        <f t="shared" si="136"/>
        <v>0</v>
      </c>
      <c r="BI515" s="1">
        <f t="shared" si="137"/>
        <v>0</v>
      </c>
      <c r="BJ515" s="1">
        <f t="shared" si="138"/>
        <v>0</v>
      </c>
      <c r="BK515" s="1">
        <f t="shared" si="139"/>
        <v>0</v>
      </c>
      <c r="BL515" s="1">
        <f t="shared" si="140"/>
        <v>0</v>
      </c>
      <c r="BM515" s="10" t="str">
        <f t="shared" si="141"/>
        <v/>
      </c>
      <c r="BN515" s="52">
        <f t="shared" si="142"/>
        <v>0</v>
      </c>
      <c r="BO515" s="52">
        <f t="shared" si="143"/>
        <v>0</v>
      </c>
      <c r="BP515" s="1">
        <f t="shared" si="144"/>
        <v>0</v>
      </c>
      <c r="BQ515" s="1">
        <f t="shared" si="145"/>
        <v>0</v>
      </c>
      <c r="BR515" s="1" t="str">
        <f t="shared" si="146"/>
        <v/>
      </c>
      <c r="BS515" s="1">
        <f t="shared" si="147"/>
        <v>0</v>
      </c>
      <c r="BT515" s="4">
        <f t="shared" si="148"/>
        <v>0</v>
      </c>
      <c r="BU515" s="52">
        <f t="shared" si="149"/>
        <v>0</v>
      </c>
      <c r="BV515" s="1">
        <f t="shared" si="150"/>
        <v>0</v>
      </c>
      <c r="BW515">
        <f t="shared" si="151"/>
        <v>0</v>
      </c>
      <c r="BX515">
        <f t="shared" si="152"/>
        <v>0</v>
      </c>
    </row>
    <row r="516" spans="58:76" x14ac:dyDescent="0.25">
      <c r="BF516" s="1" t="e">
        <f>VLOOKUP(N516,'Incoming Material Report'!H:M,6,FALSE)</f>
        <v>#N/A</v>
      </c>
      <c r="BG516" s="1" t="e">
        <f>IF(VLOOKUP(N516,'Incoming Material Report'!H:N,7,FALSE)=0,"",VLOOKUP(N516,'Incoming Material Report'!H:N,7,FALSE))</f>
        <v>#N/A</v>
      </c>
      <c r="BH516" s="52">
        <f t="shared" si="136"/>
        <v>0</v>
      </c>
      <c r="BI516" s="1">
        <f t="shared" si="137"/>
        <v>0</v>
      </c>
      <c r="BJ516" s="1">
        <f t="shared" si="138"/>
        <v>0</v>
      </c>
      <c r="BK516" s="1">
        <f t="shared" si="139"/>
        <v>0</v>
      </c>
      <c r="BL516" s="1">
        <f t="shared" si="140"/>
        <v>0</v>
      </c>
      <c r="BM516" s="10" t="str">
        <f t="shared" si="141"/>
        <v/>
      </c>
      <c r="BN516" s="52">
        <f t="shared" si="142"/>
        <v>0</v>
      </c>
      <c r="BO516" s="52">
        <f t="shared" si="143"/>
        <v>0</v>
      </c>
      <c r="BP516" s="1">
        <f t="shared" si="144"/>
        <v>0</v>
      </c>
      <c r="BQ516" s="1">
        <f t="shared" si="145"/>
        <v>0</v>
      </c>
      <c r="BR516" s="1" t="str">
        <f t="shared" si="146"/>
        <v/>
      </c>
      <c r="BS516" s="1">
        <f t="shared" si="147"/>
        <v>0</v>
      </c>
      <c r="BT516" s="4">
        <f t="shared" si="148"/>
        <v>0</v>
      </c>
      <c r="BU516" s="52">
        <f t="shared" si="149"/>
        <v>0</v>
      </c>
      <c r="BV516" s="1">
        <f t="shared" si="150"/>
        <v>0</v>
      </c>
      <c r="BW516">
        <f t="shared" si="151"/>
        <v>0</v>
      </c>
      <c r="BX516">
        <f t="shared" si="152"/>
        <v>0</v>
      </c>
    </row>
    <row r="517" spans="58:76" x14ac:dyDescent="0.25">
      <c r="BF517" s="1" t="e">
        <f>VLOOKUP(N517,'Incoming Material Report'!H:M,6,FALSE)</f>
        <v>#N/A</v>
      </c>
      <c r="BG517" s="1" t="e">
        <f>IF(VLOOKUP(N517,'Incoming Material Report'!H:N,7,FALSE)=0,"",VLOOKUP(N517,'Incoming Material Report'!H:N,7,FALSE))</f>
        <v>#N/A</v>
      </c>
      <c r="BH517" s="52">
        <f t="shared" si="136"/>
        <v>0</v>
      </c>
      <c r="BI517" s="1">
        <f t="shared" si="137"/>
        <v>0</v>
      </c>
      <c r="BJ517" s="1">
        <f t="shared" si="138"/>
        <v>0</v>
      </c>
      <c r="BK517" s="1">
        <f t="shared" si="139"/>
        <v>0</v>
      </c>
      <c r="BL517" s="1">
        <f t="shared" si="140"/>
        <v>0</v>
      </c>
      <c r="BM517" s="10" t="str">
        <f t="shared" si="141"/>
        <v/>
      </c>
      <c r="BN517" s="52">
        <f t="shared" si="142"/>
        <v>0</v>
      </c>
      <c r="BO517" s="52">
        <f t="shared" si="143"/>
        <v>0</v>
      </c>
      <c r="BP517" s="1">
        <f t="shared" si="144"/>
        <v>0</v>
      </c>
      <c r="BQ517" s="1">
        <f t="shared" si="145"/>
        <v>0</v>
      </c>
      <c r="BR517" s="1" t="str">
        <f t="shared" si="146"/>
        <v/>
      </c>
      <c r="BS517" s="1">
        <f t="shared" si="147"/>
        <v>0</v>
      </c>
      <c r="BT517" s="4">
        <f t="shared" si="148"/>
        <v>0</v>
      </c>
      <c r="BU517" s="52">
        <f t="shared" si="149"/>
        <v>0</v>
      </c>
      <c r="BV517" s="1">
        <f t="shared" si="150"/>
        <v>0</v>
      </c>
      <c r="BW517">
        <f t="shared" si="151"/>
        <v>0</v>
      </c>
      <c r="BX517">
        <f t="shared" si="152"/>
        <v>0</v>
      </c>
    </row>
    <row r="518" spans="58:76" x14ac:dyDescent="0.25">
      <c r="BF518" s="1" t="e">
        <f>VLOOKUP(N518,'Incoming Material Report'!H:M,6,FALSE)</f>
        <v>#N/A</v>
      </c>
      <c r="BG518" s="1" t="e">
        <f>IF(VLOOKUP(N518,'Incoming Material Report'!H:N,7,FALSE)=0,"",VLOOKUP(N518,'Incoming Material Report'!H:N,7,FALSE))</f>
        <v>#N/A</v>
      </c>
      <c r="BH518" s="52">
        <f t="shared" si="136"/>
        <v>0</v>
      </c>
      <c r="BI518" s="1">
        <f t="shared" si="137"/>
        <v>0</v>
      </c>
      <c r="BJ518" s="1">
        <f t="shared" si="138"/>
        <v>0</v>
      </c>
      <c r="BK518" s="1">
        <f t="shared" si="139"/>
        <v>0</v>
      </c>
      <c r="BL518" s="1">
        <f t="shared" si="140"/>
        <v>0</v>
      </c>
      <c r="BM518" s="10" t="str">
        <f t="shared" si="141"/>
        <v/>
      </c>
      <c r="BN518" s="52">
        <f t="shared" si="142"/>
        <v>0</v>
      </c>
      <c r="BO518" s="52">
        <f t="shared" si="143"/>
        <v>0</v>
      </c>
      <c r="BP518" s="1">
        <f t="shared" si="144"/>
        <v>0</v>
      </c>
      <c r="BQ518" s="1">
        <f t="shared" si="145"/>
        <v>0</v>
      </c>
      <c r="BR518" s="1" t="str">
        <f t="shared" si="146"/>
        <v/>
      </c>
      <c r="BS518" s="1">
        <f t="shared" si="147"/>
        <v>0</v>
      </c>
      <c r="BT518" s="4">
        <f t="shared" si="148"/>
        <v>0</v>
      </c>
      <c r="BU518" s="52">
        <f t="shared" si="149"/>
        <v>0</v>
      </c>
      <c r="BV518" s="1">
        <f t="shared" si="150"/>
        <v>0</v>
      </c>
      <c r="BW518">
        <f t="shared" si="151"/>
        <v>0</v>
      </c>
      <c r="BX518">
        <f t="shared" si="152"/>
        <v>0</v>
      </c>
    </row>
    <row r="519" spans="58:76" x14ac:dyDescent="0.25">
      <c r="BF519" s="1" t="e">
        <f>VLOOKUP(N519,'Incoming Material Report'!H:M,6,FALSE)</f>
        <v>#N/A</v>
      </c>
      <c r="BG519" s="1" t="e">
        <f>IF(VLOOKUP(N519,'Incoming Material Report'!H:N,7,FALSE)=0,"",VLOOKUP(N519,'Incoming Material Report'!H:N,7,FALSE))</f>
        <v>#N/A</v>
      </c>
      <c r="BH519" s="52">
        <f t="shared" si="136"/>
        <v>0</v>
      </c>
      <c r="BI519" s="1">
        <f t="shared" si="137"/>
        <v>0</v>
      </c>
      <c r="BJ519" s="1">
        <f t="shared" si="138"/>
        <v>0</v>
      </c>
      <c r="BK519" s="1">
        <f t="shared" si="139"/>
        <v>0</v>
      </c>
      <c r="BL519" s="1">
        <f t="shared" si="140"/>
        <v>0</v>
      </c>
      <c r="BM519" s="10" t="str">
        <f t="shared" si="141"/>
        <v/>
      </c>
      <c r="BN519" s="52">
        <f t="shared" si="142"/>
        <v>0</v>
      </c>
      <c r="BO519" s="52">
        <f t="shared" si="143"/>
        <v>0</v>
      </c>
      <c r="BP519" s="1">
        <f t="shared" si="144"/>
        <v>0</v>
      </c>
      <c r="BQ519" s="1">
        <f t="shared" si="145"/>
        <v>0</v>
      </c>
      <c r="BR519" s="1" t="str">
        <f t="shared" si="146"/>
        <v/>
      </c>
      <c r="BS519" s="1">
        <f t="shared" si="147"/>
        <v>0</v>
      </c>
      <c r="BT519" s="4">
        <f t="shared" si="148"/>
        <v>0</v>
      </c>
      <c r="BU519" s="52">
        <f t="shared" si="149"/>
        <v>0</v>
      </c>
      <c r="BV519" s="1">
        <f t="shared" si="150"/>
        <v>0</v>
      </c>
      <c r="BW519">
        <f t="shared" si="151"/>
        <v>0</v>
      </c>
      <c r="BX519">
        <f t="shared" si="152"/>
        <v>0</v>
      </c>
    </row>
    <row r="520" spans="58:76" x14ac:dyDescent="0.25">
      <c r="BF520" s="1" t="e">
        <f>VLOOKUP(N520,'Incoming Material Report'!H:M,6,FALSE)</f>
        <v>#N/A</v>
      </c>
      <c r="BG520" s="1" t="e">
        <f>IF(VLOOKUP(N520,'Incoming Material Report'!H:N,7,FALSE)=0,"",VLOOKUP(N520,'Incoming Material Report'!H:N,7,FALSE))</f>
        <v>#N/A</v>
      </c>
      <c r="BH520" s="52">
        <f t="shared" si="136"/>
        <v>0</v>
      </c>
      <c r="BI520" s="1">
        <f t="shared" si="137"/>
        <v>0</v>
      </c>
      <c r="BJ520" s="1">
        <f t="shared" si="138"/>
        <v>0</v>
      </c>
      <c r="BK520" s="1">
        <f t="shared" si="139"/>
        <v>0</v>
      </c>
      <c r="BL520" s="1">
        <f t="shared" si="140"/>
        <v>0</v>
      </c>
      <c r="BM520" s="10" t="str">
        <f t="shared" si="141"/>
        <v/>
      </c>
      <c r="BN520" s="52">
        <f t="shared" si="142"/>
        <v>0</v>
      </c>
      <c r="BO520" s="52">
        <f t="shared" si="143"/>
        <v>0</v>
      </c>
      <c r="BP520" s="1">
        <f t="shared" si="144"/>
        <v>0</v>
      </c>
      <c r="BQ520" s="1">
        <f t="shared" si="145"/>
        <v>0</v>
      </c>
      <c r="BR520" s="1" t="str">
        <f t="shared" si="146"/>
        <v/>
      </c>
      <c r="BS520" s="1">
        <f t="shared" si="147"/>
        <v>0</v>
      </c>
      <c r="BT520" s="4">
        <f t="shared" si="148"/>
        <v>0</v>
      </c>
      <c r="BU520" s="52">
        <f t="shared" si="149"/>
        <v>0</v>
      </c>
      <c r="BV520" s="1">
        <f t="shared" si="150"/>
        <v>0</v>
      </c>
      <c r="BW520">
        <f t="shared" si="151"/>
        <v>0</v>
      </c>
      <c r="BX520">
        <f t="shared" si="152"/>
        <v>0</v>
      </c>
    </row>
    <row r="521" spans="58:76" x14ac:dyDescent="0.25">
      <c r="BF521" s="1" t="e">
        <f>VLOOKUP(N521,'Incoming Material Report'!H:M,6,FALSE)</f>
        <v>#N/A</v>
      </c>
      <c r="BG521" s="1" t="e">
        <f>IF(VLOOKUP(N521,'Incoming Material Report'!H:N,7,FALSE)=0,"",VLOOKUP(N521,'Incoming Material Report'!H:N,7,FALSE))</f>
        <v>#N/A</v>
      </c>
      <c r="BH521" s="52">
        <f t="shared" si="136"/>
        <v>0</v>
      </c>
      <c r="BI521" s="1">
        <f t="shared" si="137"/>
        <v>0</v>
      </c>
      <c r="BJ521" s="1">
        <f t="shared" si="138"/>
        <v>0</v>
      </c>
      <c r="BK521" s="1">
        <f t="shared" si="139"/>
        <v>0</v>
      </c>
      <c r="BL521" s="1">
        <f t="shared" si="140"/>
        <v>0</v>
      </c>
      <c r="BM521" s="10" t="str">
        <f t="shared" si="141"/>
        <v/>
      </c>
      <c r="BN521" s="52">
        <f t="shared" si="142"/>
        <v>0</v>
      </c>
      <c r="BO521" s="52">
        <f t="shared" si="143"/>
        <v>0</v>
      </c>
      <c r="BP521" s="1">
        <f t="shared" si="144"/>
        <v>0</v>
      </c>
      <c r="BQ521" s="1">
        <f t="shared" si="145"/>
        <v>0</v>
      </c>
      <c r="BR521" s="1" t="str">
        <f t="shared" si="146"/>
        <v/>
      </c>
      <c r="BS521" s="1">
        <f t="shared" si="147"/>
        <v>0</v>
      </c>
      <c r="BT521" s="4">
        <f t="shared" si="148"/>
        <v>0</v>
      </c>
      <c r="BU521" s="52">
        <f t="shared" si="149"/>
        <v>0</v>
      </c>
      <c r="BV521" s="1">
        <f t="shared" si="150"/>
        <v>0</v>
      </c>
      <c r="BW521">
        <f t="shared" si="151"/>
        <v>0</v>
      </c>
      <c r="BX521">
        <f t="shared" si="152"/>
        <v>0</v>
      </c>
    </row>
    <row r="522" spans="58:76" x14ac:dyDescent="0.25">
      <c r="BF522" s="1" t="e">
        <f>VLOOKUP(N522,'Incoming Material Report'!H:M,6,FALSE)</f>
        <v>#N/A</v>
      </c>
      <c r="BG522" s="1" t="e">
        <f>IF(VLOOKUP(N522,'Incoming Material Report'!H:N,7,FALSE)=0,"",VLOOKUP(N522,'Incoming Material Report'!H:N,7,FALSE))</f>
        <v>#N/A</v>
      </c>
      <c r="BH522" s="52">
        <f t="shared" si="136"/>
        <v>0</v>
      </c>
      <c r="BI522" s="1">
        <f t="shared" si="137"/>
        <v>0</v>
      </c>
      <c r="BJ522" s="1">
        <f t="shared" si="138"/>
        <v>0</v>
      </c>
      <c r="BK522" s="1">
        <f t="shared" si="139"/>
        <v>0</v>
      </c>
      <c r="BL522" s="1">
        <f t="shared" si="140"/>
        <v>0</v>
      </c>
      <c r="BM522" s="10" t="str">
        <f t="shared" si="141"/>
        <v/>
      </c>
      <c r="BN522" s="52">
        <f t="shared" si="142"/>
        <v>0</v>
      </c>
      <c r="BO522" s="52">
        <f t="shared" si="143"/>
        <v>0</v>
      </c>
      <c r="BP522" s="1">
        <f t="shared" si="144"/>
        <v>0</v>
      </c>
      <c r="BQ522" s="1">
        <f t="shared" si="145"/>
        <v>0</v>
      </c>
      <c r="BR522" s="1" t="str">
        <f t="shared" si="146"/>
        <v/>
      </c>
      <c r="BS522" s="1">
        <f t="shared" si="147"/>
        <v>0</v>
      </c>
      <c r="BT522" s="4">
        <f t="shared" si="148"/>
        <v>0</v>
      </c>
      <c r="BU522" s="52">
        <f t="shared" si="149"/>
        <v>0</v>
      </c>
      <c r="BV522" s="1">
        <f t="shared" si="150"/>
        <v>0</v>
      </c>
      <c r="BW522">
        <f t="shared" si="151"/>
        <v>0</v>
      </c>
      <c r="BX522">
        <f t="shared" si="152"/>
        <v>0</v>
      </c>
    </row>
    <row r="523" spans="58:76" x14ac:dyDescent="0.25">
      <c r="BF523" s="1" t="e">
        <f>VLOOKUP(N523,'Incoming Material Report'!H:M,6,FALSE)</f>
        <v>#N/A</v>
      </c>
      <c r="BG523" s="1" t="e">
        <f>IF(VLOOKUP(N523,'Incoming Material Report'!H:N,7,FALSE)=0,"",VLOOKUP(N523,'Incoming Material Report'!H:N,7,FALSE))</f>
        <v>#N/A</v>
      </c>
      <c r="BH523" s="52">
        <f t="shared" si="136"/>
        <v>0</v>
      </c>
      <c r="BI523" s="1">
        <f t="shared" si="137"/>
        <v>0</v>
      </c>
      <c r="BJ523" s="1">
        <f t="shared" si="138"/>
        <v>0</v>
      </c>
      <c r="BK523" s="1">
        <f t="shared" si="139"/>
        <v>0</v>
      </c>
      <c r="BL523" s="1">
        <f t="shared" si="140"/>
        <v>0</v>
      </c>
      <c r="BM523" s="10" t="str">
        <f t="shared" si="141"/>
        <v/>
      </c>
      <c r="BN523" s="52">
        <f t="shared" si="142"/>
        <v>0</v>
      </c>
      <c r="BO523" s="52">
        <f t="shared" si="143"/>
        <v>0</v>
      </c>
      <c r="BP523" s="1">
        <f t="shared" si="144"/>
        <v>0</v>
      </c>
      <c r="BQ523" s="1">
        <f t="shared" si="145"/>
        <v>0</v>
      </c>
      <c r="BR523" s="1" t="str">
        <f t="shared" si="146"/>
        <v/>
      </c>
      <c r="BS523" s="1">
        <f t="shared" si="147"/>
        <v>0</v>
      </c>
      <c r="BT523" s="4">
        <f t="shared" si="148"/>
        <v>0</v>
      </c>
      <c r="BU523" s="52">
        <f t="shared" si="149"/>
        <v>0</v>
      </c>
      <c r="BV523" s="1">
        <f t="shared" si="150"/>
        <v>0</v>
      </c>
      <c r="BW523">
        <f t="shared" si="151"/>
        <v>0</v>
      </c>
      <c r="BX523">
        <f t="shared" si="152"/>
        <v>0</v>
      </c>
    </row>
    <row r="524" spans="58:76" x14ac:dyDescent="0.25">
      <c r="BF524" s="1" t="e">
        <f>VLOOKUP(N524,'Incoming Material Report'!H:M,6,FALSE)</f>
        <v>#N/A</v>
      </c>
      <c r="BG524" s="1" t="e">
        <f>IF(VLOOKUP(N524,'Incoming Material Report'!H:N,7,FALSE)=0,"",VLOOKUP(N524,'Incoming Material Report'!H:N,7,FALSE))</f>
        <v>#N/A</v>
      </c>
      <c r="BH524" s="52">
        <f t="shared" si="136"/>
        <v>0</v>
      </c>
      <c r="BI524" s="1">
        <f t="shared" si="137"/>
        <v>0</v>
      </c>
      <c r="BJ524" s="1">
        <f t="shared" si="138"/>
        <v>0</v>
      </c>
      <c r="BK524" s="1">
        <f t="shared" si="139"/>
        <v>0</v>
      </c>
      <c r="BL524" s="1">
        <f t="shared" si="140"/>
        <v>0</v>
      </c>
      <c r="BM524" s="10" t="str">
        <f t="shared" si="141"/>
        <v/>
      </c>
      <c r="BN524" s="52">
        <f t="shared" si="142"/>
        <v>0</v>
      </c>
      <c r="BO524" s="52">
        <f t="shared" si="143"/>
        <v>0</v>
      </c>
      <c r="BP524" s="1">
        <f t="shared" si="144"/>
        <v>0</v>
      </c>
      <c r="BQ524" s="1">
        <f t="shared" si="145"/>
        <v>0</v>
      </c>
      <c r="BR524" s="1" t="str">
        <f t="shared" si="146"/>
        <v/>
      </c>
      <c r="BS524" s="1">
        <f t="shared" si="147"/>
        <v>0</v>
      </c>
      <c r="BT524" s="4">
        <f t="shared" si="148"/>
        <v>0</v>
      </c>
      <c r="BU524" s="52">
        <f t="shared" si="149"/>
        <v>0</v>
      </c>
      <c r="BV524" s="1">
        <f t="shared" si="150"/>
        <v>0</v>
      </c>
      <c r="BW524">
        <f t="shared" si="151"/>
        <v>0</v>
      </c>
      <c r="BX524">
        <f t="shared" si="152"/>
        <v>0</v>
      </c>
    </row>
    <row r="525" spans="58:76" x14ac:dyDescent="0.25">
      <c r="BF525" s="1" t="e">
        <f>VLOOKUP(N525,'Incoming Material Report'!H:M,6,FALSE)</f>
        <v>#N/A</v>
      </c>
      <c r="BG525" s="1" t="e">
        <f>IF(VLOOKUP(N525,'Incoming Material Report'!H:N,7,FALSE)=0,"",VLOOKUP(N525,'Incoming Material Report'!H:N,7,FALSE))</f>
        <v>#N/A</v>
      </c>
      <c r="BH525" s="52">
        <f t="shared" si="136"/>
        <v>0</v>
      </c>
      <c r="BI525" s="1">
        <f t="shared" si="137"/>
        <v>0</v>
      </c>
      <c r="BJ525" s="1">
        <f t="shared" si="138"/>
        <v>0</v>
      </c>
      <c r="BK525" s="1">
        <f t="shared" si="139"/>
        <v>0</v>
      </c>
      <c r="BL525" s="1">
        <f t="shared" si="140"/>
        <v>0</v>
      </c>
      <c r="BM525" s="10" t="str">
        <f t="shared" si="141"/>
        <v/>
      </c>
      <c r="BN525" s="52">
        <f t="shared" si="142"/>
        <v>0</v>
      </c>
      <c r="BO525" s="52">
        <f t="shared" si="143"/>
        <v>0</v>
      </c>
      <c r="BP525" s="1">
        <f t="shared" si="144"/>
        <v>0</v>
      </c>
      <c r="BQ525" s="1">
        <f t="shared" si="145"/>
        <v>0</v>
      </c>
      <c r="BR525" s="1" t="str">
        <f t="shared" si="146"/>
        <v/>
      </c>
      <c r="BS525" s="1">
        <f t="shared" si="147"/>
        <v>0</v>
      </c>
      <c r="BT525" s="4">
        <f t="shared" si="148"/>
        <v>0</v>
      </c>
      <c r="BU525" s="52">
        <f t="shared" si="149"/>
        <v>0</v>
      </c>
      <c r="BV525" s="1">
        <f t="shared" si="150"/>
        <v>0</v>
      </c>
      <c r="BW525">
        <f t="shared" si="151"/>
        <v>0</v>
      </c>
      <c r="BX525">
        <f t="shared" si="152"/>
        <v>0</v>
      </c>
    </row>
    <row r="526" spans="58:76" x14ac:dyDescent="0.25">
      <c r="BF526" s="1" t="e">
        <f>VLOOKUP(N526,'Incoming Material Report'!H:M,6,FALSE)</f>
        <v>#N/A</v>
      </c>
      <c r="BG526" s="1" t="e">
        <f>IF(VLOOKUP(N526,'Incoming Material Report'!H:N,7,FALSE)=0,"",VLOOKUP(N526,'Incoming Material Report'!H:N,7,FALSE))</f>
        <v>#N/A</v>
      </c>
      <c r="BH526" s="52">
        <f t="shared" si="136"/>
        <v>0</v>
      </c>
      <c r="BI526" s="1">
        <f t="shared" si="137"/>
        <v>0</v>
      </c>
      <c r="BJ526" s="1">
        <f t="shared" si="138"/>
        <v>0</v>
      </c>
      <c r="BK526" s="1">
        <f t="shared" si="139"/>
        <v>0</v>
      </c>
      <c r="BL526" s="1">
        <f t="shared" si="140"/>
        <v>0</v>
      </c>
      <c r="BM526" s="10" t="str">
        <f t="shared" si="141"/>
        <v/>
      </c>
      <c r="BN526" s="52">
        <f t="shared" si="142"/>
        <v>0</v>
      </c>
      <c r="BO526" s="52">
        <f t="shared" si="143"/>
        <v>0</v>
      </c>
      <c r="BP526" s="1">
        <f t="shared" si="144"/>
        <v>0</v>
      </c>
      <c r="BQ526" s="1">
        <f t="shared" si="145"/>
        <v>0</v>
      </c>
      <c r="BR526" s="1" t="str">
        <f t="shared" si="146"/>
        <v/>
      </c>
      <c r="BS526" s="1">
        <f t="shared" si="147"/>
        <v>0</v>
      </c>
      <c r="BT526" s="4">
        <f t="shared" si="148"/>
        <v>0</v>
      </c>
      <c r="BU526" s="52">
        <f t="shared" si="149"/>
        <v>0</v>
      </c>
      <c r="BV526" s="1">
        <f t="shared" si="150"/>
        <v>0</v>
      </c>
      <c r="BW526">
        <f t="shared" si="151"/>
        <v>0</v>
      </c>
      <c r="BX526">
        <f t="shared" si="152"/>
        <v>0</v>
      </c>
    </row>
    <row r="527" spans="58:76" x14ac:dyDescent="0.25">
      <c r="BF527" s="1" t="e">
        <f>VLOOKUP(N527,'Incoming Material Report'!H:M,6,FALSE)</f>
        <v>#N/A</v>
      </c>
      <c r="BG527" s="1" t="e">
        <f>IF(VLOOKUP(N527,'Incoming Material Report'!H:N,7,FALSE)=0,"",VLOOKUP(N527,'Incoming Material Report'!H:N,7,FALSE))</f>
        <v>#N/A</v>
      </c>
      <c r="BH527" s="52">
        <f t="shared" si="136"/>
        <v>0</v>
      </c>
      <c r="BI527" s="1">
        <f t="shared" si="137"/>
        <v>0</v>
      </c>
      <c r="BJ527" s="1">
        <f t="shared" si="138"/>
        <v>0</v>
      </c>
      <c r="BK527" s="1">
        <f t="shared" si="139"/>
        <v>0</v>
      </c>
      <c r="BL527" s="1">
        <f t="shared" si="140"/>
        <v>0</v>
      </c>
      <c r="BM527" s="10" t="str">
        <f t="shared" si="141"/>
        <v/>
      </c>
      <c r="BN527" s="52">
        <f t="shared" si="142"/>
        <v>0</v>
      </c>
      <c r="BO527" s="52">
        <f t="shared" si="143"/>
        <v>0</v>
      </c>
      <c r="BP527" s="1">
        <f t="shared" si="144"/>
        <v>0</v>
      </c>
      <c r="BQ527" s="1">
        <f t="shared" si="145"/>
        <v>0</v>
      </c>
      <c r="BR527" s="1" t="str">
        <f t="shared" si="146"/>
        <v/>
      </c>
      <c r="BS527" s="1">
        <f t="shared" si="147"/>
        <v>0</v>
      </c>
      <c r="BT527" s="4">
        <f t="shared" si="148"/>
        <v>0</v>
      </c>
      <c r="BU527" s="52">
        <f t="shared" si="149"/>
        <v>0</v>
      </c>
      <c r="BV527" s="1">
        <f t="shared" si="150"/>
        <v>0</v>
      </c>
      <c r="BW527">
        <f t="shared" si="151"/>
        <v>0</v>
      </c>
      <c r="BX527">
        <f t="shared" si="152"/>
        <v>0</v>
      </c>
    </row>
    <row r="528" spans="58:76" x14ac:dyDescent="0.25">
      <c r="BF528" s="1" t="e">
        <f>VLOOKUP(N528,'Incoming Material Report'!H:M,6,FALSE)</f>
        <v>#N/A</v>
      </c>
      <c r="BG528" s="1" t="e">
        <f>IF(VLOOKUP(N528,'Incoming Material Report'!H:N,7,FALSE)=0,"",VLOOKUP(N528,'Incoming Material Report'!H:N,7,FALSE))</f>
        <v>#N/A</v>
      </c>
      <c r="BH528" s="52">
        <f t="shared" si="136"/>
        <v>0</v>
      </c>
      <c r="BI528" s="1">
        <f t="shared" si="137"/>
        <v>0</v>
      </c>
      <c r="BJ528" s="1">
        <f t="shared" si="138"/>
        <v>0</v>
      </c>
      <c r="BK528" s="1">
        <f t="shared" si="139"/>
        <v>0</v>
      </c>
      <c r="BL528" s="1">
        <f t="shared" si="140"/>
        <v>0</v>
      </c>
      <c r="BM528" s="10" t="str">
        <f t="shared" si="141"/>
        <v/>
      </c>
      <c r="BN528" s="52">
        <f t="shared" si="142"/>
        <v>0</v>
      </c>
      <c r="BO528" s="52">
        <f t="shared" si="143"/>
        <v>0</v>
      </c>
      <c r="BP528" s="1">
        <f t="shared" si="144"/>
        <v>0</v>
      </c>
      <c r="BQ528" s="1">
        <f t="shared" si="145"/>
        <v>0</v>
      </c>
      <c r="BR528" s="1" t="str">
        <f t="shared" si="146"/>
        <v/>
      </c>
      <c r="BS528" s="1">
        <f t="shared" si="147"/>
        <v>0</v>
      </c>
      <c r="BT528" s="4">
        <f t="shared" si="148"/>
        <v>0</v>
      </c>
      <c r="BU528" s="52">
        <f t="shared" si="149"/>
        <v>0</v>
      </c>
      <c r="BV528" s="1">
        <f t="shared" si="150"/>
        <v>0</v>
      </c>
      <c r="BW528">
        <f t="shared" si="151"/>
        <v>0</v>
      </c>
      <c r="BX528">
        <f t="shared" si="152"/>
        <v>0</v>
      </c>
    </row>
    <row r="529" spans="58:76" x14ac:dyDescent="0.25">
      <c r="BF529" s="1" t="e">
        <f>VLOOKUP(N529,'Incoming Material Report'!H:M,6,FALSE)</f>
        <v>#N/A</v>
      </c>
      <c r="BG529" s="1" t="e">
        <f>IF(VLOOKUP(N529,'Incoming Material Report'!H:N,7,FALSE)=0,"",VLOOKUP(N529,'Incoming Material Report'!H:N,7,FALSE))</f>
        <v>#N/A</v>
      </c>
      <c r="BH529" s="52">
        <f t="shared" si="136"/>
        <v>0</v>
      </c>
      <c r="BI529" s="1">
        <f t="shared" si="137"/>
        <v>0</v>
      </c>
      <c r="BJ529" s="1">
        <f t="shared" si="138"/>
        <v>0</v>
      </c>
      <c r="BK529" s="1">
        <f t="shared" si="139"/>
        <v>0</v>
      </c>
      <c r="BL529" s="1">
        <f t="shared" si="140"/>
        <v>0</v>
      </c>
      <c r="BM529" s="10" t="str">
        <f t="shared" si="141"/>
        <v/>
      </c>
      <c r="BN529" s="52">
        <f t="shared" si="142"/>
        <v>0</v>
      </c>
      <c r="BO529" s="52">
        <f t="shared" si="143"/>
        <v>0</v>
      </c>
      <c r="BP529" s="1">
        <f t="shared" si="144"/>
        <v>0</v>
      </c>
      <c r="BQ529" s="1">
        <f t="shared" si="145"/>
        <v>0</v>
      </c>
      <c r="BR529" s="1" t="str">
        <f t="shared" si="146"/>
        <v/>
      </c>
      <c r="BS529" s="1">
        <f t="shared" si="147"/>
        <v>0</v>
      </c>
      <c r="BT529" s="4">
        <f t="shared" si="148"/>
        <v>0</v>
      </c>
      <c r="BU529" s="52">
        <f t="shared" si="149"/>
        <v>0</v>
      </c>
      <c r="BV529" s="1">
        <f t="shared" si="150"/>
        <v>0</v>
      </c>
      <c r="BW529">
        <f t="shared" si="151"/>
        <v>0</v>
      </c>
      <c r="BX529">
        <f t="shared" si="152"/>
        <v>0</v>
      </c>
    </row>
    <row r="530" spans="58:76" x14ac:dyDescent="0.25">
      <c r="BF530" s="1" t="e">
        <f>VLOOKUP(N530,'Incoming Material Report'!H:M,6,FALSE)</f>
        <v>#N/A</v>
      </c>
      <c r="BG530" s="1" t="e">
        <f>IF(VLOOKUP(N530,'Incoming Material Report'!H:N,7,FALSE)=0,"",VLOOKUP(N530,'Incoming Material Report'!H:N,7,FALSE))</f>
        <v>#N/A</v>
      </c>
      <c r="BH530" s="52">
        <f t="shared" si="136"/>
        <v>0</v>
      </c>
      <c r="BI530" s="1">
        <f t="shared" si="137"/>
        <v>0</v>
      </c>
      <c r="BJ530" s="1">
        <f t="shared" si="138"/>
        <v>0</v>
      </c>
      <c r="BK530" s="1">
        <f t="shared" si="139"/>
        <v>0</v>
      </c>
      <c r="BL530" s="1">
        <f t="shared" si="140"/>
        <v>0</v>
      </c>
      <c r="BM530" s="10" t="str">
        <f t="shared" si="141"/>
        <v/>
      </c>
      <c r="BN530" s="52">
        <f t="shared" si="142"/>
        <v>0</v>
      </c>
      <c r="BO530" s="52">
        <f t="shared" si="143"/>
        <v>0</v>
      </c>
      <c r="BP530" s="1">
        <f t="shared" si="144"/>
        <v>0</v>
      </c>
      <c r="BQ530" s="1">
        <f t="shared" si="145"/>
        <v>0</v>
      </c>
      <c r="BR530" s="1" t="str">
        <f t="shared" si="146"/>
        <v/>
      </c>
      <c r="BS530" s="1">
        <f t="shared" si="147"/>
        <v>0</v>
      </c>
      <c r="BT530" s="4">
        <f t="shared" si="148"/>
        <v>0</v>
      </c>
      <c r="BU530" s="52">
        <f t="shared" si="149"/>
        <v>0</v>
      </c>
      <c r="BV530" s="1">
        <f t="shared" si="150"/>
        <v>0</v>
      </c>
      <c r="BW530">
        <f t="shared" si="151"/>
        <v>0</v>
      </c>
      <c r="BX530">
        <f t="shared" si="152"/>
        <v>0</v>
      </c>
    </row>
    <row r="531" spans="58:76" x14ac:dyDescent="0.25">
      <c r="BF531" s="1" t="e">
        <f>VLOOKUP(N531,'Incoming Material Report'!H:M,6,FALSE)</f>
        <v>#N/A</v>
      </c>
      <c r="BG531" s="1" t="e">
        <f>IF(VLOOKUP(N531,'Incoming Material Report'!H:N,7,FALSE)=0,"",VLOOKUP(N531,'Incoming Material Report'!H:N,7,FALSE))</f>
        <v>#N/A</v>
      </c>
      <c r="BH531" s="52">
        <f t="shared" si="136"/>
        <v>0</v>
      </c>
      <c r="BI531" s="1">
        <f t="shared" si="137"/>
        <v>0</v>
      </c>
      <c r="BJ531" s="1">
        <f t="shared" si="138"/>
        <v>0</v>
      </c>
      <c r="BK531" s="1">
        <f t="shared" si="139"/>
        <v>0</v>
      </c>
      <c r="BL531" s="1">
        <f t="shared" si="140"/>
        <v>0</v>
      </c>
      <c r="BM531" s="10" t="str">
        <f t="shared" si="141"/>
        <v/>
      </c>
      <c r="BN531" s="52">
        <f t="shared" si="142"/>
        <v>0</v>
      </c>
      <c r="BO531" s="52">
        <f t="shared" si="143"/>
        <v>0</v>
      </c>
      <c r="BP531" s="1">
        <f t="shared" si="144"/>
        <v>0</v>
      </c>
      <c r="BQ531" s="1">
        <f t="shared" si="145"/>
        <v>0</v>
      </c>
      <c r="BR531" s="1" t="str">
        <f t="shared" si="146"/>
        <v/>
      </c>
      <c r="BS531" s="1">
        <f t="shared" si="147"/>
        <v>0</v>
      </c>
      <c r="BT531" s="4">
        <f t="shared" si="148"/>
        <v>0</v>
      </c>
      <c r="BU531" s="52">
        <f t="shared" si="149"/>
        <v>0</v>
      </c>
      <c r="BV531" s="1">
        <f t="shared" si="150"/>
        <v>0</v>
      </c>
      <c r="BW531">
        <f t="shared" si="151"/>
        <v>0</v>
      </c>
      <c r="BX531">
        <f t="shared" si="152"/>
        <v>0</v>
      </c>
    </row>
    <row r="532" spans="58:76" x14ac:dyDescent="0.25">
      <c r="BF532" s="1" t="e">
        <f>VLOOKUP(N532,'Incoming Material Report'!H:M,6,FALSE)</f>
        <v>#N/A</v>
      </c>
      <c r="BG532" s="1" t="e">
        <f>IF(VLOOKUP(N532,'Incoming Material Report'!H:N,7,FALSE)=0,"",VLOOKUP(N532,'Incoming Material Report'!H:N,7,FALSE))</f>
        <v>#N/A</v>
      </c>
      <c r="BH532" s="52">
        <f t="shared" si="136"/>
        <v>0</v>
      </c>
      <c r="BI532" s="1">
        <f t="shared" si="137"/>
        <v>0</v>
      </c>
      <c r="BJ532" s="1">
        <f t="shared" si="138"/>
        <v>0</v>
      </c>
      <c r="BK532" s="1">
        <f t="shared" si="139"/>
        <v>0</v>
      </c>
      <c r="BL532" s="1">
        <f t="shared" si="140"/>
        <v>0</v>
      </c>
      <c r="BM532" s="10" t="str">
        <f t="shared" si="141"/>
        <v/>
      </c>
      <c r="BN532" s="52">
        <f t="shared" si="142"/>
        <v>0</v>
      </c>
      <c r="BO532" s="52">
        <f t="shared" si="143"/>
        <v>0</v>
      </c>
      <c r="BP532" s="1">
        <f t="shared" si="144"/>
        <v>0</v>
      </c>
      <c r="BQ532" s="1">
        <f t="shared" si="145"/>
        <v>0</v>
      </c>
      <c r="BR532" s="1" t="str">
        <f t="shared" si="146"/>
        <v/>
      </c>
      <c r="BS532" s="1">
        <f t="shared" si="147"/>
        <v>0</v>
      </c>
      <c r="BT532" s="4">
        <f t="shared" si="148"/>
        <v>0</v>
      </c>
      <c r="BU532" s="52">
        <f t="shared" si="149"/>
        <v>0</v>
      </c>
      <c r="BV532" s="1">
        <f t="shared" si="150"/>
        <v>0</v>
      </c>
      <c r="BW532">
        <f t="shared" si="151"/>
        <v>0</v>
      </c>
      <c r="BX532">
        <f t="shared" si="152"/>
        <v>0</v>
      </c>
    </row>
    <row r="533" spans="58:76" x14ac:dyDescent="0.25">
      <c r="BF533" s="1" t="e">
        <f>VLOOKUP(N533,'Incoming Material Report'!H:M,6,FALSE)</f>
        <v>#N/A</v>
      </c>
      <c r="BG533" s="1" t="e">
        <f>IF(VLOOKUP(N533,'Incoming Material Report'!H:N,7,FALSE)=0,"",VLOOKUP(N533,'Incoming Material Report'!H:N,7,FALSE))</f>
        <v>#N/A</v>
      </c>
      <c r="BH533" s="52">
        <f t="shared" si="136"/>
        <v>0</v>
      </c>
      <c r="BI533" s="1">
        <f t="shared" si="137"/>
        <v>0</v>
      </c>
      <c r="BJ533" s="1">
        <f t="shared" si="138"/>
        <v>0</v>
      </c>
      <c r="BK533" s="1">
        <f t="shared" si="139"/>
        <v>0</v>
      </c>
      <c r="BL533" s="1">
        <f t="shared" si="140"/>
        <v>0</v>
      </c>
      <c r="BM533" s="10" t="str">
        <f t="shared" si="141"/>
        <v/>
      </c>
      <c r="BN533" s="52">
        <f t="shared" si="142"/>
        <v>0</v>
      </c>
      <c r="BO533" s="52">
        <f t="shared" si="143"/>
        <v>0</v>
      </c>
      <c r="BP533" s="1">
        <f t="shared" si="144"/>
        <v>0</v>
      </c>
      <c r="BQ533" s="1">
        <f t="shared" si="145"/>
        <v>0</v>
      </c>
      <c r="BR533" s="1" t="str">
        <f t="shared" si="146"/>
        <v/>
      </c>
      <c r="BS533" s="1">
        <f t="shared" si="147"/>
        <v>0</v>
      </c>
      <c r="BT533" s="4">
        <f t="shared" si="148"/>
        <v>0</v>
      </c>
      <c r="BU533" s="52">
        <f t="shared" si="149"/>
        <v>0</v>
      </c>
      <c r="BV533" s="1">
        <f t="shared" si="150"/>
        <v>0</v>
      </c>
      <c r="BW533">
        <f t="shared" si="151"/>
        <v>0</v>
      </c>
      <c r="BX533">
        <f t="shared" si="152"/>
        <v>0</v>
      </c>
    </row>
    <row r="534" spans="58:76" x14ac:dyDescent="0.25">
      <c r="BF534" s="1" t="e">
        <f>VLOOKUP(N534,'Incoming Material Report'!H:M,6,FALSE)</f>
        <v>#N/A</v>
      </c>
      <c r="BG534" s="1" t="e">
        <f>IF(VLOOKUP(N534,'Incoming Material Report'!H:N,7,FALSE)=0,"",VLOOKUP(N534,'Incoming Material Report'!H:N,7,FALSE))</f>
        <v>#N/A</v>
      </c>
      <c r="BH534" s="52">
        <f t="shared" si="136"/>
        <v>0</v>
      </c>
      <c r="BI534" s="1">
        <f t="shared" si="137"/>
        <v>0</v>
      </c>
      <c r="BJ534" s="1">
        <f t="shared" si="138"/>
        <v>0</v>
      </c>
      <c r="BK534" s="1">
        <f t="shared" si="139"/>
        <v>0</v>
      </c>
      <c r="BL534" s="1">
        <f t="shared" si="140"/>
        <v>0</v>
      </c>
      <c r="BM534" s="10" t="str">
        <f t="shared" si="141"/>
        <v/>
      </c>
      <c r="BN534" s="52">
        <f t="shared" si="142"/>
        <v>0</v>
      </c>
      <c r="BO534" s="52">
        <f t="shared" si="143"/>
        <v>0</v>
      </c>
      <c r="BP534" s="1">
        <f t="shared" si="144"/>
        <v>0</v>
      </c>
      <c r="BQ534" s="1">
        <f t="shared" si="145"/>
        <v>0</v>
      </c>
      <c r="BR534" s="1" t="str">
        <f t="shared" si="146"/>
        <v/>
      </c>
      <c r="BS534" s="1">
        <f t="shared" si="147"/>
        <v>0</v>
      </c>
      <c r="BT534" s="4">
        <f t="shared" si="148"/>
        <v>0</v>
      </c>
      <c r="BU534" s="52">
        <f t="shared" si="149"/>
        <v>0</v>
      </c>
      <c r="BV534" s="1">
        <f t="shared" si="150"/>
        <v>0</v>
      </c>
      <c r="BW534">
        <f t="shared" si="151"/>
        <v>0</v>
      </c>
      <c r="BX534">
        <f t="shared" si="152"/>
        <v>0</v>
      </c>
    </row>
    <row r="535" spans="58:76" x14ac:dyDescent="0.25">
      <c r="BF535" s="1" t="e">
        <f>VLOOKUP(N535,'Incoming Material Report'!H:M,6,FALSE)</f>
        <v>#N/A</v>
      </c>
      <c r="BG535" s="1" t="e">
        <f>IF(VLOOKUP(N535,'Incoming Material Report'!H:N,7,FALSE)=0,"",VLOOKUP(N535,'Incoming Material Report'!H:N,7,FALSE))</f>
        <v>#N/A</v>
      </c>
      <c r="BH535" s="52">
        <f t="shared" si="136"/>
        <v>0</v>
      </c>
      <c r="BI535" s="1">
        <f t="shared" si="137"/>
        <v>0</v>
      </c>
      <c r="BJ535" s="1">
        <f t="shared" si="138"/>
        <v>0</v>
      </c>
      <c r="BK535" s="1">
        <f t="shared" si="139"/>
        <v>0</v>
      </c>
      <c r="BL535" s="1">
        <f t="shared" si="140"/>
        <v>0</v>
      </c>
      <c r="BM535" s="10" t="str">
        <f t="shared" si="141"/>
        <v/>
      </c>
      <c r="BN535" s="52">
        <f t="shared" si="142"/>
        <v>0</v>
      </c>
      <c r="BO535" s="52">
        <f t="shared" si="143"/>
        <v>0</v>
      </c>
      <c r="BP535" s="1">
        <f t="shared" si="144"/>
        <v>0</v>
      </c>
      <c r="BQ535" s="1">
        <f t="shared" si="145"/>
        <v>0</v>
      </c>
      <c r="BR535" s="1" t="str">
        <f t="shared" si="146"/>
        <v/>
      </c>
      <c r="BS535" s="1">
        <f t="shared" si="147"/>
        <v>0</v>
      </c>
      <c r="BT535" s="4">
        <f t="shared" si="148"/>
        <v>0</v>
      </c>
      <c r="BU535" s="52">
        <f t="shared" si="149"/>
        <v>0</v>
      </c>
      <c r="BV535" s="1">
        <f t="shared" si="150"/>
        <v>0</v>
      </c>
      <c r="BW535">
        <f t="shared" si="151"/>
        <v>0</v>
      </c>
      <c r="BX535">
        <f t="shared" si="152"/>
        <v>0</v>
      </c>
    </row>
    <row r="536" spans="58:76" x14ac:dyDescent="0.25">
      <c r="BF536" s="1" t="e">
        <f>VLOOKUP(N536,'Incoming Material Report'!H:M,6,FALSE)</f>
        <v>#N/A</v>
      </c>
      <c r="BG536" s="1" t="e">
        <f>IF(VLOOKUP(N536,'Incoming Material Report'!H:N,7,FALSE)=0,"",VLOOKUP(N536,'Incoming Material Report'!H:N,7,FALSE))</f>
        <v>#N/A</v>
      </c>
      <c r="BH536" s="52">
        <f t="shared" si="136"/>
        <v>0</v>
      </c>
      <c r="BI536" s="1">
        <f t="shared" si="137"/>
        <v>0</v>
      </c>
      <c r="BJ536" s="1">
        <f t="shared" si="138"/>
        <v>0</v>
      </c>
      <c r="BK536" s="1">
        <f t="shared" si="139"/>
        <v>0</v>
      </c>
      <c r="BL536" s="1">
        <f t="shared" si="140"/>
        <v>0</v>
      </c>
      <c r="BM536" s="10" t="str">
        <f t="shared" si="141"/>
        <v/>
      </c>
      <c r="BN536" s="52">
        <f t="shared" si="142"/>
        <v>0</v>
      </c>
      <c r="BO536" s="52">
        <f t="shared" si="143"/>
        <v>0</v>
      </c>
      <c r="BP536" s="1">
        <f t="shared" si="144"/>
        <v>0</v>
      </c>
      <c r="BQ536" s="1">
        <f t="shared" si="145"/>
        <v>0</v>
      </c>
      <c r="BR536" s="1" t="str">
        <f t="shared" si="146"/>
        <v/>
      </c>
      <c r="BS536" s="1">
        <f t="shared" si="147"/>
        <v>0</v>
      </c>
      <c r="BT536" s="4">
        <f t="shared" si="148"/>
        <v>0</v>
      </c>
      <c r="BU536" s="52">
        <f t="shared" si="149"/>
        <v>0</v>
      </c>
      <c r="BV536" s="1">
        <f t="shared" si="150"/>
        <v>0</v>
      </c>
      <c r="BW536">
        <f t="shared" si="151"/>
        <v>0</v>
      </c>
      <c r="BX536">
        <f t="shared" si="152"/>
        <v>0</v>
      </c>
    </row>
    <row r="537" spans="58:76" x14ac:dyDescent="0.25">
      <c r="BF537" s="1" t="e">
        <f>VLOOKUP(N537,'Incoming Material Report'!H:M,6,FALSE)</f>
        <v>#N/A</v>
      </c>
      <c r="BG537" s="1" t="e">
        <f>IF(VLOOKUP(N537,'Incoming Material Report'!H:N,7,FALSE)=0,"",VLOOKUP(N537,'Incoming Material Report'!H:N,7,FALSE))</f>
        <v>#N/A</v>
      </c>
      <c r="BH537" s="52">
        <f t="shared" si="136"/>
        <v>0</v>
      </c>
      <c r="BI537" s="1">
        <f t="shared" si="137"/>
        <v>0</v>
      </c>
      <c r="BJ537" s="1">
        <f t="shared" si="138"/>
        <v>0</v>
      </c>
      <c r="BK537" s="1">
        <f t="shared" si="139"/>
        <v>0</v>
      </c>
      <c r="BL537" s="1">
        <f t="shared" si="140"/>
        <v>0</v>
      </c>
      <c r="BM537" s="10" t="str">
        <f t="shared" si="141"/>
        <v/>
      </c>
      <c r="BN537" s="52">
        <f t="shared" si="142"/>
        <v>0</v>
      </c>
      <c r="BO537" s="52">
        <f t="shared" si="143"/>
        <v>0</v>
      </c>
      <c r="BP537" s="1">
        <f t="shared" si="144"/>
        <v>0</v>
      </c>
      <c r="BQ537" s="1">
        <f t="shared" si="145"/>
        <v>0</v>
      </c>
      <c r="BR537" s="1" t="str">
        <f t="shared" si="146"/>
        <v/>
      </c>
      <c r="BS537" s="1">
        <f t="shared" si="147"/>
        <v>0</v>
      </c>
      <c r="BT537" s="4">
        <f t="shared" si="148"/>
        <v>0</v>
      </c>
      <c r="BU537" s="52">
        <f t="shared" si="149"/>
        <v>0</v>
      </c>
      <c r="BV537" s="1">
        <f t="shared" si="150"/>
        <v>0</v>
      </c>
      <c r="BW537">
        <f t="shared" si="151"/>
        <v>0</v>
      </c>
      <c r="BX537">
        <f t="shared" si="152"/>
        <v>0</v>
      </c>
    </row>
    <row r="538" spans="58:76" x14ac:dyDescent="0.25">
      <c r="BF538" s="1" t="e">
        <f>VLOOKUP(N538,'Incoming Material Report'!H:M,6,FALSE)</f>
        <v>#N/A</v>
      </c>
      <c r="BG538" s="1" t="e">
        <f>IF(VLOOKUP(N538,'Incoming Material Report'!H:N,7,FALSE)=0,"",VLOOKUP(N538,'Incoming Material Report'!H:N,7,FALSE))</f>
        <v>#N/A</v>
      </c>
      <c r="BH538" s="52">
        <f t="shared" si="136"/>
        <v>0</v>
      </c>
      <c r="BI538" s="1">
        <f t="shared" si="137"/>
        <v>0</v>
      </c>
      <c r="BJ538" s="1">
        <f t="shared" si="138"/>
        <v>0</v>
      </c>
      <c r="BK538" s="1">
        <f t="shared" si="139"/>
        <v>0</v>
      </c>
      <c r="BL538" s="1">
        <f t="shared" si="140"/>
        <v>0</v>
      </c>
      <c r="BM538" s="10" t="str">
        <f t="shared" si="141"/>
        <v/>
      </c>
      <c r="BN538" s="52">
        <f t="shared" si="142"/>
        <v>0</v>
      </c>
      <c r="BO538" s="52">
        <f t="shared" si="143"/>
        <v>0</v>
      </c>
      <c r="BP538" s="1">
        <f t="shared" si="144"/>
        <v>0</v>
      </c>
      <c r="BQ538" s="1">
        <f t="shared" si="145"/>
        <v>0</v>
      </c>
      <c r="BR538" s="1" t="str">
        <f t="shared" si="146"/>
        <v/>
      </c>
      <c r="BS538" s="1">
        <f t="shared" si="147"/>
        <v>0</v>
      </c>
      <c r="BT538" s="4">
        <f t="shared" si="148"/>
        <v>0</v>
      </c>
      <c r="BU538" s="52">
        <f t="shared" si="149"/>
        <v>0</v>
      </c>
      <c r="BV538" s="1">
        <f t="shared" si="150"/>
        <v>0</v>
      </c>
      <c r="BW538">
        <f t="shared" si="151"/>
        <v>0</v>
      </c>
      <c r="BX538">
        <f t="shared" si="152"/>
        <v>0</v>
      </c>
    </row>
    <row r="539" spans="58:76" x14ac:dyDescent="0.25">
      <c r="BF539" s="1" t="e">
        <f>VLOOKUP(N539,'Incoming Material Report'!H:M,6,FALSE)</f>
        <v>#N/A</v>
      </c>
      <c r="BG539" s="1" t="e">
        <f>IF(VLOOKUP(N539,'Incoming Material Report'!H:N,7,FALSE)=0,"",VLOOKUP(N539,'Incoming Material Report'!H:N,7,FALSE))</f>
        <v>#N/A</v>
      </c>
      <c r="BH539" s="52">
        <f t="shared" si="136"/>
        <v>0</v>
      </c>
      <c r="BI539" s="1">
        <f t="shared" si="137"/>
        <v>0</v>
      </c>
      <c r="BJ539" s="1">
        <f t="shared" si="138"/>
        <v>0</v>
      </c>
      <c r="BK539" s="1">
        <f t="shared" si="139"/>
        <v>0</v>
      </c>
      <c r="BL539" s="1">
        <f t="shared" si="140"/>
        <v>0</v>
      </c>
      <c r="BM539" s="10" t="str">
        <f t="shared" si="141"/>
        <v/>
      </c>
      <c r="BN539" s="52">
        <f t="shared" si="142"/>
        <v>0</v>
      </c>
      <c r="BO539" s="52">
        <f t="shared" si="143"/>
        <v>0</v>
      </c>
      <c r="BP539" s="1">
        <f t="shared" si="144"/>
        <v>0</v>
      </c>
      <c r="BQ539" s="1">
        <f t="shared" si="145"/>
        <v>0</v>
      </c>
      <c r="BR539" s="1" t="str">
        <f t="shared" si="146"/>
        <v/>
      </c>
      <c r="BS539" s="1">
        <f t="shared" si="147"/>
        <v>0</v>
      </c>
      <c r="BT539" s="4">
        <f t="shared" si="148"/>
        <v>0</v>
      </c>
      <c r="BU539" s="52">
        <f t="shared" si="149"/>
        <v>0</v>
      </c>
      <c r="BV539" s="1">
        <f t="shared" si="150"/>
        <v>0</v>
      </c>
      <c r="BW539">
        <f t="shared" si="151"/>
        <v>0</v>
      </c>
      <c r="BX539">
        <f t="shared" si="152"/>
        <v>0</v>
      </c>
    </row>
    <row r="540" spans="58:76" x14ac:dyDescent="0.25">
      <c r="BF540" s="1" t="e">
        <f>VLOOKUP(N540,'Incoming Material Report'!H:M,6,FALSE)</f>
        <v>#N/A</v>
      </c>
      <c r="BG540" s="1" t="e">
        <f>IF(VLOOKUP(N540,'Incoming Material Report'!H:N,7,FALSE)=0,"",VLOOKUP(N540,'Incoming Material Report'!H:N,7,FALSE))</f>
        <v>#N/A</v>
      </c>
      <c r="BH540" s="52">
        <f t="shared" si="136"/>
        <v>0</v>
      </c>
      <c r="BI540" s="1">
        <f t="shared" si="137"/>
        <v>0</v>
      </c>
      <c r="BJ540" s="1">
        <f t="shared" si="138"/>
        <v>0</v>
      </c>
      <c r="BK540" s="1">
        <f t="shared" si="139"/>
        <v>0</v>
      </c>
      <c r="BL540" s="1">
        <f t="shared" si="140"/>
        <v>0</v>
      </c>
      <c r="BM540" s="10" t="str">
        <f t="shared" si="141"/>
        <v/>
      </c>
      <c r="BN540" s="52">
        <f t="shared" si="142"/>
        <v>0</v>
      </c>
      <c r="BO540" s="52">
        <f t="shared" si="143"/>
        <v>0</v>
      </c>
      <c r="BP540" s="1">
        <f t="shared" si="144"/>
        <v>0</v>
      </c>
      <c r="BQ540" s="1">
        <f t="shared" si="145"/>
        <v>0</v>
      </c>
      <c r="BR540" s="1" t="str">
        <f t="shared" si="146"/>
        <v/>
      </c>
      <c r="BS540" s="1">
        <f t="shared" si="147"/>
        <v>0</v>
      </c>
      <c r="BT540" s="4">
        <f t="shared" si="148"/>
        <v>0</v>
      </c>
      <c r="BU540" s="52">
        <f t="shared" si="149"/>
        <v>0</v>
      </c>
      <c r="BV540" s="1">
        <f t="shared" si="150"/>
        <v>0</v>
      </c>
      <c r="BW540">
        <f t="shared" si="151"/>
        <v>0</v>
      </c>
      <c r="BX540">
        <f t="shared" si="152"/>
        <v>0</v>
      </c>
    </row>
    <row r="541" spans="58:76" x14ac:dyDescent="0.25">
      <c r="BF541" s="1" t="e">
        <f>VLOOKUP(N541,'Incoming Material Report'!H:M,6,FALSE)</f>
        <v>#N/A</v>
      </c>
      <c r="BG541" s="1" t="e">
        <f>IF(VLOOKUP(N541,'Incoming Material Report'!H:N,7,FALSE)=0,"",VLOOKUP(N541,'Incoming Material Report'!H:N,7,FALSE))</f>
        <v>#N/A</v>
      </c>
      <c r="BH541" s="52">
        <f t="shared" si="136"/>
        <v>0</v>
      </c>
      <c r="BI541" s="1">
        <f t="shared" si="137"/>
        <v>0</v>
      </c>
      <c r="BJ541" s="1">
        <f t="shared" si="138"/>
        <v>0</v>
      </c>
      <c r="BK541" s="1">
        <f t="shared" si="139"/>
        <v>0</v>
      </c>
      <c r="BL541" s="1">
        <f t="shared" si="140"/>
        <v>0</v>
      </c>
      <c r="BM541" s="10" t="str">
        <f t="shared" si="141"/>
        <v/>
      </c>
      <c r="BN541" s="52">
        <f t="shared" si="142"/>
        <v>0</v>
      </c>
      <c r="BO541" s="52">
        <f t="shared" si="143"/>
        <v>0</v>
      </c>
      <c r="BP541" s="1">
        <f t="shared" si="144"/>
        <v>0</v>
      </c>
      <c r="BQ541" s="1">
        <f t="shared" si="145"/>
        <v>0</v>
      </c>
      <c r="BR541" s="1" t="str">
        <f t="shared" si="146"/>
        <v/>
      </c>
      <c r="BS541" s="1">
        <f t="shared" si="147"/>
        <v>0</v>
      </c>
      <c r="BT541" s="4">
        <f t="shared" si="148"/>
        <v>0</v>
      </c>
      <c r="BU541" s="52">
        <f t="shared" si="149"/>
        <v>0</v>
      </c>
      <c r="BV541" s="1">
        <f t="shared" si="150"/>
        <v>0</v>
      </c>
      <c r="BW541">
        <f t="shared" si="151"/>
        <v>0</v>
      </c>
      <c r="BX541">
        <f t="shared" si="152"/>
        <v>0</v>
      </c>
    </row>
    <row r="542" spans="58:76" x14ac:dyDescent="0.25">
      <c r="BF542" s="1" t="e">
        <f>VLOOKUP(N542,'Incoming Material Report'!H:M,6,FALSE)</f>
        <v>#N/A</v>
      </c>
      <c r="BG542" s="1" t="e">
        <f>IF(VLOOKUP(N542,'Incoming Material Report'!H:N,7,FALSE)=0,"",VLOOKUP(N542,'Incoming Material Report'!H:N,7,FALSE))</f>
        <v>#N/A</v>
      </c>
      <c r="BH542" s="52">
        <f t="shared" si="136"/>
        <v>0</v>
      </c>
      <c r="BI542" s="1">
        <f t="shared" si="137"/>
        <v>0</v>
      </c>
      <c r="BJ542" s="1">
        <f t="shared" si="138"/>
        <v>0</v>
      </c>
      <c r="BK542" s="1">
        <f t="shared" si="139"/>
        <v>0</v>
      </c>
      <c r="BL542" s="1">
        <f t="shared" si="140"/>
        <v>0</v>
      </c>
      <c r="BM542" s="10" t="str">
        <f t="shared" si="141"/>
        <v/>
      </c>
      <c r="BN542" s="52">
        <f t="shared" si="142"/>
        <v>0</v>
      </c>
      <c r="BO542" s="52">
        <f t="shared" si="143"/>
        <v>0</v>
      </c>
      <c r="BP542" s="1">
        <f t="shared" si="144"/>
        <v>0</v>
      </c>
      <c r="BQ542" s="1">
        <f t="shared" si="145"/>
        <v>0</v>
      </c>
      <c r="BR542" s="1" t="str">
        <f t="shared" si="146"/>
        <v/>
      </c>
      <c r="BS542" s="1">
        <f t="shared" si="147"/>
        <v>0</v>
      </c>
      <c r="BT542" s="4">
        <f t="shared" si="148"/>
        <v>0</v>
      </c>
      <c r="BU542" s="52">
        <f t="shared" si="149"/>
        <v>0</v>
      </c>
      <c r="BV542" s="1">
        <f t="shared" si="150"/>
        <v>0</v>
      </c>
      <c r="BW542">
        <f t="shared" si="151"/>
        <v>0</v>
      </c>
      <c r="BX542">
        <f t="shared" si="152"/>
        <v>0</v>
      </c>
    </row>
    <row r="543" spans="58:76" x14ac:dyDescent="0.25">
      <c r="BF543" s="1" t="e">
        <f>VLOOKUP(N543,'Incoming Material Report'!H:M,6,FALSE)</f>
        <v>#N/A</v>
      </c>
      <c r="BG543" s="1" t="e">
        <f>IF(VLOOKUP(N543,'Incoming Material Report'!H:N,7,FALSE)=0,"",VLOOKUP(N543,'Incoming Material Report'!H:N,7,FALSE))</f>
        <v>#N/A</v>
      </c>
      <c r="BH543" s="52">
        <f t="shared" si="136"/>
        <v>0</v>
      </c>
      <c r="BI543" s="1">
        <f t="shared" si="137"/>
        <v>0</v>
      </c>
      <c r="BJ543" s="1">
        <f t="shared" si="138"/>
        <v>0</v>
      </c>
      <c r="BK543" s="1">
        <f t="shared" si="139"/>
        <v>0</v>
      </c>
      <c r="BL543" s="1">
        <f t="shared" si="140"/>
        <v>0</v>
      </c>
      <c r="BM543" s="10" t="str">
        <f t="shared" si="141"/>
        <v/>
      </c>
      <c r="BN543" s="52">
        <f t="shared" si="142"/>
        <v>0</v>
      </c>
      <c r="BO543" s="52">
        <f t="shared" si="143"/>
        <v>0</v>
      </c>
      <c r="BP543" s="1">
        <f t="shared" si="144"/>
        <v>0</v>
      </c>
      <c r="BQ543" s="1">
        <f t="shared" si="145"/>
        <v>0</v>
      </c>
      <c r="BR543" s="1" t="str">
        <f t="shared" si="146"/>
        <v/>
      </c>
      <c r="BS543" s="1">
        <f t="shared" si="147"/>
        <v>0</v>
      </c>
      <c r="BT543" s="4">
        <f t="shared" si="148"/>
        <v>0</v>
      </c>
      <c r="BU543" s="52">
        <f t="shared" si="149"/>
        <v>0</v>
      </c>
      <c r="BV543" s="1">
        <f t="shared" si="150"/>
        <v>0</v>
      </c>
      <c r="BW543">
        <f t="shared" si="151"/>
        <v>0</v>
      </c>
      <c r="BX543">
        <f t="shared" si="152"/>
        <v>0</v>
      </c>
    </row>
    <row r="544" spans="58:76" x14ac:dyDescent="0.25">
      <c r="BF544" s="1" t="e">
        <f>VLOOKUP(N544,'Incoming Material Report'!H:M,6,FALSE)</f>
        <v>#N/A</v>
      </c>
      <c r="BG544" s="1" t="e">
        <f>IF(VLOOKUP(N544,'Incoming Material Report'!H:N,7,FALSE)=0,"",VLOOKUP(N544,'Incoming Material Report'!H:N,7,FALSE))</f>
        <v>#N/A</v>
      </c>
      <c r="BH544" s="52">
        <f t="shared" si="136"/>
        <v>0</v>
      </c>
      <c r="BI544" s="1">
        <f t="shared" si="137"/>
        <v>0</v>
      </c>
      <c r="BJ544" s="1">
        <f t="shared" si="138"/>
        <v>0</v>
      </c>
      <c r="BK544" s="1">
        <f t="shared" si="139"/>
        <v>0</v>
      </c>
      <c r="BL544" s="1">
        <f t="shared" si="140"/>
        <v>0</v>
      </c>
      <c r="BM544" s="10" t="str">
        <f t="shared" si="141"/>
        <v/>
      </c>
      <c r="BN544" s="52">
        <f t="shared" si="142"/>
        <v>0</v>
      </c>
      <c r="BO544" s="52">
        <f t="shared" si="143"/>
        <v>0</v>
      </c>
      <c r="BP544" s="1">
        <f t="shared" si="144"/>
        <v>0</v>
      </c>
      <c r="BQ544" s="1">
        <f t="shared" si="145"/>
        <v>0</v>
      </c>
      <c r="BR544" s="1" t="str">
        <f t="shared" si="146"/>
        <v/>
      </c>
      <c r="BS544" s="1">
        <f t="shared" si="147"/>
        <v>0</v>
      </c>
      <c r="BT544" s="4">
        <f t="shared" si="148"/>
        <v>0</v>
      </c>
      <c r="BU544" s="52">
        <f t="shared" si="149"/>
        <v>0</v>
      </c>
      <c r="BV544" s="1">
        <f t="shared" si="150"/>
        <v>0</v>
      </c>
      <c r="BW544">
        <f t="shared" si="151"/>
        <v>0</v>
      </c>
      <c r="BX544">
        <f t="shared" si="152"/>
        <v>0</v>
      </c>
    </row>
    <row r="545" spans="58:76" x14ac:dyDescent="0.25">
      <c r="BF545" s="1" t="e">
        <f>VLOOKUP(N545,'Incoming Material Report'!H:M,6,FALSE)</f>
        <v>#N/A</v>
      </c>
      <c r="BG545" s="1" t="e">
        <f>IF(VLOOKUP(N545,'Incoming Material Report'!H:N,7,FALSE)=0,"",VLOOKUP(N545,'Incoming Material Report'!H:N,7,FALSE))</f>
        <v>#N/A</v>
      </c>
      <c r="BH545" s="52">
        <f t="shared" si="136"/>
        <v>0</v>
      </c>
      <c r="BI545" s="1">
        <f t="shared" si="137"/>
        <v>0</v>
      </c>
      <c r="BJ545" s="1">
        <f t="shared" si="138"/>
        <v>0</v>
      </c>
      <c r="BK545" s="1">
        <f t="shared" si="139"/>
        <v>0</v>
      </c>
      <c r="BL545" s="1">
        <f t="shared" si="140"/>
        <v>0</v>
      </c>
      <c r="BM545" s="10" t="str">
        <f t="shared" si="141"/>
        <v/>
      </c>
      <c r="BN545" s="52">
        <f t="shared" si="142"/>
        <v>0</v>
      </c>
      <c r="BO545" s="52">
        <f t="shared" si="143"/>
        <v>0</v>
      </c>
      <c r="BP545" s="1">
        <f t="shared" si="144"/>
        <v>0</v>
      </c>
      <c r="BQ545" s="1">
        <f t="shared" si="145"/>
        <v>0</v>
      </c>
      <c r="BR545" s="1" t="str">
        <f t="shared" si="146"/>
        <v/>
      </c>
      <c r="BS545" s="1">
        <f t="shared" si="147"/>
        <v>0</v>
      </c>
      <c r="BT545" s="4">
        <f t="shared" si="148"/>
        <v>0</v>
      </c>
      <c r="BU545" s="52">
        <f t="shared" si="149"/>
        <v>0</v>
      </c>
      <c r="BV545" s="1">
        <f t="shared" si="150"/>
        <v>0</v>
      </c>
      <c r="BW545">
        <f t="shared" si="151"/>
        <v>0</v>
      </c>
      <c r="BX545">
        <f t="shared" si="152"/>
        <v>0</v>
      </c>
    </row>
    <row r="546" spans="58:76" x14ac:dyDescent="0.25">
      <c r="BF546" s="1" t="e">
        <f>VLOOKUP(N546,'Incoming Material Report'!H:M,6,FALSE)</f>
        <v>#N/A</v>
      </c>
      <c r="BG546" s="1" t="e">
        <f>IF(VLOOKUP(N546,'Incoming Material Report'!H:N,7,FALSE)=0,"",VLOOKUP(N546,'Incoming Material Report'!H:N,7,FALSE))</f>
        <v>#N/A</v>
      </c>
      <c r="BH546" s="52">
        <f t="shared" si="136"/>
        <v>0</v>
      </c>
      <c r="BI546" s="1">
        <f t="shared" si="137"/>
        <v>0</v>
      </c>
      <c r="BJ546" s="1">
        <f t="shared" si="138"/>
        <v>0</v>
      </c>
      <c r="BK546" s="1">
        <f t="shared" si="139"/>
        <v>0</v>
      </c>
      <c r="BL546" s="1">
        <f t="shared" si="140"/>
        <v>0</v>
      </c>
      <c r="BM546" s="10" t="str">
        <f t="shared" si="141"/>
        <v/>
      </c>
      <c r="BN546" s="52">
        <f t="shared" si="142"/>
        <v>0</v>
      </c>
      <c r="BO546" s="52">
        <f t="shared" si="143"/>
        <v>0</v>
      </c>
      <c r="BP546" s="1">
        <f t="shared" si="144"/>
        <v>0</v>
      </c>
      <c r="BQ546" s="1">
        <f t="shared" si="145"/>
        <v>0</v>
      </c>
      <c r="BR546" s="1" t="str">
        <f t="shared" si="146"/>
        <v/>
      </c>
      <c r="BS546" s="1">
        <f t="shared" si="147"/>
        <v>0</v>
      </c>
      <c r="BT546" s="4">
        <f t="shared" si="148"/>
        <v>0</v>
      </c>
      <c r="BU546" s="52">
        <f t="shared" si="149"/>
        <v>0</v>
      </c>
      <c r="BV546" s="1">
        <f t="shared" si="150"/>
        <v>0</v>
      </c>
      <c r="BW546">
        <f t="shared" si="151"/>
        <v>0</v>
      </c>
      <c r="BX546">
        <f t="shared" si="152"/>
        <v>0</v>
      </c>
    </row>
    <row r="547" spans="58:76" x14ac:dyDescent="0.25">
      <c r="BF547" s="1" t="e">
        <f>VLOOKUP(N547,'Incoming Material Report'!H:M,6,FALSE)</f>
        <v>#N/A</v>
      </c>
      <c r="BG547" s="1" t="e">
        <f>IF(VLOOKUP(N547,'Incoming Material Report'!H:N,7,FALSE)=0,"",VLOOKUP(N547,'Incoming Material Report'!H:N,7,FALSE))</f>
        <v>#N/A</v>
      </c>
      <c r="BH547" s="52">
        <f t="shared" si="136"/>
        <v>0</v>
      </c>
      <c r="BI547" s="1">
        <f t="shared" si="137"/>
        <v>0</v>
      </c>
      <c r="BJ547" s="1">
        <f t="shared" si="138"/>
        <v>0</v>
      </c>
      <c r="BK547" s="1">
        <f t="shared" si="139"/>
        <v>0</v>
      </c>
      <c r="BL547" s="1">
        <f t="shared" si="140"/>
        <v>0</v>
      </c>
      <c r="BM547" s="10" t="str">
        <f t="shared" si="141"/>
        <v/>
      </c>
      <c r="BN547" s="52">
        <f t="shared" si="142"/>
        <v>0</v>
      </c>
      <c r="BO547" s="52">
        <f t="shared" si="143"/>
        <v>0</v>
      </c>
      <c r="BP547" s="1">
        <f t="shared" si="144"/>
        <v>0</v>
      </c>
      <c r="BQ547" s="1">
        <f t="shared" si="145"/>
        <v>0</v>
      </c>
      <c r="BR547" s="1" t="str">
        <f t="shared" si="146"/>
        <v/>
      </c>
      <c r="BS547" s="1">
        <f t="shared" si="147"/>
        <v>0</v>
      </c>
      <c r="BT547" s="4">
        <f t="shared" si="148"/>
        <v>0</v>
      </c>
      <c r="BU547" s="52">
        <f t="shared" si="149"/>
        <v>0</v>
      </c>
      <c r="BV547" s="1">
        <f t="shared" si="150"/>
        <v>0</v>
      </c>
      <c r="BW547">
        <f t="shared" si="151"/>
        <v>0</v>
      </c>
      <c r="BX547">
        <f t="shared" si="152"/>
        <v>0</v>
      </c>
    </row>
    <row r="548" spans="58:76" x14ac:dyDescent="0.25">
      <c r="BF548" s="1" t="e">
        <f>VLOOKUP(N548,'Incoming Material Report'!H:M,6,FALSE)</f>
        <v>#N/A</v>
      </c>
      <c r="BG548" s="1" t="e">
        <f>IF(VLOOKUP(N548,'Incoming Material Report'!H:N,7,FALSE)=0,"",VLOOKUP(N548,'Incoming Material Report'!H:N,7,FALSE))</f>
        <v>#N/A</v>
      </c>
      <c r="BH548" s="52">
        <f t="shared" si="136"/>
        <v>0</v>
      </c>
      <c r="BI548" s="1">
        <f t="shared" si="137"/>
        <v>0</v>
      </c>
      <c r="BJ548" s="1">
        <f t="shared" si="138"/>
        <v>0</v>
      </c>
      <c r="BK548" s="1">
        <f t="shared" si="139"/>
        <v>0</v>
      </c>
      <c r="BL548" s="1">
        <f t="shared" si="140"/>
        <v>0</v>
      </c>
      <c r="BM548" s="10" t="str">
        <f t="shared" si="141"/>
        <v/>
      </c>
      <c r="BN548" s="52">
        <f t="shared" si="142"/>
        <v>0</v>
      </c>
      <c r="BO548" s="52">
        <f t="shared" si="143"/>
        <v>0</v>
      </c>
      <c r="BP548" s="1">
        <f t="shared" si="144"/>
        <v>0</v>
      </c>
      <c r="BQ548" s="1">
        <f t="shared" si="145"/>
        <v>0</v>
      </c>
      <c r="BR548" s="1" t="str">
        <f t="shared" si="146"/>
        <v/>
      </c>
      <c r="BS548" s="1">
        <f t="shared" si="147"/>
        <v>0</v>
      </c>
      <c r="BT548" s="4">
        <f t="shared" si="148"/>
        <v>0</v>
      </c>
      <c r="BU548" s="52">
        <f t="shared" si="149"/>
        <v>0</v>
      </c>
      <c r="BV548" s="1">
        <f t="shared" si="150"/>
        <v>0</v>
      </c>
      <c r="BW548">
        <f t="shared" si="151"/>
        <v>0</v>
      </c>
      <c r="BX548">
        <f t="shared" si="152"/>
        <v>0</v>
      </c>
    </row>
    <row r="549" spans="58:76" x14ac:dyDescent="0.25">
      <c r="BF549" s="1" t="e">
        <f>VLOOKUP(N549,'Incoming Material Report'!H:M,6,FALSE)</f>
        <v>#N/A</v>
      </c>
      <c r="BG549" s="1" t="e">
        <f>IF(VLOOKUP(N549,'Incoming Material Report'!H:N,7,FALSE)=0,"",VLOOKUP(N549,'Incoming Material Report'!H:N,7,FALSE))</f>
        <v>#N/A</v>
      </c>
      <c r="BH549" s="52">
        <f t="shared" si="136"/>
        <v>0</v>
      </c>
      <c r="BI549" s="1">
        <f t="shared" si="137"/>
        <v>0</v>
      </c>
      <c r="BJ549" s="1">
        <f t="shared" si="138"/>
        <v>0</v>
      </c>
      <c r="BK549" s="1">
        <f t="shared" si="139"/>
        <v>0</v>
      </c>
      <c r="BL549" s="1">
        <f t="shared" si="140"/>
        <v>0</v>
      </c>
      <c r="BM549" s="10" t="str">
        <f t="shared" si="141"/>
        <v/>
      </c>
      <c r="BN549" s="52">
        <f t="shared" si="142"/>
        <v>0</v>
      </c>
      <c r="BO549" s="52">
        <f t="shared" si="143"/>
        <v>0</v>
      </c>
      <c r="BP549" s="1">
        <f t="shared" si="144"/>
        <v>0</v>
      </c>
      <c r="BQ549" s="1">
        <f t="shared" si="145"/>
        <v>0</v>
      </c>
      <c r="BR549" s="1" t="str">
        <f t="shared" si="146"/>
        <v/>
      </c>
      <c r="BS549" s="1">
        <f t="shared" si="147"/>
        <v>0</v>
      </c>
      <c r="BT549" s="4">
        <f t="shared" si="148"/>
        <v>0</v>
      </c>
      <c r="BU549" s="52">
        <f t="shared" si="149"/>
        <v>0</v>
      </c>
      <c r="BV549" s="1">
        <f t="shared" si="150"/>
        <v>0</v>
      </c>
      <c r="BW549">
        <f t="shared" si="151"/>
        <v>0</v>
      </c>
      <c r="BX549">
        <f t="shared" si="152"/>
        <v>0</v>
      </c>
    </row>
    <row r="550" spans="58:76" x14ac:dyDescent="0.25">
      <c r="BF550" s="1" t="e">
        <f>VLOOKUP(N550,'Incoming Material Report'!H:M,6,FALSE)</f>
        <v>#N/A</v>
      </c>
      <c r="BG550" s="1" t="e">
        <f>IF(VLOOKUP(N550,'Incoming Material Report'!H:N,7,FALSE)=0,"",VLOOKUP(N550,'Incoming Material Report'!H:N,7,FALSE))</f>
        <v>#N/A</v>
      </c>
      <c r="BH550" s="52">
        <f t="shared" si="136"/>
        <v>0</v>
      </c>
      <c r="BI550" s="1">
        <f t="shared" si="137"/>
        <v>0</v>
      </c>
      <c r="BJ550" s="1">
        <f t="shared" si="138"/>
        <v>0</v>
      </c>
      <c r="BK550" s="1">
        <f t="shared" si="139"/>
        <v>0</v>
      </c>
      <c r="BL550" s="1">
        <f t="shared" si="140"/>
        <v>0</v>
      </c>
      <c r="BM550" s="10" t="str">
        <f t="shared" si="141"/>
        <v/>
      </c>
      <c r="BN550" s="52">
        <f t="shared" si="142"/>
        <v>0</v>
      </c>
      <c r="BO550" s="52">
        <f t="shared" si="143"/>
        <v>0</v>
      </c>
      <c r="BP550" s="1">
        <f t="shared" si="144"/>
        <v>0</v>
      </c>
      <c r="BQ550" s="1">
        <f t="shared" si="145"/>
        <v>0</v>
      </c>
      <c r="BR550" s="1" t="str">
        <f t="shared" si="146"/>
        <v/>
      </c>
      <c r="BS550" s="1">
        <f t="shared" si="147"/>
        <v>0</v>
      </c>
      <c r="BT550" s="4">
        <f t="shared" si="148"/>
        <v>0</v>
      </c>
      <c r="BU550" s="52">
        <f t="shared" si="149"/>
        <v>0</v>
      </c>
      <c r="BV550" s="1">
        <f t="shared" si="150"/>
        <v>0</v>
      </c>
      <c r="BW550">
        <f t="shared" si="151"/>
        <v>0</v>
      </c>
      <c r="BX550">
        <f t="shared" si="152"/>
        <v>0</v>
      </c>
    </row>
    <row r="551" spans="58:76" x14ac:dyDescent="0.25">
      <c r="BF551" s="1" t="e">
        <f>VLOOKUP(N551,'Incoming Material Report'!H:M,6,FALSE)</f>
        <v>#N/A</v>
      </c>
      <c r="BG551" s="1" t="e">
        <f>IF(VLOOKUP(N551,'Incoming Material Report'!H:N,7,FALSE)=0,"",VLOOKUP(N551,'Incoming Material Report'!H:N,7,FALSE))</f>
        <v>#N/A</v>
      </c>
      <c r="BH551" s="52">
        <f t="shared" si="136"/>
        <v>0</v>
      </c>
      <c r="BI551" s="1">
        <f t="shared" si="137"/>
        <v>0</v>
      </c>
      <c r="BJ551" s="1">
        <f t="shared" si="138"/>
        <v>0</v>
      </c>
      <c r="BK551" s="1">
        <f t="shared" si="139"/>
        <v>0</v>
      </c>
      <c r="BL551" s="1">
        <f t="shared" si="140"/>
        <v>0</v>
      </c>
      <c r="BM551" s="10" t="str">
        <f t="shared" si="141"/>
        <v/>
      </c>
      <c r="BN551" s="52">
        <f t="shared" si="142"/>
        <v>0</v>
      </c>
      <c r="BO551" s="52">
        <f t="shared" si="143"/>
        <v>0</v>
      </c>
      <c r="BP551" s="1">
        <f t="shared" si="144"/>
        <v>0</v>
      </c>
      <c r="BQ551" s="1">
        <f t="shared" si="145"/>
        <v>0</v>
      </c>
      <c r="BR551" s="1" t="str">
        <f t="shared" si="146"/>
        <v/>
      </c>
      <c r="BS551" s="1">
        <f t="shared" si="147"/>
        <v>0</v>
      </c>
      <c r="BT551" s="4">
        <f t="shared" si="148"/>
        <v>0</v>
      </c>
      <c r="BU551" s="52">
        <f t="shared" si="149"/>
        <v>0</v>
      </c>
      <c r="BV551" s="1">
        <f t="shared" si="150"/>
        <v>0</v>
      </c>
      <c r="BW551">
        <f t="shared" si="151"/>
        <v>0</v>
      </c>
      <c r="BX551">
        <f t="shared" si="152"/>
        <v>0</v>
      </c>
    </row>
    <row r="552" spans="58:76" x14ac:dyDescent="0.25">
      <c r="BF552" s="1" t="e">
        <f>VLOOKUP(N552,'Incoming Material Report'!H:M,6,FALSE)</f>
        <v>#N/A</v>
      </c>
      <c r="BG552" s="1" t="e">
        <f>IF(VLOOKUP(N552,'Incoming Material Report'!H:N,7,FALSE)=0,"",VLOOKUP(N552,'Incoming Material Report'!H:N,7,FALSE))</f>
        <v>#N/A</v>
      </c>
      <c r="BH552" s="52">
        <f t="shared" si="136"/>
        <v>0</v>
      </c>
      <c r="BI552" s="1">
        <f t="shared" si="137"/>
        <v>0</v>
      </c>
      <c r="BJ552" s="1">
        <f t="shared" si="138"/>
        <v>0</v>
      </c>
      <c r="BK552" s="1">
        <f t="shared" si="139"/>
        <v>0</v>
      </c>
      <c r="BL552" s="1">
        <f t="shared" si="140"/>
        <v>0</v>
      </c>
      <c r="BM552" s="10" t="str">
        <f t="shared" si="141"/>
        <v/>
      </c>
      <c r="BN552" s="52">
        <f t="shared" si="142"/>
        <v>0</v>
      </c>
      <c r="BO552" s="52">
        <f t="shared" si="143"/>
        <v>0</v>
      </c>
      <c r="BP552" s="1">
        <f t="shared" si="144"/>
        <v>0</v>
      </c>
      <c r="BQ552" s="1">
        <f t="shared" si="145"/>
        <v>0</v>
      </c>
      <c r="BR552" s="1" t="str">
        <f t="shared" si="146"/>
        <v/>
      </c>
      <c r="BS552" s="1">
        <f t="shared" si="147"/>
        <v>0</v>
      </c>
      <c r="BT552" s="4">
        <f t="shared" si="148"/>
        <v>0</v>
      </c>
      <c r="BU552" s="52">
        <f t="shared" si="149"/>
        <v>0</v>
      </c>
      <c r="BV552" s="1">
        <f t="shared" si="150"/>
        <v>0</v>
      </c>
      <c r="BW552">
        <f t="shared" si="151"/>
        <v>0</v>
      </c>
      <c r="BX552">
        <f t="shared" si="152"/>
        <v>0</v>
      </c>
    </row>
    <row r="553" spans="58:76" x14ac:dyDescent="0.25">
      <c r="BF553" s="1" t="e">
        <f>VLOOKUP(N553,'Incoming Material Report'!H:M,6,FALSE)</f>
        <v>#N/A</v>
      </c>
      <c r="BG553" s="1" t="e">
        <f>IF(VLOOKUP(N553,'Incoming Material Report'!H:N,7,FALSE)=0,"",VLOOKUP(N553,'Incoming Material Report'!H:N,7,FALSE))</f>
        <v>#N/A</v>
      </c>
      <c r="BH553" s="52">
        <f t="shared" si="136"/>
        <v>0</v>
      </c>
      <c r="BI553" s="1">
        <f t="shared" si="137"/>
        <v>0</v>
      </c>
      <c r="BJ553" s="1">
        <f t="shared" si="138"/>
        <v>0</v>
      </c>
      <c r="BK553" s="1">
        <f t="shared" si="139"/>
        <v>0</v>
      </c>
      <c r="BL553" s="1">
        <f t="shared" si="140"/>
        <v>0</v>
      </c>
      <c r="BM553" s="10" t="str">
        <f t="shared" si="141"/>
        <v/>
      </c>
      <c r="BN553" s="52">
        <f t="shared" si="142"/>
        <v>0</v>
      </c>
      <c r="BO553" s="52">
        <f t="shared" si="143"/>
        <v>0</v>
      </c>
      <c r="BP553" s="1">
        <f t="shared" si="144"/>
        <v>0</v>
      </c>
      <c r="BQ553" s="1">
        <f t="shared" si="145"/>
        <v>0</v>
      </c>
      <c r="BR553" s="1" t="str">
        <f t="shared" si="146"/>
        <v/>
      </c>
      <c r="BS553" s="1">
        <f t="shared" si="147"/>
        <v>0</v>
      </c>
      <c r="BT553" s="4">
        <f t="shared" si="148"/>
        <v>0</v>
      </c>
      <c r="BU553" s="52">
        <f t="shared" si="149"/>
        <v>0</v>
      </c>
      <c r="BV553" s="1">
        <f t="shared" si="150"/>
        <v>0</v>
      </c>
      <c r="BW553">
        <f t="shared" si="151"/>
        <v>0</v>
      </c>
      <c r="BX553">
        <f t="shared" si="152"/>
        <v>0</v>
      </c>
    </row>
    <row r="554" spans="58:76" x14ac:dyDescent="0.25">
      <c r="BF554" s="1" t="e">
        <f>VLOOKUP(N554,'Incoming Material Report'!H:M,6,FALSE)</f>
        <v>#N/A</v>
      </c>
      <c r="BG554" s="1" t="e">
        <f>IF(VLOOKUP(N554,'Incoming Material Report'!H:N,7,FALSE)=0,"",VLOOKUP(N554,'Incoming Material Report'!H:N,7,FALSE))</f>
        <v>#N/A</v>
      </c>
      <c r="BH554" s="52">
        <f t="shared" si="136"/>
        <v>0</v>
      </c>
      <c r="BI554" s="1">
        <f t="shared" si="137"/>
        <v>0</v>
      </c>
      <c r="BJ554" s="1">
        <f t="shared" si="138"/>
        <v>0</v>
      </c>
      <c r="BK554" s="1">
        <f t="shared" si="139"/>
        <v>0</v>
      </c>
      <c r="BL554" s="1">
        <f t="shared" si="140"/>
        <v>0</v>
      </c>
      <c r="BM554" s="10" t="str">
        <f t="shared" si="141"/>
        <v/>
      </c>
      <c r="BN554" s="52">
        <f t="shared" si="142"/>
        <v>0</v>
      </c>
      <c r="BO554" s="52">
        <f t="shared" si="143"/>
        <v>0</v>
      </c>
      <c r="BP554" s="1">
        <f t="shared" si="144"/>
        <v>0</v>
      </c>
      <c r="BQ554" s="1">
        <f t="shared" si="145"/>
        <v>0</v>
      </c>
      <c r="BR554" s="1" t="str">
        <f t="shared" si="146"/>
        <v/>
      </c>
      <c r="BS554" s="1">
        <f t="shared" si="147"/>
        <v>0</v>
      </c>
      <c r="BT554" s="4">
        <f t="shared" si="148"/>
        <v>0</v>
      </c>
      <c r="BU554" s="52">
        <f t="shared" si="149"/>
        <v>0</v>
      </c>
      <c r="BV554" s="1">
        <f t="shared" si="150"/>
        <v>0</v>
      </c>
      <c r="BW554">
        <f t="shared" si="151"/>
        <v>0</v>
      </c>
      <c r="BX554">
        <f t="shared" si="152"/>
        <v>0</v>
      </c>
    </row>
    <row r="555" spans="58:76" x14ac:dyDescent="0.25">
      <c r="BF555" s="1" t="e">
        <f>VLOOKUP(N555,'Incoming Material Report'!H:M,6,FALSE)</f>
        <v>#N/A</v>
      </c>
      <c r="BG555" s="1" t="e">
        <f>IF(VLOOKUP(N555,'Incoming Material Report'!H:N,7,FALSE)=0,"",VLOOKUP(N555,'Incoming Material Report'!H:N,7,FALSE))</f>
        <v>#N/A</v>
      </c>
      <c r="BH555" s="52">
        <f t="shared" si="136"/>
        <v>0</v>
      </c>
      <c r="BI555" s="1">
        <f t="shared" si="137"/>
        <v>0</v>
      </c>
      <c r="BJ555" s="1">
        <f t="shared" si="138"/>
        <v>0</v>
      </c>
      <c r="BK555" s="1">
        <f t="shared" si="139"/>
        <v>0</v>
      </c>
      <c r="BL555" s="1">
        <f t="shared" si="140"/>
        <v>0</v>
      </c>
      <c r="BM555" s="10" t="str">
        <f t="shared" si="141"/>
        <v/>
      </c>
      <c r="BN555" s="52">
        <f t="shared" si="142"/>
        <v>0</v>
      </c>
      <c r="BO555" s="52">
        <f t="shared" si="143"/>
        <v>0</v>
      </c>
      <c r="BP555" s="1">
        <f t="shared" si="144"/>
        <v>0</v>
      </c>
      <c r="BQ555" s="1">
        <f t="shared" si="145"/>
        <v>0</v>
      </c>
      <c r="BR555" s="1" t="str">
        <f t="shared" si="146"/>
        <v/>
      </c>
      <c r="BS555" s="1">
        <f t="shared" si="147"/>
        <v>0</v>
      </c>
      <c r="BT555" s="4">
        <f t="shared" si="148"/>
        <v>0</v>
      </c>
      <c r="BU555" s="52">
        <f t="shared" si="149"/>
        <v>0</v>
      </c>
      <c r="BV555" s="1">
        <f t="shared" si="150"/>
        <v>0</v>
      </c>
      <c r="BW555">
        <f t="shared" si="151"/>
        <v>0</v>
      </c>
      <c r="BX555">
        <f t="shared" si="152"/>
        <v>0</v>
      </c>
    </row>
    <row r="556" spans="58:76" x14ac:dyDescent="0.25">
      <c r="BF556" s="1" t="e">
        <f>VLOOKUP(N556,'Incoming Material Report'!H:M,6,FALSE)</f>
        <v>#N/A</v>
      </c>
      <c r="BG556" s="1" t="e">
        <f>IF(VLOOKUP(N556,'Incoming Material Report'!H:N,7,FALSE)=0,"",VLOOKUP(N556,'Incoming Material Report'!H:N,7,FALSE))</f>
        <v>#N/A</v>
      </c>
      <c r="BH556" s="52">
        <f t="shared" si="136"/>
        <v>0</v>
      </c>
      <c r="BI556" s="1">
        <f t="shared" si="137"/>
        <v>0</v>
      </c>
      <c r="BJ556" s="1">
        <f t="shared" si="138"/>
        <v>0</v>
      </c>
      <c r="BK556" s="1">
        <f t="shared" si="139"/>
        <v>0</v>
      </c>
      <c r="BL556" s="1">
        <f t="shared" si="140"/>
        <v>0</v>
      </c>
      <c r="BM556" s="10" t="str">
        <f t="shared" si="141"/>
        <v/>
      </c>
      <c r="BN556" s="52">
        <f t="shared" si="142"/>
        <v>0</v>
      </c>
      <c r="BO556" s="52">
        <f t="shared" si="143"/>
        <v>0</v>
      </c>
      <c r="BP556" s="1">
        <f t="shared" si="144"/>
        <v>0</v>
      </c>
      <c r="BQ556" s="1">
        <f t="shared" si="145"/>
        <v>0</v>
      </c>
      <c r="BR556" s="1" t="str">
        <f t="shared" si="146"/>
        <v/>
      </c>
      <c r="BS556" s="1">
        <f t="shared" si="147"/>
        <v>0</v>
      </c>
      <c r="BT556" s="4">
        <f t="shared" si="148"/>
        <v>0</v>
      </c>
      <c r="BU556" s="52">
        <f t="shared" si="149"/>
        <v>0</v>
      </c>
      <c r="BV556" s="1">
        <f t="shared" si="150"/>
        <v>0</v>
      </c>
      <c r="BW556">
        <f t="shared" si="151"/>
        <v>0</v>
      </c>
      <c r="BX556">
        <f t="shared" si="152"/>
        <v>0</v>
      </c>
    </row>
    <row r="557" spans="58:76" x14ac:dyDescent="0.25">
      <c r="BF557" s="1" t="e">
        <f>VLOOKUP(N557,'Incoming Material Report'!H:M,6,FALSE)</f>
        <v>#N/A</v>
      </c>
      <c r="BG557" s="1" t="e">
        <f>IF(VLOOKUP(N557,'Incoming Material Report'!H:N,7,FALSE)=0,"",VLOOKUP(N557,'Incoming Material Report'!H:N,7,FALSE))</f>
        <v>#N/A</v>
      </c>
      <c r="BH557" s="52">
        <f t="shared" si="136"/>
        <v>0</v>
      </c>
      <c r="BI557" s="1">
        <f t="shared" si="137"/>
        <v>0</v>
      </c>
      <c r="BJ557" s="1">
        <f t="shared" si="138"/>
        <v>0</v>
      </c>
      <c r="BK557" s="1">
        <f t="shared" si="139"/>
        <v>0</v>
      </c>
      <c r="BL557" s="1">
        <f t="shared" si="140"/>
        <v>0</v>
      </c>
      <c r="BM557" s="10" t="str">
        <f t="shared" si="141"/>
        <v/>
      </c>
      <c r="BN557" s="52">
        <f t="shared" si="142"/>
        <v>0</v>
      </c>
      <c r="BO557" s="52">
        <f t="shared" si="143"/>
        <v>0</v>
      </c>
      <c r="BP557" s="1">
        <f t="shared" si="144"/>
        <v>0</v>
      </c>
      <c r="BQ557" s="1">
        <f t="shared" si="145"/>
        <v>0</v>
      </c>
      <c r="BR557" s="1" t="str">
        <f t="shared" si="146"/>
        <v/>
      </c>
      <c r="BS557" s="1">
        <f t="shared" si="147"/>
        <v>0</v>
      </c>
      <c r="BT557" s="4">
        <f t="shared" si="148"/>
        <v>0</v>
      </c>
      <c r="BU557" s="52">
        <f t="shared" si="149"/>
        <v>0</v>
      </c>
      <c r="BV557" s="1">
        <f t="shared" si="150"/>
        <v>0</v>
      </c>
      <c r="BW557">
        <f t="shared" si="151"/>
        <v>0</v>
      </c>
      <c r="BX557">
        <f t="shared" si="152"/>
        <v>0</v>
      </c>
    </row>
    <row r="558" spans="58:76" x14ac:dyDescent="0.25">
      <c r="BF558" s="1" t="e">
        <f>VLOOKUP(N558,'Incoming Material Report'!H:M,6,FALSE)</f>
        <v>#N/A</v>
      </c>
      <c r="BG558" s="1" t="e">
        <f>IF(VLOOKUP(N558,'Incoming Material Report'!H:N,7,FALSE)=0,"",VLOOKUP(N558,'Incoming Material Report'!H:N,7,FALSE))</f>
        <v>#N/A</v>
      </c>
      <c r="BH558" s="52">
        <f t="shared" si="136"/>
        <v>0</v>
      </c>
      <c r="BI558" s="1">
        <f t="shared" si="137"/>
        <v>0</v>
      </c>
      <c r="BJ558" s="1">
        <f t="shared" si="138"/>
        <v>0</v>
      </c>
      <c r="BK558" s="1">
        <f t="shared" si="139"/>
        <v>0</v>
      </c>
      <c r="BL558" s="1">
        <f t="shared" si="140"/>
        <v>0</v>
      </c>
      <c r="BM558" s="10" t="str">
        <f t="shared" si="141"/>
        <v/>
      </c>
      <c r="BN558" s="52">
        <f t="shared" si="142"/>
        <v>0</v>
      </c>
      <c r="BO558" s="52">
        <f t="shared" si="143"/>
        <v>0</v>
      </c>
      <c r="BP558" s="1">
        <f t="shared" si="144"/>
        <v>0</v>
      </c>
      <c r="BQ558" s="1">
        <f t="shared" si="145"/>
        <v>0</v>
      </c>
      <c r="BR558" s="1" t="str">
        <f t="shared" si="146"/>
        <v/>
      </c>
      <c r="BS558" s="1">
        <f t="shared" si="147"/>
        <v>0</v>
      </c>
      <c r="BT558" s="4">
        <f t="shared" si="148"/>
        <v>0</v>
      </c>
      <c r="BU558" s="52">
        <f t="shared" si="149"/>
        <v>0</v>
      </c>
      <c r="BV558" s="1">
        <f t="shared" si="150"/>
        <v>0</v>
      </c>
      <c r="BW558">
        <f t="shared" si="151"/>
        <v>0</v>
      </c>
      <c r="BX558">
        <f t="shared" si="152"/>
        <v>0</v>
      </c>
    </row>
    <row r="559" spans="58:76" x14ac:dyDescent="0.25">
      <c r="BF559" s="1" t="e">
        <f>VLOOKUP(N559,'Incoming Material Report'!H:M,6,FALSE)</f>
        <v>#N/A</v>
      </c>
      <c r="BG559" s="1" t="e">
        <f>IF(VLOOKUP(N559,'Incoming Material Report'!H:N,7,FALSE)=0,"",VLOOKUP(N559,'Incoming Material Report'!H:N,7,FALSE))</f>
        <v>#N/A</v>
      </c>
      <c r="BH559" s="52">
        <f t="shared" si="136"/>
        <v>0</v>
      </c>
      <c r="BI559" s="1">
        <f t="shared" si="137"/>
        <v>0</v>
      </c>
      <c r="BJ559" s="1">
        <f t="shared" si="138"/>
        <v>0</v>
      </c>
      <c r="BK559" s="1">
        <f t="shared" si="139"/>
        <v>0</v>
      </c>
      <c r="BL559" s="1">
        <f t="shared" si="140"/>
        <v>0</v>
      </c>
      <c r="BM559" s="10" t="str">
        <f t="shared" si="141"/>
        <v/>
      </c>
      <c r="BN559" s="52">
        <f t="shared" si="142"/>
        <v>0</v>
      </c>
      <c r="BO559" s="52">
        <f t="shared" si="143"/>
        <v>0</v>
      </c>
      <c r="BP559" s="1">
        <f t="shared" si="144"/>
        <v>0</v>
      </c>
      <c r="BQ559" s="1">
        <f t="shared" si="145"/>
        <v>0</v>
      </c>
      <c r="BR559" s="1" t="str">
        <f t="shared" si="146"/>
        <v/>
      </c>
      <c r="BS559" s="1">
        <f t="shared" si="147"/>
        <v>0</v>
      </c>
      <c r="BT559" s="4">
        <f t="shared" si="148"/>
        <v>0</v>
      </c>
      <c r="BU559" s="52">
        <f t="shared" si="149"/>
        <v>0</v>
      </c>
      <c r="BV559" s="1">
        <f t="shared" si="150"/>
        <v>0</v>
      </c>
      <c r="BW559">
        <f t="shared" si="151"/>
        <v>0</v>
      </c>
      <c r="BX559">
        <f t="shared" si="152"/>
        <v>0</v>
      </c>
    </row>
    <row r="560" spans="58:76" x14ac:dyDescent="0.25">
      <c r="BF560" s="1" t="e">
        <f>VLOOKUP(N560,'Incoming Material Report'!H:M,6,FALSE)</f>
        <v>#N/A</v>
      </c>
      <c r="BG560" s="1" t="e">
        <f>IF(VLOOKUP(N560,'Incoming Material Report'!H:N,7,FALSE)=0,"",VLOOKUP(N560,'Incoming Material Report'!H:N,7,FALSE))</f>
        <v>#N/A</v>
      </c>
      <c r="BH560" s="52">
        <f t="shared" si="136"/>
        <v>0</v>
      </c>
      <c r="BI560" s="1">
        <f t="shared" si="137"/>
        <v>0</v>
      </c>
      <c r="BJ560" s="1">
        <f t="shared" si="138"/>
        <v>0</v>
      </c>
      <c r="BK560" s="1">
        <f t="shared" si="139"/>
        <v>0</v>
      </c>
      <c r="BL560" s="1">
        <f t="shared" si="140"/>
        <v>0</v>
      </c>
      <c r="BM560" s="10" t="str">
        <f t="shared" si="141"/>
        <v/>
      </c>
      <c r="BN560" s="52">
        <f t="shared" si="142"/>
        <v>0</v>
      </c>
      <c r="BO560" s="52">
        <f t="shared" si="143"/>
        <v>0</v>
      </c>
      <c r="BP560" s="1">
        <f t="shared" si="144"/>
        <v>0</v>
      </c>
      <c r="BQ560" s="1">
        <f t="shared" si="145"/>
        <v>0</v>
      </c>
      <c r="BR560" s="1" t="str">
        <f t="shared" si="146"/>
        <v/>
      </c>
      <c r="BS560" s="1">
        <f t="shared" si="147"/>
        <v>0</v>
      </c>
      <c r="BT560" s="4">
        <f t="shared" si="148"/>
        <v>0</v>
      </c>
      <c r="BU560" s="52">
        <f t="shared" si="149"/>
        <v>0</v>
      </c>
      <c r="BV560" s="1">
        <f t="shared" si="150"/>
        <v>0</v>
      </c>
      <c r="BW560">
        <f t="shared" si="151"/>
        <v>0</v>
      </c>
      <c r="BX560">
        <f t="shared" si="152"/>
        <v>0</v>
      </c>
    </row>
    <row r="561" spans="58:76" x14ac:dyDescent="0.25">
      <c r="BF561" s="1" t="e">
        <f>VLOOKUP(N561,'Incoming Material Report'!H:M,6,FALSE)</f>
        <v>#N/A</v>
      </c>
      <c r="BG561" s="1" t="e">
        <f>IF(VLOOKUP(N561,'Incoming Material Report'!H:N,7,FALSE)=0,"",VLOOKUP(N561,'Incoming Material Report'!H:N,7,FALSE))</f>
        <v>#N/A</v>
      </c>
      <c r="BH561" s="52">
        <f t="shared" si="136"/>
        <v>0</v>
      </c>
      <c r="BI561" s="1">
        <f t="shared" si="137"/>
        <v>0</v>
      </c>
      <c r="BJ561" s="1">
        <f t="shared" si="138"/>
        <v>0</v>
      </c>
      <c r="BK561" s="1">
        <f t="shared" si="139"/>
        <v>0</v>
      </c>
      <c r="BL561" s="1">
        <f t="shared" si="140"/>
        <v>0</v>
      </c>
      <c r="BM561" s="10" t="str">
        <f t="shared" si="141"/>
        <v/>
      </c>
      <c r="BN561" s="52">
        <f t="shared" si="142"/>
        <v>0</v>
      </c>
      <c r="BO561" s="52">
        <f t="shared" si="143"/>
        <v>0</v>
      </c>
      <c r="BP561" s="1">
        <f t="shared" si="144"/>
        <v>0</v>
      </c>
      <c r="BQ561" s="1">
        <f t="shared" si="145"/>
        <v>0</v>
      </c>
      <c r="BR561" s="1" t="str">
        <f t="shared" si="146"/>
        <v/>
      </c>
      <c r="BS561" s="1">
        <f t="shared" si="147"/>
        <v>0</v>
      </c>
      <c r="BT561" s="4">
        <f t="shared" si="148"/>
        <v>0</v>
      </c>
      <c r="BU561" s="52">
        <f t="shared" si="149"/>
        <v>0</v>
      </c>
      <c r="BV561" s="1">
        <f t="shared" si="150"/>
        <v>0</v>
      </c>
      <c r="BW561">
        <f t="shared" si="151"/>
        <v>0</v>
      </c>
      <c r="BX561">
        <f t="shared" si="152"/>
        <v>0</v>
      </c>
    </row>
    <row r="562" spans="58:76" x14ac:dyDescent="0.25">
      <c r="BF562" s="1" t="e">
        <f>VLOOKUP(N562,'Incoming Material Report'!H:M,6,FALSE)</f>
        <v>#N/A</v>
      </c>
      <c r="BG562" s="1" t="e">
        <f>IF(VLOOKUP(N562,'Incoming Material Report'!H:N,7,FALSE)=0,"",VLOOKUP(N562,'Incoming Material Report'!H:N,7,FALSE))</f>
        <v>#N/A</v>
      </c>
      <c r="BH562" s="52">
        <f t="shared" si="136"/>
        <v>0</v>
      </c>
      <c r="BI562" s="1">
        <f t="shared" si="137"/>
        <v>0</v>
      </c>
      <c r="BJ562" s="1">
        <f t="shared" si="138"/>
        <v>0</v>
      </c>
      <c r="BK562" s="1">
        <f t="shared" si="139"/>
        <v>0</v>
      </c>
      <c r="BL562" s="1">
        <f t="shared" si="140"/>
        <v>0</v>
      </c>
      <c r="BM562" s="10" t="str">
        <f t="shared" si="141"/>
        <v/>
      </c>
      <c r="BN562" s="52">
        <f t="shared" si="142"/>
        <v>0</v>
      </c>
      <c r="BO562" s="52">
        <f t="shared" si="143"/>
        <v>0</v>
      </c>
      <c r="BP562" s="1">
        <f t="shared" si="144"/>
        <v>0</v>
      </c>
      <c r="BQ562" s="1">
        <f t="shared" si="145"/>
        <v>0</v>
      </c>
      <c r="BR562" s="1" t="str">
        <f t="shared" si="146"/>
        <v/>
      </c>
      <c r="BS562" s="1">
        <f t="shared" si="147"/>
        <v>0</v>
      </c>
      <c r="BT562" s="4">
        <f t="shared" si="148"/>
        <v>0</v>
      </c>
      <c r="BU562" s="52">
        <f t="shared" si="149"/>
        <v>0</v>
      </c>
      <c r="BV562" s="1">
        <f t="shared" si="150"/>
        <v>0</v>
      </c>
      <c r="BW562">
        <f t="shared" si="151"/>
        <v>0</v>
      </c>
      <c r="BX562">
        <f t="shared" si="152"/>
        <v>0</v>
      </c>
    </row>
    <row r="563" spans="58:76" x14ac:dyDescent="0.25">
      <c r="BF563" s="1" t="e">
        <f>VLOOKUP(N563,'Incoming Material Report'!H:M,6,FALSE)</f>
        <v>#N/A</v>
      </c>
      <c r="BG563" s="1" t="e">
        <f>IF(VLOOKUP(N563,'Incoming Material Report'!H:N,7,FALSE)=0,"",VLOOKUP(N563,'Incoming Material Report'!H:N,7,FALSE))</f>
        <v>#N/A</v>
      </c>
      <c r="BH563" s="52">
        <f t="shared" si="136"/>
        <v>0</v>
      </c>
      <c r="BI563" s="1">
        <f t="shared" si="137"/>
        <v>0</v>
      </c>
      <c r="BJ563" s="1">
        <f t="shared" si="138"/>
        <v>0</v>
      </c>
      <c r="BK563" s="1">
        <f t="shared" si="139"/>
        <v>0</v>
      </c>
      <c r="BL563" s="1">
        <f t="shared" si="140"/>
        <v>0</v>
      </c>
      <c r="BM563" s="10" t="str">
        <f t="shared" si="141"/>
        <v/>
      </c>
      <c r="BN563" s="52">
        <f t="shared" si="142"/>
        <v>0</v>
      </c>
      <c r="BO563" s="52">
        <f t="shared" si="143"/>
        <v>0</v>
      </c>
      <c r="BP563" s="1">
        <f t="shared" si="144"/>
        <v>0</v>
      </c>
      <c r="BQ563" s="1">
        <f t="shared" si="145"/>
        <v>0</v>
      </c>
      <c r="BR563" s="1" t="str">
        <f t="shared" si="146"/>
        <v/>
      </c>
      <c r="BS563" s="1">
        <f t="shared" si="147"/>
        <v>0</v>
      </c>
      <c r="BT563" s="4">
        <f t="shared" si="148"/>
        <v>0</v>
      </c>
      <c r="BU563" s="52">
        <f t="shared" si="149"/>
        <v>0</v>
      </c>
      <c r="BV563" s="1">
        <f t="shared" si="150"/>
        <v>0</v>
      </c>
      <c r="BW563">
        <f t="shared" si="151"/>
        <v>0</v>
      </c>
      <c r="BX563">
        <f t="shared" si="152"/>
        <v>0</v>
      </c>
    </row>
    <row r="564" spans="58:76" x14ac:dyDescent="0.25">
      <c r="BF564" s="1" t="e">
        <f>VLOOKUP(N564,'Incoming Material Report'!H:M,6,FALSE)</f>
        <v>#N/A</v>
      </c>
      <c r="BG564" s="1" t="e">
        <f>IF(VLOOKUP(N564,'Incoming Material Report'!H:N,7,FALSE)=0,"",VLOOKUP(N564,'Incoming Material Report'!H:N,7,FALSE))</f>
        <v>#N/A</v>
      </c>
      <c r="BH564" s="52">
        <f t="shared" si="136"/>
        <v>0</v>
      </c>
      <c r="BI564" s="1">
        <f t="shared" si="137"/>
        <v>0</v>
      </c>
      <c r="BJ564" s="1">
        <f t="shared" si="138"/>
        <v>0</v>
      </c>
      <c r="BK564" s="1">
        <f t="shared" si="139"/>
        <v>0</v>
      </c>
      <c r="BL564" s="1">
        <f t="shared" si="140"/>
        <v>0</v>
      </c>
      <c r="BM564" s="10" t="str">
        <f t="shared" si="141"/>
        <v/>
      </c>
      <c r="BN564" s="52">
        <f t="shared" si="142"/>
        <v>0</v>
      </c>
      <c r="BO564" s="52">
        <f t="shared" si="143"/>
        <v>0</v>
      </c>
      <c r="BP564" s="1">
        <f t="shared" si="144"/>
        <v>0</v>
      </c>
      <c r="BQ564" s="1">
        <f t="shared" si="145"/>
        <v>0</v>
      </c>
      <c r="BR564" s="1" t="str">
        <f t="shared" si="146"/>
        <v/>
      </c>
      <c r="BS564" s="1">
        <f t="shared" si="147"/>
        <v>0</v>
      </c>
      <c r="BT564" s="4">
        <f t="shared" si="148"/>
        <v>0</v>
      </c>
      <c r="BU564" s="52">
        <f t="shared" si="149"/>
        <v>0</v>
      </c>
      <c r="BV564" s="1">
        <f t="shared" si="150"/>
        <v>0</v>
      </c>
      <c r="BW564">
        <f t="shared" si="151"/>
        <v>0</v>
      </c>
      <c r="BX564">
        <f t="shared" si="152"/>
        <v>0</v>
      </c>
    </row>
    <row r="565" spans="58:76" x14ac:dyDescent="0.25">
      <c r="BF565" s="1" t="e">
        <f>VLOOKUP(N565,'Incoming Material Report'!H:M,6,FALSE)</f>
        <v>#N/A</v>
      </c>
      <c r="BG565" s="1" t="e">
        <f>IF(VLOOKUP(N565,'Incoming Material Report'!H:N,7,FALSE)=0,"",VLOOKUP(N565,'Incoming Material Report'!H:N,7,FALSE))</f>
        <v>#N/A</v>
      </c>
      <c r="BH565" s="52">
        <f t="shared" si="136"/>
        <v>0</v>
      </c>
      <c r="BI565" s="1">
        <f t="shared" si="137"/>
        <v>0</v>
      </c>
      <c r="BJ565" s="1">
        <f t="shared" si="138"/>
        <v>0</v>
      </c>
      <c r="BK565" s="1">
        <f t="shared" si="139"/>
        <v>0</v>
      </c>
      <c r="BL565" s="1">
        <f t="shared" si="140"/>
        <v>0</v>
      </c>
      <c r="BM565" s="10" t="str">
        <f t="shared" si="141"/>
        <v/>
      </c>
      <c r="BN565" s="52">
        <f t="shared" si="142"/>
        <v>0</v>
      </c>
      <c r="BO565" s="52">
        <f t="shared" si="143"/>
        <v>0</v>
      </c>
      <c r="BP565" s="1">
        <f t="shared" si="144"/>
        <v>0</v>
      </c>
      <c r="BQ565" s="1">
        <f t="shared" si="145"/>
        <v>0</v>
      </c>
      <c r="BR565" s="1" t="str">
        <f t="shared" si="146"/>
        <v/>
      </c>
      <c r="BS565" s="1">
        <f t="shared" si="147"/>
        <v>0</v>
      </c>
      <c r="BT565" s="4">
        <f t="shared" si="148"/>
        <v>0</v>
      </c>
      <c r="BU565" s="52">
        <f t="shared" si="149"/>
        <v>0</v>
      </c>
      <c r="BV565" s="1">
        <f t="shared" si="150"/>
        <v>0</v>
      </c>
      <c r="BW565">
        <f t="shared" si="151"/>
        <v>0</v>
      </c>
      <c r="BX565">
        <f t="shared" si="152"/>
        <v>0</v>
      </c>
    </row>
    <row r="566" spans="58:76" x14ac:dyDescent="0.25">
      <c r="BF566" s="1" t="e">
        <f>VLOOKUP(N566,'Incoming Material Report'!H:M,6,FALSE)</f>
        <v>#N/A</v>
      </c>
      <c r="BG566" s="1" t="e">
        <f>IF(VLOOKUP(N566,'Incoming Material Report'!H:N,7,FALSE)=0,"",VLOOKUP(N566,'Incoming Material Report'!H:N,7,FALSE))</f>
        <v>#N/A</v>
      </c>
      <c r="BH566" s="52">
        <f t="shared" si="136"/>
        <v>0</v>
      </c>
      <c r="BI566" s="1">
        <f t="shared" si="137"/>
        <v>0</v>
      </c>
      <c r="BJ566" s="1">
        <f t="shared" si="138"/>
        <v>0</v>
      </c>
      <c r="BK566" s="1">
        <f t="shared" si="139"/>
        <v>0</v>
      </c>
      <c r="BL566" s="1">
        <f t="shared" si="140"/>
        <v>0</v>
      </c>
      <c r="BM566" s="10" t="str">
        <f t="shared" si="141"/>
        <v/>
      </c>
      <c r="BN566" s="52">
        <f t="shared" si="142"/>
        <v>0</v>
      </c>
      <c r="BO566" s="52">
        <f t="shared" si="143"/>
        <v>0</v>
      </c>
      <c r="BP566" s="1">
        <f t="shared" si="144"/>
        <v>0</v>
      </c>
      <c r="BQ566" s="1">
        <f t="shared" si="145"/>
        <v>0</v>
      </c>
      <c r="BR566" s="1" t="str">
        <f t="shared" si="146"/>
        <v/>
      </c>
      <c r="BS566" s="1">
        <f t="shared" si="147"/>
        <v>0</v>
      </c>
      <c r="BT566" s="4">
        <f t="shared" si="148"/>
        <v>0</v>
      </c>
      <c r="BU566" s="52">
        <f t="shared" si="149"/>
        <v>0</v>
      </c>
      <c r="BV566" s="1">
        <f t="shared" si="150"/>
        <v>0</v>
      </c>
      <c r="BW566">
        <f t="shared" si="151"/>
        <v>0</v>
      </c>
      <c r="BX566">
        <f t="shared" si="152"/>
        <v>0</v>
      </c>
    </row>
    <row r="567" spans="58:76" x14ac:dyDescent="0.25">
      <c r="BF567" s="1" t="e">
        <f>VLOOKUP(N567,'Incoming Material Report'!H:M,6,FALSE)</f>
        <v>#N/A</v>
      </c>
      <c r="BG567" s="1" t="e">
        <f>IF(VLOOKUP(N567,'Incoming Material Report'!H:N,7,FALSE)=0,"",VLOOKUP(N567,'Incoming Material Report'!H:N,7,FALSE))</f>
        <v>#N/A</v>
      </c>
      <c r="BH567" s="52">
        <f t="shared" si="136"/>
        <v>0</v>
      </c>
      <c r="BI567" s="1">
        <f t="shared" si="137"/>
        <v>0</v>
      </c>
      <c r="BJ567" s="1">
        <f t="shared" si="138"/>
        <v>0</v>
      </c>
      <c r="BK567" s="1">
        <f t="shared" si="139"/>
        <v>0</v>
      </c>
      <c r="BL567" s="1">
        <f t="shared" si="140"/>
        <v>0</v>
      </c>
      <c r="BM567" s="10" t="str">
        <f t="shared" si="141"/>
        <v/>
      </c>
      <c r="BN567" s="52">
        <f t="shared" si="142"/>
        <v>0</v>
      </c>
      <c r="BO567" s="52">
        <f t="shared" si="143"/>
        <v>0</v>
      </c>
      <c r="BP567" s="1">
        <f t="shared" si="144"/>
        <v>0</v>
      </c>
      <c r="BQ567" s="1">
        <f t="shared" si="145"/>
        <v>0</v>
      </c>
      <c r="BR567" s="1" t="str">
        <f t="shared" si="146"/>
        <v/>
      </c>
      <c r="BS567" s="1">
        <f t="shared" si="147"/>
        <v>0</v>
      </c>
      <c r="BT567" s="4">
        <f t="shared" si="148"/>
        <v>0</v>
      </c>
      <c r="BU567" s="52">
        <f t="shared" si="149"/>
        <v>0</v>
      </c>
      <c r="BV567" s="1">
        <f t="shared" si="150"/>
        <v>0</v>
      </c>
      <c r="BW567">
        <f t="shared" si="151"/>
        <v>0</v>
      </c>
      <c r="BX567">
        <f t="shared" si="152"/>
        <v>0</v>
      </c>
    </row>
    <row r="568" spans="58:76" x14ac:dyDescent="0.25">
      <c r="BF568" s="1" t="e">
        <f>VLOOKUP(N568,'Incoming Material Report'!H:M,6,FALSE)</f>
        <v>#N/A</v>
      </c>
      <c r="BG568" s="1" t="e">
        <f>IF(VLOOKUP(N568,'Incoming Material Report'!H:N,7,FALSE)=0,"",VLOOKUP(N568,'Incoming Material Report'!H:N,7,FALSE))</f>
        <v>#N/A</v>
      </c>
      <c r="BH568" s="52">
        <f t="shared" si="136"/>
        <v>0</v>
      </c>
      <c r="BI568" s="1">
        <f t="shared" si="137"/>
        <v>0</v>
      </c>
      <c r="BJ568" s="1">
        <f t="shared" si="138"/>
        <v>0</v>
      </c>
      <c r="BK568" s="1">
        <f t="shared" si="139"/>
        <v>0</v>
      </c>
      <c r="BL568" s="1">
        <f t="shared" si="140"/>
        <v>0</v>
      </c>
      <c r="BM568" s="10" t="str">
        <f t="shared" si="141"/>
        <v/>
      </c>
      <c r="BN568" s="52">
        <f t="shared" si="142"/>
        <v>0</v>
      </c>
      <c r="BO568" s="52">
        <f t="shared" si="143"/>
        <v>0</v>
      </c>
      <c r="BP568" s="1">
        <f t="shared" si="144"/>
        <v>0</v>
      </c>
      <c r="BQ568" s="1">
        <f t="shared" si="145"/>
        <v>0</v>
      </c>
      <c r="BR568" s="1" t="str">
        <f t="shared" si="146"/>
        <v/>
      </c>
      <c r="BS568" s="1">
        <f t="shared" si="147"/>
        <v>0</v>
      </c>
      <c r="BT568" s="4">
        <f t="shared" si="148"/>
        <v>0</v>
      </c>
      <c r="BU568" s="52">
        <f t="shared" si="149"/>
        <v>0</v>
      </c>
      <c r="BV568" s="1">
        <f t="shared" si="150"/>
        <v>0</v>
      </c>
      <c r="BW568">
        <f t="shared" si="151"/>
        <v>0</v>
      </c>
      <c r="BX568">
        <f t="shared" si="152"/>
        <v>0</v>
      </c>
    </row>
    <row r="569" spans="58:76" x14ac:dyDescent="0.25">
      <c r="BF569" s="1" t="e">
        <f>VLOOKUP(N569,'Incoming Material Report'!H:M,6,FALSE)</f>
        <v>#N/A</v>
      </c>
      <c r="BG569" s="1" t="e">
        <f>IF(VLOOKUP(N569,'Incoming Material Report'!H:N,7,FALSE)=0,"",VLOOKUP(N569,'Incoming Material Report'!H:N,7,FALSE))</f>
        <v>#N/A</v>
      </c>
      <c r="BH569" s="52">
        <f t="shared" si="136"/>
        <v>0</v>
      </c>
      <c r="BI569" s="1">
        <f t="shared" si="137"/>
        <v>0</v>
      </c>
      <c r="BJ569" s="1">
        <f t="shared" si="138"/>
        <v>0</v>
      </c>
      <c r="BK569" s="1">
        <f t="shared" si="139"/>
        <v>0</v>
      </c>
      <c r="BL569" s="1">
        <f t="shared" si="140"/>
        <v>0</v>
      </c>
      <c r="BM569" s="10" t="str">
        <f t="shared" si="141"/>
        <v/>
      </c>
      <c r="BN569" s="52">
        <f t="shared" si="142"/>
        <v>0</v>
      </c>
      <c r="BO569" s="52">
        <f t="shared" si="143"/>
        <v>0</v>
      </c>
      <c r="BP569" s="1">
        <f t="shared" si="144"/>
        <v>0</v>
      </c>
      <c r="BQ569" s="1">
        <f t="shared" si="145"/>
        <v>0</v>
      </c>
      <c r="BR569" s="1" t="str">
        <f t="shared" si="146"/>
        <v/>
      </c>
      <c r="BS569" s="1">
        <f t="shared" si="147"/>
        <v>0</v>
      </c>
      <c r="BT569" s="4">
        <f t="shared" si="148"/>
        <v>0</v>
      </c>
      <c r="BU569" s="52">
        <f t="shared" si="149"/>
        <v>0</v>
      </c>
      <c r="BV569" s="1">
        <f t="shared" si="150"/>
        <v>0</v>
      </c>
      <c r="BW569">
        <f t="shared" si="151"/>
        <v>0</v>
      </c>
      <c r="BX569">
        <f t="shared" si="152"/>
        <v>0</v>
      </c>
    </row>
    <row r="570" spans="58:76" x14ac:dyDescent="0.25">
      <c r="BF570" s="1" t="e">
        <f>VLOOKUP(N570,'Incoming Material Report'!H:M,6,FALSE)</f>
        <v>#N/A</v>
      </c>
      <c r="BG570" s="1" t="e">
        <f>IF(VLOOKUP(N570,'Incoming Material Report'!H:N,7,FALSE)=0,"",VLOOKUP(N570,'Incoming Material Report'!H:N,7,FALSE))</f>
        <v>#N/A</v>
      </c>
      <c r="BH570" s="52">
        <f t="shared" ref="BH570:BH633" si="153">VALUE(T570)</f>
        <v>0</v>
      </c>
      <c r="BI570" s="1">
        <f t="shared" ref="BI570:BI633" si="154">VALUE(U570)</f>
        <v>0</v>
      </c>
      <c r="BJ570" s="1">
        <f t="shared" ref="BJ570:BJ633" si="155">IFERROR(_xlfn.NUMBERVALUE(V570),V570)</f>
        <v>0</v>
      </c>
      <c r="BK570" s="1">
        <f t="shared" ref="BK570:BK633" si="156">IFERROR(INT(I570),I570)</f>
        <v>0</v>
      </c>
      <c r="BL570" s="1">
        <f t="shared" ref="BL570:BL633" si="157">L570</f>
        <v>0</v>
      </c>
      <c r="BM570" s="10" t="str">
        <f t="shared" ref="BM570:BM633" si="158">SUBSTITUTE(J570,"/",".")</f>
        <v/>
      </c>
      <c r="BN570" s="52">
        <f t="shared" ref="BN570:BN633" si="159">VALUE(Q570)*1000</f>
        <v>0</v>
      </c>
      <c r="BO570" s="52">
        <f t="shared" ref="BO570:BO633" si="160">VALUE(P570)/1000</f>
        <v>0</v>
      </c>
      <c r="BP570" s="1">
        <f t="shared" ref="BP570:BP633" si="161">VALUE(D570)</f>
        <v>0</v>
      </c>
      <c r="BQ570" s="1">
        <f t="shared" ref="BQ570:BQ633" si="162">G570</f>
        <v>0</v>
      </c>
      <c r="BR570" s="1" t="str">
        <f t="shared" ref="BR570:BR633" si="163">SUBSTITUTE(O570,".","")</f>
        <v/>
      </c>
      <c r="BS570" s="1">
        <f t="shared" ref="BS570:BS633" si="164">S570</f>
        <v>0</v>
      </c>
      <c r="BT570" s="4">
        <f t="shared" ref="BT570:BT633" si="165">VALUE(AJ570)</f>
        <v>0</v>
      </c>
      <c r="BU570" s="52">
        <f t="shared" ref="BU570:BU633" si="166">K570</f>
        <v>0</v>
      </c>
      <c r="BV570" s="1">
        <f t="shared" ref="BV570:BV633" si="167">AQ570</f>
        <v>0</v>
      </c>
      <c r="BW570">
        <f t="shared" ref="BW570:BW633" si="168">X570</f>
        <v>0</v>
      </c>
      <c r="BX570">
        <f t="shared" ref="BX570:BX633" si="169">AN570</f>
        <v>0</v>
      </c>
    </row>
    <row r="571" spans="58:76" x14ac:dyDescent="0.25">
      <c r="BF571" s="1" t="e">
        <f>VLOOKUP(N571,'Incoming Material Report'!H:M,6,FALSE)</f>
        <v>#N/A</v>
      </c>
      <c r="BG571" s="1" t="e">
        <f>IF(VLOOKUP(N571,'Incoming Material Report'!H:N,7,FALSE)=0,"",VLOOKUP(N571,'Incoming Material Report'!H:N,7,FALSE))</f>
        <v>#N/A</v>
      </c>
      <c r="BH571" s="52">
        <f t="shared" si="153"/>
        <v>0</v>
      </c>
      <c r="BI571" s="1">
        <f t="shared" si="154"/>
        <v>0</v>
      </c>
      <c r="BJ571" s="1">
        <f t="shared" si="155"/>
        <v>0</v>
      </c>
      <c r="BK571" s="1">
        <f t="shared" si="156"/>
        <v>0</v>
      </c>
      <c r="BL571" s="1">
        <f t="shared" si="157"/>
        <v>0</v>
      </c>
      <c r="BM571" s="10" t="str">
        <f t="shared" si="158"/>
        <v/>
      </c>
      <c r="BN571" s="52">
        <f t="shared" si="159"/>
        <v>0</v>
      </c>
      <c r="BO571" s="52">
        <f t="shared" si="160"/>
        <v>0</v>
      </c>
      <c r="BP571" s="1">
        <f t="shared" si="161"/>
        <v>0</v>
      </c>
      <c r="BQ571" s="1">
        <f t="shared" si="162"/>
        <v>0</v>
      </c>
      <c r="BR571" s="1" t="str">
        <f t="shared" si="163"/>
        <v/>
      </c>
      <c r="BS571" s="1">
        <f t="shared" si="164"/>
        <v>0</v>
      </c>
      <c r="BT571" s="4">
        <f t="shared" si="165"/>
        <v>0</v>
      </c>
      <c r="BU571" s="52">
        <f t="shared" si="166"/>
        <v>0</v>
      </c>
      <c r="BV571" s="1">
        <f t="shared" si="167"/>
        <v>0</v>
      </c>
      <c r="BW571">
        <f t="shared" si="168"/>
        <v>0</v>
      </c>
      <c r="BX571">
        <f t="shared" si="169"/>
        <v>0</v>
      </c>
    </row>
    <row r="572" spans="58:76" x14ac:dyDescent="0.25">
      <c r="BF572" s="1" t="e">
        <f>VLOOKUP(N572,'Incoming Material Report'!H:M,6,FALSE)</f>
        <v>#N/A</v>
      </c>
      <c r="BG572" s="1" t="e">
        <f>IF(VLOOKUP(N572,'Incoming Material Report'!H:N,7,FALSE)=0,"",VLOOKUP(N572,'Incoming Material Report'!H:N,7,FALSE))</f>
        <v>#N/A</v>
      </c>
      <c r="BH572" s="52">
        <f t="shared" si="153"/>
        <v>0</v>
      </c>
      <c r="BI572" s="1">
        <f t="shared" si="154"/>
        <v>0</v>
      </c>
      <c r="BJ572" s="1">
        <f t="shared" si="155"/>
        <v>0</v>
      </c>
      <c r="BK572" s="1">
        <f t="shared" si="156"/>
        <v>0</v>
      </c>
      <c r="BL572" s="1">
        <f t="shared" si="157"/>
        <v>0</v>
      </c>
      <c r="BM572" s="10" t="str">
        <f t="shared" si="158"/>
        <v/>
      </c>
      <c r="BN572" s="52">
        <f t="shared" si="159"/>
        <v>0</v>
      </c>
      <c r="BO572" s="52">
        <f t="shared" si="160"/>
        <v>0</v>
      </c>
      <c r="BP572" s="1">
        <f t="shared" si="161"/>
        <v>0</v>
      </c>
      <c r="BQ572" s="1">
        <f t="shared" si="162"/>
        <v>0</v>
      </c>
      <c r="BR572" s="1" t="str">
        <f t="shared" si="163"/>
        <v/>
      </c>
      <c r="BS572" s="1">
        <f t="shared" si="164"/>
        <v>0</v>
      </c>
      <c r="BT572" s="4">
        <f t="shared" si="165"/>
        <v>0</v>
      </c>
      <c r="BU572" s="52">
        <f t="shared" si="166"/>
        <v>0</v>
      </c>
      <c r="BV572" s="1">
        <f t="shared" si="167"/>
        <v>0</v>
      </c>
      <c r="BW572">
        <f t="shared" si="168"/>
        <v>0</v>
      </c>
      <c r="BX572">
        <f t="shared" si="169"/>
        <v>0</v>
      </c>
    </row>
    <row r="573" spans="58:76" x14ac:dyDescent="0.25">
      <c r="BF573" s="1" t="e">
        <f>VLOOKUP(N573,'Incoming Material Report'!H:M,6,FALSE)</f>
        <v>#N/A</v>
      </c>
      <c r="BG573" s="1" t="e">
        <f>IF(VLOOKUP(N573,'Incoming Material Report'!H:N,7,FALSE)=0,"",VLOOKUP(N573,'Incoming Material Report'!H:N,7,FALSE))</f>
        <v>#N/A</v>
      </c>
      <c r="BH573" s="52">
        <f t="shared" si="153"/>
        <v>0</v>
      </c>
      <c r="BI573" s="1">
        <f t="shared" si="154"/>
        <v>0</v>
      </c>
      <c r="BJ573" s="1">
        <f t="shared" si="155"/>
        <v>0</v>
      </c>
      <c r="BK573" s="1">
        <f t="shared" si="156"/>
        <v>0</v>
      </c>
      <c r="BL573" s="1">
        <f t="shared" si="157"/>
        <v>0</v>
      </c>
      <c r="BM573" s="10" t="str">
        <f t="shared" si="158"/>
        <v/>
      </c>
      <c r="BN573" s="52">
        <f t="shared" si="159"/>
        <v>0</v>
      </c>
      <c r="BO573" s="52">
        <f t="shared" si="160"/>
        <v>0</v>
      </c>
      <c r="BP573" s="1">
        <f t="shared" si="161"/>
        <v>0</v>
      </c>
      <c r="BQ573" s="1">
        <f t="shared" si="162"/>
        <v>0</v>
      </c>
      <c r="BR573" s="1" t="str">
        <f t="shared" si="163"/>
        <v/>
      </c>
      <c r="BS573" s="1">
        <f t="shared" si="164"/>
        <v>0</v>
      </c>
      <c r="BT573" s="4">
        <f t="shared" si="165"/>
        <v>0</v>
      </c>
      <c r="BU573" s="52">
        <f t="shared" si="166"/>
        <v>0</v>
      </c>
      <c r="BV573" s="1">
        <f t="shared" si="167"/>
        <v>0</v>
      </c>
      <c r="BW573">
        <f t="shared" si="168"/>
        <v>0</v>
      </c>
      <c r="BX573">
        <f t="shared" si="169"/>
        <v>0</v>
      </c>
    </row>
    <row r="574" spans="58:76" x14ac:dyDescent="0.25">
      <c r="BF574" s="1" t="e">
        <f>VLOOKUP(N574,'Incoming Material Report'!H:M,6,FALSE)</f>
        <v>#N/A</v>
      </c>
      <c r="BG574" s="1" t="e">
        <f>IF(VLOOKUP(N574,'Incoming Material Report'!H:N,7,FALSE)=0,"",VLOOKUP(N574,'Incoming Material Report'!H:N,7,FALSE))</f>
        <v>#N/A</v>
      </c>
      <c r="BH574" s="52">
        <f t="shared" si="153"/>
        <v>0</v>
      </c>
      <c r="BI574" s="1">
        <f t="shared" si="154"/>
        <v>0</v>
      </c>
      <c r="BJ574" s="1">
        <f t="shared" si="155"/>
        <v>0</v>
      </c>
      <c r="BK574" s="1">
        <f t="shared" si="156"/>
        <v>0</v>
      </c>
      <c r="BL574" s="1">
        <f t="shared" si="157"/>
        <v>0</v>
      </c>
      <c r="BM574" s="10" t="str">
        <f t="shared" si="158"/>
        <v/>
      </c>
      <c r="BN574" s="52">
        <f t="shared" si="159"/>
        <v>0</v>
      </c>
      <c r="BO574" s="52">
        <f t="shared" si="160"/>
        <v>0</v>
      </c>
      <c r="BP574" s="1">
        <f t="shared" si="161"/>
        <v>0</v>
      </c>
      <c r="BQ574" s="1">
        <f t="shared" si="162"/>
        <v>0</v>
      </c>
      <c r="BR574" s="1" t="str">
        <f t="shared" si="163"/>
        <v/>
      </c>
      <c r="BS574" s="1">
        <f t="shared" si="164"/>
        <v>0</v>
      </c>
      <c r="BT574" s="4">
        <f t="shared" si="165"/>
        <v>0</v>
      </c>
      <c r="BU574" s="52">
        <f t="shared" si="166"/>
        <v>0</v>
      </c>
      <c r="BV574" s="1">
        <f t="shared" si="167"/>
        <v>0</v>
      </c>
      <c r="BW574">
        <f t="shared" si="168"/>
        <v>0</v>
      </c>
      <c r="BX574">
        <f t="shared" si="169"/>
        <v>0</v>
      </c>
    </row>
    <row r="575" spans="58:76" x14ac:dyDescent="0.25">
      <c r="BF575" s="1" t="e">
        <f>VLOOKUP(N575,'Incoming Material Report'!H:M,6,FALSE)</f>
        <v>#N/A</v>
      </c>
      <c r="BG575" s="1" t="e">
        <f>IF(VLOOKUP(N575,'Incoming Material Report'!H:N,7,FALSE)=0,"",VLOOKUP(N575,'Incoming Material Report'!H:N,7,FALSE))</f>
        <v>#N/A</v>
      </c>
      <c r="BH575" s="52">
        <f t="shared" si="153"/>
        <v>0</v>
      </c>
      <c r="BI575" s="1">
        <f t="shared" si="154"/>
        <v>0</v>
      </c>
      <c r="BJ575" s="1">
        <f t="shared" si="155"/>
        <v>0</v>
      </c>
      <c r="BK575" s="1">
        <f t="shared" si="156"/>
        <v>0</v>
      </c>
      <c r="BL575" s="1">
        <f t="shared" si="157"/>
        <v>0</v>
      </c>
      <c r="BM575" s="10" t="str">
        <f t="shared" si="158"/>
        <v/>
      </c>
      <c r="BN575" s="52">
        <f t="shared" si="159"/>
        <v>0</v>
      </c>
      <c r="BO575" s="52">
        <f t="shared" si="160"/>
        <v>0</v>
      </c>
      <c r="BP575" s="1">
        <f t="shared" si="161"/>
        <v>0</v>
      </c>
      <c r="BQ575" s="1">
        <f t="shared" si="162"/>
        <v>0</v>
      </c>
      <c r="BR575" s="1" t="str">
        <f t="shared" si="163"/>
        <v/>
      </c>
      <c r="BS575" s="1">
        <f t="shared" si="164"/>
        <v>0</v>
      </c>
      <c r="BT575" s="4">
        <f t="shared" si="165"/>
        <v>0</v>
      </c>
      <c r="BU575" s="52">
        <f t="shared" si="166"/>
        <v>0</v>
      </c>
      <c r="BV575" s="1">
        <f t="shared" si="167"/>
        <v>0</v>
      </c>
      <c r="BW575">
        <f t="shared" si="168"/>
        <v>0</v>
      </c>
      <c r="BX575">
        <f t="shared" si="169"/>
        <v>0</v>
      </c>
    </row>
    <row r="576" spans="58:76" x14ac:dyDescent="0.25">
      <c r="BF576" s="1" t="e">
        <f>VLOOKUP(N576,'Incoming Material Report'!H:M,6,FALSE)</f>
        <v>#N/A</v>
      </c>
      <c r="BG576" s="1" t="e">
        <f>IF(VLOOKUP(N576,'Incoming Material Report'!H:N,7,FALSE)=0,"",VLOOKUP(N576,'Incoming Material Report'!H:N,7,FALSE))</f>
        <v>#N/A</v>
      </c>
      <c r="BH576" s="52">
        <f t="shared" si="153"/>
        <v>0</v>
      </c>
      <c r="BI576" s="1">
        <f t="shared" si="154"/>
        <v>0</v>
      </c>
      <c r="BJ576" s="1">
        <f t="shared" si="155"/>
        <v>0</v>
      </c>
      <c r="BK576" s="1">
        <f t="shared" si="156"/>
        <v>0</v>
      </c>
      <c r="BL576" s="1">
        <f t="shared" si="157"/>
        <v>0</v>
      </c>
      <c r="BM576" s="10" t="str">
        <f t="shared" si="158"/>
        <v/>
      </c>
      <c r="BN576" s="52">
        <f t="shared" si="159"/>
        <v>0</v>
      </c>
      <c r="BO576" s="52">
        <f t="shared" si="160"/>
        <v>0</v>
      </c>
      <c r="BP576" s="1">
        <f t="shared" si="161"/>
        <v>0</v>
      </c>
      <c r="BQ576" s="1">
        <f t="shared" si="162"/>
        <v>0</v>
      </c>
      <c r="BR576" s="1" t="str">
        <f t="shared" si="163"/>
        <v/>
      </c>
      <c r="BS576" s="1">
        <f t="shared" si="164"/>
        <v>0</v>
      </c>
      <c r="BT576" s="4">
        <f t="shared" si="165"/>
        <v>0</v>
      </c>
      <c r="BU576" s="52">
        <f t="shared" si="166"/>
        <v>0</v>
      </c>
      <c r="BV576" s="1">
        <f t="shared" si="167"/>
        <v>0</v>
      </c>
      <c r="BW576">
        <f t="shared" si="168"/>
        <v>0</v>
      </c>
      <c r="BX576">
        <f t="shared" si="169"/>
        <v>0</v>
      </c>
    </row>
    <row r="577" spans="58:76" x14ac:dyDescent="0.25">
      <c r="BF577" s="1" t="e">
        <f>VLOOKUP(N577,'Incoming Material Report'!H:M,6,FALSE)</f>
        <v>#N/A</v>
      </c>
      <c r="BG577" s="1" t="e">
        <f>IF(VLOOKUP(N577,'Incoming Material Report'!H:N,7,FALSE)=0,"",VLOOKUP(N577,'Incoming Material Report'!H:N,7,FALSE))</f>
        <v>#N/A</v>
      </c>
      <c r="BH577" s="52">
        <f t="shared" si="153"/>
        <v>0</v>
      </c>
      <c r="BI577" s="1">
        <f t="shared" si="154"/>
        <v>0</v>
      </c>
      <c r="BJ577" s="1">
        <f t="shared" si="155"/>
        <v>0</v>
      </c>
      <c r="BK577" s="1">
        <f t="shared" si="156"/>
        <v>0</v>
      </c>
      <c r="BL577" s="1">
        <f t="shared" si="157"/>
        <v>0</v>
      </c>
      <c r="BM577" s="10" t="str">
        <f t="shared" si="158"/>
        <v/>
      </c>
      <c r="BN577" s="52">
        <f t="shared" si="159"/>
        <v>0</v>
      </c>
      <c r="BO577" s="52">
        <f t="shared" si="160"/>
        <v>0</v>
      </c>
      <c r="BP577" s="1">
        <f t="shared" si="161"/>
        <v>0</v>
      </c>
      <c r="BQ577" s="1">
        <f t="shared" si="162"/>
        <v>0</v>
      </c>
      <c r="BR577" s="1" t="str">
        <f t="shared" si="163"/>
        <v/>
      </c>
      <c r="BS577" s="1">
        <f t="shared" si="164"/>
        <v>0</v>
      </c>
      <c r="BT577" s="4">
        <f t="shared" si="165"/>
        <v>0</v>
      </c>
      <c r="BU577" s="52">
        <f t="shared" si="166"/>
        <v>0</v>
      </c>
      <c r="BV577" s="1">
        <f t="shared" si="167"/>
        <v>0</v>
      </c>
      <c r="BW577">
        <f t="shared" si="168"/>
        <v>0</v>
      </c>
      <c r="BX577">
        <f t="shared" si="169"/>
        <v>0</v>
      </c>
    </row>
    <row r="578" spans="58:76" x14ac:dyDescent="0.25">
      <c r="BF578" s="1" t="e">
        <f>VLOOKUP(N578,'Incoming Material Report'!H:M,6,FALSE)</f>
        <v>#N/A</v>
      </c>
      <c r="BG578" s="1" t="e">
        <f>IF(VLOOKUP(N578,'Incoming Material Report'!H:N,7,FALSE)=0,"",VLOOKUP(N578,'Incoming Material Report'!H:N,7,FALSE))</f>
        <v>#N/A</v>
      </c>
      <c r="BH578" s="52">
        <f t="shared" si="153"/>
        <v>0</v>
      </c>
      <c r="BI578" s="1">
        <f t="shared" si="154"/>
        <v>0</v>
      </c>
      <c r="BJ578" s="1">
        <f t="shared" si="155"/>
        <v>0</v>
      </c>
      <c r="BK578" s="1">
        <f t="shared" si="156"/>
        <v>0</v>
      </c>
      <c r="BL578" s="1">
        <f t="shared" si="157"/>
        <v>0</v>
      </c>
      <c r="BM578" s="10" t="str">
        <f t="shared" si="158"/>
        <v/>
      </c>
      <c r="BN578" s="52">
        <f t="shared" si="159"/>
        <v>0</v>
      </c>
      <c r="BO578" s="52">
        <f t="shared" si="160"/>
        <v>0</v>
      </c>
      <c r="BP578" s="1">
        <f t="shared" si="161"/>
        <v>0</v>
      </c>
      <c r="BQ578" s="1">
        <f t="shared" si="162"/>
        <v>0</v>
      </c>
      <c r="BR578" s="1" t="str">
        <f t="shared" si="163"/>
        <v/>
      </c>
      <c r="BS578" s="1">
        <f t="shared" si="164"/>
        <v>0</v>
      </c>
      <c r="BT578" s="4">
        <f t="shared" si="165"/>
        <v>0</v>
      </c>
      <c r="BU578" s="52">
        <f t="shared" si="166"/>
        <v>0</v>
      </c>
      <c r="BV578" s="1">
        <f t="shared" si="167"/>
        <v>0</v>
      </c>
      <c r="BW578">
        <f t="shared" si="168"/>
        <v>0</v>
      </c>
      <c r="BX578">
        <f t="shared" si="169"/>
        <v>0</v>
      </c>
    </row>
    <row r="579" spans="58:76" x14ac:dyDescent="0.25">
      <c r="BF579" s="1" t="e">
        <f>VLOOKUP(N579,'Incoming Material Report'!H:M,6,FALSE)</f>
        <v>#N/A</v>
      </c>
      <c r="BG579" s="1" t="e">
        <f>IF(VLOOKUP(N579,'Incoming Material Report'!H:N,7,FALSE)=0,"",VLOOKUP(N579,'Incoming Material Report'!H:N,7,FALSE))</f>
        <v>#N/A</v>
      </c>
      <c r="BH579" s="52">
        <f t="shared" si="153"/>
        <v>0</v>
      </c>
      <c r="BI579" s="1">
        <f t="shared" si="154"/>
        <v>0</v>
      </c>
      <c r="BJ579" s="1">
        <f t="shared" si="155"/>
        <v>0</v>
      </c>
      <c r="BK579" s="1">
        <f t="shared" si="156"/>
        <v>0</v>
      </c>
      <c r="BL579" s="1">
        <f t="shared" si="157"/>
        <v>0</v>
      </c>
      <c r="BM579" s="10" t="str">
        <f t="shared" si="158"/>
        <v/>
      </c>
      <c r="BN579" s="52">
        <f t="shared" si="159"/>
        <v>0</v>
      </c>
      <c r="BO579" s="52">
        <f t="shared" si="160"/>
        <v>0</v>
      </c>
      <c r="BP579" s="1">
        <f t="shared" si="161"/>
        <v>0</v>
      </c>
      <c r="BQ579" s="1">
        <f t="shared" si="162"/>
        <v>0</v>
      </c>
      <c r="BR579" s="1" t="str">
        <f t="shared" si="163"/>
        <v/>
      </c>
      <c r="BS579" s="1">
        <f t="shared" si="164"/>
        <v>0</v>
      </c>
      <c r="BT579" s="4">
        <f t="shared" si="165"/>
        <v>0</v>
      </c>
      <c r="BU579" s="52">
        <f t="shared" si="166"/>
        <v>0</v>
      </c>
      <c r="BV579" s="1">
        <f t="shared" si="167"/>
        <v>0</v>
      </c>
      <c r="BW579">
        <f t="shared" si="168"/>
        <v>0</v>
      </c>
      <c r="BX579">
        <f t="shared" si="169"/>
        <v>0</v>
      </c>
    </row>
    <row r="580" spans="58:76" x14ac:dyDescent="0.25">
      <c r="BF580" s="1" t="e">
        <f>VLOOKUP(N580,'Incoming Material Report'!H:M,6,FALSE)</f>
        <v>#N/A</v>
      </c>
      <c r="BG580" s="1" t="e">
        <f>IF(VLOOKUP(N580,'Incoming Material Report'!H:N,7,FALSE)=0,"",VLOOKUP(N580,'Incoming Material Report'!H:N,7,FALSE))</f>
        <v>#N/A</v>
      </c>
      <c r="BH580" s="52">
        <f t="shared" si="153"/>
        <v>0</v>
      </c>
      <c r="BI580" s="1">
        <f t="shared" si="154"/>
        <v>0</v>
      </c>
      <c r="BJ580" s="1">
        <f t="shared" si="155"/>
        <v>0</v>
      </c>
      <c r="BK580" s="1">
        <f t="shared" si="156"/>
        <v>0</v>
      </c>
      <c r="BL580" s="1">
        <f t="shared" si="157"/>
        <v>0</v>
      </c>
      <c r="BM580" s="10" t="str">
        <f t="shared" si="158"/>
        <v/>
      </c>
      <c r="BN580" s="52">
        <f t="shared" si="159"/>
        <v>0</v>
      </c>
      <c r="BO580" s="52">
        <f t="shared" si="160"/>
        <v>0</v>
      </c>
      <c r="BP580" s="1">
        <f t="shared" si="161"/>
        <v>0</v>
      </c>
      <c r="BQ580" s="1">
        <f t="shared" si="162"/>
        <v>0</v>
      </c>
      <c r="BR580" s="1" t="str">
        <f t="shared" si="163"/>
        <v/>
      </c>
      <c r="BS580" s="1">
        <f t="shared" si="164"/>
        <v>0</v>
      </c>
      <c r="BT580" s="4">
        <f t="shared" si="165"/>
        <v>0</v>
      </c>
      <c r="BU580" s="52">
        <f t="shared" si="166"/>
        <v>0</v>
      </c>
      <c r="BV580" s="1">
        <f t="shared" si="167"/>
        <v>0</v>
      </c>
      <c r="BW580">
        <f t="shared" si="168"/>
        <v>0</v>
      </c>
      <c r="BX580">
        <f t="shared" si="169"/>
        <v>0</v>
      </c>
    </row>
    <row r="581" spans="58:76" x14ac:dyDescent="0.25">
      <c r="BF581" s="1" t="e">
        <f>VLOOKUP(N581,'Incoming Material Report'!H:M,6,FALSE)</f>
        <v>#N/A</v>
      </c>
      <c r="BG581" s="1" t="e">
        <f>IF(VLOOKUP(N581,'Incoming Material Report'!H:N,7,FALSE)=0,"",VLOOKUP(N581,'Incoming Material Report'!H:N,7,FALSE))</f>
        <v>#N/A</v>
      </c>
      <c r="BH581" s="52">
        <f t="shared" si="153"/>
        <v>0</v>
      </c>
      <c r="BI581" s="1">
        <f t="shared" si="154"/>
        <v>0</v>
      </c>
      <c r="BJ581" s="1">
        <f t="shared" si="155"/>
        <v>0</v>
      </c>
      <c r="BK581" s="1">
        <f t="shared" si="156"/>
        <v>0</v>
      </c>
      <c r="BL581" s="1">
        <f t="shared" si="157"/>
        <v>0</v>
      </c>
      <c r="BM581" s="10" t="str">
        <f t="shared" si="158"/>
        <v/>
      </c>
      <c r="BN581" s="52">
        <f t="shared" si="159"/>
        <v>0</v>
      </c>
      <c r="BO581" s="52">
        <f t="shared" si="160"/>
        <v>0</v>
      </c>
      <c r="BP581" s="1">
        <f t="shared" si="161"/>
        <v>0</v>
      </c>
      <c r="BQ581" s="1">
        <f t="shared" si="162"/>
        <v>0</v>
      </c>
      <c r="BR581" s="1" t="str">
        <f t="shared" si="163"/>
        <v/>
      </c>
      <c r="BS581" s="1">
        <f t="shared" si="164"/>
        <v>0</v>
      </c>
      <c r="BT581" s="4">
        <f t="shared" si="165"/>
        <v>0</v>
      </c>
      <c r="BU581" s="52">
        <f t="shared" si="166"/>
        <v>0</v>
      </c>
      <c r="BV581" s="1">
        <f t="shared" si="167"/>
        <v>0</v>
      </c>
      <c r="BW581">
        <f t="shared" si="168"/>
        <v>0</v>
      </c>
      <c r="BX581">
        <f t="shared" si="169"/>
        <v>0</v>
      </c>
    </row>
    <row r="582" spans="58:76" x14ac:dyDescent="0.25">
      <c r="BF582" s="1" t="e">
        <f>VLOOKUP(N582,'Incoming Material Report'!H:M,6,FALSE)</f>
        <v>#N/A</v>
      </c>
      <c r="BG582" s="1" t="e">
        <f>IF(VLOOKUP(N582,'Incoming Material Report'!H:N,7,FALSE)=0,"",VLOOKUP(N582,'Incoming Material Report'!H:N,7,FALSE))</f>
        <v>#N/A</v>
      </c>
      <c r="BH582" s="52">
        <f t="shared" si="153"/>
        <v>0</v>
      </c>
      <c r="BI582" s="1">
        <f t="shared" si="154"/>
        <v>0</v>
      </c>
      <c r="BJ582" s="1">
        <f t="shared" si="155"/>
        <v>0</v>
      </c>
      <c r="BK582" s="1">
        <f t="shared" si="156"/>
        <v>0</v>
      </c>
      <c r="BL582" s="1">
        <f t="shared" si="157"/>
        <v>0</v>
      </c>
      <c r="BM582" s="10" t="str">
        <f t="shared" si="158"/>
        <v/>
      </c>
      <c r="BN582" s="52">
        <f t="shared" si="159"/>
        <v>0</v>
      </c>
      <c r="BO582" s="52">
        <f t="shared" si="160"/>
        <v>0</v>
      </c>
      <c r="BP582" s="1">
        <f t="shared" si="161"/>
        <v>0</v>
      </c>
      <c r="BQ582" s="1">
        <f t="shared" si="162"/>
        <v>0</v>
      </c>
      <c r="BR582" s="1" t="str">
        <f t="shared" si="163"/>
        <v/>
      </c>
      <c r="BS582" s="1">
        <f t="shared" si="164"/>
        <v>0</v>
      </c>
      <c r="BT582" s="4">
        <f t="shared" si="165"/>
        <v>0</v>
      </c>
      <c r="BU582" s="52">
        <f t="shared" si="166"/>
        <v>0</v>
      </c>
      <c r="BV582" s="1">
        <f t="shared" si="167"/>
        <v>0</v>
      </c>
      <c r="BW582">
        <f t="shared" si="168"/>
        <v>0</v>
      </c>
      <c r="BX582">
        <f t="shared" si="169"/>
        <v>0</v>
      </c>
    </row>
    <row r="583" spans="58:76" x14ac:dyDescent="0.25">
      <c r="BF583" s="1" t="e">
        <f>VLOOKUP(N583,'Incoming Material Report'!H:M,6,FALSE)</f>
        <v>#N/A</v>
      </c>
      <c r="BG583" s="1" t="e">
        <f>IF(VLOOKUP(N583,'Incoming Material Report'!H:N,7,FALSE)=0,"",VLOOKUP(N583,'Incoming Material Report'!H:N,7,FALSE))</f>
        <v>#N/A</v>
      </c>
      <c r="BH583" s="52">
        <f t="shared" si="153"/>
        <v>0</v>
      </c>
      <c r="BI583" s="1">
        <f t="shared" si="154"/>
        <v>0</v>
      </c>
      <c r="BJ583" s="1">
        <f t="shared" si="155"/>
        <v>0</v>
      </c>
      <c r="BK583" s="1">
        <f t="shared" si="156"/>
        <v>0</v>
      </c>
      <c r="BL583" s="1">
        <f t="shared" si="157"/>
        <v>0</v>
      </c>
      <c r="BM583" s="10" t="str">
        <f t="shared" si="158"/>
        <v/>
      </c>
      <c r="BN583" s="52">
        <f t="shared" si="159"/>
        <v>0</v>
      </c>
      <c r="BO583" s="52">
        <f t="shared" si="160"/>
        <v>0</v>
      </c>
      <c r="BP583" s="1">
        <f t="shared" si="161"/>
        <v>0</v>
      </c>
      <c r="BQ583" s="1">
        <f t="shared" si="162"/>
        <v>0</v>
      </c>
      <c r="BR583" s="1" t="str">
        <f t="shared" si="163"/>
        <v/>
      </c>
      <c r="BS583" s="1">
        <f t="shared" si="164"/>
        <v>0</v>
      </c>
      <c r="BT583" s="4">
        <f t="shared" si="165"/>
        <v>0</v>
      </c>
      <c r="BU583" s="52">
        <f t="shared" si="166"/>
        <v>0</v>
      </c>
      <c r="BV583" s="1">
        <f t="shared" si="167"/>
        <v>0</v>
      </c>
      <c r="BW583">
        <f t="shared" si="168"/>
        <v>0</v>
      </c>
      <c r="BX583">
        <f t="shared" si="169"/>
        <v>0</v>
      </c>
    </row>
    <row r="584" spans="58:76" x14ac:dyDescent="0.25">
      <c r="BF584" s="1" t="e">
        <f>VLOOKUP(N584,'Incoming Material Report'!H:M,6,FALSE)</f>
        <v>#N/A</v>
      </c>
      <c r="BG584" s="1" t="e">
        <f>IF(VLOOKUP(N584,'Incoming Material Report'!H:N,7,FALSE)=0,"",VLOOKUP(N584,'Incoming Material Report'!H:N,7,FALSE))</f>
        <v>#N/A</v>
      </c>
      <c r="BH584" s="52">
        <f t="shared" si="153"/>
        <v>0</v>
      </c>
      <c r="BI584" s="1">
        <f t="shared" si="154"/>
        <v>0</v>
      </c>
      <c r="BJ584" s="1">
        <f t="shared" si="155"/>
        <v>0</v>
      </c>
      <c r="BK584" s="1">
        <f t="shared" si="156"/>
        <v>0</v>
      </c>
      <c r="BL584" s="1">
        <f t="shared" si="157"/>
        <v>0</v>
      </c>
      <c r="BM584" s="10" t="str">
        <f t="shared" si="158"/>
        <v/>
      </c>
      <c r="BN584" s="52">
        <f t="shared" si="159"/>
        <v>0</v>
      </c>
      <c r="BO584" s="52">
        <f t="shared" si="160"/>
        <v>0</v>
      </c>
      <c r="BP584" s="1">
        <f t="shared" si="161"/>
        <v>0</v>
      </c>
      <c r="BQ584" s="1">
        <f t="shared" si="162"/>
        <v>0</v>
      </c>
      <c r="BR584" s="1" t="str">
        <f t="shared" si="163"/>
        <v/>
      </c>
      <c r="BS584" s="1">
        <f t="shared" si="164"/>
        <v>0</v>
      </c>
      <c r="BT584" s="4">
        <f t="shared" si="165"/>
        <v>0</v>
      </c>
      <c r="BU584" s="52">
        <f t="shared" si="166"/>
        <v>0</v>
      </c>
      <c r="BV584" s="1">
        <f t="shared" si="167"/>
        <v>0</v>
      </c>
      <c r="BW584">
        <f t="shared" si="168"/>
        <v>0</v>
      </c>
      <c r="BX584">
        <f t="shared" si="169"/>
        <v>0</v>
      </c>
    </row>
    <row r="585" spans="58:76" x14ac:dyDescent="0.25">
      <c r="BF585" s="1" t="e">
        <f>VLOOKUP(N585,'Incoming Material Report'!H:M,6,FALSE)</f>
        <v>#N/A</v>
      </c>
      <c r="BG585" s="1" t="e">
        <f>IF(VLOOKUP(N585,'Incoming Material Report'!H:N,7,FALSE)=0,"",VLOOKUP(N585,'Incoming Material Report'!H:N,7,FALSE))</f>
        <v>#N/A</v>
      </c>
      <c r="BH585" s="52">
        <f t="shared" si="153"/>
        <v>0</v>
      </c>
      <c r="BI585" s="1">
        <f t="shared" si="154"/>
        <v>0</v>
      </c>
      <c r="BJ585" s="1">
        <f t="shared" si="155"/>
        <v>0</v>
      </c>
      <c r="BK585" s="1">
        <f t="shared" si="156"/>
        <v>0</v>
      </c>
      <c r="BL585" s="1">
        <f t="shared" si="157"/>
        <v>0</v>
      </c>
      <c r="BM585" s="10" t="str">
        <f t="shared" si="158"/>
        <v/>
      </c>
      <c r="BN585" s="52">
        <f t="shared" si="159"/>
        <v>0</v>
      </c>
      <c r="BO585" s="52">
        <f t="shared" si="160"/>
        <v>0</v>
      </c>
      <c r="BP585" s="1">
        <f t="shared" si="161"/>
        <v>0</v>
      </c>
      <c r="BQ585" s="1">
        <f t="shared" si="162"/>
        <v>0</v>
      </c>
      <c r="BR585" s="1" t="str">
        <f t="shared" si="163"/>
        <v/>
      </c>
      <c r="BS585" s="1">
        <f t="shared" si="164"/>
        <v>0</v>
      </c>
      <c r="BT585" s="4">
        <f t="shared" si="165"/>
        <v>0</v>
      </c>
      <c r="BU585" s="52">
        <f t="shared" si="166"/>
        <v>0</v>
      </c>
      <c r="BV585" s="1">
        <f t="shared" si="167"/>
        <v>0</v>
      </c>
      <c r="BW585">
        <f t="shared" si="168"/>
        <v>0</v>
      </c>
      <c r="BX585">
        <f t="shared" si="169"/>
        <v>0</v>
      </c>
    </row>
    <row r="586" spans="58:76" x14ac:dyDescent="0.25">
      <c r="BF586" s="1" t="e">
        <f>VLOOKUP(N586,'Incoming Material Report'!H:M,6,FALSE)</f>
        <v>#N/A</v>
      </c>
      <c r="BG586" s="1" t="e">
        <f>IF(VLOOKUP(N586,'Incoming Material Report'!H:N,7,FALSE)=0,"",VLOOKUP(N586,'Incoming Material Report'!H:N,7,FALSE))</f>
        <v>#N/A</v>
      </c>
      <c r="BH586" s="52">
        <f t="shared" si="153"/>
        <v>0</v>
      </c>
      <c r="BI586" s="1">
        <f t="shared" si="154"/>
        <v>0</v>
      </c>
      <c r="BJ586" s="1">
        <f t="shared" si="155"/>
        <v>0</v>
      </c>
      <c r="BK586" s="1">
        <f t="shared" si="156"/>
        <v>0</v>
      </c>
      <c r="BL586" s="1">
        <f t="shared" si="157"/>
        <v>0</v>
      </c>
      <c r="BM586" s="10" t="str">
        <f t="shared" si="158"/>
        <v/>
      </c>
      <c r="BN586" s="52">
        <f t="shared" si="159"/>
        <v>0</v>
      </c>
      <c r="BO586" s="52">
        <f t="shared" si="160"/>
        <v>0</v>
      </c>
      <c r="BP586" s="1">
        <f t="shared" si="161"/>
        <v>0</v>
      </c>
      <c r="BQ586" s="1">
        <f t="shared" si="162"/>
        <v>0</v>
      </c>
      <c r="BR586" s="1" t="str">
        <f t="shared" si="163"/>
        <v/>
      </c>
      <c r="BS586" s="1">
        <f t="shared" si="164"/>
        <v>0</v>
      </c>
      <c r="BT586" s="4">
        <f t="shared" si="165"/>
        <v>0</v>
      </c>
      <c r="BU586" s="52">
        <f t="shared" si="166"/>
        <v>0</v>
      </c>
      <c r="BV586" s="1">
        <f t="shared" si="167"/>
        <v>0</v>
      </c>
      <c r="BW586">
        <f t="shared" si="168"/>
        <v>0</v>
      </c>
      <c r="BX586">
        <f t="shared" si="169"/>
        <v>0</v>
      </c>
    </row>
    <row r="587" spans="58:76" x14ac:dyDescent="0.25">
      <c r="BF587" s="1" t="e">
        <f>VLOOKUP(N587,'Incoming Material Report'!H:M,6,FALSE)</f>
        <v>#N/A</v>
      </c>
      <c r="BG587" s="1" t="e">
        <f>IF(VLOOKUP(N587,'Incoming Material Report'!H:N,7,FALSE)=0,"",VLOOKUP(N587,'Incoming Material Report'!H:N,7,FALSE))</f>
        <v>#N/A</v>
      </c>
      <c r="BH587" s="52">
        <f t="shared" si="153"/>
        <v>0</v>
      </c>
      <c r="BI587" s="1">
        <f t="shared" si="154"/>
        <v>0</v>
      </c>
      <c r="BJ587" s="1">
        <f t="shared" si="155"/>
        <v>0</v>
      </c>
      <c r="BK587" s="1">
        <f t="shared" si="156"/>
        <v>0</v>
      </c>
      <c r="BL587" s="1">
        <f t="shared" si="157"/>
        <v>0</v>
      </c>
      <c r="BM587" s="10" t="str">
        <f t="shared" si="158"/>
        <v/>
      </c>
      <c r="BN587" s="52">
        <f t="shared" si="159"/>
        <v>0</v>
      </c>
      <c r="BO587" s="52">
        <f t="shared" si="160"/>
        <v>0</v>
      </c>
      <c r="BP587" s="1">
        <f t="shared" si="161"/>
        <v>0</v>
      </c>
      <c r="BQ587" s="1">
        <f t="shared" si="162"/>
        <v>0</v>
      </c>
      <c r="BR587" s="1" t="str">
        <f t="shared" si="163"/>
        <v/>
      </c>
      <c r="BS587" s="1">
        <f t="shared" si="164"/>
        <v>0</v>
      </c>
      <c r="BT587" s="4">
        <f t="shared" si="165"/>
        <v>0</v>
      </c>
      <c r="BU587" s="52">
        <f t="shared" si="166"/>
        <v>0</v>
      </c>
      <c r="BV587" s="1">
        <f t="shared" si="167"/>
        <v>0</v>
      </c>
      <c r="BW587">
        <f t="shared" si="168"/>
        <v>0</v>
      </c>
      <c r="BX587">
        <f t="shared" si="169"/>
        <v>0</v>
      </c>
    </row>
    <row r="588" spans="58:76" x14ac:dyDescent="0.25">
      <c r="BF588" s="1" t="e">
        <f>VLOOKUP(N588,'Incoming Material Report'!H:M,6,FALSE)</f>
        <v>#N/A</v>
      </c>
      <c r="BG588" s="1" t="e">
        <f>IF(VLOOKUP(N588,'Incoming Material Report'!H:N,7,FALSE)=0,"",VLOOKUP(N588,'Incoming Material Report'!H:N,7,FALSE))</f>
        <v>#N/A</v>
      </c>
      <c r="BH588" s="52">
        <f t="shared" si="153"/>
        <v>0</v>
      </c>
      <c r="BI588" s="1">
        <f t="shared" si="154"/>
        <v>0</v>
      </c>
      <c r="BJ588" s="1">
        <f t="shared" si="155"/>
        <v>0</v>
      </c>
      <c r="BK588" s="1">
        <f t="shared" si="156"/>
        <v>0</v>
      </c>
      <c r="BL588" s="1">
        <f t="shared" si="157"/>
        <v>0</v>
      </c>
      <c r="BM588" s="10" t="str">
        <f t="shared" si="158"/>
        <v/>
      </c>
      <c r="BN588" s="52">
        <f t="shared" si="159"/>
        <v>0</v>
      </c>
      <c r="BO588" s="52">
        <f t="shared" si="160"/>
        <v>0</v>
      </c>
      <c r="BP588" s="1">
        <f t="shared" si="161"/>
        <v>0</v>
      </c>
      <c r="BQ588" s="1">
        <f t="shared" si="162"/>
        <v>0</v>
      </c>
      <c r="BR588" s="1" t="str">
        <f t="shared" si="163"/>
        <v/>
      </c>
      <c r="BS588" s="1">
        <f t="shared" si="164"/>
        <v>0</v>
      </c>
      <c r="BT588" s="4">
        <f t="shared" si="165"/>
        <v>0</v>
      </c>
      <c r="BU588" s="52">
        <f t="shared" si="166"/>
        <v>0</v>
      </c>
      <c r="BV588" s="1">
        <f t="shared" si="167"/>
        <v>0</v>
      </c>
      <c r="BW588">
        <f t="shared" si="168"/>
        <v>0</v>
      </c>
      <c r="BX588">
        <f t="shared" si="169"/>
        <v>0</v>
      </c>
    </row>
    <row r="589" spans="58:76" x14ac:dyDescent="0.25">
      <c r="BF589" s="1" t="e">
        <f>VLOOKUP(N589,'Incoming Material Report'!H:M,6,FALSE)</f>
        <v>#N/A</v>
      </c>
      <c r="BG589" s="1" t="e">
        <f>IF(VLOOKUP(N589,'Incoming Material Report'!H:N,7,FALSE)=0,"",VLOOKUP(N589,'Incoming Material Report'!H:N,7,FALSE))</f>
        <v>#N/A</v>
      </c>
      <c r="BH589" s="52">
        <f t="shared" si="153"/>
        <v>0</v>
      </c>
      <c r="BI589" s="1">
        <f t="shared" si="154"/>
        <v>0</v>
      </c>
      <c r="BJ589" s="1">
        <f t="shared" si="155"/>
        <v>0</v>
      </c>
      <c r="BK589" s="1">
        <f t="shared" si="156"/>
        <v>0</v>
      </c>
      <c r="BL589" s="1">
        <f t="shared" si="157"/>
        <v>0</v>
      </c>
      <c r="BM589" s="10" t="str">
        <f t="shared" si="158"/>
        <v/>
      </c>
      <c r="BN589" s="52">
        <f t="shared" si="159"/>
        <v>0</v>
      </c>
      <c r="BO589" s="52">
        <f t="shared" si="160"/>
        <v>0</v>
      </c>
      <c r="BP589" s="1">
        <f t="shared" si="161"/>
        <v>0</v>
      </c>
      <c r="BQ589" s="1">
        <f t="shared" si="162"/>
        <v>0</v>
      </c>
      <c r="BR589" s="1" t="str">
        <f t="shared" si="163"/>
        <v/>
      </c>
      <c r="BS589" s="1">
        <f t="shared" si="164"/>
        <v>0</v>
      </c>
      <c r="BT589" s="4">
        <f t="shared" si="165"/>
        <v>0</v>
      </c>
      <c r="BU589" s="52">
        <f t="shared" si="166"/>
        <v>0</v>
      </c>
      <c r="BV589" s="1">
        <f t="shared" si="167"/>
        <v>0</v>
      </c>
      <c r="BW589">
        <f t="shared" si="168"/>
        <v>0</v>
      </c>
      <c r="BX589">
        <f t="shared" si="169"/>
        <v>0</v>
      </c>
    </row>
    <row r="590" spans="58:76" x14ac:dyDescent="0.25">
      <c r="BF590" s="1" t="e">
        <f>VLOOKUP(N590,'Incoming Material Report'!H:M,6,FALSE)</f>
        <v>#N/A</v>
      </c>
      <c r="BG590" s="1" t="e">
        <f>IF(VLOOKUP(N590,'Incoming Material Report'!H:N,7,FALSE)=0,"",VLOOKUP(N590,'Incoming Material Report'!H:N,7,FALSE))</f>
        <v>#N/A</v>
      </c>
      <c r="BH590" s="52">
        <f t="shared" si="153"/>
        <v>0</v>
      </c>
      <c r="BI590" s="1">
        <f t="shared" si="154"/>
        <v>0</v>
      </c>
      <c r="BJ590" s="1">
        <f t="shared" si="155"/>
        <v>0</v>
      </c>
      <c r="BK590" s="1">
        <f t="shared" si="156"/>
        <v>0</v>
      </c>
      <c r="BL590" s="1">
        <f t="shared" si="157"/>
        <v>0</v>
      </c>
      <c r="BM590" s="10" t="str">
        <f t="shared" si="158"/>
        <v/>
      </c>
      <c r="BN590" s="52">
        <f t="shared" si="159"/>
        <v>0</v>
      </c>
      <c r="BO590" s="52">
        <f t="shared" si="160"/>
        <v>0</v>
      </c>
      <c r="BP590" s="1">
        <f t="shared" si="161"/>
        <v>0</v>
      </c>
      <c r="BQ590" s="1">
        <f t="shared" si="162"/>
        <v>0</v>
      </c>
      <c r="BR590" s="1" t="str">
        <f t="shared" si="163"/>
        <v/>
      </c>
      <c r="BS590" s="1">
        <f t="shared" si="164"/>
        <v>0</v>
      </c>
      <c r="BT590" s="4">
        <f t="shared" si="165"/>
        <v>0</v>
      </c>
      <c r="BU590" s="52">
        <f t="shared" si="166"/>
        <v>0</v>
      </c>
      <c r="BV590" s="1">
        <f t="shared" si="167"/>
        <v>0</v>
      </c>
      <c r="BW590">
        <f t="shared" si="168"/>
        <v>0</v>
      </c>
      <c r="BX590">
        <f t="shared" si="169"/>
        <v>0</v>
      </c>
    </row>
    <row r="591" spans="58:76" x14ac:dyDescent="0.25">
      <c r="BF591" s="1" t="e">
        <f>VLOOKUP(N591,'Incoming Material Report'!H:M,6,FALSE)</f>
        <v>#N/A</v>
      </c>
      <c r="BG591" s="1" t="e">
        <f>IF(VLOOKUP(N591,'Incoming Material Report'!H:N,7,FALSE)=0,"",VLOOKUP(N591,'Incoming Material Report'!H:N,7,FALSE))</f>
        <v>#N/A</v>
      </c>
      <c r="BH591" s="52">
        <f t="shared" si="153"/>
        <v>0</v>
      </c>
      <c r="BI591" s="1">
        <f t="shared" si="154"/>
        <v>0</v>
      </c>
      <c r="BJ591" s="1">
        <f t="shared" si="155"/>
        <v>0</v>
      </c>
      <c r="BK591" s="1">
        <f t="shared" si="156"/>
        <v>0</v>
      </c>
      <c r="BL591" s="1">
        <f t="shared" si="157"/>
        <v>0</v>
      </c>
      <c r="BM591" s="10" t="str">
        <f t="shared" si="158"/>
        <v/>
      </c>
      <c r="BN591" s="52">
        <f t="shared" si="159"/>
        <v>0</v>
      </c>
      <c r="BO591" s="52">
        <f t="shared" si="160"/>
        <v>0</v>
      </c>
      <c r="BP591" s="1">
        <f t="shared" si="161"/>
        <v>0</v>
      </c>
      <c r="BQ591" s="1">
        <f t="shared" si="162"/>
        <v>0</v>
      </c>
      <c r="BR591" s="1" t="str">
        <f t="shared" si="163"/>
        <v/>
      </c>
      <c r="BS591" s="1">
        <f t="shared" si="164"/>
        <v>0</v>
      </c>
      <c r="BT591" s="4">
        <f t="shared" si="165"/>
        <v>0</v>
      </c>
      <c r="BU591" s="52">
        <f t="shared" si="166"/>
        <v>0</v>
      </c>
      <c r="BV591" s="1">
        <f t="shared" si="167"/>
        <v>0</v>
      </c>
      <c r="BW591">
        <f t="shared" si="168"/>
        <v>0</v>
      </c>
      <c r="BX591">
        <f t="shared" si="169"/>
        <v>0</v>
      </c>
    </row>
    <row r="592" spans="58:76" x14ac:dyDescent="0.25">
      <c r="BF592" s="1" t="e">
        <f>VLOOKUP(N592,'Incoming Material Report'!H:M,6,FALSE)</f>
        <v>#N/A</v>
      </c>
      <c r="BG592" s="1" t="e">
        <f>IF(VLOOKUP(N592,'Incoming Material Report'!H:N,7,FALSE)=0,"",VLOOKUP(N592,'Incoming Material Report'!H:N,7,FALSE))</f>
        <v>#N/A</v>
      </c>
      <c r="BH592" s="52">
        <f t="shared" si="153"/>
        <v>0</v>
      </c>
      <c r="BI592" s="1">
        <f t="shared" si="154"/>
        <v>0</v>
      </c>
      <c r="BJ592" s="1">
        <f t="shared" si="155"/>
        <v>0</v>
      </c>
      <c r="BK592" s="1">
        <f t="shared" si="156"/>
        <v>0</v>
      </c>
      <c r="BL592" s="1">
        <f t="shared" si="157"/>
        <v>0</v>
      </c>
      <c r="BM592" s="10" t="str">
        <f t="shared" si="158"/>
        <v/>
      </c>
      <c r="BN592" s="52">
        <f t="shared" si="159"/>
        <v>0</v>
      </c>
      <c r="BO592" s="52">
        <f t="shared" si="160"/>
        <v>0</v>
      </c>
      <c r="BP592" s="1">
        <f t="shared" si="161"/>
        <v>0</v>
      </c>
      <c r="BQ592" s="1">
        <f t="shared" si="162"/>
        <v>0</v>
      </c>
      <c r="BR592" s="1" t="str">
        <f t="shared" si="163"/>
        <v/>
      </c>
      <c r="BS592" s="1">
        <f t="shared" si="164"/>
        <v>0</v>
      </c>
      <c r="BT592" s="4">
        <f t="shared" si="165"/>
        <v>0</v>
      </c>
      <c r="BU592" s="52">
        <f t="shared" si="166"/>
        <v>0</v>
      </c>
      <c r="BV592" s="1">
        <f t="shared" si="167"/>
        <v>0</v>
      </c>
      <c r="BW592">
        <f t="shared" si="168"/>
        <v>0</v>
      </c>
      <c r="BX592">
        <f t="shared" si="169"/>
        <v>0</v>
      </c>
    </row>
    <row r="593" spans="58:76" x14ac:dyDescent="0.25">
      <c r="BF593" s="1" t="e">
        <f>VLOOKUP(N593,'Incoming Material Report'!H:M,6,FALSE)</f>
        <v>#N/A</v>
      </c>
      <c r="BG593" s="1" t="e">
        <f>IF(VLOOKUP(N593,'Incoming Material Report'!H:N,7,FALSE)=0,"",VLOOKUP(N593,'Incoming Material Report'!H:N,7,FALSE))</f>
        <v>#N/A</v>
      </c>
      <c r="BH593" s="52">
        <f t="shared" si="153"/>
        <v>0</v>
      </c>
      <c r="BI593" s="1">
        <f t="shared" si="154"/>
        <v>0</v>
      </c>
      <c r="BJ593" s="1">
        <f t="shared" si="155"/>
        <v>0</v>
      </c>
      <c r="BK593" s="1">
        <f t="shared" si="156"/>
        <v>0</v>
      </c>
      <c r="BL593" s="1">
        <f t="shared" si="157"/>
        <v>0</v>
      </c>
      <c r="BM593" s="10" t="str">
        <f t="shared" si="158"/>
        <v/>
      </c>
      <c r="BN593" s="52">
        <f t="shared" si="159"/>
        <v>0</v>
      </c>
      <c r="BO593" s="52">
        <f t="shared" si="160"/>
        <v>0</v>
      </c>
      <c r="BP593" s="1">
        <f t="shared" si="161"/>
        <v>0</v>
      </c>
      <c r="BQ593" s="1">
        <f t="shared" si="162"/>
        <v>0</v>
      </c>
      <c r="BR593" s="1" t="str">
        <f t="shared" si="163"/>
        <v/>
      </c>
      <c r="BS593" s="1">
        <f t="shared" si="164"/>
        <v>0</v>
      </c>
      <c r="BT593" s="4">
        <f t="shared" si="165"/>
        <v>0</v>
      </c>
      <c r="BU593" s="52">
        <f t="shared" si="166"/>
        <v>0</v>
      </c>
      <c r="BV593" s="1">
        <f t="shared" si="167"/>
        <v>0</v>
      </c>
      <c r="BW593">
        <f t="shared" si="168"/>
        <v>0</v>
      </c>
      <c r="BX593">
        <f t="shared" si="169"/>
        <v>0</v>
      </c>
    </row>
    <row r="594" spans="58:76" x14ac:dyDescent="0.25">
      <c r="BF594" s="1" t="e">
        <f>VLOOKUP(N594,'Incoming Material Report'!H:M,6,FALSE)</f>
        <v>#N/A</v>
      </c>
      <c r="BG594" s="1" t="e">
        <f>IF(VLOOKUP(N594,'Incoming Material Report'!H:N,7,FALSE)=0,"",VLOOKUP(N594,'Incoming Material Report'!H:N,7,FALSE))</f>
        <v>#N/A</v>
      </c>
      <c r="BH594" s="52">
        <f t="shared" si="153"/>
        <v>0</v>
      </c>
      <c r="BI594" s="1">
        <f t="shared" si="154"/>
        <v>0</v>
      </c>
      <c r="BJ594" s="1">
        <f t="shared" si="155"/>
        <v>0</v>
      </c>
      <c r="BK594" s="1">
        <f t="shared" si="156"/>
        <v>0</v>
      </c>
      <c r="BL594" s="1">
        <f t="shared" si="157"/>
        <v>0</v>
      </c>
      <c r="BM594" s="10" t="str">
        <f t="shared" si="158"/>
        <v/>
      </c>
      <c r="BN594" s="52">
        <f t="shared" si="159"/>
        <v>0</v>
      </c>
      <c r="BO594" s="52">
        <f t="shared" si="160"/>
        <v>0</v>
      </c>
      <c r="BP594" s="1">
        <f t="shared" si="161"/>
        <v>0</v>
      </c>
      <c r="BQ594" s="1">
        <f t="shared" si="162"/>
        <v>0</v>
      </c>
      <c r="BR594" s="1" t="str">
        <f t="shared" si="163"/>
        <v/>
      </c>
      <c r="BS594" s="1">
        <f t="shared" si="164"/>
        <v>0</v>
      </c>
      <c r="BT594" s="4">
        <f t="shared" si="165"/>
        <v>0</v>
      </c>
      <c r="BU594" s="52">
        <f t="shared" si="166"/>
        <v>0</v>
      </c>
      <c r="BV594" s="1">
        <f t="shared" si="167"/>
        <v>0</v>
      </c>
      <c r="BW594">
        <f t="shared" si="168"/>
        <v>0</v>
      </c>
      <c r="BX594">
        <f t="shared" si="169"/>
        <v>0</v>
      </c>
    </row>
    <row r="595" spans="58:76" x14ac:dyDescent="0.25">
      <c r="BF595" s="1" t="e">
        <f>VLOOKUP(N595,'Incoming Material Report'!H:M,6,FALSE)</f>
        <v>#N/A</v>
      </c>
      <c r="BG595" s="1" t="e">
        <f>IF(VLOOKUP(N595,'Incoming Material Report'!H:N,7,FALSE)=0,"",VLOOKUP(N595,'Incoming Material Report'!H:N,7,FALSE))</f>
        <v>#N/A</v>
      </c>
      <c r="BH595" s="52">
        <f t="shared" si="153"/>
        <v>0</v>
      </c>
      <c r="BI595" s="1">
        <f t="shared" si="154"/>
        <v>0</v>
      </c>
      <c r="BJ595" s="1">
        <f t="shared" si="155"/>
        <v>0</v>
      </c>
      <c r="BK595" s="1">
        <f t="shared" si="156"/>
        <v>0</v>
      </c>
      <c r="BL595" s="1">
        <f t="shared" si="157"/>
        <v>0</v>
      </c>
      <c r="BM595" s="10" t="str">
        <f t="shared" si="158"/>
        <v/>
      </c>
      <c r="BN595" s="52">
        <f t="shared" si="159"/>
        <v>0</v>
      </c>
      <c r="BO595" s="52">
        <f t="shared" si="160"/>
        <v>0</v>
      </c>
      <c r="BP595" s="1">
        <f t="shared" si="161"/>
        <v>0</v>
      </c>
      <c r="BQ595" s="1">
        <f t="shared" si="162"/>
        <v>0</v>
      </c>
      <c r="BR595" s="1" t="str">
        <f t="shared" si="163"/>
        <v/>
      </c>
      <c r="BS595" s="1">
        <f t="shared" si="164"/>
        <v>0</v>
      </c>
      <c r="BT595" s="4">
        <f t="shared" si="165"/>
        <v>0</v>
      </c>
      <c r="BU595" s="52">
        <f t="shared" si="166"/>
        <v>0</v>
      </c>
      <c r="BV595" s="1">
        <f t="shared" si="167"/>
        <v>0</v>
      </c>
      <c r="BW595">
        <f t="shared" si="168"/>
        <v>0</v>
      </c>
      <c r="BX595">
        <f t="shared" si="169"/>
        <v>0</v>
      </c>
    </row>
    <row r="596" spans="58:76" x14ac:dyDescent="0.25">
      <c r="BF596" s="1" t="e">
        <f>VLOOKUP(N596,'Incoming Material Report'!H:M,6,FALSE)</f>
        <v>#N/A</v>
      </c>
      <c r="BG596" s="1" t="e">
        <f>IF(VLOOKUP(N596,'Incoming Material Report'!H:N,7,FALSE)=0,"",VLOOKUP(N596,'Incoming Material Report'!H:N,7,FALSE))</f>
        <v>#N/A</v>
      </c>
      <c r="BH596" s="52">
        <f t="shared" si="153"/>
        <v>0</v>
      </c>
      <c r="BI596" s="1">
        <f t="shared" si="154"/>
        <v>0</v>
      </c>
      <c r="BJ596" s="1">
        <f t="shared" si="155"/>
        <v>0</v>
      </c>
      <c r="BK596" s="1">
        <f t="shared" si="156"/>
        <v>0</v>
      </c>
      <c r="BL596" s="1">
        <f t="shared" si="157"/>
        <v>0</v>
      </c>
      <c r="BM596" s="10" t="str">
        <f t="shared" si="158"/>
        <v/>
      </c>
      <c r="BN596" s="52">
        <f t="shared" si="159"/>
        <v>0</v>
      </c>
      <c r="BO596" s="52">
        <f t="shared" si="160"/>
        <v>0</v>
      </c>
      <c r="BP596" s="1">
        <f t="shared" si="161"/>
        <v>0</v>
      </c>
      <c r="BQ596" s="1">
        <f t="shared" si="162"/>
        <v>0</v>
      </c>
      <c r="BR596" s="1" t="str">
        <f t="shared" si="163"/>
        <v/>
      </c>
      <c r="BS596" s="1">
        <f t="shared" si="164"/>
        <v>0</v>
      </c>
      <c r="BT596" s="4">
        <f t="shared" si="165"/>
        <v>0</v>
      </c>
      <c r="BU596" s="52">
        <f t="shared" si="166"/>
        <v>0</v>
      </c>
      <c r="BV596" s="1">
        <f t="shared" si="167"/>
        <v>0</v>
      </c>
      <c r="BW596">
        <f t="shared" si="168"/>
        <v>0</v>
      </c>
      <c r="BX596">
        <f t="shared" si="169"/>
        <v>0</v>
      </c>
    </row>
    <row r="597" spans="58:76" x14ac:dyDescent="0.25">
      <c r="BF597" s="1" t="e">
        <f>VLOOKUP(N597,'Incoming Material Report'!H:M,6,FALSE)</f>
        <v>#N/A</v>
      </c>
      <c r="BG597" s="1" t="e">
        <f>IF(VLOOKUP(N597,'Incoming Material Report'!H:N,7,FALSE)=0,"",VLOOKUP(N597,'Incoming Material Report'!H:N,7,FALSE))</f>
        <v>#N/A</v>
      </c>
      <c r="BH597" s="52">
        <f t="shared" si="153"/>
        <v>0</v>
      </c>
      <c r="BI597" s="1">
        <f t="shared" si="154"/>
        <v>0</v>
      </c>
      <c r="BJ597" s="1">
        <f t="shared" si="155"/>
        <v>0</v>
      </c>
      <c r="BK597" s="1">
        <f t="shared" si="156"/>
        <v>0</v>
      </c>
      <c r="BL597" s="1">
        <f t="shared" si="157"/>
        <v>0</v>
      </c>
      <c r="BM597" s="10" t="str">
        <f t="shared" si="158"/>
        <v/>
      </c>
      <c r="BN597" s="52">
        <f t="shared" si="159"/>
        <v>0</v>
      </c>
      <c r="BO597" s="52">
        <f t="shared" si="160"/>
        <v>0</v>
      </c>
      <c r="BP597" s="1">
        <f t="shared" si="161"/>
        <v>0</v>
      </c>
      <c r="BQ597" s="1">
        <f t="shared" si="162"/>
        <v>0</v>
      </c>
      <c r="BR597" s="1" t="str">
        <f t="shared" si="163"/>
        <v/>
      </c>
      <c r="BS597" s="1">
        <f t="shared" si="164"/>
        <v>0</v>
      </c>
      <c r="BT597" s="4">
        <f t="shared" si="165"/>
        <v>0</v>
      </c>
      <c r="BU597" s="52">
        <f t="shared" si="166"/>
        <v>0</v>
      </c>
      <c r="BV597" s="1">
        <f t="shared" si="167"/>
        <v>0</v>
      </c>
      <c r="BW597">
        <f t="shared" si="168"/>
        <v>0</v>
      </c>
      <c r="BX597">
        <f t="shared" si="169"/>
        <v>0</v>
      </c>
    </row>
    <row r="598" spans="58:76" x14ac:dyDescent="0.25">
      <c r="BF598" s="1" t="e">
        <f>VLOOKUP(N598,'Incoming Material Report'!H:M,6,FALSE)</f>
        <v>#N/A</v>
      </c>
      <c r="BG598" s="1" t="e">
        <f>IF(VLOOKUP(N598,'Incoming Material Report'!H:N,7,FALSE)=0,"",VLOOKUP(N598,'Incoming Material Report'!H:N,7,FALSE))</f>
        <v>#N/A</v>
      </c>
      <c r="BH598" s="52">
        <f t="shared" si="153"/>
        <v>0</v>
      </c>
      <c r="BI598" s="1">
        <f t="shared" si="154"/>
        <v>0</v>
      </c>
      <c r="BJ598" s="1">
        <f t="shared" si="155"/>
        <v>0</v>
      </c>
      <c r="BK598" s="1">
        <f t="shared" si="156"/>
        <v>0</v>
      </c>
      <c r="BL598" s="1">
        <f t="shared" si="157"/>
        <v>0</v>
      </c>
      <c r="BM598" s="10" t="str">
        <f t="shared" si="158"/>
        <v/>
      </c>
      <c r="BN598" s="52">
        <f t="shared" si="159"/>
        <v>0</v>
      </c>
      <c r="BO598" s="52">
        <f t="shared" si="160"/>
        <v>0</v>
      </c>
      <c r="BP598" s="1">
        <f t="shared" si="161"/>
        <v>0</v>
      </c>
      <c r="BQ598" s="1">
        <f t="shared" si="162"/>
        <v>0</v>
      </c>
      <c r="BR598" s="1" t="str">
        <f t="shared" si="163"/>
        <v/>
      </c>
      <c r="BS598" s="1">
        <f t="shared" si="164"/>
        <v>0</v>
      </c>
      <c r="BT598" s="4">
        <f t="shared" si="165"/>
        <v>0</v>
      </c>
      <c r="BU598" s="52">
        <f t="shared" si="166"/>
        <v>0</v>
      </c>
      <c r="BV598" s="1">
        <f t="shared" si="167"/>
        <v>0</v>
      </c>
      <c r="BW598">
        <f t="shared" si="168"/>
        <v>0</v>
      </c>
      <c r="BX598">
        <f t="shared" si="169"/>
        <v>0</v>
      </c>
    </row>
    <row r="599" spans="58:76" x14ac:dyDescent="0.25">
      <c r="BF599" s="1" t="e">
        <f>VLOOKUP(N599,'Incoming Material Report'!H:M,6,FALSE)</f>
        <v>#N/A</v>
      </c>
      <c r="BG599" s="1" t="e">
        <f>IF(VLOOKUP(N599,'Incoming Material Report'!H:N,7,FALSE)=0,"",VLOOKUP(N599,'Incoming Material Report'!H:N,7,FALSE))</f>
        <v>#N/A</v>
      </c>
      <c r="BH599" s="52">
        <f t="shared" si="153"/>
        <v>0</v>
      </c>
      <c r="BI599" s="1">
        <f t="shared" si="154"/>
        <v>0</v>
      </c>
      <c r="BJ599" s="1">
        <f t="shared" si="155"/>
        <v>0</v>
      </c>
      <c r="BK599" s="1">
        <f t="shared" si="156"/>
        <v>0</v>
      </c>
      <c r="BL599" s="1">
        <f t="shared" si="157"/>
        <v>0</v>
      </c>
      <c r="BM599" s="10" t="str">
        <f t="shared" si="158"/>
        <v/>
      </c>
      <c r="BN599" s="52">
        <f t="shared" si="159"/>
        <v>0</v>
      </c>
      <c r="BO599" s="52">
        <f t="shared" si="160"/>
        <v>0</v>
      </c>
      <c r="BP599" s="1">
        <f t="shared" si="161"/>
        <v>0</v>
      </c>
      <c r="BQ599" s="1">
        <f t="shared" si="162"/>
        <v>0</v>
      </c>
      <c r="BR599" s="1" t="str">
        <f t="shared" si="163"/>
        <v/>
      </c>
      <c r="BS599" s="1">
        <f t="shared" si="164"/>
        <v>0</v>
      </c>
      <c r="BT599" s="4">
        <f t="shared" si="165"/>
        <v>0</v>
      </c>
      <c r="BU599" s="52">
        <f t="shared" si="166"/>
        <v>0</v>
      </c>
      <c r="BV599" s="1">
        <f t="shared" si="167"/>
        <v>0</v>
      </c>
      <c r="BW599">
        <f t="shared" si="168"/>
        <v>0</v>
      </c>
      <c r="BX599">
        <f t="shared" si="169"/>
        <v>0</v>
      </c>
    </row>
    <row r="600" spans="58:76" x14ac:dyDescent="0.25">
      <c r="BF600" s="1" t="e">
        <f>VLOOKUP(N600,'Incoming Material Report'!H:M,6,FALSE)</f>
        <v>#N/A</v>
      </c>
      <c r="BG600" s="1" t="e">
        <f>IF(VLOOKUP(N600,'Incoming Material Report'!H:N,7,FALSE)=0,"",VLOOKUP(N600,'Incoming Material Report'!H:N,7,FALSE))</f>
        <v>#N/A</v>
      </c>
      <c r="BH600" s="52">
        <f t="shared" si="153"/>
        <v>0</v>
      </c>
      <c r="BI600" s="1">
        <f t="shared" si="154"/>
        <v>0</v>
      </c>
      <c r="BJ600" s="1">
        <f t="shared" si="155"/>
        <v>0</v>
      </c>
      <c r="BK600" s="1">
        <f t="shared" si="156"/>
        <v>0</v>
      </c>
      <c r="BL600" s="1">
        <f t="shared" si="157"/>
        <v>0</v>
      </c>
      <c r="BM600" s="10" t="str">
        <f t="shared" si="158"/>
        <v/>
      </c>
      <c r="BN600" s="52">
        <f t="shared" si="159"/>
        <v>0</v>
      </c>
      <c r="BO600" s="52">
        <f t="shared" si="160"/>
        <v>0</v>
      </c>
      <c r="BP600" s="1">
        <f t="shared" si="161"/>
        <v>0</v>
      </c>
      <c r="BQ600" s="1">
        <f t="shared" si="162"/>
        <v>0</v>
      </c>
      <c r="BR600" s="1" t="str">
        <f t="shared" si="163"/>
        <v/>
      </c>
      <c r="BS600" s="1">
        <f t="shared" si="164"/>
        <v>0</v>
      </c>
      <c r="BT600" s="4">
        <f t="shared" si="165"/>
        <v>0</v>
      </c>
      <c r="BU600" s="52">
        <f t="shared" si="166"/>
        <v>0</v>
      </c>
      <c r="BV600" s="1">
        <f t="shared" si="167"/>
        <v>0</v>
      </c>
      <c r="BW600">
        <f t="shared" si="168"/>
        <v>0</v>
      </c>
      <c r="BX600">
        <f t="shared" si="169"/>
        <v>0</v>
      </c>
    </row>
    <row r="601" spans="58:76" x14ac:dyDescent="0.25">
      <c r="BF601" s="1" t="e">
        <f>VLOOKUP(N601,'Incoming Material Report'!H:M,6,FALSE)</f>
        <v>#N/A</v>
      </c>
      <c r="BG601" s="1" t="e">
        <f>IF(VLOOKUP(N601,'Incoming Material Report'!H:N,7,FALSE)=0,"",VLOOKUP(N601,'Incoming Material Report'!H:N,7,FALSE))</f>
        <v>#N/A</v>
      </c>
      <c r="BH601" s="52">
        <f t="shared" si="153"/>
        <v>0</v>
      </c>
      <c r="BI601" s="1">
        <f t="shared" si="154"/>
        <v>0</v>
      </c>
      <c r="BJ601" s="1">
        <f t="shared" si="155"/>
        <v>0</v>
      </c>
      <c r="BK601" s="1">
        <f t="shared" si="156"/>
        <v>0</v>
      </c>
      <c r="BL601" s="1">
        <f t="shared" si="157"/>
        <v>0</v>
      </c>
      <c r="BM601" s="10" t="str">
        <f t="shared" si="158"/>
        <v/>
      </c>
      <c r="BN601" s="52">
        <f t="shared" si="159"/>
        <v>0</v>
      </c>
      <c r="BO601" s="52">
        <f t="shared" si="160"/>
        <v>0</v>
      </c>
      <c r="BP601" s="1">
        <f t="shared" si="161"/>
        <v>0</v>
      </c>
      <c r="BQ601" s="1">
        <f t="shared" si="162"/>
        <v>0</v>
      </c>
      <c r="BR601" s="1" t="str">
        <f t="shared" si="163"/>
        <v/>
      </c>
      <c r="BS601" s="1">
        <f t="shared" si="164"/>
        <v>0</v>
      </c>
      <c r="BT601" s="4">
        <f t="shared" si="165"/>
        <v>0</v>
      </c>
      <c r="BU601" s="52">
        <f t="shared" si="166"/>
        <v>0</v>
      </c>
      <c r="BV601" s="1">
        <f t="shared" si="167"/>
        <v>0</v>
      </c>
      <c r="BW601">
        <f t="shared" si="168"/>
        <v>0</v>
      </c>
      <c r="BX601">
        <f t="shared" si="169"/>
        <v>0</v>
      </c>
    </row>
    <row r="602" spans="58:76" x14ac:dyDescent="0.25">
      <c r="BF602" s="1" t="e">
        <f>VLOOKUP(N602,'Incoming Material Report'!H:M,6,FALSE)</f>
        <v>#N/A</v>
      </c>
      <c r="BG602" s="1" t="e">
        <f>IF(VLOOKUP(N602,'Incoming Material Report'!H:N,7,FALSE)=0,"",VLOOKUP(N602,'Incoming Material Report'!H:N,7,FALSE))</f>
        <v>#N/A</v>
      </c>
      <c r="BH602" s="52">
        <f t="shared" si="153"/>
        <v>0</v>
      </c>
      <c r="BI602" s="1">
        <f t="shared" si="154"/>
        <v>0</v>
      </c>
      <c r="BJ602" s="1">
        <f t="shared" si="155"/>
        <v>0</v>
      </c>
      <c r="BK602" s="1">
        <f t="shared" si="156"/>
        <v>0</v>
      </c>
      <c r="BL602" s="1">
        <f t="shared" si="157"/>
        <v>0</v>
      </c>
      <c r="BM602" s="10" t="str">
        <f t="shared" si="158"/>
        <v/>
      </c>
      <c r="BN602" s="52">
        <f t="shared" si="159"/>
        <v>0</v>
      </c>
      <c r="BO602" s="52">
        <f t="shared" si="160"/>
        <v>0</v>
      </c>
      <c r="BP602" s="1">
        <f t="shared" si="161"/>
        <v>0</v>
      </c>
      <c r="BQ602" s="1">
        <f t="shared" si="162"/>
        <v>0</v>
      </c>
      <c r="BR602" s="1" t="str">
        <f t="shared" si="163"/>
        <v/>
      </c>
      <c r="BS602" s="1">
        <f t="shared" si="164"/>
        <v>0</v>
      </c>
      <c r="BT602" s="4">
        <f t="shared" si="165"/>
        <v>0</v>
      </c>
      <c r="BU602" s="52">
        <f t="shared" si="166"/>
        <v>0</v>
      </c>
      <c r="BV602" s="1">
        <f t="shared" si="167"/>
        <v>0</v>
      </c>
      <c r="BW602">
        <f t="shared" si="168"/>
        <v>0</v>
      </c>
      <c r="BX602">
        <f t="shared" si="169"/>
        <v>0</v>
      </c>
    </row>
    <row r="603" spans="58:76" x14ac:dyDescent="0.25">
      <c r="BF603" s="1" t="e">
        <f>VLOOKUP(N603,'Incoming Material Report'!H:M,6,FALSE)</f>
        <v>#N/A</v>
      </c>
      <c r="BG603" s="1" t="e">
        <f>IF(VLOOKUP(N603,'Incoming Material Report'!H:N,7,FALSE)=0,"",VLOOKUP(N603,'Incoming Material Report'!H:N,7,FALSE))</f>
        <v>#N/A</v>
      </c>
      <c r="BH603" s="52">
        <f t="shared" si="153"/>
        <v>0</v>
      </c>
      <c r="BI603" s="1">
        <f t="shared" si="154"/>
        <v>0</v>
      </c>
      <c r="BJ603" s="1">
        <f t="shared" si="155"/>
        <v>0</v>
      </c>
      <c r="BK603" s="1">
        <f t="shared" si="156"/>
        <v>0</v>
      </c>
      <c r="BL603" s="1">
        <f t="shared" si="157"/>
        <v>0</v>
      </c>
      <c r="BM603" s="10" t="str">
        <f t="shared" si="158"/>
        <v/>
      </c>
      <c r="BN603" s="52">
        <f t="shared" si="159"/>
        <v>0</v>
      </c>
      <c r="BO603" s="52">
        <f t="shared" si="160"/>
        <v>0</v>
      </c>
      <c r="BP603" s="1">
        <f t="shared" si="161"/>
        <v>0</v>
      </c>
      <c r="BQ603" s="1">
        <f t="shared" si="162"/>
        <v>0</v>
      </c>
      <c r="BR603" s="1" t="str">
        <f t="shared" si="163"/>
        <v/>
      </c>
      <c r="BS603" s="1">
        <f t="shared" si="164"/>
        <v>0</v>
      </c>
      <c r="BT603" s="4">
        <f t="shared" si="165"/>
        <v>0</v>
      </c>
      <c r="BU603" s="52">
        <f t="shared" si="166"/>
        <v>0</v>
      </c>
      <c r="BV603" s="1">
        <f t="shared" si="167"/>
        <v>0</v>
      </c>
      <c r="BW603">
        <f t="shared" si="168"/>
        <v>0</v>
      </c>
      <c r="BX603">
        <f t="shared" si="169"/>
        <v>0</v>
      </c>
    </row>
    <row r="604" spans="58:76" x14ac:dyDescent="0.25">
      <c r="BF604" s="1" t="e">
        <f>VLOOKUP(N604,'Incoming Material Report'!H:M,6,FALSE)</f>
        <v>#N/A</v>
      </c>
      <c r="BG604" s="1" t="e">
        <f>IF(VLOOKUP(N604,'Incoming Material Report'!H:N,7,FALSE)=0,"",VLOOKUP(N604,'Incoming Material Report'!H:N,7,FALSE))</f>
        <v>#N/A</v>
      </c>
      <c r="BH604" s="52">
        <f t="shared" si="153"/>
        <v>0</v>
      </c>
      <c r="BI604" s="1">
        <f t="shared" si="154"/>
        <v>0</v>
      </c>
      <c r="BJ604" s="1">
        <f t="shared" si="155"/>
        <v>0</v>
      </c>
      <c r="BK604" s="1">
        <f t="shared" si="156"/>
        <v>0</v>
      </c>
      <c r="BL604" s="1">
        <f t="shared" si="157"/>
        <v>0</v>
      </c>
      <c r="BM604" s="10" t="str">
        <f t="shared" si="158"/>
        <v/>
      </c>
      <c r="BN604" s="52">
        <f t="shared" si="159"/>
        <v>0</v>
      </c>
      <c r="BO604" s="52">
        <f t="shared" si="160"/>
        <v>0</v>
      </c>
      <c r="BP604" s="1">
        <f t="shared" si="161"/>
        <v>0</v>
      </c>
      <c r="BQ604" s="1">
        <f t="shared" si="162"/>
        <v>0</v>
      </c>
      <c r="BR604" s="1" t="str">
        <f t="shared" si="163"/>
        <v/>
      </c>
      <c r="BS604" s="1">
        <f t="shared" si="164"/>
        <v>0</v>
      </c>
      <c r="BT604" s="4">
        <f t="shared" si="165"/>
        <v>0</v>
      </c>
      <c r="BU604" s="52">
        <f t="shared" si="166"/>
        <v>0</v>
      </c>
      <c r="BV604" s="1">
        <f t="shared" si="167"/>
        <v>0</v>
      </c>
      <c r="BW604">
        <f t="shared" si="168"/>
        <v>0</v>
      </c>
      <c r="BX604">
        <f t="shared" si="169"/>
        <v>0</v>
      </c>
    </row>
    <row r="605" spans="58:76" x14ac:dyDescent="0.25">
      <c r="BF605" s="1" t="e">
        <f>VLOOKUP(N605,'Incoming Material Report'!H:M,6,FALSE)</f>
        <v>#N/A</v>
      </c>
      <c r="BG605" s="1" t="e">
        <f>IF(VLOOKUP(N605,'Incoming Material Report'!H:N,7,FALSE)=0,"",VLOOKUP(N605,'Incoming Material Report'!H:N,7,FALSE))</f>
        <v>#N/A</v>
      </c>
      <c r="BH605" s="52">
        <f t="shared" si="153"/>
        <v>0</v>
      </c>
      <c r="BI605" s="1">
        <f t="shared" si="154"/>
        <v>0</v>
      </c>
      <c r="BJ605" s="1">
        <f t="shared" si="155"/>
        <v>0</v>
      </c>
      <c r="BK605" s="1">
        <f t="shared" si="156"/>
        <v>0</v>
      </c>
      <c r="BL605" s="1">
        <f t="shared" si="157"/>
        <v>0</v>
      </c>
      <c r="BM605" s="10" t="str">
        <f t="shared" si="158"/>
        <v/>
      </c>
      <c r="BN605" s="52">
        <f t="shared" si="159"/>
        <v>0</v>
      </c>
      <c r="BO605" s="52">
        <f t="shared" si="160"/>
        <v>0</v>
      </c>
      <c r="BP605" s="1">
        <f t="shared" si="161"/>
        <v>0</v>
      </c>
      <c r="BQ605" s="1">
        <f t="shared" si="162"/>
        <v>0</v>
      </c>
      <c r="BR605" s="1" t="str">
        <f t="shared" si="163"/>
        <v/>
      </c>
      <c r="BS605" s="1">
        <f t="shared" si="164"/>
        <v>0</v>
      </c>
      <c r="BT605" s="4">
        <f t="shared" si="165"/>
        <v>0</v>
      </c>
      <c r="BU605" s="52">
        <f t="shared" si="166"/>
        <v>0</v>
      </c>
      <c r="BV605" s="1">
        <f t="shared" si="167"/>
        <v>0</v>
      </c>
      <c r="BW605">
        <f t="shared" si="168"/>
        <v>0</v>
      </c>
      <c r="BX605">
        <f t="shared" si="169"/>
        <v>0</v>
      </c>
    </row>
    <row r="606" spans="58:76" x14ac:dyDescent="0.25">
      <c r="BF606" s="1" t="e">
        <f>VLOOKUP(N606,'Incoming Material Report'!H:M,6,FALSE)</f>
        <v>#N/A</v>
      </c>
      <c r="BG606" s="1" t="e">
        <f>IF(VLOOKUP(N606,'Incoming Material Report'!H:N,7,FALSE)=0,"",VLOOKUP(N606,'Incoming Material Report'!H:N,7,FALSE))</f>
        <v>#N/A</v>
      </c>
      <c r="BH606" s="52">
        <f t="shared" si="153"/>
        <v>0</v>
      </c>
      <c r="BI606" s="1">
        <f t="shared" si="154"/>
        <v>0</v>
      </c>
      <c r="BJ606" s="1">
        <f t="shared" si="155"/>
        <v>0</v>
      </c>
      <c r="BK606" s="1">
        <f t="shared" si="156"/>
        <v>0</v>
      </c>
      <c r="BL606" s="1">
        <f t="shared" si="157"/>
        <v>0</v>
      </c>
      <c r="BM606" s="10" t="str">
        <f t="shared" si="158"/>
        <v/>
      </c>
      <c r="BN606" s="52">
        <f t="shared" si="159"/>
        <v>0</v>
      </c>
      <c r="BO606" s="52">
        <f t="shared" si="160"/>
        <v>0</v>
      </c>
      <c r="BP606" s="1">
        <f t="shared" si="161"/>
        <v>0</v>
      </c>
      <c r="BQ606" s="1">
        <f t="shared" si="162"/>
        <v>0</v>
      </c>
      <c r="BR606" s="1" t="str">
        <f t="shared" si="163"/>
        <v/>
      </c>
      <c r="BS606" s="1">
        <f t="shared" si="164"/>
        <v>0</v>
      </c>
      <c r="BT606" s="4">
        <f t="shared" si="165"/>
        <v>0</v>
      </c>
      <c r="BU606" s="52">
        <f t="shared" si="166"/>
        <v>0</v>
      </c>
      <c r="BV606" s="1">
        <f t="shared" si="167"/>
        <v>0</v>
      </c>
      <c r="BW606">
        <f t="shared" si="168"/>
        <v>0</v>
      </c>
      <c r="BX606">
        <f t="shared" si="169"/>
        <v>0</v>
      </c>
    </row>
    <row r="607" spans="58:76" x14ac:dyDescent="0.25">
      <c r="BF607" s="1" t="e">
        <f>VLOOKUP(N607,'Incoming Material Report'!H:M,6,FALSE)</f>
        <v>#N/A</v>
      </c>
      <c r="BG607" s="1" t="e">
        <f>IF(VLOOKUP(N607,'Incoming Material Report'!H:N,7,FALSE)=0,"",VLOOKUP(N607,'Incoming Material Report'!H:N,7,FALSE))</f>
        <v>#N/A</v>
      </c>
      <c r="BH607" s="52">
        <f t="shared" si="153"/>
        <v>0</v>
      </c>
      <c r="BI607" s="1">
        <f t="shared" si="154"/>
        <v>0</v>
      </c>
      <c r="BJ607" s="1">
        <f t="shared" si="155"/>
        <v>0</v>
      </c>
      <c r="BK607" s="1">
        <f t="shared" si="156"/>
        <v>0</v>
      </c>
      <c r="BL607" s="1">
        <f t="shared" si="157"/>
        <v>0</v>
      </c>
      <c r="BM607" s="10" t="str">
        <f t="shared" si="158"/>
        <v/>
      </c>
      <c r="BN607" s="52">
        <f t="shared" si="159"/>
        <v>0</v>
      </c>
      <c r="BO607" s="52">
        <f t="shared" si="160"/>
        <v>0</v>
      </c>
      <c r="BP607" s="1">
        <f t="shared" si="161"/>
        <v>0</v>
      </c>
      <c r="BQ607" s="1">
        <f t="shared" si="162"/>
        <v>0</v>
      </c>
      <c r="BR607" s="1" t="str">
        <f t="shared" si="163"/>
        <v/>
      </c>
      <c r="BS607" s="1">
        <f t="shared" si="164"/>
        <v>0</v>
      </c>
      <c r="BT607" s="4">
        <f t="shared" si="165"/>
        <v>0</v>
      </c>
      <c r="BU607" s="52">
        <f t="shared" si="166"/>
        <v>0</v>
      </c>
      <c r="BV607" s="1">
        <f t="shared" si="167"/>
        <v>0</v>
      </c>
      <c r="BW607">
        <f t="shared" si="168"/>
        <v>0</v>
      </c>
      <c r="BX607">
        <f t="shared" si="169"/>
        <v>0</v>
      </c>
    </row>
    <row r="608" spans="58:76" x14ac:dyDescent="0.25">
      <c r="BF608" s="1" t="e">
        <f>VLOOKUP(N608,'Incoming Material Report'!H:M,6,FALSE)</f>
        <v>#N/A</v>
      </c>
      <c r="BG608" s="1" t="e">
        <f>IF(VLOOKUP(N608,'Incoming Material Report'!H:N,7,FALSE)=0,"",VLOOKUP(N608,'Incoming Material Report'!H:N,7,FALSE))</f>
        <v>#N/A</v>
      </c>
      <c r="BH608" s="52">
        <f t="shared" si="153"/>
        <v>0</v>
      </c>
      <c r="BI608" s="1">
        <f t="shared" si="154"/>
        <v>0</v>
      </c>
      <c r="BJ608" s="1">
        <f t="shared" si="155"/>
        <v>0</v>
      </c>
      <c r="BK608" s="1">
        <f t="shared" si="156"/>
        <v>0</v>
      </c>
      <c r="BL608" s="1">
        <f t="shared" si="157"/>
        <v>0</v>
      </c>
      <c r="BM608" s="10" t="str">
        <f t="shared" si="158"/>
        <v/>
      </c>
      <c r="BN608" s="52">
        <f t="shared" si="159"/>
        <v>0</v>
      </c>
      <c r="BO608" s="52">
        <f t="shared" si="160"/>
        <v>0</v>
      </c>
      <c r="BP608" s="1">
        <f t="shared" si="161"/>
        <v>0</v>
      </c>
      <c r="BQ608" s="1">
        <f t="shared" si="162"/>
        <v>0</v>
      </c>
      <c r="BR608" s="1" t="str">
        <f t="shared" si="163"/>
        <v/>
      </c>
      <c r="BS608" s="1">
        <f t="shared" si="164"/>
        <v>0</v>
      </c>
      <c r="BT608" s="4">
        <f t="shared" si="165"/>
        <v>0</v>
      </c>
      <c r="BU608" s="52">
        <f t="shared" si="166"/>
        <v>0</v>
      </c>
      <c r="BV608" s="1">
        <f t="shared" si="167"/>
        <v>0</v>
      </c>
      <c r="BW608">
        <f t="shared" si="168"/>
        <v>0</v>
      </c>
      <c r="BX608">
        <f t="shared" si="169"/>
        <v>0</v>
      </c>
    </row>
    <row r="609" spans="58:76" x14ac:dyDescent="0.25">
      <c r="BF609" s="1" t="e">
        <f>VLOOKUP(N609,'Incoming Material Report'!H:M,6,FALSE)</f>
        <v>#N/A</v>
      </c>
      <c r="BG609" s="1" t="e">
        <f>IF(VLOOKUP(N609,'Incoming Material Report'!H:N,7,FALSE)=0,"",VLOOKUP(N609,'Incoming Material Report'!H:N,7,FALSE))</f>
        <v>#N/A</v>
      </c>
      <c r="BH609" s="52">
        <f t="shared" si="153"/>
        <v>0</v>
      </c>
      <c r="BI609" s="1">
        <f t="shared" si="154"/>
        <v>0</v>
      </c>
      <c r="BJ609" s="1">
        <f t="shared" si="155"/>
        <v>0</v>
      </c>
      <c r="BK609" s="1">
        <f t="shared" si="156"/>
        <v>0</v>
      </c>
      <c r="BL609" s="1">
        <f t="shared" si="157"/>
        <v>0</v>
      </c>
      <c r="BM609" s="10" t="str">
        <f t="shared" si="158"/>
        <v/>
      </c>
      <c r="BN609" s="52">
        <f t="shared" si="159"/>
        <v>0</v>
      </c>
      <c r="BO609" s="52">
        <f t="shared" si="160"/>
        <v>0</v>
      </c>
      <c r="BP609" s="1">
        <f t="shared" si="161"/>
        <v>0</v>
      </c>
      <c r="BQ609" s="1">
        <f t="shared" si="162"/>
        <v>0</v>
      </c>
      <c r="BR609" s="1" t="str">
        <f t="shared" si="163"/>
        <v/>
      </c>
      <c r="BS609" s="1">
        <f t="shared" si="164"/>
        <v>0</v>
      </c>
      <c r="BT609" s="4">
        <f t="shared" si="165"/>
        <v>0</v>
      </c>
      <c r="BU609" s="52">
        <f t="shared" si="166"/>
        <v>0</v>
      </c>
      <c r="BV609" s="1">
        <f t="shared" si="167"/>
        <v>0</v>
      </c>
      <c r="BW609">
        <f t="shared" si="168"/>
        <v>0</v>
      </c>
      <c r="BX609">
        <f t="shared" si="169"/>
        <v>0</v>
      </c>
    </row>
    <row r="610" spans="58:76" x14ac:dyDescent="0.25">
      <c r="BF610" s="1" t="e">
        <f>VLOOKUP(N610,'Incoming Material Report'!H:M,6,FALSE)</f>
        <v>#N/A</v>
      </c>
      <c r="BG610" s="1" t="e">
        <f>IF(VLOOKUP(N610,'Incoming Material Report'!H:N,7,FALSE)=0,"",VLOOKUP(N610,'Incoming Material Report'!H:N,7,FALSE))</f>
        <v>#N/A</v>
      </c>
      <c r="BH610" s="52">
        <f t="shared" si="153"/>
        <v>0</v>
      </c>
      <c r="BI610" s="1">
        <f t="shared" si="154"/>
        <v>0</v>
      </c>
      <c r="BJ610" s="1">
        <f t="shared" si="155"/>
        <v>0</v>
      </c>
      <c r="BK610" s="1">
        <f t="shared" si="156"/>
        <v>0</v>
      </c>
      <c r="BL610" s="1">
        <f t="shared" si="157"/>
        <v>0</v>
      </c>
      <c r="BM610" s="10" t="str">
        <f t="shared" si="158"/>
        <v/>
      </c>
      <c r="BN610" s="52">
        <f t="shared" si="159"/>
        <v>0</v>
      </c>
      <c r="BO610" s="52">
        <f t="shared" si="160"/>
        <v>0</v>
      </c>
      <c r="BP610" s="1">
        <f t="shared" si="161"/>
        <v>0</v>
      </c>
      <c r="BQ610" s="1">
        <f t="shared" si="162"/>
        <v>0</v>
      </c>
      <c r="BR610" s="1" t="str">
        <f t="shared" si="163"/>
        <v/>
      </c>
      <c r="BS610" s="1">
        <f t="shared" si="164"/>
        <v>0</v>
      </c>
      <c r="BT610" s="4">
        <f t="shared" si="165"/>
        <v>0</v>
      </c>
      <c r="BU610" s="52">
        <f t="shared" si="166"/>
        <v>0</v>
      </c>
      <c r="BV610" s="1">
        <f t="shared" si="167"/>
        <v>0</v>
      </c>
      <c r="BW610">
        <f t="shared" si="168"/>
        <v>0</v>
      </c>
      <c r="BX610">
        <f t="shared" si="169"/>
        <v>0</v>
      </c>
    </row>
    <row r="611" spans="58:76" x14ac:dyDescent="0.25">
      <c r="BF611" s="1" t="e">
        <f>VLOOKUP(N611,'Incoming Material Report'!H:M,6,FALSE)</f>
        <v>#N/A</v>
      </c>
      <c r="BG611" s="1" t="e">
        <f>IF(VLOOKUP(N611,'Incoming Material Report'!H:N,7,FALSE)=0,"",VLOOKUP(N611,'Incoming Material Report'!H:N,7,FALSE))</f>
        <v>#N/A</v>
      </c>
      <c r="BH611" s="52">
        <f t="shared" si="153"/>
        <v>0</v>
      </c>
      <c r="BI611" s="1">
        <f t="shared" si="154"/>
        <v>0</v>
      </c>
      <c r="BJ611" s="1">
        <f t="shared" si="155"/>
        <v>0</v>
      </c>
      <c r="BK611" s="1">
        <f t="shared" si="156"/>
        <v>0</v>
      </c>
      <c r="BL611" s="1">
        <f t="shared" si="157"/>
        <v>0</v>
      </c>
      <c r="BM611" s="10" t="str">
        <f t="shared" si="158"/>
        <v/>
      </c>
      <c r="BN611" s="52">
        <f t="shared" si="159"/>
        <v>0</v>
      </c>
      <c r="BO611" s="52">
        <f t="shared" si="160"/>
        <v>0</v>
      </c>
      <c r="BP611" s="1">
        <f t="shared" si="161"/>
        <v>0</v>
      </c>
      <c r="BQ611" s="1">
        <f t="shared" si="162"/>
        <v>0</v>
      </c>
      <c r="BR611" s="1" t="str">
        <f t="shared" si="163"/>
        <v/>
      </c>
      <c r="BS611" s="1">
        <f t="shared" si="164"/>
        <v>0</v>
      </c>
      <c r="BT611" s="4">
        <f t="shared" si="165"/>
        <v>0</v>
      </c>
      <c r="BU611" s="52">
        <f t="shared" si="166"/>
        <v>0</v>
      </c>
      <c r="BV611" s="1">
        <f t="shared" si="167"/>
        <v>0</v>
      </c>
      <c r="BW611">
        <f t="shared" si="168"/>
        <v>0</v>
      </c>
      <c r="BX611">
        <f t="shared" si="169"/>
        <v>0</v>
      </c>
    </row>
    <row r="612" spans="58:76" x14ac:dyDescent="0.25">
      <c r="BF612" s="1" t="e">
        <f>VLOOKUP(N612,'Incoming Material Report'!H:M,6,FALSE)</f>
        <v>#N/A</v>
      </c>
      <c r="BG612" s="1" t="e">
        <f>IF(VLOOKUP(N612,'Incoming Material Report'!H:N,7,FALSE)=0,"",VLOOKUP(N612,'Incoming Material Report'!H:N,7,FALSE))</f>
        <v>#N/A</v>
      </c>
      <c r="BH612" s="52">
        <f t="shared" si="153"/>
        <v>0</v>
      </c>
      <c r="BI612" s="1">
        <f t="shared" si="154"/>
        <v>0</v>
      </c>
      <c r="BJ612" s="1">
        <f t="shared" si="155"/>
        <v>0</v>
      </c>
      <c r="BK612" s="1">
        <f t="shared" si="156"/>
        <v>0</v>
      </c>
      <c r="BL612" s="1">
        <f t="shared" si="157"/>
        <v>0</v>
      </c>
      <c r="BM612" s="10" t="str">
        <f t="shared" si="158"/>
        <v/>
      </c>
      <c r="BN612" s="52">
        <f t="shared" si="159"/>
        <v>0</v>
      </c>
      <c r="BO612" s="52">
        <f t="shared" si="160"/>
        <v>0</v>
      </c>
      <c r="BP612" s="1">
        <f t="shared" si="161"/>
        <v>0</v>
      </c>
      <c r="BQ612" s="1">
        <f t="shared" si="162"/>
        <v>0</v>
      </c>
      <c r="BR612" s="1" t="str">
        <f t="shared" si="163"/>
        <v/>
      </c>
      <c r="BS612" s="1">
        <f t="shared" si="164"/>
        <v>0</v>
      </c>
      <c r="BT612" s="4">
        <f t="shared" si="165"/>
        <v>0</v>
      </c>
      <c r="BU612" s="52">
        <f t="shared" si="166"/>
        <v>0</v>
      </c>
      <c r="BV612" s="1">
        <f t="shared" si="167"/>
        <v>0</v>
      </c>
      <c r="BW612">
        <f t="shared" si="168"/>
        <v>0</v>
      </c>
      <c r="BX612">
        <f t="shared" si="169"/>
        <v>0</v>
      </c>
    </row>
    <row r="613" spans="58:76" x14ac:dyDescent="0.25">
      <c r="BF613" s="1" t="e">
        <f>VLOOKUP(N613,'Incoming Material Report'!H:M,6,FALSE)</f>
        <v>#N/A</v>
      </c>
      <c r="BG613" s="1" t="e">
        <f>IF(VLOOKUP(N613,'Incoming Material Report'!H:N,7,FALSE)=0,"",VLOOKUP(N613,'Incoming Material Report'!H:N,7,FALSE))</f>
        <v>#N/A</v>
      </c>
      <c r="BH613" s="52">
        <f t="shared" si="153"/>
        <v>0</v>
      </c>
      <c r="BI613" s="1">
        <f t="shared" si="154"/>
        <v>0</v>
      </c>
      <c r="BJ613" s="1">
        <f t="shared" si="155"/>
        <v>0</v>
      </c>
      <c r="BK613" s="1">
        <f t="shared" si="156"/>
        <v>0</v>
      </c>
      <c r="BL613" s="1">
        <f t="shared" si="157"/>
        <v>0</v>
      </c>
      <c r="BM613" s="10" t="str">
        <f t="shared" si="158"/>
        <v/>
      </c>
      <c r="BN613" s="52">
        <f t="shared" si="159"/>
        <v>0</v>
      </c>
      <c r="BO613" s="52">
        <f t="shared" si="160"/>
        <v>0</v>
      </c>
      <c r="BP613" s="1">
        <f t="shared" si="161"/>
        <v>0</v>
      </c>
      <c r="BQ613" s="1">
        <f t="shared" si="162"/>
        <v>0</v>
      </c>
      <c r="BR613" s="1" t="str">
        <f t="shared" si="163"/>
        <v/>
      </c>
      <c r="BS613" s="1">
        <f t="shared" si="164"/>
        <v>0</v>
      </c>
      <c r="BT613" s="4">
        <f t="shared" si="165"/>
        <v>0</v>
      </c>
      <c r="BU613" s="52">
        <f t="shared" si="166"/>
        <v>0</v>
      </c>
      <c r="BV613" s="1">
        <f t="shared" si="167"/>
        <v>0</v>
      </c>
      <c r="BW613">
        <f t="shared" si="168"/>
        <v>0</v>
      </c>
      <c r="BX613">
        <f t="shared" si="169"/>
        <v>0</v>
      </c>
    </row>
    <row r="614" spans="58:76" x14ac:dyDescent="0.25">
      <c r="BF614" s="1" t="e">
        <f>VLOOKUP(N614,'Incoming Material Report'!H:M,6,FALSE)</f>
        <v>#N/A</v>
      </c>
      <c r="BG614" s="1" t="e">
        <f>IF(VLOOKUP(N614,'Incoming Material Report'!H:N,7,FALSE)=0,"",VLOOKUP(N614,'Incoming Material Report'!H:N,7,FALSE))</f>
        <v>#N/A</v>
      </c>
      <c r="BH614" s="52">
        <f t="shared" si="153"/>
        <v>0</v>
      </c>
      <c r="BI614" s="1">
        <f t="shared" si="154"/>
        <v>0</v>
      </c>
      <c r="BJ614" s="1">
        <f t="shared" si="155"/>
        <v>0</v>
      </c>
      <c r="BK614" s="1">
        <f t="shared" si="156"/>
        <v>0</v>
      </c>
      <c r="BL614" s="1">
        <f t="shared" si="157"/>
        <v>0</v>
      </c>
      <c r="BM614" s="10" t="str">
        <f t="shared" si="158"/>
        <v/>
      </c>
      <c r="BN614" s="52">
        <f t="shared" si="159"/>
        <v>0</v>
      </c>
      <c r="BO614" s="52">
        <f t="shared" si="160"/>
        <v>0</v>
      </c>
      <c r="BP614" s="1">
        <f t="shared" si="161"/>
        <v>0</v>
      </c>
      <c r="BQ614" s="1">
        <f t="shared" si="162"/>
        <v>0</v>
      </c>
      <c r="BR614" s="1" t="str">
        <f t="shared" si="163"/>
        <v/>
      </c>
      <c r="BS614" s="1">
        <f t="shared" si="164"/>
        <v>0</v>
      </c>
      <c r="BT614" s="4">
        <f t="shared" si="165"/>
        <v>0</v>
      </c>
      <c r="BU614" s="52">
        <f t="shared" si="166"/>
        <v>0</v>
      </c>
      <c r="BV614" s="1">
        <f t="shared" si="167"/>
        <v>0</v>
      </c>
      <c r="BW614">
        <f t="shared" si="168"/>
        <v>0</v>
      </c>
      <c r="BX614">
        <f t="shared" si="169"/>
        <v>0</v>
      </c>
    </row>
    <row r="615" spans="58:76" x14ac:dyDescent="0.25">
      <c r="BF615" s="1" t="e">
        <f>VLOOKUP(N615,'Incoming Material Report'!H:M,6,FALSE)</f>
        <v>#N/A</v>
      </c>
      <c r="BG615" s="1" t="e">
        <f>IF(VLOOKUP(N615,'Incoming Material Report'!H:N,7,FALSE)=0,"",VLOOKUP(N615,'Incoming Material Report'!H:N,7,FALSE))</f>
        <v>#N/A</v>
      </c>
      <c r="BH615" s="52">
        <f t="shared" si="153"/>
        <v>0</v>
      </c>
      <c r="BI615" s="1">
        <f t="shared" si="154"/>
        <v>0</v>
      </c>
      <c r="BJ615" s="1">
        <f t="shared" si="155"/>
        <v>0</v>
      </c>
      <c r="BK615" s="1">
        <f t="shared" si="156"/>
        <v>0</v>
      </c>
      <c r="BL615" s="1">
        <f t="shared" si="157"/>
        <v>0</v>
      </c>
      <c r="BM615" s="10" t="str">
        <f t="shared" si="158"/>
        <v/>
      </c>
      <c r="BN615" s="52">
        <f t="shared" si="159"/>
        <v>0</v>
      </c>
      <c r="BO615" s="52">
        <f t="shared" si="160"/>
        <v>0</v>
      </c>
      <c r="BP615" s="1">
        <f t="shared" si="161"/>
        <v>0</v>
      </c>
      <c r="BQ615" s="1">
        <f t="shared" si="162"/>
        <v>0</v>
      </c>
      <c r="BR615" s="1" t="str">
        <f t="shared" si="163"/>
        <v/>
      </c>
      <c r="BS615" s="1">
        <f t="shared" si="164"/>
        <v>0</v>
      </c>
      <c r="BT615" s="4">
        <f t="shared" si="165"/>
        <v>0</v>
      </c>
      <c r="BU615" s="52">
        <f t="shared" si="166"/>
        <v>0</v>
      </c>
      <c r="BV615" s="1">
        <f t="shared" si="167"/>
        <v>0</v>
      </c>
      <c r="BW615">
        <f t="shared" si="168"/>
        <v>0</v>
      </c>
      <c r="BX615">
        <f t="shared" si="169"/>
        <v>0</v>
      </c>
    </row>
    <row r="616" spans="58:76" x14ac:dyDescent="0.25">
      <c r="BF616" s="1" t="e">
        <f>VLOOKUP(N616,'Incoming Material Report'!H:M,6,FALSE)</f>
        <v>#N/A</v>
      </c>
      <c r="BG616" s="1" t="e">
        <f>IF(VLOOKUP(N616,'Incoming Material Report'!H:N,7,FALSE)=0,"",VLOOKUP(N616,'Incoming Material Report'!H:N,7,FALSE))</f>
        <v>#N/A</v>
      </c>
      <c r="BH616" s="52">
        <f t="shared" si="153"/>
        <v>0</v>
      </c>
      <c r="BI616" s="1">
        <f t="shared" si="154"/>
        <v>0</v>
      </c>
      <c r="BJ616" s="1">
        <f t="shared" si="155"/>
        <v>0</v>
      </c>
      <c r="BK616" s="1">
        <f t="shared" si="156"/>
        <v>0</v>
      </c>
      <c r="BL616" s="1">
        <f t="shared" si="157"/>
        <v>0</v>
      </c>
      <c r="BM616" s="10" t="str">
        <f t="shared" si="158"/>
        <v/>
      </c>
      <c r="BN616" s="52">
        <f t="shared" si="159"/>
        <v>0</v>
      </c>
      <c r="BO616" s="52">
        <f t="shared" si="160"/>
        <v>0</v>
      </c>
      <c r="BP616" s="1">
        <f t="shared" si="161"/>
        <v>0</v>
      </c>
      <c r="BQ616" s="1">
        <f t="shared" si="162"/>
        <v>0</v>
      </c>
      <c r="BR616" s="1" t="str">
        <f t="shared" si="163"/>
        <v/>
      </c>
      <c r="BS616" s="1">
        <f t="shared" si="164"/>
        <v>0</v>
      </c>
      <c r="BT616" s="4">
        <f t="shared" si="165"/>
        <v>0</v>
      </c>
      <c r="BU616" s="52">
        <f t="shared" si="166"/>
        <v>0</v>
      </c>
      <c r="BV616" s="1">
        <f t="shared" si="167"/>
        <v>0</v>
      </c>
      <c r="BW616">
        <f t="shared" si="168"/>
        <v>0</v>
      </c>
      <c r="BX616">
        <f t="shared" si="169"/>
        <v>0</v>
      </c>
    </row>
    <row r="617" spans="58:76" x14ac:dyDescent="0.25">
      <c r="BF617" s="1" t="e">
        <f>VLOOKUP(N617,'Incoming Material Report'!H:M,6,FALSE)</f>
        <v>#N/A</v>
      </c>
      <c r="BG617" s="1" t="e">
        <f>IF(VLOOKUP(N617,'Incoming Material Report'!H:N,7,FALSE)=0,"",VLOOKUP(N617,'Incoming Material Report'!H:N,7,FALSE))</f>
        <v>#N/A</v>
      </c>
      <c r="BH617" s="52">
        <f t="shared" si="153"/>
        <v>0</v>
      </c>
      <c r="BI617" s="1">
        <f t="shared" si="154"/>
        <v>0</v>
      </c>
      <c r="BJ617" s="1">
        <f t="shared" si="155"/>
        <v>0</v>
      </c>
      <c r="BK617" s="1">
        <f t="shared" si="156"/>
        <v>0</v>
      </c>
      <c r="BL617" s="1">
        <f t="shared" si="157"/>
        <v>0</v>
      </c>
      <c r="BM617" s="10" t="str">
        <f t="shared" si="158"/>
        <v/>
      </c>
      <c r="BN617" s="52">
        <f t="shared" si="159"/>
        <v>0</v>
      </c>
      <c r="BO617" s="52">
        <f t="shared" si="160"/>
        <v>0</v>
      </c>
      <c r="BP617" s="1">
        <f t="shared" si="161"/>
        <v>0</v>
      </c>
      <c r="BQ617" s="1">
        <f t="shared" si="162"/>
        <v>0</v>
      </c>
      <c r="BR617" s="1" t="str">
        <f t="shared" si="163"/>
        <v/>
      </c>
      <c r="BS617" s="1">
        <f t="shared" si="164"/>
        <v>0</v>
      </c>
      <c r="BT617" s="4">
        <f t="shared" si="165"/>
        <v>0</v>
      </c>
      <c r="BU617" s="52">
        <f t="shared" si="166"/>
        <v>0</v>
      </c>
      <c r="BV617" s="1">
        <f t="shared" si="167"/>
        <v>0</v>
      </c>
      <c r="BW617">
        <f t="shared" si="168"/>
        <v>0</v>
      </c>
      <c r="BX617">
        <f t="shared" si="169"/>
        <v>0</v>
      </c>
    </row>
    <row r="618" spans="58:76" x14ac:dyDescent="0.25">
      <c r="BF618" s="1" t="e">
        <f>VLOOKUP(N618,'Incoming Material Report'!H:M,6,FALSE)</f>
        <v>#N/A</v>
      </c>
      <c r="BG618" s="1" t="e">
        <f>IF(VLOOKUP(N618,'Incoming Material Report'!H:N,7,FALSE)=0,"",VLOOKUP(N618,'Incoming Material Report'!H:N,7,FALSE))</f>
        <v>#N/A</v>
      </c>
      <c r="BH618" s="52">
        <f t="shared" si="153"/>
        <v>0</v>
      </c>
      <c r="BI618" s="1">
        <f t="shared" si="154"/>
        <v>0</v>
      </c>
      <c r="BJ618" s="1">
        <f t="shared" si="155"/>
        <v>0</v>
      </c>
      <c r="BK618" s="1">
        <f t="shared" si="156"/>
        <v>0</v>
      </c>
      <c r="BL618" s="1">
        <f t="shared" si="157"/>
        <v>0</v>
      </c>
      <c r="BM618" s="10" t="str">
        <f t="shared" si="158"/>
        <v/>
      </c>
      <c r="BN618" s="52">
        <f t="shared" si="159"/>
        <v>0</v>
      </c>
      <c r="BO618" s="52">
        <f t="shared" si="160"/>
        <v>0</v>
      </c>
      <c r="BP618" s="1">
        <f t="shared" si="161"/>
        <v>0</v>
      </c>
      <c r="BQ618" s="1">
        <f t="shared" si="162"/>
        <v>0</v>
      </c>
      <c r="BR618" s="1" t="str">
        <f t="shared" si="163"/>
        <v/>
      </c>
      <c r="BS618" s="1">
        <f t="shared" si="164"/>
        <v>0</v>
      </c>
      <c r="BT618" s="4">
        <f t="shared" si="165"/>
        <v>0</v>
      </c>
      <c r="BU618" s="52">
        <f t="shared" si="166"/>
        <v>0</v>
      </c>
      <c r="BV618" s="1">
        <f t="shared" si="167"/>
        <v>0</v>
      </c>
      <c r="BW618">
        <f t="shared" si="168"/>
        <v>0</v>
      </c>
      <c r="BX618">
        <f t="shared" si="169"/>
        <v>0</v>
      </c>
    </row>
    <row r="619" spans="58:76" x14ac:dyDescent="0.25">
      <c r="BF619" s="1" t="e">
        <f>VLOOKUP(N619,'Incoming Material Report'!H:M,6,FALSE)</f>
        <v>#N/A</v>
      </c>
      <c r="BG619" s="1" t="e">
        <f>IF(VLOOKUP(N619,'Incoming Material Report'!H:N,7,FALSE)=0,"",VLOOKUP(N619,'Incoming Material Report'!H:N,7,FALSE))</f>
        <v>#N/A</v>
      </c>
      <c r="BH619" s="52">
        <f t="shared" si="153"/>
        <v>0</v>
      </c>
      <c r="BI619" s="1">
        <f t="shared" si="154"/>
        <v>0</v>
      </c>
      <c r="BJ619" s="1">
        <f t="shared" si="155"/>
        <v>0</v>
      </c>
      <c r="BK619" s="1">
        <f t="shared" si="156"/>
        <v>0</v>
      </c>
      <c r="BL619" s="1">
        <f t="shared" si="157"/>
        <v>0</v>
      </c>
      <c r="BM619" s="10" t="str">
        <f t="shared" si="158"/>
        <v/>
      </c>
      <c r="BN619" s="52">
        <f t="shared" si="159"/>
        <v>0</v>
      </c>
      <c r="BO619" s="52">
        <f t="shared" si="160"/>
        <v>0</v>
      </c>
      <c r="BP619" s="1">
        <f t="shared" si="161"/>
        <v>0</v>
      </c>
      <c r="BQ619" s="1">
        <f t="shared" si="162"/>
        <v>0</v>
      </c>
      <c r="BR619" s="1" t="str">
        <f t="shared" si="163"/>
        <v/>
      </c>
      <c r="BS619" s="1">
        <f t="shared" si="164"/>
        <v>0</v>
      </c>
      <c r="BT619" s="4">
        <f t="shared" si="165"/>
        <v>0</v>
      </c>
      <c r="BU619" s="52">
        <f t="shared" si="166"/>
        <v>0</v>
      </c>
      <c r="BV619" s="1">
        <f t="shared" si="167"/>
        <v>0</v>
      </c>
      <c r="BW619">
        <f t="shared" si="168"/>
        <v>0</v>
      </c>
      <c r="BX619">
        <f t="shared" si="169"/>
        <v>0</v>
      </c>
    </row>
    <row r="620" spans="58:76" x14ac:dyDescent="0.25">
      <c r="BF620" s="1" t="e">
        <f>VLOOKUP(N620,'Incoming Material Report'!H:M,6,FALSE)</f>
        <v>#N/A</v>
      </c>
      <c r="BG620" s="1" t="e">
        <f>IF(VLOOKUP(N620,'Incoming Material Report'!H:N,7,FALSE)=0,"",VLOOKUP(N620,'Incoming Material Report'!H:N,7,FALSE))</f>
        <v>#N/A</v>
      </c>
      <c r="BH620" s="52">
        <f t="shared" si="153"/>
        <v>0</v>
      </c>
      <c r="BI620" s="1">
        <f t="shared" si="154"/>
        <v>0</v>
      </c>
      <c r="BJ620" s="1">
        <f t="shared" si="155"/>
        <v>0</v>
      </c>
      <c r="BK620" s="1">
        <f t="shared" si="156"/>
        <v>0</v>
      </c>
      <c r="BL620" s="1">
        <f t="shared" si="157"/>
        <v>0</v>
      </c>
      <c r="BM620" s="10" t="str">
        <f t="shared" si="158"/>
        <v/>
      </c>
      <c r="BN620" s="52">
        <f t="shared" si="159"/>
        <v>0</v>
      </c>
      <c r="BO620" s="52">
        <f t="shared" si="160"/>
        <v>0</v>
      </c>
      <c r="BP620" s="1">
        <f t="shared" si="161"/>
        <v>0</v>
      </c>
      <c r="BQ620" s="1">
        <f t="shared" si="162"/>
        <v>0</v>
      </c>
      <c r="BR620" s="1" t="str">
        <f t="shared" si="163"/>
        <v/>
      </c>
      <c r="BS620" s="1">
        <f t="shared" si="164"/>
        <v>0</v>
      </c>
      <c r="BT620" s="4">
        <f t="shared" si="165"/>
        <v>0</v>
      </c>
      <c r="BU620" s="52">
        <f t="shared" si="166"/>
        <v>0</v>
      </c>
      <c r="BV620" s="1">
        <f t="shared" si="167"/>
        <v>0</v>
      </c>
      <c r="BW620">
        <f t="shared" si="168"/>
        <v>0</v>
      </c>
      <c r="BX620">
        <f t="shared" si="169"/>
        <v>0</v>
      </c>
    </row>
    <row r="621" spans="58:76" x14ac:dyDescent="0.25">
      <c r="BF621" s="1" t="e">
        <f>VLOOKUP(N621,'Incoming Material Report'!H:M,6,FALSE)</f>
        <v>#N/A</v>
      </c>
      <c r="BG621" s="1" t="e">
        <f>IF(VLOOKUP(N621,'Incoming Material Report'!H:N,7,FALSE)=0,"",VLOOKUP(N621,'Incoming Material Report'!H:N,7,FALSE))</f>
        <v>#N/A</v>
      </c>
      <c r="BH621" s="52">
        <f t="shared" si="153"/>
        <v>0</v>
      </c>
      <c r="BI621" s="1">
        <f t="shared" si="154"/>
        <v>0</v>
      </c>
      <c r="BJ621" s="1">
        <f t="shared" si="155"/>
        <v>0</v>
      </c>
      <c r="BK621" s="1">
        <f t="shared" si="156"/>
        <v>0</v>
      </c>
      <c r="BL621" s="1">
        <f t="shared" si="157"/>
        <v>0</v>
      </c>
      <c r="BM621" s="10" t="str">
        <f t="shared" si="158"/>
        <v/>
      </c>
      <c r="BN621" s="52">
        <f t="shared" si="159"/>
        <v>0</v>
      </c>
      <c r="BO621" s="52">
        <f t="shared" si="160"/>
        <v>0</v>
      </c>
      <c r="BP621" s="1">
        <f t="shared" si="161"/>
        <v>0</v>
      </c>
      <c r="BQ621" s="1">
        <f t="shared" si="162"/>
        <v>0</v>
      </c>
      <c r="BR621" s="1" t="str">
        <f t="shared" si="163"/>
        <v/>
      </c>
      <c r="BS621" s="1">
        <f t="shared" si="164"/>
        <v>0</v>
      </c>
      <c r="BT621" s="4">
        <f t="shared" si="165"/>
        <v>0</v>
      </c>
      <c r="BU621" s="52">
        <f t="shared" si="166"/>
        <v>0</v>
      </c>
      <c r="BV621" s="1">
        <f t="shared" si="167"/>
        <v>0</v>
      </c>
      <c r="BW621">
        <f t="shared" si="168"/>
        <v>0</v>
      </c>
      <c r="BX621">
        <f t="shared" si="169"/>
        <v>0</v>
      </c>
    </row>
    <row r="622" spans="58:76" x14ac:dyDescent="0.25">
      <c r="BF622" s="1" t="e">
        <f>VLOOKUP(N622,'Incoming Material Report'!H:M,6,FALSE)</f>
        <v>#N/A</v>
      </c>
      <c r="BG622" s="1" t="e">
        <f>IF(VLOOKUP(N622,'Incoming Material Report'!H:N,7,FALSE)=0,"",VLOOKUP(N622,'Incoming Material Report'!H:N,7,FALSE))</f>
        <v>#N/A</v>
      </c>
      <c r="BH622" s="52">
        <f t="shared" si="153"/>
        <v>0</v>
      </c>
      <c r="BI622" s="1">
        <f t="shared" si="154"/>
        <v>0</v>
      </c>
      <c r="BJ622" s="1">
        <f t="shared" si="155"/>
        <v>0</v>
      </c>
      <c r="BK622" s="1">
        <f t="shared" si="156"/>
        <v>0</v>
      </c>
      <c r="BL622" s="1">
        <f t="shared" si="157"/>
        <v>0</v>
      </c>
      <c r="BM622" s="10" t="str">
        <f t="shared" si="158"/>
        <v/>
      </c>
      <c r="BN622" s="52">
        <f t="shared" si="159"/>
        <v>0</v>
      </c>
      <c r="BO622" s="52">
        <f t="shared" si="160"/>
        <v>0</v>
      </c>
      <c r="BP622" s="1">
        <f t="shared" si="161"/>
        <v>0</v>
      </c>
      <c r="BQ622" s="1">
        <f t="shared" si="162"/>
        <v>0</v>
      </c>
      <c r="BR622" s="1" t="str">
        <f t="shared" si="163"/>
        <v/>
      </c>
      <c r="BS622" s="1">
        <f t="shared" si="164"/>
        <v>0</v>
      </c>
      <c r="BT622" s="4">
        <f t="shared" si="165"/>
        <v>0</v>
      </c>
      <c r="BU622" s="52">
        <f t="shared" si="166"/>
        <v>0</v>
      </c>
      <c r="BV622" s="1">
        <f t="shared" si="167"/>
        <v>0</v>
      </c>
      <c r="BW622">
        <f t="shared" si="168"/>
        <v>0</v>
      </c>
      <c r="BX622">
        <f t="shared" si="169"/>
        <v>0</v>
      </c>
    </row>
    <row r="623" spans="58:76" x14ac:dyDescent="0.25">
      <c r="BF623" s="1" t="e">
        <f>VLOOKUP(N623,'Incoming Material Report'!H:M,6,FALSE)</f>
        <v>#N/A</v>
      </c>
      <c r="BG623" s="1" t="e">
        <f>IF(VLOOKUP(N623,'Incoming Material Report'!H:N,7,FALSE)=0,"",VLOOKUP(N623,'Incoming Material Report'!H:N,7,FALSE))</f>
        <v>#N/A</v>
      </c>
      <c r="BH623" s="52">
        <f t="shared" si="153"/>
        <v>0</v>
      </c>
      <c r="BI623" s="1">
        <f t="shared" si="154"/>
        <v>0</v>
      </c>
      <c r="BJ623" s="1">
        <f t="shared" si="155"/>
        <v>0</v>
      </c>
      <c r="BK623" s="1">
        <f t="shared" si="156"/>
        <v>0</v>
      </c>
      <c r="BL623" s="1">
        <f t="shared" si="157"/>
        <v>0</v>
      </c>
      <c r="BM623" s="10" t="str">
        <f t="shared" si="158"/>
        <v/>
      </c>
      <c r="BN623" s="52">
        <f t="shared" si="159"/>
        <v>0</v>
      </c>
      <c r="BO623" s="52">
        <f t="shared" si="160"/>
        <v>0</v>
      </c>
      <c r="BP623" s="1">
        <f t="shared" si="161"/>
        <v>0</v>
      </c>
      <c r="BQ623" s="1">
        <f t="shared" si="162"/>
        <v>0</v>
      </c>
      <c r="BR623" s="1" t="str">
        <f t="shared" si="163"/>
        <v/>
      </c>
      <c r="BS623" s="1">
        <f t="shared" si="164"/>
        <v>0</v>
      </c>
      <c r="BT623" s="4">
        <f t="shared" si="165"/>
        <v>0</v>
      </c>
      <c r="BU623" s="52">
        <f t="shared" si="166"/>
        <v>0</v>
      </c>
      <c r="BV623" s="1">
        <f t="shared" si="167"/>
        <v>0</v>
      </c>
      <c r="BW623">
        <f t="shared" si="168"/>
        <v>0</v>
      </c>
      <c r="BX623">
        <f t="shared" si="169"/>
        <v>0</v>
      </c>
    </row>
    <row r="624" spans="58:76" x14ac:dyDescent="0.25">
      <c r="BF624" s="1" t="e">
        <f>VLOOKUP(N624,'Incoming Material Report'!H:M,6,FALSE)</f>
        <v>#N/A</v>
      </c>
      <c r="BG624" s="1" t="e">
        <f>IF(VLOOKUP(N624,'Incoming Material Report'!H:N,7,FALSE)=0,"",VLOOKUP(N624,'Incoming Material Report'!H:N,7,FALSE))</f>
        <v>#N/A</v>
      </c>
      <c r="BH624" s="52">
        <f t="shared" si="153"/>
        <v>0</v>
      </c>
      <c r="BI624" s="1">
        <f t="shared" si="154"/>
        <v>0</v>
      </c>
      <c r="BJ624" s="1">
        <f t="shared" si="155"/>
        <v>0</v>
      </c>
      <c r="BK624" s="1">
        <f t="shared" si="156"/>
        <v>0</v>
      </c>
      <c r="BL624" s="1">
        <f t="shared" si="157"/>
        <v>0</v>
      </c>
      <c r="BM624" s="10" t="str">
        <f t="shared" si="158"/>
        <v/>
      </c>
      <c r="BN624" s="52">
        <f t="shared" si="159"/>
        <v>0</v>
      </c>
      <c r="BO624" s="52">
        <f t="shared" si="160"/>
        <v>0</v>
      </c>
      <c r="BP624" s="1">
        <f t="shared" si="161"/>
        <v>0</v>
      </c>
      <c r="BQ624" s="1">
        <f t="shared" si="162"/>
        <v>0</v>
      </c>
      <c r="BR624" s="1" t="str">
        <f t="shared" si="163"/>
        <v/>
      </c>
      <c r="BS624" s="1">
        <f t="shared" si="164"/>
        <v>0</v>
      </c>
      <c r="BT624" s="4">
        <f t="shared" si="165"/>
        <v>0</v>
      </c>
      <c r="BU624" s="52">
        <f t="shared" si="166"/>
        <v>0</v>
      </c>
      <c r="BV624" s="1">
        <f t="shared" si="167"/>
        <v>0</v>
      </c>
      <c r="BW624">
        <f t="shared" si="168"/>
        <v>0</v>
      </c>
      <c r="BX624">
        <f t="shared" si="169"/>
        <v>0</v>
      </c>
    </row>
    <row r="625" spans="58:76" x14ac:dyDescent="0.25">
      <c r="BF625" s="1" t="e">
        <f>VLOOKUP(N625,'Incoming Material Report'!H:M,6,FALSE)</f>
        <v>#N/A</v>
      </c>
      <c r="BG625" s="1" t="e">
        <f>IF(VLOOKUP(N625,'Incoming Material Report'!H:N,7,FALSE)=0,"",VLOOKUP(N625,'Incoming Material Report'!H:N,7,FALSE))</f>
        <v>#N/A</v>
      </c>
      <c r="BH625" s="52">
        <f t="shared" si="153"/>
        <v>0</v>
      </c>
      <c r="BI625" s="1">
        <f t="shared" si="154"/>
        <v>0</v>
      </c>
      <c r="BJ625" s="1">
        <f t="shared" si="155"/>
        <v>0</v>
      </c>
      <c r="BK625" s="1">
        <f t="shared" si="156"/>
        <v>0</v>
      </c>
      <c r="BL625" s="1">
        <f t="shared" si="157"/>
        <v>0</v>
      </c>
      <c r="BM625" s="10" t="str">
        <f t="shared" si="158"/>
        <v/>
      </c>
      <c r="BN625" s="52">
        <f t="shared" si="159"/>
        <v>0</v>
      </c>
      <c r="BO625" s="52">
        <f t="shared" si="160"/>
        <v>0</v>
      </c>
      <c r="BP625" s="1">
        <f t="shared" si="161"/>
        <v>0</v>
      </c>
      <c r="BQ625" s="1">
        <f t="shared" si="162"/>
        <v>0</v>
      </c>
      <c r="BR625" s="1" t="str">
        <f t="shared" si="163"/>
        <v/>
      </c>
      <c r="BS625" s="1">
        <f t="shared" si="164"/>
        <v>0</v>
      </c>
      <c r="BT625" s="4">
        <f t="shared" si="165"/>
        <v>0</v>
      </c>
      <c r="BU625" s="52">
        <f t="shared" si="166"/>
        <v>0</v>
      </c>
      <c r="BV625" s="1">
        <f t="shared" si="167"/>
        <v>0</v>
      </c>
      <c r="BW625">
        <f t="shared" si="168"/>
        <v>0</v>
      </c>
      <c r="BX625">
        <f t="shared" si="169"/>
        <v>0</v>
      </c>
    </row>
    <row r="626" spans="58:76" x14ac:dyDescent="0.25">
      <c r="BF626" s="1" t="e">
        <f>VLOOKUP(N626,'Incoming Material Report'!H:M,6,FALSE)</f>
        <v>#N/A</v>
      </c>
      <c r="BG626" s="1" t="e">
        <f>IF(VLOOKUP(N626,'Incoming Material Report'!H:N,7,FALSE)=0,"",VLOOKUP(N626,'Incoming Material Report'!H:N,7,FALSE))</f>
        <v>#N/A</v>
      </c>
      <c r="BH626" s="52">
        <f t="shared" si="153"/>
        <v>0</v>
      </c>
      <c r="BI626" s="1">
        <f t="shared" si="154"/>
        <v>0</v>
      </c>
      <c r="BJ626" s="1">
        <f t="shared" si="155"/>
        <v>0</v>
      </c>
      <c r="BK626" s="1">
        <f t="shared" si="156"/>
        <v>0</v>
      </c>
      <c r="BL626" s="1">
        <f t="shared" si="157"/>
        <v>0</v>
      </c>
      <c r="BM626" s="10" t="str">
        <f t="shared" si="158"/>
        <v/>
      </c>
      <c r="BN626" s="52">
        <f t="shared" si="159"/>
        <v>0</v>
      </c>
      <c r="BO626" s="52">
        <f t="shared" si="160"/>
        <v>0</v>
      </c>
      <c r="BP626" s="1">
        <f t="shared" si="161"/>
        <v>0</v>
      </c>
      <c r="BQ626" s="1">
        <f t="shared" si="162"/>
        <v>0</v>
      </c>
      <c r="BR626" s="1" t="str">
        <f t="shared" si="163"/>
        <v/>
      </c>
      <c r="BS626" s="1">
        <f t="shared" si="164"/>
        <v>0</v>
      </c>
      <c r="BT626" s="4">
        <f t="shared" si="165"/>
        <v>0</v>
      </c>
      <c r="BU626" s="52">
        <f t="shared" si="166"/>
        <v>0</v>
      </c>
      <c r="BV626" s="1">
        <f t="shared" si="167"/>
        <v>0</v>
      </c>
      <c r="BW626">
        <f t="shared" si="168"/>
        <v>0</v>
      </c>
      <c r="BX626">
        <f t="shared" si="169"/>
        <v>0</v>
      </c>
    </row>
    <row r="627" spans="58:76" x14ac:dyDescent="0.25">
      <c r="BF627" s="1" t="e">
        <f>VLOOKUP(N627,'Incoming Material Report'!H:M,6,FALSE)</f>
        <v>#N/A</v>
      </c>
      <c r="BG627" s="1" t="e">
        <f>IF(VLOOKUP(N627,'Incoming Material Report'!H:N,7,FALSE)=0,"",VLOOKUP(N627,'Incoming Material Report'!H:N,7,FALSE))</f>
        <v>#N/A</v>
      </c>
      <c r="BH627" s="52">
        <f t="shared" si="153"/>
        <v>0</v>
      </c>
      <c r="BI627" s="1">
        <f t="shared" si="154"/>
        <v>0</v>
      </c>
      <c r="BJ627" s="1">
        <f t="shared" si="155"/>
        <v>0</v>
      </c>
      <c r="BK627" s="1">
        <f t="shared" si="156"/>
        <v>0</v>
      </c>
      <c r="BL627" s="1">
        <f t="shared" si="157"/>
        <v>0</v>
      </c>
      <c r="BM627" s="10" t="str">
        <f t="shared" si="158"/>
        <v/>
      </c>
      <c r="BN627" s="52">
        <f t="shared" si="159"/>
        <v>0</v>
      </c>
      <c r="BO627" s="52">
        <f t="shared" si="160"/>
        <v>0</v>
      </c>
      <c r="BP627" s="1">
        <f t="shared" si="161"/>
        <v>0</v>
      </c>
      <c r="BQ627" s="1">
        <f t="shared" si="162"/>
        <v>0</v>
      </c>
      <c r="BR627" s="1" t="str">
        <f t="shared" si="163"/>
        <v/>
      </c>
      <c r="BS627" s="1">
        <f t="shared" si="164"/>
        <v>0</v>
      </c>
      <c r="BT627" s="4">
        <f t="shared" si="165"/>
        <v>0</v>
      </c>
      <c r="BU627" s="52">
        <f t="shared" si="166"/>
        <v>0</v>
      </c>
      <c r="BV627" s="1">
        <f t="shared" si="167"/>
        <v>0</v>
      </c>
      <c r="BW627">
        <f t="shared" si="168"/>
        <v>0</v>
      </c>
      <c r="BX627">
        <f t="shared" si="169"/>
        <v>0</v>
      </c>
    </row>
    <row r="628" spans="58:76" x14ac:dyDescent="0.25">
      <c r="BF628" s="1" t="e">
        <f>VLOOKUP(N628,'Incoming Material Report'!H:M,6,FALSE)</f>
        <v>#N/A</v>
      </c>
      <c r="BG628" s="1" t="e">
        <f>IF(VLOOKUP(N628,'Incoming Material Report'!H:N,7,FALSE)=0,"",VLOOKUP(N628,'Incoming Material Report'!H:N,7,FALSE))</f>
        <v>#N/A</v>
      </c>
      <c r="BH628" s="52">
        <f t="shared" si="153"/>
        <v>0</v>
      </c>
      <c r="BI628" s="1">
        <f t="shared" si="154"/>
        <v>0</v>
      </c>
      <c r="BJ628" s="1">
        <f t="shared" si="155"/>
        <v>0</v>
      </c>
      <c r="BK628" s="1">
        <f t="shared" si="156"/>
        <v>0</v>
      </c>
      <c r="BL628" s="1">
        <f t="shared" si="157"/>
        <v>0</v>
      </c>
      <c r="BM628" s="10" t="str">
        <f t="shared" si="158"/>
        <v/>
      </c>
      <c r="BN628" s="52">
        <f t="shared" si="159"/>
        <v>0</v>
      </c>
      <c r="BO628" s="52">
        <f t="shared" si="160"/>
        <v>0</v>
      </c>
      <c r="BP628" s="1">
        <f t="shared" si="161"/>
        <v>0</v>
      </c>
      <c r="BQ628" s="1">
        <f t="shared" si="162"/>
        <v>0</v>
      </c>
      <c r="BR628" s="1" t="str">
        <f t="shared" si="163"/>
        <v/>
      </c>
      <c r="BS628" s="1">
        <f t="shared" si="164"/>
        <v>0</v>
      </c>
      <c r="BT628" s="4">
        <f t="shared" si="165"/>
        <v>0</v>
      </c>
      <c r="BU628" s="52">
        <f t="shared" si="166"/>
        <v>0</v>
      </c>
      <c r="BV628" s="1">
        <f t="shared" si="167"/>
        <v>0</v>
      </c>
      <c r="BW628">
        <f t="shared" si="168"/>
        <v>0</v>
      </c>
      <c r="BX628">
        <f t="shared" si="169"/>
        <v>0</v>
      </c>
    </row>
    <row r="629" spans="58:76" x14ac:dyDescent="0.25">
      <c r="BF629" s="1" t="e">
        <f>VLOOKUP(N629,'Incoming Material Report'!H:M,6,FALSE)</f>
        <v>#N/A</v>
      </c>
      <c r="BG629" s="1" t="e">
        <f>IF(VLOOKUP(N629,'Incoming Material Report'!H:N,7,FALSE)=0,"",VLOOKUP(N629,'Incoming Material Report'!H:N,7,FALSE))</f>
        <v>#N/A</v>
      </c>
      <c r="BH629" s="52">
        <f t="shared" si="153"/>
        <v>0</v>
      </c>
      <c r="BI629" s="1">
        <f t="shared" si="154"/>
        <v>0</v>
      </c>
      <c r="BJ629" s="1">
        <f t="shared" si="155"/>
        <v>0</v>
      </c>
      <c r="BK629" s="1">
        <f t="shared" si="156"/>
        <v>0</v>
      </c>
      <c r="BL629" s="1">
        <f t="shared" si="157"/>
        <v>0</v>
      </c>
      <c r="BM629" s="10" t="str">
        <f t="shared" si="158"/>
        <v/>
      </c>
      <c r="BN629" s="52">
        <f t="shared" si="159"/>
        <v>0</v>
      </c>
      <c r="BO629" s="52">
        <f t="shared" si="160"/>
        <v>0</v>
      </c>
      <c r="BP629" s="1">
        <f t="shared" si="161"/>
        <v>0</v>
      </c>
      <c r="BQ629" s="1">
        <f t="shared" si="162"/>
        <v>0</v>
      </c>
      <c r="BR629" s="1" t="str">
        <f t="shared" si="163"/>
        <v/>
      </c>
      <c r="BS629" s="1">
        <f t="shared" si="164"/>
        <v>0</v>
      </c>
      <c r="BT629" s="4">
        <f t="shared" si="165"/>
        <v>0</v>
      </c>
      <c r="BU629" s="52">
        <f t="shared" si="166"/>
        <v>0</v>
      </c>
      <c r="BV629" s="1">
        <f t="shared" si="167"/>
        <v>0</v>
      </c>
      <c r="BW629">
        <f t="shared" si="168"/>
        <v>0</v>
      </c>
      <c r="BX629">
        <f t="shared" si="169"/>
        <v>0</v>
      </c>
    </row>
    <row r="630" spans="58:76" x14ac:dyDescent="0.25">
      <c r="BF630" s="1" t="e">
        <f>VLOOKUP(N630,'Incoming Material Report'!H:M,6,FALSE)</f>
        <v>#N/A</v>
      </c>
      <c r="BG630" s="1" t="e">
        <f>IF(VLOOKUP(N630,'Incoming Material Report'!H:N,7,FALSE)=0,"",VLOOKUP(N630,'Incoming Material Report'!H:N,7,FALSE))</f>
        <v>#N/A</v>
      </c>
      <c r="BH630" s="52">
        <f t="shared" si="153"/>
        <v>0</v>
      </c>
      <c r="BI630" s="1">
        <f t="shared" si="154"/>
        <v>0</v>
      </c>
      <c r="BJ630" s="1">
        <f t="shared" si="155"/>
        <v>0</v>
      </c>
      <c r="BK630" s="1">
        <f t="shared" si="156"/>
        <v>0</v>
      </c>
      <c r="BL630" s="1">
        <f t="shared" si="157"/>
        <v>0</v>
      </c>
      <c r="BM630" s="10" t="str">
        <f t="shared" si="158"/>
        <v/>
      </c>
      <c r="BN630" s="52">
        <f t="shared" si="159"/>
        <v>0</v>
      </c>
      <c r="BO630" s="52">
        <f t="shared" si="160"/>
        <v>0</v>
      </c>
      <c r="BP630" s="1">
        <f t="shared" si="161"/>
        <v>0</v>
      </c>
      <c r="BQ630" s="1">
        <f t="shared" si="162"/>
        <v>0</v>
      </c>
      <c r="BR630" s="1" t="str">
        <f t="shared" si="163"/>
        <v/>
      </c>
      <c r="BS630" s="1">
        <f t="shared" si="164"/>
        <v>0</v>
      </c>
      <c r="BT630" s="4">
        <f t="shared" si="165"/>
        <v>0</v>
      </c>
      <c r="BU630" s="52">
        <f t="shared" si="166"/>
        <v>0</v>
      </c>
      <c r="BV630" s="1">
        <f t="shared" si="167"/>
        <v>0</v>
      </c>
      <c r="BW630">
        <f t="shared" si="168"/>
        <v>0</v>
      </c>
      <c r="BX630">
        <f t="shared" si="169"/>
        <v>0</v>
      </c>
    </row>
    <row r="631" spans="58:76" x14ac:dyDescent="0.25">
      <c r="BF631" s="1" t="e">
        <f>VLOOKUP(N631,'Incoming Material Report'!H:M,6,FALSE)</f>
        <v>#N/A</v>
      </c>
      <c r="BG631" s="1" t="e">
        <f>IF(VLOOKUP(N631,'Incoming Material Report'!H:N,7,FALSE)=0,"",VLOOKUP(N631,'Incoming Material Report'!H:N,7,FALSE))</f>
        <v>#N/A</v>
      </c>
      <c r="BH631" s="52">
        <f t="shared" si="153"/>
        <v>0</v>
      </c>
      <c r="BI631" s="1">
        <f t="shared" si="154"/>
        <v>0</v>
      </c>
      <c r="BJ631" s="1">
        <f t="shared" si="155"/>
        <v>0</v>
      </c>
      <c r="BK631" s="1">
        <f t="shared" si="156"/>
        <v>0</v>
      </c>
      <c r="BL631" s="1">
        <f t="shared" si="157"/>
        <v>0</v>
      </c>
      <c r="BM631" s="10" t="str">
        <f t="shared" si="158"/>
        <v/>
      </c>
      <c r="BN631" s="52">
        <f t="shared" si="159"/>
        <v>0</v>
      </c>
      <c r="BO631" s="52">
        <f t="shared" si="160"/>
        <v>0</v>
      </c>
      <c r="BP631" s="1">
        <f t="shared" si="161"/>
        <v>0</v>
      </c>
      <c r="BQ631" s="1">
        <f t="shared" si="162"/>
        <v>0</v>
      </c>
      <c r="BR631" s="1" t="str">
        <f t="shared" si="163"/>
        <v/>
      </c>
      <c r="BS631" s="1">
        <f t="shared" si="164"/>
        <v>0</v>
      </c>
      <c r="BT631" s="4">
        <f t="shared" si="165"/>
        <v>0</v>
      </c>
      <c r="BU631" s="52">
        <f t="shared" si="166"/>
        <v>0</v>
      </c>
      <c r="BV631" s="1">
        <f t="shared" si="167"/>
        <v>0</v>
      </c>
      <c r="BW631">
        <f t="shared" si="168"/>
        <v>0</v>
      </c>
      <c r="BX631">
        <f t="shared" si="169"/>
        <v>0</v>
      </c>
    </row>
    <row r="632" spans="58:76" x14ac:dyDescent="0.25">
      <c r="BF632" s="1" t="e">
        <f>VLOOKUP(N632,'Incoming Material Report'!H:M,6,FALSE)</f>
        <v>#N/A</v>
      </c>
      <c r="BG632" s="1" t="e">
        <f>IF(VLOOKUP(N632,'Incoming Material Report'!H:N,7,FALSE)=0,"",VLOOKUP(N632,'Incoming Material Report'!H:N,7,FALSE))</f>
        <v>#N/A</v>
      </c>
      <c r="BH632" s="52">
        <f t="shared" si="153"/>
        <v>0</v>
      </c>
      <c r="BI632" s="1">
        <f t="shared" si="154"/>
        <v>0</v>
      </c>
      <c r="BJ632" s="1">
        <f t="shared" si="155"/>
        <v>0</v>
      </c>
      <c r="BK632" s="1">
        <f t="shared" si="156"/>
        <v>0</v>
      </c>
      <c r="BL632" s="1">
        <f t="shared" si="157"/>
        <v>0</v>
      </c>
      <c r="BM632" s="10" t="str">
        <f t="shared" si="158"/>
        <v/>
      </c>
      <c r="BN632" s="52">
        <f t="shared" si="159"/>
        <v>0</v>
      </c>
      <c r="BO632" s="52">
        <f t="shared" si="160"/>
        <v>0</v>
      </c>
      <c r="BP632" s="1">
        <f t="shared" si="161"/>
        <v>0</v>
      </c>
      <c r="BQ632" s="1">
        <f t="shared" si="162"/>
        <v>0</v>
      </c>
      <c r="BR632" s="1" t="str">
        <f t="shared" si="163"/>
        <v/>
      </c>
      <c r="BS632" s="1">
        <f t="shared" si="164"/>
        <v>0</v>
      </c>
      <c r="BT632" s="4">
        <f t="shared" si="165"/>
        <v>0</v>
      </c>
      <c r="BU632" s="52">
        <f t="shared" si="166"/>
        <v>0</v>
      </c>
      <c r="BV632" s="1">
        <f t="shared" si="167"/>
        <v>0</v>
      </c>
      <c r="BW632">
        <f t="shared" si="168"/>
        <v>0</v>
      </c>
      <c r="BX632">
        <f t="shared" si="169"/>
        <v>0</v>
      </c>
    </row>
    <row r="633" spans="58:76" x14ac:dyDescent="0.25">
      <c r="BF633" s="1" t="e">
        <f>VLOOKUP(N633,'Incoming Material Report'!H:M,6,FALSE)</f>
        <v>#N/A</v>
      </c>
      <c r="BG633" s="1" t="e">
        <f>IF(VLOOKUP(N633,'Incoming Material Report'!H:N,7,FALSE)=0,"",VLOOKUP(N633,'Incoming Material Report'!H:N,7,FALSE))</f>
        <v>#N/A</v>
      </c>
      <c r="BH633" s="52">
        <f t="shared" si="153"/>
        <v>0</v>
      </c>
      <c r="BI633" s="1">
        <f t="shared" si="154"/>
        <v>0</v>
      </c>
      <c r="BJ633" s="1">
        <f t="shared" si="155"/>
        <v>0</v>
      </c>
      <c r="BK633" s="1">
        <f t="shared" si="156"/>
        <v>0</v>
      </c>
      <c r="BL633" s="1">
        <f t="shared" si="157"/>
        <v>0</v>
      </c>
      <c r="BM633" s="10" t="str">
        <f t="shared" si="158"/>
        <v/>
      </c>
      <c r="BN633" s="52">
        <f t="shared" si="159"/>
        <v>0</v>
      </c>
      <c r="BO633" s="52">
        <f t="shared" si="160"/>
        <v>0</v>
      </c>
      <c r="BP633" s="1">
        <f t="shared" si="161"/>
        <v>0</v>
      </c>
      <c r="BQ633" s="1">
        <f t="shared" si="162"/>
        <v>0</v>
      </c>
      <c r="BR633" s="1" t="str">
        <f t="shared" si="163"/>
        <v/>
      </c>
      <c r="BS633" s="1">
        <f t="shared" si="164"/>
        <v>0</v>
      </c>
      <c r="BT633" s="4">
        <f t="shared" si="165"/>
        <v>0</v>
      </c>
      <c r="BU633" s="52">
        <f t="shared" si="166"/>
        <v>0</v>
      </c>
      <c r="BV633" s="1">
        <f t="shared" si="167"/>
        <v>0</v>
      </c>
      <c r="BW633">
        <f t="shared" si="168"/>
        <v>0</v>
      </c>
      <c r="BX633">
        <f t="shared" si="169"/>
        <v>0</v>
      </c>
    </row>
    <row r="634" spans="58:76" x14ac:dyDescent="0.25">
      <c r="BF634" s="1" t="e">
        <f>VLOOKUP(N634,'Incoming Material Report'!H:M,6,FALSE)</f>
        <v>#N/A</v>
      </c>
      <c r="BG634" s="1" t="e">
        <f>IF(VLOOKUP(N634,'Incoming Material Report'!H:N,7,FALSE)=0,"",VLOOKUP(N634,'Incoming Material Report'!H:N,7,FALSE))</f>
        <v>#N/A</v>
      </c>
      <c r="BH634" s="52">
        <f t="shared" ref="BH634:BH697" si="170">VALUE(T634)</f>
        <v>0</v>
      </c>
      <c r="BI634" s="1">
        <f t="shared" ref="BI634:BI697" si="171">VALUE(U634)</f>
        <v>0</v>
      </c>
      <c r="BJ634" s="1">
        <f t="shared" ref="BJ634:BJ697" si="172">IFERROR(_xlfn.NUMBERVALUE(V634),V634)</f>
        <v>0</v>
      </c>
      <c r="BK634" s="1">
        <f t="shared" ref="BK634:BK697" si="173">IFERROR(INT(I634),I634)</f>
        <v>0</v>
      </c>
      <c r="BL634" s="1">
        <f t="shared" ref="BL634:BL697" si="174">L634</f>
        <v>0</v>
      </c>
      <c r="BM634" s="10" t="str">
        <f t="shared" ref="BM634:BM697" si="175">SUBSTITUTE(J634,"/",".")</f>
        <v/>
      </c>
      <c r="BN634" s="52">
        <f t="shared" ref="BN634:BN697" si="176">VALUE(Q634)*1000</f>
        <v>0</v>
      </c>
      <c r="BO634" s="52">
        <f t="shared" ref="BO634:BO697" si="177">VALUE(P634)/1000</f>
        <v>0</v>
      </c>
      <c r="BP634" s="1">
        <f t="shared" ref="BP634:BP697" si="178">VALUE(D634)</f>
        <v>0</v>
      </c>
      <c r="BQ634" s="1">
        <f t="shared" ref="BQ634:BQ697" si="179">G634</f>
        <v>0</v>
      </c>
      <c r="BR634" s="1" t="str">
        <f t="shared" ref="BR634:BR697" si="180">SUBSTITUTE(O634,".","")</f>
        <v/>
      </c>
      <c r="BS634" s="1">
        <f t="shared" ref="BS634:BS697" si="181">S634</f>
        <v>0</v>
      </c>
      <c r="BT634" s="4">
        <f t="shared" ref="BT634:BT697" si="182">VALUE(AJ634)</f>
        <v>0</v>
      </c>
      <c r="BU634" s="52">
        <f t="shared" ref="BU634:BU697" si="183">K634</f>
        <v>0</v>
      </c>
      <c r="BV634" s="1">
        <f t="shared" ref="BV634:BV697" si="184">AQ634</f>
        <v>0</v>
      </c>
      <c r="BW634">
        <f t="shared" ref="BW634:BW697" si="185">X634</f>
        <v>0</v>
      </c>
      <c r="BX634">
        <f t="shared" ref="BX634:BX697" si="186">AN634</f>
        <v>0</v>
      </c>
    </row>
    <row r="635" spans="58:76" x14ac:dyDescent="0.25">
      <c r="BF635" s="1" t="e">
        <f>VLOOKUP(N635,'Incoming Material Report'!H:M,6,FALSE)</f>
        <v>#N/A</v>
      </c>
      <c r="BG635" s="1" t="e">
        <f>IF(VLOOKUP(N635,'Incoming Material Report'!H:N,7,FALSE)=0,"",VLOOKUP(N635,'Incoming Material Report'!H:N,7,FALSE))</f>
        <v>#N/A</v>
      </c>
      <c r="BH635" s="52">
        <f t="shared" si="170"/>
        <v>0</v>
      </c>
      <c r="BI635" s="1">
        <f t="shared" si="171"/>
        <v>0</v>
      </c>
      <c r="BJ635" s="1">
        <f t="shared" si="172"/>
        <v>0</v>
      </c>
      <c r="BK635" s="1">
        <f t="shared" si="173"/>
        <v>0</v>
      </c>
      <c r="BL635" s="1">
        <f t="shared" si="174"/>
        <v>0</v>
      </c>
      <c r="BM635" s="10" t="str">
        <f t="shared" si="175"/>
        <v/>
      </c>
      <c r="BN635" s="52">
        <f t="shared" si="176"/>
        <v>0</v>
      </c>
      <c r="BO635" s="52">
        <f t="shared" si="177"/>
        <v>0</v>
      </c>
      <c r="BP635" s="1">
        <f t="shared" si="178"/>
        <v>0</v>
      </c>
      <c r="BQ635" s="1">
        <f t="shared" si="179"/>
        <v>0</v>
      </c>
      <c r="BR635" s="1" t="str">
        <f t="shared" si="180"/>
        <v/>
      </c>
      <c r="BS635" s="1">
        <f t="shared" si="181"/>
        <v>0</v>
      </c>
      <c r="BT635" s="4">
        <f t="shared" si="182"/>
        <v>0</v>
      </c>
      <c r="BU635" s="52">
        <f t="shared" si="183"/>
        <v>0</v>
      </c>
      <c r="BV635" s="1">
        <f t="shared" si="184"/>
        <v>0</v>
      </c>
      <c r="BW635">
        <f t="shared" si="185"/>
        <v>0</v>
      </c>
      <c r="BX635">
        <f t="shared" si="186"/>
        <v>0</v>
      </c>
    </row>
    <row r="636" spans="58:76" x14ac:dyDescent="0.25">
      <c r="BF636" s="1" t="e">
        <f>VLOOKUP(N636,'Incoming Material Report'!H:M,6,FALSE)</f>
        <v>#N/A</v>
      </c>
      <c r="BG636" s="1" t="e">
        <f>IF(VLOOKUP(N636,'Incoming Material Report'!H:N,7,FALSE)=0,"",VLOOKUP(N636,'Incoming Material Report'!H:N,7,FALSE))</f>
        <v>#N/A</v>
      </c>
      <c r="BH636" s="52">
        <f t="shared" si="170"/>
        <v>0</v>
      </c>
      <c r="BI636" s="1">
        <f t="shared" si="171"/>
        <v>0</v>
      </c>
      <c r="BJ636" s="1">
        <f t="shared" si="172"/>
        <v>0</v>
      </c>
      <c r="BK636" s="1">
        <f t="shared" si="173"/>
        <v>0</v>
      </c>
      <c r="BL636" s="1">
        <f t="shared" si="174"/>
        <v>0</v>
      </c>
      <c r="BM636" s="10" t="str">
        <f t="shared" si="175"/>
        <v/>
      </c>
      <c r="BN636" s="52">
        <f t="shared" si="176"/>
        <v>0</v>
      </c>
      <c r="BO636" s="52">
        <f t="shared" si="177"/>
        <v>0</v>
      </c>
      <c r="BP636" s="1">
        <f t="shared" si="178"/>
        <v>0</v>
      </c>
      <c r="BQ636" s="1">
        <f t="shared" si="179"/>
        <v>0</v>
      </c>
      <c r="BR636" s="1" t="str">
        <f t="shared" si="180"/>
        <v/>
      </c>
      <c r="BS636" s="1">
        <f t="shared" si="181"/>
        <v>0</v>
      </c>
      <c r="BT636" s="4">
        <f t="shared" si="182"/>
        <v>0</v>
      </c>
      <c r="BU636" s="52">
        <f t="shared" si="183"/>
        <v>0</v>
      </c>
      <c r="BV636" s="1">
        <f t="shared" si="184"/>
        <v>0</v>
      </c>
      <c r="BW636">
        <f t="shared" si="185"/>
        <v>0</v>
      </c>
      <c r="BX636">
        <f t="shared" si="186"/>
        <v>0</v>
      </c>
    </row>
    <row r="637" spans="58:76" x14ac:dyDescent="0.25">
      <c r="BF637" s="1" t="e">
        <f>VLOOKUP(N637,'Incoming Material Report'!H:M,6,FALSE)</f>
        <v>#N/A</v>
      </c>
      <c r="BG637" s="1" t="e">
        <f>IF(VLOOKUP(N637,'Incoming Material Report'!H:N,7,FALSE)=0,"",VLOOKUP(N637,'Incoming Material Report'!H:N,7,FALSE))</f>
        <v>#N/A</v>
      </c>
      <c r="BH637" s="52">
        <f t="shared" si="170"/>
        <v>0</v>
      </c>
      <c r="BI637" s="1">
        <f t="shared" si="171"/>
        <v>0</v>
      </c>
      <c r="BJ637" s="1">
        <f t="shared" si="172"/>
        <v>0</v>
      </c>
      <c r="BK637" s="1">
        <f t="shared" si="173"/>
        <v>0</v>
      </c>
      <c r="BL637" s="1">
        <f t="shared" si="174"/>
        <v>0</v>
      </c>
      <c r="BM637" s="10" t="str">
        <f t="shared" si="175"/>
        <v/>
      </c>
      <c r="BN637" s="52">
        <f t="shared" si="176"/>
        <v>0</v>
      </c>
      <c r="BO637" s="52">
        <f t="shared" si="177"/>
        <v>0</v>
      </c>
      <c r="BP637" s="1">
        <f t="shared" si="178"/>
        <v>0</v>
      </c>
      <c r="BQ637" s="1">
        <f t="shared" si="179"/>
        <v>0</v>
      </c>
      <c r="BR637" s="1" t="str">
        <f t="shared" si="180"/>
        <v/>
      </c>
      <c r="BS637" s="1">
        <f t="shared" si="181"/>
        <v>0</v>
      </c>
      <c r="BT637" s="4">
        <f t="shared" si="182"/>
        <v>0</v>
      </c>
      <c r="BU637" s="52">
        <f t="shared" si="183"/>
        <v>0</v>
      </c>
      <c r="BV637" s="1">
        <f t="shared" si="184"/>
        <v>0</v>
      </c>
      <c r="BW637">
        <f t="shared" si="185"/>
        <v>0</v>
      </c>
      <c r="BX637">
        <f t="shared" si="186"/>
        <v>0</v>
      </c>
    </row>
    <row r="638" spans="58:76" x14ac:dyDescent="0.25">
      <c r="BF638" s="1" t="e">
        <f>VLOOKUP(N638,'Incoming Material Report'!H:M,6,FALSE)</f>
        <v>#N/A</v>
      </c>
      <c r="BG638" s="1" t="e">
        <f>IF(VLOOKUP(N638,'Incoming Material Report'!H:N,7,FALSE)=0,"",VLOOKUP(N638,'Incoming Material Report'!H:N,7,FALSE))</f>
        <v>#N/A</v>
      </c>
      <c r="BH638" s="52">
        <f t="shared" si="170"/>
        <v>0</v>
      </c>
      <c r="BI638" s="1">
        <f t="shared" si="171"/>
        <v>0</v>
      </c>
      <c r="BJ638" s="1">
        <f t="shared" si="172"/>
        <v>0</v>
      </c>
      <c r="BK638" s="1">
        <f t="shared" si="173"/>
        <v>0</v>
      </c>
      <c r="BL638" s="1">
        <f t="shared" si="174"/>
        <v>0</v>
      </c>
      <c r="BM638" s="10" t="str">
        <f t="shared" si="175"/>
        <v/>
      </c>
      <c r="BN638" s="52">
        <f t="shared" si="176"/>
        <v>0</v>
      </c>
      <c r="BO638" s="52">
        <f t="shared" si="177"/>
        <v>0</v>
      </c>
      <c r="BP638" s="1">
        <f t="shared" si="178"/>
        <v>0</v>
      </c>
      <c r="BQ638" s="1">
        <f t="shared" si="179"/>
        <v>0</v>
      </c>
      <c r="BR638" s="1" t="str">
        <f t="shared" si="180"/>
        <v/>
      </c>
      <c r="BS638" s="1">
        <f t="shared" si="181"/>
        <v>0</v>
      </c>
      <c r="BT638" s="4">
        <f t="shared" si="182"/>
        <v>0</v>
      </c>
      <c r="BU638" s="52">
        <f t="shared" si="183"/>
        <v>0</v>
      </c>
      <c r="BV638" s="1">
        <f t="shared" si="184"/>
        <v>0</v>
      </c>
      <c r="BW638">
        <f t="shared" si="185"/>
        <v>0</v>
      </c>
      <c r="BX638">
        <f t="shared" si="186"/>
        <v>0</v>
      </c>
    </row>
    <row r="639" spans="58:76" x14ac:dyDescent="0.25">
      <c r="BF639" s="1" t="e">
        <f>VLOOKUP(N639,'Incoming Material Report'!H:M,6,FALSE)</f>
        <v>#N/A</v>
      </c>
      <c r="BG639" s="1" t="e">
        <f>IF(VLOOKUP(N639,'Incoming Material Report'!H:N,7,FALSE)=0,"",VLOOKUP(N639,'Incoming Material Report'!H:N,7,FALSE))</f>
        <v>#N/A</v>
      </c>
      <c r="BH639" s="52">
        <f t="shared" si="170"/>
        <v>0</v>
      </c>
      <c r="BI639" s="1">
        <f t="shared" si="171"/>
        <v>0</v>
      </c>
      <c r="BJ639" s="1">
        <f t="shared" si="172"/>
        <v>0</v>
      </c>
      <c r="BK639" s="1">
        <f t="shared" si="173"/>
        <v>0</v>
      </c>
      <c r="BL639" s="1">
        <f t="shared" si="174"/>
        <v>0</v>
      </c>
      <c r="BM639" s="10" t="str">
        <f t="shared" si="175"/>
        <v/>
      </c>
      <c r="BN639" s="52">
        <f t="shared" si="176"/>
        <v>0</v>
      </c>
      <c r="BO639" s="52">
        <f t="shared" si="177"/>
        <v>0</v>
      </c>
      <c r="BP639" s="1">
        <f t="shared" si="178"/>
        <v>0</v>
      </c>
      <c r="BQ639" s="1">
        <f t="shared" si="179"/>
        <v>0</v>
      </c>
      <c r="BR639" s="1" t="str">
        <f t="shared" si="180"/>
        <v/>
      </c>
      <c r="BS639" s="1">
        <f t="shared" si="181"/>
        <v>0</v>
      </c>
      <c r="BT639" s="4">
        <f t="shared" si="182"/>
        <v>0</v>
      </c>
      <c r="BU639" s="52">
        <f t="shared" si="183"/>
        <v>0</v>
      </c>
      <c r="BV639" s="1">
        <f t="shared" si="184"/>
        <v>0</v>
      </c>
      <c r="BW639">
        <f t="shared" si="185"/>
        <v>0</v>
      </c>
      <c r="BX639">
        <f t="shared" si="186"/>
        <v>0</v>
      </c>
    </row>
    <row r="640" spans="58:76" x14ac:dyDescent="0.25">
      <c r="BF640" s="1" t="e">
        <f>VLOOKUP(N640,'Incoming Material Report'!H:M,6,FALSE)</f>
        <v>#N/A</v>
      </c>
      <c r="BG640" s="1" t="e">
        <f>IF(VLOOKUP(N640,'Incoming Material Report'!H:N,7,FALSE)=0,"",VLOOKUP(N640,'Incoming Material Report'!H:N,7,FALSE))</f>
        <v>#N/A</v>
      </c>
      <c r="BH640" s="52">
        <f t="shared" si="170"/>
        <v>0</v>
      </c>
      <c r="BI640" s="1">
        <f t="shared" si="171"/>
        <v>0</v>
      </c>
      <c r="BJ640" s="1">
        <f t="shared" si="172"/>
        <v>0</v>
      </c>
      <c r="BK640" s="1">
        <f t="shared" si="173"/>
        <v>0</v>
      </c>
      <c r="BL640" s="1">
        <f t="shared" si="174"/>
        <v>0</v>
      </c>
      <c r="BM640" s="10" t="str">
        <f t="shared" si="175"/>
        <v/>
      </c>
      <c r="BN640" s="52">
        <f t="shared" si="176"/>
        <v>0</v>
      </c>
      <c r="BO640" s="52">
        <f t="shared" si="177"/>
        <v>0</v>
      </c>
      <c r="BP640" s="1">
        <f t="shared" si="178"/>
        <v>0</v>
      </c>
      <c r="BQ640" s="1">
        <f t="shared" si="179"/>
        <v>0</v>
      </c>
      <c r="BR640" s="1" t="str">
        <f t="shared" si="180"/>
        <v/>
      </c>
      <c r="BS640" s="1">
        <f t="shared" si="181"/>
        <v>0</v>
      </c>
      <c r="BT640" s="4">
        <f t="shared" si="182"/>
        <v>0</v>
      </c>
      <c r="BU640" s="52">
        <f t="shared" si="183"/>
        <v>0</v>
      </c>
      <c r="BV640" s="1">
        <f t="shared" si="184"/>
        <v>0</v>
      </c>
      <c r="BW640">
        <f t="shared" si="185"/>
        <v>0</v>
      </c>
      <c r="BX640">
        <f t="shared" si="186"/>
        <v>0</v>
      </c>
    </row>
    <row r="641" spans="58:76" x14ac:dyDescent="0.25">
      <c r="BF641" s="1" t="e">
        <f>VLOOKUP(N641,'Incoming Material Report'!H:M,6,FALSE)</f>
        <v>#N/A</v>
      </c>
      <c r="BG641" s="1" t="e">
        <f>IF(VLOOKUP(N641,'Incoming Material Report'!H:N,7,FALSE)=0,"",VLOOKUP(N641,'Incoming Material Report'!H:N,7,FALSE))</f>
        <v>#N/A</v>
      </c>
      <c r="BH641" s="52">
        <f t="shared" si="170"/>
        <v>0</v>
      </c>
      <c r="BI641" s="1">
        <f t="shared" si="171"/>
        <v>0</v>
      </c>
      <c r="BJ641" s="1">
        <f t="shared" si="172"/>
        <v>0</v>
      </c>
      <c r="BK641" s="1">
        <f t="shared" si="173"/>
        <v>0</v>
      </c>
      <c r="BL641" s="1">
        <f t="shared" si="174"/>
        <v>0</v>
      </c>
      <c r="BM641" s="10" t="str">
        <f t="shared" si="175"/>
        <v/>
      </c>
      <c r="BN641" s="52">
        <f t="shared" si="176"/>
        <v>0</v>
      </c>
      <c r="BO641" s="52">
        <f t="shared" si="177"/>
        <v>0</v>
      </c>
      <c r="BP641" s="1">
        <f t="shared" si="178"/>
        <v>0</v>
      </c>
      <c r="BQ641" s="1">
        <f t="shared" si="179"/>
        <v>0</v>
      </c>
      <c r="BR641" s="1" t="str">
        <f t="shared" si="180"/>
        <v/>
      </c>
      <c r="BS641" s="1">
        <f t="shared" si="181"/>
        <v>0</v>
      </c>
      <c r="BT641" s="4">
        <f t="shared" si="182"/>
        <v>0</v>
      </c>
      <c r="BU641" s="52">
        <f t="shared" si="183"/>
        <v>0</v>
      </c>
      <c r="BV641" s="1">
        <f t="shared" si="184"/>
        <v>0</v>
      </c>
      <c r="BW641">
        <f t="shared" si="185"/>
        <v>0</v>
      </c>
      <c r="BX641">
        <f t="shared" si="186"/>
        <v>0</v>
      </c>
    </row>
    <row r="642" spans="58:76" x14ac:dyDescent="0.25">
      <c r="BF642" s="1" t="e">
        <f>VLOOKUP(N642,'Incoming Material Report'!H:M,6,FALSE)</f>
        <v>#N/A</v>
      </c>
      <c r="BG642" s="1" t="e">
        <f>IF(VLOOKUP(N642,'Incoming Material Report'!H:N,7,FALSE)=0,"",VLOOKUP(N642,'Incoming Material Report'!H:N,7,FALSE))</f>
        <v>#N/A</v>
      </c>
      <c r="BH642" s="52">
        <f t="shared" si="170"/>
        <v>0</v>
      </c>
      <c r="BI642" s="1">
        <f t="shared" si="171"/>
        <v>0</v>
      </c>
      <c r="BJ642" s="1">
        <f t="shared" si="172"/>
        <v>0</v>
      </c>
      <c r="BK642" s="1">
        <f t="shared" si="173"/>
        <v>0</v>
      </c>
      <c r="BL642" s="1">
        <f t="shared" si="174"/>
        <v>0</v>
      </c>
      <c r="BM642" s="10" t="str">
        <f t="shared" si="175"/>
        <v/>
      </c>
      <c r="BN642" s="52">
        <f t="shared" si="176"/>
        <v>0</v>
      </c>
      <c r="BO642" s="52">
        <f t="shared" si="177"/>
        <v>0</v>
      </c>
      <c r="BP642" s="1">
        <f t="shared" si="178"/>
        <v>0</v>
      </c>
      <c r="BQ642" s="1">
        <f t="shared" si="179"/>
        <v>0</v>
      </c>
      <c r="BR642" s="1" t="str">
        <f t="shared" si="180"/>
        <v/>
      </c>
      <c r="BS642" s="1">
        <f t="shared" si="181"/>
        <v>0</v>
      </c>
      <c r="BT642" s="4">
        <f t="shared" si="182"/>
        <v>0</v>
      </c>
      <c r="BU642" s="52">
        <f t="shared" si="183"/>
        <v>0</v>
      </c>
      <c r="BV642" s="1">
        <f t="shared" si="184"/>
        <v>0</v>
      </c>
      <c r="BW642">
        <f t="shared" si="185"/>
        <v>0</v>
      </c>
      <c r="BX642">
        <f t="shared" si="186"/>
        <v>0</v>
      </c>
    </row>
    <row r="643" spans="58:76" x14ac:dyDescent="0.25">
      <c r="BF643" s="1" t="e">
        <f>VLOOKUP(N643,'Incoming Material Report'!H:M,6,FALSE)</f>
        <v>#N/A</v>
      </c>
      <c r="BG643" s="1" t="e">
        <f>IF(VLOOKUP(N643,'Incoming Material Report'!H:N,7,FALSE)=0,"",VLOOKUP(N643,'Incoming Material Report'!H:N,7,FALSE))</f>
        <v>#N/A</v>
      </c>
      <c r="BH643" s="52">
        <f t="shared" si="170"/>
        <v>0</v>
      </c>
      <c r="BI643" s="1">
        <f t="shared" si="171"/>
        <v>0</v>
      </c>
      <c r="BJ643" s="1">
        <f t="shared" si="172"/>
        <v>0</v>
      </c>
      <c r="BK643" s="1">
        <f t="shared" si="173"/>
        <v>0</v>
      </c>
      <c r="BL643" s="1">
        <f t="shared" si="174"/>
        <v>0</v>
      </c>
      <c r="BM643" s="10" t="str">
        <f t="shared" si="175"/>
        <v/>
      </c>
      <c r="BN643" s="52">
        <f t="shared" si="176"/>
        <v>0</v>
      </c>
      <c r="BO643" s="52">
        <f t="shared" si="177"/>
        <v>0</v>
      </c>
      <c r="BP643" s="1">
        <f t="shared" si="178"/>
        <v>0</v>
      </c>
      <c r="BQ643" s="1">
        <f t="shared" si="179"/>
        <v>0</v>
      </c>
      <c r="BR643" s="1" t="str">
        <f t="shared" si="180"/>
        <v/>
      </c>
      <c r="BS643" s="1">
        <f t="shared" si="181"/>
        <v>0</v>
      </c>
      <c r="BT643" s="4">
        <f t="shared" si="182"/>
        <v>0</v>
      </c>
      <c r="BU643" s="52">
        <f t="shared" si="183"/>
        <v>0</v>
      </c>
      <c r="BV643" s="1">
        <f t="shared" si="184"/>
        <v>0</v>
      </c>
      <c r="BW643">
        <f t="shared" si="185"/>
        <v>0</v>
      </c>
      <c r="BX643">
        <f t="shared" si="186"/>
        <v>0</v>
      </c>
    </row>
    <row r="644" spans="58:76" x14ac:dyDescent="0.25">
      <c r="BF644" s="1" t="e">
        <f>VLOOKUP(N644,'Incoming Material Report'!H:M,6,FALSE)</f>
        <v>#N/A</v>
      </c>
      <c r="BG644" s="1" t="e">
        <f>IF(VLOOKUP(N644,'Incoming Material Report'!H:N,7,FALSE)=0,"",VLOOKUP(N644,'Incoming Material Report'!H:N,7,FALSE))</f>
        <v>#N/A</v>
      </c>
      <c r="BH644" s="52">
        <f t="shared" si="170"/>
        <v>0</v>
      </c>
      <c r="BI644" s="1">
        <f t="shared" si="171"/>
        <v>0</v>
      </c>
      <c r="BJ644" s="1">
        <f t="shared" si="172"/>
        <v>0</v>
      </c>
      <c r="BK644" s="1">
        <f t="shared" si="173"/>
        <v>0</v>
      </c>
      <c r="BL644" s="1">
        <f t="shared" si="174"/>
        <v>0</v>
      </c>
      <c r="BM644" s="10" t="str">
        <f t="shared" si="175"/>
        <v/>
      </c>
      <c r="BN644" s="52">
        <f t="shared" si="176"/>
        <v>0</v>
      </c>
      <c r="BO644" s="52">
        <f t="shared" si="177"/>
        <v>0</v>
      </c>
      <c r="BP644" s="1">
        <f t="shared" si="178"/>
        <v>0</v>
      </c>
      <c r="BQ644" s="1">
        <f t="shared" si="179"/>
        <v>0</v>
      </c>
      <c r="BR644" s="1" t="str">
        <f t="shared" si="180"/>
        <v/>
      </c>
      <c r="BS644" s="1">
        <f t="shared" si="181"/>
        <v>0</v>
      </c>
      <c r="BT644" s="4">
        <f t="shared" si="182"/>
        <v>0</v>
      </c>
      <c r="BU644" s="52">
        <f t="shared" si="183"/>
        <v>0</v>
      </c>
      <c r="BV644" s="1">
        <f t="shared" si="184"/>
        <v>0</v>
      </c>
      <c r="BW644">
        <f t="shared" si="185"/>
        <v>0</v>
      </c>
      <c r="BX644">
        <f t="shared" si="186"/>
        <v>0</v>
      </c>
    </row>
    <row r="645" spans="58:76" x14ac:dyDescent="0.25">
      <c r="BF645" s="1" t="e">
        <f>VLOOKUP(N645,'Incoming Material Report'!H:M,6,FALSE)</f>
        <v>#N/A</v>
      </c>
      <c r="BG645" s="1" t="e">
        <f>IF(VLOOKUP(N645,'Incoming Material Report'!H:N,7,FALSE)=0,"",VLOOKUP(N645,'Incoming Material Report'!H:N,7,FALSE))</f>
        <v>#N/A</v>
      </c>
      <c r="BH645" s="52">
        <f t="shared" si="170"/>
        <v>0</v>
      </c>
      <c r="BI645" s="1">
        <f t="shared" si="171"/>
        <v>0</v>
      </c>
      <c r="BJ645" s="1">
        <f t="shared" si="172"/>
        <v>0</v>
      </c>
      <c r="BK645" s="1">
        <f t="shared" si="173"/>
        <v>0</v>
      </c>
      <c r="BL645" s="1">
        <f t="shared" si="174"/>
        <v>0</v>
      </c>
      <c r="BM645" s="10" t="str">
        <f t="shared" si="175"/>
        <v/>
      </c>
      <c r="BN645" s="52">
        <f t="shared" si="176"/>
        <v>0</v>
      </c>
      <c r="BO645" s="52">
        <f t="shared" si="177"/>
        <v>0</v>
      </c>
      <c r="BP645" s="1">
        <f t="shared" si="178"/>
        <v>0</v>
      </c>
      <c r="BQ645" s="1">
        <f t="shared" si="179"/>
        <v>0</v>
      </c>
      <c r="BR645" s="1" t="str">
        <f t="shared" si="180"/>
        <v/>
      </c>
      <c r="BS645" s="1">
        <f t="shared" si="181"/>
        <v>0</v>
      </c>
      <c r="BT645" s="4">
        <f t="shared" si="182"/>
        <v>0</v>
      </c>
      <c r="BU645" s="52">
        <f t="shared" si="183"/>
        <v>0</v>
      </c>
      <c r="BV645" s="1">
        <f t="shared" si="184"/>
        <v>0</v>
      </c>
      <c r="BW645">
        <f t="shared" si="185"/>
        <v>0</v>
      </c>
      <c r="BX645">
        <f t="shared" si="186"/>
        <v>0</v>
      </c>
    </row>
    <row r="646" spans="58:76" x14ac:dyDescent="0.25">
      <c r="BF646" s="1" t="e">
        <f>VLOOKUP(N646,'Incoming Material Report'!H:M,6,FALSE)</f>
        <v>#N/A</v>
      </c>
      <c r="BG646" s="1" t="e">
        <f>IF(VLOOKUP(N646,'Incoming Material Report'!H:N,7,FALSE)=0,"",VLOOKUP(N646,'Incoming Material Report'!H:N,7,FALSE))</f>
        <v>#N/A</v>
      </c>
      <c r="BH646" s="52">
        <f t="shared" si="170"/>
        <v>0</v>
      </c>
      <c r="BI646" s="1">
        <f t="shared" si="171"/>
        <v>0</v>
      </c>
      <c r="BJ646" s="1">
        <f t="shared" si="172"/>
        <v>0</v>
      </c>
      <c r="BK646" s="1">
        <f t="shared" si="173"/>
        <v>0</v>
      </c>
      <c r="BL646" s="1">
        <f t="shared" si="174"/>
        <v>0</v>
      </c>
      <c r="BM646" s="10" t="str">
        <f t="shared" si="175"/>
        <v/>
      </c>
      <c r="BN646" s="52">
        <f t="shared" si="176"/>
        <v>0</v>
      </c>
      <c r="BO646" s="52">
        <f t="shared" si="177"/>
        <v>0</v>
      </c>
      <c r="BP646" s="1">
        <f t="shared" si="178"/>
        <v>0</v>
      </c>
      <c r="BQ646" s="1">
        <f t="shared" si="179"/>
        <v>0</v>
      </c>
      <c r="BR646" s="1" t="str">
        <f t="shared" si="180"/>
        <v/>
      </c>
      <c r="BS646" s="1">
        <f t="shared" si="181"/>
        <v>0</v>
      </c>
      <c r="BT646" s="4">
        <f t="shared" si="182"/>
        <v>0</v>
      </c>
      <c r="BU646" s="52">
        <f t="shared" si="183"/>
        <v>0</v>
      </c>
      <c r="BV646" s="1">
        <f t="shared" si="184"/>
        <v>0</v>
      </c>
      <c r="BW646">
        <f t="shared" si="185"/>
        <v>0</v>
      </c>
      <c r="BX646">
        <f t="shared" si="186"/>
        <v>0</v>
      </c>
    </row>
    <row r="647" spans="58:76" x14ac:dyDescent="0.25">
      <c r="BF647" s="1" t="e">
        <f>VLOOKUP(N647,'Incoming Material Report'!H:M,6,FALSE)</f>
        <v>#N/A</v>
      </c>
      <c r="BG647" s="1" t="e">
        <f>IF(VLOOKUP(N647,'Incoming Material Report'!H:N,7,FALSE)=0,"",VLOOKUP(N647,'Incoming Material Report'!H:N,7,FALSE))</f>
        <v>#N/A</v>
      </c>
      <c r="BH647" s="52">
        <f t="shared" si="170"/>
        <v>0</v>
      </c>
      <c r="BI647" s="1">
        <f t="shared" si="171"/>
        <v>0</v>
      </c>
      <c r="BJ647" s="1">
        <f t="shared" si="172"/>
        <v>0</v>
      </c>
      <c r="BK647" s="1">
        <f t="shared" si="173"/>
        <v>0</v>
      </c>
      <c r="BL647" s="1">
        <f t="shared" si="174"/>
        <v>0</v>
      </c>
      <c r="BM647" s="10" t="str">
        <f t="shared" si="175"/>
        <v/>
      </c>
      <c r="BN647" s="52">
        <f t="shared" si="176"/>
        <v>0</v>
      </c>
      <c r="BO647" s="52">
        <f t="shared" si="177"/>
        <v>0</v>
      </c>
      <c r="BP647" s="1">
        <f t="shared" si="178"/>
        <v>0</v>
      </c>
      <c r="BQ647" s="1">
        <f t="shared" si="179"/>
        <v>0</v>
      </c>
      <c r="BR647" s="1" t="str">
        <f t="shared" si="180"/>
        <v/>
      </c>
      <c r="BS647" s="1">
        <f t="shared" si="181"/>
        <v>0</v>
      </c>
      <c r="BT647" s="4">
        <f t="shared" si="182"/>
        <v>0</v>
      </c>
      <c r="BU647" s="52">
        <f t="shared" si="183"/>
        <v>0</v>
      </c>
      <c r="BV647" s="1">
        <f t="shared" si="184"/>
        <v>0</v>
      </c>
      <c r="BW647">
        <f t="shared" si="185"/>
        <v>0</v>
      </c>
      <c r="BX647">
        <f t="shared" si="186"/>
        <v>0</v>
      </c>
    </row>
    <row r="648" spans="58:76" x14ac:dyDescent="0.25">
      <c r="BF648" s="1" t="e">
        <f>VLOOKUP(N648,'Incoming Material Report'!H:M,6,FALSE)</f>
        <v>#N/A</v>
      </c>
      <c r="BG648" s="1" t="e">
        <f>IF(VLOOKUP(N648,'Incoming Material Report'!H:N,7,FALSE)=0,"",VLOOKUP(N648,'Incoming Material Report'!H:N,7,FALSE))</f>
        <v>#N/A</v>
      </c>
      <c r="BH648" s="52">
        <f t="shared" si="170"/>
        <v>0</v>
      </c>
      <c r="BI648" s="1">
        <f t="shared" si="171"/>
        <v>0</v>
      </c>
      <c r="BJ648" s="1">
        <f t="shared" si="172"/>
        <v>0</v>
      </c>
      <c r="BK648" s="1">
        <f t="shared" si="173"/>
        <v>0</v>
      </c>
      <c r="BL648" s="1">
        <f t="shared" si="174"/>
        <v>0</v>
      </c>
      <c r="BM648" s="10" t="str">
        <f t="shared" si="175"/>
        <v/>
      </c>
      <c r="BN648" s="52">
        <f t="shared" si="176"/>
        <v>0</v>
      </c>
      <c r="BO648" s="52">
        <f t="shared" si="177"/>
        <v>0</v>
      </c>
      <c r="BP648" s="1">
        <f t="shared" si="178"/>
        <v>0</v>
      </c>
      <c r="BQ648" s="1">
        <f t="shared" si="179"/>
        <v>0</v>
      </c>
      <c r="BR648" s="1" t="str">
        <f t="shared" si="180"/>
        <v/>
      </c>
      <c r="BS648" s="1">
        <f t="shared" si="181"/>
        <v>0</v>
      </c>
      <c r="BT648" s="4">
        <f t="shared" si="182"/>
        <v>0</v>
      </c>
      <c r="BU648" s="52">
        <f t="shared" si="183"/>
        <v>0</v>
      </c>
      <c r="BV648" s="1">
        <f t="shared" si="184"/>
        <v>0</v>
      </c>
      <c r="BW648">
        <f t="shared" si="185"/>
        <v>0</v>
      </c>
      <c r="BX648">
        <f t="shared" si="186"/>
        <v>0</v>
      </c>
    </row>
    <row r="649" spans="58:76" x14ac:dyDescent="0.25">
      <c r="BF649" s="1" t="e">
        <f>VLOOKUP(N649,'Incoming Material Report'!H:M,6,FALSE)</f>
        <v>#N/A</v>
      </c>
      <c r="BG649" s="1" t="e">
        <f>IF(VLOOKUP(N649,'Incoming Material Report'!H:N,7,FALSE)=0,"",VLOOKUP(N649,'Incoming Material Report'!H:N,7,FALSE))</f>
        <v>#N/A</v>
      </c>
      <c r="BH649" s="52">
        <f t="shared" si="170"/>
        <v>0</v>
      </c>
      <c r="BI649" s="1">
        <f t="shared" si="171"/>
        <v>0</v>
      </c>
      <c r="BJ649" s="1">
        <f t="shared" si="172"/>
        <v>0</v>
      </c>
      <c r="BK649" s="1">
        <f t="shared" si="173"/>
        <v>0</v>
      </c>
      <c r="BL649" s="1">
        <f t="shared" si="174"/>
        <v>0</v>
      </c>
      <c r="BM649" s="10" t="str">
        <f t="shared" si="175"/>
        <v/>
      </c>
      <c r="BN649" s="52">
        <f t="shared" si="176"/>
        <v>0</v>
      </c>
      <c r="BO649" s="52">
        <f t="shared" si="177"/>
        <v>0</v>
      </c>
      <c r="BP649" s="1">
        <f t="shared" si="178"/>
        <v>0</v>
      </c>
      <c r="BQ649" s="1">
        <f t="shared" si="179"/>
        <v>0</v>
      </c>
      <c r="BR649" s="1" t="str">
        <f t="shared" si="180"/>
        <v/>
      </c>
      <c r="BS649" s="1">
        <f t="shared" si="181"/>
        <v>0</v>
      </c>
      <c r="BT649" s="4">
        <f t="shared" si="182"/>
        <v>0</v>
      </c>
      <c r="BU649" s="52">
        <f t="shared" si="183"/>
        <v>0</v>
      </c>
      <c r="BV649" s="1">
        <f t="shared" si="184"/>
        <v>0</v>
      </c>
      <c r="BW649">
        <f t="shared" si="185"/>
        <v>0</v>
      </c>
      <c r="BX649">
        <f t="shared" si="186"/>
        <v>0</v>
      </c>
    </row>
    <row r="650" spans="58:76" x14ac:dyDescent="0.25">
      <c r="BF650" s="1" t="e">
        <f>VLOOKUP(N650,'Incoming Material Report'!H:M,6,FALSE)</f>
        <v>#N/A</v>
      </c>
      <c r="BG650" s="1" t="e">
        <f>IF(VLOOKUP(N650,'Incoming Material Report'!H:N,7,FALSE)=0,"",VLOOKUP(N650,'Incoming Material Report'!H:N,7,FALSE))</f>
        <v>#N/A</v>
      </c>
      <c r="BH650" s="52">
        <f t="shared" si="170"/>
        <v>0</v>
      </c>
      <c r="BI650" s="1">
        <f t="shared" si="171"/>
        <v>0</v>
      </c>
      <c r="BJ650" s="1">
        <f t="shared" si="172"/>
        <v>0</v>
      </c>
      <c r="BK650" s="1">
        <f t="shared" si="173"/>
        <v>0</v>
      </c>
      <c r="BL650" s="1">
        <f t="shared" si="174"/>
        <v>0</v>
      </c>
      <c r="BM650" s="10" t="str">
        <f t="shared" si="175"/>
        <v/>
      </c>
      <c r="BN650" s="52">
        <f t="shared" si="176"/>
        <v>0</v>
      </c>
      <c r="BO650" s="52">
        <f t="shared" si="177"/>
        <v>0</v>
      </c>
      <c r="BP650" s="1">
        <f t="shared" si="178"/>
        <v>0</v>
      </c>
      <c r="BQ650" s="1">
        <f t="shared" si="179"/>
        <v>0</v>
      </c>
      <c r="BR650" s="1" t="str">
        <f t="shared" si="180"/>
        <v/>
      </c>
      <c r="BS650" s="1">
        <f t="shared" si="181"/>
        <v>0</v>
      </c>
      <c r="BT650" s="4">
        <f t="shared" si="182"/>
        <v>0</v>
      </c>
      <c r="BU650" s="52">
        <f t="shared" si="183"/>
        <v>0</v>
      </c>
      <c r="BV650" s="1">
        <f t="shared" si="184"/>
        <v>0</v>
      </c>
      <c r="BW650">
        <f t="shared" si="185"/>
        <v>0</v>
      </c>
      <c r="BX650">
        <f t="shared" si="186"/>
        <v>0</v>
      </c>
    </row>
    <row r="651" spans="58:76" x14ac:dyDescent="0.25">
      <c r="BF651" s="1" t="e">
        <f>VLOOKUP(N651,'Incoming Material Report'!H:M,6,FALSE)</f>
        <v>#N/A</v>
      </c>
      <c r="BG651" s="1" t="e">
        <f>IF(VLOOKUP(N651,'Incoming Material Report'!H:N,7,FALSE)=0,"",VLOOKUP(N651,'Incoming Material Report'!H:N,7,FALSE))</f>
        <v>#N/A</v>
      </c>
      <c r="BH651" s="52">
        <f t="shared" si="170"/>
        <v>0</v>
      </c>
      <c r="BI651" s="1">
        <f t="shared" si="171"/>
        <v>0</v>
      </c>
      <c r="BJ651" s="1">
        <f t="shared" si="172"/>
        <v>0</v>
      </c>
      <c r="BK651" s="1">
        <f t="shared" si="173"/>
        <v>0</v>
      </c>
      <c r="BL651" s="1">
        <f t="shared" si="174"/>
        <v>0</v>
      </c>
      <c r="BM651" s="10" t="str">
        <f t="shared" si="175"/>
        <v/>
      </c>
      <c r="BN651" s="52">
        <f t="shared" si="176"/>
        <v>0</v>
      </c>
      <c r="BO651" s="52">
        <f t="shared" si="177"/>
        <v>0</v>
      </c>
      <c r="BP651" s="1">
        <f t="shared" si="178"/>
        <v>0</v>
      </c>
      <c r="BQ651" s="1">
        <f t="shared" si="179"/>
        <v>0</v>
      </c>
      <c r="BR651" s="1" t="str">
        <f t="shared" si="180"/>
        <v/>
      </c>
      <c r="BS651" s="1">
        <f t="shared" si="181"/>
        <v>0</v>
      </c>
      <c r="BT651" s="4">
        <f t="shared" si="182"/>
        <v>0</v>
      </c>
      <c r="BU651" s="52">
        <f t="shared" si="183"/>
        <v>0</v>
      </c>
      <c r="BV651" s="1">
        <f t="shared" si="184"/>
        <v>0</v>
      </c>
      <c r="BW651">
        <f t="shared" si="185"/>
        <v>0</v>
      </c>
      <c r="BX651">
        <f t="shared" si="186"/>
        <v>0</v>
      </c>
    </row>
    <row r="652" spans="58:76" x14ac:dyDescent="0.25">
      <c r="BF652" s="1" t="e">
        <f>VLOOKUP(N652,'Incoming Material Report'!H:M,6,FALSE)</f>
        <v>#N/A</v>
      </c>
      <c r="BG652" s="1" t="e">
        <f>IF(VLOOKUP(N652,'Incoming Material Report'!H:N,7,FALSE)=0,"",VLOOKUP(N652,'Incoming Material Report'!H:N,7,FALSE))</f>
        <v>#N/A</v>
      </c>
      <c r="BH652" s="52">
        <f t="shared" si="170"/>
        <v>0</v>
      </c>
      <c r="BI652" s="1">
        <f t="shared" si="171"/>
        <v>0</v>
      </c>
      <c r="BJ652" s="1">
        <f t="shared" si="172"/>
        <v>0</v>
      </c>
      <c r="BK652" s="1">
        <f t="shared" si="173"/>
        <v>0</v>
      </c>
      <c r="BL652" s="1">
        <f t="shared" si="174"/>
        <v>0</v>
      </c>
      <c r="BM652" s="10" t="str">
        <f t="shared" si="175"/>
        <v/>
      </c>
      <c r="BN652" s="52">
        <f t="shared" si="176"/>
        <v>0</v>
      </c>
      <c r="BO652" s="52">
        <f t="shared" si="177"/>
        <v>0</v>
      </c>
      <c r="BP652" s="1">
        <f t="shared" si="178"/>
        <v>0</v>
      </c>
      <c r="BQ652" s="1">
        <f t="shared" si="179"/>
        <v>0</v>
      </c>
      <c r="BR652" s="1" t="str">
        <f t="shared" si="180"/>
        <v/>
      </c>
      <c r="BS652" s="1">
        <f t="shared" si="181"/>
        <v>0</v>
      </c>
      <c r="BT652" s="4">
        <f t="shared" si="182"/>
        <v>0</v>
      </c>
      <c r="BU652" s="52">
        <f t="shared" si="183"/>
        <v>0</v>
      </c>
      <c r="BV652" s="1">
        <f t="shared" si="184"/>
        <v>0</v>
      </c>
      <c r="BW652">
        <f t="shared" si="185"/>
        <v>0</v>
      </c>
      <c r="BX652">
        <f t="shared" si="186"/>
        <v>0</v>
      </c>
    </row>
    <row r="653" spans="58:76" x14ac:dyDescent="0.25">
      <c r="BF653" s="1" t="e">
        <f>VLOOKUP(N653,'Incoming Material Report'!H:M,6,FALSE)</f>
        <v>#N/A</v>
      </c>
      <c r="BG653" s="1" t="e">
        <f>IF(VLOOKUP(N653,'Incoming Material Report'!H:N,7,FALSE)=0,"",VLOOKUP(N653,'Incoming Material Report'!H:N,7,FALSE))</f>
        <v>#N/A</v>
      </c>
      <c r="BH653" s="52">
        <f t="shared" si="170"/>
        <v>0</v>
      </c>
      <c r="BI653" s="1">
        <f t="shared" si="171"/>
        <v>0</v>
      </c>
      <c r="BJ653" s="1">
        <f t="shared" si="172"/>
        <v>0</v>
      </c>
      <c r="BK653" s="1">
        <f t="shared" si="173"/>
        <v>0</v>
      </c>
      <c r="BL653" s="1">
        <f t="shared" si="174"/>
        <v>0</v>
      </c>
      <c r="BM653" s="10" t="str">
        <f t="shared" si="175"/>
        <v/>
      </c>
      <c r="BN653" s="52">
        <f t="shared" si="176"/>
        <v>0</v>
      </c>
      <c r="BO653" s="52">
        <f t="shared" si="177"/>
        <v>0</v>
      </c>
      <c r="BP653" s="1">
        <f t="shared" si="178"/>
        <v>0</v>
      </c>
      <c r="BQ653" s="1">
        <f t="shared" si="179"/>
        <v>0</v>
      </c>
      <c r="BR653" s="1" t="str">
        <f t="shared" si="180"/>
        <v/>
      </c>
      <c r="BS653" s="1">
        <f t="shared" si="181"/>
        <v>0</v>
      </c>
      <c r="BT653" s="4">
        <f t="shared" si="182"/>
        <v>0</v>
      </c>
      <c r="BU653" s="52">
        <f t="shared" si="183"/>
        <v>0</v>
      </c>
      <c r="BV653" s="1">
        <f t="shared" si="184"/>
        <v>0</v>
      </c>
      <c r="BW653">
        <f t="shared" si="185"/>
        <v>0</v>
      </c>
      <c r="BX653">
        <f t="shared" si="186"/>
        <v>0</v>
      </c>
    </row>
    <row r="654" spans="58:76" x14ac:dyDescent="0.25">
      <c r="BF654" s="1" t="e">
        <f>VLOOKUP(N654,'Incoming Material Report'!H:M,6,FALSE)</f>
        <v>#N/A</v>
      </c>
      <c r="BG654" s="1" t="e">
        <f>IF(VLOOKUP(N654,'Incoming Material Report'!H:N,7,FALSE)=0,"",VLOOKUP(N654,'Incoming Material Report'!H:N,7,FALSE))</f>
        <v>#N/A</v>
      </c>
      <c r="BH654" s="52">
        <f t="shared" si="170"/>
        <v>0</v>
      </c>
      <c r="BI654" s="1">
        <f t="shared" si="171"/>
        <v>0</v>
      </c>
      <c r="BJ654" s="1">
        <f t="shared" si="172"/>
        <v>0</v>
      </c>
      <c r="BK654" s="1">
        <f t="shared" si="173"/>
        <v>0</v>
      </c>
      <c r="BL654" s="1">
        <f t="shared" si="174"/>
        <v>0</v>
      </c>
      <c r="BM654" s="10" t="str">
        <f t="shared" si="175"/>
        <v/>
      </c>
      <c r="BN654" s="52">
        <f t="shared" si="176"/>
        <v>0</v>
      </c>
      <c r="BO654" s="52">
        <f t="shared" si="177"/>
        <v>0</v>
      </c>
      <c r="BP654" s="1">
        <f t="shared" si="178"/>
        <v>0</v>
      </c>
      <c r="BQ654" s="1">
        <f t="shared" si="179"/>
        <v>0</v>
      </c>
      <c r="BR654" s="1" t="str">
        <f t="shared" si="180"/>
        <v/>
      </c>
      <c r="BS654" s="1">
        <f t="shared" si="181"/>
        <v>0</v>
      </c>
      <c r="BT654" s="4">
        <f t="shared" si="182"/>
        <v>0</v>
      </c>
      <c r="BU654" s="52">
        <f t="shared" si="183"/>
        <v>0</v>
      </c>
      <c r="BV654" s="1">
        <f t="shared" si="184"/>
        <v>0</v>
      </c>
      <c r="BW654">
        <f t="shared" si="185"/>
        <v>0</v>
      </c>
      <c r="BX654">
        <f t="shared" si="186"/>
        <v>0</v>
      </c>
    </row>
    <row r="655" spans="58:76" x14ac:dyDescent="0.25">
      <c r="BF655" s="1" t="e">
        <f>VLOOKUP(N655,'Incoming Material Report'!H:M,6,FALSE)</f>
        <v>#N/A</v>
      </c>
      <c r="BG655" s="1" t="e">
        <f>IF(VLOOKUP(N655,'Incoming Material Report'!H:N,7,FALSE)=0,"",VLOOKUP(N655,'Incoming Material Report'!H:N,7,FALSE))</f>
        <v>#N/A</v>
      </c>
      <c r="BH655" s="52">
        <f t="shared" si="170"/>
        <v>0</v>
      </c>
      <c r="BI655" s="1">
        <f t="shared" si="171"/>
        <v>0</v>
      </c>
      <c r="BJ655" s="1">
        <f t="shared" si="172"/>
        <v>0</v>
      </c>
      <c r="BK655" s="1">
        <f t="shared" si="173"/>
        <v>0</v>
      </c>
      <c r="BL655" s="1">
        <f t="shared" si="174"/>
        <v>0</v>
      </c>
      <c r="BM655" s="10" t="str">
        <f t="shared" si="175"/>
        <v/>
      </c>
      <c r="BN655" s="52">
        <f t="shared" si="176"/>
        <v>0</v>
      </c>
      <c r="BO655" s="52">
        <f t="shared" si="177"/>
        <v>0</v>
      </c>
      <c r="BP655" s="1">
        <f t="shared" si="178"/>
        <v>0</v>
      </c>
      <c r="BQ655" s="1">
        <f t="shared" si="179"/>
        <v>0</v>
      </c>
      <c r="BR655" s="1" t="str">
        <f t="shared" si="180"/>
        <v/>
      </c>
      <c r="BS655" s="1">
        <f t="shared" si="181"/>
        <v>0</v>
      </c>
      <c r="BT655" s="4">
        <f t="shared" si="182"/>
        <v>0</v>
      </c>
      <c r="BU655" s="52">
        <f t="shared" si="183"/>
        <v>0</v>
      </c>
      <c r="BV655" s="1">
        <f t="shared" si="184"/>
        <v>0</v>
      </c>
      <c r="BW655">
        <f t="shared" si="185"/>
        <v>0</v>
      </c>
      <c r="BX655">
        <f t="shared" si="186"/>
        <v>0</v>
      </c>
    </row>
    <row r="656" spans="58:76" x14ac:dyDescent="0.25">
      <c r="BF656" s="1" t="e">
        <f>VLOOKUP(N656,'Incoming Material Report'!H:M,6,FALSE)</f>
        <v>#N/A</v>
      </c>
      <c r="BG656" s="1" t="e">
        <f>IF(VLOOKUP(N656,'Incoming Material Report'!H:N,7,FALSE)=0,"",VLOOKUP(N656,'Incoming Material Report'!H:N,7,FALSE))</f>
        <v>#N/A</v>
      </c>
      <c r="BH656" s="52">
        <f t="shared" si="170"/>
        <v>0</v>
      </c>
      <c r="BI656" s="1">
        <f t="shared" si="171"/>
        <v>0</v>
      </c>
      <c r="BJ656" s="1">
        <f t="shared" si="172"/>
        <v>0</v>
      </c>
      <c r="BK656" s="1">
        <f t="shared" si="173"/>
        <v>0</v>
      </c>
      <c r="BL656" s="1">
        <f t="shared" si="174"/>
        <v>0</v>
      </c>
      <c r="BM656" s="10" t="str">
        <f t="shared" si="175"/>
        <v/>
      </c>
      <c r="BN656" s="52">
        <f t="shared" si="176"/>
        <v>0</v>
      </c>
      <c r="BO656" s="52">
        <f t="shared" si="177"/>
        <v>0</v>
      </c>
      <c r="BP656" s="1">
        <f t="shared" si="178"/>
        <v>0</v>
      </c>
      <c r="BQ656" s="1">
        <f t="shared" si="179"/>
        <v>0</v>
      </c>
      <c r="BR656" s="1" t="str">
        <f t="shared" si="180"/>
        <v/>
      </c>
      <c r="BS656" s="1">
        <f t="shared" si="181"/>
        <v>0</v>
      </c>
      <c r="BT656" s="4">
        <f t="shared" si="182"/>
        <v>0</v>
      </c>
      <c r="BU656" s="52">
        <f t="shared" si="183"/>
        <v>0</v>
      </c>
      <c r="BV656" s="1">
        <f t="shared" si="184"/>
        <v>0</v>
      </c>
      <c r="BW656">
        <f t="shared" si="185"/>
        <v>0</v>
      </c>
      <c r="BX656">
        <f t="shared" si="186"/>
        <v>0</v>
      </c>
    </row>
    <row r="657" spans="58:76" x14ac:dyDescent="0.25">
      <c r="BF657" s="1" t="e">
        <f>VLOOKUP(N657,'Incoming Material Report'!H:M,6,FALSE)</f>
        <v>#N/A</v>
      </c>
      <c r="BG657" s="1" t="e">
        <f>IF(VLOOKUP(N657,'Incoming Material Report'!H:N,7,FALSE)=0,"",VLOOKUP(N657,'Incoming Material Report'!H:N,7,FALSE))</f>
        <v>#N/A</v>
      </c>
      <c r="BH657" s="52">
        <f t="shared" si="170"/>
        <v>0</v>
      </c>
      <c r="BI657" s="1">
        <f t="shared" si="171"/>
        <v>0</v>
      </c>
      <c r="BJ657" s="1">
        <f t="shared" si="172"/>
        <v>0</v>
      </c>
      <c r="BK657" s="1">
        <f t="shared" si="173"/>
        <v>0</v>
      </c>
      <c r="BL657" s="1">
        <f t="shared" si="174"/>
        <v>0</v>
      </c>
      <c r="BM657" s="10" t="str">
        <f t="shared" si="175"/>
        <v/>
      </c>
      <c r="BN657" s="52">
        <f t="shared" si="176"/>
        <v>0</v>
      </c>
      <c r="BO657" s="52">
        <f t="shared" si="177"/>
        <v>0</v>
      </c>
      <c r="BP657" s="1">
        <f t="shared" si="178"/>
        <v>0</v>
      </c>
      <c r="BQ657" s="1">
        <f t="shared" si="179"/>
        <v>0</v>
      </c>
      <c r="BR657" s="1" t="str">
        <f t="shared" si="180"/>
        <v/>
      </c>
      <c r="BS657" s="1">
        <f t="shared" si="181"/>
        <v>0</v>
      </c>
      <c r="BT657" s="4">
        <f t="shared" si="182"/>
        <v>0</v>
      </c>
      <c r="BU657" s="52">
        <f t="shared" si="183"/>
        <v>0</v>
      </c>
      <c r="BV657" s="1">
        <f t="shared" si="184"/>
        <v>0</v>
      </c>
      <c r="BW657">
        <f t="shared" si="185"/>
        <v>0</v>
      </c>
      <c r="BX657">
        <f t="shared" si="186"/>
        <v>0</v>
      </c>
    </row>
    <row r="658" spans="58:76" x14ac:dyDescent="0.25">
      <c r="BF658" s="1" t="e">
        <f>VLOOKUP(N658,'Incoming Material Report'!H:M,6,FALSE)</f>
        <v>#N/A</v>
      </c>
      <c r="BG658" s="1" t="e">
        <f>IF(VLOOKUP(N658,'Incoming Material Report'!H:N,7,FALSE)=0,"",VLOOKUP(N658,'Incoming Material Report'!H:N,7,FALSE))</f>
        <v>#N/A</v>
      </c>
      <c r="BH658" s="52">
        <f t="shared" si="170"/>
        <v>0</v>
      </c>
      <c r="BI658" s="1">
        <f t="shared" si="171"/>
        <v>0</v>
      </c>
      <c r="BJ658" s="1">
        <f t="shared" si="172"/>
        <v>0</v>
      </c>
      <c r="BK658" s="1">
        <f t="shared" si="173"/>
        <v>0</v>
      </c>
      <c r="BL658" s="1">
        <f t="shared" si="174"/>
        <v>0</v>
      </c>
      <c r="BM658" s="10" t="str">
        <f t="shared" si="175"/>
        <v/>
      </c>
      <c r="BN658" s="52">
        <f t="shared" si="176"/>
        <v>0</v>
      </c>
      <c r="BO658" s="52">
        <f t="shared" si="177"/>
        <v>0</v>
      </c>
      <c r="BP658" s="1">
        <f t="shared" si="178"/>
        <v>0</v>
      </c>
      <c r="BQ658" s="1">
        <f t="shared" si="179"/>
        <v>0</v>
      </c>
      <c r="BR658" s="1" t="str">
        <f t="shared" si="180"/>
        <v/>
      </c>
      <c r="BS658" s="1">
        <f t="shared" si="181"/>
        <v>0</v>
      </c>
      <c r="BT658" s="4">
        <f t="shared" si="182"/>
        <v>0</v>
      </c>
      <c r="BU658" s="52">
        <f t="shared" si="183"/>
        <v>0</v>
      </c>
      <c r="BV658" s="1">
        <f t="shared" si="184"/>
        <v>0</v>
      </c>
      <c r="BW658">
        <f t="shared" si="185"/>
        <v>0</v>
      </c>
      <c r="BX658">
        <f t="shared" si="186"/>
        <v>0</v>
      </c>
    </row>
    <row r="659" spans="58:76" x14ac:dyDescent="0.25">
      <c r="BF659" s="1" t="e">
        <f>VLOOKUP(N659,'Incoming Material Report'!H:M,6,FALSE)</f>
        <v>#N/A</v>
      </c>
      <c r="BG659" s="1" t="e">
        <f>IF(VLOOKUP(N659,'Incoming Material Report'!H:N,7,FALSE)=0,"",VLOOKUP(N659,'Incoming Material Report'!H:N,7,FALSE))</f>
        <v>#N/A</v>
      </c>
      <c r="BH659" s="52">
        <f t="shared" si="170"/>
        <v>0</v>
      </c>
      <c r="BI659" s="1">
        <f t="shared" si="171"/>
        <v>0</v>
      </c>
      <c r="BJ659" s="1">
        <f t="shared" si="172"/>
        <v>0</v>
      </c>
      <c r="BK659" s="1">
        <f t="shared" si="173"/>
        <v>0</v>
      </c>
      <c r="BL659" s="1">
        <f t="shared" si="174"/>
        <v>0</v>
      </c>
      <c r="BM659" s="10" t="str">
        <f t="shared" si="175"/>
        <v/>
      </c>
      <c r="BN659" s="52">
        <f t="shared" si="176"/>
        <v>0</v>
      </c>
      <c r="BO659" s="52">
        <f t="shared" si="177"/>
        <v>0</v>
      </c>
      <c r="BP659" s="1">
        <f t="shared" si="178"/>
        <v>0</v>
      </c>
      <c r="BQ659" s="1">
        <f t="shared" si="179"/>
        <v>0</v>
      </c>
      <c r="BR659" s="1" t="str">
        <f t="shared" si="180"/>
        <v/>
      </c>
      <c r="BS659" s="1">
        <f t="shared" si="181"/>
        <v>0</v>
      </c>
      <c r="BT659" s="4">
        <f t="shared" si="182"/>
        <v>0</v>
      </c>
      <c r="BU659" s="52">
        <f t="shared" si="183"/>
        <v>0</v>
      </c>
      <c r="BV659" s="1">
        <f t="shared" si="184"/>
        <v>0</v>
      </c>
      <c r="BW659">
        <f t="shared" si="185"/>
        <v>0</v>
      </c>
      <c r="BX659">
        <f t="shared" si="186"/>
        <v>0</v>
      </c>
    </row>
    <row r="660" spans="58:76" x14ac:dyDescent="0.25">
      <c r="BF660" s="1" t="e">
        <f>VLOOKUP(N660,'Incoming Material Report'!H:M,6,FALSE)</f>
        <v>#N/A</v>
      </c>
      <c r="BG660" s="1" t="e">
        <f>IF(VLOOKUP(N660,'Incoming Material Report'!H:N,7,FALSE)=0,"",VLOOKUP(N660,'Incoming Material Report'!H:N,7,FALSE))</f>
        <v>#N/A</v>
      </c>
      <c r="BH660" s="52">
        <f t="shared" si="170"/>
        <v>0</v>
      </c>
      <c r="BI660" s="1">
        <f t="shared" si="171"/>
        <v>0</v>
      </c>
      <c r="BJ660" s="1">
        <f t="shared" si="172"/>
        <v>0</v>
      </c>
      <c r="BK660" s="1">
        <f t="shared" si="173"/>
        <v>0</v>
      </c>
      <c r="BL660" s="1">
        <f t="shared" si="174"/>
        <v>0</v>
      </c>
      <c r="BM660" s="10" t="str">
        <f t="shared" si="175"/>
        <v/>
      </c>
      <c r="BN660" s="52">
        <f t="shared" si="176"/>
        <v>0</v>
      </c>
      <c r="BO660" s="52">
        <f t="shared" si="177"/>
        <v>0</v>
      </c>
      <c r="BP660" s="1">
        <f t="shared" si="178"/>
        <v>0</v>
      </c>
      <c r="BQ660" s="1">
        <f t="shared" si="179"/>
        <v>0</v>
      </c>
      <c r="BR660" s="1" t="str">
        <f t="shared" si="180"/>
        <v/>
      </c>
      <c r="BS660" s="1">
        <f t="shared" si="181"/>
        <v>0</v>
      </c>
      <c r="BT660" s="4">
        <f t="shared" si="182"/>
        <v>0</v>
      </c>
      <c r="BU660" s="52">
        <f t="shared" si="183"/>
        <v>0</v>
      </c>
      <c r="BV660" s="1">
        <f t="shared" si="184"/>
        <v>0</v>
      </c>
      <c r="BW660">
        <f t="shared" si="185"/>
        <v>0</v>
      </c>
      <c r="BX660">
        <f t="shared" si="186"/>
        <v>0</v>
      </c>
    </row>
    <row r="661" spans="58:76" x14ac:dyDescent="0.25">
      <c r="BF661" s="1" t="e">
        <f>VLOOKUP(N661,'Incoming Material Report'!H:M,6,FALSE)</f>
        <v>#N/A</v>
      </c>
      <c r="BG661" s="1" t="e">
        <f>IF(VLOOKUP(N661,'Incoming Material Report'!H:N,7,FALSE)=0,"",VLOOKUP(N661,'Incoming Material Report'!H:N,7,FALSE))</f>
        <v>#N/A</v>
      </c>
      <c r="BH661" s="52">
        <f t="shared" si="170"/>
        <v>0</v>
      </c>
      <c r="BI661" s="1">
        <f t="shared" si="171"/>
        <v>0</v>
      </c>
      <c r="BJ661" s="1">
        <f t="shared" si="172"/>
        <v>0</v>
      </c>
      <c r="BK661" s="1">
        <f t="shared" si="173"/>
        <v>0</v>
      </c>
      <c r="BL661" s="1">
        <f t="shared" si="174"/>
        <v>0</v>
      </c>
      <c r="BM661" s="10" t="str">
        <f t="shared" si="175"/>
        <v/>
      </c>
      <c r="BN661" s="52">
        <f t="shared" si="176"/>
        <v>0</v>
      </c>
      <c r="BO661" s="52">
        <f t="shared" si="177"/>
        <v>0</v>
      </c>
      <c r="BP661" s="1">
        <f t="shared" si="178"/>
        <v>0</v>
      </c>
      <c r="BQ661" s="1">
        <f t="shared" si="179"/>
        <v>0</v>
      </c>
      <c r="BR661" s="1" t="str">
        <f t="shared" si="180"/>
        <v/>
      </c>
      <c r="BS661" s="1">
        <f t="shared" si="181"/>
        <v>0</v>
      </c>
      <c r="BT661" s="4">
        <f t="shared" si="182"/>
        <v>0</v>
      </c>
      <c r="BU661" s="52">
        <f t="shared" si="183"/>
        <v>0</v>
      </c>
      <c r="BV661" s="1">
        <f t="shared" si="184"/>
        <v>0</v>
      </c>
      <c r="BW661">
        <f t="shared" si="185"/>
        <v>0</v>
      </c>
      <c r="BX661">
        <f t="shared" si="186"/>
        <v>0</v>
      </c>
    </row>
    <row r="662" spans="58:76" x14ac:dyDescent="0.25">
      <c r="BF662" s="1" t="e">
        <f>VLOOKUP(N662,'Incoming Material Report'!H:M,6,FALSE)</f>
        <v>#N/A</v>
      </c>
      <c r="BG662" s="1" t="e">
        <f>IF(VLOOKUP(N662,'Incoming Material Report'!H:N,7,FALSE)=0,"",VLOOKUP(N662,'Incoming Material Report'!H:N,7,FALSE))</f>
        <v>#N/A</v>
      </c>
      <c r="BH662" s="52">
        <f t="shared" si="170"/>
        <v>0</v>
      </c>
      <c r="BI662" s="1">
        <f t="shared" si="171"/>
        <v>0</v>
      </c>
      <c r="BJ662" s="1">
        <f t="shared" si="172"/>
        <v>0</v>
      </c>
      <c r="BK662" s="1">
        <f t="shared" si="173"/>
        <v>0</v>
      </c>
      <c r="BL662" s="1">
        <f t="shared" si="174"/>
        <v>0</v>
      </c>
      <c r="BM662" s="10" t="str">
        <f t="shared" si="175"/>
        <v/>
      </c>
      <c r="BN662" s="52">
        <f t="shared" si="176"/>
        <v>0</v>
      </c>
      <c r="BO662" s="52">
        <f t="shared" si="177"/>
        <v>0</v>
      </c>
      <c r="BP662" s="1">
        <f t="shared" si="178"/>
        <v>0</v>
      </c>
      <c r="BQ662" s="1">
        <f t="shared" si="179"/>
        <v>0</v>
      </c>
      <c r="BR662" s="1" t="str">
        <f t="shared" si="180"/>
        <v/>
      </c>
      <c r="BS662" s="1">
        <f t="shared" si="181"/>
        <v>0</v>
      </c>
      <c r="BT662" s="4">
        <f t="shared" si="182"/>
        <v>0</v>
      </c>
      <c r="BU662" s="52">
        <f t="shared" si="183"/>
        <v>0</v>
      </c>
      <c r="BV662" s="1">
        <f t="shared" si="184"/>
        <v>0</v>
      </c>
      <c r="BW662">
        <f t="shared" si="185"/>
        <v>0</v>
      </c>
      <c r="BX662">
        <f t="shared" si="186"/>
        <v>0</v>
      </c>
    </row>
    <row r="663" spans="58:76" x14ac:dyDescent="0.25">
      <c r="BF663" s="1" t="e">
        <f>VLOOKUP(N663,'Incoming Material Report'!H:M,6,FALSE)</f>
        <v>#N/A</v>
      </c>
      <c r="BG663" s="1" t="e">
        <f>IF(VLOOKUP(N663,'Incoming Material Report'!H:N,7,FALSE)=0,"",VLOOKUP(N663,'Incoming Material Report'!H:N,7,FALSE))</f>
        <v>#N/A</v>
      </c>
      <c r="BH663" s="52">
        <f t="shared" si="170"/>
        <v>0</v>
      </c>
      <c r="BI663" s="1">
        <f t="shared" si="171"/>
        <v>0</v>
      </c>
      <c r="BJ663" s="1">
        <f t="shared" si="172"/>
        <v>0</v>
      </c>
      <c r="BK663" s="1">
        <f t="shared" si="173"/>
        <v>0</v>
      </c>
      <c r="BL663" s="1">
        <f t="shared" si="174"/>
        <v>0</v>
      </c>
      <c r="BM663" s="10" t="str">
        <f t="shared" si="175"/>
        <v/>
      </c>
      <c r="BN663" s="52">
        <f t="shared" si="176"/>
        <v>0</v>
      </c>
      <c r="BO663" s="52">
        <f t="shared" si="177"/>
        <v>0</v>
      </c>
      <c r="BP663" s="1">
        <f t="shared" si="178"/>
        <v>0</v>
      </c>
      <c r="BQ663" s="1">
        <f t="shared" si="179"/>
        <v>0</v>
      </c>
      <c r="BR663" s="1" t="str">
        <f t="shared" si="180"/>
        <v/>
      </c>
      <c r="BS663" s="1">
        <f t="shared" si="181"/>
        <v>0</v>
      </c>
      <c r="BT663" s="4">
        <f t="shared" si="182"/>
        <v>0</v>
      </c>
      <c r="BU663" s="52">
        <f t="shared" si="183"/>
        <v>0</v>
      </c>
      <c r="BV663" s="1">
        <f t="shared" si="184"/>
        <v>0</v>
      </c>
      <c r="BW663">
        <f t="shared" si="185"/>
        <v>0</v>
      </c>
      <c r="BX663">
        <f t="shared" si="186"/>
        <v>0</v>
      </c>
    </row>
    <row r="664" spans="58:76" x14ac:dyDescent="0.25">
      <c r="BF664" s="1" t="e">
        <f>VLOOKUP(N664,'Incoming Material Report'!H:M,6,FALSE)</f>
        <v>#N/A</v>
      </c>
      <c r="BG664" s="1" t="e">
        <f>IF(VLOOKUP(N664,'Incoming Material Report'!H:N,7,FALSE)=0,"",VLOOKUP(N664,'Incoming Material Report'!H:N,7,FALSE))</f>
        <v>#N/A</v>
      </c>
      <c r="BH664" s="52">
        <f t="shared" si="170"/>
        <v>0</v>
      </c>
      <c r="BI664" s="1">
        <f t="shared" si="171"/>
        <v>0</v>
      </c>
      <c r="BJ664" s="1">
        <f t="shared" si="172"/>
        <v>0</v>
      </c>
      <c r="BK664" s="1">
        <f t="shared" si="173"/>
        <v>0</v>
      </c>
      <c r="BL664" s="1">
        <f t="shared" si="174"/>
        <v>0</v>
      </c>
      <c r="BM664" s="10" t="str">
        <f t="shared" si="175"/>
        <v/>
      </c>
      <c r="BN664" s="52">
        <f t="shared" si="176"/>
        <v>0</v>
      </c>
      <c r="BO664" s="52">
        <f t="shared" si="177"/>
        <v>0</v>
      </c>
      <c r="BP664" s="1">
        <f t="shared" si="178"/>
        <v>0</v>
      </c>
      <c r="BQ664" s="1">
        <f t="shared" si="179"/>
        <v>0</v>
      </c>
      <c r="BR664" s="1" t="str">
        <f t="shared" si="180"/>
        <v/>
      </c>
      <c r="BS664" s="1">
        <f t="shared" si="181"/>
        <v>0</v>
      </c>
      <c r="BT664" s="4">
        <f t="shared" si="182"/>
        <v>0</v>
      </c>
      <c r="BU664" s="52">
        <f t="shared" si="183"/>
        <v>0</v>
      </c>
      <c r="BV664" s="1">
        <f t="shared" si="184"/>
        <v>0</v>
      </c>
      <c r="BW664">
        <f t="shared" si="185"/>
        <v>0</v>
      </c>
      <c r="BX664">
        <f t="shared" si="186"/>
        <v>0</v>
      </c>
    </row>
    <row r="665" spans="58:76" x14ac:dyDescent="0.25">
      <c r="BF665" s="1" t="e">
        <f>VLOOKUP(N665,'Incoming Material Report'!H:M,6,FALSE)</f>
        <v>#N/A</v>
      </c>
      <c r="BG665" s="1" t="e">
        <f>IF(VLOOKUP(N665,'Incoming Material Report'!H:N,7,FALSE)=0,"",VLOOKUP(N665,'Incoming Material Report'!H:N,7,FALSE))</f>
        <v>#N/A</v>
      </c>
      <c r="BH665" s="52">
        <f t="shared" si="170"/>
        <v>0</v>
      </c>
      <c r="BI665" s="1">
        <f t="shared" si="171"/>
        <v>0</v>
      </c>
      <c r="BJ665" s="1">
        <f t="shared" si="172"/>
        <v>0</v>
      </c>
      <c r="BK665" s="1">
        <f t="shared" si="173"/>
        <v>0</v>
      </c>
      <c r="BL665" s="1">
        <f t="shared" si="174"/>
        <v>0</v>
      </c>
      <c r="BM665" s="10" t="str">
        <f t="shared" si="175"/>
        <v/>
      </c>
      <c r="BN665" s="52">
        <f t="shared" si="176"/>
        <v>0</v>
      </c>
      <c r="BO665" s="52">
        <f t="shared" si="177"/>
        <v>0</v>
      </c>
      <c r="BP665" s="1">
        <f t="shared" si="178"/>
        <v>0</v>
      </c>
      <c r="BQ665" s="1">
        <f t="shared" si="179"/>
        <v>0</v>
      </c>
      <c r="BR665" s="1" t="str">
        <f t="shared" si="180"/>
        <v/>
      </c>
      <c r="BS665" s="1">
        <f t="shared" si="181"/>
        <v>0</v>
      </c>
      <c r="BT665" s="4">
        <f t="shared" si="182"/>
        <v>0</v>
      </c>
      <c r="BU665" s="52">
        <f t="shared" si="183"/>
        <v>0</v>
      </c>
      <c r="BV665" s="1">
        <f t="shared" si="184"/>
        <v>0</v>
      </c>
      <c r="BW665">
        <f t="shared" si="185"/>
        <v>0</v>
      </c>
      <c r="BX665">
        <f t="shared" si="186"/>
        <v>0</v>
      </c>
    </row>
    <row r="666" spans="58:76" x14ac:dyDescent="0.25">
      <c r="BF666" s="1" t="e">
        <f>VLOOKUP(N666,'Incoming Material Report'!H:M,6,FALSE)</f>
        <v>#N/A</v>
      </c>
      <c r="BG666" s="1" t="e">
        <f>IF(VLOOKUP(N666,'Incoming Material Report'!H:N,7,FALSE)=0,"",VLOOKUP(N666,'Incoming Material Report'!H:N,7,FALSE))</f>
        <v>#N/A</v>
      </c>
      <c r="BH666" s="52">
        <f t="shared" si="170"/>
        <v>0</v>
      </c>
      <c r="BI666" s="1">
        <f t="shared" si="171"/>
        <v>0</v>
      </c>
      <c r="BJ666" s="1">
        <f t="shared" si="172"/>
        <v>0</v>
      </c>
      <c r="BK666" s="1">
        <f t="shared" si="173"/>
        <v>0</v>
      </c>
      <c r="BL666" s="1">
        <f t="shared" si="174"/>
        <v>0</v>
      </c>
      <c r="BM666" s="10" t="str">
        <f t="shared" si="175"/>
        <v/>
      </c>
      <c r="BN666" s="52">
        <f t="shared" si="176"/>
        <v>0</v>
      </c>
      <c r="BO666" s="52">
        <f t="shared" si="177"/>
        <v>0</v>
      </c>
      <c r="BP666" s="1">
        <f t="shared" si="178"/>
        <v>0</v>
      </c>
      <c r="BQ666" s="1">
        <f t="shared" si="179"/>
        <v>0</v>
      </c>
      <c r="BR666" s="1" t="str">
        <f t="shared" si="180"/>
        <v/>
      </c>
      <c r="BS666" s="1">
        <f t="shared" si="181"/>
        <v>0</v>
      </c>
      <c r="BT666" s="4">
        <f t="shared" si="182"/>
        <v>0</v>
      </c>
      <c r="BU666" s="52">
        <f t="shared" si="183"/>
        <v>0</v>
      </c>
      <c r="BV666" s="1">
        <f t="shared" si="184"/>
        <v>0</v>
      </c>
      <c r="BW666">
        <f t="shared" si="185"/>
        <v>0</v>
      </c>
      <c r="BX666">
        <f t="shared" si="186"/>
        <v>0</v>
      </c>
    </row>
    <row r="667" spans="58:76" x14ac:dyDescent="0.25">
      <c r="BF667" s="1" t="e">
        <f>VLOOKUP(N667,'Incoming Material Report'!H:M,6,FALSE)</f>
        <v>#N/A</v>
      </c>
      <c r="BG667" s="1" t="e">
        <f>IF(VLOOKUP(N667,'Incoming Material Report'!H:N,7,FALSE)=0,"",VLOOKUP(N667,'Incoming Material Report'!H:N,7,FALSE))</f>
        <v>#N/A</v>
      </c>
      <c r="BH667" s="52">
        <f t="shared" si="170"/>
        <v>0</v>
      </c>
      <c r="BI667" s="1">
        <f t="shared" si="171"/>
        <v>0</v>
      </c>
      <c r="BJ667" s="1">
        <f t="shared" si="172"/>
        <v>0</v>
      </c>
      <c r="BK667" s="1">
        <f t="shared" si="173"/>
        <v>0</v>
      </c>
      <c r="BL667" s="1">
        <f t="shared" si="174"/>
        <v>0</v>
      </c>
      <c r="BM667" s="10" t="str">
        <f t="shared" si="175"/>
        <v/>
      </c>
      <c r="BN667" s="52">
        <f t="shared" si="176"/>
        <v>0</v>
      </c>
      <c r="BO667" s="52">
        <f t="shared" si="177"/>
        <v>0</v>
      </c>
      <c r="BP667" s="1">
        <f t="shared" si="178"/>
        <v>0</v>
      </c>
      <c r="BQ667" s="1">
        <f t="shared" si="179"/>
        <v>0</v>
      </c>
      <c r="BR667" s="1" t="str">
        <f t="shared" si="180"/>
        <v/>
      </c>
      <c r="BS667" s="1">
        <f t="shared" si="181"/>
        <v>0</v>
      </c>
      <c r="BT667" s="4">
        <f t="shared" si="182"/>
        <v>0</v>
      </c>
      <c r="BU667" s="52">
        <f t="shared" si="183"/>
        <v>0</v>
      </c>
      <c r="BV667" s="1">
        <f t="shared" si="184"/>
        <v>0</v>
      </c>
      <c r="BW667">
        <f t="shared" si="185"/>
        <v>0</v>
      </c>
      <c r="BX667">
        <f t="shared" si="186"/>
        <v>0</v>
      </c>
    </row>
    <row r="668" spans="58:76" x14ac:dyDescent="0.25">
      <c r="BF668" s="1" t="e">
        <f>VLOOKUP(N668,'Incoming Material Report'!H:M,6,FALSE)</f>
        <v>#N/A</v>
      </c>
      <c r="BG668" s="1" t="e">
        <f>IF(VLOOKUP(N668,'Incoming Material Report'!H:N,7,FALSE)=0,"",VLOOKUP(N668,'Incoming Material Report'!H:N,7,FALSE))</f>
        <v>#N/A</v>
      </c>
      <c r="BH668" s="52">
        <f t="shared" si="170"/>
        <v>0</v>
      </c>
      <c r="BI668" s="1">
        <f t="shared" si="171"/>
        <v>0</v>
      </c>
      <c r="BJ668" s="1">
        <f t="shared" si="172"/>
        <v>0</v>
      </c>
      <c r="BK668" s="1">
        <f t="shared" si="173"/>
        <v>0</v>
      </c>
      <c r="BL668" s="1">
        <f t="shared" si="174"/>
        <v>0</v>
      </c>
      <c r="BM668" s="10" t="str">
        <f t="shared" si="175"/>
        <v/>
      </c>
      <c r="BN668" s="52">
        <f t="shared" si="176"/>
        <v>0</v>
      </c>
      <c r="BO668" s="52">
        <f t="shared" si="177"/>
        <v>0</v>
      </c>
      <c r="BP668" s="1">
        <f t="shared" si="178"/>
        <v>0</v>
      </c>
      <c r="BQ668" s="1">
        <f t="shared" si="179"/>
        <v>0</v>
      </c>
      <c r="BR668" s="1" t="str">
        <f t="shared" si="180"/>
        <v/>
      </c>
      <c r="BS668" s="1">
        <f t="shared" si="181"/>
        <v>0</v>
      </c>
      <c r="BT668" s="4">
        <f t="shared" si="182"/>
        <v>0</v>
      </c>
      <c r="BU668" s="52">
        <f t="shared" si="183"/>
        <v>0</v>
      </c>
      <c r="BV668" s="1">
        <f t="shared" si="184"/>
        <v>0</v>
      </c>
      <c r="BW668">
        <f t="shared" si="185"/>
        <v>0</v>
      </c>
      <c r="BX668">
        <f t="shared" si="186"/>
        <v>0</v>
      </c>
    </row>
    <row r="669" spans="58:76" x14ac:dyDescent="0.25">
      <c r="BF669" s="1" t="e">
        <f>VLOOKUP(N669,'Incoming Material Report'!H:M,6,FALSE)</f>
        <v>#N/A</v>
      </c>
      <c r="BG669" s="1" t="e">
        <f>IF(VLOOKUP(N669,'Incoming Material Report'!H:N,7,FALSE)=0,"",VLOOKUP(N669,'Incoming Material Report'!H:N,7,FALSE))</f>
        <v>#N/A</v>
      </c>
      <c r="BH669" s="52">
        <f t="shared" si="170"/>
        <v>0</v>
      </c>
      <c r="BI669" s="1">
        <f t="shared" si="171"/>
        <v>0</v>
      </c>
      <c r="BJ669" s="1">
        <f t="shared" si="172"/>
        <v>0</v>
      </c>
      <c r="BK669" s="1">
        <f t="shared" si="173"/>
        <v>0</v>
      </c>
      <c r="BL669" s="1">
        <f t="shared" si="174"/>
        <v>0</v>
      </c>
      <c r="BM669" s="10" t="str">
        <f t="shared" si="175"/>
        <v/>
      </c>
      <c r="BN669" s="52">
        <f t="shared" si="176"/>
        <v>0</v>
      </c>
      <c r="BO669" s="52">
        <f t="shared" si="177"/>
        <v>0</v>
      </c>
      <c r="BP669" s="1">
        <f t="shared" si="178"/>
        <v>0</v>
      </c>
      <c r="BQ669" s="1">
        <f t="shared" si="179"/>
        <v>0</v>
      </c>
      <c r="BR669" s="1" t="str">
        <f t="shared" si="180"/>
        <v/>
      </c>
      <c r="BS669" s="1">
        <f t="shared" si="181"/>
        <v>0</v>
      </c>
      <c r="BT669" s="4">
        <f t="shared" si="182"/>
        <v>0</v>
      </c>
      <c r="BU669" s="52">
        <f t="shared" si="183"/>
        <v>0</v>
      </c>
      <c r="BV669" s="1">
        <f t="shared" si="184"/>
        <v>0</v>
      </c>
      <c r="BW669">
        <f t="shared" si="185"/>
        <v>0</v>
      </c>
      <c r="BX669">
        <f t="shared" si="186"/>
        <v>0</v>
      </c>
    </row>
    <row r="670" spans="58:76" x14ac:dyDescent="0.25">
      <c r="BF670" s="1" t="e">
        <f>VLOOKUP(N670,'Incoming Material Report'!H:M,6,FALSE)</f>
        <v>#N/A</v>
      </c>
      <c r="BG670" s="1" t="e">
        <f>IF(VLOOKUP(N670,'Incoming Material Report'!H:N,7,FALSE)=0,"",VLOOKUP(N670,'Incoming Material Report'!H:N,7,FALSE))</f>
        <v>#N/A</v>
      </c>
      <c r="BH670" s="52">
        <f t="shared" si="170"/>
        <v>0</v>
      </c>
      <c r="BI670" s="1">
        <f t="shared" si="171"/>
        <v>0</v>
      </c>
      <c r="BJ670" s="1">
        <f t="shared" si="172"/>
        <v>0</v>
      </c>
      <c r="BK670" s="1">
        <f t="shared" si="173"/>
        <v>0</v>
      </c>
      <c r="BL670" s="1">
        <f t="shared" si="174"/>
        <v>0</v>
      </c>
      <c r="BM670" s="10" t="str">
        <f t="shared" si="175"/>
        <v/>
      </c>
      <c r="BN670" s="52">
        <f t="shared" si="176"/>
        <v>0</v>
      </c>
      <c r="BO670" s="52">
        <f t="shared" si="177"/>
        <v>0</v>
      </c>
      <c r="BP670" s="1">
        <f t="shared" si="178"/>
        <v>0</v>
      </c>
      <c r="BQ670" s="1">
        <f t="shared" si="179"/>
        <v>0</v>
      </c>
      <c r="BR670" s="1" t="str">
        <f t="shared" si="180"/>
        <v/>
      </c>
      <c r="BS670" s="1">
        <f t="shared" si="181"/>
        <v>0</v>
      </c>
      <c r="BT670" s="4">
        <f t="shared" si="182"/>
        <v>0</v>
      </c>
      <c r="BU670" s="52">
        <f t="shared" si="183"/>
        <v>0</v>
      </c>
      <c r="BV670" s="1">
        <f t="shared" si="184"/>
        <v>0</v>
      </c>
      <c r="BW670">
        <f t="shared" si="185"/>
        <v>0</v>
      </c>
      <c r="BX670">
        <f t="shared" si="186"/>
        <v>0</v>
      </c>
    </row>
    <row r="671" spans="58:76" x14ac:dyDescent="0.25">
      <c r="BF671" s="1" t="e">
        <f>VLOOKUP(N671,'Incoming Material Report'!H:M,6,FALSE)</f>
        <v>#N/A</v>
      </c>
      <c r="BG671" s="1" t="e">
        <f>IF(VLOOKUP(N671,'Incoming Material Report'!H:N,7,FALSE)=0,"",VLOOKUP(N671,'Incoming Material Report'!H:N,7,FALSE))</f>
        <v>#N/A</v>
      </c>
      <c r="BH671" s="52">
        <f t="shared" si="170"/>
        <v>0</v>
      </c>
      <c r="BI671" s="1">
        <f t="shared" si="171"/>
        <v>0</v>
      </c>
      <c r="BJ671" s="1">
        <f t="shared" si="172"/>
        <v>0</v>
      </c>
      <c r="BK671" s="1">
        <f t="shared" si="173"/>
        <v>0</v>
      </c>
      <c r="BL671" s="1">
        <f t="shared" si="174"/>
        <v>0</v>
      </c>
      <c r="BM671" s="10" t="str">
        <f t="shared" si="175"/>
        <v/>
      </c>
      <c r="BN671" s="52">
        <f t="shared" si="176"/>
        <v>0</v>
      </c>
      <c r="BO671" s="52">
        <f t="shared" si="177"/>
        <v>0</v>
      </c>
      <c r="BP671" s="1">
        <f t="shared" si="178"/>
        <v>0</v>
      </c>
      <c r="BQ671" s="1">
        <f t="shared" si="179"/>
        <v>0</v>
      </c>
      <c r="BR671" s="1" t="str">
        <f t="shared" si="180"/>
        <v/>
      </c>
      <c r="BS671" s="1">
        <f t="shared" si="181"/>
        <v>0</v>
      </c>
      <c r="BT671" s="4">
        <f t="shared" si="182"/>
        <v>0</v>
      </c>
      <c r="BU671" s="52">
        <f t="shared" si="183"/>
        <v>0</v>
      </c>
      <c r="BV671" s="1">
        <f t="shared" si="184"/>
        <v>0</v>
      </c>
      <c r="BW671">
        <f t="shared" si="185"/>
        <v>0</v>
      </c>
      <c r="BX671">
        <f t="shared" si="186"/>
        <v>0</v>
      </c>
    </row>
    <row r="672" spans="58:76" x14ac:dyDescent="0.25">
      <c r="BF672" s="1" t="e">
        <f>VLOOKUP(N672,'Incoming Material Report'!H:M,6,FALSE)</f>
        <v>#N/A</v>
      </c>
      <c r="BG672" s="1" t="e">
        <f>IF(VLOOKUP(N672,'Incoming Material Report'!H:N,7,FALSE)=0,"",VLOOKUP(N672,'Incoming Material Report'!H:N,7,FALSE))</f>
        <v>#N/A</v>
      </c>
      <c r="BH672" s="52">
        <f t="shared" si="170"/>
        <v>0</v>
      </c>
      <c r="BI672" s="1">
        <f t="shared" si="171"/>
        <v>0</v>
      </c>
      <c r="BJ672" s="1">
        <f t="shared" si="172"/>
        <v>0</v>
      </c>
      <c r="BK672" s="1">
        <f t="shared" si="173"/>
        <v>0</v>
      </c>
      <c r="BL672" s="1">
        <f t="shared" si="174"/>
        <v>0</v>
      </c>
      <c r="BM672" s="10" t="str">
        <f t="shared" si="175"/>
        <v/>
      </c>
      <c r="BN672" s="52">
        <f t="shared" si="176"/>
        <v>0</v>
      </c>
      <c r="BO672" s="52">
        <f t="shared" si="177"/>
        <v>0</v>
      </c>
      <c r="BP672" s="1">
        <f t="shared" si="178"/>
        <v>0</v>
      </c>
      <c r="BQ672" s="1">
        <f t="shared" si="179"/>
        <v>0</v>
      </c>
      <c r="BR672" s="1" t="str">
        <f t="shared" si="180"/>
        <v/>
      </c>
      <c r="BS672" s="1">
        <f t="shared" si="181"/>
        <v>0</v>
      </c>
      <c r="BT672" s="4">
        <f t="shared" si="182"/>
        <v>0</v>
      </c>
      <c r="BU672" s="52">
        <f t="shared" si="183"/>
        <v>0</v>
      </c>
      <c r="BV672" s="1">
        <f t="shared" si="184"/>
        <v>0</v>
      </c>
      <c r="BW672">
        <f t="shared" si="185"/>
        <v>0</v>
      </c>
      <c r="BX672">
        <f t="shared" si="186"/>
        <v>0</v>
      </c>
    </row>
    <row r="673" spans="58:76" x14ac:dyDescent="0.25">
      <c r="BF673" s="1" t="e">
        <f>VLOOKUP(N673,'Incoming Material Report'!H:M,6,FALSE)</f>
        <v>#N/A</v>
      </c>
      <c r="BG673" s="1" t="e">
        <f>IF(VLOOKUP(N673,'Incoming Material Report'!H:N,7,FALSE)=0,"",VLOOKUP(N673,'Incoming Material Report'!H:N,7,FALSE))</f>
        <v>#N/A</v>
      </c>
      <c r="BH673" s="52">
        <f t="shared" si="170"/>
        <v>0</v>
      </c>
      <c r="BI673" s="1">
        <f t="shared" si="171"/>
        <v>0</v>
      </c>
      <c r="BJ673" s="1">
        <f t="shared" si="172"/>
        <v>0</v>
      </c>
      <c r="BK673" s="1">
        <f t="shared" si="173"/>
        <v>0</v>
      </c>
      <c r="BL673" s="1">
        <f t="shared" si="174"/>
        <v>0</v>
      </c>
      <c r="BM673" s="10" t="str">
        <f t="shared" si="175"/>
        <v/>
      </c>
      <c r="BN673" s="52">
        <f t="shared" si="176"/>
        <v>0</v>
      </c>
      <c r="BO673" s="52">
        <f t="shared" si="177"/>
        <v>0</v>
      </c>
      <c r="BP673" s="1">
        <f t="shared" si="178"/>
        <v>0</v>
      </c>
      <c r="BQ673" s="1">
        <f t="shared" si="179"/>
        <v>0</v>
      </c>
      <c r="BR673" s="1" t="str">
        <f t="shared" si="180"/>
        <v/>
      </c>
      <c r="BS673" s="1">
        <f t="shared" si="181"/>
        <v>0</v>
      </c>
      <c r="BT673" s="4">
        <f t="shared" si="182"/>
        <v>0</v>
      </c>
      <c r="BU673" s="52">
        <f t="shared" si="183"/>
        <v>0</v>
      </c>
      <c r="BV673" s="1">
        <f t="shared" si="184"/>
        <v>0</v>
      </c>
      <c r="BW673">
        <f t="shared" si="185"/>
        <v>0</v>
      </c>
      <c r="BX673">
        <f t="shared" si="186"/>
        <v>0</v>
      </c>
    </row>
    <row r="674" spans="58:76" x14ac:dyDescent="0.25">
      <c r="BF674" s="1" t="e">
        <f>VLOOKUP(N674,'Incoming Material Report'!H:M,6,FALSE)</f>
        <v>#N/A</v>
      </c>
      <c r="BG674" s="1" t="e">
        <f>IF(VLOOKUP(N674,'Incoming Material Report'!H:N,7,FALSE)=0,"",VLOOKUP(N674,'Incoming Material Report'!H:N,7,FALSE))</f>
        <v>#N/A</v>
      </c>
      <c r="BH674" s="52">
        <f t="shared" si="170"/>
        <v>0</v>
      </c>
      <c r="BI674" s="1">
        <f t="shared" si="171"/>
        <v>0</v>
      </c>
      <c r="BJ674" s="1">
        <f t="shared" si="172"/>
        <v>0</v>
      </c>
      <c r="BK674" s="1">
        <f t="shared" si="173"/>
        <v>0</v>
      </c>
      <c r="BL674" s="1">
        <f t="shared" si="174"/>
        <v>0</v>
      </c>
      <c r="BM674" s="10" t="str">
        <f t="shared" si="175"/>
        <v/>
      </c>
      <c r="BN674" s="52">
        <f t="shared" si="176"/>
        <v>0</v>
      </c>
      <c r="BO674" s="52">
        <f t="shared" si="177"/>
        <v>0</v>
      </c>
      <c r="BP674" s="1">
        <f t="shared" si="178"/>
        <v>0</v>
      </c>
      <c r="BQ674" s="1">
        <f t="shared" si="179"/>
        <v>0</v>
      </c>
      <c r="BR674" s="1" t="str">
        <f t="shared" si="180"/>
        <v/>
      </c>
      <c r="BS674" s="1">
        <f t="shared" si="181"/>
        <v>0</v>
      </c>
      <c r="BT674" s="4">
        <f t="shared" si="182"/>
        <v>0</v>
      </c>
      <c r="BU674" s="52">
        <f t="shared" si="183"/>
        <v>0</v>
      </c>
      <c r="BV674" s="1">
        <f t="shared" si="184"/>
        <v>0</v>
      </c>
      <c r="BW674">
        <f t="shared" si="185"/>
        <v>0</v>
      </c>
      <c r="BX674">
        <f t="shared" si="186"/>
        <v>0</v>
      </c>
    </row>
    <row r="675" spans="58:76" x14ac:dyDescent="0.25">
      <c r="BF675" s="1" t="e">
        <f>VLOOKUP(N675,'Incoming Material Report'!H:M,6,FALSE)</f>
        <v>#N/A</v>
      </c>
      <c r="BG675" s="1" t="e">
        <f>IF(VLOOKUP(N675,'Incoming Material Report'!H:N,7,FALSE)=0,"",VLOOKUP(N675,'Incoming Material Report'!H:N,7,FALSE))</f>
        <v>#N/A</v>
      </c>
      <c r="BH675" s="52">
        <f t="shared" si="170"/>
        <v>0</v>
      </c>
      <c r="BI675" s="1">
        <f t="shared" si="171"/>
        <v>0</v>
      </c>
      <c r="BJ675" s="1">
        <f t="shared" si="172"/>
        <v>0</v>
      </c>
      <c r="BK675" s="1">
        <f t="shared" si="173"/>
        <v>0</v>
      </c>
      <c r="BL675" s="1">
        <f t="shared" si="174"/>
        <v>0</v>
      </c>
      <c r="BM675" s="10" t="str">
        <f t="shared" si="175"/>
        <v/>
      </c>
      <c r="BN675" s="52">
        <f t="shared" si="176"/>
        <v>0</v>
      </c>
      <c r="BO675" s="52">
        <f t="shared" si="177"/>
        <v>0</v>
      </c>
      <c r="BP675" s="1">
        <f t="shared" si="178"/>
        <v>0</v>
      </c>
      <c r="BQ675" s="1">
        <f t="shared" si="179"/>
        <v>0</v>
      </c>
      <c r="BR675" s="1" t="str">
        <f t="shared" si="180"/>
        <v/>
      </c>
      <c r="BS675" s="1">
        <f t="shared" si="181"/>
        <v>0</v>
      </c>
      <c r="BT675" s="4">
        <f t="shared" si="182"/>
        <v>0</v>
      </c>
      <c r="BU675" s="52">
        <f t="shared" si="183"/>
        <v>0</v>
      </c>
      <c r="BV675" s="1">
        <f t="shared" si="184"/>
        <v>0</v>
      </c>
      <c r="BW675">
        <f t="shared" si="185"/>
        <v>0</v>
      </c>
      <c r="BX675">
        <f t="shared" si="186"/>
        <v>0</v>
      </c>
    </row>
    <row r="676" spans="58:76" x14ac:dyDescent="0.25">
      <c r="BF676" s="1" t="e">
        <f>VLOOKUP(N676,'Incoming Material Report'!H:M,6,FALSE)</f>
        <v>#N/A</v>
      </c>
      <c r="BG676" s="1" t="e">
        <f>IF(VLOOKUP(N676,'Incoming Material Report'!H:N,7,FALSE)=0,"",VLOOKUP(N676,'Incoming Material Report'!H:N,7,FALSE))</f>
        <v>#N/A</v>
      </c>
      <c r="BH676" s="52">
        <f t="shared" si="170"/>
        <v>0</v>
      </c>
      <c r="BI676" s="1">
        <f t="shared" si="171"/>
        <v>0</v>
      </c>
      <c r="BJ676" s="1">
        <f t="shared" si="172"/>
        <v>0</v>
      </c>
      <c r="BK676" s="1">
        <f t="shared" si="173"/>
        <v>0</v>
      </c>
      <c r="BL676" s="1">
        <f t="shared" si="174"/>
        <v>0</v>
      </c>
      <c r="BM676" s="10" t="str">
        <f t="shared" si="175"/>
        <v/>
      </c>
      <c r="BN676" s="52">
        <f t="shared" si="176"/>
        <v>0</v>
      </c>
      <c r="BO676" s="52">
        <f t="shared" si="177"/>
        <v>0</v>
      </c>
      <c r="BP676" s="1">
        <f t="shared" si="178"/>
        <v>0</v>
      </c>
      <c r="BQ676" s="1">
        <f t="shared" si="179"/>
        <v>0</v>
      </c>
      <c r="BR676" s="1" t="str">
        <f t="shared" si="180"/>
        <v/>
      </c>
      <c r="BS676" s="1">
        <f t="shared" si="181"/>
        <v>0</v>
      </c>
      <c r="BT676" s="4">
        <f t="shared" si="182"/>
        <v>0</v>
      </c>
      <c r="BU676" s="52">
        <f t="shared" si="183"/>
        <v>0</v>
      </c>
      <c r="BV676" s="1">
        <f t="shared" si="184"/>
        <v>0</v>
      </c>
      <c r="BW676">
        <f t="shared" si="185"/>
        <v>0</v>
      </c>
      <c r="BX676">
        <f t="shared" si="186"/>
        <v>0</v>
      </c>
    </row>
    <row r="677" spans="58:76" x14ac:dyDescent="0.25">
      <c r="BF677" s="1" t="e">
        <f>VLOOKUP(N677,'Incoming Material Report'!H:M,6,FALSE)</f>
        <v>#N/A</v>
      </c>
      <c r="BG677" s="1" t="e">
        <f>IF(VLOOKUP(N677,'Incoming Material Report'!H:N,7,FALSE)=0,"",VLOOKUP(N677,'Incoming Material Report'!H:N,7,FALSE))</f>
        <v>#N/A</v>
      </c>
      <c r="BH677" s="52">
        <f t="shared" si="170"/>
        <v>0</v>
      </c>
      <c r="BI677" s="1">
        <f t="shared" si="171"/>
        <v>0</v>
      </c>
      <c r="BJ677" s="1">
        <f t="shared" si="172"/>
        <v>0</v>
      </c>
      <c r="BK677" s="1">
        <f t="shared" si="173"/>
        <v>0</v>
      </c>
      <c r="BL677" s="1">
        <f t="shared" si="174"/>
        <v>0</v>
      </c>
      <c r="BM677" s="10" t="str">
        <f t="shared" si="175"/>
        <v/>
      </c>
      <c r="BN677" s="52">
        <f t="shared" si="176"/>
        <v>0</v>
      </c>
      <c r="BO677" s="52">
        <f t="shared" si="177"/>
        <v>0</v>
      </c>
      <c r="BP677" s="1">
        <f t="shared" si="178"/>
        <v>0</v>
      </c>
      <c r="BQ677" s="1">
        <f t="shared" si="179"/>
        <v>0</v>
      </c>
      <c r="BR677" s="1" t="str">
        <f t="shared" si="180"/>
        <v/>
      </c>
      <c r="BS677" s="1">
        <f t="shared" si="181"/>
        <v>0</v>
      </c>
      <c r="BT677" s="4">
        <f t="shared" si="182"/>
        <v>0</v>
      </c>
      <c r="BU677" s="52">
        <f t="shared" si="183"/>
        <v>0</v>
      </c>
      <c r="BV677" s="1">
        <f t="shared" si="184"/>
        <v>0</v>
      </c>
      <c r="BW677">
        <f t="shared" si="185"/>
        <v>0</v>
      </c>
      <c r="BX677">
        <f t="shared" si="186"/>
        <v>0</v>
      </c>
    </row>
    <row r="678" spans="58:76" x14ac:dyDescent="0.25">
      <c r="BF678" s="1" t="e">
        <f>VLOOKUP(N678,'Incoming Material Report'!H:M,6,FALSE)</f>
        <v>#N/A</v>
      </c>
      <c r="BG678" s="1" t="e">
        <f>IF(VLOOKUP(N678,'Incoming Material Report'!H:N,7,FALSE)=0,"",VLOOKUP(N678,'Incoming Material Report'!H:N,7,FALSE))</f>
        <v>#N/A</v>
      </c>
      <c r="BH678" s="52">
        <f t="shared" si="170"/>
        <v>0</v>
      </c>
      <c r="BI678" s="1">
        <f t="shared" si="171"/>
        <v>0</v>
      </c>
      <c r="BJ678" s="1">
        <f t="shared" si="172"/>
        <v>0</v>
      </c>
      <c r="BK678" s="1">
        <f t="shared" si="173"/>
        <v>0</v>
      </c>
      <c r="BL678" s="1">
        <f t="shared" si="174"/>
        <v>0</v>
      </c>
      <c r="BM678" s="10" t="str">
        <f t="shared" si="175"/>
        <v/>
      </c>
      <c r="BN678" s="52">
        <f t="shared" si="176"/>
        <v>0</v>
      </c>
      <c r="BO678" s="52">
        <f t="shared" si="177"/>
        <v>0</v>
      </c>
      <c r="BP678" s="1">
        <f t="shared" si="178"/>
        <v>0</v>
      </c>
      <c r="BQ678" s="1">
        <f t="shared" si="179"/>
        <v>0</v>
      </c>
      <c r="BR678" s="1" t="str">
        <f t="shared" si="180"/>
        <v/>
      </c>
      <c r="BS678" s="1">
        <f t="shared" si="181"/>
        <v>0</v>
      </c>
      <c r="BT678" s="4">
        <f t="shared" si="182"/>
        <v>0</v>
      </c>
      <c r="BU678" s="52">
        <f t="shared" si="183"/>
        <v>0</v>
      </c>
      <c r="BV678" s="1">
        <f t="shared" si="184"/>
        <v>0</v>
      </c>
      <c r="BW678">
        <f t="shared" si="185"/>
        <v>0</v>
      </c>
      <c r="BX678">
        <f t="shared" si="186"/>
        <v>0</v>
      </c>
    </row>
    <row r="679" spans="58:76" x14ac:dyDescent="0.25">
      <c r="BF679" s="1" t="e">
        <f>VLOOKUP(N679,'Incoming Material Report'!H:M,6,FALSE)</f>
        <v>#N/A</v>
      </c>
      <c r="BG679" s="1" t="e">
        <f>IF(VLOOKUP(N679,'Incoming Material Report'!H:N,7,FALSE)=0,"",VLOOKUP(N679,'Incoming Material Report'!H:N,7,FALSE))</f>
        <v>#N/A</v>
      </c>
      <c r="BH679" s="52">
        <f t="shared" si="170"/>
        <v>0</v>
      </c>
      <c r="BI679" s="1">
        <f t="shared" si="171"/>
        <v>0</v>
      </c>
      <c r="BJ679" s="1">
        <f t="shared" si="172"/>
        <v>0</v>
      </c>
      <c r="BK679" s="1">
        <f t="shared" si="173"/>
        <v>0</v>
      </c>
      <c r="BL679" s="1">
        <f t="shared" si="174"/>
        <v>0</v>
      </c>
      <c r="BM679" s="10" t="str">
        <f t="shared" si="175"/>
        <v/>
      </c>
      <c r="BN679" s="52">
        <f t="shared" si="176"/>
        <v>0</v>
      </c>
      <c r="BO679" s="52">
        <f t="shared" si="177"/>
        <v>0</v>
      </c>
      <c r="BP679" s="1">
        <f t="shared" si="178"/>
        <v>0</v>
      </c>
      <c r="BQ679" s="1">
        <f t="shared" si="179"/>
        <v>0</v>
      </c>
      <c r="BR679" s="1" t="str">
        <f t="shared" si="180"/>
        <v/>
      </c>
      <c r="BS679" s="1">
        <f t="shared" si="181"/>
        <v>0</v>
      </c>
      <c r="BT679" s="4">
        <f t="shared" si="182"/>
        <v>0</v>
      </c>
      <c r="BU679" s="52">
        <f t="shared" si="183"/>
        <v>0</v>
      </c>
      <c r="BV679" s="1">
        <f t="shared" si="184"/>
        <v>0</v>
      </c>
      <c r="BW679">
        <f t="shared" si="185"/>
        <v>0</v>
      </c>
      <c r="BX679">
        <f t="shared" si="186"/>
        <v>0</v>
      </c>
    </row>
    <row r="680" spans="58:76" x14ac:dyDescent="0.25">
      <c r="BF680" s="1" t="e">
        <f>VLOOKUP(N680,'Incoming Material Report'!H:M,6,FALSE)</f>
        <v>#N/A</v>
      </c>
      <c r="BG680" s="1" t="e">
        <f>IF(VLOOKUP(N680,'Incoming Material Report'!H:N,7,FALSE)=0,"",VLOOKUP(N680,'Incoming Material Report'!H:N,7,FALSE))</f>
        <v>#N/A</v>
      </c>
      <c r="BH680" s="52">
        <f t="shared" si="170"/>
        <v>0</v>
      </c>
      <c r="BI680" s="1">
        <f t="shared" si="171"/>
        <v>0</v>
      </c>
      <c r="BJ680" s="1">
        <f t="shared" si="172"/>
        <v>0</v>
      </c>
      <c r="BK680" s="1">
        <f t="shared" si="173"/>
        <v>0</v>
      </c>
      <c r="BL680" s="1">
        <f t="shared" si="174"/>
        <v>0</v>
      </c>
      <c r="BM680" s="10" t="str">
        <f t="shared" si="175"/>
        <v/>
      </c>
      <c r="BN680" s="52">
        <f t="shared" si="176"/>
        <v>0</v>
      </c>
      <c r="BO680" s="52">
        <f t="shared" si="177"/>
        <v>0</v>
      </c>
      <c r="BP680" s="1">
        <f t="shared" si="178"/>
        <v>0</v>
      </c>
      <c r="BQ680" s="1">
        <f t="shared" si="179"/>
        <v>0</v>
      </c>
      <c r="BR680" s="1" t="str">
        <f t="shared" si="180"/>
        <v/>
      </c>
      <c r="BS680" s="1">
        <f t="shared" si="181"/>
        <v>0</v>
      </c>
      <c r="BT680" s="4">
        <f t="shared" si="182"/>
        <v>0</v>
      </c>
      <c r="BU680" s="52">
        <f t="shared" si="183"/>
        <v>0</v>
      </c>
      <c r="BV680" s="1">
        <f t="shared" si="184"/>
        <v>0</v>
      </c>
      <c r="BW680">
        <f t="shared" si="185"/>
        <v>0</v>
      </c>
      <c r="BX680">
        <f t="shared" si="186"/>
        <v>0</v>
      </c>
    </row>
    <row r="681" spans="58:76" x14ac:dyDescent="0.25">
      <c r="BF681" s="1" t="e">
        <f>VLOOKUP(N681,'Incoming Material Report'!H:M,6,FALSE)</f>
        <v>#N/A</v>
      </c>
      <c r="BG681" s="1" t="e">
        <f>IF(VLOOKUP(N681,'Incoming Material Report'!H:N,7,FALSE)=0,"",VLOOKUP(N681,'Incoming Material Report'!H:N,7,FALSE))</f>
        <v>#N/A</v>
      </c>
      <c r="BH681" s="52">
        <f t="shared" si="170"/>
        <v>0</v>
      </c>
      <c r="BI681" s="1">
        <f t="shared" si="171"/>
        <v>0</v>
      </c>
      <c r="BJ681" s="1">
        <f t="shared" si="172"/>
        <v>0</v>
      </c>
      <c r="BK681" s="1">
        <f t="shared" si="173"/>
        <v>0</v>
      </c>
      <c r="BL681" s="1">
        <f t="shared" si="174"/>
        <v>0</v>
      </c>
      <c r="BM681" s="10" t="str">
        <f t="shared" si="175"/>
        <v/>
      </c>
      <c r="BN681" s="52">
        <f t="shared" si="176"/>
        <v>0</v>
      </c>
      <c r="BO681" s="52">
        <f t="shared" si="177"/>
        <v>0</v>
      </c>
      <c r="BP681" s="1">
        <f t="shared" si="178"/>
        <v>0</v>
      </c>
      <c r="BQ681" s="1">
        <f t="shared" si="179"/>
        <v>0</v>
      </c>
      <c r="BR681" s="1" t="str">
        <f t="shared" si="180"/>
        <v/>
      </c>
      <c r="BS681" s="1">
        <f t="shared" si="181"/>
        <v>0</v>
      </c>
      <c r="BT681" s="4">
        <f t="shared" si="182"/>
        <v>0</v>
      </c>
      <c r="BU681" s="52">
        <f t="shared" si="183"/>
        <v>0</v>
      </c>
      <c r="BV681" s="1">
        <f t="shared" si="184"/>
        <v>0</v>
      </c>
      <c r="BW681">
        <f t="shared" si="185"/>
        <v>0</v>
      </c>
      <c r="BX681">
        <f t="shared" si="186"/>
        <v>0</v>
      </c>
    </row>
    <row r="682" spans="58:76" x14ac:dyDescent="0.25">
      <c r="BF682" s="1" t="e">
        <f>VLOOKUP(N682,'Incoming Material Report'!H:M,6,FALSE)</f>
        <v>#N/A</v>
      </c>
      <c r="BG682" s="1" t="e">
        <f>IF(VLOOKUP(N682,'Incoming Material Report'!H:N,7,FALSE)=0,"",VLOOKUP(N682,'Incoming Material Report'!H:N,7,FALSE))</f>
        <v>#N/A</v>
      </c>
      <c r="BH682" s="52">
        <f t="shared" si="170"/>
        <v>0</v>
      </c>
      <c r="BI682" s="1">
        <f t="shared" si="171"/>
        <v>0</v>
      </c>
      <c r="BJ682" s="1">
        <f t="shared" si="172"/>
        <v>0</v>
      </c>
      <c r="BK682" s="1">
        <f t="shared" si="173"/>
        <v>0</v>
      </c>
      <c r="BL682" s="1">
        <f t="shared" si="174"/>
        <v>0</v>
      </c>
      <c r="BM682" s="10" t="str">
        <f t="shared" si="175"/>
        <v/>
      </c>
      <c r="BN682" s="52">
        <f t="shared" si="176"/>
        <v>0</v>
      </c>
      <c r="BO682" s="52">
        <f t="shared" si="177"/>
        <v>0</v>
      </c>
      <c r="BP682" s="1">
        <f t="shared" si="178"/>
        <v>0</v>
      </c>
      <c r="BQ682" s="1">
        <f t="shared" si="179"/>
        <v>0</v>
      </c>
      <c r="BR682" s="1" t="str">
        <f t="shared" si="180"/>
        <v/>
      </c>
      <c r="BS682" s="1">
        <f t="shared" si="181"/>
        <v>0</v>
      </c>
      <c r="BT682" s="4">
        <f t="shared" si="182"/>
        <v>0</v>
      </c>
      <c r="BU682" s="52">
        <f t="shared" si="183"/>
        <v>0</v>
      </c>
      <c r="BV682" s="1">
        <f t="shared" si="184"/>
        <v>0</v>
      </c>
      <c r="BW682">
        <f t="shared" si="185"/>
        <v>0</v>
      </c>
      <c r="BX682">
        <f t="shared" si="186"/>
        <v>0</v>
      </c>
    </row>
    <row r="683" spans="58:76" x14ac:dyDescent="0.25">
      <c r="BF683" s="1" t="e">
        <f>VLOOKUP(N683,'Incoming Material Report'!H:M,6,FALSE)</f>
        <v>#N/A</v>
      </c>
      <c r="BG683" s="1" t="e">
        <f>IF(VLOOKUP(N683,'Incoming Material Report'!H:N,7,FALSE)=0,"",VLOOKUP(N683,'Incoming Material Report'!H:N,7,FALSE))</f>
        <v>#N/A</v>
      </c>
      <c r="BH683" s="52">
        <f t="shared" si="170"/>
        <v>0</v>
      </c>
      <c r="BI683" s="1">
        <f t="shared" si="171"/>
        <v>0</v>
      </c>
      <c r="BJ683" s="1">
        <f t="shared" si="172"/>
        <v>0</v>
      </c>
      <c r="BK683" s="1">
        <f t="shared" si="173"/>
        <v>0</v>
      </c>
      <c r="BL683" s="1">
        <f t="shared" si="174"/>
        <v>0</v>
      </c>
      <c r="BM683" s="10" t="str">
        <f t="shared" si="175"/>
        <v/>
      </c>
      <c r="BN683" s="52">
        <f t="shared" si="176"/>
        <v>0</v>
      </c>
      <c r="BO683" s="52">
        <f t="shared" si="177"/>
        <v>0</v>
      </c>
      <c r="BP683" s="1">
        <f t="shared" si="178"/>
        <v>0</v>
      </c>
      <c r="BQ683" s="1">
        <f t="shared" si="179"/>
        <v>0</v>
      </c>
      <c r="BR683" s="1" t="str">
        <f t="shared" si="180"/>
        <v/>
      </c>
      <c r="BS683" s="1">
        <f t="shared" si="181"/>
        <v>0</v>
      </c>
      <c r="BT683" s="4">
        <f t="shared" si="182"/>
        <v>0</v>
      </c>
      <c r="BU683" s="52">
        <f t="shared" si="183"/>
        <v>0</v>
      </c>
      <c r="BV683" s="1">
        <f t="shared" si="184"/>
        <v>0</v>
      </c>
      <c r="BW683">
        <f t="shared" si="185"/>
        <v>0</v>
      </c>
      <c r="BX683">
        <f t="shared" si="186"/>
        <v>0</v>
      </c>
    </row>
    <row r="684" spans="58:76" x14ac:dyDescent="0.25">
      <c r="BF684" s="1" t="e">
        <f>VLOOKUP(N684,'Incoming Material Report'!H:M,6,FALSE)</f>
        <v>#N/A</v>
      </c>
      <c r="BG684" s="1" t="e">
        <f>IF(VLOOKUP(N684,'Incoming Material Report'!H:N,7,FALSE)=0,"",VLOOKUP(N684,'Incoming Material Report'!H:N,7,FALSE))</f>
        <v>#N/A</v>
      </c>
      <c r="BH684" s="52">
        <f t="shared" si="170"/>
        <v>0</v>
      </c>
      <c r="BI684" s="1">
        <f t="shared" si="171"/>
        <v>0</v>
      </c>
      <c r="BJ684" s="1">
        <f t="shared" si="172"/>
        <v>0</v>
      </c>
      <c r="BK684" s="1">
        <f t="shared" si="173"/>
        <v>0</v>
      </c>
      <c r="BL684" s="1">
        <f t="shared" si="174"/>
        <v>0</v>
      </c>
      <c r="BM684" s="10" t="str">
        <f t="shared" si="175"/>
        <v/>
      </c>
      <c r="BN684" s="52">
        <f t="shared" si="176"/>
        <v>0</v>
      </c>
      <c r="BO684" s="52">
        <f t="shared" si="177"/>
        <v>0</v>
      </c>
      <c r="BP684" s="1">
        <f t="shared" si="178"/>
        <v>0</v>
      </c>
      <c r="BQ684" s="1">
        <f t="shared" si="179"/>
        <v>0</v>
      </c>
      <c r="BR684" s="1" t="str">
        <f t="shared" si="180"/>
        <v/>
      </c>
      <c r="BS684" s="1">
        <f t="shared" si="181"/>
        <v>0</v>
      </c>
      <c r="BT684" s="4">
        <f t="shared" si="182"/>
        <v>0</v>
      </c>
      <c r="BU684" s="52">
        <f t="shared" si="183"/>
        <v>0</v>
      </c>
      <c r="BV684" s="1">
        <f t="shared" si="184"/>
        <v>0</v>
      </c>
      <c r="BW684">
        <f t="shared" si="185"/>
        <v>0</v>
      </c>
      <c r="BX684">
        <f t="shared" si="186"/>
        <v>0</v>
      </c>
    </row>
    <row r="685" spans="58:76" x14ac:dyDescent="0.25">
      <c r="BF685" s="1" t="e">
        <f>VLOOKUP(N685,'Incoming Material Report'!H:M,6,FALSE)</f>
        <v>#N/A</v>
      </c>
      <c r="BG685" s="1" t="e">
        <f>IF(VLOOKUP(N685,'Incoming Material Report'!H:N,7,FALSE)=0,"",VLOOKUP(N685,'Incoming Material Report'!H:N,7,FALSE))</f>
        <v>#N/A</v>
      </c>
      <c r="BH685" s="52">
        <f t="shared" si="170"/>
        <v>0</v>
      </c>
      <c r="BI685" s="1">
        <f t="shared" si="171"/>
        <v>0</v>
      </c>
      <c r="BJ685" s="1">
        <f t="shared" si="172"/>
        <v>0</v>
      </c>
      <c r="BK685" s="1">
        <f t="shared" si="173"/>
        <v>0</v>
      </c>
      <c r="BL685" s="1">
        <f t="shared" si="174"/>
        <v>0</v>
      </c>
      <c r="BM685" s="10" t="str">
        <f t="shared" si="175"/>
        <v/>
      </c>
      <c r="BN685" s="52">
        <f t="shared" si="176"/>
        <v>0</v>
      </c>
      <c r="BO685" s="52">
        <f t="shared" si="177"/>
        <v>0</v>
      </c>
      <c r="BP685" s="1">
        <f t="shared" si="178"/>
        <v>0</v>
      </c>
      <c r="BQ685" s="1">
        <f t="shared" si="179"/>
        <v>0</v>
      </c>
      <c r="BR685" s="1" t="str">
        <f t="shared" si="180"/>
        <v/>
      </c>
      <c r="BS685" s="1">
        <f t="shared" si="181"/>
        <v>0</v>
      </c>
      <c r="BT685" s="4">
        <f t="shared" si="182"/>
        <v>0</v>
      </c>
      <c r="BU685" s="52">
        <f t="shared" si="183"/>
        <v>0</v>
      </c>
      <c r="BV685" s="1">
        <f t="shared" si="184"/>
        <v>0</v>
      </c>
      <c r="BW685">
        <f t="shared" si="185"/>
        <v>0</v>
      </c>
      <c r="BX685">
        <f t="shared" si="186"/>
        <v>0</v>
      </c>
    </row>
    <row r="686" spans="58:76" x14ac:dyDescent="0.25">
      <c r="BF686" s="1" t="e">
        <f>VLOOKUP(N686,'Incoming Material Report'!H:M,6,FALSE)</f>
        <v>#N/A</v>
      </c>
      <c r="BG686" s="1" t="e">
        <f>IF(VLOOKUP(N686,'Incoming Material Report'!H:N,7,FALSE)=0,"",VLOOKUP(N686,'Incoming Material Report'!H:N,7,FALSE))</f>
        <v>#N/A</v>
      </c>
      <c r="BH686" s="52">
        <f t="shared" si="170"/>
        <v>0</v>
      </c>
      <c r="BI686" s="1">
        <f t="shared" si="171"/>
        <v>0</v>
      </c>
      <c r="BJ686" s="1">
        <f t="shared" si="172"/>
        <v>0</v>
      </c>
      <c r="BK686" s="1">
        <f t="shared" si="173"/>
        <v>0</v>
      </c>
      <c r="BL686" s="1">
        <f t="shared" si="174"/>
        <v>0</v>
      </c>
      <c r="BM686" s="10" t="str">
        <f t="shared" si="175"/>
        <v/>
      </c>
      <c r="BN686" s="52">
        <f t="shared" si="176"/>
        <v>0</v>
      </c>
      <c r="BO686" s="52">
        <f t="shared" si="177"/>
        <v>0</v>
      </c>
      <c r="BP686" s="1">
        <f t="shared" si="178"/>
        <v>0</v>
      </c>
      <c r="BQ686" s="1">
        <f t="shared" si="179"/>
        <v>0</v>
      </c>
      <c r="BR686" s="1" t="str">
        <f t="shared" si="180"/>
        <v/>
      </c>
      <c r="BS686" s="1">
        <f t="shared" si="181"/>
        <v>0</v>
      </c>
      <c r="BT686" s="4">
        <f t="shared" si="182"/>
        <v>0</v>
      </c>
      <c r="BU686" s="52">
        <f t="shared" si="183"/>
        <v>0</v>
      </c>
      <c r="BV686" s="1">
        <f t="shared" si="184"/>
        <v>0</v>
      </c>
      <c r="BW686">
        <f t="shared" si="185"/>
        <v>0</v>
      </c>
      <c r="BX686">
        <f t="shared" si="186"/>
        <v>0</v>
      </c>
    </row>
    <row r="687" spans="58:76" x14ac:dyDescent="0.25">
      <c r="BF687" s="1" t="e">
        <f>VLOOKUP(N687,'Incoming Material Report'!H:M,6,FALSE)</f>
        <v>#N/A</v>
      </c>
      <c r="BG687" s="1" t="e">
        <f>IF(VLOOKUP(N687,'Incoming Material Report'!H:N,7,FALSE)=0,"",VLOOKUP(N687,'Incoming Material Report'!H:N,7,FALSE))</f>
        <v>#N/A</v>
      </c>
      <c r="BH687" s="52">
        <f t="shared" si="170"/>
        <v>0</v>
      </c>
      <c r="BI687" s="1">
        <f t="shared" si="171"/>
        <v>0</v>
      </c>
      <c r="BJ687" s="1">
        <f t="shared" si="172"/>
        <v>0</v>
      </c>
      <c r="BK687" s="1">
        <f t="shared" si="173"/>
        <v>0</v>
      </c>
      <c r="BL687" s="1">
        <f t="shared" si="174"/>
        <v>0</v>
      </c>
      <c r="BM687" s="10" t="str">
        <f t="shared" si="175"/>
        <v/>
      </c>
      <c r="BN687" s="52">
        <f t="shared" si="176"/>
        <v>0</v>
      </c>
      <c r="BO687" s="52">
        <f t="shared" si="177"/>
        <v>0</v>
      </c>
      <c r="BP687" s="1">
        <f t="shared" si="178"/>
        <v>0</v>
      </c>
      <c r="BQ687" s="1">
        <f t="shared" si="179"/>
        <v>0</v>
      </c>
      <c r="BR687" s="1" t="str">
        <f t="shared" si="180"/>
        <v/>
      </c>
      <c r="BS687" s="1">
        <f t="shared" si="181"/>
        <v>0</v>
      </c>
      <c r="BT687" s="4">
        <f t="shared" si="182"/>
        <v>0</v>
      </c>
      <c r="BU687" s="52">
        <f t="shared" si="183"/>
        <v>0</v>
      </c>
      <c r="BV687" s="1">
        <f t="shared" si="184"/>
        <v>0</v>
      </c>
      <c r="BW687">
        <f t="shared" si="185"/>
        <v>0</v>
      </c>
      <c r="BX687">
        <f t="shared" si="186"/>
        <v>0</v>
      </c>
    </row>
    <row r="688" spans="58:76" x14ac:dyDescent="0.25">
      <c r="BF688" s="1" t="e">
        <f>VLOOKUP(N688,'Incoming Material Report'!H:M,6,FALSE)</f>
        <v>#N/A</v>
      </c>
      <c r="BG688" s="1" t="e">
        <f>IF(VLOOKUP(N688,'Incoming Material Report'!H:N,7,FALSE)=0,"",VLOOKUP(N688,'Incoming Material Report'!H:N,7,FALSE))</f>
        <v>#N/A</v>
      </c>
      <c r="BH688" s="52">
        <f t="shared" si="170"/>
        <v>0</v>
      </c>
      <c r="BI688" s="1">
        <f t="shared" si="171"/>
        <v>0</v>
      </c>
      <c r="BJ688" s="1">
        <f t="shared" si="172"/>
        <v>0</v>
      </c>
      <c r="BK688" s="1">
        <f t="shared" si="173"/>
        <v>0</v>
      </c>
      <c r="BL688" s="1">
        <f t="shared" si="174"/>
        <v>0</v>
      </c>
      <c r="BM688" s="10" t="str">
        <f t="shared" si="175"/>
        <v/>
      </c>
      <c r="BN688" s="52">
        <f t="shared" si="176"/>
        <v>0</v>
      </c>
      <c r="BO688" s="52">
        <f t="shared" si="177"/>
        <v>0</v>
      </c>
      <c r="BP688" s="1">
        <f t="shared" si="178"/>
        <v>0</v>
      </c>
      <c r="BQ688" s="1">
        <f t="shared" si="179"/>
        <v>0</v>
      </c>
      <c r="BR688" s="1" t="str">
        <f t="shared" si="180"/>
        <v/>
      </c>
      <c r="BS688" s="1">
        <f t="shared" si="181"/>
        <v>0</v>
      </c>
      <c r="BT688" s="4">
        <f t="shared" si="182"/>
        <v>0</v>
      </c>
      <c r="BU688" s="52">
        <f t="shared" si="183"/>
        <v>0</v>
      </c>
      <c r="BV688" s="1">
        <f t="shared" si="184"/>
        <v>0</v>
      </c>
      <c r="BW688">
        <f t="shared" si="185"/>
        <v>0</v>
      </c>
      <c r="BX688">
        <f t="shared" si="186"/>
        <v>0</v>
      </c>
    </row>
    <row r="689" spans="58:76" x14ac:dyDescent="0.25">
      <c r="BF689" s="1" t="e">
        <f>VLOOKUP(N689,'Incoming Material Report'!H:M,6,FALSE)</f>
        <v>#N/A</v>
      </c>
      <c r="BG689" s="1" t="e">
        <f>IF(VLOOKUP(N689,'Incoming Material Report'!H:N,7,FALSE)=0,"",VLOOKUP(N689,'Incoming Material Report'!H:N,7,FALSE))</f>
        <v>#N/A</v>
      </c>
      <c r="BH689" s="52">
        <f t="shared" si="170"/>
        <v>0</v>
      </c>
      <c r="BI689" s="1">
        <f t="shared" si="171"/>
        <v>0</v>
      </c>
      <c r="BJ689" s="1">
        <f t="shared" si="172"/>
        <v>0</v>
      </c>
      <c r="BK689" s="1">
        <f t="shared" si="173"/>
        <v>0</v>
      </c>
      <c r="BL689" s="1">
        <f t="shared" si="174"/>
        <v>0</v>
      </c>
      <c r="BM689" s="10" t="str">
        <f t="shared" si="175"/>
        <v/>
      </c>
      <c r="BN689" s="52">
        <f t="shared" si="176"/>
        <v>0</v>
      </c>
      <c r="BO689" s="52">
        <f t="shared" si="177"/>
        <v>0</v>
      </c>
      <c r="BP689" s="1">
        <f t="shared" si="178"/>
        <v>0</v>
      </c>
      <c r="BQ689" s="1">
        <f t="shared" si="179"/>
        <v>0</v>
      </c>
      <c r="BR689" s="1" t="str">
        <f t="shared" si="180"/>
        <v/>
      </c>
      <c r="BS689" s="1">
        <f t="shared" si="181"/>
        <v>0</v>
      </c>
      <c r="BT689" s="4">
        <f t="shared" si="182"/>
        <v>0</v>
      </c>
      <c r="BU689" s="52">
        <f t="shared" si="183"/>
        <v>0</v>
      </c>
      <c r="BV689" s="1">
        <f t="shared" si="184"/>
        <v>0</v>
      </c>
      <c r="BW689">
        <f t="shared" si="185"/>
        <v>0</v>
      </c>
      <c r="BX689">
        <f t="shared" si="186"/>
        <v>0</v>
      </c>
    </row>
    <row r="690" spans="58:76" x14ac:dyDescent="0.25">
      <c r="BF690" s="1" t="e">
        <f>VLOOKUP(N690,'Incoming Material Report'!H:M,6,FALSE)</f>
        <v>#N/A</v>
      </c>
      <c r="BG690" s="1" t="e">
        <f>IF(VLOOKUP(N690,'Incoming Material Report'!H:N,7,FALSE)=0,"",VLOOKUP(N690,'Incoming Material Report'!H:N,7,FALSE))</f>
        <v>#N/A</v>
      </c>
      <c r="BH690" s="52">
        <f t="shared" si="170"/>
        <v>0</v>
      </c>
      <c r="BI690" s="1">
        <f t="shared" si="171"/>
        <v>0</v>
      </c>
      <c r="BJ690" s="1">
        <f t="shared" si="172"/>
        <v>0</v>
      </c>
      <c r="BK690" s="1">
        <f t="shared" si="173"/>
        <v>0</v>
      </c>
      <c r="BL690" s="1">
        <f t="shared" si="174"/>
        <v>0</v>
      </c>
      <c r="BM690" s="10" t="str">
        <f t="shared" si="175"/>
        <v/>
      </c>
      <c r="BN690" s="52">
        <f t="shared" si="176"/>
        <v>0</v>
      </c>
      <c r="BO690" s="52">
        <f t="shared" si="177"/>
        <v>0</v>
      </c>
      <c r="BP690" s="1">
        <f t="shared" si="178"/>
        <v>0</v>
      </c>
      <c r="BQ690" s="1">
        <f t="shared" si="179"/>
        <v>0</v>
      </c>
      <c r="BR690" s="1" t="str">
        <f t="shared" si="180"/>
        <v/>
      </c>
      <c r="BS690" s="1">
        <f t="shared" si="181"/>
        <v>0</v>
      </c>
      <c r="BT690" s="4">
        <f t="shared" si="182"/>
        <v>0</v>
      </c>
      <c r="BU690" s="52">
        <f t="shared" si="183"/>
        <v>0</v>
      </c>
      <c r="BV690" s="1">
        <f t="shared" si="184"/>
        <v>0</v>
      </c>
      <c r="BW690">
        <f t="shared" si="185"/>
        <v>0</v>
      </c>
      <c r="BX690">
        <f t="shared" si="186"/>
        <v>0</v>
      </c>
    </row>
    <row r="691" spans="58:76" x14ac:dyDescent="0.25">
      <c r="BF691" s="1" t="e">
        <f>VLOOKUP(N691,'Incoming Material Report'!H:M,6,FALSE)</f>
        <v>#N/A</v>
      </c>
      <c r="BG691" s="1" t="e">
        <f>IF(VLOOKUP(N691,'Incoming Material Report'!H:N,7,FALSE)=0,"",VLOOKUP(N691,'Incoming Material Report'!H:N,7,FALSE))</f>
        <v>#N/A</v>
      </c>
      <c r="BH691" s="52">
        <f t="shared" si="170"/>
        <v>0</v>
      </c>
      <c r="BI691" s="1">
        <f t="shared" si="171"/>
        <v>0</v>
      </c>
      <c r="BJ691" s="1">
        <f t="shared" si="172"/>
        <v>0</v>
      </c>
      <c r="BK691" s="1">
        <f t="shared" si="173"/>
        <v>0</v>
      </c>
      <c r="BL691" s="1">
        <f t="shared" si="174"/>
        <v>0</v>
      </c>
      <c r="BM691" s="10" t="str">
        <f t="shared" si="175"/>
        <v/>
      </c>
      <c r="BN691" s="52">
        <f t="shared" si="176"/>
        <v>0</v>
      </c>
      <c r="BO691" s="52">
        <f t="shared" si="177"/>
        <v>0</v>
      </c>
      <c r="BP691" s="1">
        <f t="shared" si="178"/>
        <v>0</v>
      </c>
      <c r="BQ691" s="1">
        <f t="shared" si="179"/>
        <v>0</v>
      </c>
      <c r="BR691" s="1" t="str">
        <f t="shared" si="180"/>
        <v/>
      </c>
      <c r="BS691" s="1">
        <f t="shared" si="181"/>
        <v>0</v>
      </c>
      <c r="BT691" s="4">
        <f t="shared" si="182"/>
        <v>0</v>
      </c>
      <c r="BU691" s="52">
        <f t="shared" si="183"/>
        <v>0</v>
      </c>
      <c r="BV691" s="1">
        <f t="shared" si="184"/>
        <v>0</v>
      </c>
      <c r="BW691">
        <f t="shared" si="185"/>
        <v>0</v>
      </c>
      <c r="BX691">
        <f t="shared" si="186"/>
        <v>0</v>
      </c>
    </row>
    <row r="692" spans="58:76" x14ac:dyDescent="0.25">
      <c r="BF692" s="1" t="e">
        <f>VLOOKUP(N692,'Incoming Material Report'!H:M,6,FALSE)</f>
        <v>#N/A</v>
      </c>
      <c r="BG692" s="1" t="e">
        <f>IF(VLOOKUP(N692,'Incoming Material Report'!H:N,7,FALSE)=0,"",VLOOKUP(N692,'Incoming Material Report'!H:N,7,FALSE))</f>
        <v>#N/A</v>
      </c>
      <c r="BH692" s="52">
        <f t="shared" si="170"/>
        <v>0</v>
      </c>
      <c r="BI692" s="1">
        <f t="shared" si="171"/>
        <v>0</v>
      </c>
      <c r="BJ692" s="1">
        <f t="shared" si="172"/>
        <v>0</v>
      </c>
      <c r="BK692" s="1">
        <f t="shared" si="173"/>
        <v>0</v>
      </c>
      <c r="BL692" s="1">
        <f t="shared" si="174"/>
        <v>0</v>
      </c>
      <c r="BM692" s="10" t="str">
        <f t="shared" si="175"/>
        <v/>
      </c>
      <c r="BN692" s="52">
        <f t="shared" si="176"/>
        <v>0</v>
      </c>
      <c r="BO692" s="52">
        <f t="shared" si="177"/>
        <v>0</v>
      </c>
      <c r="BP692" s="1">
        <f t="shared" si="178"/>
        <v>0</v>
      </c>
      <c r="BQ692" s="1">
        <f t="shared" si="179"/>
        <v>0</v>
      </c>
      <c r="BR692" s="1" t="str">
        <f t="shared" si="180"/>
        <v/>
      </c>
      <c r="BS692" s="1">
        <f t="shared" si="181"/>
        <v>0</v>
      </c>
      <c r="BT692" s="4">
        <f t="shared" si="182"/>
        <v>0</v>
      </c>
      <c r="BU692" s="52">
        <f t="shared" si="183"/>
        <v>0</v>
      </c>
      <c r="BV692" s="1">
        <f t="shared" si="184"/>
        <v>0</v>
      </c>
      <c r="BW692">
        <f t="shared" si="185"/>
        <v>0</v>
      </c>
      <c r="BX692">
        <f t="shared" si="186"/>
        <v>0</v>
      </c>
    </row>
    <row r="693" spans="58:76" x14ac:dyDescent="0.25">
      <c r="BF693" s="1" t="e">
        <f>VLOOKUP(N693,'Incoming Material Report'!H:M,6,FALSE)</f>
        <v>#N/A</v>
      </c>
      <c r="BG693" s="1" t="e">
        <f>IF(VLOOKUP(N693,'Incoming Material Report'!H:N,7,FALSE)=0,"",VLOOKUP(N693,'Incoming Material Report'!H:N,7,FALSE))</f>
        <v>#N/A</v>
      </c>
      <c r="BH693" s="52">
        <f t="shared" si="170"/>
        <v>0</v>
      </c>
      <c r="BI693" s="1">
        <f t="shared" si="171"/>
        <v>0</v>
      </c>
      <c r="BJ693" s="1">
        <f t="shared" si="172"/>
        <v>0</v>
      </c>
      <c r="BK693" s="1">
        <f t="shared" si="173"/>
        <v>0</v>
      </c>
      <c r="BL693" s="1">
        <f t="shared" si="174"/>
        <v>0</v>
      </c>
      <c r="BM693" s="10" t="str">
        <f t="shared" si="175"/>
        <v/>
      </c>
      <c r="BN693" s="52">
        <f t="shared" si="176"/>
        <v>0</v>
      </c>
      <c r="BO693" s="52">
        <f t="shared" si="177"/>
        <v>0</v>
      </c>
      <c r="BP693" s="1">
        <f t="shared" si="178"/>
        <v>0</v>
      </c>
      <c r="BQ693" s="1">
        <f t="shared" si="179"/>
        <v>0</v>
      </c>
      <c r="BR693" s="1" t="str">
        <f t="shared" si="180"/>
        <v/>
      </c>
      <c r="BS693" s="1">
        <f t="shared" si="181"/>
        <v>0</v>
      </c>
      <c r="BT693" s="4">
        <f t="shared" si="182"/>
        <v>0</v>
      </c>
      <c r="BU693" s="52">
        <f t="shared" si="183"/>
        <v>0</v>
      </c>
      <c r="BV693" s="1">
        <f t="shared" si="184"/>
        <v>0</v>
      </c>
      <c r="BW693">
        <f t="shared" si="185"/>
        <v>0</v>
      </c>
      <c r="BX693">
        <f t="shared" si="186"/>
        <v>0</v>
      </c>
    </row>
    <row r="694" spans="58:76" x14ac:dyDescent="0.25">
      <c r="BF694" s="1" t="e">
        <f>VLOOKUP(N694,'Incoming Material Report'!H:M,6,FALSE)</f>
        <v>#N/A</v>
      </c>
      <c r="BG694" s="1" t="e">
        <f>IF(VLOOKUP(N694,'Incoming Material Report'!H:N,7,FALSE)=0,"",VLOOKUP(N694,'Incoming Material Report'!H:N,7,FALSE))</f>
        <v>#N/A</v>
      </c>
      <c r="BH694" s="52">
        <f t="shared" si="170"/>
        <v>0</v>
      </c>
      <c r="BI694" s="1">
        <f t="shared" si="171"/>
        <v>0</v>
      </c>
      <c r="BJ694" s="1">
        <f t="shared" si="172"/>
        <v>0</v>
      </c>
      <c r="BK694" s="1">
        <f t="shared" si="173"/>
        <v>0</v>
      </c>
      <c r="BL694" s="1">
        <f t="shared" si="174"/>
        <v>0</v>
      </c>
      <c r="BM694" s="10" t="str">
        <f t="shared" si="175"/>
        <v/>
      </c>
      <c r="BN694" s="52">
        <f t="shared" si="176"/>
        <v>0</v>
      </c>
      <c r="BO694" s="52">
        <f t="shared" si="177"/>
        <v>0</v>
      </c>
      <c r="BP694" s="1">
        <f t="shared" si="178"/>
        <v>0</v>
      </c>
      <c r="BQ694" s="1">
        <f t="shared" si="179"/>
        <v>0</v>
      </c>
      <c r="BR694" s="1" t="str">
        <f t="shared" si="180"/>
        <v/>
      </c>
      <c r="BS694" s="1">
        <f t="shared" si="181"/>
        <v>0</v>
      </c>
      <c r="BT694" s="4">
        <f t="shared" si="182"/>
        <v>0</v>
      </c>
      <c r="BU694" s="52">
        <f t="shared" si="183"/>
        <v>0</v>
      </c>
      <c r="BV694" s="1">
        <f t="shared" si="184"/>
        <v>0</v>
      </c>
      <c r="BW694">
        <f t="shared" si="185"/>
        <v>0</v>
      </c>
      <c r="BX694">
        <f t="shared" si="186"/>
        <v>0</v>
      </c>
    </row>
    <row r="695" spans="58:76" x14ac:dyDescent="0.25">
      <c r="BF695" s="1" t="e">
        <f>VLOOKUP(N695,'Incoming Material Report'!H:M,6,FALSE)</f>
        <v>#N/A</v>
      </c>
      <c r="BG695" s="1" t="e">
        <f>IF(VLOOKUP(N695,'Incoming Material Report'!H:N,7,FALSE)=0,"",VLOOKUP(N695,'Incoming Material Report'!H:N,7,FALSE))</f>
        <v>#N/A</v>
      </c>
      <c r="BH695" s="52">
        <f t="shared" si="170"/>
        <v>0</v>
      </c>
      <c r="BI695" s="1">
        <f t="shared" si="171"/>
        <v>0</v>
      </c>
      <c r="BJ695" s="1">
        <f t="shared" si="172"/>
        <v>0</v>
      </c>
      <c r="BK695" s="1">
        <f t="shared" si="173"/>
        <v>0</v>
      </c>
      <c r="BL695" s="1">
        <f t="shared" si="174"/>
        <v>0</v>
      </c>
      <c r="BM695" s="10" t="str">
        <f t="shared" si="175"/>
        <v/>
      </c>
      <c r="BN695" s="52">
        <f t="shared" si="176"/>
        <v>0</v>
      </c>
      <c r="BO695" s="52">
        <f t="shared" si="177"/>
        <v>0</v>
      </c>
      <c r="BP695" s="1">
        <f t="shared" si="178"/>
        <v>0</v>
      </c>
      <c r="BQ695" s="1">
        <f t="shared" si="179"/>
        <v>0</v>
      </c>
      <c r="BR695" s="1" t="str">
        <f t="shared" si="180"/>
        <v/>
      </c>
      <c r="BS695" s="1">
        <f t="shared" si="181"/>
        <v>0</v>
      </c>
      <c r="BT695" s="4">
        <f t="shared" si="182"/>
        <v>0</v>
      </c>
      <c r="BU695" s="52">
        <f t="shared" si="183"/>
        <v>0</v>
      </c>
      <c r="BV695" s="1">
        <f t="shared" si="184"/>
        <v>0</v>
      </c>
      <c r="BW695">
        <f t="shared" si="185"/>
        <v>0</v>
      </c>
      <c r="BX695">
        <f t="shared" si="186"/>
        <v>0</v>
      </c>
    </row>
    <row r="696" spans="58:76" x14ac:dyDescent="0.25">
      <c r="BF696" s="1" t="e">
        <f>VLOOKUP(N696,'Incoming Material Report'!H:M,6,FALSE)</f>
        <v>#N/A</v>
      </c>
      <c r="BG696" s="1" t="e">
        <f>IF(VLOOKUP(N696,'Incoming Material Report'!H:N,7,FALSE)=0,"",VLOOKUP(N696,'Incoming Material Report'!H:N,7,FALSE))</f>
        <v>#N/A</v>
      </c>
      <c r="BH696" s="52">
        <f t="shared" si="170"/>
        <v>0</v>
      </c>
      <c r="BI696" s="1">
        <f t="shared" si="171"/>
        <v>0</v>
      </c>
      <c r="BJ696" s="1">
        <f t="shared" si="172"/>
        <v>0</v>
      </c>
      <c r="BK696" s="1">
        <f t="shared" si="173"/>
        <v>0</v>
      </c>
      <c r="BL696" s="1">
        <f t="shared" si="174"/>
        <v>0</v>
      </c>
      <c r="BM696" s="10" t="str">
        <f t="shared" si="175"/>
        <v/>
      </c>
      <c r="BN696" s="52">
        <f t="shared" si="176"/>
        <v>0</v>
      </c>
      <c r="BO696" s="52">
        <f t="shared" si="177"/>
        <v>0</v>
      </c>
      <c r="BP696" s="1">
        <f t="shared" si="178"/>
        <v>0</v>
      </c>
      <c r="BQ696" s="1">
        <f t="shared" si="179"/>
        <v>0</v>
      </c>
      <c r="BR696" s="1" t="str">
        <f t="shared" si="180"/>
        <v/>
      </c>
      <c r="BS696" s="1">
        <f t="shared" si="181"/>
        <v>0</v>
      </c>
      <c r="BT696" s="4">
        <f t="shared" si="182"/>
        <v>0</v>
      </c>
      <c r="BU696" s="52">
        <f t="shared" si="183"/>
        <v>0</v>
      </c>
      <c r="BV696" s="1">
        <f t="shared" si="184"/>
        <v>0</v>
      </c>
      <c r="BW696">
        <f t="shared" si="185"/>
        <v>0</v>
      </c>
      <c r="BX696">
        <f t="shared" si="186"/>
        <v>0</v>
      </c>
    </row>
    <row r="697" spans="58:76" x14ac:dyDescent="0.25">
      <c r="BF697" s="1" t="e">
        <f>VLOOKUP(N697,'Incoming Material Report'!H:M,6,FALSE)</f>
        <v>#N/A</v>
      </c>
      <c r="BG697" s="1" t="e">
        <f>IF(VLOOKUP(N697,'Incoming Material Report'!H:N,7,FALSE)=0,"",VLOOKUP(N697,'Incoming Material Report'!H:N,7,FALSE))</f>
        <v>#N/A</v>
      </c>
      <c r="BH697" s="52">
        <f t="shared" si="170"/>
        <v>0</v>
      </c>
      <c r="BI697" s="1">
        <f t="shared" si="171"/>
        <v>0</v>
      </c>
      <c r="BJ697" s="1">
        <f t="shared" si="172"/>
        <v>0</v>
      </c>
      <c r="BK697" s="1">
        <f t="shared" si="173"/>
        <v>0</v>
      </c>
      <c r="BL697" s="1">
        <f t="shared" si="174"/>
        <v>0</v>
      </c>
      <c r="BM697" s="10" t="str">
        <f t="shared" si="175"/>
        <v/>
      </c>
      <c r="BN697" s="52">
        <f t="shared" si="176"/>
        <v>0</v>
      </c>
      <c r="BO697" s="52">
        <f t="shared" si="177"/>
        <v>0</v>
      </c>
      <c r="BP697" s="1">
        <f t="shared" si="178"/>
        <v>0</v>
      </c>
      <c r="BQ697" s="1">
        <f t="shared" si="179"/>
        <v>0</v>
      </c>
      <c r="BR697" s="1" t="str">
        <f t="shared" si="180"/>
        <v/>
      </c>
      <c r="BS697" s="1">
        <f t="shared" si="181"/>
        <v>0</v>
      </c>
      <c r="BT697" s="4">
        <f t="shared" si="182"/>
        <v>0</v>
      </c>
      <c r="BU697" s="52">
        <f t="shared" si="183"/>
        <v>0</v>
      </c>
      <c r="BV697" s="1">
        <f t="shared" si="184"/>
        <v>0</v>
      </c>
      <c r="BW697">
        <f t="shared" si="185"/>
        <v>0</v>
      </c>
      <c r="BX697">
        <f t="shared" si="186"/>
        <v>0</v>
      </c>
    </row>
    <row r="698" spans="58:76" x14ac:dyDescent="0.25">
      <c r="BF698" s="1" t="e">
        <f>VLOOKUP(N698,'Incoming Material Report'!H:M,6,FALSE)</f>
        <v>#N/A</v>
      </c>
      <c r="BG698" s="1" t="e">
        <f>IF(VLOOKUP(N698,'Incoming Material Report'!H:N,7,FALSE)=0,"",VLOOKUP(N698,'Incoming Material Report'!H:N,7,FALSE))</f>
        <v>#N/A</v>
      </c>
      <c r="BH698" s="52">
        <f t="shared" ref="BH698:BH725" si="187">VALUE(T698)</f>
        <v>0</v>
      </c>
      <c r="BI698" s="1">
        <f t="shared" ref="BI698:BI725" si="188">VALUE(U698)</f>
        <v>0</v>
      </c>
      <c r="BJ698" s="1">
        <f t="shared" ref="BJ698:BJ725" si="189">IFERROR(_xlfn.NUMBERVALUE(V698),V698)</f>
        <v>0</v>
      </c>
      <c r="BK698" s="1">
        <f t="shared" ref="BK698:BK725" si="190">IFERROR(INT(I698),I698)</f>
        <v>0</v>
      </c>
      <c r="BL698" s="1">
        <f t="shared" ref="BL698:BL725" si="191">L698</f>
        <v>0</v>
      </c>
      <c r="BM698" s="10" t="str">
        <f t="shared" ref="BM698:BM725" si="192">SUBSTITUTE(J698,"/",".")</f>
        <v/>
      </c>
      <c r="BN698" s="52">
        <f t="shared" ref="BN698:BN725" si="193">VALUE(Q698)*1000</f>
        <v>0</v>
      </c>
      <c r="BO698" s="52">
        <f t="shared" ref="BO698:BO725" si="194">VALUE(P698)/1000</f>
        <v>0</v>
      </c>
      <c r="BP698" s="1">
        <f t="shared" ref="BP698:BP725" si="195">VALUE(D698)</f>
        <v>0</v>
      </c>
      <c r="BQ698" s="1">
        <f t="shared" ref="BQ698:BQ725" si="196">G698</f>
        <v>0</v>
      </c>
      <c r="BR698" s="1" t="str">
        <f t="shared" ref="BR698:BR725" si="197">SUBSTITUTE(O698,".","")</f>
        <v/>
      </c>
      <c r="BS698" s="1">
        <f t="shared" ref="BS698:BS725" si="198">S698</f>
        <v>0</v>
      </c>
      <c r="BT698" s="4">
        <f t="shared" ref="BT698:BT725" si="199">VALUE(AJ698)</f>
        <v>0</v>
      </c>
      <c r="BU698" s="52">
        <f t="shared" ref="BU698:BU725" si="200">K698</f>
        <v>0</v>
      </c>
      <c r="BV698" s="1">
        <f t="shared" ref="BV698:BV725" si="201">AQ698</f>
        <v>0</v>
      </c>
      <c r="BW698">
        <f t="shared" ref="BW698:BW725" si="202">X698</f>
        <v>0</v>
      </c>
      <c r="BX698">
        <f t="shared" ref="BX698:BX725" si="203">AN698</f>
        <v>0</v>
      </c>
    </row>
    <row r="699" spans="58:76" x14ac:dyDescent="0.25">
      <c r="BF699" s="1" t="e">
        <f>VLOOKUP(N699,'Incoming Material Report'!H:M,6,FALSE)</f>
        <v>#N/A</v>
      </c>
      <c r="BG699" s="1" t="e">
        <f>IF(VLOOKUP(N699,'Incoming Material Report'!H:N,7,FALSE)=0,"",VLOOKUP(N699,'Incoming Material Report'!H:N,7,FALSE))</f>
        <v>#N/A</v>
      </c>
      <c r="BH699" s="52">
        <f t="shared" si="187"/>
        <v>0</v>
      </c>
      <c r="BI699" s="1">
        <f t="shared" si="188"/>
        <v>0</v>
      </c>
      <c r="BJ699" s="1">
        <f t="shared" si="189"/>
        <v>0</v>
      </c>
      <c r="BK699" s="1">
        <f t="shared" si="190"/>
        <v>0</v>
      </c>
      <c r="BL699" s="1">
        <f t="shared" si="191"/>
        <v>0</v>
      </c>
      <c r="BM699" s="10" t="str">
        <f t="shared" si="192"/>
        <v/>
      </c>
      <c r="BN699" s="52">
        <f t="shared" si="193"/>
        <v>0</v>
      </c>
      <c r="BO699" s="52">
        <f t="shared" si="194"/>
        <v>0</v>
      </c>
      <c r="BP699" s="1">
        <f t="shared" si="195"/>
        <v>0</v>
      </c>
      <c r="BQ699" s="1">
        <f t="shared" si="196"/>
        <v>0</v>
      </c>
      <c r="BR699" s="1" t="str">
        <f t="shared" si="197"/>
        <v/>
      </c>
      <c r="BS699" s="1">
        <f t="shared" si="198"/>
        <v>0</v>
      </c>
      <c r="BT699" s="4">
        <f t="shared" si="199"/>
        <v>0</v>
      </c>
      <c r="BU699" s="52">
        <f t="shared" si="200"/>
        <v>0</v>
      </c>
      <c r="BV699" s="1">
        <f t="shared" si="201"/>
        <v>0</v>
      </c>
      <c r="BW699">
        <f t="shared" si="202"/>
        <v>0</v>
      </c>
      <c r="BX699">
        <f t="shared" si="203"/>
        <v>0</v>
      </c>
    </row>
    <row r="700" spans="58:76" x14ac:dyDescent="0.25">
      <c r="BF700" s="1" t="e">
        <f>VLOOKUP(N700,'Incoming Material Report'!H:M,6,FALSE)</f>
        <v>#N/A</v>
      </c>
      <c r="BG700" s="1" t="e">
        <f>IF(VLOOKUP(N700,'Incoming Material Report'!H:N,7,FALSE)=0,"",VLOOKUP(N700,'Incoming Material Report'!H:N,7,FALSE))</f>
        <v>#N/A</v>
      </c>
      <c r="BH700" s="52">
        <f t="shared" si="187"/>
        <v>0</v>
      </c>
      <c r="BI700" s="1">
        <f t="shared" si="188"/>
        <v>0</v>
      </c>
      <c r="BJ700" s="1">
        <f t="shared" si="189"/>
        <v>0</v>
      </c>
      <c r="BK700" s="1">
        <f t="shared" si="190"/>
        <v>0</v>
      </c>
      <c r="BL700" s="1">
        <f t="shared" si="191"/>
        <v>0</v>
      </c>
      <c r="BM700" s="10" t="str">
        <f t="shared" si="192"/>
        <v/>
      </c>
      <c r="BN700" s="52">
        <f t="shared" si="193"/>
        <v>0</v>
      </c>
      <c r="BO700" s="52">
        <f t="shared" si="194"/>
        <v>0</v>
      </c>
      <c r="BP700" s="1">
        <f t="shared" si="195"/>
        <v>0</v>
      </c>
      <c r="BQ700" s="1">
        <f t="shared" si="196"/>
        <v>0</v>
      </c>
      <c r="BR700" s="1" t="str">
        <f t="shared" si="197"/>
        <v/>
      </c>
      <c r="BS700" s="1">
        <f t="shared" si="198"/>
        <v>0</v>
      </c>
      <c r="BT700" s="4">
        <f t="shared" si="199"/>
        <v>0</v>
      </c>
      <c r="BU700" s="52">
        <f t="shared" si="200"/>
        <v>0</v>
      </c>
      <c r="BV700" s="1">
        <f t="shared" si="201"/>
        <v>0</v>
      </c>
      <c r="BW700">
        <f t="shared" si="202"/>
        <v>0</v>
      </c>
      <c r="BX700">
        <f t="shared" si="203"/>
        <v>0</v>
      </c>
    </row>
    <row r="701" spans="58:76" x14ac:dyDescent="0.25">
      <c r="BF701" s="1" t="e">
        <f>VLOOKUP(N701,'Incoming Material Report'!H:M,6,FALSE)</f>
        <v>#N/A</v>
      </c>
      <c r="BG701" s="1" t="e">
        <f>IF(VLOOKUP(N701,'Incoming Material Report'!H:N,7,FALSE)=0,"",VLOOKUP(N701,'Incoming Material Report'!H:N,7,FALSE))</f>
        <v>#N/A</v>
      </c>
      <c r="BH701" s="52">
        <f t="shared" si="187"/>
        <v>0</v>
      </c>
      <c r="BI701" s="1">
        <f t="shared" si="188"/>
        <v>0</v>
      </c>
      <c r="BJ701" s="1">
        <f t="shared" si="189"/>
        <v>0</v>
      </c>
      <c r="BK701" s="1">
        <f t="shared" si="190"/>
        <v>0</v>
      </c>
      <c r="BL701" s="1">
        <f t="shared" si="191"/>
        <v>0</v>
      </c>
      <c r="BM701" s="10" t="str">
        <f t="shared" si="192"/>
        <v/>
      </c>
      <c r="BN701" s="52">
        <f t="shared" si="193"/>
        <v>0</v>
      </c>
      <c r="BO701" s="52">
        <f t="shared" si="194"/>
        <v>0</v>
      </c>
      <c r="BP701" s="1">
        <f t="shared" si="195"/>
        <v>0</v>
      </c>
      <c r="BQ701" s="1">
        <f t="shared" si="196"/>
        <v>0</v>
      </c>
      <c r="BR701" s="1" t="str">
        <f t="shared" si="197"/>
        <v/>
      </c>
      <c r="BS701" s="1">
        <f t="shared" si="198"/>
        <v>0</v>
      </c>
      <c r="BT701" s="4">
        <f t="shared" si="199"/>
        <v>0</v>
      </c>
      <c r="BU701" s="52">
        <f t="shared" si="200"/>
        <v>0</v>
      </c>
      <c r="BV701" s="1">
        <f t="shared" si="201"/>
        <v>0</v>
      </c>
      <c r="BW701">
        <f t="shared" si="202"/>
        <v>0</v>
      </c>
      <c r="BX701">
        <f t="shared" si="203"/>
        <v>0</v>
      </c>
    </row>
    <row r="702" spans="58:76" x14ac:dyDescent="0.25">
      <c r="BF702" s="1" t="e">
        <f>VLOOKUP(N702,'Incoming Material Report'!H:M,6,FALSE)</f>
        <v>#N/A</v>
      </c>
      <c r="BG702" s="1" t="e">
        <f>IF(VLOOKUP(N702,'Incoming Material Report'!H:N,7,FALSE)=0,"",VLOOKUP(N702,'Incoming Material Report'!H:N,7,FALSE))</f>
        <v>#N/A</v>
      </c>
      <c r="BH702" s="52">
        <f t="shared" si="187"/>
        <v>0</v>
      </c>
      <c r="BI702" s="1">
        <f t="shared" si="188"/>
        <v>0</v>
      </c>
      <c r="BJ702" s="1">
        <f t="shared" si="189"/>
        <v>0</v>
      </c>
      <c r="BK702" s="1">
        <f t="shared" si="190"/>
        <v>0</v>
      </c>
      <c r="BL702" s="1">
        <f t="shared" si="191"/>
        <v>0</v>
      </c>
      <c r="BM702" s="10" t="str">
        <f t="shared" si="192"/>
        <v/>
      </c>
      <c r="BN702" s="52">
        <f t="shared" si="193"/>
        <v>0</v>
      </c>
      <c r="BO702" s="52">
        <f t="shared" si="194"/>
        <v>0</v>
      </c>
      <c r="BP702" s="1">
        <f t="shared" si="195"/>
        <v>0</v>
      </c>
      <c r="BQ702" s="1">
        <f t="shared" si="196"/>
        <v>0</v>
      </c>
      <c r="BR702" s="1" t="str">
        <f t="shared" si="197"/>
        <v/>
      </c>
      <c r="BS702" s="1">
        <f t="shared" si="198"/>
        <v>0</v>
      </c>
      <c r="BT702" s="4">
        <f t="shared" si="199"/>
        <v>0</v>
      </c>
      <c r="BU702" s="52">
        <f t="shared" si="200"/>
        <v>0</v>
      </c>
      <c r="BV702" s="1">
        <f t="shared" si="201"/>
        <v>0</v>
      </c>
      <c r="BW702">
        <f t="shared" si="202"/>
        <v>0</v>
      </c>
      <c r="BX702">
        <f t="shared" si="203"/>
        <v>0</v>
      </c>
    </row>
    <row r="703" spans="58:76" x14ac:dyDescent="0.25">
      <c r="BF703" s="1" t="e">
        <f>VLOOKUP(N703,'Incoming Material Report'!H:M,6,FALSE)</f>
        <v>#N/A</v>
      </c>
      <c r="BG703" s="1" t="e">
        <f>IF(VLOOKUP(N703,'Incoming Material Report'!H:N,7,FALSE)=0,"",VLOOKUP(N703,'Incoming Material Report'!H:N,7,FALSE))</f>
        <v>#N/A</v>
      </c>
      <c r="BH703" s="52">
        <f t="shared" si="187"/>
        <v>0</v>
      </c>
      <c r="BI703" s="1">
        <f t="shared" si="188"/>
        <v>0</v>
      </c>
      <c r="BJ703" s="1">
        <f t="shared" si="189"/>
        <v>0</v>
      </c>
      <c r="BK703" s="1">
        <f t="shared" si="190"/>
        <v>0</v>
      </c>
      <c r="BL703" s="1">
        <f t="shared" si="191"/>
        <v>0</v>
      </c>
      <c r="BM703" s="10" t="str">
        <f t="shared" si="192"/>
        <v/>
      </c>
      <c r="BN703" s="52">
        <f t="shared" si="193"/>
        <v>0</v>
      </c>
      <c r="BO703" s="52">
        <f t="shared" si="194"/>
        <v>0</v>
      </c>
      <c r="BP703" s="1">
        <f t="shared" si="195"/>
        <v>0</v>
      </c>
      <c r="BQ703" s="1">
        <f t="shared" si="196"/>
        <v>0</v>
      </c>
      <c r="BR703" s="1" t="str">
        <f t="shared" si="197"/>
        <v/>
      </c>
      <c r="BS703" s="1">
        <f t="shared" si="198"/>
        <v>0</v>
      </c>
      <c r="BT703" s="4">
        <f t="shared" si="199"/>
        <v>0</v>
      </c>
      <c r="BU703" s="52">
        <f t="shared" si="200"/>
        <v>0</v>
      </c>
      <c r="BV703" s="1">
        <f t="shared" si="201"/>
        <v>0</v>
      </c>
      <c r="BW703">
        <f t="shared" si="202"/>
        <v>0</v>
      </c>
      <c r="BX703">
        <f t="shared" si="203"/>
        <v>0</v>
      </c>
    </row>
    <row r="704" spans="58:76" x14ac:dyDescent="0.25">
      <c r="BF704" s="1" t="e">
        <f>VLOOKUP(N704,'Incoming Material Report'!H:M,6,FALSE)</f>
        <v>#N/A</v>
      </c>
      <c r="BG704" s="1" t="e">
        <f>IF(VLOOKUP(N704,'Incoming Material Report'!H:N,7,FALSE)=0,"",VLOOKUP(N704,'Incoming Material Report'!H:N,7,FALSE))</f>
        <v>#N/A</v>
      </c>
      <c r="BH704" s="52">
        <f t="shared" si="187"/>
        <v>0</v>
      </c>
      <c r="BI704" s="1">
        <f t="shared" si="188"/>
        <v>0</v>
      </c>
      <c r="BJ704" s="1">
        <f t="shared" si="189"/>
        <v>0</v>
      </c>
      <c r="BK704" s="1">
        <f t="shared" si="190"/>
        <v>0</v>
      </c>
      <c r="BL704" s="1">
        <f t="shared" si="191"/>
        <v>0</v>
      </c>
      <c r="BM704" s="10" t="str">
        <f t="shared" si="192"/>
        <v/>
      </c>
      <c r="BN704" s="52">
        <f t="shared" si="193"/>
        <v>0</v>
      </c>
      <c r="BO704" s="52">
        <f t="shared" si="194"/>
        <v>0</v>
      </c>
      <c r="BP704" s="1">
        <f t="shared" si="195"/>
        <v>0</v>
      </c>
      <c r="BQ704" s="1">
        <f t="shared" si="196"/>
        <v>0</v>
      </c>
      <c r="BR704" s="1" t="str">
        <f t="shared" si="197"/>
        <v/>
      </c>
      <c r="BS704" s="1">
        <f t="shared" si="198"/>
        <v>0</v>
      </c>
      <c r="BT704" s="4">
        <f t="shared" si="199"/>
        <v>0</v>
      </c>
      <c r="BU704" s="52">
        <f t="shared" si="200"/>
        <v>0</v>
      </c>
      <c r="BV704" s="1">
        <f t="shared" si="201"/>
        <v>0</v>
      </c>
      <c r="BW704">
        <f t="shared" si="202"/>
        <v>0</v>
      </c>
      <c r="BX704">
        <f t="shared" si="203"/>
        <v>0</v>
      </c>
    </row>
    <row r="705" spans="58:76" x14ac:dyDescent="0.25">
      <c r="BF705" s="1" t="e">
        <f>VLOOKUP(N705,'Incoming Material Report'!H:M,6,FALSE)</f>
        <v>#N/A</v>
      </c>
      <c r="BG705" s="1" t="e">
        <f>IF(VLOOKUP(N705,'Incoming Material Report'!H:N,7,FALSE)=0,"",VLOOKUP(N705,'Incoming Material Report'!H:N,7,FALSE))</f>
        <v>#N/A</v>
      </c>
      <c r="BH705" s="52">
        <f t="shared" si="187"/>
        <v>0</v>
      </c>
      <c r="BI705" s="1">
        <f t="shared" si="188"/>
        <v>0</v>
      </c>
      <c r="BJ705" s="1">
        <f t="shared" si="189"/>
        <v>0</v>
      </c>
      <c r="BK705" s="1">
        <f t="shared" si="190"/>
        <v>0</v>
      </c>
      <c r="BL705" s="1">
        <f t="shared" si="191"/>
        <v>0</v>
      </c>
      <c r="BM705" s="10" t="str">
        <f t="shared" si="192"/>
        <v/>
      </c>
      <c r="BN705" s="52">
        <f t="shared" si="193"/>
        <v>0</v>
      </c>
      <c r="BO705" s="52">
        <f t="shared" si="194"/>
        <v>0</v>
      </c>
      <c r="BP705" s="1">
        <f t="shared" si="195"/>
        <v>0</v>
      </c>
      <c r="BQ705" s="1">
        <f t="shared" si="196"/>
        <v>0</v>
      </c>
      <c r="BR705" s="1" t="str">
        <f t="shared" si="197"/>
        <v/>
      </c>
      <c r="BS705" s="1">
        <f t="shared" si="198"/>
        <v>0</v>
      </c>
      <c r="BT705" s="4">
        <f t="shared" si="199"/>
        <v>0</v>
      </c>
      <c r="BU705" s="52">
        <f t="shared" si="200"/>
        <v>0</v>
      </c>
      <c r="BV705" s="1">
        <f t="shared" si="201"/>
        <v>0</v>
      </c>
      <c r="BW705">
        <f t="shared" si="202"/>
        <v>0</v>
      </c>
      <c r="BX705">
        <f t="shared" si="203"/>
        <v>0</v>
      </c>
    </row>
    <row r="706" spans="58:76" x14ac:dyDescent="0.25">
      <c r="BF706" s="1" t="e">
        <f>VLOOKUP(N706,'Incoming Material Report'!H:M,6,FALSE)</f>
        <v>#N/A</v>
      </c>
      <c r="BG706" s="1" t="e">
        <f>IF(VLOOKUP(N706,'Incoming Material Report'!H:N,7,FALSE)=0,"",VLOOKUP(N706,'Incoming Material Report'!H:N,7,FALSE))</f>
        <v>#N/A</v>
      </c>
      <c r="BH706" s="52">
        <f t="shared" si="187"/>
        <v>0</v>
      </c>
      <c r="BI706" s="1">
        <f t="shared" si="188"/>
        <v>0</v>
      </c>
      <c r="BJ706" s="1">
        <f t="shared" si="189"/>
        <v>0</v>
      </c>
      <c r="BK706" s="1">
        <f t="shared" si="190"/>
        <v>0</v>
      </c>
      <c r="BL706" s="1">
        <f t="shared" si="191"/>
        <v>0</v>
      </c>
      <c r="BM706" s="10" t="str">
        <f t="shared" si="192"/>
        <v/>
      </c>
      <c r="BN706" s="52">
        <f t="shared" si="193"/>
        <v>0</v>
      </c>
      <c r="BO706" s="52">
        <f t="shared" si="194"/>
        <v>0</v>
      </c>
      <c r="BP706" s="1">
        <f t="shared" si="195"/>
        <v>0</v>
      </c>
      <c r="BQ706" s="1">
        <f t="shared" si="196"/>
        <v>0</v>
      </c>
      <c r="BR706" s="1" t="str">
        <f t="shared" si="197"/>
        <v/>
      </c>
      <c r="BS706" s="1">
        <f t="shared" si="198"/>
        <v>0</v>
      </c>
      <c r="BT706" s="4">
        <f t="shared" si="199"/>
        <v>0</v>
      </c>
      <c r="BU706" s="52">
        <f t="shared" si="200"/>
        <v>0</v>
      </c>
      <c r="BV706" s="1">
        <f t="shared" si="201"/>
        <v>0</v>
      </c>
      <c r="BW706">
        <f t="shared" si="202"/>
        <v>0</v>
      </c>
      <c r="BX706">
        <f t="shared" si="203"/>
        <v>0</v>
      </c>
    </row>
    <row r="707" spans="58:76" x14ac:dyDescent="0.25">
      <c r="BF707" s="1" t="e">
        <f>VLOOKUP(N707,'Incoming Material Report'!H:M,6,FALSE)</f>
        <v>#N/A</v>
      </c>
      <c r="BG707" s="1" t="e">
        <f>IF(VLOOKUP(N707,'Incoming Material Report'!H:N,7,FALSE)=0,"",VLOOKUP(N707,'Incoming Material Report'!H:N,7,FALSE))</f>
        <v>#N/A</v>
      </c>
      <c r="BH707" s="52">
        <f t="shared" si="187"/>
        <v>0</v>
      </c>
      <c r="BI707" s="1">
        <f t="shared" si="188"/>
        <v>0</v>
      </c>
      <c r="BJ707" s="1">
        <f t="shared" si="189"/>
        <v>0</v>
      </c>
      <c r="BK707" s="1">
        <f t="shared" si="190"/>
        <v>0</v>
      </c>
      <c r="BL707" s="1">
        <f t="shared" si="191"/>
        <v>0</v>
      </c>
      <c r="BM707" s="10" t="str">
        <f t="shared" si="192"/>
        <v/>
      </c>
      <c r="BN707" s="52">
        <f t="shared" si="193"/>
        <v>0</v>
      </c>
      <c r="BO707" s="52">
        <f t="shared" si="194"/>
        <v>0</v>
      </c>
      <c r="BP707" s="1">
        <f t="shared" si="195"/>
        <v>0</v>
      </c>
      <c r="BQ707" s="1">
        <f t="shared" si="196"/>
        <v>0</v>
      </c>
      <c r="BR707" s="1" t="str">
        <f t="shared" si="197"/>
        <v/>
      </c>
      <c r="BS707" s="1">
        <f t="shared" si="198"/>
        <v>0</v>
      </c>
      <c r="BT707" s="4">
        <f t="shared" si="199"/>
        <v>0</v>
      </c>
      <c r="BU707" s="52">
        <f t="shared" si="200"/>
        <v>0</v>
      </c>
      <c r="BV707" s="1">
        <f t="shared" si="201"/>
        <v>0</v>
      </c>
      <c r="BW707">
        <f t="shared" si="202"/>
        <v>0</v>
      </c>
      <c r="BX707">
        <f t="shared" si="203"/>
        <v>0</v>
      </c>
    </row>
    <row r="708" spans="58:76" x14ac:dyDescent="0.25">
      <c r="BF708" s="1" t="e">
        <f>VLOOKUP(N708,'Incoming Material Report'!H:M,6,FALSE)</f>
        <v>#N/A</v>
      </c>
      <c r="BG708" s="1" t="e">
        <f>IF(VLOOKUP(N708,'Incoming Material Report'!H:N,7,FALSE)=0,"",VLOOKUP(N708,'Incoming Material Report'!H:N,7,FALSE))</f>
        <v>#N/A</v>
      </c>
      <c r="BH708" s="52">
        <f t="shared" si="187"/>
        <v>0</v>
      </c>
      <c r="BI708" s="1">
        <f t="shared" si="188"/>
        <v>0</v>
      </c>
      <c r="BJ708" s="1">
        <f t="shared" si="189"/>
        <v>0</v>
      </c>
      <c r="BK708" s="1">
        <f t="shared" si="190"/>
        <v>0</v>
      </c>
      <c r="BL708" s="1">
        <f t="shared" si="191"/>
        <v>0</v>
      </c>
      <c r="BM708" s="10" t="str">
        <f t="shared" si="192"/>
        <v/>
      </c>
      <c r="BN708" s="52">
        <f t="shared" si="193"/>
        <v>0</v>
      </c>
      <c r="BO708" s="52">
        <f t="shared" si="194"/>
        <v>0</v>
      </c>
      <c r="BP708" s="1">
        <f t="shared" si="195"/>
        <v>0</v>
      </c>
      <c r="BQ708" s="1">
        <f t="shared" si="196"/>
        <v>0</v>
      </c>
      <c r="BR708" s="1" t="str">
        <f t="shared" si="197"/>
        <v/>
      </c>
      <c r="BS708" s="1">
        <f t="shared" si="198"/>
        <v>0</v>
      </c>
      <c r="BT708" s="4">
        <f t="shared" si="199"/>
        <v>0</v>
      </c>
      <c r="BU708" s="52">
        <f t="shared" si="200"/>
        <v>0</v>
      </c>
      <c r="BV708" s="1">
        <f t="shared" si="201"/>
        <v>0</v>
      </c>
      <c r="BW708">
        <f t="shared" si="202"/>
        <v>0</v>
      </c>
      <c r="BX708">
        <f t="shared" si="203"/>
        <v>0</v>
      </c>
    </row>
    <row r="709" spans="58:76" x14ac:dyDescent="0.25">
      <c r="BF709" s="1" t="e">
        <f>VLOOKUP(N709,'Incoming Material Report'!H:M,6,FALSE)</f>
        <v>#N/A</v>
      </c>
      <c r="BG709" s="1" t="e">
        <f>IF(VLOOKUP(N709,'Incoming Material Report'!H:N,7,FALSE)=0,"",VLOOKUP(N709,'Incoming Material Report'!H:N,7,FALSE))</f>
        <v>#N/A</v>
      </c>
      <c r="BH709" s="52">
        <f t="shared" si="187"/>
        <v>0</v>
      </c>
      <c r="BI709" s="1">
        <f t="shared" si="188"/>
        <v>0</v>
      </c>
      <c r="BJ709" s="1">
        <f t="shared" si="189"/>
        <v>0</v>
      </c>
      <c r="BK709" s="1">
        <f t="shared" si="190"/>
        <v>0</v>
      </c>
      <c r="BL709" s="1">
        <f t="shared" si="191"/>
        <v>0</v>
      </c>
      <c r="BM709" s="10" t="str">
        <f t="shared" si="192"/>
        <v/>
      </c>
      <c r="BN709" s="52">
        <f t="shared" si="193"/>
        <v>0</v>
      </c>
      <c r="BO709" s="52">
        <f t="shared" si="194"/>
        <v>0</v>
      </c>
      <c r="BP709" s="1">
        <f t="shared" si="195"/>
        <v>0</v>
      </c>
      <c r="BQ709" s="1">
        <f t="shared" si="196"/>
        <v>0</v>
      </c>
      <c r="BR709" s="1" t="str">
        <f t="shared" si="197"/>
        <v/>
      </c>
      <c r="BS709" s="1">
        <f t="shared" si="198"/>
        <v>0</v>
      </c>
      <c r="BT709" s="4">
        <f t="shared" si="199"/>
        <v>0</v>
      </c>
      <c r="BU709" s="52">
        <f t="shared" si="200"/>
        <v>0</v>
      </c>
      <c r="BV709" s="1">
        <f t="shared" si="201"/>
        <v>0</v>
      </c>
      <c r="BW709">
        <f t="shared" si="202"/>
        <v>0</v>
      </c>
      <c r="BX709">
        <f t="shared" si="203"/>
        <v>0</v>
      </c>
    </row>
    <row r="710" spans="58:76" x14ac:dyDescent="0.25">
      <c r="BF710" s="1" t="e">
        <f>VLOOKUP(N710,'Incoming Material Report'!H:M,6,FALSE)</f>
        <v>#N/A</v>
      </c>
      <c r="BG710" s="1" t="e">
        <f>IF(VLOOKUP(N710,'Incoming Material Report'!H:N,7,FALSE)=0,"",VLOOKUP(N710,'Incoming Material Report'!H:N,7,FALSE))</f>
        <v>#N/A</v>
      </c>
      <c r="BH710" s="52">
        <f t="shared" si="187"/>
        <v>0</v>
      </c>
      <c r="BI710" s="1">
        <f t="shared" si="188"/>
        <v>0</v>
      </c>
      <c r="BJ710" s="1">
        <f t="shared" si="189"/>
        <v>0</v>
      </c>
      <c r="BK710" s="1">
        <f t="shared" si="190"/>
        <v>0</v>
      </c>
      <c r="BL710" s="1">
        <f t="shared" si="191"/>
        <v>0</v>
      </c>
      <c r="BM710" s="10" t="str">
        <f t="shared" si="192"/>
        <v/>
      </c>
      <c r="BN710" s="52">
        <f t="shared" si="193"/>
        <v>0</v>
      </c>
      <c r="BO710" s="52">
        <f t="shared" si="194"/>
        <v>0</v>
      </c>
      <c r="BP710" s="1">
        <f t="shared" si="195"/>
        <v>0</v>
      </c>
      <c r="BQ710" s="1">
        <f t="shared" si="196"/>
        <v>0</v>
      </c>
      <c r="BR710" s="1" t="str">
        <f t="shared" si="197"/>
        <v/>
      </c>
      <c r="BS710" s="1">
        <f t="shared" si="198"/>
        <v>0</v>
      </c>
      <c r="BT710" s="4">
        <f t="shared" si="199"/>
        <v>0</v>
      </c>
      <c r="BU710" s="52">
        <f t="shared" si="200"/>
        <v>0</v>
      </c>
      <c r="BV710" s="1">
        <f t="shared" si="201"/>
        <v>0</v>
      </c>
      <c r="BW710">
        <f t="shared" si="202"/>
        <v>0</v>
      </c>
      <c r="BX710">
        <f t="shared" si="203"/>
        <v>0</v>
      </c>
    </row>
    <row r="711" spans="58:76" x14ac:dyDescent="0.25">
      <c r="BF711" s="1" t="e">
        <f>VLOOKUP(N711,'Incoming Material Report'!H:M,6,FALSE)</f>
        <v>#N/A</v>
      </c>
      <c r="BG711" s="1" t="e">
        <f>IF(VLOOKUP(N711,'Incoming Material Report'!H:N,7,FALSE)=0,"",VLOOKUP(N711,'Incoming Material Report'!H:N,7,FALSE))</f>
        <v>#N/A</v>
      </c>
      <c r="BH711" s="52">
        <f t="shared" si="187"/>
        <v>0</v>
      </c>
      <c r="BI711" s="1">
        <f t="shared" si="188"/>
        <v>0</v>
      </c>
      <c r="BJ711" s="1">
        <f t="shared" si="189"/>
        <v>0</v>
      </c>
      <c r="BK711" s="1">
        <f t="shared" si="190"/>
        <v>0</v>
      </c>
      <c r="BL711" s="1">
        <f t="shared" si="191"/>
        <v>0</v>
      </c>
      <c r="BM711" s="10" t="str">
        <f t="shared" si="192"/>
        <v/>
      </c>
      <c r="BN711" s="52">
        <f t="shared" si="193"/>
        <v>0</v>
      </c>
      <c r="BO711" s="52">
        <f t="shared" si="194"/>
        <v>0</v>
      </c>
      <c r="BP711" s="1">
        <f t="shared" si="195"/>
        <v>0</v>
      </c>
      <c r="BQ711" s="1">
        <f t="shared" si="196"/>
        <v>0</v>
      </c>
      <c r="BR711" s="1" t="str">
        <f t="shared" si="197"/>
        <v/>
      </c>
      <c r="BS711" s="1">
        <f t="shared" si="198"/>
        <v>0</v>
      </c>
      <c r="BT711" s="4">
        <f t="shared" si="199"/>
        <v>0</v>
      </c>
      <c r="BU711" s="52">
        <f t="shared" si="200"/>
        <v>0</v>
      </c>
      <c r="BV711" s="1">
        <f t="shared" si="201"/>
        <v>0</v>
      </c>
      <c r="BW711">
        <f t="shared" si="202"/>
        <v>0</v>
      </c>
      <c r="BX711">
        <f t="shared" si="203"/>
        <v>0</v>
      </c>
    </row>
    <row r="712" spans="58:76" x14ac:dyDescent="0.25">
      <c r="BF712" s="1" t="e">
        <f>VLOOKUP(N712,'Incoming Material Report'!H:M,6,FALSE)</f>
        <v>#N/A</v>
      </c>
      <c r="BG712" s="1" t="e">
        <f>IF(VLOOKUP(N712,'Incoming Material Report'!H:N,7,FALSE)=0,"",VLOOKUP(N712,'Incoming Material Report'!H:N,7,FALSE))</f>
        <v>#N/A</v>
      </c>
      <c r="BH712" s="52">
        <f t="shared" si="187"/>
        <v>0</v>
      </c>
      <c r="BI712" s="1">
        <f t="shared" si="188"/>
        <v>0</v>
      </c>
      <c r="BJ712" s="1">
        <f t="shared" si="189"/>
        <v>0</v>
      </c>
      <c r="BK712" s="1">
        <f t="shared" si="190"/>
        <v>0</v>
      </c>
      <c r="BL712" s="1">
        <f t="shared" si="191"/>
        <v>0</v>
      </c>
      <c r="BM712" s="10" t="str">
        <f t="shared" si="192"/>
        <v/>
      </c>
      <c r="BN712" s="52">
        <f t="shared" si="193"/>
        <v>0</v>
      </c>
      <c r="BO712" s="52">
        <f t="shared" si="194"/>
        <v>0</v>
      </c>
      <c r="BP712" s="1">
        <f t="shared" si="195"/>
        <v>0</v>
      </c>
      <c r="BQ712" s="1">
        <f t="shared" si="196"/>
        <v>0</v>
      </c>
      <c r="BR712" s="1" t="str">
        <f t="shared" si="197"/>
        <v/>
      </c>
      <c r="BS712" s="1">
        <f t="shared" si="198"/>
        <v>0</v>
      </c>
      <c r="BT712" s="4">
        <f t="shared" si="199"/>
        <v>0</v>
      </c>
      <c r="BU712" s="52">
        <f t="shared" si="200"/>
        <v>0</v>
      </c>
      <c r="BV712" s="1">
        <f t="shared" si="201"/>
        <v>0</v>
      </c>
      <c r="BW712">
        <f t="shared" si="202"/>
        <v>0</v>
      </c>
      <c r="BX712">
        <f t="shared" si="203"/>
        <v>0</v>
      </c>
    </row>
    <row r="713" spans="58:76" x14ac:dyDescent="0.25">
      <c r="BF713" s="1" t="e">
        <f>VLOOKUP(N713,'Incoming Material Report'!H:M,6,FALSE)</f>
        <v>#N/A</v>
      </c>
      <c r="BG713" s="1" t="e">
        <f>IF(VLOOKUP(N713,'Incoming Material Report'!H:N,7,FALSE)=0,"",VLOOKUP(N713,'Incoming Material Report'!H:N,7,FALSE))</f>
        <v>#N/A</v>
      </c>
      <c r="BH713" s="52">
        <f t="shared" si="187"/>
        <v>0</v>
      </c>
      <c r="BI713" s="1">
        <f t="shared" si="188"/>
        <v>0</v>
      </c>
      <c r="BJ713" s="1">
        <f t="shared" si="189"/>
        <v>0</v>
      </c>
      <c r="BK713" s="1">
        <f t="shared" si="190"/>
        <v>0</v>
      </c>
      <c r="BL713" s="1">
        <f t="shared" si="191"/>
        <v>0</v>
      </c>
      <c r="BM713" s="10" t="str">
        <f t="shared" si="192"/>
        <v/>
      </c>
      <c r="BN713" s="52">
        <f t="shared" si="193"/>
        <v>0</v>
      </c>
      <c r="BO713" s="52">
        <f t="shared" si="194"/>
        <v>0</v>
      </c>
      <c r="BP713" s="1">
        <f t="shared" si="195"/>
        <v>0</v>
      </c>
      <c r="BQ713" s="1">
        <f t="shared" si="196"/>
        <v>0</v>
      </c>
      <c r="BR713" s="1" t="str">
        <f t="shared" si="197"/>
        <v/>
      </c>
      <c r="BS713" s="1">
        <f t="shared" si="198"/>
        <v>0</v>
      </c>
      <c r="BT713" s="4">
        <f t="shared" si="199"/>
        <v>0</v>
      </c>
      <c r="BU713" s="52">
        <f t="shared" si="200"/>
        <v>0</v>
      </c>
      <c r="BV713" s="1">
        <f t="shared" si="201"/>
        <v>0</v>
      </c>
      <c r="BW713">
        <f t="shared" si="202"/>
        <v>0</v>
      </c>
      <c r="BX713">
        <f t="shared" si="203"/>
        <v>0</v>
      </c>
    </row>
    <row r="714" spans="58:76" x14ac:dyDescent="0.25">
      <c r="BF714" s="1" t="e">
        <f>VLOOKUP(N714,'Incoming Material Report'!H:M,6,FALSE)</f>
        <v>#N/A</v>
      </c>
      <c r="BG714" s="1" t="e">
        <f>IF(VLOOKUP(N714,'Incoming Material Report'!H:N,7,FALSE)=0,"",VLOOKUP(N714,'Incoming Material Report'!H:N,7,FALSE))</f>
        <v>#N/A</v>
      </c>
      <c r="BH714" s="52">
        <f t="shared" si="187"/>
        <v>0</v>
      </c>
      <c r="BI714" s="1">
        <f t="shared" si="188"/>
        <v>0</v>
      </c>
      <c r="BJ714" s="1">
        <f t="shared" si="189"/>
        <v>0</v>
      </c>
      <c r="BK714" s="1">
        <f t="shared" si="190"/>
        <v>0</v>
      </c>
      <c r="BL714" s="1">
        <f t="shared" si="191"/>
        <v>0</v>
      </c>
      <c r="BM714" s="10" t="str">
        <f t="shared" si="192"/>
        <v/>
      </c>
      <c r="BN714" s="52">
        <f t="shared" si="193"/>
        <v>0</v>
      </c>
      <c r="BO714" s="52">
        <f t="shared" si="194"/>
        <v>0</v>
      </c>
      <c r="BP714" s="1">
        <f t="shared" si="195"/>
        <v>0</v>
      </c>
      <c r="BQ714" s="1">
        <f t="shared" si="196"/>
        <v>0</v>
      </c>
      <c r="BR714" s="1" t="str">
        <f t="shared" si="197"/>
        <v/>
      </c>
      <c r="BS714" s="1">
        <f t="shared" si="198"/>
        <v>0</v>
      </c>
      <c r="BT714" s="4">
        <f t="shared" si="199"/>
        <v>0</v>
      </c>
      <c r="BU714" s="52">
        <f t="shared" si="200"/>
        <v>0</v>
      </c>
      <c r="BV714" s="1">
        <f t="shared" si="201"/>
        <v>0</v>
      </c>
      <c r="BW714">
        <f t="shared" si="202"/>
        <v>0</v>
      </c>
      <c r="BX714">
        <f t="shared" si="203"/>
        <v>0</v>
      </c>
    </row>
    <row r="715" spans="58:76" x14ac:dyDescent="0.25">
      <c r="BF715" s="1" t="e">
        <f>VLOOKUP(N715,'Incoming Material Report'!H:M,6,FALSE)</f>
        <v>#N/A</v>
      </c>
      <c r="BG715" s="1" t="e">
        <f>IF(VLOOKUP(N715,'Incoming Material Report'!H:N,7,FALSE)=0,"",VLOOKUP(N715,'Incoming Material Report'!H:N,7,FALSE))</f>
        <v>#N/A</v>
      </c>
      <c r="BH715" s="52">
        <f t="shared" si="187"/>
        <v>0</v>
      </c>
      <c r="BI715" s="1">
        <f t="shared" si="188"/>
        <v>0</v>
      </c>
      <c r="BJ715" s="1">
        <f t="shared" si="189"/>
        <v>0</v>
      </c>
      <c r="BK715" s="1">
        <f t="shared" si="190"/>
        <v>0</v>
      </c>
      <c r="BL715" s="1">
        <f t="shared" si="191"/>
        <v>0</v>
      </c>
      <c r="BM715" s="10" t="str">
        <f t="shared" si="192"/>
        <v/>
      </c>
      <c r="BN715" s="52">
        <f t="shared" si="193"/>
        <v>0</v>
      </c>
      <c r="BO715" s="52">
        <f t="shared" si="194"/>
        <v>0</v>
      </c>
      <c r="BP715" s="1">
        <f t="shared" si="195"/>
        <v>0</v>
      </c>
      <c r="BQ715" s="1">
        <f t="shared" si="196"/>
        <v>0</v>
      </c>
      <c r="BR715" s="1" t="str">
        <f t="shared" si="197"/>
        <v/>
      </c>
      <c r="BS715" s="1">
        <f t="shared" si="198"/>
        <v>0</v>
      </c>
      <c r="BT715" s="4">
        <f t="shared" si="199"/>
        <v>0</v>
      </c>
      <c r="BU715" s="52">
        <f t="shared" si="200"/>
        <v>0</v>
      </c>
      <c r="BV715" s="1">
        <f t="shared" si="201"/>
        <v>0</v>
      </c>
      <c r="BW715">
        <f t="shared" si="202"/>
        <v>0</v>
      </c>
      <c r="BX715">
        <f t="shared" si="203"/>
        <v>0</v>
      </c>
    </row>
    <row r="716" spans="58:76" x14ac:dyDescent="0.25">
      <c r="BF716" s="1" t="e">
        <f>VLOOKUP(N716,'Incoming Material Report'!H:M,6,FALSE)</f>
        <v>#N/A</v>
      </c>
      <c r="BG716" s="1" t="e">
        <f>IF(VLOOKUP(N716,'Incoming Material Report'!H:N,7,FALSE)=0,"",VLOOKUP(N716,'Incoming Material Report'!H:N,7,FALSE))</f>
        <v>#N/A</v>
      </c>
      <c r="BH716" s="52">
        <f t="shared" si="187"/>
        <v>0</v>
      </c>
      <c r="BI716" s="1">
        <f t="shared" si="188"/>
        <v>0</v>
      </c>
      <c r="BJ716" s="1">
        <f t="shared" si="189"/>
        <v>0</v>
      </c>
      <c r="BK716" s="1">
        <f t="shared" si="190"/>
        <v>0</v>
      </c>
      <c r="BL716" s="1">
        <f t="shared" si="191"/>
        <v>0</v>
      </c>
      <c r="BM716" s="10" t="str">
        <f t="shared" si="192"/>
        <v/>
      </c>
      <c r="BN716" s="52">
        <f t="shared" si="193"/>
        <v>0</v>
      </c>
      <c r="BO716" s="52">
        <f t="shared" si="194"/>
        <v>0</v>
      </c>
      <c r="BP716" s="1">
        <f t="shared" si="195"/>
        <v>0</v>
      </c>
      <c r="BQ716" s="1">
        <f t="shared" si="196"/>
        <v>0</v>
      </c>
      <c r="BR716" s="1" t="str">
        <f t="shared" si="197"/>
        <v/>
      </c>
      <c r="BS716" s="1">
        <f t="shared" si="198"/>
        <v>0</v>
      </c>
      <c r="BT716" s="4">
        <f t="shared" si="199"/>
        <v>0</v>
      </c>
      <c r="BU716" s="52">
        <f t="shared" si="200"/>
        <v>0</v>
      </c>
      <c r="BV716" s="1">
        <f t="shared" si="201"/>
        <v>0</v>
      </c>
      <c r="BW716">
        <f t="shared" si="202"/>
        <v>0</v>
      </c>
      <c r="BX716">
        <f t="shared" si="203"/>
        <v>0</v>
      </c>
    </row>
    <row r="717" spans="58:76" x14ac:dyDescent="0.25">
      <c r="BF717" s="1" t="e">
        <f>VLOOKUP(N717,'Incoming Material Report'!H:M,6,FALSE)</f>
        <v>#N/A</v>
      </c>
      <c r="BG717" s="1" t="e">
        <f>IF(VLOOKUP(N717,'Incoming Material Report'!H:N,7,FALSE)=0,"",VLOOKUP(N717,'Incoming Material Report'!H:N,7,FALSE))</f>
        <v>#N/A</v>
      </c>
      <c r="BH717" s="52">
        <f t="shared" si="187"/>
        <v>0</v>
      </c>
      <c r="BI717" s="1">
        <f t="shared" si="188"/>
        <v>0</v>
      </c>
      <c r="BJ717" s="1">
        <f t="shared" si="189"/>
        <v>0</v>
      </c>
      <c r="BK717" s="1">
        <f t="shared" si="190"/>
        <v>0</v>
      </c>
      <c r="BL717" s="1">
        <f t="shared" si="191"/>
        <v>0</v>
      </c>
      <c r="BM717" s="10" t="str">
        <f t="shared" si="192"/>
        <v/>
      </c>
      <c r="BN717" s="52">
        <f t="shared" si="193"/>
        <v>0</v>
      </c>
      <c r="BO717" s="52">
        <f t="shared" si="194"/>
        <v>0</v>
      </c>
      <c r="BP717" s="1">
        <f t="shared" si="195"/>
        <v>0</v>
      </c>
      <c r="BQ717" s="1">
        <f t="shared" si="196"/>
        <v>0</v>
      </c>
      <c r="BR717" s="1" t="str">
        <f t="shared" si="197"/>
        <v/>
      </c>
      <c r="BS717" s="1">
        <f t="shared" si="198"/>
        <v>0</v>
      </c>
      <c r="BT717" s="4">
        <f t="shared" si="199"/>
        <v>0</v>
      </c>
      <c r="BU717" s="52">
        <f t="shared" si="200"/>
        <v>0</v>
      </c>
      <c r="BV717" s="1">
        <f t="shared" si="201"/>
        <v>0</v>
      </c>
      <c r="BW717">
        <f t="shared" si="202"/>
        <v>0</v>
      </c>
      <c r="BX717">
        <f t="shared" si="203"/>
        <v>0</v>
      </c>
    </row>
    <row r="718" spans="58:76" x14ac:dyDescent="0.25">
      <c r="BF718" s="1" t="e">
        <f>VLOOKUP(N718,'Incoming Material Report'!H:M,6,FALSE)</f>
        <v>#N/A</v>
      </c>
      <c r="BG718" s="1" t="e">
        <f>IF(VLOOKUP(N718,'Incoming Material Report'!H:N,7,FALSE)=0,"",VLOOKUP(N718,'Incoming Material Report'!H:N,7,FALSE))</f>
        <v>#N/A</v>
      </c>
      <c r="BH718" s="52">
        <f t="shared" si="187"/>
        <v>0</v>
      </c>
      <c r="BI718" s="1">
        <f t="shared" si="188"/>
        <v>0</v>
      </c>
      <c r="BJ718" s="1">
        <f t="shared" si="189"/>
        <v>0</v>
      </c>
      <c r="BK718" s="1">
        <f t="shared" si="190"/>
        <v>0</v>
      </c>
      <c r="BL718" s="1">
        <f t="shared" si="191"/>
        <v>0</v>
      </c>
      <c r="BM718" s="10" t="str">
        <f t="shared" si="192"/>
        <v/>
      </c>
      <c r="BN718" s="52">
        <f t="shared" si="193"/>
        <v>0</v>
      </c>
      <c r="BO718" s="52">
        <f t="shared" si="194"/>
        <v>0</v>
      </c>
      <c r="BP718" s="1">
        <f t="shared" si="195"/>
        <v>0</v>
      </c>
      <c r="BQ718" s="1">
        <f t="shared" si="196"/>
        <v>0</v>
      </c>
      <c r="BR718" s="1" t="str">
        <f t="shared" si="197"/>
        <v/>
      </c>
      <c r="BS718" s="1">
        <f t="shared" si="198"/>
        <v>0</v>
      </c>
      <c r="BT718" s="4">
        <f t="shared" si="199"/>
        <v>0</v>
      </c>
      <c r="BU718" s="52">
        <f t="shared" si="200"/>
        <v>0</v>
      </c>
      <c r="BV718" s="1">
        <f t="shared" si="201"/>
        <v>0</v>
      </c>
      <c r="BW718">
        <f t="shared" si="202"/>
        <v>0</v>
      </c>
      <c r="BX718">
        <f t="shared" si="203"/>
        <v>0</v>
      </c>
    </row>
    <row r="719" spans="58:76" x14ac:dyDescent="0.25">
      <c r="BF719" s="1" t="e">
        <f>VLOOKUP(N719,'Incoming Material Report'!H:M,6,FALSE)</f>
        <v>#N/A</v>
      </c>
      <c r="BG719" s="1" t="e">
        <f>IF(VLOOKUP(N719,'Incoming Material Report'!H:N,7,FALSE)=0,"",VLOOKUP(N719,'Incoming Material Report'!H:N,7,FALSE))</f>
        <v>#N/A</v>
      </c>
      <c r="BH719" s="52">
        <f t="shared" si="187"/>
        <v>0</v>
      </c>
      <c r="BI719" s="1">
        <f t="shared" si="188"/>
        <v>0</v>
      </c>
      <c r="BJ719" s="1">
        <f t="shared" si="189"/>
        <v>0</v>
      </c>
      <c r="BK719" s="1">
        <f t="shared" si="190"/>
        <v>0</v>
      </c>
      <c r="BL719" s="1">
        <f t="shared" si="191"/>
        <v>0</v>
      </c>
      <c r="BM719" s="10" t="str">
        <f t="shared" si="192"/>
        <v/>
      </c>
      <c r="BN719" s="52">
        <f t="shared" si="193"/>
        <v>0</v>
      </c>
      <c r="BO719" s="52">
        <f t="shared" si="194"/>
        <v>0</v>
      </c>
      <c r="BP719" s="1">
        <f t="shared" si="195"/>
        <v>0</v>
      </c>
      <c r="BQ719" s="1">
        <f t="shared" si="196"/>
        <v>0</v>
      </c>
      <c r="BR719" s="1" t="str">
        <f t="shared" si="197"/>
        <v/>
      </c>
      <c r="BS719" s="1">
        <f t="shared" si="198"/>
        <v>0</v>
      </c>
      <c r="BT719" s="4">
        <f t="shared" si="199"/>
        <v>0</v>
      </c>
      <c r="BU719" s="52">
        <f t="shared" si="200"/>
        <v>0</v>
      </c>
      <c r="BV719" s="1">
        <f t="shared" si="201"/>
        <v>0</v>
      </c>
      <c r="BW719">
        <f t="shared" si="202"/>
        <v>0</v>
      </c>
      <c r="BX719">
        <f t="shared" si="203"/>
        <v>0</v>
      </c>
    </row>
    <row r="720" spans="58:76" x14ac:dyDescent="0.25">
      <c r="BF720" s="1" t="e">
        <f>VLOOKUP(N720,'Incoming Material Report'!H:M,6,FALSE)</f>
        <v>#N/A</v>
      </c>
      <c r="BG720" s="1" t="e">
        <f>IF(VLOOKUP(N720,'Incoming Material Report'!H:N,7,FALSE)=0,"",VLOOKUP(N720,'Incoming Material Report'!H:N,7,FALSE))</f>
        <v>#N/A</v>
      </c>
      <c r="BH720" s="52">
        <f t="shared" si="187"/>
        <v>0</v>
      </c>
      <c r="BI720" s="1">
        <f t="shared" si="188"/>
        <v>0</v>
      </c>
      <c r="BJ720" s="1">
        <f t="shared" si="189"/>
        <v>0</v>
      </c>
      <c r="BK720" s="1">
        <f t="shared" si="190"/>
        <v>0</v>
      </c>
      <c r="BL720" s="1">
        <f t="shared" si="191"/>
        <v>0</v>
      </c>
      <c r="BM720" s="10" t="str">
        <f t="shared" si="192"/>
        <v/>
      </c>
      <c r="BN720" s="52">
        <f t="shared" si="193"/>
        <v>0</v>
      </c>
      <c r="BO720" s="52">
        <f t="shared" si="194"/>
        <v>0</v>
      </c>
      <c r="BP720" s="1">
        <f t="shared" si="195"/>
        <v>0</v>
      </c>
      <c r="BQ720" s="1">
        <f t="shared" si="196"/>
        <v>0</v>
      </c>
      <c r="BR720" s="1" t="str">
        <f t="shared" si="197"/>
        <v/>
      </c>
      <c r="BS720" s="1">
        <f t="shared" si="198"/>
        <v>0</v>
      </c>
      <c r="BT720" s="4">
        <f t="shared" si="199"/>
        <v>0</v>
      </c>
      <c r="BU720" s="52">
        <f t="shared" si="200"/>
        <v>0</v>
      </c>
      <c r="BV720" s="1">
        <f t="shared" si="201"/>
        <v>0</v>
      </c>
      <c r="BW720">
        <f t="shared" si="202"/>
        <v>0</v>
      </c>
      <c r="BX720">
        <f t="shared" si="203"/>
        <v>0</v>
      </c>
    </row>
    <row r="721" spans="58:76" x14ac:dyDescent="0.25">
      <c r="BF721" s="1" t="e">
        <f>VLOOKUP(N721,'Incoming Material Report'!H:M,6,FALSE)</f>
        <v>#N/A</v>
      </c>
      <c r="BG721" s="1" t="e">
        <f>IF(VLOOKUP(N721,'Incoming Material Report'!H:N,7,FALSE)=0,"",VLOOKUP(N721,'Incoming Material Report'!H:N,7,FALSE))</f>
        <v>#N/A</v>
      </c>
      <c r="BH721" s="52">
        <f t="shared" si="187"/>
        <v>0</v>
      </c>
      <c r="BI721" s="1">
        <f t="shared" si="188"/>
        <v>0</v>
      </c>
      <c r="BJ721" s="1">
        <f t="shared" si="189"/>
        <v>0</v>
      </c>
      <c r="BK721" s="1">
        <f t="shared" si="190"/>
        <v>0</v>
      </c>
      <c r="BL721" s="1">
        <f t="shared" si="191"/>
        <v>0</v>
      </c>
      <c r="BM721" s="10" t="str">
        <f t="shared" si="192"/>
        <v/>
      </c>
      <c r="BN721" s="52">
        <f t="shared" si="193"/>
        <v>0</v>
      </c>
      <c r="BO721" s="52">
        <f t="shared" si="194"/>
        <v>0</v>
      </c>
      <c r="BP721" s="1">
        <f t="shared" si="195"/>
        <v>0</v>
      </c>
      <c r="BQ721" s="1">
        <f t="shared" si="196"/>
        <v>0</v>
      </c>
      <c r="BR721" s="1" t="str">
        <f t="shared" si="197"/>
        <v/>
      </c>
      <c r="BS721" s="1">
        <f t="shared" si="198"/>
        <v>0</v>
      </c>
      <c r="BT721" s="4">
        <f t="shared" si="199"/>
        <v>0</v>
      </c>
      <c r="BU721" s="52">
        <f t="shared" si="200"/>
        <v>0</v>
      </c>
      <c r="BV721" s="1">
        <f t="shared" si="201"/>
        <v>0</v>
      </c>
      <c r="BW721">
        <f t="shared" si="202"/>
        <v>0</v>
      </c>
      <c r="BX721">
        <f t="shared" si="203"/>
        <v>0</v>
      </c>
    </row>
    <row r="722" spans="58:76" x14ac:dyDescent="0.25">
      <c r="BF722" s="1" t="e">
        <f>VLOOKUP(N722,'Incoming Material Report'!H:M,6,FALSE)</f>
        <v>#N/A</v>
      </c>
      <c r="BG722" s="1" t="e">
        <f>IF(VLOOKUP(N722,'Incoming Material Report'!H:N,7,FALSE)=0,"",VLOOKUP(N722,'Incoming Material Report'!H:N,7,FALSE))</f>
        <v>#N/A</v>
      </c>
      <c r="BH722" s="52">
        <f t="shared" si="187"/>
        <v>0</v>
      </c>
      <c r="BI722" s="1">
        <f t="shared" si="188"/>
        <v>0</v>
      </c>
      <c r="BJ722" s="1">
        <f t="shared" si="189"/>
        <v>0</v>
      </c>
      <c r="BK722" s="1">
        <f t="shared" si="190"/>
        <v>0</v>
      </c>
      <c r="BL722" s="1">
        <f t="shared" si="191"/>
        <v>0</v>
      </c>
      <c r="BM722" s="10" t="str">
        <f t="shared" si="192"/>
        <v/>
      </c>
      <c r="BN722" s="52">
        <f t="shared" si="193"/>
        <v>0</v>
      </c>
      <c r="BO722" s="52">
        <f t="shared" si="194"/>
        <v>0</v>
      </c>
      <c r="BP722" s="1">
        <f t="shared" si="195"/>
        <v>0</v>
      </c>
      <c r="BQ722" s="1">
        <f t="shared" si="196"/>
        <v>0</v>
      </c>
      <c r="BR722" s="1" t="str">
        <f t="shared" si="197"/>
        <v/>
      </c>
      <c r="BS722" s="1">
        <f t="shared" si="198"/>
        <v>0</v>
      </c>
      <c r="BT722" s="4">
        <f t="shared" si="199"/>
        <v>0</v>
      </c>
      <c r="BU722" s="52">
        <f t="shared" si="200"/>
        <v>0</v>
      </c>
      <c r="BV722" s="1">
        <f t="shared" si="201"/>
        <v>0</v>
      </c>
      <c r="BW722">
        <f t="shared" si="202"/>
        <v>0</v>
      </c>
      <c r="BX722">
        <f t="shared" si="203"/>
        <v>0</v>
      </c>
    </row>
    <row r="723" spans="58:76" x14ac:dyDescent="0.25">
      <c r="BF723" s="1" t="e">
        <f>VLOOKUP(N723,'Incoming Material Report'!H:M,6,FALSE)</f>
        <v>#N/A</v>
      </c>
      <c r="BG723" s="1" t="e">
        <f>IF(VLOOKUP(N723,'Incoming Material Report'!H:N,7,FALSE)=0,"",VLOOKUP(N723,'Incoming Material Report'!H:N,7,FALSE))</f>
        <v>#N/A</v>
      </c>
      <c r="BH723" s="52">
        <f t="shared" si="187"/>
        <v>0</v>
      </c>
      <c r="BI723" s="1">
        <f t="shared" si="188"/>
        <v>0</v>
      </c>
      <c r="BJ723" s="1">
        <f t="shared" si="189"/>
        <v>0</v>
      </c>
      <c r="BK723" s="1">
        <f t="shared" si="190"/>
        <v>0</v>
      </c>
      <c r="BL723" s="1">
        <f t="shared" si="191"/>
        <v>0</v>
      </c>
      <c r="BM723" s="10" t="str">
        <f t="shared" si="192"/>
        <v/>
      </c>
      <c r="BN723" s="52">
        <f t="shared" si="193"/>
        <v>0</v>
      </c>
      <c r="BO723" s="52">
        <f t="shared" si="194"/>
        <v>0</v>
      </c>
      <c r="BP723" s="1">
        <f t="shared" si="195"/>
        <v>0</v>
      </c>
      <c r="BQ723" s="1">
        <f t="shared" si="196"/>
        <v>0</v>
      </c>
      <c r="BR723" s="1" t="str">
        <f t="shared" si="197"/>
        <v/>
      </c>
      <c r="BS723" s="1">
        <f t="shared" si="198"/>
        <v>0</v>
      </c>
      <c r="BT723" s="4">
        <f t="shared" si="199"/>
        <v>0</v>
      </c>
      <c r="BU723" s="52">
        <f t="shared" si="200"/>
        <v>0</v>
      </c>
      <c r="BV723" s="1">
        <f t="shared" si="201"/>
        <v>0</v>
      </c>
      <c r="BW723">
        <f t="shared" si="202"/>
        <v>0</v>
      </c>
      <c r="BX723">
        <f t="shared" si="203"/>
        <v>0</v>
      </c>
    </row>
    <row r="724" spans="58:76" x14ac:dyDescent="0.25">
      <c r="BF724" s="1" t="e">
        <f>VLOOKUP(N724,'Incoming Material Report'!H:M,6,FALSE)</f>
        <v>#N/A</v>
      </c>
      <c r="BG724" s="1" t="e">
        <f>IF(VLOOKUP(N724,'Incoming Material Report'!H:N,7,FALSE)=0,"",VLOOKUP(N724,'Incoming Material Report'!H:N,7,FALSE))</f>
        <v>#N/A</v>
      </c>
      <c r="BH724" s="52">
        <f t="shared" si="187"/>
        <v>0</v>
      </c>
      <c r="BI724" s="1">
        <f t="shared" si="188"/>
        <v>0</v>
      </c>
      <c r="BJ724" s="1">
        <f t="shared" si="189"/>
        <v>0</v>
      </c>
      <c r="BK724" s="1">
        <f t="shared" si="190"/>
        <v>0</v>
      </c>
      <c r="BL724" s="1">
        <f t="shared" si="191"/>
        <v>0</v>
      </c>
      <c r="BM724" s="10" t="str">
        <f t="shared" si="192"/>
        <v/>
      </c>
      <c r="BN724" s="52">
        <f t="shared" si="193"/>
        <v>0</v>
      </c>
      <c r="BO724" s="52">
        <f t="shared" si="194"/>
        <v>0</v>
      </c>
      <c r="BP724" s="1">
        <f t="shared" si="195"/>
        <v>0</v>
      </c>
      <c r="BQ724" s="1">
        <f t="shared" si="196"/>
        <v>0</v>
      </c>
      <c r="BR724" s="1" t="str">
        <f t="shared" si="197"/>
        <v/>
      </c>
      <c r="BS724" s="1">
        <f t="shared" si="198"/>
        <v>0</v>
      </c>
      <c r="BT724" s="4">
        <f t="shared" si="199"/>
        <v>0</v>
      </c>
      <c r="BU724" s="52">
        <f t="shared" si="200"/>
        <v>0</v>
      </c>
      <c r="BV724" s="1">
        <f t="shared" si="201"/>
        <v>0</v>
      </c>
      <c r="BW724">
        <f t="shared" si="202"/>
        <v>0</v>
      </c>
      <c r="BX724">
        <f t="shared" si="203"/>
        <v>0</v>
      </c>
    </row>
    <row r="725" spans="58:76" x14ac:dyDescent="0.25">
      <c r="BF725" s="1" t="e">
        <f>VLOOKUP(N725,'Incoming Material Report'!H:M,6,FALSE)</f>
        <v>#N/A</v>
      </c>
      <c r="BG725" s="1" t="e">
        <f>IF(VLOOKUP(N725,'Incoming Material Report'!H:N,7,FALSE)=0,"",VLOOKUP(N725,'Incoming Material Report'!H:N,7,FALSE))</f>
        <v>#N/A</v>
      </c>
      <c r="BH725" s="52">
        <f t="shared" si="187"/>
        <v>0</v>
      </c>
      <c r="BI725" s="1">
        <f t="shared" si="188"/>
        <v>0</v>
      </c>
      <c r="BJ725" s="1">
        <f t="shared" si="189"/>
        <v>0</v>
      </c>
      <c r="BK725" s="1">
        <f t="shared" si="190"/>
        <v>0</v>
      </c>
      <c r="BL725" s="1">
        <f t="shared" si="191"/>
        <v>0</v>
      </c>
      <c r="BM725" s="10" t="str">
        <f t="shared" si="192"/>
        <v/>
      </c>
      <c r="BN725" s="52">
        <f t="shared" si="193"/>
        <v>0</v>
      </c>
      <c r="BO725" s="52">
        <f t="shared" si="194"/>
        <v>0</v>
      </c>
      <c r="BP725" s="1">
        <f t="shared" si="195"/>
        <v>0</v>
      </c>
      <c r="BQ725" s="1">
        <f t="shared" si="196"/>
        <v>0</v>
      </c>
      <c r="BR725" s="1" t="str">
        <f t="shared" si="197"/>
        <v/>
      </c>
      <c r="BS725" s="1">
        <f t="shared" si="198"/>
        <v>0</v>
      </c>
      <c r="BT725" s="4">
        <f t="shared" si="199"/>
        <v>0</v>
      </c>
      <c r="BU725" s="52">
        <f t="shared" si="200"/>
        <v>0</v>
      </c>
      <c r="BV725" s="1">
        <f t="shared" si="201"/>
        <v>0</v>
      </c>
      <c r="BW725">
        <f t="shared" si="202"/>
        <v>0</v>
      </c>
      <c r="BX725">
        <f t="shared" si="203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0986"/>
  <sheetViews>
    <sheetView zoomScale="124" zoomScaleNormal="124" workbookViewId="0">
      <selection sqref="A1:XFD1048576"/>
    </sheetView>
  </sheetViews>
  <sheetFormatPr defaultRowHeight="15" x14ac:dyDescent="0.25"/>
  <cols>
    <col min="1" max="1" width="9.42578125" style="1" bestFit="1" customWidth="1"/>
    <col min="2" max="2" width="13.5703125" style="1" bestFit="1" customWidth="1"/>
    <col min="3" max="3" width="27.85546875" style="1" bestFit="1" customWidth="1"/>
    <col min="4" max="4" width="12.140625" style="1" bestFit="1" customWidth="1"/>
    <col min="5" max="6" width="9.140625" style="1" customWidth="1"/>
    <col min="7" max="7" width="9.28515625" style="1" bestFit="1" customWidth="1"/>
    <col min="8" max="9" width="9.140625" style="1" customWidth="1"/>
    <col min="10" max="11" width="9.28515625" style="1" bestFit="1" customWidth="1"/>
    <col min="12" max="15" width="9.140625" style="1" customWidth="1"/>
    <col min="16" max="16" width="9.42578125" style="1" bestFit="1" customWidth="1"/>
    <col min="17" max="17" width="11.5703125" style="1" bestFit="1" customWidth="1"/>
    <col min="18" max="18" width="9.28515625" style="1" bestFit="1" customWidth="1"/>
    <col min="19" max="19" width="8" style="1" bestFit="1" customWidth="1"/>
  </cols>
  <sheetData>
    <row r="1" spans="1:26" s="12" customForma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6" x14ac:dyDescent="0.25">
      <c r="A2" s="13"/>
      <c r="B2" s="13"/>
      <c r="C2" s="13"/>
      <c r="D2" s="14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4"/>
      <c r="R2" s="13"/>
      <c r="S2" s="13"/>
      <c r="T2" s="13"/>
      <c r="U2" s="13"/>
      <c r="V2" s="13"/>
      <c r="W2" s="13"/>
      <c r="X2" s="1"/>
      <c r="Y2" s="1"/>
      <c r="Z2" s="1"/>
    </row>
    <row r="3" spans="1:26" x14ac:dyDescent="0.25">
      <c r="A3" s="13"/>
      <c r="B3" s="13"/>
      <c r="C3" s="13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4"/>
      <c r="R3" s="13"/>
      <c r="S3" s="13"/>
      <c r="T3" s="13"/>
      <c r="U3" s="13"/>
      <c r="V3" s="13"/>
      <c r="W3" s="13"/>
      <c r="X3" s="1"/>
      <c r="Y3" s="1"/>
      <c r="Z3" s="1"/>
    </row>
    <row r="4" spans="1:26" x14ac:dyDescent="0.25">
      <c r="A4" s="13"/>
      <c r="B4" s="13"/>
      <c r="C4" s="13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3"/>
      <c r="S4" s="13"/>
      <c r="T4" s="13"/>
      <c r="U4" s="13"/>
      <c r="V4" s="13"/>
      <c r="W4" s="13"/>
    </row>
    <row r="5" spans="1:26" x14ac:dyDescent="0.25">
      <c r="A5" s="13"/>
      <c r="B5" s="13"/>
      <c r="C5" s="13"/>
      <c r="D5" s="14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4"/>
      <c r="R5" s="13"/>
      <c r="S5" s="13"/>
      <c r="T5" s="13"/>
      <c r="U5" s="13"/>
      <c r="V5" s="13"/>
      <c r="W5" s="13"/>
    </row>
    <row r="6" spans="1:26" x14ac:dyDescent="0.25">
      <c r="A6" s="13"/>
      <c r="B6" s="13"/>
      <c r="C6" s="13"/>
      <c r="D6" s="15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5"/>
      <c r="R6" s="13"/>
      <c r="S6" s="13"/>
      <c r="T6" s="13"/>
      <c r="U6" s="13"/>
      <c r="V6" s="13"/>
      <c r="W6" s="13"/>
      <c r="X6" s="1"/>
      <c r="Y6" s="1"/>
      <c r="Z6" s="1"/>
    </row>
    <row r="7" spans="1:26" x14ac:dyDescent="0.25">
      <c r="A7" s="13"/>
      <c r="B7" s="13"/>
      <c r="C7" s="13"/>
      <c r="D7" s="14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4"/>
      <c r="R7" s="13"/>
      <c r="S7" s="13"/>
      <c r="T7" s="13"/>
      <c r="U7" s="13"/>
      <c r="V7" s="13"/>
      <c r="W7" s="13"/>
      <c r="X7" s="1"/>
      <c r="Y7" s="1"/>
      <c r="Z7" s="1"/>
    </row>
    <row r="8" spans="1:26" x14ac:dyDescent="0.25">
      <c r="A8" s="13"/>
      <c r="B8" s="13"/>
      <c r="C8" s="13"/>
      <c r="D8" s="14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4"/>
      <c r="R8" s="13"/>
      <c r="S8" s="13"/>
      <c r="T8" s="13"/>
      <c r="U8" s="13"/>
      <c r="V8" s="13"/>
      <c r="W8" s="13"/>
      <c r="X8" s="1"/>
      <c r="Y8" s="1"/>
      <c r="Z8" s="1"/>
    </row>
    <row r="9" spans="1:26" x14ac:dyDescent="0.25">
      <c r="A9" s="13"/>
      <c r="B9" s="13"/>
      <c r="C9" s="13"/>
      <c r="D9" s="15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5"/>
      <c r="R9" s="13"/>
      <c r="S9" s="13"/>
      <c r="T9" s="13"/>
      <c r="U9" s="13"/>
      <c r="V9" s="13"/>
      <c r="W9" s="13"/>
      <c r="X9" s="1"/>
      <c r="Y9" s="1"/>
      <c r="Z9" s="1"/>
    </row>
    <row r="10" spans="1:26" x14ac:dyDescent="0.25">
      <c r="A10" s="13"/>
      <c r="B10" s="13"/>
      <c r="C10" s="13"/>
      <c r="D10" s="14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4"/>
      <c r="R10" s="13"/>
      <c r="S10" s="13"/>
      <c r="T10" s="13"/>
      <c r="U10" s="13"/>
      <c r="V10" s="13"/>
      <c r="W10" s="13"/>
      <c r="X10" s="1"/>
      <c r="Y10" s="1"/>
      <c r="Z10" s="1"/>
    </row>
    <row r="11" spans="1:26" x14ac:dyDescent="0.25">
      <c r="A11" s="13"/>
      <c r="B11" s="13"/>
      <c r="C11" s="13"/>
      <c r="D11" s="14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13"/>
      <c r="S11" s="13"/>
      <c r="T11" s="13"/>
      <c r="U11" s="13"/>
      <c r="V11" s="13"/>
      <c r="W11" s="13"/>
    </row>
    <row r="12" spans="1:26" x14ac:dyDescent="0.25">
      <c r="A12" s="13"/>
      <c r="B12" s="13"/>
      <c r="C12" s="13"/>
      <c r="D12" s="1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4"/>
      <c r="R12" s="13"/>
      <c r="S12" s="13"/>
      <c r="T12" s="13"/>
      <c r="U12" s="13"/>
      <c r="V12" s="13"/>
      <c r="W12" s="13"/>
    </row>
    <row r="13" spans="1:26" x14ac:dyDescent="0.25">
      <c r="A13" s="13"/>
      <c r="B13" s="13"/>
      <c r="C13" s="13"/>
      <c r="D13" s="15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4"/>
      <c r="R13" s="13"/>
      <c r="S13" s="13"/>
      <c r="T13" s="13"/>
      <c r="U13" s="13"/>
      <c r="V13" s="13"/>
      <c r="W13" s="13"/>
      <c r="X13" s="1"/>
      <c r="Y13" s="1"/>
      <c r="Z13" s="1"/>
    </row>
    <row r="14" spans="1:26" x14ac:dyDescent="0.25">
      <c r="A14" s="13"/>
      <c r="B14" s="13"/>
      <c r="C14" s="13"/>
      <c r="D14" s="15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3"/>
      <c r="X14" s="1"/>
      <c r="Y14" s="1"/>
      <c r="Z14" s="1"/>
    </row>
    <row r="15" spans="1:26" x14ac:dyDescent="0.25">
      <c r="A15" s="13"/>
      <c r="B15" s="13"/>
      <c r="C15" s="13"/>
      <c r="D15" s="14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3"/>
      <c r="X15" s="1"/>
      <c r="Y15" s="1"/>
      <c r="Z15" s="1"/>
    </row>
    <row r="16" spans="1:26" x14ac:dyDescent="0.25">
      <c r="A16" s="13"/>
      <c r="B16" s="13"/>
      <c r="C16" s="13"/>
      <c r="D16" s="14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3"/>
    </row>
    <row r="17" spans="1:26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3"/>
    </row>
    <row r="18" spans="1:26" x14ac:dyDescent="0.25">
      <c r="A18" s="13"/>
      <c r="B18" s="13"/>
      <c r="C18" s="13"/>
      <c r="D18" s="15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5"/>
      <c r="R18" s="13"/>
      <c r="S18" s="13"/>
      <c r="T18" s="13"/>
      <c r="U18" s="13"/>
      <c r="V18" s="13"/>
      <c r="W18" s="13"/>
      <c r="X18" s="1"/>
      <c r="Y18" s="1"/>
      <c r="Z18" s="1"/>
    </row>
    <row r="19" spans="1:26" x14ac:dyDescent="0.25">
      <c r="A19" s="13"/>
      <c r="B19" s="13"/>
      <c r="C19" s="13"/>
      <c r="D19" s="14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  <c r="R19" s="13"/>
      <c r="S19" s="13"/>
      <c r="T19" s="13"/>
      <c r="U19" s="13"/>
      <c r="V19" s="13"/>
      <c r="W19" s="13"/>
      <c r="X19" s="1"/>
      <c r="Y19" s="1"/>
      <c r="Z19" s="1"/>
    </row>
    <row r="20" spans="1:26" x14ac:dyDescent="0.25">
      <c r="A20" s="13"/>
      <c r="B20" s="13"/>
      <c r="C20" s="13"/>
      <c r="D20" s="1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3"/>
    </row>
    <row r="21" spans="1:26" x14ac:dyDescent="0.25">
      <c r="A21" s="13"/>
      <c r="B21" s="13"/>
      <c r="C21" s="13"/>
      <c r="D21" s="14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3"/>
      <c r="S21" s="13"/>
      <c r="T21" s="13"/>
      <c r="U21" s="13"/>
      <c r="V21" s="13"/>
      <c r="W21" s="13"/>
    </row>
    <row r="22" spans="1:26" x14ac:dyDescent="0.25">
      <c r="A22" s="13"/>
      <c r="B22" s="13"/>
      <c r="C22" s="13"/>
      <c r="D22" s="14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3"/>
      <c r="X22" s="1"/>
      <c r="Y22" s="1"/>
      <c r="Z22" s="1"/>
    </row>
    <row r="23" spans="1:26" x14ac:dyDescent="0.25">
      <c r="A23" s="13"/>
      <c r="B23" s="13"/>
      <c r="C23" s="13"/>
      <c r="D23" s="14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3"/>
    </row>
    <row r="24" spans="1:26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26" x14ac:dyDescent="0.25">
      <c r="A25" s="13"/>
      <c r="B25" s="13"/>
      <c r="C25" s="13"/>
      <c r="D25" s="15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5"/>
      <c r="R25" s="13"/>
      <c r="S25" s="13"/>
      <c r="T25" s="13"/>
      <c r="U25" s="13"/>
      <c r="V25" s="13"/>
      <c r="W25" s="13"/>
      <c r="X25" s="1"/>
      <c r="Y25" s="1"/>
      <c r="Z25" s="1"/>
    </row>
    <row r="26" spans="1:26" x14ac:dyDescent="0.25">
      <c r="A26" s="13"/>
      <c r="B26" s="13"/>
      <c r="C26" s="13"/>
      <c r="D26" s="14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4"/>
      <c r="R26" s="13"/>
      <c r="S26" s="13"/>
      <c r="T26" s="13"/>
      <c r="U26" s="13"/>
      <c r="V26" s="13"/>
      <c r="W26" s="13"/>
      <c r="X26" s="1"/>
      <c r="Y26" s="1"/>
      <c r="Z26" s="1"/>
    </row>
    <row r="27" spans="1:26" x14ac:dyDescent="0.25">
      <c r="A27" s="13"/>
      <c r="B27" s="13"/>
      <c r="C27" s="13"/>
      <c r="D27" s="14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3"/>
    </row>
    <row r="28" spans="1:26" x14ac:dyDescent="0.25">
      <c r="A28" s="13"/>
      <c r="B28" s="13"/>
      <c r="C28" s="13"/>
      <c r="D28" s="14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3"/>
    </row>
    <row r="29" spans="1:26" x14ac:dyDescent="0.25">
      <c r="A29" s="13"/>
      <c r="B29" s="13"/>
      <c r="C29" s="13"/>
      <c r="D29" s="15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5"/>
      <c r="R29" s="13"/>
      <c r="S29" s="13"/>
      <c r="T29" s="13"/>
      <c r="U29" s="13"/>
      <c r="V29" s="13"/>
      <c r="W29" s="13"/>
      <c r="X29" s="1"/>
      <c r="Y29" s="1"/>
      <c r="Z29" s="1"/>
    </row>
    <row r="30" spans="1:2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:26" x14ac:dyDescent="0.25">
      <c r="A31" s="13"/>
      <c r="B31" s="13"/>
      <c r="C31" s="13"/>
      <c r="D31" s="14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4"/>
      <c r="R31" s="13"/>
      <c r="S31" s="13"/>
      <c r="T31" s="13"/>
      <c r="U31" s="13"/>
      <c r="V31" s="13"/>
      <c r="W31" s="13"/>
    </row>
    <row r="32" spans="1:26" x14ac:dyDescent="0.25">
      <c r="A32" s="13"/>
      <c r="B32" s="13"/>
      <c r="C32" s="13"/>
      <c r="D32" s="14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4"/>
      <c r="R32" s="13"/>
      <c r="S32" s="13"/>
      <c r="T32" s="13"/>
      <c r="U32" s="13"/>
      <c r="V32" s="13"/>
      <c r="W32" s="13"/>
      <c r="X32" s="1"/>
      <c r="Y32" s="1"/>
      <c r="Z32" s="1"/>
    </row>
    <row r="33" spans="1:26" x14ac:dyDescent="0.25">
      <c r="A33" s="13"/>
      <c r="B33" s="13"/>
      <c r="C33" s="13"/>
      <c r="D33" s="15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5"/>
      <c r="R33" s="13"/>
      <c r="S33" s="13"/>
      <c r="T33" s="13"/>
      <c r="U33" s="13"/>
      <c r="V33" s="13"/>
      <c r="W33" s="13"/>
      <c r="X33" s="1"/>
      <c r="Y33" s="1"/>
      <c r="Z33" s="1"/>
    </row>
    <row r="34" spans="1:26" x14ac:dyDescent="0.25">
      <c r="A34" s="13"/>
      <c r="B34" s="13"/>
      <c r="C34" s="13"/>
      <c r="D34" s="15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5"/>
      <c r="R34" s="13"/>
      <c r="S34" s="13"/>
      <c r="T34" s="13"/>
      <c r="U34" s="13"/>
      <c r="V34" s="13"/>
      <c r="W34" s="13"/>
      <c r="X34" s="1"/>
      <c r="Y34" s="1"/>
      <c r="Z34" s="1"/>
    </row>
    <row r="35" spans="1:26" x14ac:dyDescent="0.25">
      <c r="A35" s="13"/>
      <c r="B35" s="13"/>
      <c r="C35" s="13"/>
      <c r="D35" s="14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3"/>
    </row>
    <row r="37" spans="1:26" x14ac:dyDescent="0.25">
      <c r="A37" s="13"/>
      <c r="B37" s="13"/>
      <c r="C37" s="13"/>
      <c r="D37" s="15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5"/>
      <c r="R37" s="13"/>
      <c r="S37" s="13"/>
      <c r="T37" s="13"/>
      <c r="U37" s="13"/>
      <c r="V37" s="13"/>
      <c r="W37" s="13"/>
      <c r="X37" s="1"/>
      <c r="Y37" s="1"/>
      <c r="Z37" s="1"/>
    </row>
    <row r="38" spans="1:26" x14ac:dyDescent="0.25">
      <c r="A38" s="13"/>
      <c r="B38" s="13"/>
      <c r="C38" s="13"/>
      <c r="D38" s="14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4"/>
      <c r="R38" s="13"/>
      <c r="S38" s="13"/>
      <c r="T38" s="13"/>
      <c r="U38" s="13"/>
      <c r="V38" s="13"/>
      <c r="W38" s="13"/>
      <c r="X38" s="1"/>
      <c r="Y38" s="1"/>
      <c r="Z38" s="1"/>
    </row>
    <row r="39" spans="1:26" x14ac:dyDescent="0.25">
      <c r="A39" s="13"/>
      <c r="B39" s="13"/>
      <c r="C39" s="13"/>
      <c r="D39" s="14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3"/>
    </row>
    <row r="41" spans="1:26" x14ac:dyDescent="0.25">
      <c r="A41" s="13"/>
      <c r="B41" s="13"/>
      <c r="C41" s="13"/>
      <c r="D41" s="14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4"/>
      <c r="R41" s="13"/>
      <c r="S41" s="13"/>
      <c r="T41" s="13"/>
      <c r="U41" s="13"/>
      <c r="V41" s="13"/>
      <c r="W41" s="13"/>
      <c r="X41" s="1"/>
      <c r="Y41" s="1"/>
      <c r="Z41" s="1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1:26" x14ac:dyDescent="0.25">
      <c r="A43" s="13"/>
      <c r="B43" s="13"/>
      <c r="C43" s="13"/>
      <c r="D43" s="14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3"/>
    </row>
    <row r="44" spans="1:26" x14ac:dyDescent="0.25">
      <c r="A44" s="13"/>
      <c r="B44" s="13"/>
      <c r="C44" s="13"/>
      <c r="D44" s="14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4"/>
      <c r="R44" s="13"/>
      <c r="S44" s="13"/>
      <c r="T44" s="13"/>
      <c r="U44" s="13"/>
      <c r="V44" s="13"/>
      <c r="W44" s="13"/>
      <c r="X44" s="1"/>
      <c r="Y44" s="1"/>
      <c r="Z44" s="1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1:26" x14ac:dyDescent="0.25">
      <c r="A47" s="13"/>
      <c r="B47" s="13"/>
      <c r="C47" s="13"/>
      <c r="D47" s="14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4"/>
      <c r="R47" s="13"/>
      <c r="S47" s="13"/>
      <c r="T47" s="13"/>
      <c r="U47" s="13"/>
      <c r="V47" s="13"/>
      <c r="W47" s="13"/>
      <c r="X47" s="1"/>
      <c r="Y47" s="1"/>
      <c r="Z47" s="1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4"/>
      <c r="R48" s="13"/>
      <c r="S48" s="13"/>
      <c r="T48" s="13"/>
      <c r="U48" s="13"/>
      <c r="V48" s="13"/>
      <c r="W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1:26" x14ac:dyDescent="0.25">
      <c r="A50" s="13"/>
      <c r="B50" s="13"/>
      <c r="C50" s="13"/>
      <c r="D50" s="14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4"/>
      <c r="R50" s="13"/>
      <c r="S50" s="13"/>
      <c r="T50" s="13"/>
      <c r="U50" s="13"/>
      <c r="V50" s="13"/>
      <c r="W50" s="13"/>
      <c r="X50" s="1"/>
      <c r="Y50" s="1"/>
      <c r="Z50" s="1"/>
    </row>
    <row r="51" spans="1:26" x14ac:dyDescent="0.25">
      <c r="A51" s="13"/>
      <c r="B51" s="13"/>
      <c r="C51" s="13"/>
      <c r="D51" s="14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4"/>
      <c r="R51" s="13"/>
      <c r="S51" s="13"/>
      <c r="T51" s="13"/>
      <c r="U51" s="13"/>
      <c r="V51" s="13"/>
      <c r="W51" s="13"/>
    </row>
    <row r="52" spans="1:2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6" x14ac:dyDescent="0.25">
      <c r="A53" s="13"/>
      <c r="B53" s="13"/>
      <c r="C53" s="13"/>
      <c r="D53" s="14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4"/>
      <c r="R53" s="13"/>
      <c r="S53" s="13"/>
      <c r="T53" s="13"/>
      <c r="U53" s="13"/>
      <c r="V53" s="13"/>
      <c r="W53" s="13"/>
      <c r="X53" s="1"/>
      <c r="Y53" s="1"/>
      <c r="Z53" s="1"/>
    </row>
    <row r="54" spans="1:26" x14ac:dyDescent="0.25">
      <c r="A54" s="13"/>
      <c r="B54" s="13"/>
      <c r="C54" s="13"/>
      <c r="D54" s="14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4"/>
      <c r="R54" s="13"/>
      <c r="S54" s="13"/>
      <c r="T54" s="13"/>
      <c r="U54" s="13"/>
      <c r="V54" s="13"/>
      <c r="W54" s="13"/>
    </row>
    <row r="55" spans="1:26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6" x14ac:dyDescent="0.25">
      <c r="A56" s="13"/>
      <c r="B56" s="13"/>
      <c r="C56" s="13"/>
      <c r="D56" s="14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4"/>
      <c r="R56" s="13"/>
      <c r="S56" s="13"/>
      <c r="T56" s="13"/>
      <c r="U56" s="13"/>
      <c r="V56" s="13"/>
      <c r="W56" s="13"/>
      <c r="X56" s="1"/>
      <c r="Y56" s="1"/>
      <c r="Z56" s="1"/>
    </row>
    <row r="57" spans="1:26" x14ac:dyDescent="0.25">
      <c r="A57" s="13"/>
      <c r="B57" s="13"/>
      <c r="C57" s="13"/>
      <c r="D57" s="14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4"/>
      <c r="R57" s="13"/>
      <c r="S57" s="13"/>
      <c r="T57" s="13"/>
      <c r="U57" s="13"/>
      <c r="V57" s="13"/>
      <c r="W57" s="13"/>
    </row>
    <row r="58" spans="1:26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spans="1:26" x14ac:dyDescent="0.25">
      <c r="A59" s="13"/>
      <c r="B59" s="13"/>
      <c r="C59" s="13"/>
      <c r="D59" s="15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5"/>
      <c r="R59" s="13"/>
      <c r="S59" s="13"/>
      <c r="T59" s="13"/>
      <c r="U59" s="13"/>
      <c r="V59" s="13"/>
      <c r="W59" s="13"/>
      <c r="X59" s="1"/>
      <c r="Y59" s="1"/>
      <c r="Z59" s="1"/>
    </row>
    <row r="60" spans="1:26" x14ac:dyDescent="0.25">
      <c r="A60" s="13"/>
      <c r="B60" s="13"/>
      <c r="C60" s="13"/>
      <c r="D60" s="14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4"/>
      <c r="R60" s="13"/>
      <c r="S60" s="13"/>
      <c r="T60" s="13"/>
      <c r="U60" s="13"/>
      <c r="V60" s="13"/>
      <c r="W60" s="13"/>
    </row>
    <row r="61" spans="1:26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spans="1:26" x14ac:dyDescent="0.25">
      <c r="A62" s="13"/>
      <c r="B62" s="13"/>
      <c r="C62" s="13"/>
      <c r="D62" s="15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5"/>
      <c r="R62" s="13"/>
      <c r="S62" s="13"/>
      <c r="T62" s="13"/>
      <c r="U62" s="13"/>
      <c r="V62" s="13"/>
      <c r="W62" s="13"/>
      <c r="X62" s="1"/>
      <c r="Y62" s="1"/>
      <c r="Z62" s="1"/>
    </row>
    <row r="63" spans="1:26" x14ac:dyDescent="0.25">
      <c r="A63" s="13"/>
      <c r="B63" s="13"/>
      <c r="C63" s="13"/>
      <c r="D63" s="14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4"/>
      <c r="R63" s="13"/>
      <c r="S63" s="13"/>
      <c r="T63" s="13"/>
      <c r="U63" s="13"/>
      <c r="V63" s="13"/>
      <c r="W63" s="13"/>
    </row>
    <row r="64" spans="1:26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spans="1:26" x14ac:dyDescent="0.25">
      <c r="A65" s="13"/>
      <c r="B65" s="13"/>
      <c r="C65" s="13"/>
      <c r="D65" s="15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5"/>
      <c r="R65" s="13"/>
      <c r="S65" s="13"/>
      <c r="T65" s="13"/>
      <c r="U65" s="13"/>
      <c r="V65" s="13"/>
      <c r="W65" s="13"/>
      <c r="X65" s="1"/>
      <c r="Y65" s="1"/>
      <c r="Z65" s="1"/>
    </row>
    <row r="66" spans="1:26" x14ac:dyDescent="0.25">
      <c r="A66" s="13"/>
      <c r="B66" s="13"/>
      <c r="C66" s="13"/>
      <c r="D66" s="14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4"/>
      <c r="R66" s="13"/>
      <c r="S66" s="13"/>
      <c r="T66" s="13"/>
      <c r="U66" s="13"/>
      <c r="V66" s="13"/>
      <c r="W66" s="13"/>
    </row>
    <row r="67" spans="1:26" x14ac:dyDescent="0.25">
      <c r="A67" s="13"/>
      <c r="B67" s="13"/>
      <c r="C67" s="13"/>
      <c r="D67" s="14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4"/>
      <c r="R67" s="13"/>
      <c r="S67" s="13"/>
      <c r="T67" s="13"/>
      <c r="U67" s="13"/>
      <c r="V67" s="13"/>
      <c r="W67" s="13"/>
    </row>
    <row r="68" spans="1:26" x14ac:dyDescent="0.25">
      <c r="A68" s="13"/>
      <c r="B68" s="13"/>
      <c r="C68" s="13"/>
      <c r="D68" s="15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5"/>
      <c r="R68" s="13"/>
      <c r="S68" s="13"/>
      <c r="T68" s="13"/>
      <c r="U68" s="13"/>
      <c r="V68" s="13"/>
      <c r="W68" s="13"/>
      <c r="X68" s="1"/>
      <c r="Y68" s="1"/>
      <c r="Z68" s="1"/>
    </row>
    <row r="69" spans="1:26" x14ac:dyDescent="0.25">
      <c r="A69" s="13"/>
      <c r="B69" s="13"/>
      <c r="C69" s="13"/>
      <c r="D69" s="14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4"/>
      <c r="R69" s="13"/>
      <c r="S69" s="13"/>
      <c r="T69" s="13"/>
      <c r="U69" s="13"/>
      <c r="V69" s="13"/>
      <c r="W69" s="13"/>
    </row>
    <row r="70" spans="1:26" x14ac:dyDescent="0.25">
      <c r="A70" s="13"/>
      <c r="B70" s="13"/>
      <c r="C70" s="13"/>
      <c r="D70" s="14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4"/>
      <c r="R70" s="13"/>
      <c r="S70" s="13"/>
      <c r="T70" s="13"/>
      <c r="U70" s="13"/>
      <c r="V70" s="13"/>
      <c r="W70" s="13"/>
    </row>
    <row r="71" spans="1:26" x14ac:dyDescent="0.25">
      <c r="A71" s="13"/>
      <c r="B71" s="13"/>
      <c r="C71" s="13"/>
      <c r="D71" s="15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5"/>
      <c r="R71" s="13"/>
      <c r="S71" s="13"/>
      <c r="T71" s="13"/>
      <c r="U71" s="13"/>
      <c r="V71" s="13"/>
      <c r="W71" s="13"/>
      <c r="X71" s="1"/>
      <c r="Y71" s="1"/>
      <c r="Z71" s="1"/>
    </row>
    <row r="72" spans="1:26" x14ac:dyDescent="0.25">
      <c r="A72" s="13"/>
      <c r="B72" s="13"/>
      <c r="C72" s="13"/>
      <c r="D72" s="14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4"/>
      <c r="R72" s="13"/>
      <c r="S72" s="13"/>
      <c r="T72" s="13"/>
      <c r="U72" s="13"/>
      <c r="V72" s="13"/>
      <c r="W72" s="13"/>
    </row>
    <row r="73" spans="1:26" x14ac:dyDescent="0.25">
      <c r="A73" s="13"/>
      <c r="B73" s="13"/>
      <c r="C73" s="13"/>
      <c r="D73" s="14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4"/>
      <c r="R73" s="13"/>
      <c r="S73" s="13"/>
      <c r="T73" s="13"/>
      <c r="U73" s="13"/>
      <c r="V73" s="13"/>
      <c r="W73" s="13"/>
    </row>
    <row r="74" spans="1:26" x14ac:dyDescent="0.25">
      <c r="A74" s="13"/>
      <c r="B74" s="13"/>
      <c r="C74" s="13"/>
      <c r="D74" s="15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5"/>
      <c r="R74" s="13"/>
      <c r="S74" s="13"/>
      <c r="T74" s="13"/>
      <c r="U74" s="13"/>
      <c r="V74" s="13"/>
      <c r="W74" s="13"/>
      <c r="X74" s="1"/>
      <c r="Y74" s="1"/>
      <c r="Z74" s="1"/>
    </row>
    <row r="75" spans="1:26" x14ac:dyDescent="0.25">
      <c r="A75" s="13"/>
      <c r="B75" s="13"/>
      <c r="C75" s="13"/>
      <c r="D75" s="14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4"/>
      <c r="R75" s="13"/>
      <c r="S75" s="13"/>
      <c r="T75" s="13"/>
      <c r="U75" s="13"/>
      <c r="V75" s="13"/>
      <c r="W75" s="13"/>
    </row>
    <row r="76" spans="1:26" x14ac:dyDescent="0.25">
      <c r="A76" s="13"/>
      <c r="B76" s="13"/>
      <c r="C76" s="13"/>
      <c r="D76" s="14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4"/>
      <c r="R76" s="13"/>
      <c r="S76" s="13"/>
      <c r="T76" s="13"/>
      <c r="U76" s="13"/>
      <c r="V76" s="13"/>
      <c r="W76" s="13"/>
    </row>
    <row r="77" spans="1:26" x14ac:dyDescent="0.25">
      <c r="A77" s="13"/>
      <c r="B77" s="13"/>
      <c r="C77" s="13"/>
      <c r="D77" s="15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5"/>
      <c r="R77" s="13"/>
      <c r="S77" s="13"/>
      <c r="T77" s="13"/>
      <c r="U77" s="13"/>
      <c r="V77" s="13"/>
      <c r="W77" s="13"/>
      <c r="X77" s="1"/>
      <c r="Y77" s="1"/>
      <c r="Z77" s="1"/>
    </row>
    <row r="78" spans="1:26" x14ac:dyDescent="0.25">
      <c r="A78" s="13"/>
      <c r="B78" s="13"/>
      <c r="C78" s="13"/>
      <c r="D78" s="14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4"/>
      <c r="R78" s="13"/>
      <c r="S78" s="13"/>
      <c r="T78" s="13"/>
      <c r="U78" s="13"/>
      <c r="V78" s="13"/>
      <c r="W78" s="13"/>
    </row>
    <row r="79" spans="1:26" x14ac:dyDescent="0.25">
      <c r="A79" s="13"/>
      <c r="B79" s="13"/>
      <c r="C79" s="13"/>
      <c r="D79" s="14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4"/>
      <c r="R79" s="13"/>
      <c r="S79" s="13"/>
      <c r="T79" s="13"/>
      <c r="U79" s="13"/>
      <c r="V79" s="13"/>
      <c r="W79" s="13"/>
    </row>
    <row r="80" spans="1:26" x14ac:dyDescent="0.25">
      <c r="A80" s="13"/>
      <c r="B80" s="13"/>
      <c r="C80" s="13"/>
      <c r="D80" s="15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5"/>
      <c r="R80" s="13"/>
      <c r="S80" s="13"/>
      <c r="T80" s="13"/>
      <c r="U80" s="13"/>
      <c r="V80" s="13"/>
      <c r="W80" s="13"/>
      <c r="X80" s="1"/>
      <c r="Y80" s="1"/>
      <c r="Z80" s="1"/>
    </row>
    <row r="81" spans="1:26" x14ac:dyDescent="0.25">
      <c r="A81" s="13"/>
      <c r="B81" s="13"/>
      <c r="C81" s="13"/>
      <c r="D81" s="14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4"/>
      <c r="R81" s="13"/>
      <c r="S81" s="13"/>
      <c r="T81" s="13"/>
      <c r="U81" s="13"/>
      <c r="V81" s="13"/>
      <c r="W81" s="13"/>
    </row>
    <row r="82" spans="1:26" x14ac:dyDescent="0.25">
      <c r="A82" s="13"/>
      <c r="B82" s="13"/>
      <c r="C82" s="13"/>
      <c r="D82" s="14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4"/>
      <c r="R82" s="13"/>
      <c r="S82" s="13"/>
      <c r="T82" s="13"/>
      <c r="U82" s="13"/>
      <c r="V82" s="13"/>
      <c r="W82" s="13"/>
    </row>
    <row r="83" spans="1:26" x14ac:dyDescent="0.25">
      <c r="A83" s="13"/>
      <c r="B83" s="13"/>
      <c r="C83" s="13"/>
      <c r="D83" s="14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4"/>
      <c r="R83" s="13"/>
      <c r="S83" s="13"/>
      <c r="T83" s="13"/>
      <c r="U83" s="13"/>
      <c r="V83" s="13"/>
      <c r="W83" s="13"/>
      <c r="X83" s="1"/>
      <c r="Y83" s="1"/>
      <c r="Z83" s="1"/>
    </row>
    <row r="84" spans="1:26" x14ac:dyDescent="0.25">
      <c r="A84" s="13"/>
      <c r="B84" s="13"/>
      <c r="C84" s="13"/>
      <c r="D84" s="14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4"/>
      <c r="R84" s="13"/>
      <c r="S84" s="13"/>
      <c r="T84" s="13"/>
      <c r="U84" s="13"/>
      <c r="V84" s="13"/>
      <c r="W84" s="13"/>
    </row>
    <row r="85" spans="1:2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:26" x14ac:dyDescent="0.25">
      <c r="A86" s="13"/>
      <c r="B86" s="13"/>
      <c r="C86" s="13"/>
      <c r="D86" s="14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4"/>
      <c r="R86" s="13"/>
      <c r="S86" s="13"/>
      <c r="T86" s="13"/>
      <c r="U86" s="13"/>
      <c r="V86" s="13"/>
      <c r="W86" s="13"/>
      <c r="X86" s="1"/>
      <c r="Y86" s="1"/>
      <c r="Z86" s="1"/>
    </row>
    <row r="87" spans="1:26" x14ac:dyDescent="0.25">
      <c r="A87" s="13"/>
      <c r="B87" s="13"/>
      <c r="C87" s="13"/>
      <c r="D87" s="14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4"/>
      <c r="R87" s="13"/>
      <c r="S87" s="13"/>
      <c r="T87" s="13"/>
      <c r="U87" s="13"/>
      <c r="V87" s="13"/>
      <c r="W87" s="13"/>
    </row>
    <row r="88" spans="1:2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spans="1:26" x14ac:dyDescent="0.25">
      <c r="A89" s="13"/>
      <c r="B89" s="13"/>
      <c r="C89" s="13"/>
      <c r="D89" s="14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4"/>
      <c r="R89" s="13"/>
      <c r="S89" s="13"/>
      <c r="T89" s="13"/>
      <c r="U89" s="13"/>
      <c r="V89" s="13"/>
      <c r="W89" s="13"/>
      <c r="X89" s="1"/>
      <c r="Y89" s="1"/>
      <c r="Z89" s="1"/>
    </row>
    <row r="90" spans="1:26" x14ac:dyDescent="0.25">
      <c r="A90" s="13"/>
      <c r="B90" s="13"/>
      <c r="C90" s="13"/>
      <c r="D90" s="14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4"/>
      <c r="R90" s="13"/>
      <c r="S90" s="13"/>
      <c r="T90" s="13"/>
      <c r="U90" s="13"/>
      <c r="V90" s="13"/>
      <c r="W90" s="13"/>
    </row>
    <row r="91" spans="1:2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spans="1:26" x14ac:dyDescent="0.25">
      <c r="A92" s="13"/>
      <c r="B92" s="13"/>
      <c r="C92" s="13"/>
      <c r="D92" s="14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4"/>
      <c r="R92" s="13"/>
      <c r="S92" s="13"/>
      <c r="T92" s="13"/>
      <c r="U92" s="13"/>
      <c r="V92" s="13"/>
      <c r="W92" s="13"/>
      <c r="X92" s="1"/>
      <c r="Y92" s="1"/>
      <c r="Z92" s="1"/>
    </row>
    <row r="93" spans="1:26" x14ac:dyDescent="0.25">
      <c r="A93" s="13"/>
      <c r="B93" s="13"/>
      <c r="C93" s="13"/>
      <c r="D93" s="14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4"/>
      <c r="R93" s="13"/>
      <c r="S93" s="13"/>
      <c r="T93" s="13"/>
      <c r="U93" s="13"/>
      <c r="V93" s="13"/>
      <c r="W93" s="13"/>
    </row>
    <row r="94" spans="1:2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4"/>
      <c r="R94" s="13"/>
      <c r="S94" s="13"/>
      <c r="T94" s="13"/>
      <c r="U94" s="13"/>
      <c r="V94" s="13"/>
      <c r="W94" s="13"/>
    </row>
    <row r="95" spans="1:26" x14ac:dyDescent="0.25">
      <c r="A95" s="13"/>
      <c r="B95" s="13"/>
      <c r="C95" s="13"/>
      <c r="D95" s="15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4"/>
      <c r="R95" s="13"/>
      <c r="S95" s="13"/>
      <c r="T95" s="13"/>
      <c r="U95" s="13"/>
      <c r="V95" s="13"/>
      <c r="W95" s="13"/>
      <c r="X95" s="1"/>
      <c r="Y95" s="1"/>
      <c r="Z95" s="1"/>
    </row>
    <row r="96" spans="1:26" x14ac:dyDescent="0.25">
      <c r="A96" s="13"/>
      <c r="B96" s="13"/>
      <c r="C96" s="13"/>
      <c r="D96" s="14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4"/>
      <c r="R96" s="13"/>
      <c r="S96" s="13"/>
      <c r="T96" s="13"/>
      <c r="U96" s="13"/>
      <c r="V96" s="13"/>
      <c r="W96" s="13"/>
    </row>
    <row r="97" spans="1:26" x14ac:dyDescent="0.25">
      <c r="A97" s="13"/>
      <c r="B97" s="13"/>
      <c r="C97" s="13"/>
      <c r="D97" s="14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4"/>
      <c r="R97" s="13"/>
      <c r="S97" s="13"/>
      <c r="T97" s="13"/>
      <c r="U97" s="13"/>
      <c r="V97" s="13"/>
      <c r="W97" s="13"/>
    </row>
    <row r="98" spans="1:26" x14ac:dyDescent="0.25">
      <c r="A98" s="13"/>
      <c r="B98" s="13"/>
      <c r="C98" s="13"/>
      <c r="D98" s="15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4"/>
      <c r="R98" s="13"/>
      <c r="S98" s="13"/>
      <c r="T98" s="13"/>
      <c r="U98" s="13"/>
      <c r="V98" s="13"/>
      <c r="W98" s="13"/>
      <c r="X98" s="1"/>
      <c r="Y98" s="1"/>
      <c r="Z98" s="1"/>
    </row>
    <row r="99" spans="1:2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4"/>
      <c r="R99" s="13"/>
      <c r="S99" s="13"/>
      <c r="T99" s="13"/>
      <c r="U99" s="13"/>
      <c r="V99" s="13"/>
      <c r="W99" s="13"/>
    </row>
    <row r="100" spans="1:26" x14ac:dyDescent="0.25">
      <c r="A100" s="13"/>
      <c r="B100" s="13"/>
      <c r="C100" s="13"/>
      <c r="D100" s="14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4"/>
      <c r="R100" s="13"/>
      <c r="S100" s="13"/>
      <c r="T100" s="13"/>
      <c r="U100" s="13"/>
      <c r="V100" s="13"/>
      <c r="W100" s="13"/>
    </row>
    <row r="101" spans="1:26" x14ac:dyDescent="0.25">
      <c r="A101" s="13"/>
      <c r="B101" s="13"/>
      <c r="C101" s="13"/>
      <c r="D101" s="15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4"/>
      <c r="R101" s="13"/>
      <c r="S101" s="13"/>
      <c r="T101" s="13"/>
      <c r="U101" s="13"/>
      <c r="V101" s="13"/>
      <c r="W101" s="13"/>
      <c r="X101" s="1"/>
      <c r="Y101" s="1"/>
      <c r="Z101" s="1"/>
    </row>
    <row r="102" spans="1:26" x14ac:dyDescent="0.25">
      <c r="A102" s="13"/>
      <c r="B102" s="13"/>
      <c r="C102" s="13"/>
      <c r="D102" s="15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4"/>
      <c r="R102" s="13"/>
      <c r="S102" s="13"/>
      <c r="T102" s="13"/>
      <c r="U102" s="13"/>
      <c r="V102" s="13"/>
      <c r="W102" s="13"/>
      <c r="X102" s="1"/>
      <c r="Y102" s="1"/>
      <c r="Z102" s="1"/>
    </row>
    <row r="103" spans="1:26" x14ac:dyDescent="0.25">
      <c r="A103" s="13"/>
      <c r="B103" s="13"/>
      <c r="C103" s="13"/>
      <c r="D103" s="14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4"/>
      <c r="R103" s="13"/>
      <c r="S103" s="13"/>
      <c r="T103" s="13"/>
      <c r="U103" s="13"/>
      <c r="V103" s="13"/>
      <c r="W103" s="13"/>
    </row>
    <row r="104" spans="1:2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:26" x14ac:dyDescent="0.25">
      <c r="A105" s="13"/>
      <c r="B105" s="13"/>
      <c r="C105" s="13"/>
      <c r="D105" s="14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4"/>
      <c r="R105" s="13"/>
      <c r="S105" s="13"/>
      <c r="T105" s="13"/>
      <c r="U105" s="13"/>
      <c r="V105" s="13"/>
      <c r="W105" s="13"/>
      <c r="X105" s="1"/>
      <c r="Y105" s="1"/>
      <c r="Z105" s="1"/>
    </row>
    <row r="106" spans="1:26" x14ac:dyDescent="0.25">
      <c r="A106" s="13"/>
      <c r="B106" s="13"/>
      <c r="C106" s="13"/>
      <c r="D106" s="14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4"/>
      <c r="R106" s="13"/>
      <c r="S106" s="13"/>
      <c r="T106" s="13"/>
      <c r="U106" s="13"/>
      <c r="V106" s="13"/>
      <c r="W106" s="13"/>
    </row>
    <row r="107" spans="1:26" x14ac:dyDescent="0.25">
      <c r="A107" s="13"/>
      <c r="B107" s="13"/>
      <c r="C107" s="13"/>
      <c r="D107" s="14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4"/>
      <c r="R107" s="13"/>
      <c r="S107" s="13"/>
      <c r="T107" s="13"/>
      <c r="U107" s="13"/>
      <c r="V107" s="13"/>
      <c r="W107" s="13"/>
    </row>
    <row r="108" spans="1:26" x14ac:dyDescent="0.25">
      <c r="A108" s="13"/>
      <c r="B108" s="13"/>
      <c r="C108" s="13"/>
      <c r="D108" s="14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4"/>
      <c r="R108" s="13"/>
      <c r="S108" s="13"/>
      <c r="T108" s="13"/>
      <c r="U108" s="13"/>
      <c r="V108" s="13"/>
      <c r="W108" s="13"/>
      <c r="X108" s="1"/>
      <c r="Y108" s="1"/>
      <c r="Z108" s="1"/>
    </row>
    <row r="109" spans="1:26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spans="1:26" x14ac:dyDescent="0.25">
      <c r="A110" s="13"/>
      <c r="B110" s="13"/>
      <c r="C110" s="13"/>
      <c r="D110" s="14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4"/>
      <c r="R110" s="13"/>
      <c r="S110" s="13"/>
      <c r="T110" s="13"/>
      <c r="U110" s="13"/>
      <c r="V110" s="13"/>
      <c r="W110" s="13"/>
    </row>
    <row r="111" spans="1:26" x14ac:dyDescent="0.25">
      <c r="A111" s="13"/>
      <c r="B111" s="13"/>
      <c r="C111" s="13"/>
      <c r="D111" s="14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4"/>
      <c r="R111" s="13"/>
      <c r="S111" s="13"/>
      <c r="T111" s="13"/>
      <c r="U111" s="13"/>
      <c r="V111" s="13"/>
      <c r="W111" s="13"/>
      <c r="X111" s="1"/>
      <c r="Y111" s="1"/>
      <c r="Z111" s="1"/>
    </row>
    <row r="112" spans="1:26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spans="1:26" x14ac:dyDescent="0.25">
      <c r="A113" s="13"/>
      <c r="B113" s="13"/>
      <c r="C113" s="13"/>
      <c r="D113" s="14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4"/>
      <c r="R113" s="13"/>
      <c r="S113" s="13"/>
      <c r="T113" s="13"/>
      <c r="U113" s="13"/>
      <c r="V113" s="13"/>
      <c r="W113" s="13"/>
    </row>
    <row r="114" spans="1:26" x14ac:dyDescent="0.25">
      <c r="A114" s="13"/>
      <c r="B114" s="13"/>
      <c r="C114" s="13"/>
      <c r="D114" s="14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4"/>
      <c r="R114" s="13"/>
      <c r="S114" s="13"/>
      <c r="T114" s="13"/>
      <c r="U114" s="13"/>
      <c r="V114" s="13"/>
      <c r="W114" s="13"/>
      <c r="X114" s="1"/>
      <c r="Y114" s="1"/>
      <c r="Z114" s="1"/>
    </row>
    <row r="115" spans="1:26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:26" x14ac:dyDescent="0.25">
      <c r="A116" s="13"/>
      <c r="B116" s="13"/>
      <c r="C116" s="13"/>
      <c r="D116" s="14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4"/>
      <c r="R116" s="13"/>
      <c r="S116" s="13"/>
      <c r="T116" s="13"/>
      <c r="U116" s="13"/>
      <c r="V116" s="13"/>
      <c r="W116" s="13"/>
    </row>
    <row r="117" spans="1:26" x14ac:dyDescent="0.25">
      <c r="A117" s="13"/>
      <c r="B117" s="13"/>
      <c r="C117" s="13"/>
      <c r="D117" s="14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4"/>
      <c r="R117" s="13"/>
      <c r="S117" s="13"/>
      <c r="T117" s="13"/>
      <c r="U117" s="13"/>
      <c r="V117" s="13"/>
      <c r="W117" s="13"/>
      <c r="X117" s="1"/>
      <c r="Y117" s="1"/>
      <c r="Z117" s="1"/>
    </row>
    <row r="118" spans="1:26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spans="1:26" x14ac:dyDescent="0.25">
      <c r="A119" s="13"/>
      <c r="B119" s="13"/>
      <c r="C119" s="13"/>
      <c r="D119" s="14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4"/>
      <c r="R119" s="13"/>
      <c r="S119" s="13"/>
      <c r="T119" s="13"/>
      <c r="U119" s="13"/>
      <c r="V119" s="13"/>
      <c r="W119" s="13"/>
    </row>
    <row r="120" spans="1:26" x14ac:dyDescent="0.25">
      <c r="A120" s="13"/>
      <c r="B120" s="13"/>
      <c r="C120" s="13"/>
      <c r="D120" s="14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4"/>
      <c r="R120" s="13"/>
      <c r="S120" s="13"/>
      <c r="T120" s="13"/>
      <c r="U120" s="13"/>
      <c r="V120" s="13"/>
      <c r="W120" s="13"/>
      <c r="X120" s="1"/>
      <c r="Y120" s="1"/>
      <c r="Z120" s="1"/>
    </row>
    <row r="121" spans="1:26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spans="1:26" x14ac:dyDescent="0.25">
      <c r="A122" s="13"/>
      <c r="B122" s="13"/>
      <c r="C122" s="13"/>
      <c r="D122" s="14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4"/>
      <c r="R122" s="13"/>
      <c r="S122" s="13"/>
      <c r="T122" s="13"/>
      <c r="U122" s="13"/>
      <c r="V122" s="13"/>
      <c r="W122" s="13"/>
    </row>
    <row r="123" spans="1:26" x14ac:dyDescent="0.25">
      <c r="A123" s="13"/>
      <c r="B123" s="13"/>
      <c r="C123" s="13"/>
      <c r="D123" s="14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4"/>
      <c r="R123" s="13"/>
      <c r="S123" s="13"/>
      <c r="T123" s="13"/>
      <c r="U123" s="13"/>
      <c r="V123" s="13"/>
      <c r="W123" s="13"/>
      <c r="X123" s="1"/>
      <c r="Y123" s="1"/>
      <c r="Z123" s="1"/>
    </row>
    <row r="124" spans="1:26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spans="1:26" x14ac:dyDescent="0.25">
      <c r="A125" s="13"/>
      <c r="B125" s="13"/>
      <c r="C125" s="13"/>
      <c r="D125" s="14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4"/>
      <c r="R125" s="13"/>
      <c r="S125" s="13"/>
      <c r="T125" s="13"/>
      <c r="U125" s="13"/>
      <c r="V125" s="13"/>
      <c r="W125" s="13"/>
    </row>
    <row r="126" spans="1:26" x14ac:dyDescent="0.25">
      <c r="A126" s="13"/>
      <c r="B126" s="13"/>
      <c r="C126" s="13"/>
      <c r="D126" s="14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4"/>
      <c r="R126" s="13"/>
      <c r="S126" s="13"/>
      <c r="T126" s="13"/>
      <c r="U126" s="13"/>
      <c r="V126" s="13"/>
      <c r="W126" s="13"/>
      <c r="X126" s="1"/>
      <c r="Y126" s="1"/>
      <c r="Z126" s="1"/>
    </row>
    <row r="127" spans="1:26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spans="1:26" x14ac:dyDescent="0.25">
      <c r="A128" s="13"/>
      <c r="B128" s="13"/>
      <c r="C128" s="13"/>
      <c r="D128" s="14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4"/>
      <c r="R128" s="13"/>
      <c r="S128" s="13"/>
      <c r="T128" s="13"/>
      <c r="U128" s="13"/>
      <c r="V128" s="13"/>
      <c r="W128" s="13"/>
    </row>
    <row r="129" spans="1:26" x14ac:dyDescent="0.25">
      <c r="A129" s="13"/>
      <c r="B129" s="13"/>
      <c r="C129" s="13"/>
      <c r="D129" s="14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4"/>
      <c r="R129" s="13"/>
      <c r="S129" s="13"/>
      <c r="T129" s="13"/>
      <c r="U129" s="13"/>
      <c r="V129" s="13"/>
      <c r="W129" s="13"/>
      <c r="X129" s="1"/>
      <c r="Y129" s="1"/>
      <c r="Z129" s="1"/>
    </row>
    <row r="130" spans="1:26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:26" x14ac:dyDescent="0.25">
      <c r="A131" s="13"/>
      <c r="B131" s="13"/>
      <c r="C131" s="13"/>
      <c r="D131" s="14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4"/>
      <c r="R131" s="13"/>
      <c r="S131" s="13"/>
      <c r="T131" s="13"/>
      <c r="U131" s="13"/>
      <c r="V131" s="13"/>
      <c r="W131" s="13"/>
    </row>
    <row r="132" spans="1:26" x14ac:dyDescent="0.25">
      <c r="A132" s="13"/>
      <c r="B132" s="13"/>
      <c r="C132" s="13"/>
      <c r="D132" s="1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4"/>
      <c r="R132" s="13"/>
      <c r="S132" s="13"/>
      <c r="T132" s="13"/>
      <c r="U132" s="13"/>
      <c r="V132" s="13"/>
      <c r="W132" s="13"/>
      <c r="X132" s="1"/>
      <c r="Y132" s="1"/>
      <c r="Z132" s="1"/>
    </row>
    <row r="133" spans="1:26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spans="1:26" x14ac:dyDescent="0.25">
      <c r="A134" s="13"/>
      <c r="B134" s="13"/>
      <c r="C134" s="13"/>
      <c r="D134" s="14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4"/>
      <c r="R134" s="13"/>
      <c r="S134" s="13"/>
      <c r="T134" s="13"/>
      <c r="U134" s="13"/>
      <c r="V134" s="13"/>
      <c r="W134" s="13"/>
    </row>
    <row r="135" spans="1:26" x14ac:dyDescent="0.25">
      <c r="A135" s="13"/>
      <c r="B135" s="13"/>
      <c r="C135" s="13"/>
      <c r="D135" s="14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4"/>
      <c r="R135" s="13"/>
      <c r="S135" s="13"/>
      <c r="T135" s="13"/>
      <c r="U135" s="13"/>
      <c r="V135" s="13"/>
      <c r="W135" s="13"/>
      <c r="X135" s="1"/>
      <c r="Y135" s="1"/>
      <c r="Z135" s="1"/>
    </row>
    <row r="136" spans="1:2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spans="1:26" x14ac:dyDescent="0.25">
      <c r="A137" s="13"/>
      <c r="B137" s="13"/>
      <c r="C137" s="13"/>
      <c r="D137" s="14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4"/>
      <c r="R137" s="13"/>
      <c r="S137" s="13"/>
      <c r="T137" s="13"/>
      <c r="U137" s="13"/>
      <c r="V137" s="13"/>
      <c r="W137" s="13"/>
    </row>
    <row r="138" spans="1:26" x14ac:dyDescent="0.25">
      <c r="A138" s="13"/>
      <c r="B138" s="13"/>
      <c r="C138" s="13"/>
      <c r="D138" s="14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4"/>
      <c r="R138" s="13"/>
      <c r="S138" s="13"/>
      <c r="T138" s="13"/>
      <c r="U138" s="13"/>
      <c r="V138" s="13"/>
      <c r="W138" s="13"/>
      <c r="X138" s="1"/>
      <c r="Y138" s="1"/>
      <c r="Z138" s="1"/>
    </row>
    <row r="139" spans="1:2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4"/>
      <c r="R139" s="13"/>
      <c r="S139" s="13"/>
      <c r="T139" s="13"/>
      <c r="U139" s="13"/>
      <c r="V139" s="13"/>
      <c r="W139" s="13"/>
    </row>
    <row r="140" spans="1:26" x14ac:dyDescent="0.25">
      <c r="A140" s="13"/>
      <c r="B140" s="13"/>
      <c r="C140" s="13"/>
      <c r="D140" s="14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4"/>
      <c r="R140" s="13"/>
      <c r="S140" s="13"/>
      <c r="T140" s="13"/>
      <c r="U140" s="13"/>
      <c r="V140" s="13"/>
      <c r="W140" s="13"/>
    </row>
    <row r="141" spans="1:26" x14ac:dyDescent="0.25">
      <c r="A141" s="13"/>
      <c r="B141" s="13"/>
      <c r="C141" s="13"/>
      <c r="D141" s="15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5"/>
      <c r="R141" s="13"/>
      <c r="S141" s="13"/>
      <c r="T141" s="13"/>
      <c r="U141" s="13"/>
      <c r="V141" s="13"/>
      <c r="W141" s="13"/>
      <c r="X141" s="1"/>
      <c r="Y141" s="1"/>
      <c r="Z141" s="1"/>
    </row>
    <row r="142" spans="1:26" x14ac:dyDescent="0.25">
      <c r="A142" s="13"/>
      <c r="B142" s="13"/>
      <c r="C142" s="13"/>
      <c r="D142" s="14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4"/>
      <c r="R142" s="13"/>
      <c r="S142" s="13"/>
      <c r="T142" s="13"/>
      <c r="U142" s="13"/>
      <c r="V142" s="13"/>
      <c r="W142" s="13"/>
    </row>
    <row r="143" spans="1:26" x14ac:dyDescent="0.25">
      <c r="A143" s="13"/>
      <c r="B143" s="13"/>
      <c r="C143" s="13"/>
      <c r="D143" s="14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4"/>
      <c r="R143" s="13"/>
      <c r="S143" s="13"/>
      <c r="T143" s="13"/>
      <c r="U143" s="13"/>
      <c r="V143" s="13"/>
      <c r="W143" s="13"/>
    </row>
    <row r="144" spans="1:26" x14ac:dyDescent="0.25">
      <c r="A144" s="13"/>
      <c r="B144" s="13"/>
      <c r="C144" s="13"/>
      <c r="D144" s="15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5"/>
      <c r="R144" s="13"/>
      <c r="S144" s="13"/>
      <c r="T144" s="13"/>
      <c r="U144" s="13"/>
      <c r="V144" s="13"/>
      <c r="W144" s="13"/>
      <c r="X144" s="1"/>
      <c r="Y144" s="1"/>
      <c r="Z144" s="1"/>
    </row>
    <row r="145" spans="1:2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:26" x14ac:dyDescent="0.25">
      <c r="A146" s="13"/>
      <c r="B146" s="13"/>
      <c r="C146" s="13"/>
      <c r="D146" s="14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4"/>
      <c r="R146" s="13"/>
      <c r="S146" s="13"/>
      <c r="T146" s="13"/>
      <c r="U146" s="13"/>
      <c r="V146" s="13"/>
      <c r="W146" s="13"/>
    </row>
    <row r="147" spans="1:26" x14ac:dyDescent="0.25">
      <c r="A147" s="13"/>
      <c r="B147" s="13"/>
      <c r="C147" s="13"/>
      <c r="D147" s="15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5"/>
      <c r="R147" s="13"/>
      <c r="S147" s="13"/>
      <c r="T147" s="13"/>
      <c r="U147" s="13"/>
      <c r="V147" s="13"/>
      <c r="W147" s="13"/>
      <c r="X147" s="1"/>
      <c r="Y147" s="1"/>
      <c r="Z147" s="1"/>
    </row>
    <row r="148" spans="1:2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spans="1:26" x14ac:dyDescent="0.25">
      <c r="A149" s="13"/>
      <c r="B149" s="13"/>
      <c r="C149" s="13"/>
      <c r="D149" s="14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4"/>
      <c r="R149" s="13"/>
      <c r="S149" s="13"/>
      <c r="T149" s="13"/>
      <c r="U149" s="13"/>
      <c r="V149" s="13"/>
      <c r="W149" s="13"/>
    </row>
    <row r="150" spans="1:26" x14ac:dyDescent="0.25">
      <c r="A150" s="13"/>
      <c r="B150" s="13"/>
      <c r="C150" s="13"/>
      <c r="D150" s="15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4"/>
      <c r="R150" s="13"/>
      <c r="S150" s="13"/>
      <c r="T150" s="13"/>
      <c r="U150" s="13"/>
      <c r="V150" s="13"/>
      <c r="W150" s="13"/>
      <c r="X150" s="1"/>
      <c r="Y150" s="1"/>
      <c r="Z150" s="1"/>
    </row>
    <row r="151" spans="1:2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spans="1:26" x14ac:dyDescent="0.25">
      <c r="A152" s="13"/>
      <c r="B152" s="13"/>
      <c r="C152" s="13"/>
      <c r="D152" s="14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4"/>
      <c r="R152" s="13"/>
      <c r="S152" s="13"/>
      <c r="T152" s="13"/>
      <c r="U152" s="13"/>
      <c r="V152" s="13"/>
      <c r="W152" s="13"/>
    </row>
    <row r="153" spans="1:26" x14ac:dyDescent="0.25">
      <c r="A153" s="13"/>
      <c r="B153" s="13"/>
      <c r="C153" s="13"/>
      <c r="D153" s="14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4"/>
      <c r="R153" s="13"/>
      <c r="S153" s="13"/>
      <c r="T153" s="13"/>
      <c r="U153" s="13"/>
      <c r="V153" s="13"/>
      <c r="W153" s="13"/>
      <c r="X153" s="1"/>
      <c r="Y153" s="1"/>
      <c r="Z153" s="1"/>
    </row>
    <row r="154" spans="1:26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4"/>
      <c r="R154" s="13"/>
      <c r="S154" s="13"/>
      <c r="T154" s="13"/>
      <c r="U154" s="13"/>
      <c r="V154" s="13"/>
      <c r="W154" s="13"/>
    </row>
    <row r="155" spans="1:26" x14ac:dyDescent="0.25">
      <c r="A155" s="13"/>
      <c r="B155" s="13"/>
      <c r="C155" s="13"/>
      <c r="D155" s="14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4"/>
      <c r="R155" s="13"/>
      <c r="S155" s="13"/>
      <c r="T155" s="13"/>
      <c r="U155" s="13"/>
      <c r="V155" s="13"/>
      <c r="W155" s="13"/>
    </row>
    <row r="156" spans="1:26" x14ac:dyDescent="0.25">
      <c r="A156" s="13"/>
      <c r="B156" s="13"/>
      <c r="C156" s="13"/>
      <c r="D156" s="15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5"/>
      <c r="R156" s="13"/>
      <c r="S156" s="13"/>
      <c r="T156" s="13"/>
      <c r="U156" s="13"/>
      <c r="V156" s="13"/>
      <c r="W156" s="13"/>
      <c r="X156" s="1"/>
      <c r="Y156" s="1"/>
      <c r="Z156" s="1"/>
    </row>
    <row r="157" spans="1:26" x14ac:dyDescent="0.25">
      <c r="A157" s="13"/>
      <c r="B157" s="13"/>
      <c r="C157" s="13"/>
      <c r="D157" s="1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4"/>
      <c r="R157" s="13"/>
      <c r="S157" s="13"/>
      <c r="T157" s="13"/>
      <c r="U157" s="13"/>
      <c r="V157" s="13"/>
      <c r="W157" s="13"/>
    </row>
    <row r="158" spans="1:26" x14ac:dyDescent="0.25">
      <c r="A158" s="13"/>
      <c r="B158" s="13"/>
      <c r="C158" s="13"/>
      <c r="D158" s="14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4"/>
      <c r="R158" s="13"/>
      <c r="S158" s="13"/>
      <c r="T158" s="13"/>
      <c r="U158" s="13"/>
      <c r="V158" s="13"/>
      <c r="W158" s="13"/>
    </row>
    <row r="159" spans="1:26" x14ac:dyDescent="0.25">
      <c r="A159" s="13"/>
      <c r="B159" s="13"/>
      <c r="C159" s="13"/>
      <c r="D159" s="15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5"/>
      <c r="R159" s="13"/>
      <c r="S159" s="13"/>
      <c r="T159" s="13"/>
      <c r="U159" s="13"/>
      <c r="V159" s="13"/>
      <c r="W159" s="13"/>
      <c r="X159" s="1"/>
      <c r="Y159" s="1"/>
      <c r="Z159" s="1"/>
    </row>
    <row r="160" spans="1:26" x14ac:dyDescent="0.25">
      <c r="A160" s="13"/>
      <c r="B160" s="13"/>
      <c r="C160" s="13"/>
      <c r="D160" s="14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4"/>
      <c r="R160" s="13"/>
      <c r="S160" s="13"/>
      <c r="T160" s="13"/>
      <c r="U160" s="13"/>
      <c r="V160" s="13"/>
      <c r="W160" s="13"/>
    </row>
    <row r="161" spans="1:26" x14ac:dyDescent="0.25">
      <c r="A161" s="13"/>
      <c r="B161" s="13"/>
      <c r="C161" s="13"/>
      <c r="D161" s="14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4"/>
      <c r="R161" s="13"/>
      <c r="S161" s="13"/>
      <c r="T161" s="13"/>
      <c r="U161" s="13"/>
      <c r="V161" s="13"/>
      <c r="W161" s="13"/>
    </row>
    <row r="162" spans="1:26" x14ac:dyDescent="0.25">
      <c r="A162" s="13"/>
      <c r="B162" s="13"/>
      <c r="C162" s="13"/>
      <c r="D162" s="15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5"/>
      <c r="R162" s="13"/>
      <c r="S162" s="13"/>
      <c r="T162" s="13"/>
      <c r="U162" s="13"/>
      <c r="V162" s="13"/>
      <c r="W162" s="13"/>
      <c r="X162" s="1"/>
      <c r="Y162" s="1"/>
      <c r="Z162" s="1"/>
    </row>
    <row r="163" spans="1:26" x14ac:dyDescent="0.25">
      <c r="A163" s="13"/>
      <c r="B163" s="13"/>
      <c r="C163" s="13"/>
      <c r="D163" s="14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4"/>
      <c r="R163" s="13"/>
      <c r="S163" s="13"/>
      <c r="T163" s="13"/>
      <c r="U163" s="13"/>
      <c r="V163" s="13"/>
      <c r="W163" s="13"/>
    </row>
    <row r="164" spans="1:26" x14ac:dyDescent="0.25">
      <c r="A164" s="13"/>
      <c r="B164" s="13"/>
      <c r="C164" s="13"/>
      <c r="D164" s="14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4"/>
      <c r="R164" s="13"/>
      <c r="S164" s="13"/>
      <c r="T164" s="13"/>
      <c r="U164" s="13"/>
      <c r="V164" s="13"/>
      <c r="W164" s="13"/>
    </row>
    <row r="165" spans="1:26" x14ac:dyDescent="0.25">
      <c r="A165" s="13"/>
      <c r="B165" s="13"/>
      <c r="C165" s="13"/>
      <c r="D165" s="15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4"/>
      <c r="R165" s="13"/>
      <c r="S165" s="13"/>
      <c r="T165" s="13"/>
      <c r="U165" s="13"/>
      <c r="V165" s="13"/>
      <c r="W165" s="13"/>
      <c r="X165" s="1"/>
      <c r="Y165" s="1"/>
      <c r="Z165" s="1"/>
    </row>
    <row r="166" spans="1:26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4"/>
      <c r="R166" s="13"/>
      <c r="S166" s="13"/>
      <c r="T166" s="13"/>
      <c r="U166" s="13"/>
      <c r="V166" s="13"/>
      <c r="W166" s="13"/>
    </row>
    <row r="167" spans="1:26" x14ac:dyDescent="0.25">
      <c r="A167" s="13"/>
      <c r="B167" s="13"/>
      <c r="C167" s="13"/>
      <c r="D167" s="14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4"/>
      <c r="R167" s="13"/>
      <c r="S167" s="13"/>
      <c r="T167" s="13"/>
      <c r="U167" s="13"/>
      <c r="V167" s="13"/>
      <c r="W167" s="13"/>
    </row>
    <row r="168" spans="1:26" x14ac:dyDescent="0.25">
      <c r="A168" s="13"/>
      <c r="B168" s="13"/>
      <c r="C168" s="13"/>
      <c r="D168" s="15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5"/>
      <c r="R168" s="13"/>
      <c r="S168" s="13"/>
      <c r="T168" s="13"/>
      <c r="U168" s="13"/>
      <c r="V168" s="13"/>
      <c r="W168" s="13"/>
      <c r="X168" s="1"/>
      <c r="Y168" s="1"/>
      <c r="Z168" s="1"/>
    </row>
    <row r="169" spans="1:26" x14ac:dyDescent="0.25">
      <c r="A169" s="13"/>
      <c r="B169" s="13"/>
      <c r="C169" s="13"/>
      <c r="D169" s="1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4"/>
      <c r="R169" s="13"/>
      <c r="S169" s="13"/>
      <c r="T169" s="13"/>
      <c r="U169" s="13"/>
      <c r="V169" s="13"/>
      <c r="W169" s="13"/>
    </row>
    <row r="170" spans="1:26" x14ac:dyDescent="0.25">
      <c r="A170" s="13"/>
      <c r="B170" s="13"/>
      <c r="C170" s="13"/>
      <c r="D170" s="1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4"/>
      <c r="R170" s="13"/>
      <c r="S170" s="13"/>
      <c r="T170" s="13"/>
      <c r="U170" s="13"/>
      <c r="V170" s="13"/>
      <c r="W170" s="13"/>
    </row>
    <row r="171" spans="1:26" x14ac:dyDescent="0.25">
      <c r="A171" s="13"/>
      <c r="B171" s="13"/>
      <c r="C171" s="13"/>
      <c r="D171" s="15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4"/>
      <c r="R171" s="13"/>
      <c r="S171" s="13"/>
      <c r="T171" s="13"/>
      <c r="U171" s="13"/>
      <c r="V171" s="13"/>
      <c r="W171" s="13"/>
      <c r="X171" s="1"/>
      <c r="Y171" s="1"/>
      <c r="Z171" s="1"/>
    </row>
    <row r="172" spans="1:26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4"/>
      <c r="R172" s="13"/>
      <c r="S172" s="13"/>
      <c r="T172" s="13"/>
      <c r="U172" s="13"/>
      <c r="V172" s="13"/>
      <c r="W172" s="13"/>
    </row>
    <row r="173" spans="1:26" x14ac:dyDescent="0.25">
      <c r="A173" s="13"/>
      <c r="B173" s="13"/>
      <c r="C173" s="13"/>
      <c r="D173" s="14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4"/>
      <c r="R173" s="13"/>
      <c r="S173" s="13"/>
      <c r="T173" s="13"/>
      <c r="U173" s="13"/>
      <c r="V173" s="13"/>
      <c r="W173" s="13"/>
    </row>
    <row r="174" spans="1:26" x14ac:dyDescent="0.25">
      <c r="A174" s="13"/>
      <c r="B174" s="13"/>
      <c r="C174" s="13"/>
      <c r="D174" s="15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5"/>
      <c r="R174" s="13"/>
      <c r="S174" s="13"/>
      <c r="T174" s="13"/>
      <c r="U174" s="13"/>
      <c r="V174" s="13"/>
      <c r="W174" s="13"/>
      <c r="X174" s="1"/>
      <c r="Y174" s="1"/>
      <c r="Z174" s="1"/>
    </row>
    <row r="175" spans="1:26" x14ac:dyDescent="0.25">
      <c r="A175" s="13"/>
      <c r="B175" s="13"/>
      <c r="C175" s="13"/>
      <c r="D175" s="14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4"/>
      <c r="R175" s="13"/>
      <c r="S175" s="13"/>
      <c r="T175" s="13"/>
      <c r="U175" s="13"/>
      <c r="V175" s="13"/>
      <c r="W175" s="13"/>
    </row>
    <row r="176" spans="1:26" x14ac:dyDescent="0.25">
      <c r="A176" s="13"/>
      <c r="B176" s="13"/>
      <c r="C176" s="13"/>
      <c r="D176" s="14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4"/>
      <c r="R176" s="13"/>
      <c r="S176" s="13"/>
      <c r="T176" s="13"/>
      <c r="U176" s="13"/>
      <c r="V176" s="13"/>
      <c r="W176" s="13"/>
    </row>
    <row r="177" spans="1:26" x14ac:dyDescent="0.25">
      <c r="A177" s="13"/>
      <c r="B177" s="13"/>
      <c r="C177" s="13"/>
      <c r="D177" s="15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5"/>
      <c r="R177" s="13"/>
      <c r="S177" s="13"/>
      <c r="T177" s="13"/>
      <c r="U177" s="13"/>
      <c r="V177" s="13"/>
      <c r="W177" s="13"/>
      <c r="X177" s="1"/>
      <c r="Y177" s="1"/>
      <c r="Z177" s="1"/>
    </row>
    <row r="178" spans="1:26" x14ac:dyDescent="0.25">
      <c r="A178" s="13"/>
      <c r="B178" s="13"/>
      <c r="C178" s="13"/>
      <c r="D178" s="14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4"/>
      <c r="R178" s="13"/>
      <c r="S178" s="13"/>
      <c r="T178" s="13"/>
      <c r="U178" s="13"/>
      <c r="V178" s="13"/>
      <c r="W178" s="13"/>
      <c r="X178" s="1"/>
      <c r="Y178" s="1"/>
      <c r="Z178" s="1"/>
    </row>
    <row r="179" spans="1:26" x14ac:dyDescent="0.25">
      <c r="A179" s="13"/>
      <c r="B179" s="13"/>
      <c r="C179" s="13"/>
      <c r="D179" s="14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4"/>
      <c r="R179" s="13"/>
      <c r="S179" s="13"/>
      <c r="T179" s="13"/>
      <c r="U179" s="13"/>
      <c r="V179" s="13"/>
      <c r="W179" s="13"/>
      <c r="X179" s="1"/>
      <c r="Y179" s="1"/>
      <c r="Z179" s="1"/>
    </row>
    <row r="180" spans="1:26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:26" x14ac:dyDescent="0.25">
      <c r="A181" s="13"/>
      <c r="B181" s="13"/>
      <c r="C181" s="13"/>
      <c r="D181" s="14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4"/>
      <c r="R181" s="13"/>
      <c r="S181" s="13"/>
      <c r="T181" s="13"/>
      <c r="U181" s="13"/>
      <c r="V181" s="13"/>
      <c r="W181" s="13"/>
    </row>
    <row r="182" spans="1:26" x14ac:dyDescent="0.25">
      <c r="A182" s="13"/>
      <c r="B182" s="13"/>
      <c r="C182" s="13"/>
      <c r="D182" s="14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4"/>
      <c r="R182" s="13"/>
      <c r="S182" s="13"/>
      <c r="T182" s="13"/>
      <c r="U182" s="13"/>
      <c r="V182" s="13"/>
      <c r="W182" s="13"/>
      <c r="X182" s="1"/>
      <c r="Y182" s="1"/>
      <c r="Z182" s="1"/>
    </row>
    <row r="183" spans="1:26" x14ac:dyDescent="0.25">
      <c r="A183" s="13"/>
      <c r="B183" s="13"/>
      <c r="C183" s="13"/>
      <c r="D183" s="15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5"/>
      <c r="R183" s="13"/>
      <c r="S183" s="13"/>
      <c r="T183" s="13"/>
      <c r="U183" s="13"/>
      <c r="V183" s="13"/>
      <c r="W183" s="13"/>
      <c r="X183" s="1"/>
      <c r="Y183" s="1"/>
      <c r="Z183" s="1"/>
    </row>
    <row r="184" spans="1:2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spans="1:26" x14ac:dyDescent="0.25">
      <c r="A185" s="13"/>
      <c r="B185" s="13"/>
      <c r="C185" s="13"/>
      <c r="D185" s="14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4"/>
      <c r="R185" s="13"/>
      <c r="S185" s="13"/>
      <c r="T185" s="13"/>
      <c r="U185" s="13"/>
      <c r="V185" s="13"/>
      <c r="W185" s="13"/>
    </row>
    <row r="186" spans="1:26" x14ac:dyDescent="0.25">
      <c r="A186" s="13"/>
      <c r="B186" s="13"/>
      <c r="C186" s="13"/>
      <c r="D186" s="15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5"/>
      <c r="R186" s="13"/>
      <c r="S186" s="13"/>
      <c r="T186" s="13"/>
      <c r="U186" s="13"/>
      <c r="V186" s="13"/>
      <c r="W186" s="13"/>
      <c r="X186" s="1"/>
      <c r="Y186" s="1"/>
      <c r="Z186" s="1"/>
    </row>
    <row r="187" spans="1:26" x14ac:dyDescent="0.25">
      <c r="A187" s="13"/>
      <c r="B187" s="13"/>
      <c r="C187" s="13"/>
      <c r="D187" s="15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5"/>
      <c r="R187" s="13"/>
      <c r="S187" s="13"/>
      <c r="T187" s="13"/>
      <c r="U187" s="13"/>
      <c r="V187" s="13"/>
      <c r="W187" s="13"/>
      <c r="X187" s="1"/>
      <c r="Y187" s="1"/>
      <c r="Z187" s="1"/>
    </row>
    <row r="188" spans="1:26" x14ac:dyDescent="0.25">
      <c r="A188" s="13"/>
      <c r="B188" s="13"/>
      <c r="C188" s="13"/>
      <c r="D188" s="14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4"/>
      <c r="R188" s="13"/>
      <c r="S188" s="13"/>
      <c r="T188" s="13"/>
      <c r="U188" s="13"/>
      <c r="V188" s="13"/>
      <c r="W188" s="13"/>
    </row>
    <row r="189" spans="1:2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:26" x14ac:dyDescent="0.25">
      <c r="A190" s="13"/>
      <c r="B190" s="13"/>
      <c r="C190" s="13"/>
      <c r="D190" s="15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5"/>
      <c r="R190" s="13"/>
      <c r="S190" s="13"/>
      <c r="T190" s="13"/>
      <c r="U190" s="13"/>
      <c r="V190" s="13"/>
      <c r="W190" s="13"/>
      <c r="X190" s="1"/>
      <c r="Y190" s="1"/>
      <c r="Z190" s="1"/>
    </row>
    <row r="191" spans="1:26" x14ac:dyDescent="0.25">
      <c r="A191" s="13"/>
      <c r="B191" s="13"/>
      <c r="C191" s="13"/>
      <c r="D191" s="14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4"/>
      <c r="R191" s="13"/>
      <c r="S191" s="13"/>
      <c r="T191" s="13"/>
      <c r="U191" s="13"/>
      <c r="V191" s="13"/>
      <c r="W191" s="13"/>
    </row>
    <row r="192" spans="1:2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:26" x14ac:dyDescent="0.25">
      <c r="A193" s="13"/>
      <c r="B193" s="13"/>
      <c r="C193" s="13"/>
      <c r="D193" s="15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5"/>
      <c r="R193" s="13"/>
      <c r="S193" s="13"/>
      <c r="T193" s="13"/>
      <c r="U193" s="13"/>
      <c r="V193" s="13"/>
      <c r="W193" s="13"/>
      <c r="X193" s="1"/>
      <c r="Y193" s="1"/>
      <c r="Z193" s="1"/>
    </row>
    <row r="194" spans="1:26" x14ac:dyDescent="0.25">
      <c r="A194" s="13"/>
      <c r="B194" s="13"/>
      <c r="C194" s="13"/>
      <c r="D194" s="14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4"/>
      <c r="R194" s="13"/>
      <c r="S194" s="13"/>
      <c r="T194" s="13"/>
      <c r="U194" s="13"/>
      <c r="V194" s="13"/>
      <c r="W194" s="13"/>
    </row>
    <row r="195" spans="1:2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:26" x14ac:dyDescent="0.25">
      <c r="A196" s="13"/>
      <c r="B196" s="13"/>
      <c r="C196" s="13"/>
      <c r="D196" s="15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5"/>
      <c r="R196" s="13"/>
      <c r="S196" s="13"/>
      <c r="T196" s="13"/>
      <c r="U196" s="13"/>
      <c r="V196" s="13"/>
      <c r="W196" s="13"/>
      <c r="X196" s="1"/>
      <c r="Y196" s="1"/>
      <c r="Z196" s="1"/>
    </row>
    <row r="197" spans="1:26" x14ac:dyDescent="0.25">
      <c r="A197" s="13"/>
      <c r="B197" s="13"/>
      <c r="C197" s="13"/>
      <c r="D197" s="14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4"/>
      <c r="R197" s="13"/>
      <c r="S197" s="13"/>
      <c r="T197" s="13"/>
      <c r="U197" s="13"/>
      <c r="V197" s="13"/>
      <c r="W197" s="13"/>
      <c r="X197" s="1"/>
      <c r="Y197" s="1"/>
      <c r="Z197" s="1"/>
    </row>
    <row r="198" spans="1:26" x14ac:dyDescent="0.25">
      <c r="A198" s="13"/>
      <c r="B198" s="13"/>
      <c r="C198" s="13"/>
      <c r="D198" s="15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5"/>
      <c r="R198" s="13"/>
      <c r="S198" s="13"/>
      <c r="T198" s="13"/>
      <c r="U198" s="13"/>
      <c r="V198" s="13"/>
      <c r="W198" s="13"/>
      <c r="X198" s="1"/>
      <c r="Y198" s="1"/>
      <c r="Z198" s="1"/>
    </row>
    <row r="199" spans="1:2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spans="1:26" x14ac:dyDescent="0.25">
      <c r="A200" s="13"/>
      <c r="B200" s="13"/>
      <c r="C200" s="13"/>
      <c r="D200" s="14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4"/>
      <c r="R200" s="13"/>
      <c r="S200" s="13"/>
      <c r="T200" s="13"/>
      <c r="U200" s="13"/>
      <c r="V200" s="13"/>
      <c r="W200" s="13"/>
    </row>
    <row r="201" spans="1:26" x14ac:dyDescent="0.25">
      <c r="A201" s="13"/>
      <c r="B201" s="13"/>
      <c r="C201" s="13"/>
      <c r="D201" s="15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5"/>
      <c r="R201" s="13"/>
      <c r="S201" s="13"/>
      <c r="T201" s="13"/>
      <c r="U201" s="13"/>
      <c r="V201" s="13"/>
      <c r="W201" s="13"/>
      <c r="X201" s="1"/>
      <c r="Y201" s="1"/>
      <c r="Z201" s="1"/>
    </row>
    <row r="202" spans="1:2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spans="1:26" x14ac:dyDescent="0.25">
      <c r="A203" s="13"/>
      <c r="B203" s="13"/>
      <c r="C203" s="13"/>
      <c r="D203" s="14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4"/>
      <c r="R203" s="13"/>
      <c r="S203" s="13"/>
      <c r="T203" s="13"/>
      <c r="U203" s="13"/>
      <c r="V203" s="13"/>
      <c r="W203" s="13"/>
    </row>
    <row r="204" spans="1:26" x14ac:dyDescent="0.25">
      <c r="A204" s="13"/>
      <c r="B204" s="13"/>
      <c r="C204" s="13"/>
      <c r="D204" s="15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5"/>
      <c r="R204" s="13"/>
      <c r="S204" s="13"/>
      <c r="T204" s="13"/>
      <c r="U204" s="13"/>
      <c r="V204" s="13"/>
      <c r="W204" s="13"/>
      <c r="X204" s="1"/>
      <c r="Y204" s="1"/>
      <c r="Z204" s="1"/>
    </row>
    <row r="205" spans="1:26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:26" x14ac:dyDescent="0.25">
      <c r="A206" s="13"/>
      <c r="B206" s="13"/>
      <c r="C206" s="13"/>
      <c r="D206" s="14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4"/>
      <c r="R206" s="13"/>
      <c r="S206" s="13"/>
      <c r="T206" s="13"/>
      <c r="U206" s="13"/>
      <c r="V206" s="13"/>
      <c r="W206" s="13"/>
    </row>
    <row r="207" spans="1:26" x14ac:dyDescent="0.25">
      <c r="A207" s="13"/>
      <c r="B207" s="13"/>
      <c r="C207" s="13"/>
      <c r="D207" s="15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5"/>
      <c r="R207" s="13"/>
      <c r="S207" s="13"/>
      <c r="T207" s="13"/>
      <c r="U207" s="13"/>
      <c r="V207" s="13"/>
      <c r="W207" s="13"/>
      <c r="X207" s="1"/>
      <c r="Y207" s="1"/>
      <c r="Z207" s="1"/>
    </row>
    <row r="208" spans="1:26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spans="1:26" x14ac:dyDescent="0.25">
      <c r="A209" s="13"/>
      <c r="B209" s="13"/>
      <c r="C209" s="13"/>
      <c r="D209" s="14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4"/>
      <c r="R209" s="13"/>
      <c r="S209" s="13"/>
      <c r="T209" s="13"/>
      <c r="U209" s="13"/>
      <c r="V209" s="13"/>
      <c r="W209" s="13"/>
    </row>
    <row r="210" spans="1:26" x14ac:dyDescent="0.25">
      <c r="A210" s="13"/>
      <c r="B210" s="13"/>
      <c r="C210" s="13"/>
      <c r="D210" s="15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4"/>
      <c r="R210" s="13"/>
      <c r="S210" s="13"/>
      <c r="T210" s="13"/>
      <c r="U210" s="13"/>
      <c r="V210" s="13"/>
      <c r="W210" s="13"/>
      <c r="X210" s="1"/>
      <c r="Y210" s="1"/>
      <c r="Z210" s="1"/>
    </row>
    <row r="211" spans="1:26" x14ac:dyDescent="0.25">
      <c r="A211" s="13"/>
      <c r="B211" s="13"/>
      <c r="C211" s="13"/>
      <c r="D211" s="15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5"/>
      <c r="R211" s="13"/>
      <c r="S211" s="13"/>
      <c r="T211" s="13"/>
      <c r="U211" s="13"/>
      <c r="V211" s="13"/>
      <c r="W211" s="13"/>
      <c r="X211" s="1"/>
      <c r="Y211" s="1"/>
      <c r="Z211" s="1"/>
    </row>
    <row r="212" spans="1:26" x14ac:dyDescent="0.25">
      <c r="A212" s="13"/>
      <c r="B212" s="13"/>
      <c r="C212" s="13"/>
      <c r="D212" s="14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4"/>
      <c r="R212" s="13"/>
      <c r="S212" s="13"/>
      <c r="T212" s="13"/>
      <c r="U212" s="13"/>
      <c r="V212" s="13"/>
      <c r="W212" s="13"/>
      <c r="X212" s="1"/>
      <c r="Y212" s="1"/>
      <c r="Z212" s="1"/>
    </row>
    <row r="213" spans="1:26" x14ac:dyDescent="0.25">
      <c r="A213" s="13"/>
      <c r="B213" s="13"/>
      <c r="C213" s="13"/>
      <c r="D213" s="14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4"/>
      <c r="R213" s="13"/>
      <c r="S213" s="13"/>
      <c r="T213" s="13"/>
      <c r="U213" s="13"/>
      <c r="V213" s="13"/>
      <c r="W213" s="13"/>
      <c r="X213" s="1"/>
      <c r="Y213" s="1"/>
      <c r="Z213" s="1"/>
    </row>
    <row r="214" spans="1:26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spans="1:26" x14ac:dyDescent="0.25">
      <c r="A215" s="13"/>
      <c r="B215" s="13"/>
      <c r="C215" s="13"/>
      <c r="D215" s="14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4"/>
      <c r="R215" s="13"/>
      <c r="S215" s="13"/>
      <c r="T215" s="13"/>
      <c r="U215" s="13"/>
      <c r="V215" s="13"/>
      <c r="W215" s="13"/>
    </row>
    <row r="216" spans="1:26" x14ac:dyDescent="0.25">
      <c r="A216" s="13"/>
      <c r="B216" s="13"/>
      <c r="C216" s="13"/>
      <c r="D216" s="14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4"/>
      <c r="R216" s="13"/>
      <c r="S216" s="13"/>
      <c r="T216" s="13"/>
      <c r="U216" s="13"/>
      <c r="V216" s="13"/>
      <c r="W216" s="13"/>
      <c r="X216" s="1"/>
      <c r="Y216" s="1"/>
      <c r="Z216" s="1"/>
    </row>
    <row r="217" spans="1:26" x14ac:dyDescent="0.25">
      <c r="A217" s="13"/>
      <c r="B217" s="13"/>
      <c r="C217" s="13"/>
      <c r="D217" s="15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4"/>
      <c r="R217" s="13"/>
      <c r="S217" s="13"/>
      <c r="T217" s="13"/>
      <c r="U217" s="13"/>
      <c r="V217" s="13"/>
      <c r="W217" s="13"/>
      <c r="X217" s="1"/>
      <c r="Y217" s="1"/>
      <c r="Z217" s="1"/>
    </row>
    <row r="218" spans="1:26" x14ac:dyDescent="0.25">
      <c r="A218" s="13"/>
      <c r="B218" s="13"/>
      <c r="C218" s="13"/>
      <c r="D218" s="14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4"/>
      <c r="R218" s="13"/>
      <c r="S218" s="13"/>
      <c r="T218" s="13"/>
      <c r="U218" s="13"/>
      <c r="V218" s="13"/>
      <c r="W218" s="13"/>
    </row>
    <row r="219" spans="1:26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:26" x14ac:dyDescent="0.25">
      <c r="A220" s="13"/>
      <c r="B220" s="13"/>
      <c r="C220" s="13"/>
      <c r="D220" s="14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4"/>
      <c r="R220" s="13"/>
      <c r="S220" s="13"/>
      <c r="T220" s="13"/>
      <c r="U220" s="13"/>
      <c r="V220" s="13"/>
      <c r="W220" s="13"/>
      <c r="X220" s="1"/>
      <c r="Y220" s="1"/>
      <c r="Z220" s="1"/>
    </row>
    <row r="221" spans="1:26" x14ac:dyDescent="0.25">
      <c r="A221" s="13"/>
      <c r="B221" s="13"/>
      <c r="C221" s="13"/>
      <c r="D221" s="14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4"/>
      <c r="R221" s="13"/>
      <c r="S221" s="13"/>
      <c r="T221" s="13"/>
      <c r="U221" s="13"/>
      <c r="V221" s="13"/>
      <c r="W221" s="13"/>
      <c r="X221" s="1"/>
      <c r="Y221" s="1"/>
      <c r="Z221" s="1"/>
    </row>
    <row r="222" spans="1:26" x14ac:dyDescent="0.25">
      <c r="A222" s="13"/>
      <c r="B222" s="13"/>
      <c r="C222" s="13"/>
      <c r="D222" s="15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5"/>
      <c r="R222" s="13"/>
      <c r="S222" s="13"/>
      <c r="T222" s="13"/>
      <c r="U222" s="13"/>
      <c r="V222" s="13"/>
      <c r="W222" s="13"/>
      <c r="X222" s="1"/>
      <c r="Y222" s="1"/>
      <c r="Z222" s="1"/>
    </row>
    <row r="223" spans="1:26" x14ac:dyDescent="0.25">
      <c r="A223" s="13"/>
      <c r="B223" s="13"/>
      <c r="C223" s="13"/>
      <c r="D223" s="14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4"/>
      <c r="R223" s="13"/>
      <c r="S223" s="13"/>
      <c r="T223" s="13"/>
      <c r="U223" s="13"/>
      <c r="V223" s="13"/>
      <c r="W223" s="13"/>
      <c r="X223" s="1"/>
      <c r="Y223" s="1"/>
      <c r="Z223" s="1"/>
    </row>
    <row r="224" spans="1:26" x14ac:dyDescent="0.25">
      <c r="A224" s="13"/>
      <c r="B224" s="13"/>
      <c r="C224" s="13"/>
      <c r="D224" s="14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4"/>
      <c r="R224" s="13"/>
      <c r="S224" s="13"/>
      <c r="T224" s="13"/>
      <c r="U224" s="13"/>
      <c r="V224" s="13"/>
      <c r="W224" s="13"/>
    </row>
    <row r="225" spans="1:26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:26" x14ac:dyDescent="0.25">
      <c r="A226" s="13"/>
      <c r="B226" s="13"/>
      <c r="C226" s="13"/>
      <c r="D226" s="14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4"/>
      <c r="R226" s="13"/>
      <c r="S226" s="13"/>
      <c r="T226" s="13"/>
      <c r="U226" s="13"/>
      <c r="V226" s="13"/>
      <c r="W226" s="13"/>
      <c r="X226" s="1"/>
      <c r="Y226" s="1"/>
      <c r="Z226" s="1"/>
    </row>
    <row r="227" spans="1:26" x14ac:dyDescent="0.25">
      <c r="A227" s="13"/>
      <c r="B227" s="13"/>
      <c r="C227" s="13"/>
      <c r="D227" s="14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4"/>
      <c r="R227" s="13"/>
      <c r="S227" s="13"/>
      <c r="T227" s="13"/>
      <c r="U227" s="13"/>
      <c r="V227" s="13"/>
      <c r="W227" s="13"/>
      <c r="X227" s="1"/>
      <c r="Y227" s="1"/>
      <c r="Z227" s="1"/>
    </row>
    <row r="228" spans="1:26" x14ac:dyDescent="0.25">
      <c r="A228" s="13"/>
      <c r="B228" s="13"/>
      <c r="C228" s="13"/>
      <c r="D228" s="15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5"/>
      <c r="R228" s="13"/>
      <c r="S228" s="13"/>
      <c r="T228" s="13"/>
      <c r="U228" s="13"/>
      <c r="V228" s="13"/>
      <c r="W228" s="13"/>
      <c r="X228" s="1"/>
      <c r="Y228" s="1"/>
      <c r="Z228" s="1"/>
    </row>
    <row r="229" spans="1:26" x14ac:dyDescent="0.25">
      <c r="A229" s="13"/>
      <c r="B229" s="13"/>
      <c r="C229" s="13"/>
      <c r="D229" s="14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4"/>
      <c r="R229" s="13"/>
      <c r="S229" s="13"/>
      <c r="T229" s="13"/>
      <c r="U229" s="13"/>
      <c r="V229" s="13"/>
      <c r="W229" s="13"/>
      <c r="X229" s="1"/>
      <c r="Y229" s="1"/>
      <c r="Z229" s="1"/>
    </row>
    <row r="230" spans="1:26" x14ac:dyDescent="0.25">
      <c r="A230" s="13"/>
      <c r="B230" s="13"/>
      <c r="C230" s="13"/>
      <c r="D230" s="14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4"/>
      <c r="R230" s="13"/>
      <c r="S230" s="13"/>
      <c r="T230" s="13"/>
      <c r="U230" s="13"/>
      <c r="V230" s="13"/>
      <c r="W230" s="13"/>
      <c r="X230" s="1"/>
      <c r="Y230" s="1"/>
      <c r="Z230" s="1"/>
    </row>
    <row r="231" spans="1:26" x14ac:dyDescent="0.25">
      <c r="A231" s="13"/>
      <c r="B231" s="13"/>
      <c r="C231" s="13"/>
      <c r="D231" s="15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5"/>
      <c r="R231" s="13"/>
      <c r="S231" s="13"/>
      <c r="T231" s="13"/>
      <c r="U231" s="13"/>
      <c r="V231" s="13"/>
      <c r="W231" s="13"/>
      <c r="X231" s="1"/>
      <c r="Y231" s="1"/>
      <c r="Z231" s="1"/>
    </row>
    <row r="232" spans="1:26" x14ac:dyDescent="0.25">
      <c r="A232" s="13"/>
      <c r="B232" s="13"/>
      <c r="C232" s="13"/>
      <c r="D232" s="14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4"/>
      <c r="R232" s="13"/>
      <c r="S232" s="13"/>
      <c r="T232" s="13"/>
      <c r="U232" s="13"/>
      <c r="V232" s="13"/>
      <c r="W232" s="13"/>
      <c r="X232" s="1"/>
      <c r="Y232" s="1"/>
      <c r="Z232" s="1"/>
    </row>
    <row r="233" spans="1:26" x14ac:dyDescent="0.25">
      <c r="A233" s="13"/>
      <c r="B233" s="13"/>
      <c r="C233" s="13"/>
      <c r="D233" s="14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4"/>
      <c r="R233" s="13"/>
      <c r="S233" s="13"/>
      <c r="T233" s="13"/>
      <c r="U233" s="13"/>
      <c r="V233" s="13"/>
      <c r="W233" s="13"/>
      <c r="X233" s="1"/>
      <c r="Y233" s="1"/>
      <c r="Z233" s="1"/>
    </row>
    <row r="234" spans="1:26" x14ac:dyDescent="0.25">
      <c r="A234" s="13"/>
      <c r="B234" s="13"/>
      <c r="C234" s="13"/>
      <c r="D234" s="15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4"/>
      <c r="R234" s="13"/>
      <c r="S234" s="13"/>
      <c r="T234" s="13"/>
      <c r="U234" s="13"/>
      <c r="V234" s="13"/>
      <c r="W234" s="13"/>
      <c r="X234" s="1"/>
      <c r="Y234" s="1"/>
      <c r="Z234" s="1"/>
    </row>
    <row r="235" spans="1:26" x14ac:dyDescent="0.25">
      <c r="A235" s="13"/>
      <c r="B235" s="13"/>
      <c r="C235" s="13"/>
      <c r="D235" s="15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5"/>
      <c r="R235" s="13"/>
      <c r="S235" s="13"/>
      <c r="T235" s="13"/>
      <c r="U235" s="13"/>
      <c r="V235" s="13"/>
      <c r="W235" s="13"/>
      <c r="X235" s="1"/>
      <c r="Y235" s="1"/>
      <c r="Z235" s="1"/>
    </row>
    <row r="236" spans="1:26" x14ac:dyDescent="0.25">
      <c r="A236" s="13"/>
      <c r="B236" s="13"/>
      <c r="C236" s="13"/>
      <c r="D236" s="14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4"/>
      <c r="R236" s="13"/>
      <c r="S236" s="13"/>
      <c r="T236" s="13"/>
      <c r="U236" s="13"/>
      <c r="V236" s="13"/>
      <c r="W236" s="13"/>
      <c r="X236" s="1"/>
      <c r="Y236" s="1"/>
      <c r="Z236" s="1"/>
    </row>
    <row r="237" spans="1:26" x14ac:dyDescent="0.25">
      <c r="A237" s="13"/>
      <c r="B237" s="13"/>
      <c r="C237" s="13"/>
      <c r="D237" s="14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4"/>
      <c r="R237" s="13"/>
      <c r="S237" s="13"/>
      <c r="T237" s="13"/>
      <c r="U237" s="13"/>
      <c r="V237" s="13"/>
      <c r="W237" s="13"/>
      <c r="X237" s="1"/>
      <c r="Y237" s="1"/>
      <c r="Z237" s="1"/>
    </row>
    <row r="238" spans="1:26" x14ac:dyDescent="0.25">
      <c r="A238" s="13"/>
      <c r="B238" s="13"/>
      <c r="C238" s="13"/>
      <c r="D238" s="15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4"/>
      <c r="R238" s="13"/>
      <c r="S238" s="13"/>
      <c r="T238" s="13"/>
      <c r="U238" s="13"/>
      <c r="V238" s="13"/>
      <c r="W238" s="13"/>
      <c r="X238" s="1"/>
      <c r="Y238" s="1"/>
      <c r="Z238" s="1"/>
    </row>
    <row r="239" spans="1:26" x14ac:dyDescent="0.25">
      <c r="A239" s="13"/>
      <c r="B239" s="13"/>
      <c r="C239" s="13"/>
      <c r="D239" s="14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4"/>
      <c r="R239" s="13"/>
      <c r="S239" s="13"/>
      <c r="T239" s="13"/>
      <c r="U239" s="13"/>
      <c r="V239" s="13"/>
      <c r="W239" s="13"/>
      <c r="X239" s="1"/>
      <c r="Y239" s="1"/>
      <c r="Z239" s="1"/>
    </row>
    <row r="240" spans="1:26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4"/>
      <c r="R240" s="13"/>
      <c r="S240" s="13"/>
      <c r="T240" s="13"/>
      <c r="U240" s="13"/>
      <c r="V240" s="13"/>
      <c r="W240" s="13"/>
    </row>
    <row r="241" spans="1:26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spans="1:26" x14ac:dyDescent="0.25">
      <c r="A242" s="13"/>
      <c r="B242" s="13"/>
      <c r="C242" s="13"/>
      <c r="D242" s="14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4"/>
      <c r="R242" s="13"/>
      <c r="S242" s="13"/>
      <c r="T242" s="13"/>
      <c r="U242" s="13"/>
      <c r="V242" s="13"/>
      <c r="W242" s="13"/>
      <c r="X242" s="1"/>
      <c r="Y242" s="1"/>
      <c r="Z242" s="1"/>
    </row>
    <row r="243" spans="1:26" x14ac:dyDescent="0.25">
      <c r="A243" s="13"/>
      <c r="B243" s="13"/>
      <c r="C243" s="13"/>
      <c r="D243" s="14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4"/>
      <c r="R243" s="13"/>
      <c r="S243" s="13"/>
      <c r="T243" s="13"/>
      <c r="U243" s="13"/>
      <c r="V243" s="13"/>
      <c r="W243" s="13"/>
      <c r="X243" s="1"/>
      <c r="Y243" s="1"/>
      <c r="Z243" s="1"/>
    </row>
    <row r="244" spans="1:26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spans="1:26" x14ac:dyDescent="0.25">
      <c r="A245" s="13"/>
      <c r="B245" s="13"/>
      <c r="C245" s="13"/>
      <c r="D245" s="14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4"/>
      <c r="R245" s="13"/>
      <c r="S245" s="13"/>
      <c r="T245" s="13"/>
      <c r="U245" s="13"/>
      <c r="V245" s="13"/>
      <c r="W245" s="13"/>
    </row>
    <row r="246" spans="1:26" x14ac:dyDescent="0.25">
      <c r="A246" s="13"/>
      <c r="B246" s="13"/>
      <c r="C246" s="13"/>
      <c r="D246" s="14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4"/>
      <c r="R246" s="13"/>
      <c r="S246" s="13"/>
      <c r="T246" s="13"/>
      <c r="U246" s="13"/>
      <c r="V246" s="13"/>
      <c r="W246" s="13"/>
      <c r="X246" s="1"/>
      <c r="Y246" s="1"/>
      <c r="Z246" s="1"/>
    </row>
    <row r="247" spans="1:26" x14ac:dyDescent="0.25">
      <c r="A247" s="13"/>
      <c r="B247" s="13"/>
      <c r="C247" s="13"/>
      <c r="D247" s="15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5"/>
      <c r="R247" s="13"/>
      <c r="S247" s="13"/>
      <c r="T247" s="13"/>
      <c r="U247" s="13"/>
      <c r="V247" s="13"/>
      <c r="W247" s="13"/>
      <c r="X247" s="1"/>
      <c r="Y247" s="1"/>
      <c r="Z247" s="1"/>
    </row>
    <row r="248" spans="1:26" x14ac:dyDescent="0.25">
      <c r="A248" s="13"/>
      <c r="B248" s="13"/>
      <c r="C248" s="13"/>
      <c r="D248" s="14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4"/>
      <c r="R248" s="13"/>
      <c r="S248" s="13"/>
      <c r="T248" s="13"/>
      <c r="U248" s="13"/>
      <c r="V248" s="13"/>
      <c r="W248" s="13"/>
      <c r="X248" s="1"/>
      <c r="Y248" s="1"/>
      <c r="Z248" s="1"/>
    </row>
    <row r="249" spans="1:26" x14ac:dyDescent="0.25">
      <c r="A249" s="13"/>
      <c r="B249" s="13"/>
      <c r="C249" s="13"/>
      <c r="D249" s="14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4"/>
      <c r="R249" s="13"/>
      <c r="S249" s="13"/>
      <c r="T249" s="13"/>
      <c r="U249" s="13"/>
      <c r="V249" s="13"/>
      <c r="W249" s="13"/>
    </row>
    <row r="250" spans="1:26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4"/>
      <c r="R250" s="13"/>
      <c r="S250" s="13"/>
      <c r="T250" s="13"/>
      <c r="U250" s="13"/>
      <c r="V250" s="13"/>
      <c r="W250" s="13"/>
    </row>
    <row r="251" spans="1:26" x14ac:dyDescent="0.25">
      <c r="A251" s="13"/>
      <c r="B251" s="13"/>
      <c r="C251" s="13"/>
      <c r="D251" s="14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4"/>
      <c r="R251" s="13"/>
      <c r="S251" s="13"/>
      <c r="T251" s="13"/>
      <c r="U251" s="13"/>
      <c r="V251" s="13"/>
      <c r="W251" s="13"/>
      <c r="X251" s="1"/>
      <c r="Y251" s="1"/>
      <c r="Z251" s="1"/>
    </row>
    <row r="252" spans="1:26" x14ac:dyDescent="0.25">
      <c r="A252" s="13"/>
      <c r="B252" s="13"/>
      <c r="C252" s="13"/>
      <c r="D252" s="15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4"/>
      <c r="R252" s="13"/>
      <c r="S252" s="13"/>
      <c r="T252" s="13"/>
      <c r="U252" s="13"/>
      <c r="V252" s="13"/>
      <c r="W252" s="13"/>
      <c r="X252" s="1"/>
      <c r="Y252" s="1"/>
      <c r="Z252" s="1"/>
    </row>
    <row r="253" spans="1:26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4"/>
      <c r="R253" s="13"/>
      <c r="S253" s="13"/>
      <c r="T253" s="13"/>
      <c r="U253" s="13"/>
      <c r="V253" s="13"/>
      <c r="W253" s="13"/>
    </row>
    <row r="254" spans="1:26" x14ac:dyDescent="0.25">
      <c r="A254" s="13"/>
      <c r="B254" s="13"/>
      <c r="C254" s="13"/>
      <c r="D254" s="14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4"/>
      <c r="R254" s="13"/>
      <c r="S254" s="13"/>
      <c r="T254" s="13"/>
      <c r="U254" s="13"/>
      <c r="V254" s="13"/>
      <c r="W254" s="13"/>
    </row>
    <row r="255" spans="1:26" x14ac:dyDescent="0.25">
      <c r="A255" s="13"/>
      <c r="B255" s="13"/>
      <c r="C255" s="13"/>
      <c r="D255" s="15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4"/>
      <c r="R255" s="13"/>
      <c r="S255" s="13"/>
      <c r="T255" s="13"/>
      <c r="U255" s="13"/>
      <c r="V255" s="13"/>
      <c r="W255" s="13"/>
      <c r="X255" s="1"/>
      <c r="Y255" s="1"/>
      <c r="Z255" s="1"/>
    </row>
    <row r="256" spans="1:26" x14ac:dyDescent="0.25">
      <c r="A256" s="13"/>
      <c r="B256" s="13"/>
      <c r="C256" s="13"/>
      <c r="D256" s="15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4"/>
      <c r="R256" s="13"/>
      <c r="S256" s="13"/>
      <c r="T256" s="13"/>
      <c r="U256" s="13"/>
      <c r="V256" s="13"/>
      <c r="W256" s="13"/>
      <c r="X256" s="1"/>
      <c r="Y256" s="1"/>
      <c r="Z256" s="1"/>
    </row>
    <row r="257" spans="1:26" x14ac:dyDescent="0.25">
      <c r="A257" s="13"/>
      <c r="B257" s="13"/>
      <c r="C257" s="13"/>
      <c r="D257" s="14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4"/>
      <c r="R257" s="13"/>
      <c r="S257" s="13"/>
      <c r="T257" s="13"/>
      <c r="U257" s="13"/>
      <c r="V257" s="13"/>
      <c r="W257" s="13"/>
      <c r="X257" s="1"/>
      <c r="Y257" s="1"/>
      <c r="Z257" s="1"/>
    </row>
    <row r="258" spans="1:26" x14ac:dyDescent="0.25">
      <c r="A258" s="13"/>
      <c r="B258" s="13"/>
      <c r="C258" s="13"/>
      <c r="D258" s="15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5"/>
      <c r="R258" s="13"/>
      <c r="S258" s="13"/>
      <c r="T258" s="13"/>
      <c r="U258" s="13"/>
      <c r="V258" s="13"/>
      <c r="W258" s="13"/>
      <c r="X258" s="1"/>
      <c r="Y258" s="1"/>
      <c r="Z258" s="1"/>
    </row>
    <row r="259" spans="1:26" x14ac:dyDescent="0.25">
      <c r="A259" s="13"/>
      <c r="B259" s="13"/>
      <c r="C259" s="13"/>
      <c r="D259" s="14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4"/>
      <c r="R259" s="13"/>
      <c r="S259" s="13"/>
      <c r="T259" s="13"/>
      <c r="U259" s="13"/>
      <c r="V259" s="13"/>
      <c r="W259" s="13"/>
      <c r="X259" s="1"/>
      <c r="Y259" s="1"/>
      <c r="Z259" s="1"/>
    </row>
    <row r="260" spans="1:26" x14ac:dyDescent="0.25">
      <c r="A260" s="13"/>
      <c r="B260" s="13"/>
      <c r="C260" s="13"/>
      <c r="D260" s="14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4"/>
      <c r="R260" s="13"/>
      <c r="S260" s="13"/>
      <c r="T260" s="13"/>
      <c r="U260" s="13"/>
      <c r="V260" s="13"/>
      <c r="W260" s="13"/>
      <c r="X260" s="1"/>
      <c r="Y260" s="1"/>
      <c r="Z260" s="1"/>
    </row>
    <row r="261" spans="1:26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spans="1:26" x14ac:dyDescent="0.25">
      <c r="A262" s="13"/>
      <c r="B262" s="13"/>
      <c r="C262" s="13"/>
      <c r="D262" s="14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4"/>
      <c r="R262" s="13"/>
      <c r="S262" s="13"/>
      <c r="T262" s="13"/>
      <c r="U262" s="13"/>
      <c r="V262" s="13"/>
      <c r="W262" s="13"/>
    </row>
    <row r="263" spans="1:26" x14ac:dyDescent="0.25">
      <c r="A263" s="13"/>
      <c r="B263" s="13"/>
      <c r="C263" s="13"/>
      <c r="D263" s="14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4"/>
      <c r="R263" s="13"/>
      <c r="S263" s="13"/>
      <c r="T263" s="13"/>
      <c r="U263" s="13"/>
      <c r="V263" s="13"/>
      <c r="W263" s="13"/>
      <c r="X263" s="1"/>
      <c r="Y263" s="1"/>
      <c r="Z263" s="1"/>
    </row>
    <row r="264" spans="1:26" x14ac:dyDescent="0.25">
      <c r="A264" s="13"/>
      <c r="B264" s="13"/>
      <c r="C264" s="13"/>
      <c r="D264" s="14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4"/>
      <c r="R264" s="13"/>
      <c r="S264" s="13"/>
      <c r="T264" s="13"/>
      <c r="U264" s="13"/>
      <c r="V264" s="13"/>
      <c r="W264" s="13"/>
      <c r="X264" s="1"/>
      <c r="Y264" s="1"/>
      <c r="Z264" s="1"/>
    </row>
    <row r="265" spans="1:26" x14ac:dyDescent="0.25">
      <c r="A265" s="13"/>
      <c r="B265" s="13"/>
      <c r="C265" s="13"/>
      <c r="D265" s="14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4"/>
      <c r="R265" s="13"/>
      <c r="S265" s="13"/>
      <c r="T265" s="13"/>
      <c r="U265" s="13"/>
      <c r="V265" s="13"/>
      <c r="W265" s="13"/>
      <c r="X265" s="1"/>
      <c r="Y265" s="1"/>
      <c r="Z265" s="1"/>
    </row>
    <row r="266" spans="1:26" x14ac:dyDescent="0.25">
      <c r="A266" s="13"/>
      <c r="B266" s="13"/>
      <c r="C266" s="13"/>
      <c r="D266" s="15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5"/>
      <c r="R266" s="13"/>
      <c r="S266" s="13"/>
      <c r="T266" s="13"/>
      <c r="U266" s="13"/>
      <c r="V266" s="13"/>
      <c r="W266" s="13"/>
      <c r="X266" s="1"/>
      <c r="Y266" s="1"/>
      <c r="Z266" s="1"/>
    </row>
    <row r="267" spans="1:26" x14ac:dyDescent="0.25">
      <c r="A267" s="13"/>
      <c r="B267" s="13"/>
      <c r="C267" s="13"/>
      <c r="D267" s="14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4"/>
      <c r="R267" s="13"/>
      <c r="S267" s="13"/>
      <c r="T267" s="13"/>
      <c r="U267" s="13"/>
      <c r="V267" s="13"/>
      <c r="W267" s="13"/>
      <c r="X267" s="1"/>
      <c r="Y267" s="1"/>
      <c r="Z267" s="1"/>
    </row>
    <row r="268" spans="1:26" x14ac:dyDescent="0.25">
      <c r="A268" s="13"/>
      <c r="B268" s="13"/>
      <c r="C268" s="13"/>
      <c r="D268" s="14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4"/>
      <c r="R268" s="13"/>
      <c r="S268" s="13"/>
      <c r="T268" s="13"/>
      <c r="U268" s="13"/>
      <c r="V268" s="13"/>
      <c r="W268" s="13"/>
    </row>
    <row r="269" spans="1:26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spans="1:26" x14ac:dyDescent="0.25">
      <c r="A270" s="13"/>
      <c r="B270" s="13"/>
      <c r="C270" s="13"/>
      <c r="D270" s="14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4"/>
      <c r="R270" s="13"/>
      <c r="S270" s="13"/>
      <c r="T270" s="13"/>
      <c r="U270" s="13"/>
      <c r="V270" s="13"/>
      <c r="W270" s="13"/>
      <c r="X270" s="1"/>
      <c r="Y270" s="1"/>
      <c r="Z270" s="1"/>
    </row>
    <row r="271" spans="1:26" x14ac:dyDescent="0.25">
      <c r="A271" s="13"/>
      <c r="B271" s="13"/>
      <c r="C271" s="13"/>
      <c r="D271" s="14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4"/>
      <c r="R271" s="13"/>
      <c r="S271" s="13"/>
      <c r="T271" s="13"/>
      <c r="U271" s="13"/>
      <c r="V271" s="13"/>
      <c r="W271" s="13"/>
    </row>
    <row r="272" spans="1:26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spans="1:26" x14ac:dyDescent="0.25">
      <c r="A273" s="13"/>
      <c r="B273" s="13"/>
      <c r="C273" s="13"/>
      <c r="D273" s="14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4"/>
      <c r="R273" s="13"/>
      <c r="S273" s="13"/>
      <c r="T273" s="13"/>
      <c r="U273" s="13"/>
      <c r="V273" s="13"/>
      <c r="W273" s="13"/>
      <c r="X273" s="1"/>
      <c r="Y273" s="1"/>
      <c r="Z273" s="1"/>
    </row>
    <row r="274" spans="1:26" x14ac:dyDescent="0.25">
      <c r="A274" s="13"/>
      <c r="B274" s="13"/>
      <c r="C274" s="13"/>
      <c r="D274" s="14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4"/>
      <c r="R274" s="13"/>
      <c r="S274" s="13"/>
      <c r="T274" s="13"/>
      <c r="U274" s="13"/>
      <c r="V274" s="13"/>
      <c r="W274" s="13"/>
    </row>
    <row r="275" spans="1:26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spans="1:26" x14ac:dyDescent="0.25">
      <c r="A276" s="13"/>
      <c r="B276" s="13"/>
      <c r="C276" s="13"/>
      <c r="D276" s="14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4"/>
      <c r="R276" s="13"/>
      <c r="S276" s="13"/>
      <c r="T276" s="13"/>
      <c r="U276" s="13"/>
      <c r="V276" s="13"/>
      <c r="W276" s="13"/>
      <c r="X276" s="1"/>
      <c r="Y276" s="1"/>
      <c r="Z276" s="1"/>
    </row>
    <row r="277" spans="1:26" x14ac:dyDescent="0.25">
      <c r="A277" s="13"/>
      <c r="B277" s="13"/>
      <c r="C277" s="13"/>
      <c r="D277" s="14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4"/>
      <c r="R277" s="13"/>
      <c r="S277" s="13"/>
      <c r="T277" s="13"/>
      <c r="U277" s="13"/>
      <c r="V277" s="13"/>
      <c r="W277" s="13"/>
    </row>
    <row r="278" spans="1:26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spans="1:26" x14ac:dyDescent="0.25">
      <c r="A279" s="13"/>
      <c r="B279" s="13"/>
      <c r="C279" s="13"/>
      <c r="D279" s="14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4"/>
      <c r="R279" s="13"/>
      <c r="S279" s="13"/>
      <c r="T279" s="13"/>
      <c r="U279" s="13"/>
      <c r="V279" s="13"/>
      <c r="W279" s="13"/>
      <c r="X279" s="1"/>
      <c r="Y279" s="1"/>
      <c r="Z279" s="1"/>
    </row>
    <row r="280" spans="1:26" x14ac:dyDescent="0.25">
      <c r="A280" s="13"/>
      <c r="B280" s="13"/>
      <c r="C280" s="13"/>
      <c r="D280" s="14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4"/>
      <c r="R280" s="13"/>
      <c r="S280" s="13"/>
      <c r="T280" s="13"/>
      <c r="U280" s="13"/>
      <c r="V280" s="13"/>
      <c r="W280" s="13"/>
      <c r="X280" s="1"/>
      <c r="Y280" s="1"/>
      <c r="Z280" s="1"/>
    </row>
    <row r="281" spans="1:26" x14ac:dyDescent="0.25">
      <c r="A281" s="13"/>
      <c r="B281" s="13"/>
      <c r="C281" s="13"/>
      <c r="D281" s="15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5"/>
      <c r="R281" s="13"/>
      <c r="S281" s="13"/>
      <c r="T281" s="13"/>
      <c r="U281" s="13"/>
      <c r="V281" s="13"/>
      <c r="W281" s="13"/>
      <c r="X281" s="1"/>
      <c r="Y281" s="1"/>
      <c r="Z281" s="1"/>
    </row>
    <row r="282" spans="1:26" x14ac:dyDescent="0.25">
      <c r="A282" s="13"/>
      <c r="B282" s="13"/>
      <c r="C282" s="13"/>
      <c r="D282" s="14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4"/>
      <c r="R282" s="13"/>
      <c r="S282" s="13"/>
      <c r="T282" s="13"/>
      <c r="U282" s="13"/>
      <c r="V282" s="13"/>
      <c r="W282" s="13"/>
    </row>
    <row r="283" spans="1:26" x14ac:dyDescent="0.25">
      <c r="A283" s="13"/>
      <c r="B283" s="13"/>
      <c r="C283" s="13"/>
      <c r="D283" s="14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4"/>
      <c r="R283" s="13"/>
      <c r="S283" s="13"/>
      <c r="T283" s="13"/>
      <c r="U283" s="13"/>
      <c r="V283" s="13"/>
      <c r="W283" s="13"/>
    </row>
    <row r="284" spans="1:26" x14ac:dyDescent="0.25">
      <c r="A284" s="13"/>
      <c r="B284" s="13"/>
      <c r="C284" s="13"/>
      <c r="D284" s="15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5"/>
      <c r="R284" s="13"/>
      <c r="S284" s="13"/>
      <c r="T284" s="13"/>
      <c r="U284" s="13"/>
      <c r="V284" s="13"/>
      <c r="W284" s="13"/>
      <c r="X284" s="1"/>
      <c r="Y284" s="1"/>
      <c r="Z284" s="1"/>
    </row>
    <row r="285" spans="1:26" x14ac:dyDescent="0.25">
      <c r="A285" s="13"/>
      <c r="B285" s="13"/>
      <c r="C285" s="13"/>
      <c r="D285" s="14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4"/>
      <c r="R285" s="13"/>
      <c r="S285" s="13"/>
      <c r="T285" s="13"/>
      <c r="U285" s="13"/>
      <c r="V285" s="13"/>
      <c r="W285" s="13"/>
      <c r="X285" s="1"/>
      <c r="Y285" s="1"/>
      <c r="Z285" s="1"/>
    </row>
    <row r="286" spans="1:26" x14ac:dyDescent="0.25">
      <c r="A286" s="13"/>
      <c r="B286" s="13"/>
      <c r="C286" s="13"/>
      <c r="D286" s="14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4"/>
      <c r="R286" s="13"/>
      <c r="S286" s="13"/>
      <c r="T286" s="13"/>
      <c r="U286" s="13"/>
      <c r="V286" s="13"/>
      <c r="W286" s="13"/>
      <c r="X286" s="1"/>
      <c r="Y286" s="1"/>
      <c r="Z286" s="1"/>
    </row>
    <row r="287" spans="1:26" x14ac:dyDescent="0.25">
      <c r="A287" s="13"/>
      <c r="B287" s="13"/>
      <c r="C287" s="13"/>
      <c r="D287" s="15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5"/>
      <c r="R287" s="13"/>
      <c r="S287" s="13"/>
      <c r="T287" s="13"/>
      <c r="U287" s="13"/>
      <c r="V287" s="13"/>
      <c r="W287" s="13"/>
      <c r="X287" s="1"/>
      <c r="Y287" s="1"/>
      <c r="Z287" s="1"/>
    </row>
    <row r="288" spans="1:26" x14ac:dyDescent="0.25">
      <c r="A288" s="13"/>
      <c r="B288" s="13"/>
      <c r="C288" s="13"/>
      <c r="D288" s="14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4"/>
      <c r="R288" s="13"/>
      <c r="S288" s="13"/>
      <c r="T288" s="13"/>
      <c r="U288" s="13"/>
      <c r="V288" s="13"/>
      <c r="W288" s="13"/>
    </row>
    <row r="289" spans="1:26" x14ac:dyDescent="0.25">
      <c r="A289" s="13"/>
      <c r="B289" s="13"/>
      <c r="C289" s="13"/>
      <c r="D289" s="14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4"/>
      <c r="R289" s="13"/>
      <c r="S289" s="13"/>
      <c r="T289" s="13"/>
      <c r="U289" s="13"/>
      <c r="V289" s="13"/>
      <c r="W289" s="13"/>
    </row>
    <row r="290" spans="1:26" x14ac:dyDescent="0.25">
      <c r="A290" s="13"/>
      <c r="B290" s="13"/>
      <c r="C290" s="13"/>
      <c r="D290" s="15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5"/>
      <c r="R290" s="13"/>
      <c r="S290" s="13"/>
      <c r="T290" s="13"/>
      <c r="U290" s="13"/>
      <c r="V290" s="13"/>
      <c r="W290" s="13"/>
      <c r="X290" s="1"/>
      <c r="Y290" s="1"/>
      <c r="Z290" s="1"/>
    </row>
    <row r="291" spans="1:26" x14ac:dyDescent="0.25">
      <c r="A291" s="13"/>
      <c r="B291" s="13"/>
      <c r="C291" s="13"/>
      <c r="D291" s="15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5"/>
      <c r="R291" s="13"/>
      <c r="S291" s="13"/>
      <c r="T291" s="13"/>
      <c r="U291" s="13"/>
      <c r="V291" s="13"/>
      <c r="W291" s="13"/>
      <c r="X291" s="1"/>
      <c r="Y291" s="1"/>
      <c r="Z291" s="1"/>
    </row>
    <row r="292" spans="1:26" x14ac:dyDescent="0.25">
      <c r="A292" s="13"/>
      <c r="B292" s="13"/>
      <c r="C292" s="13"/>
      <c r="D292" s="14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4"/>
      <c r="R292" s="13"/>
      <c r="S292" s="13"/>
      <c r="T292" s="13"/>
      <c r="U292" s="13"/>
      <c r="V292" s="13"/>
      <c r="W292" s="13"/>
    </row>
    <row r="293" spans="1:26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4"/>
      <c r="R293" s="13"/>
      <c r="S293" s="13"/>
      <c r="T293" s="13"/>
      <c r="U293" s="13"/>
      <c r="V293" s="13"/>
      <c r="W293" s="13"/>
    </row>
    <row r="294" spans="1:26" x14ac:dyDescent="0.25">
      <c r="A294" s="13"/>
      <c r="B294" s="13"/>
      <c r="C294" s="13"/>
      <c r="D294" s="15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5"/>
      <c r="R294" s="13"/>
      <c r="S294" s="13"/>
      <c r="T294" s="13"/>
      <c r="U294" s="13"/>
      <c r="V294" s="13"/>
      <c r="W294" s="13"/>
      <c r="X294" s="1"/>
      <c r="Y294" s="1"/>
      <c r="Z294" s="1"/>
    </row>
    <row r="295" spans="1:26" x14ac:dyDescent="0.25">
      <c r="A295" s="13"/>
      <c r="B295" s="13"/>
      <c r="C295" s="13"/>
      <c r="D295" s="14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4"/>
      <c r="R295" s="13"/>
      <c r="S295" s="13"/>
      <c r="T295" s="13"/>
      <c r="U295" s="13"/>
      <c r="V295" s="13"/>
      <c r="W295" s="13"/>
      <c r="X295" s="1"/>
      <c r="Y295" s="1"/>
      <c r="Z295" s="1"/>
    </row>
    <row r="296" spans="1:26" x14ac:dyDescent="0.25">
      <c r="A296" s="13"/>
      <c r="B296" s="13"/>
      <c r="C296" s="13"/>
      <c r="D296" s="14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4"/>
      <c r="R296" s="13"/>
      <c r="S296" s="13"/>
      <c r="T296" s="13"/>
      <c r="U296" s="13"/>
      <c r="V296" s="13"/>
      <c r="W296" s="13"/>
      <c r="X296" s="1"/>
      <c r="Y296" s="1"/>
      <c r="Z296" s="1"/>
    </row>
    <row r="297" spans="1:26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spans="1:26" x14ac:dyDescent="0.25">
      <c r="A298" s="13"/>
      <c r="B298" s="13"/>
      <c r="C298" s="13"/>
      <c r="D298" s="14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4"/>
      <c r="R298" s="13"/>
      <c r="S298" s="13"/>
      <c r="T298" s="13"/>
      <c r="U298" s="13"/>
      <c r="V298" s="13"/>
      <c r="W298" s="13"/>
    </row>
    <row r="299" spans="1:26" x14ac:dyDescent="0.25">
      <c r="A299" s="13"/>
      <c r="B299" s="13"/>
      <c r="C299" s="13"/>
      <c r="D299" s="14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4"/>
      <c r="R299" s="13"/>
      <c r="S299" s="13"/>
      <c r="T299" s="13"/>
      <c r="U299" s="13"/>
      <c r="V299" s="13"/>
      <c r="W299" s="13"/>
      <c r="X299" s="1"/>
      <c r="Y299" s="1"/>
      <c r="Z299" s="1"/>
    </row>
    <row r="300" spans="1:26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spans="1:26" x14ac:dyDescent="0.25">
      <c r="A301" s="13"/>
      <c r="B301" s="13"/>
      <c r="C301" s="13"/>
      <c r="D301" s="14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4"/>
      <c r="R301" s="13"/>
      <c r="S301" s="13"/>
      <c r="T301" s="13"/>
      <c r="U301" s="13"/>
      <c r="V301" s="13"/>
      <c r="W301" s="13"/>
    </row>
    <row r="302" spans="1:26" x14ac:dyDescent="0.25">
      <c r="A302" s="13"/>
      <c r="B302" s="13"/>
      <c r="C302" s="13"/>
      <c r="D302" s="14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4"/>
      <c r="R302" s="13"/>
      <c r="S302" s="13"/>
      <c r="T302" s="13"/>
      <c r="U302" s="13"/>
      <c r="V302" s="13"/>
      <c r="W302" s="13"/>
      <c r="X302" s="1"/>
      <c r="Y302" s="1"/>
      <c r="Z302" s="1"/>
    </row>
    <row r="303" spans="1:26" x14ac:dyDescent="0.25">
      <c r="A303" s="13"/>
      <c r="B303" s="13"/>
      <c r="C303" s="13"/>
      <c r="D303" s="15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4"/>
      <c r="R303" s="13"/>
      <c r="S303" s="13"/>
      <c r="T303" s="13"/>
      <c r="U303" s="13"/>
      <c r="V303" s="13"/>
      <c r="W303" s="13"/>
      <c r="X303" s="1"/>
      <c r="Y303" s="1"/>
      <c r="Z303" s="1"/>
    </row>
    <row r="304" spans="1:26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4"/>
      <c r="R304" s="13"/>
      <c r="S304" s="13"/>
      <c r="T304" s="13"/>
      <c r="U304" s="13"/>
      <c r="V304" s="13"/>
      <c r="W304" s="13"/>
    </row>
    <row r="305" spans="1:26" x14ac:dyDescent="0.25">
      <c r="A305" s="13"/>
      <c r="B305" s="13"/>
      <c r="C305" s="13"/>
      <c r="D305" s="14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4"/>
      <c r="R305" s="13"/>
      <c r="S305" s="13"/>
      <c r="T305" s="13"/>
      <c r="U305" s="13"/>
      <c r="V305" s="13"/>
      <c r="W305" s="13"/>
    </row>
    <row r="306" spans="1:26" x14ac:dyDescent="0.25">
      <c r="A306" s="13"/>
      <c r="B306" s="13"/>
      <c r="C306" s="13"/>
      <c r="D306" s="15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4"/>
      <c r="R306" s="13"/>
      <c r="S306" s="13"/>
      <c r="T306" s="13"/>
      <c r="U306" s="13"/>
      <c r="V306" s="13"/>
      <c r="W306" s="13"/>
      <c r="X306" s="1"/>
      <c r="Y306" s="1"/>
      <c r="Z306" s="1"/>
    </row>
    <row r="307" spans="1:26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4"/>
      <c r="R307" s="13"/>
      <c r="S307" s="13"/>
      <c r="T307" s="13"/>
      <c r="U307" s="13"/>
      <c r="V307" s="13"/>
      <c r="W307" s="13"/>
    </row>
    <row r="308" spans="1:26" x14ac:dyDescent="0.25">
      <c r="A308" s="13"/>
      <c r="B308" s="13"/>
      <c r="C308" s="13"/>
      <c r="D308" s="14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4"/>
      <c r="R308" s="13"/>
      <c r="S308" s="13"/>
      <c r="T308" s="13"/>
      <c r="U308" s="13"/>
      <c r="V308" s="13"/>
      <c r="W308" s="13"/>
    </row>
    <row r="309" spans="1:26" x14ac:dyDescent="0.25">
      <c r="A309" s="13"/>
      <c r="B309" s="13"/>
      <c r="C309" s="13"/>
      <c r="D309" s="1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4"/>
      <c r="R309" s="13"/>
      <c r="S309" s="13"/>
      <c r="T309" s="13"/>
      <c r="U309" s="13"/>
      <c r="V309" s="13"/>
      <c r="W309" s="13"/>
      <c r="X309" s="1"/>
      <c r="Y309" s="1"/>
      <c r="Z309" s="1"/>
    </row>
    <row r="310" spans="1:26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4"/>
      <c r="R310" s="13"/>
      <c r="S310" s="13"/>
      <c r="T310" s="13"/>
      <c r="U310" s="13"/>
      <c r="V310" s="13"/>
      <c r="W310" s="13"/>
    </row>
    <row r="311" spans="1:26" x14ac:dyDescent="0.25">
      <c r="A311" s="13"/>
      <c r="B311" s="13"/>
      <c r="C311" s="13"/>
      <c r="D311" s="14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4"/>
      <c r="R311" s="13"/>
      <c r="S311" s="13"/>
      <c r="T311" s="13"/>
      <c r="U311" s="13"/>
      <c r="V311" s="13"/>
      <c r="W311" s="13"/>
    </row>
    <row r="312" spans="1:26" x14ac:dyDescent="0.25">
      <c r="A312" s="13"/>
      <c r="B312" s="13"/>
      <c r="C312" s="13"/>
      <c r="D312" s="15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4"/>
      <c r="R312" s="13"/>
      <c r="S312" s="13"/>
      <c r="T312" s="13"/>
      <c r="U312" s="13"/>
      <c r="V312" s="13"/>
      <c r="W312" s="13"/>
      <c r="X312" s="1"/>
      <c r="Y312" s="1"/>
      <c r="Z312" s="1"/>
    </row>
    <row r="313" spans="1:26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spans="1:26" x14ac:dyDescent="0.25">
      <c r="A314" s="13"/>
      <c r="B314" s="13"/>
      <c r="C314" s="13"/>
      <c r="D314" s="14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4"/>
      <c r="R314" s="13"/>
      <c r="S314" s="13"/>
      <c r="T314" s="13"/>
      <c r="U314" s="13"/>
      <c r="V314" s="13"/>
      <c r="W314" s="13"/>
    </row>
    <row r="315" spans="1:26" x14ac:dyDescent="0.25">
      <c r="A315" s="13"/>
      <c r="B315" s="13"/>
      <c r="C315" s="13"/>
      <c r="D315" s="14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4"/>
      <c r="R315" s="13"/>
      <c r="S315" s="13"/>
      <c r="T315" s="13"/>
      <c r="U315" s="13"/>
      <c r="V315" s="13"/>
      <c r="W315" s="13"/>
      <c r="X315" s="1"/>
      <c r="Y315" s="1"/>
      <c r="Z315" s="1"/>
    </row>
    <row r="316" spans="1:26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4"/>
      <c r="R316" s="13"/>
      <c r="S316" s="13"/>
      <c r="T316" s="13"/>
      <c r="U316" s="13"/>
      <c r="V316" s="13"/>
      <c r="W316" s="13"/>
    </row>
    <row r="317" spans="1:26" x14ac:dyDescent="0.25">
      <c r="A317" s="13"/>
      <c r="B317" s="13"/>
      <c r="C317" s="13"/>
      <c r="D317" s="14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4"/>
      <c r="R317" s="13"/>
      <c r="S317" s="13"/>
      <c r="T317" s="13"/>
      <c r="U317" s="13"/>
      <c r="V317" s="13"/>
      <c r="W317" s="13"/>
    </row>
    <row r="318" spans="1:26" x14ac:dyDescent="0.25">
      <c r="A318" s="13"/>
      <c r="B318" s="13"/>
      <c r="C318" s="13"/>
      <c r="D318" s="15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5"/>
      <c r="R318" s="13"/>
      <c r="S318" s="13"/>
      <c r="T318" s="13"/>
      <c r="U318" s="13"/>
      <c r="V318" s="13"/>
      <c r="W318" s="13"/>
      <c r="X318" s="1"/>
      <c r="Y318" s="1"/>
      <c r="Z318" s="1"/>
    </row>
    <row r="319" spans="1:26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spans="1:26" x14ac:dyDescent="0.25">
      <c r="A320" s="13"/>
      <c r="B320" s="13"/>
      <c r="C320" s="13"/>
      <c r="D320" s="1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4"/>
      <c r="R320" s="13"/>
      <c r="S320" s="13"/>
      <c r="T320" s="13"/>
      <c r="U320" s="13"/>
      <c r="V320" s="13"/>
      <c r="W320" s="13"/>
    </row>
    <row r="321" spans="1:26" x14ac:dyDescent="0.25">
      <c r="A321" s="13"/>
      <c r="B321" s="13"/>
      <c r="C321" s="13"/>
      <c r="D321" s="15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4"/>
      <c r="R321" s="13"/>
      <c r="S321" s="13"/>
      <c r="T321" s="13"/>
      <c r="U321" s="13"/>
      <c r="V321" s="13"/>
      <c r="W321" s="13"/>
      <c r="X321" s="1"/>
      <c r="Y321" s="1"/>
      <c r="Z321" s="1"/>
    </row>
    <row r="322" spans="1:26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spans="1:26" x14ac:dyDescent="0.25">
      <c r="A323" s="13"/>
      <c r="B323" s="13"/>
      <c r="C323" s="13"/>
      <c r="D323" s="14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4"/>
      <c r="R323" s="13"/>
      <c r="S323" s="13"/>
      <c r="T323" s="13"/>
      <c r="U323" s="13"/>
      <c r="V323" s="13"/>
      <c r="W323" s="13"/>
    </row>
    <row r="324" spans="1:26" x14ac:dyDescent="0.25">
      <c r="A324" s="13"/>
      <c r="B324" s="13"/>
      <c r="C324" s="13"/>
      <c r="D324" s="14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4"/>
      <c r="R324" s="13"/>
      <c r="S324" s="13"/>
      <c r="T324" s="13"/>
      <c r="U324" s="13"/>
      <c r="V324" s="13"/>
      <c r="W324" s="13"/>
      <c r="X324" s="1"/>
      <c r="Y324" s="1"/>
      <c r="Z324" s="1"/>
    </row>
    <row r="325" spans="1:26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spans="1:26" x14ac:dyDescent="0.25">
      <c r="A326" s="13"/>
      <c r="B326" s="13"/>
      <c r="C326" s="13"/>
      <c r="D326" s="14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4"/>
      <c r="R326" s="13"/>
      <c r="S326" s="13"/>
      <c r="T326" s="13"/>
      <c r="U326" s="13"/>
      <c r="V326" s="13"/>
      <c r="W326" s="13"/>
    </row>
    <row r="327" spans="1:26" x14ac:dyDescent="0.25">
      <c r="A327" s="13"/>
      <c r="B327" s="13"/>
      <c r="C327" s="13"/>
      <c r="D327" s="14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4"/>
      <c r="R327" s="13"/>
      <c r="S327" s="13"/>
      <c r="T327" s="13"/>
      <c r="U327" s="13"/>
      <c r="V327" s="13"/>
      <c r="W327" s="13"/>
      <c r="X327" s="1"/>
      <c r="Y327" s="1"/>
      <c r="Z327" s="1"/>
    </row>
    <row r="328" spans="1:26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4"/>
      <c r="R328" s="13"/>
      <c r="S328" s="13"/>
      <c r="T328" s="13"/>
      <c r="U328" s="13"/>
      <c r="V328" s="13"/>
      <c r="W328" s="13"/>
    </row>
    <row r="329" spans="1:26" x14ac:dyDescent="0.25">
      <c r="A329" s="13"/>
      <c r="B329" s="13"/>
      <c r="C329" s="13"/>
      <c r="D329" s="1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4"/>
      <c r="R329" s="13"/>
      <c r="S329" s="13"/>
      <c r="T329" s="13"/>
      <c r="U329" s="13"/>
      <c r="V329" s="13"/>
      <c r="W329" s="13"/>
    </row>
    <row r="330" spans="1:26" x14ac:dyDescent="0.25">
      <c r="A330" s="13"/>
      <c r="B330" s="13"/>
      <c r="C330" s="13"/>
      <c r="D330" s="15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5"/>
      <c r="R330" s="13"/>
      <c r="S330" s="13"/>
      <c r="T330" s="13"/>
      <c r="U330" s="13"/>
      <c r="V330" s="13"/>
      <c r="W330" s="13"/>
      <c r="X330" s="1"/>
      <c r="Y330" s="1"/>
      <c r="Z330" s="1"/>
    </row>
    <row r="331" spans="1:26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spans="1:26" x14ac:dyDescent="0.25">
      <c r="A332" s="13"/>
      <c r="B332" s="13"/>
      <c r="C332" s="13"/>
      <c r="D332" s="1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4"/>
      <c r="R332" s="13"/>
      <c r="S332" s="13"/>
      <c r="T332" s="13"/>
      <c r="U332" s="13"/>
      <c r="V332" s="13"/>
      <c r="W332" s="13"/>
    </row>
    <row r="333" spans="1:26" x14ac:dyDescent="0.25">
      <c r="A333" s="13"/>
      <c r="B333" s="13"/>
      <c r="C333" s="13"/>
      <c r="D333" s="15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4"/>
      <c r="R333" s="13"/>
      <c r="S333" s="13"/>
      <c r="T333" s="13"/>
      <c r="U333" s="13"/>
      <c r="V333" s="13"/>
      <c r="W333" s="13"/>
      <c r="X333" s="1"/>
      <c r="Y333" s="1"/>
      <c r="Z333" s="1"/>
    </row>
    <row r="334" spans="1:26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spans="1:26" x14ac:dyDescent="0.25">
      <c r="A335" s="13"/>
      <c r="B335" s="13"/>
      <c r="C335" s="13"/>
      <c r="D335" s="1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4"/>
      <c r="R335" s="13"/>
      <c r="S335" s="13"/>
      <c r="T335" s="13"/>
      <c r="U335" s="13"/>
      <c r="V335" s="13"/>
      <c r="W335" s="13"/>
    </row>
    <row r="336" spans="1:26" x14ac:dyDescent="0.25">
      <c r="A336" s="13"/>
      <c r="B336" s="13"/>
      <c r="C336" s="13"/>
      <c r="D336" s="1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4"/>
      <c r="R336" s="13"/>
      <c r="S336" s="13"/>
      <c r="T336" s="13"/>
      <c r="U336" s="13"/>
      <c r="V336" s="13"/>
      <c r="W336" s="13"/>
      <c r="X336" s="1"/>
      <c r="Y336" s="1"/>
      <c r="Z336" s="1"/>
    </row>
    <row r="337" spans="1:26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spans="1:26" x14ac:dyDescent="0.25">
      <c r="A338" s="13"/>
      <c r="B338" s="13"/>
      <c r="C338" s="13"/>
      <c r="D338" s="1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4"/>
      <c r="R338" s="13"/>
      <c r="S338" s="13"/>
      <c r="T338" s="13"/>
      <c r="U338" s="13"/>
      <c r="V338" s="13"/>
      <c r="W338" s="13"/>
    </row>
    <row r="339" spans="1:26" x14ac:dyDescent="0.25">
      <c r="A339" s="13"/>
      <c r="B339" s="13"/>
      <c r="C339" s="13"/>
      <c r="D339" s="1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4"/>
      <c r="R339" s="13"/>
      <c r="S339" s="13"/>
      <c r="T339" s="13"/>
      <c r="U339" s="13"/>
      <c r="V339" s="13"/>
      <c r="W339" s="13"/>
      <c r="X339" s="1"/>
      <c r="Y339" s="1"/>
      <c r="Z339" s="1"/>
    </row>
    <row r="340" spans="1:26" x14ac:dyDescent="0.25">
      <c r="A340" s="13"/>
      <c r="B340" s="13"/>
      <c r="C340" s="13"/>
      <c r="D340" s="15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4"/>
      <c r="R340" s="13"/>
      <c r="S340" s="13"/>
      <c r="T340" s="13"/>
      <c r="U340" s="13"/>
      <c r="V340" s="13"/>
      <c r="W340" s="13"/>
      <c r="X340" s="1"/>
      <c r="Y340" s="1"/>
      <c r="Z340" s="1"/>
    </row>
    <row r="341" spans="1:26" x14ac:dyDescent="0.25">
      <c r="A341" s="13"/>
      <c r="B341" s="13"/>
      <c r="C341" s="13"/>
      <c r="D341" s="1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4"/>
      <c r="R341" s="13"/>
      <c r="S341" s="13"/>
      <c r="T341" s="13"/>
      <c r="U341" s="13"/>
      <c r="V341" s="13"/>
      <c r="W341" s="13"/>
    </row>
    <row r="342" spans="1:26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spans="1:26" x14ac:dyDescent="0.25">
      <c r="A343" s="13"/>
      <c r="B343" s="13"/>
      <c r="C343" s="13"/>
      <c r="D343" s="1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4"/>
      <c r="R343" s="13"/>
      <c r="S343" s="13"/>
      <c r="T343" s="13"/>
      <c r="U343" s="13"/>
      <c r="V343" s="13"/>
      <c r="W343" s="13"/>
      <c r="X343" s="1"/>
      <c r="Y343" s="1"/>
      <c r="Z343" s="1"/>
    </row>
    <row r="344" spans="1:26" x14ac:dyDescent="0.25">
      <c r="A344" s="13"/>
      <c r="B344" s="13"/>
      <c r="C344" s="13"/>
      <c r="D344" s="14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4"/>
      <c r="R344" s="13"/>
      <c r="S344" s="13"/>
      <c r="T344" s="13"/>
      <c r="U344" s="13"/>
      <c r="V344" s="13"/>
      <c r="W344" s="13"/>
    </row>
    <row r="345" spans="1:26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spans="1:26" x14ac:dyDescent="0.25">
      <c r="A346" s="13"/>
      <c r="B346" s="13"/>
      <c r="C346" s="13"/>
      <c r="D346" s="15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5"/>
      <c r="R346" s="13"/>
      <c r="S346" s="13"/>
      <c r="T346" s="13"/>
      <c r="U346" s="13"/>
      <c r="V346" s="13"/>
      <c r="W346" s="13"/>
      <c r="X346" s="1"/>
      <c r="Y346" s="1"/>
      <c r="Z346" s="1"/>
    </row>
    <row r="347" spans="1:26" x14ac:dyDescent="0.25">
      <c r="A347" s="13"/>
      <c r="B347" s="13"/>
      <c r="C347" s="13"/>
      <c r="D347" s="14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4"/>
      <c r="R347" s="13"/>
      <c r="S347" s="13"/>
      <c r="T347" s="13"/>
      <c r="U347" s="13"/>
      <c r="V347" s="13"/>
      <c r="W347" s="13"/>
    </row>
    <row r="348" spans="1:26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spans="1:26" x14ac:dyDescent="0.25">
      <c r="A349" s="13"/>
      <c r="B349" s="13"/>
      <c r="C349" s="13"/>
      <c r="D349" s="15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5"/>
      <c r="R349" s="13"/>
      <c r="S349" s="13"/>
      <c r="T349" s="13"/>
      <c r="U349" s="13"/>
      <c r="V349" s="13"/>
      <c r="W349" s="13"/>
      <c r="X349" s="1"/>
      <c r="Y349" s="1"/>
      <c r="Z349" s="1"/>
    </row>
    <row r="350" spans="1:26" x14ac:dyDescent="0.25">
      <c r="A350" s="13"/>
      <c r="B350" s="13"/>
      <c r="C350" s="13"/>
      <c r="D350" s="14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4"/>
      <c r="R350" s="13"/>
      <c r="S350" s="13"/>
      <c r="T350" s="13"/>
      <c r="U350" s="13"/>
      <c r="V350" s="13"/>
      <c r="W350" s="13"/>
    </row>
    <row r="351" spans="1:26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4"/>
      <c r="R351" s="13"/>
      <c r="S351" s="13"/>
      <c r="T351" s="13"/>
      <c r="U351" s="13"/>
      <c r="V351" s="13"/>
      <c r="W351" s="13"/>
    </row>
    <row r="352" spans="1:26" x14ac:dyDescent="0.25">
      <c r="A352" s="13"/>
      <c r="B352" s="13"/>
      <c r="C352" s="13"/>
      <c r="D352" s="15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5"/>
      <c r="R352" s="13"/>
      <c r="S352" s="13"/>
      <c r="T352" s="13"/>
      <c r="U352" s="13"/>
      <c r="V352" s="13"/>
      <c r="W352" s="13"/>
      <c r="X352" s="1"/>
      <c r="Y352" s="1"/>
      <c r="Z352" s="1"/>
    </row>
    <row r="353" spans="1:26" x14ac:dyDescent="0.25">
      <c r="A353" s="13"/>
      <c r="B353" s="13"/>
      <c r="C353" s="13"/>
      <c r="D353" s="14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4"/>
      <c r="R353" s="13"/>
      <c r="S353" s="13"/>
      <c r="T353" s="13"/>
      <c r="U353" s="13"/>
      <c r="V353" s="13"/>
      <c r="W353" s="13"/>
    </row>
    <row r="354" spans="1:26" x14ac:dyDescent="0.25">
      <c r="A354" s="13"/>
      <c r="B354" s="13"/>
      <c r="C354" s="13"/>
      <c r="D354" s="14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4"/>
      <c r="R354" s="13"/>
      <c r="S354" s="13"/>
      <c r="T354" s="13"/>
      <c r="U354" s="13"/>
      <c r="V354" s="13"/>
      <c r="W354" s="13"/>
    </row>
    <row r="355" spans="1:26" x14ac:dyDescent="0.25">
      <c r="A355" s="13"/>
      <c r="B355" s="13"/>
      <c r="C355" s="13"/>
      <c r="D355" s="15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5"/>
      <c r="R355" s="13"/>
      <c r="S355" s="13"/>
      <c r="T355" s="13"/>
      <c r="U355" s="13"/>
      <c r="V355" s="13"/>
      <c r="W355" s="13"/>
      <c r="X355" s="1"/>
      <c r="Y355" s="1"/>
      <c r="Z355" s="1"/>
    </row>
    <row r="356" spans="1:26" x14ac:dyDescent="0.25">
      <c r="A356" s="13"/>
      <c r="B356" s="13"/>
      <c r="C356" s="13"/>
      <c r="D356" s="14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4"/>
      <c r="R356" s="13"/>
      <c r="S356" s="13"/>
      <c r="T356" s="13"/>
      <c r="U356" s="13"/>
      <c r="V356" s="13"/>
      <c r="W356" s="13"/>
    </row>
    <row r="357" spans="1:26" x14ac:dyDescent="0.25">
      <c r="A357" s="13"/>
      <c r="B357" s="13"/>
      <c r="C357" s="13"/>
      <c r="D357" s="14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4"/>
      <c r="R357" s="13"/>
      <c r="S357" s="13"/>
      <c r="T357" s="13"/>
      <c r="U357" s="13"/>
      <c r="V357" s="13"/>
      <c r="W357" s="13"/>
    </row>
    <row r="358" spans="1:26" x14ac:dyDescent="0.25">
      <c r="A358" s="13"/>
      <c r="B358" s="13"/>
      <c r="C358" s="13"/>
      <c r="D358" s="15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4"/>
      <c r="R358" s="13"/>
      <c r="S358" s="13"/>
      <c r="T358" s="13"/>
      <c r="U358" s="13"/>
      <c r="V358" s="13"/>
      <c r="W358" s="13"/>
      <c r="X358" s="1"/>
      <c r="Y358" s="1"/>
      <c r="Z358" s="1"/>
    </row>
    <row r="359" spans="1:26" x14ac:dyDescent="0.25">
      <c r="A359" s="13"/>
      <c r="B359" s="13"/>
      <c r="C359" s="13"/>
      <c r="D359" s="14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4"/>
      <c r="R359" s="13"/>
      <c r="S359" s="13"/>
      <c r="T359" s="13"/>
      <c r="U359" s="13"/>
      <c r="V359" s="13"/>
      <c r="W359" s="13"/>
    </row>
    <row r="360" spans="1:26" x14ac:dyDescent="0.25">
      <c r="A360" s="13"/>
      <c r="B360" s="13"/>
      <c r="C360" s="13"/>
      <c r="D360" s="14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4"/>
      <c r="R360" s="13"/>
      <c r="S360" s="13"/>
      <c r="T360" s="13"/>
      <c r="U360" s="13"/>
      <c r="V360" s="13"/>
      <c r="W360" s="13"/>
    </row>
    <row r="361" spans="1:26" x14ac:dyDescent="0.25">
      <c r="A361" s="13"/>
      <c r="B361" s="13"/>
      <c r="C361" s="13"/>
      <c r="D361" s="14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4"/>
      <c r="R361" s="13"/>
      <c r="S361" s="13"/>
      <c r="T361" s="13"/>
      <c r="U361" s="13"/>
      <c r="V361" s="13"/>
      <c r="W361" s="13"/>
      <c r="X361" s="1"/>
      <c r="Y361" s="1"/>
      <c r="Z361" s="1"/>
    </row>
    <row r="362" spans="1:26" x14ac:dyDescent="0.25">
      <c r="A362" s="13"/>
      <c r="B362" s="13"/>
      <c r="C362" s="13"/>
      <c r="D362" s="15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5"/>
      <c r="R362" s="13"/>
      <c r="S362" s="13"/>
      <c r="T362" s="13"/>
      <c r="U362" s="13"/>
      <c r="V362" s="13"/>
      <c r="W362" s="13"/>
      <c r="X362" s="1"/>
      <c r="Y362" s="1"/>
      <c r="Z362" s="1"/>
    </row>
    <row r="363" spans="1:26" x14ac:dyDescent="0.25">
      <c r="A363" s="13"/>
      <c r="B363" s="13"/>
      <c r="C363" s="13"/>
      <c r="D363" s="14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4"/>
      <c r="R363" s="13"/>
      <c r="S363" s="13"/>
      <c r="T363" s="13"/>
      <c r="U363" s="13"/>
      <c r="V363" s="13"/>
      <c r="W363" s="13"/>
      <c r="X363" s="1"/>
      <c r="Y363" s="1"/>
      <c r="Z363" s="1"/>
    </row>
    <row r="364" spans="1:26" x14ac:dyDescent="0.25">
      <c r="A364" s="13"/>
      <c r="B364" s="13"/>
      <c r="C364" s="13"/>
      <c r="D364" s="14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4"/>
      <c r="R364" s="13"/>
      <c r="S364" s="13"/>
      <c r="T364" s="13"/>
      <c r="U364" s="13"/>
      <c r="V364" s="13"/>
      <c r="W364" s="13"/>
      <c r="X364" s="1"/>
      <c r="Y364" s="1"/>
      <c r="Z364" s="1"/>
    </row>
    <row r="365" spans="1:26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spans="1:26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spans="1:26" x14ac:dyDescent="0.25">
      <c r="A367" s="13"/>
      <c r="B367" s="13"/>
      <c r="C367" s="13"/>
      <c r="D367" s="14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4"/>
      <c r="R367" s="13"/>
      <c r="S367" s="13"/>
      <c r="T367" s="13"/>
      <c r="U367" s="13"/>
      <c r="V367" s="13"/>
      <c r="W367" s="13"/>
      <c r="X367" s="1"/>
      <c r="Y367" s="1"/>
      <c r="Z367" s="1"/>
    </row>
    <row r="368" spans="1:26" x14ac:dyDescent="0.25">
      <c r="A368" s="13"/>
      <c r="B368" s="13"/>
      <c r="C368" s="13"/>
      <c r="D368" s="15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5"/>
      <c r="R368" s="13"/>
      <c r="S368" s="13"/>
      <c r="T368" s="13"/>
      <c r="U368" s="13"/>
      <c r="V368" s="13"/>
      <c r="W368" s="13"/>
      <c r="X368" s="1"/>
      <c r="Y368" s="1"/>
      <c r="Z368" s="1"/>
    </row>
    <row r="369" spans="1:26" x14ac:dyDescent="0.25">
      <c r="A369" s="13"/>
      <c r="B369" s="13"/>
      <c r="C369" s="13"/>
      <c r="D369" s="15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5"/>
      <c r="R369" s="13"/>
      <c r="S369" s="13"/>
      <c r="T369" s="13"/>
      <c r="U369" s="13"/>
      <c r="V369" s="13"/>
      <c r="W369" s="13"/>
      <c r="X369" s="1"/>
      <c r="Y369" s="1"/>
      <c r="Z369" s="1"/>
    </row>
    <row r="370" spans="1:26" x14ac:dyDescent="0.25">
      <c r="A370" s="13"/>
      <c r="B370" s="13"/>
      <c r="C370" s="13"/>
      <c r="D370" s="14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4"/>
      <c r="R370" s="13"/>
      <c r="S370" s="13"/>
      <c r="T370" s="13"/>
      <c r="U370" s="13"/>
      <c r="V370" s="13"/>
      <c r="W370" s="13"/>
    </row>
    <row r="371" spans="1:26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spans="1:26" x14ac:dyDescent="0.25">
      <c r="A372" s="13"/>
      <c r="B372" s="13"/>
      <c r="C372" s="13"/>
      <c r="D372" s="15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5"/>
      <c r="R372" s="13"/>
      <c r="S372" s="13"/>
      <c r="T372" s="13"/>
      <c r="U372" s="13"/>
      <c r="V372" s="13"/>
      <c r="W372" s="13"/>
      <c r="X372" s="1"/>
      <c r="Y372" s="1"/>
      <c r="Z372" s="1"/>
    </row>
    <row r="373" spans="1:26" x14ac:dyDescent="0.25">
      <c r="D373" s="16"/>
      <c r="Q373" s="16"/>
    </row>
    <row r="374" spans="1:26" x14ac:dyDescent="0.25">
      <c r="D374" s="16"/>
      <c r="Q374" s="16"/>
    </row>
    <row r="375" spans="1:26" x14ac:dyDescent="0.25">
      <c r="D375" s="17"/>
      <c r="Q375" s="17"/>
      <c r="T375" s="1"/>
      <c r="X375" s="1"/>
      <c r="Y375" s="1"/>
      <c r="Z375" s="1"/>
    </row>
    <row r="376" spans="1:26" x14ac:dyDescent="0.25">
      <c r="D376" s="16"/>
      <c r="Q376" s="16"/>
    </row>
    <row r="377" spans="1:26" x14ac:dyDescent="0.25">
      <c r="D377" s="16"/>
      <c r="Q377" s="16"/>
    </row>
    <row r="378" spans="1:26" x14ac:dyDescent="0.25">
      <c r="D378" s="17"/>
      <c r="Q378" s="17"/>
      <c r="T378" s="1"/>
      <c r="X378" s="1"/>
      <c r="Y378" s="1"/>
      <c r="Z378" s="1"/>
    </row>
    <row r="379" spans="1:26" x14ac:dyDescent="0.25">
      <c r="D379" s="16"/>
      <c r="Q379" s="16"/>
    </row>
    <row r="380" spans="1:26" x14ac:dyDescent="0.25">
      <c r="D380" s="16"/>
      <c r="Q380" s="16"/>
    </row>
    <row r="381" spans="1:26" x14ac:dyDescent="0.25">
      <c r="D381" s="17"/>
      <c r="Q381" s="17"/>
      <c r="T381" s="1"/>
      <c r="X381" s="1"/>
      <c r="Y381" s="1"/>
      <c r="Z381" s="1"/>
    </row>
    <row r="382" spans="1:26" x14ac:dyDescent="0.25">
      <c r="D382" s="16"/>
      <c r="Q382" s="16"/>
    </row>
    <row r="383" spans="1:26" x14ac:dyDescent="0.25">
      <c r="D383" s="16"/>
      <c r="Q383" s="16"/>
    </row>
    <row r="384" spans="1:26" x14ac:dyDescent="0.25">
      <c r="D384" s="17"/>
      <c r="Q384" s="17"/>
      <c r="T384" s="1"/>
      <c r="X384" s="1"/>
      <c r="Y384" s="1"/>
      <c r="Z384" s="1"/>
    </row>
    <row r="385" spans="4:26" x14ac:dyDescent="0.25">
      <c r="D385" s="16"/>
      <c r="Q385" s="16"/>
    </row>
    <row r="386" spans="4:26" x14ac:dyDescent="0.25">
      <c r="D386" s="16"/>
      <c r="Q386" s="16"/>
    </row>
    <row r="387" spans="4:26" x14ac:dyDescent="0.25">
      <c r="D387" s="17"/>
      <c r="Q387" s="17"/>
      <c r="T387" s="1"/>
      <c r="X387" s="1"/>
      <c r="Y387" s="1"/>
      <c r="Z387" s="1"/>
    </row>
    <row r="388" spans="4:26" x14ac:dyDescent="0.25">
      <c r="D388" s="16"/>
      <c r="Q388" s="16"/>
    </row>
    <row r="389" spans="4:26" x14ac:dyDescent="0.25">
      <c r="D389" s="16"/>
      <c r="Q389" s="16"/>
    </row>
    <row r="390" spans="4:26" x14ac:dyDescent="0.25">
      <c r="D390" s="17"/>
      <c r="Q390" s="16"/>
      <c r="T390" s="1"/>
      <c r="X390" s="1"/>
      <c r="Y390" s="1"/>
      <c r="Z390" s="1"/>
    </row>
    <row r="391" spans="4:26" x14ac:dyDescent="0.25">
      <c r="D391" s="16"/>
      <c r="Q391" s="16"/>
    </row>
    <row r="393" spans="4:26" x14ac:dyDescent="0.25">
      <c r="D393" s="17"/>
      <c r="Q393" s="17"/>
      <c r="T393" s="1"/>
      <c r="X393" s="1"/>
      <c r="Y393" s="1"/>
      <c r="Z393" s="1"/>
    </row>
    <row r="394" spans="4:26" x14ac:dyDescent="0.25">
      <c r="D394" s="16"/>
      <c r="Q394" s="16"/>
    </row>
    <row r="395" spans="4:26" x14ac:dyDescent="0.25">
      <c r="Q395" s="16"/>
    </row>
    <row r="396" spans="4:26" x14ac:dyDescent="0.25">
      <c r="D396" s="17"/>
      <c r="Q396" s="17"/>
      <c r="T396" s="1"/>
      <c r="X396" s="1"/>
      <c r="Y396" s="1"/>
      <c r="Z396" s="1"/>
    </row>
    <row r="397" spans="4:26" x14ac:dyDescent="0.25">
      <c r="D397" s="16"/>
      <c r="Q397" s="16"/>
    </row>
    <row r="398" spans="4:26" x14ac:dyDescent="0.25">
      <c r="D398" s="16"/>
      <c r="Q398" s="16"/>
    </row>
    <row r="399" spans="4:26" x14ac:dyDescent="0.25">
      <c r="D399" s="17"/>
      <c r="Q399" s="16"/>
      <c r="T399" s="1"/>
      <c r="X399" s="1"/>
      <c r="Y399" s="1"/>
      <c r="Z399" s="1"/>
    </row>
    <row r="400" spans="4:26" x14ac:dyDescent="0.25">
      <c r="D400" s="16"/>
      <c r="Q400" s="16"/>
    </row>
    <row r="402" spans="4:26" x14ac:dyDescent="0.25">
      <c r="D402" s="16"/>
      <c r="Q402" s="16"/>
      <c r="T402" s="1"/>
      <c r="X402" s="1"/>
      <c r="Y402" s="1"/>
      <c r="Z402" s="1"/>
    </row>
    <row r="403" spans="4:26" x14ac:dyDescent="0.25">
      <c r="D403" s="16"/>
      <c r="Q403" s="16"/>
    </row>
    <row r="405" spans="4:26" x14ac:dyDescent="0.25">
      <c r="D405" s="16"/>
      <c r="Q405" s="16"/>
      <c r="T405" s="1"/>
      <c r="X405" s="1"/>
      <c r="Y405" s="1"/>
      <c r="Z405" s="1"/>
    </row>
    <row r="406" spans="4:26" x14ac:dyDescent="0.25">
      <c r="D406" s="16"/>
      <c r="Q406" s="16"/>
    </row>
    <row r="408" spans="4:26" x14ac:dyDescent="0.25">
      <c r="D408" s="16"/>
      <c r="Q408" s="16"/>
      <c r="T408" s="1"/>
      <c r="X408" s="1"/>
      <c r="Y408" s="1"/>
      <c r="Z408" s="1"/>
    </row>
    <row r="409" spans="4:26" x14ac:dyDescent="0.25">
      <c r="D409" s="16"/>
      <c r="Q409" s="16"/>
    </row>
    <row r="410" spans="4:26" x14ac:dyDescent="0.25">
      <c r="Q410" s="16"/>
    </row>
    <row r="411" spans="4:26" x14ac:dyDescent="0.25">
      <c r="D411" s="17"/>
      <c r="Q411" s="17"/>
      <c r="T411" s="1"/>
      <c r="X411" s="1"/>
      <c r="Y411" s="1"/>
      <c r="Z411" s="1"/>
    </row>
    <row r="412" spans="4:26" x14ac:dyDescent="0.25">
      <c r="D412" s="16"/>
      <c r="Q412" s="16"/>
    </row>
    <row r="413" spans="4:26" x14ac:dyDescent="0.25">
      <c r="D413" s="16"/>
      <c r="Q413" s="16"/>
    </row>
    <row r="414" spans="4:26" x14ac:dyDescent="0.25">
      <c r="D414" s="17"/>
      <c r="Q414" s="17"/>
      <c r="T414" s="1"/>
      <c r="X414" s="1"/>
      <c r="Y414" s="1"/>
      <c r="Z414" s="1"/>
    </row>
    <row r="415" spans="4:26" x14ac:dyDescent="0.25">
      <c r="D415" s="16"/>
      <c r="Q415" s="16"/>
    </row>
    <row r="416" spans="4:26" x14ac:dyDescent="0.25">
      <c r="D416" s="16"/>
      <c r="Q416" s="16"/>
    </row>
    <row r="417" spans="4:26" x14ac:dyDescent="0.25">
      <c r="D417" s="16"/>
      <c r="Q417" s="16"/>
      <c r="T417" s="1"/>
      <c r="X417" s="1"/>
      <c r="Y417" s="1"/>
      <c r="Z417" s="1"/>
    </row>
    <row r="418" spans="4:26" x14ac:dyDescent="0.25">
      <c r="Q418" s="16"/>
    </row>
    <row r="420" spans="4:26" x14ac:dyDescent="0.25">
      <c r="D420" s="16"/>
      <c r="Q420" s="16"/>
      <c r="T420" s="1"/>
      <c r="X420" s="1"/>
      <c r="Y420" s="1"/>
      <c r="Z420" s="1"/>
    </row>
    <row r="421" spans="4:26" x14ac:dyDescent="0.25">
      <c r="D421" s="16"/>
      <c r="Q421" s="16"/>
    </row>
    <row r="422" spans="4:26" x14ac:dyDescent="0.25">
      <c r="Q422" s="16"/>
    </row>
    <row r="423" spans="4:26" x14ac:dyDescent="0.25">
      <c r="D423" s="17"/>
      <c r="Q423" s="16"/>
      <c r="T423" s="1"/>
      <c r="X423" s="1"/>
      <c r="Y423" s="1"/>
      <c r="Z423" s="1"/>
    </row>
    <row r="424" spans="4:26" x14ac:dyDescent="0.25">
      <c r="D424" s="16"/>
      <c r="Q424" s="16"/>
    </row>
    <row r="426" spans="4:26" x14ac:dyDescent="0.25">
      <c r="D426" s="16"/>
      <c r="Q426" s="16"/>
      <c r="T426" s="1"/>
      <c r="X426" s="1"/>
      <c r="Y426" s="1"/>
      <c r="Z426" s="1"/>
    </row>
    <row r="427" spans="4:26" x14ac:dyDescent="0.25">
      <c r="D427" s="16"/>
      <c r="Q427" s="16"/>
    </row>
    <row r="428" spans="4:26" x14ac:dyDescent="0.25">
      <c r="D428" s="16"/>
      <c r="Q428" s="16"/>
    </row>
    <row r="429" spans="4:26" x14ac:dyDescent="0.25">
      <c r="D429" s="16"/>
      <c r="Q429" s="16"/>
      <c r="T429" s="1"/>
      <c r="X429" s="1"/>
      <c r="Y429" s="1"/>
      <c r="Z429" s="1"/>
    </row>
    <row r="431" spans="4:26" x14ac:dyDescent="0.25">
      <c r="D431" s="16"/>
      <c r="Q431" s="16"/>
    </row>
    <row r="432" spans="4:26" x14ac:dyDescent="0.25">
      <c r="D432" s="16"/>
      <c r="Q432" s="16"/>
      <c r="T432" s="1"/>
      <c r="X432" s="1"/>
      <c r="Y432" s="1"/>
      <c r="Z432" s="1"/>
    </row>
    <row r="434" spans="4:26" x14ac:dyDescent="0.25">
      <c r="D434" s="16"/>
      <c r="Q434" s="16"/>
    </row>
    <row r="435" spans="4:26" x14ac:dyDescent="0.25">
      <c r="D435" s="16"/>
      <c r="Q435" s="16"/>
      <c r="T435" s="1"/>
      <c r="X435" s="1"/>
      <c r="Y435" s="1"/>
      <c r="Z435" s="1"/>
    </row>
    <row r="437" spans="4:26" x14ac:dyDescent="0.25">
      <c r="D437" s="16"/>
      <c r="Q437" s="16"/>
    </row>
    <row r="438" spans="4:26" x14ac:dyDescent="0.25">
      <c r="D438" s="16"/>
      <c r="Q438" s="16"/>
      <c r="T438" s="1"/>
      <c r="X438" s="1"/>
      <c r="Y438" s="1"/>
      <c r="Z438" s="1"/>
    </row>
    <row r="440" spans="4:26" x14ac:dyDescent="0.25">
      <c r="D440" s="16"/>
      <c r="Q440" s="16"/>
    </row>
    <row r="441" spans="4:26" x14ac:dyDescent="0.25">
      <c r="D441" s="16"/>
      <c r="Q441" s="16"/>
      <c r="T441" s="1"/>
      <c r="X441" s="1"/>
      <c r="Y441" s="1"/>
      <c r="Z441" s="1"/>
    </row>
    <row r="443" spans="4:26" x14ac:dyDescent="0.25">
      <c r="D443" s="16"/>
      <c r="Q443" s="16"/>
    </row>
    <row r="444" spans="4:26" x14ac:dyDescent="0.25">
      <c r="D444" s="16"/>
      <c r="Q444" s="16"/>
      <c r="T444" s="1"/>
      <c r="X444" s="1"/>
      <c r="Y444" s="1"/>
      <c r="Z444" s="1"/>
    </row>
    <row r="446" spans="4:26" x14ac:dyDescent="0.25">
      <c r="D446" s="16"/>
      <c r="Q446" s="16"/>
    </row>
    <row r="447" spans="4:26" x14ac:dyDescent="0.25">
      <c r="D447" s="16"/>
      <c r="Q447" s="16"/>
      <c r="T447" s="1"/>
      <c r="X447" s="1"/>
      <c r="Y447" s="1"/>
      <c r="Z447" s="1"/>
    </row>
    <row r="449" spans="4:26" x14ac:dyDescent="0.25">
      <c r="D449" s="16"/>
      <c r="Q449" s="16"/>
    </row>
    <row r="450" spans="4:26" x14ac:dyDescent="0.25">
      <c r="D450" s="16"/>
      <c r="Q450" s="16"/>
      <c r="T450" s="1"/>
      <c r="X450" s="1"/>
      <c r="Y450" s="1"/>
      <c r="Z450" s="1"/>
    </row>
    <row r="452" spans="4:26" x14ac:dyDescent="0.25">
      <c r="D452" s="16"/>
      <c r="Q452" s="16"/>
    </row>
    <row r="453" spans="4:26" x14ac:dyDescent="0.25">
      <c r="D453" s="16"/>
      <c r="Q453" s="16"/>
      <c r="T453" s="1"/>
      <c r="X453" s="1"/>
      <c r="Y453" s="1"/>
      <c r="Z453" s="1"/>
    </row>
    <row r="455" spans="4:26" x14ac:dyDescent="0.25">
      <c r="D455" s="16"/>
      <c r="Q455" s="16"/>
    </row>
    <row r="456" spans="4:26" x14ac:dyDescent="0.25">
      <c r="D456" s="16"/>
      <c r="Q456" s="16"/>
      <c r="T456" s="1"/>
      <c r="X456" s="1"/>
      <c r="Y456" s="1"/>
      <c r="Z456" s="1"/>
    </row>
    <row r="458" spans="4:26" x14ac:dyDescent="0.25">
      <c r="D458" s="16"/>
      <c r="Q458" s="16"/>
    </row>
    <row r="459" spans="4:26" x14ac:dyDescent="0.25">
      <c r="D459" s="16"/>
      <c r="Q459" s="16"/>
      <c r="T459" s="1"/>
      <c r="X459" s="1"/>
      <c r="Y459" s="1"/>
      <c r="Z459" s="1"/>
    </row>
    <row r="461" spans="4:26" x14ac:dyDescent="0.25">
      <c r="D461" s="16"/>
      <c r="Q461" s="16"/>
    </row>
    <row r="462" spans="4:26" x14ac:dyDescent="0.25">
      <c r="D462" s="16"/>
      <c r="Q462" s="16"/>
      <c r="T462" s="1"/>
      <c r="X462" s="1"/>
      <c r="Y462" s="1"/>
      <c r="Z462" s="1"/>
    </row>
    <row r="465" spans="4:26" x14ac:dyDescent="0.25">
      <c r="D465" s="16"/>
      <c r="Q465" s="16"/>
      <c r="T465" s="1"/>
      <c r="X465" s="1"/>
      <c r="Y465" s="1"/>
      <c r="Z465" s="1"/>
    </row>
    <row r="468" spans="4:26" x14ac:dyDescent="0.25">
      <c r="D468" s="16"/>
      <c r="Q468" s="16"/>
      <c r="T468" s="1"/>
      <c r="X468" s="1"/>
      <c r="Y468" s="1"/>
      <c r="Z468" s="1"/>
    </row>
    <row r="469" spans="4:26" x14ac:dyDescent="0.25">
      <c r="D469" s="16"/>
      <c r="Q469" s="16"/>
    </row>
    <row r="470" spans="4:26" x14ac:dyDescent="0.25">
      <c r="D470" s="16"/>
      <c r="Q470" s="16"/>
    </row>
    <row r="471" spans="4:26" x14ac:dyDescent="0.25">
      <c r="D471" s="16"/>
      <c r="Q471" s="16"/>
      <c r="T471" s="1"/>
      <c r="X471" s="1"/>
      <c r="Y471" s="1"/>
      <c r="Z471" s="1"/>
    </row>
    <row r="473" spans="4:26" x14ac:dyDescent="0.25">
      <c r="D473" s="16"/>
      <c r="Q473" s="16"/>
    </row>
    <row r="474" spans="4:26" x14ac:dyDescent="0.25">
      <c r="D474" s="16"/>
      <c r="Q474" s="16"/>
      <c r="T474" s="1"/>
      <c r="X474" s="1"/>
      <c r="Y474" s="1"/>
      <c r="Z474" s="1"/>
    </row>
    <row r="477" spans="4:26" x14ac:dyDescent="0.25">
      <c r="D477" s="16"/>
      <c r="Q477" s="16"/>
      <c r="T477" s="1"/>
      <c r="X477" s="1"/>
      <c r="Y477" s="1"/>
      <c r="Z477" s="1"/>
    </row>
    <row r="478" spans="4:26" x14ac:dyDescent="0.25">
      <c r="D478" s="16"/>
      <c r="Q478" s="16"/>
    </row>
    <row r="480" spans="4:26" x14ac:dyDescent="0.25">
      <c r="D480" s="16"/>
      <c r="Q480" s="16"/>
      <c r="T480" s="1"/>
      <c r="X480" s="1"/>
      <c r="Y480" s="1"/>
      <c r="Z480" s="1"/>
    </row>
    <row r="481" spans="4:26" x14ac:dyDescent="0.25">
      <c r="D481" s="16"/>
      <c r="Q481" s="16"/>
    </row>
    <row r="483" spans="4:26" x14ac:dyDescent="0.25">
      <c r="D483" s="16"/>
      <c r="Q483" s="16"/>
      <c r="T483" s="1"/>
      <c r="X483" s="1"/>
      <c r="Y483" s="1"/>
      <c r="Z483" s="1"/>
    </row>
    <row r="484" spans="4:26" x14ac:dyDescent="0.25">
      <c r="D484" s="16"/>
      <c r="Q484" s="16"/>
    </row>
    <row r="485" spans="4:26" x14ac:dyDescent="0.25">
      <c r="D485" s="16"/>
      <c r="Q485" s="16"/>
    </row>
    <row r="486" spans="4:26" x14ac:dyDescent="0.25">
      <c r="D486" s="16"/>
      <c r="Q486" s="16"/>
      <c r="T486" s="1"/>
      <c r="X486" s="1"/>
      <c r="Y486" s="1"/>
      <c r="Z486" s="1"/>
    </row>
    <row r="488" spans="4:26" x14ac:dyDescent="0.25">
      <c r="D488" s="16"/>
      <c r="Q488" s="16"/>
    </row>
    <row r="489" spans="4:26" x14ac:dyDescent="0.25">
      <c r="D489" s="16"/>
      <c r="Q489" s="16"/>
      <c r="T489" s="1"/>
      <c r="X489" s="1"/>
      <c r="Y489" s="1"/>
      <c r="Z489" s="1"/>
    </row>
    <row r="490" spans="4:26" x14ac:dyDescent="0.25">
      <c r="D490" s="17"/>
      <c r="Q490" s="17"/>
      <c r="T490" s="1"/>
      <c r="X490" s="1"/>
      <c r="Y490" s="1"/>
      <c r="Z490" s="1"/>
    </row>
    <row r="491" spans="4:26" x14ac:dyDescent="0.25">
      <c r="D491" s="17"/>
      <c r="Q491" s="17"/>
      <c r="T491" s="1"/>
      <c r="X491" s="1"/>
      <c r="Y491" s="1"/>
      <c r="Z491" s="1"/>
    </row>
    <row r="492" spans="4:26" x14ac:dyDescent="0.25">
      <c r="D492" s="16"/>
      <c r="Q492" s="16"/>
      <c r="T492" s="1"/>
      <c r="X492" s="1"/>
      <c r="Y492" s="1"/>
      <c r="Z492" s="1"/>
    </row>
    <row r="495" spans="4:26" x14ac:dyDescent="0.25">
      <c r="D495" s="16"/>
      <c r="Q495" s="16"/>
      <c r="T495" s="1"/>
      <c r="X495" s="1"/>
      <c r="Y495" s="1"/>
      <c r="Z495" s="1"/>
    </row>
    <row r="498" spans="4:26" x14ac:dyDescent="0.25">
      <c r="D498" s="16"/>
      <c r="Q498" s="16"/>
      <c r="T498" s="1"/>
      <c r="X498" s="1"/>
      <c r="Y498" s="1"/>
      <c r="Z498" s="1"/>
    </row>
    <row r="499" spans="4:26" x14ac:dyDescent="0.25">
      <c r="D499" s="17"/>
      <c r="Q499" s="17"/>
      <c r="T499" s="1"/>
      <c r="X499" s="1"/>
      <c r="Y499" s="1"/>
      <c r="Z499" s="1"/>
    </row>
    <row r="501" spans="4:26" x14ac:dyDescent="0.25">
      <c r="D501" s="16"/>
      <c r="Q501" s="16"/>
    </row>
    <row r="502" spans="4:26" x14ac:dyDescent="0.25">
      <c r="D502" s="16"/>
      <c r="Q502" s="16"/>
      <c r="T502" s="1"/>
      <c r="X502" s="1"/>
      <c r="Y502" s="1"/>
      <c r="Z502" s="1"/>
    </row>
    <row r="503" spans="4:26" x14ac:dyDescent="0.25">
      <c r="D503" s="16"/>
      <c r="Q503" s="16"/>
      <c r="T503" s="1"/>
      <c r="X503" s="1"/>
      <c r="Y503" s="1"/>
      <c r="Z503" s="1"/>
    </row>
    <row r="504" spans="4:26" x14ac:dyDescent="0.25">
      <c r="D504" s="16"/>
      <c r="Q504" s="16"/>
      <c r="T504" s="1"/>
      <c r="X504" s="1"/>
      <c r="Y504" s="1"/>
      <c r="Z504" s="1"/>
    </row>
    <row r="505" spans="4:26" x14ac:dyDescent="0.25">
      <c r="D505" s="17"/>
      <c r="Q505" s="17"/>
      <c r="T505" s="1"/>
      <c r="X505" s="1"/>
      <c r="Y505" s="1"/>
      <c r="Z505" s="1"/>
    </row>
    <row r="506" spans="4:26" x14ac:dyDescent="0.25">
      <c r="D506" s="16"/>
      <c r="Q506" s="16"/>
    </row>
    <row r="507" spans="4:26" x14ac:dyDescent="0.25">
      <c r="D507" s="16"/>
      <c r="Q507" s="16"/>
    </row>
    <row r="508" spans="4:26" x14ac:dyDescent="0.25">
      <c r="D508" s="17"/>
      <c r="Q508" s="17"/>
      <c r="T508" s="1"/>
      <c r="X508" s="1"/>
      <c r="Y508" s="1"/>
      <c r="Z508" s="1"/>
    </row>
    <row r="510" spans="4:26" x14ac:dyDescent="0.25">
      <c r="D510" s="16"/>
      <c r="Q510" s="16"/>
    </row>
    <row r="511" spans="4:26" x14ac:dyDescent="0.25">
      <c r="D511" s="16"/>
      <c r="Q511" s="16"/>
      <c r="T511" s="1"/>
      <c r="X511" s="1"/>
      <c r="Y511" s="1"/>
      <c r="Z511" s="1"/>
    </row>
    <row r="513" spans="4:26" x14ac:dyDescent="0.25">
      <c r="D513" s="16"/>
      <c r="Q513" s="16"/>
    </row>
    <row r="514" spans="4:26" x14ac:dyDescent="0.25">
      <c r="D514" s="16"/>
      <c r="Q514" s="16"/>
      <c r="T514" s="1"/>
      <c r="X514" s="1"/>
      <c r="Y514" s="1"/>
      <c r="Z514" s="1"/>
    </row>
    <row r="515" spans="4:26" x14ac:dyDescent="0.25">
      <c r="D515" s="17"/>
      <c r="Q515" s="17"/>
      <c r="T515" s="1"/>
      <c r="X515" s="1"/>
      <c r="Y515" s="1"/>
      <c r="Z515" s="1"/>
    </row>
    <row r="516" spans="4:26" x14ac:dyDescent="0.25">
      <c r="D516" s="16"/>
      <c r="Q516" s="16"/>
      <c r="T516" s="1"/>
      <c r="X516" s="1"/>
      <c r="Y516" s="1"/>
      <c r="Z516" s="1"/>
    </row>
    <row r="517" spans="4:26" x14ac:dyDescent="0.25">
      <c r="D517" s="16"/>
      <c r="Q517" s="16"/>
    </row>
    <row r="519" spans="4:26" x14ac:dyDescent="0.25">
      <c r="D519" s="16"/>
      <c r="Q519" s="16"/>
      <c r="T519" s="1"/>
      <c r="X519" s="1"/>
      <c r="Y519" s="1"/>
      <c r="Z519" s="1"/>
    </row>
    <row r="520" spans="4:26" x14ac:dyDescent="0.25">
      <c r="D520" s="16"/>
      <c r="Q520" s="16"/>
      <c r="T520" s="1"/>
      <c r="X520" s="1"/>
      <c r="Y520" s="1"/>
      <c r="Z520" s="1"/>
    </row>
    <row r="521" spans="4:26" x14ac:dyDescent="0.25">
      <c r="D521" s="16"/>
      <c r="Q521" s="16"/>
      <c r="T521" s="1"/>
      <c r="X521" s="1"/>
      <c r="Y521" s="1"/>
      <c r="Z521" s="1"/>
    </row>
    <row r="522" spans="4:26" x14ac:dyDescent="0.25">
      <c r="D522" s="16"/>
      <c r="Q522" s="16"/>
    </row>
    <row r="524" spans="4:26" x14ac:dyDescent="0.25">
      <c r="D524" s="17"/>
      <c r="Q524" s="17"/>
      <c r="T524" s="1"/>
      <c r="X524" s="1"/>
      <c r="Y524" s="1"/>
      <c r="Z524" s="1"/>
    </row>
    <row r="525" spans="4:26" x14ac:dyDescent="0.25">
      <c r="D525" s="16"/>
      <c r="Q525" s="16"/>
    </row>
    <row r="527" spans="4:26" x14ac:dyDescent="0.25">
      <c r="D527" s="17"/>
      <c r="Q527" s="17"/>
      <c r="T527" s="1"/>
      <c r="X527" s="1"/>
      <c r="Y527" s="1"/>
      <c r="Z527" s="1"/>
    </row>
    <row r="528" spans="4:26" x14ac:dyDescent="0.25">
      <c r="D528" s="16"/>
      <c r="Q528" s="16"/>
    </row>
    <row r="530" spans="4:26" x14ac:dyDescent="0.25">
      <c r="D530" s="17"/>
      <c r="Q530" s="17"/>
      <c r="T530" s="1"/>
      <c r="X530" s="1"/>
      <c r="Y530" s="1"/>
      <c r="Z530" s="1"/>
    </row>
    <row r="531" spans="4:26" x14ac:dyDescent="0.25">
      <c r="D531" s="16"/>
      <c r="Q531" s="16"/>
      <c r="T531" s="1"/>
      <c r="X531" s="1"/>
      <c r="Y531" s="1"/>
      <c r="Z531" s="1"/>
    </row>
    <row r="532" spans="4:26" x14ac:dyDescent="0.25">
      <c r="D532" s="16"/>
      <c r="Q532" s="16"/>
      <c r="T532" s="1"/>
      <c r="X532" s="1"/>
      <c r="Y532" s="1"/>
      <c r="Z532" s="1"/>
    </row>
    <row r="533" spans="4:26" x14ac:dyDescent="0.25">
      <c r="D533" s="16"/>
      <c r="Q533" s="16"/>
      <c r="T533" s="1"/>
      <c r="X533" s="1"/>
      <c r="Y533" s="1"/>
      <c r="Z533" s="1"/>
    </row>
    <row r="534" spans="4:26" x14ac:dyDescent="0.25">
      <c r="D534" s="16"/>
      <c r="Q534" s="16"/>
    </row>
    <row r="536" spans="4:26" x14ac:dyDescent="0.25">
      <c r="D536" s="17"/>
      <c r="Q536" s="17"/>
      <c r="T536" s="1"/>
      <c r="X536" s="1"/>
      <c r="Y536" s="1"/>
      <c r="Z536" s="1"/>
    </row>
    <row r="537" spans="4:26" x14ac:dyDescent="0.25">
      <c r="D537" s="16"/>
      <c r="Q537" s="16"/>
    </row>
    <row r="538" spans="4:26" x14ac:dyDescent="0.25">
      <c r="D538" s="16"/>
      <c r="Q538" s="16"/>
    </row>
    <row r="539" spans="4:26" x14ac:dyDescent="0.25">
      <c r="D539" s="17"/>
      <c r="Q539" s="17"/>
      <c r="T539" s="1"/>
      <c r="X539" s="1"/>
      <c r="Y539" s="1"/>
      <c r="Z539" s="1"/>
    </row>
    <row r="540" spans="4:26" x14ac:dyDescent="0.25">
      <c r="D540" s="16"/>
      <c r="Q540" s="16"/>
    </row>
    <row r="541" spans="4:26" x14ac:dyDescent="0.25">
      <c r="D541" s="16"/>
      <c r="Q541" s="16"/>
    </row>
    <row r="542" spans="4:26" x14ac:dyDescent="0.25">
      <c r="D542" s="16"/>
      <c r="Q542" s="16"/>
      <c r="T542" s="1"/>
      <c r="X542" s="1"/>
      <c r="Y542" s="1"/>
      <c r="Z542" s="1"/>
    </row>
    <row r="543" spans="4:26" x14ac:dyDescent="0.25">
      <c r="D543" s="16"/>
      <c r="Q543" s="16"/>
    </row>
    <row r="544" spans="4:26" x14ac:dyDescent="0.25">
      <c r="D544" s="16"/>
      <c r="Q544" s="16"/>
    </row>
    <row r="545" spans="4:26" x14ac:dyDescent="0.25">
      <c r="D545" s="16"/>
      <c r="Q545" s="16"/>
      <c r="T545" s="1"/>
      <c r="X545" s="1"/>
      <c r="Y545" s="1"/>
      <c r="Z545" s="1"/>
    </row>
    <row r="546" spans="4:26" x14ac:dyDescent="0.25">
      <c r="D546" s="16"/>
      <c r="Q546" s="16"/>
    </row>
    <row r="548" spans="4:26" x14ac:dyDescent="0.25">
      <c r="D548" s="16"/>
      <c r="Q548" s="16"/>
      <c r="T548" s="1"/>
      <c r="X548" s="1"/>
      <c r="Y548" s="1"/>
      <c r="Z548" s="1"/>
    </row>
    <row r="549" spans="4:26" x14ac:dyDescent="0.25">
      <c r="D549" s="16"/>
      <c r="Q549" s="16"/>
    </row>
    <row r="550" spans="4:26" x14ac:dyDescent="0.25">
      <c r="D550" s="16"/>
      <c r="Q550" s="16"/>
    </row>
    <row r="551" spans="4:26" x14ac:dyDescent="0.25">
      <c r="D551" s="16"/>
      <c r="Q551" s="16"/>
      <c r="T551" s="1"/>
      <c r="X551" s="1"/>
      <c r="Y551" s="1"/>
      <c r="Z551" s="1"/>
    </row>
    <row r="552" spans="4:26" x14ac:dyDescent="0.25">
      <c r="D552" s="16"/>
      <c r="Q552" s="16"/>
    </row>
    <row r="554" spans="4:26" x14ac:dyDescent="0.25">
      <c r="D554" s="17"/>
      <c r="Q554" s="17"/>
      <c r="T554" s="1"/>
      <c r="X554" s="1"/>
      <c r="Y554" s="1"/>
      <c r="Z554" s="1"/>
    </row>
    <row r="555" spans="4:26" x14ac:dyDescent="0.25">
      <c r="D555" s="16"/>
      <c r="Q555" s="16"/>
    </row>
    <row r="556" spans="4:26" x14ac:dyDescent="0.25">
      <c r="D556" s="16"/>
      <c r="Q556" s="16"/>
    </row>
    <row r="557" spans="4:26" x14ac:dyDescent="0.25">
      <c r="D557" s="17"/>
      <c r="Q557" s="17"/>
      <c r="T557" s="1"/>
      <c r="X557" s="1"/>
      <c r="Y557" s="1"/>
      <c r="Z557" s="1"/>
    </row>
    <row r="558" spans="4:26" x14ac:dyDescent="0.25">
      <c r="D558" s="16"/>
      <c r="Q558" s="16"/>
    </row>
    <row r="559" spans="4:26" x14ac:dyDescent="0.25">
      <c r="D559" s="16"/>
      <c r="Q559" s="16"/>
    </row>
    <row r="560" spans="4:26" x14ac:dyDescent="0.25">
      <c r="D560" s="16"/>
      <c r="Q560" s="16"/>
      <c r="T560" s="1"/>
      <c r="X560" s="1"/>
      <c r="Y560" s="1"/>
      <c r="Z560" s="1"/>
    </row>
    <row r="561" spans="4:26" x14ac:dyDescent="0.25">
      <c r="D561" s="16"/>
      <c r="Q561" s="16"/>
      <c r="T561" s="1"/>
      <c r="X561" s="1"/>
      <c r="Y561" s="1"/>
      <c r="Z561" s="1"/>
    </row>
    <row r="562" spans="4:26" x14ac:dyDescent="0.25">
      <c r="D562" s="17"/>
      <c r="Q562" s="17"/>
      <c r="T562" s="1"/>
      <c r="X562" s="1"/>
      <c r="Y562" s="1"/>
      <c r="Z562" s="1"/>
    </row>
    <row r="563" spans="4:26" x14ac:dyDescent="0.25">
      <c r="D563" s="16"/>
      <c r="Q563" s="16"/>
    </row>
    <row r="564" spans="4:26" x14ac:dyDescent="0.25">
      <c r="D564" s="16"/>
      <c r="Q564" s="16"/>
    </row>
    <row r="565" spans="4:26" x14ac:dyDescent="0.25">
      <c r="D565" s="16"/>
      <c r="Q565" s="16"/>
      <c r="T565" s="1"/>
      <c r="X565" s="1"/>
      <c r="Y565" s="1"/>
      <c r="Z565" s="1"/>
    </row>
    <row r="566" spans="4:26" x14ac:dyDescent="0.25">
      <c r="D566" s="16"/>
      <c r="Q566" s="16"/>
    </row>
    <row r="567" spans="4:26" x14ac:dyDescent="0.25">
      <c r="D567" s="16"/>
      <c r="Q567" s="16"/>
    </row>
    <row r="568" spans="4:26" x14ac:dyDescent="0.25">
      <c r="D568" s="17"/>
      <c r="Q568" s="17"/>
      <c r="T568" s="1"/>
      <c r="X568" s="1"/>
      <c r="Y568" s="1"/>
      <c r="Z568" s="1"/>
    </row>
    <row r="569" spans="4:26" x14ac:dyDescent="0.25">
      <c r="D569" s="16"/>
      <c r="Q569" s="16"/>
      <c r="T569" s="1"/>
      <c r="X569" s="1"/>
      <c r="Y569" s="1"/>
      <c r="Z569" s="1"/>
    </row>
    <row r="570" spans="4:26" x14ac:dyDescent="0.25">
      <c r="D570" s="16"/>
      <c r="Q570" s="16"/>
    </row>
    <row r="571" spans="4:26" x14ac:dyDescent="0.25">
      <c r="D571" s="16"/>
      <c r="Q571" s="16"/>
    </row>
    <row r="572" spans="4:26" x14ac:dyDescent="0.25">
      <c r="D572" s="16"/>
      <c r="Q572" s="16"/>
      <c r="T572" s="1"/>
      <c r="X572" s="1"/>
      <c r="Y572" s="1"/>
      <c r="Z572" s="1"/>
    </row>
    <row r="573" spans="4:26" x14ac:dyDescent="0.25">
      <c r="D573" s="16"/>
      <c r="Q573" s="16"/>
      <c r="T573" s="1"/>
      <c r="X573" s="1"/>
      <c r="Y573" s="1"/>
      <c r="Z573" s="1"/>
    </row>
    <row r="574" spans="4:26" x14ac:dyDescent="0.25">
      <c r="D574" s="16"/>
      <c r="Q574" s="16"/>
    </row>
    <row r="575" spans="4:26" x14ac:dyDescent="0.25">
      <c r="D575" s="16"/>
      <c r="Q575" s="16"/>
    </row>
    <row r="576" spans="4:26" x14ac:dyDescent="0.25">
      <c r="D576" s="16"/>
      <c r="Q576" s="16"/>
      <c r="T576" s="1"/>
      <c r="X576" s="1"/>
      <c r="Y576" s="1"/>
      <c r="Z576" s="1"/>
    </row>
    <row r="577" spans="4:26" x14ac:dyDescent="0.25">
      <c r="D577" s="16"/>
      <c r="Q577" s="16"/>
    </row>
    <row r="578" spans="4:26" x14ac:dyDescent="0.25">
      <c r="D578" s="16"/>
      <c r="Q578" s="16"/>
    </row>
    <row r="579" spans="4:26" x14ac:dyDescent="0.25">
      <c r="D579" s="16"/>
      <c r="Q579" s="16"/>
      <c r="T579" s="1"/>
      <c r="X579" s="1"/>
      <c r="Y579" s="1"/>
      <c r="Z579" s="1"/>
    </row>
    <row r="580" spans="4:26" x14ac:dyDescent="0.25">
      <c r="D580" s="16"/>
      <c r="Q580" s="16"/>
    </row>
    <row r="581" spans="4:26" x14ac:dyDescent="0.25">
      <c r="D581" s="16"/>
      <c r="Q581" s="16"/>
    </row>
    <row r="582" spans="4:26" x14ac:dyDescent="0.25">
      <c r="D582" s="16"/>
      <c r="Q582" s="16"/>
      <c r="T582" s="1"/>
      <c r="X582" s="1"/>
      <c r="Y582" s="1"/>
      <c r="Z582" s="1"/>
    </row>
    <row r="585" spans="4:26" x14ac:dyDescent="0.25">
      <c r="D585" s="16"/>
      <c r="Q585" s="16"/>
      <c r="T585" s="1"/>
      <c r="X585" s="1"/>
      <c r="Y585" s="1"/>
      <c r="Z585" s="1"/>
    </row>
    <row r="588" spans="4:26" x14ac:dyDescent="0.25">
      <c r="D588" s="16"/>
      <c r="Q588" s="16"/>
      <c r="T588" s="1"/>
      <c r="X588" s="1"/>
      <c r="Y588" s="1"/>
      <c r="Z588" s="1"/>
    </row>
    <row r="589" spans="4:26" x14ac:dyDescent="0.25">
      <c r="D589" s="16"/>
      <c r="Q589" s="16"/>
    </row>
    <row r="590" spans="4:26" x14ac:dyDescent="0.25">
      <c r="D590" s="16"/>
      <c r="Q590" s="16"/>
    </row>
    <row r="591" spans="4:26" x14ac:dyDescent="0.25">
      <c r="D591" s="16"/>
      <c r="Q591" s="16"/>
      <c r="T591" s="1"/>
      <c r="X591" s="1"/>
      <c r="Y591" s="1"/>
      <c r="Z591" s="1"/>
    </row>
    <row r="592" spans="4:26" x14ac:dyDescent="0.25">
      <c r="D592" s="16"/>
      <c r="Q592" s="16"/>
    </row>
    <row r="594" spans="4:26" x14ac:dyDescent="0.25">
      <c r="D594" s="16"/>
      <c r="Q594" s="16"/>
      <c r="T594" s="1"/>
      <c r="X594" s="1"/>
      <c r="Y594" s="1"/>
      <c r="Z594" s="1"/>
    </row>
    <row r="595" spans="4:26" x14ac:dyDescent="0.25">
      <c r="D595" s="16"/>
      <c r="Q595" s="16"/>
    </row>
    <row r="597" spans="4:26" x14ac:dyDescent="0.25">
      <c r="D597" s="17"/>
      <c r="Q597" s="17"/>
      <c r="T597" s="1"/>
      <c r="X597" s="1"/>
      <c r="Y597" s="1"/>
      <c r="Z597" s="1"/>
    </row>
    <row r="598" spans="4:26" x14ac:dyDescent="0.25">
      <c r="D598" s="16"/>
      <c r="Q598" s="16"/>
      <c r="T598" s="1"/>
      <c r="X598" s="1"/>
      <c r="Y598" s="1"/>
      <c r="Z598" s="1"/>
    </row>
    <row r="599" spans="4:26" x14ac:dyDescent="0.25">
      <c r="D599" s="16"/>
      <c r="Q599" s="16"/>
    </row>
    <row r="600" spans="4:26" x14ac:dyDescent="0.25">
      <c r="D600" s="16"/>
      <c r="Q600" s="16"/>
    </row>
    <row r="601" spans="4:26" x14ac:dyDescent="0.25">
      <c r="D601" s="16"/>
      <c r="Q601" s="16"/>
      <c r="T601" s="1"/>
      <c r="X601" s="1"/>
      <c r="Y601" s="1"/>
      <c r="Z601" s="1"/>
    </row>
    <row r="602" spans="4:26" x14ac:dyDescent="0.25">
      <c r="D602" s="16"/>
      <c r="Q602" s="16"/>
    </row>
    <row r="603" spans="4:26" x14ac:dyDescent="0.25">
      <c r="D603" s="16"/>
      <c r="Q603" s="16"/>
    </row>
    <row r="604" spans="4:26" x14ac:dyDescent="0.25">
      <c r="D604" s="17"/>
      <c r="Q604" s="17"/>
      <c r="T604" s="1"/>
      <c r="X604" s="1"/>
      <c r="Y604" s="1"/>
      <c r="Z604" s="1"/>
    </row>
    <row r="605" spans="4:26" x14ac:dyDescent="0.25">
      <c r="D605" s="16"/>
      <c r="Q605" s="16"/>
      <c r="T605" s="1"/>
      <c r="X605" s="1"/>
      <c r="Y605" s="1"/>
      <c r="Z605" s="1"/>
    </row>
    <row r="606" spans="4:26" x14ac:dyDescent="0.25">
      <c r="D606" s="16"/>
      <c r="Q606" s="16"/>
      <c r="T606" s="1"/>
      <c r="X606" s="1"/>
      <c r="Y606" s="1"/>
      <c r="Z606" s="1"/>
    </row>
    <row r="607" spans="4:26" x14ac:dyDescent="0.25">
      <c r="D607" s="16"/>
      <c r="Q607" s="16"/>
      <c r="T607" s="1"/>
      <c r="X607" s="1"/>
      <c r="Y607" s="1"/>
      <c r="Z607" s="1"/>
    </row>
    <row r="608" spans="4:26" x14ac:dyDescent="0.25">
      <c r="D608" s="16"/>
      <c r="Q608" s="16"/>
    </row>
    <row r="609" spans="4:26" x14ac:dyDescent="0.25">
      <c r="D609" s="16"/>
      <c r="Q609" s="16"/>
    </row>
    <row r="610" spans="4:26" x14ac:dyDescent="0.25">
      <c r="D610" s="16"/>
      <c r="Q610" s="16"/>
      <c r="T610" s="1"/>
      <c r="X610" s="1"/>
      <c r="Y610" s="1"/>
      <c r="Z610" s="1"/>
    </row>
    <row r="611" spans="4:26" x14ac:dyDescent="0.25">
      <c r="D611" s="16"/>
      <c r="Q611" s="16"/>
      <c r="T611" s="1"/>
      <c r="X611" s="1"/>
      <c r="Y611" s="1"/>
      <c r="Z611" s="1"/>
    </row>
    <row r="612" spans="4:26" x14ac:dyDescent="0.25">
      <c r="D612" s="16"/>
      <c r="Q612" s="16"/>
      <c r="T612" s="1"/>
      <c r="X612" s="1"/>
      <c r="Y612" s="1"/>
      <c r="Z612" s="1"/>
    </row>
    <row r="613" spans="4:26" x14ac:dyDescent="0.25">
      <c r="D613" s="16"/>
      <c r="Q613" s="16"/>
      <c r="T613" s="1"/>
      <c r="X613" s="1"/>
      <c r="Y613" s="1"/>
      <c r="Z613" s="1"/>
    </row>
    <row r="614" spans="4:26" x14ac:dyDescent="0.25">
      <c r="D614" s="16"/>
      <c r="Q614" s="16"/>
    </row>
    <row r="616" spans="4:26" x14ac:dyDescent="0.25">
      <c r="D616" s="16"/>
      <c r="Q616" s="16"/>
      <c r="T616" s="1"/>
      <c r="X616" s="1"/>
      <c r="Y616" s="1"/>
      <c r="Z616" s="1"/>
    </row>
    <row r="617" spans="4:26" x14ac:dyDescent="0.25">
      <c r="D617" s="16"/>
      <c r="Q617" s="16"/>
      <c r="T617" s="1"/>
      <c r="X617" s="1"/>
      <c r="Y617" s="1"/>
      <c r="Z617" s="1"/>
    </row>
    <row r="618" spans="4:26" x14ac:dyDescent="0.25">
      <c r="D618" s="16"/>
      <c r="Q618" s="16"/>
      <c r="T618" s="1"/>
      <c r="X618" s="1"/>
      <c r="Y618" s="1"/>
      <c r="Z618" s="1"/>
    </row>
    <row r="619" spans="4:26" x14ac:dyDescent="0.25">
      <c r="D619" s="16"/>
      <c r="Q619" s="16"/>
    </row>
    <row r="620" spans="4:26" x14ac:dyDescent="0.25">
      <c r="D620" s="16"/>
      <c r="Q620" s="16"/>
    </row>
    <row r="621" spans="4:26" x14ac:dyDescent="0.25">
      <c r="D621" s="17"/>
      <c r="Q621" s="17"/>
      <c r="T621" s="1"/>
      <c r="X621" s="1"/>
      <c r="Y621" s="1"/>
      <c r="Z621" s="1"/>
    </row>
    <row r="622" spans="4:26" x14ac:dyDescent="0.25">
      <c r="D622" s="16"/>
      <c r="Q622" s="16"/>
    </row>
    <row r="623" spans="4:26" x14ac:dyDescent="0.25">
      <c r="D623" s="16"/>
      <c r="Q623" s="16"/>
    </row>
    <row r="624" spans="4:26" x14ac:dyDescent="0.25">
      <c r="D624" s="16"/>
      <c r="Q624" s="16"/>
      <c r="T624" s="1"/>
      <c r="X624" s="1"/>
      <c r="Y624" s="1"/>
      <c r="Z624" s="1"/>
    </row>
    <row r="625" spans="4:26" x14ac:dyDescent="0.25">
      <c r="D625" s="16"/>
      <c r="Q625" s="16"/>
    </row>
    <row r="626" spans="4:26" x14ac:dyDescent="0.25">
      <c r="D626" s="16"/>
      <c r="Q626" s="16"/>
    </row>
    <row r="627" spans="4:26" x14ac:dyDescent="0.25">
      <c r="D627" s="17"/>
      <c r="Q627" s="17"/>
      <c r="T627" s="1"/>
      <c r="X627" s="1"/>
      <c r="Y627" s="1"/>
      <c r="Z627" s="1"/>
    </row>
    <row r="629" spans="4:26" x14ac:dyDescent="0.25">
      <c r="D629" s="16"/>
      <c r="Q629" s="16"/>
    </row>
    <row r="630" spans="4:26" x14ac:dyDescent="0.25">
      <c r="D630" s="16"/>
      <c r="Q630" s="16"/>
      <c r="T630" s="1"/>
      <c r="X630" s="1"/>
      <c r="Y630" s="1"/>
      <c r="Z630" s="1"/>
    </row>
    <row r="631" spans="4:26" x14ac:dyDescent="0.25">
      <c r="D631" s="16"/>
      <c r="Q631" s="16"/>
    </row>
    <row r="632" spans="4:26" x14ac:dyDescent="0.25">
      <c r="D632" s="16"/>
      <c r="Q632" s="16"/>
    </row>
    <row r="633" spans="4:26" x14ac:dyDescent="0.25">
      <c r="D633" s="16"/>
      <c r="Q633" s="16"/>
      <c r="T633" s="1"/>
      <c r="X633" s="1"/>
      <c r="Y633" s="1"/>
      <c r="Z633" s="1"/>
    </row>
    <row r="634" spans="4:26" x14ac:dyDescent="0.25">
      <c r="Q634" s="16"/>
    </row>
    <row r="636" spans="4:26" x14ac:dyDescent="0.25">
      <c r="D636" s="16"/>
      <c r="Q636" s="16"/>
      <c r="T636" s="1"/>
      <c r="X636" s="1"/>
      <c r="Y636" s="1"/>
      <c r="Z636" s="1"/>
    </row>
    <row r="637" spans="4:26" x14ac:dyDescent="0.25">
      <c r="D637" s="16"/>
      <c r="Q637" s="16"/>
    </row>
    <row r="638" spans="4:26" x14ac:dyDescent="0.25">
      <c r="D638" s="16"/>
      <c r="Q638" s="16"/>
    </row>
    <row r="639" spans="4:26" x14ac:dyDescent="0.25">
      <c r="D639" s="17"/>
      <c r="Q639" s="16"/>
      <c r="T639" s="1"/>
      <c r="X639" s="1"/>
      <c r="Y639" s="1"/>
      <c r="Z639" s="1"/>
    </row>
    <row r="640" spans="4:26" x14ac:dyDescent="0.25">
      <c r="Q640" s="16"/>
    </row>
    <row r="641" spans="4:26" x14ac:dyDescent="0.25">
      <c r="D641" s="16"/>
      <c r="Q641" s="16"/>
    </row>
    <row r="642" spans="4:26" x14ac:dyDescent="0.25">
      <c r="D642" s="16"/>
      <c r="Q642" s="16"/>
      <c r="T642" s="1"/>
      <c r="X642" s="1"/>
      <c r="Y642" s="1"/>
      <c r="Z642" s="1"/>
    </row>
    <row r="644" spans="4:26" x14ac:dyDescent="0.25">
      <c r="D644" s="16"/>
      <c r="Q644" s="16"/>
    </row>
    <row r="645" spans="4:26" x14ac:dyDescent="0.25">
      <c r="D645" s="16"/>
      <c r="Q645" s="16"/>
      <c r="T645" s="1"/>
      <c r="X645" s="1"/>
      <c r="Y645" s="1"/>
      <c r="Z645" s="1"/>
    </row>
    <row r="646" spans="4:26" x14ac:dyDescent="0.25">
      <c r="D646" s="16"/>
      <c r="Q646" s="16"/>
    </row>
    <row r="647" spans="4:26" x14ac:dyDescent="0.25">
      <c r="D647" s="16"/>
      <c r="Q647" s="16"/>
    </row>
    <row r="648" spans="4:26" x14ac:dyDescent="0.25">
      <c r="D648" s="16"/>
      <c r="Q648" s="16"/>
      <c r="T648" s="1"/>
      <c r="X648" s="1"/>
      <c r="Y648" s="1"/>
      <c r="Z648" s="1"/>
    </row>
    <row r="649" spans="4:26" x14ac:dyDescent="0.25">
      <c r="D649" s="16"/>
      <c r="Q649" s="16"/>
    </row>
    <row r="650" spans="4:26" x14ac:dyDescent="0.25">
      <c r="Q650" s="16"/>
    </row>
    <row r="651" spans="4:26" x14ac:dyDescent="0.25">
      <c r="D651" s="17"/>
      <c r="Q651" s="16"/>
      <c r="T651" s="1"/>
      <c r="X651" s="1"/>
      <c r="Y651" s="1"/>
      <c r="Z651" s="1"/>
    </row>
    <row r="652" spans="4:26" x14ac:dyDescent="0.25">
      <c r="D652" s="16"/>
      <c r="Q652" s="16"/>
    </row>
    <row r="653" spans="4:26" x14ac:dyDescent="0.25">
      <c r="D653" s="16"/>
      <c r="Q653" s="16"/>
    </row>
    <row r="654" spans="4:26" x14ac:dyDescent="0.25">
      <c r="D654" s="17"/>
      <c r="Q654" s="17"/>
      <c r="T654" s="1"/>
      <c r="X654" s="1"/>
      <c r="Y654" s="1"/>
      <c r="Z654" s="1"/>
    </row>
    <row r="656" spans="4:26" x14ac:dyDescent="0.25">
      <c r="D656" s="16"/>
      <c r="Q656" s="16"/>
    </row>
    <row r="657" spans="4:26" x14ac:dyDescent="0.25">
      <c r="D657" s="17"/>
      <c r="Q657" s="17"/>
      <c r="T657" s="1"/>
      <c r="X657" s="1"/>
      <c r="Y657" s="1"/>
      <c r="Z657" s="1"/>
    </row>
    <row r="659" spans="4:26" x14ac:dyDescent="0.25">
      <c r="D659" s="16"/>
      <c r="Q659" s="16"/>
    </row>
    <row r="660" spans="4:26" x14ac:dyDescent="0.25">
      <c r="D660" s="16"/>
      <c r="Q660" s="16"/>
      <c r="T660" s="1"/>
      <c r="X660" s="1"/>
      <c r="Y660" s="1"/>
      <c r="Z660" s="1"/>
    </row>
    <row r="661" spans="4:26" x14ac:dyDescent="0.25">
      <c r="D661" s="16"/>
      <c r="Q661" s="16"/>
    </row>
    <row r="662" spans="4:26" x14ac:dyDescent="0.25">
      <c r="D662" s="16"/>
      <c r="Q662" s="16"/>
    </row>
    <row r="663" spans="4:26" x14ac:dyDescent="0.25">
      <c r="D663" s="16"/>
      <c r="Q663" s="16"/>
      <c r="T663" s="1"/>
      <c r="X663" s="1"/>
      <c r="Y663" s="1"/>
      <c r="Z663" s="1"/>
    </row>
    <row r="665" spans="4:26" x14ac:dyDescent="0.25">
      <c r="D665" s="16"/>
      <c r="Q665" s="16"/>
    </row>
    <row r="666" spans="4:26" x14ac:dyDescent="0.25">
      <c r="D666" s="16"/>
      <c r="Q666" s="16"/>
      <c r="T666" s="1"/>
      <c r="X666" s="1"/>
      <c r="Y666" s="1"/>
      <c r="Z666" s="1"/>
    </row>
    <row r="668" spans="4:26" x14ac:dyDescent="0.25">
      <c r="D668" s="16"/>
      <c r="Q668" s="16"/>
    </row>
    <row r="669" spans="4:26" x14ac:dyDescent="0.25">
      <c r="D669" s="16"/>
      <c r="Q669" s="16"/>
      <c r="T669" s="1"/>
      <c r="X669" s="1"/>
      <c r="Y669" s="1"/>
      <c r="Z669" s="1"/>
    </row>
    <row r="672" spans="4:26" x14ac:dyDescent="0.25">
      <c r="D672" s="16"/>
      <c r="Q672" s="16"/>
      <c r="T672" s="1"/>
      <c r="X672" s="1"/>
      <c r="Y672" s="1"/>
      <c r="Z672" s="1"/>
    </row>
    <row r="675" spans="4:26" x14ac:dyDescent="0.25">
      <c r="D675" s="16"/>
      <c r="Q675" s="16"/>
      <c r="T675" s="1"/>
      <c r="X675" s="1"/>
      <c r="Y675" s="1"/>
      <c r="Z675" s="1"/>
    </row>
    <row r="678" spans="4:26" x14ac:dyDescent="0.25">
      <c r="D678" s="16"/>
      <c r="Q678" s="16"/>
      <c r="T678" s="1"/>
      <c r="X678" s="1"/>
      <c r="Y678" s="1"/>
      <c r="Z678" s="1"/>
    </row>
    <row r="681" spans="4:26" x14ac:dyDescent="0.25">
      <c r="D681" s="16"/>
      <c r="Q681" s="16"/>
      <c r="T681" s="1"/>
      <c r="X681" s="1"/>
      <c r="Y681" s="1"/>
      <c r="Z681" s="1"/>
    </row>
    <row r="684" spans="4:26" x14ac:dyDescent="0.25">
      <c r="D684" s="16"/>
      <c r="Q684" s="16"/>
      <c r="T684" s="1"/>
      <c r="X684" s="1"/>
      <c r="Y684" s="1"/>
      <c r="Z684" s="1"/>
    </row>
    <row r="685" spans="4:26" x14ac:dyDescent="0.25">
      <c r="Q685" s="16"/>
    </row>
    <row r="687" spans="4:26" x14ac:dyDescent="0.25">
      <c r="D687" s="16"/>
      <c r="Q687" s="16"/>
      <c r="T687" s="1"/>
      <c r="X687" s="1"/>
      <c r="Y687" s="1"/>
      <c r="Z687" s="1"/>
    </row>
    <row r="688" spans="4:26" x14ac:dyDescent="0.25">
      <c r="D688" s="16"/>
      <c r="Q688" s="16"/>
    </row>
    <row r="690" spans="4:26" x14ac:dyDescent="0.25">
      <c r="D690" s="17"/>
      <c r="Q690" s="17"/>
      <c r="T690" s="1"/>
      <c r="X690" s="1"/>
      <c r="Y690" s="1"/>
      <c r="Z690" s="1"/>
    </row>
    <row r="691" spans="4:26" x14ac:dyDescent="0.25">
      <c r="D691" s="16"/>
      <c r="Q691" s="16"/>
    </row>
    <row r="692" spans="4:26" x14ac:dyDescent="0.25">
      <c r="D692" s="16"/>
      <c r="Q692" s="16"/>
    </row>
    <row r="693" spans="4:26" x14ac:dyDescent="0.25">
      <c r="D693" s="16"/>
      <c r="Q693" s="16"/>
      <c r="T693" s="1"/>
      <c r="X693" s="1"/>
      <c r="Y693" s="1"/>
      <c r="Z693" s="1"/>
    </row>
    <row r="694" spans="4:26" x14ac:dyDescent="0.25">
      <c r="D694" s="16"/>
      <c r="Q694" s="16"/>
    </row>
    <row r="695" spans="4:26" x14ac:dyDescent="0.25">
      <c r="D695" s="16"/>
      <c r="Q695" s="16"/>
    </row>
    <row r="696" spans="4:26" x14ac:dyDescent="0.25">
      <c r="D696" s="16"/>
      <c r="Q696" s="16"/>
      <c r="T696" s="1"/>
      <c r="X696" s="1"/>
      <c r="Y696" s="1"/>
      <c r="Z696" s="1"/>
    </row>
    <row r="698" spans="4:26" x14ac:dyDescent="0.25">
      <c r="D698" s="16"/>
      <c r="Q698" s="16"/>
    </row>
    <row r="699" spans="4:26" x14ac:dyDescent="0.25">
      <c r="D699" s="16"/>
      <c r="Q699" s="16"/>
      <c r="T699" s="1"/>
      <c r="X699" s="1"/>
      <c r="Y699" s="1"/>
      <c r="Z699" s="1"/>
    </row>
    <row r="700" spans="4:26" x14ac:dyDescent="0.25">
      <c r="D700" s="16"/>
      <c r="Q700" s="16"/>
    </row>
    <row r="701" spans="4:26" x14ac:dyDescent="0.25">
      <c r="D701" s="16"/>
      <c r="Q701" s="16"/>
    </row>
    <row r="702" spans="4:26" x14ac:dyDescent="0.25">
      <c r="D702" s="16"/>
      <c r="Q702" s="16"/>
      <c r="T702" s="1"/>
      <c r="X702" s="1"/>
      <c r="Y702" s="1"/>
      <c r="Z702" s="1"/>
    </row>
    <row r="703" spans="4:26" x14ac:dyDescent="0.25">
      <c r="D703" s="16"/>
      <c r="Q703" s="16"/>
    </row>
    <row r="704" spans="4:26" x14ac:dyDescent="0.25">
      <c r="D704" s="16"/>
      <c r="Q704" s="16"/>
    </row>
    <row r="705" spans="4:26" x14ac:dyDescent="0.25">
      <c r="D705" s="17"/>
      <c r="Q705" s="17"/>
      <c r="T705" s="1"/>
      <c r="X705" s="1"/>
      <c r="Y705" s="1"/>
      <c r="Z705" s="1"/>
    </row>
    <row r="707" spans="4:26" x14ac:dyDescent="0.25">
      <c r="D707" s="16"/>
      <c r="Q707" s="16"/>
    </row>
    <row r="708" spans="4:26" x14ac:dyDescent="0.25">
      <c r="D708" s="16"/>
      <c r="Q708" s="16"/>
      <c r="T708" s="1"/>
      <c r="X708" s="1"/>
      <c r="Y708" s="1"/>
      <c r="Z708" s="1"/>
    </row>
    <row r="709" spans="4:26" x14ac:dyDescent="0.25">
      <c r="D709" s="16"/>
      <c r="Q709" s="16"/>
    </row>
    <row r="710" spans="4:26" x14ac:dyDescent="0.25">
      <c r="D710" s="16"/>
      <c r="Q710" s="16"/>
    </row>
    <row r="711" spans="4:26" x14ac:dyDescent="0.25">
      <c r="D711" s="17"/>
      <c r="Q711" s="17"/>
      <c r="T711" s="1"/>
      <c r="X711" s="1"/>
      <c r="Y711" s="1"/>
      <c r="Z711" s="1"/>
    </row>
    <row r="712" spans="4:26" x14ac:dyDescent="0.25">
      <c r="D712" s="16"/>
      <c r="Q712" s="16"/>
    </row>
    <row r="713" spans="4:26" x14ac:dyDescent="0.25">
      <c r="D713" s="16"/>
      <c r="Q713" s="16"/>
    </row>
    <row r="714" spans="4:26" x14ac:dyDescent="0.25">
      <c r="D714" s="16"/>
      <c r="Q714" s="16"/>
      <c r="T714" s="1"/>
      <c r="X714" s="1"/>
      <c r="Y714" s="1"/>
      <c r="Z714" s="1"/>
    </row>
    <row r="715" spans="4:26" x14ac:dyDescent="0.25">
      <c r="D715" s="16"/>
      <c r="Q715" s="16"/>
    </row>
    <row r="716" spans="4:26" x14ac:dyDescent="0.25">
      <c r="D716" s="16"/>
      <c r="Q716" s="16"/>
    </row>
    <row r="717" spans="4:26" x14ac:dyDescent="0.25">
      <c r="D717" s="16"/>
      <c r="Q717" s="16"/>
      <c r="T717" s="1"/>
      <c r="X717" s="1"/>
      <c r="Y717" s="1"/>
      <c r="Z717" s="1"/>
    </row>
    <row r="720" spans="4:26" x14ac:dyDescent="0.25">
      <c r="D720" s="16"/>
      <c r="Q720" s="16"/>
      <c r="T720" s="1"/>
      <c r="X720" s="1"/>
      <c r="Y720" s="1"/>
      <c r="Z720" s="1"/>
    </row>
    <row r="721" spans="4:26" x14ac:dyDescent="0.25">
      <c r="D721" s="16"/>
      <c r="Q721" s="16"/>
    </row>
    <row r="722" spans="4:26" x14ac:dyDescent="0.25">
      <c r="D722" s="16"/>
      <c r="Q722" s="16"/>
    </row>
    <row r="723" spans="4:26" x14ac:dyDescent="0.25">
      <c r="D723" s="16"/>
      <c r="Q723" s="16"/>
      <c r="T723" s="1"/>
      <c r="X723" s="1"/>
      <c r="Y723" s="1"/>
      <c r="Z723" s="1"/>
    </row>
    <row r="725" spans="4:26" x14ac:dyDescent="0.25">
      <c r="D725" s="16"/>
      <c r="Q725" s="16"/>
    </row>
    <row r="726" spans="4:26" x14ac:dyDescent="0.25">
      <c r="D726" s="16"/>
      <c r="Q726" s="16"/>
      <c r="T726" s="1"/>
      <c r="X726" s="1"/>
      <c r="Y726" s="1"/>
      <c r="Z726" s="1"/>
    </row>
    <row r="727" spans="4:26" x14ac:dyDescent="0.25">
      <c r="D727" s="16"/>
      <c r="Q727" s="16"/>
    </row>
    <row r="728" spans="4:26" x14ac:dyDescent="0.25">
      <c r="D728" s="16"/>
      <c r="Q728" s="16"/>
    </row>
    <row r="729" spans="4:26" x14ac:dyDescent="0.25">
      <c r="D729" s="17"/>
      <c r="Q729" s="17"/>
      <c r="T729" s="1"/>
      <c r="X729" s="1"/>
      <c r="Y729" s="1"/>
      <c r="Z729" s="1"/>
    </row>
    <row r="731" spans="4:26" x14ac:dyDescent="0.25">
      <c r="D731" s="16"/>
      <c r="Q731" s="16"/>
    </row>
    <row r="732" spans="4:26" x14ac:dyDescent="0.25">
      <c r="D732" s="16"/>
      <c r="Q732" s="16"/>
      <c r="T732" s="1"/>
      <c r="X732" s="1"/>
      <c r="Y732" s="1"/>
      <c r="Z732" s="1"/>
    </row>
    <row r="734" spans="4:26" x14ac:dyDescent="0.25">
      <c r="D734" s="16"/>
      <c r="Q734" s="16"/>
    </row>
    <row r="735" spans="4:26" x14ac:dyDescent="0.25">
      <c r="D735" s="16"/>
      <c r="Q735" s="16"/>
      <c r="T735" s="1"/>
      <c r="X735" s="1"/>
      <c r="Y735" s="1"/>
      <c r="Z735" s="1"/>
    </row>
    <row r="736" spans="4:26" x14ac:dyDescent="0.25">
      <c r="D736" s="16"/>
      <c r="Q736" s="16"/>
    </row>
    <row r="737" spans="4:26" x14ac:dyDescent="0.25">
      <c r="D737" s="16"/>
      <c r="Q737" s="16"/>
    </row>
    <row r="738" spans="4:26" x14ac:dyDescent="0.25">
      <c r="D738" s="17"/>
      <c r="Q738" s="17"/>
      <c r="T738" s="1"/>
      <c r="X738" s="1"/>
      <c r="Y738" s="1"/>
      <c r="Z738" s="1"/>
    </row>
    <row r="740" spans="4:26" x14ac:dyDescent="0.25">
      <c r="D740" s="16"/>
      <c r="Q740" s="16"/>
    </row>
    <row r="741" spans="4:26" x14ac:dyDescent="0.25">
      <c r="D741" s="17"/>
      <c r="Q741" s="17"/>
      <c r="T741" s="1"/>
      <c r="X741" s="1"/>
      <c r="Y741" s="1"/>
      <c r="Z741" s="1"/>
    </row>
    <row r="743" spans="4:26" x14ac:dyDescent="0.25">
      <c r="D743" s="16"/>
      <c r="Q743" s="16"/>
    </row>
    <row r="744" spans="4:26" x14ac:dyDescent="0.25">
      <c r="D744" s="17"/>
      <c r="Q744" s="17"/>
      <c r="T744" s="1"/>
      <c r="X744" s="1"/>
      <c r="Y744" s="1"/>
      <c r="Z744" s="1"/>
    </row>
    <row r="746" spans="4:26" x14ac:dyDescent="0.25">
      <c r="D746" s="16"/>
      <c r="Q746" s="16"/>
    </row>
    <row r="747" spans="4:26" x14ac:dyDescent="0.25">
      <c r="D747" s="17"/>
      <c r="Q747" s="17"/>
      <c r="T747" s="1"/>
      <c r="X747" s="1"/>
      <c r="Y747" s="1"/>
      <c r="Z747" s="1"/>
    </row>
    <row r="749" spans="4:26" x14ac:dyDescent="0.25">
      <c r="D749" s="16"/>
      <c r="Q749" s="16"/>
    </row>
    <row r="750" spans="4:26" x14ac:dyDescent="0.25">
      <c r="D750" s="17"/>
      <c r="Q750" s="17"/>
      <c r="T750" s="1"/>
      <c r="X750" s="1"/>
      <c r="Y750" s="1"/>
      <c r="Z750" s="1"/>
    </row>
    <row r="752" spans="4:26" x14ac:dyDescent="0.25">
      <c r="D752" s="16"/>
      <c r="Q752" s="16"/>
    </row>
    <row r="753" spans="4:26" x14ac:dyDescent="0.25">
      <c r="D753" s="16"/>
      <c r="Q753" s="16"/>
      <c r="T753" s="1"/>
      <c r="X753" s="1"/>
      <c r="Y753" s="1"/>
      <c r="Z753" s="1"/>
    </row>
    <row r="754" spans="4:26" x14ac:dyDescent="0.25">
      <c r="D754" s="16"/>
      <c r="Q754" s="16"/>
    </row>
    <row r="755" spans="4:26" x14ac:dyDescent="0.25">
      <c r="D755" s="16"/>
      <c r="Q755" s="16"/>
    </row>
    <row r="756" spans="4:26" x14ac:dyDescent="0.25">
      <c r="D756" s="16"/>
      <c r="Q756" s="16"/>
      <c r="T756" s="1"/>
      <c r="X756" s="1"/>
      <c r="Y756" s="1"/>
      <c r="Z756" s="1"/>
    </row>
    <row r="759" spans="4:26" x14ac:dyDescent="0.25">
      <c r="D759" s="16"/>
      <c r="Q759" s="16"/>
      <c r="T759" s="1"/>
      <c r="X759" s="1"/>
      <c r="Y759" s="1"/>
      <c r="Z759" s="1"/>
    </row>
    <row r="760" spans="4:26" x14ac:dyDescent="0.25">
      <c r="D760" s="16"/>
      <c r="Q760" s="16"/>
    </row>
    <row r="761" spans="4:26" x14ac:dyDescent="0.25">
      <c r="D761" s="16"/>
      <c r="Q761" s="16"/>
    </row>
    <row r="762" spans="4:26" x14ac:dyDescent="0.25">
      <c r="D762" s="16"/>
      <c r="Q762" s="16"/>
      <c r="T762" s="1"/>
      <c r="X762" s="1"/>
      <c r="Y762" s="1"/>
      <c r="Z762" s="1"/>
    </row>
    <row r="765" spans="4:26" x14ac:dyDescent="0.25">
      <c r="D765" s="16"/>
      <c r="Q765" s="16"/>
      <c r="T765" s="1"/>
      <c r="X765" s="1"/>
      <c r="Y765" s="1"/>
      <c r="Z765" s="1"/>
    </row>
    <row r="766" spans="4:26" x14ac:dyDescent="0.25">
      <c r="D766" s="16"/>
      <c r="Q766" s="16"/>
    </row>
    <row r="767" spans="4:26" x14ac:dyDescent="0.25">
      <c r="D767" s="16"/>
      <c r="Q767" s="16"/>
    </row>
    <row r="768" spans="4:26" x14ac:dyDescent="0.25">
      <c r="D768" s="16"/>
      <c r="Q768" s="16"/>
      <c r="T768" s="1"/>
      <c r="X768" s="1"/>
      <c r="Y768" s="1"/>
      <c r="Z768" s="1"/>
    </row>
    <row r="769" spans="4:26" x14ac:dyDescent="0.25">
      <c r="D769" s="16"/>
      <c r="Q769" s="16"/>
    </row>
    <row r="770" spans="4:26" x14ac:dyDescent="0.25">
      <c r="D770" s="16"/>
      <c r="Q770" s="16"/>
    </row>
    <row r="771" spans="4:26" x14ac:dyDescent="0.25">
      <c r="D771" s="16"/>
      <c r="Q771" s="16"/>
      <c r="T771" s="1"/>
      <c r="X771" s="1"/>
      <c r="Y771" s="1"/>
      <c r="Z771" s="1"/>
    </row>
    <row r="773" spans="4:26" x14ac:dyDescent="0.25">
      <c r="D773" s="16"/>
      <c r="Q773" s="16"/>
    </row>
    <row r="774" spans="4:26" x14ac:dyDescent="0.25">
      <c r="D774" s="16"/>
      <c r="Q774" s="16"/>
      <c r="T774" s="1"/>
      <c r="X774" s="1"/>
      <c r="Y774" s="1"/>
      <c r="Z774" s="1"/>
    </row>
    <row r="775" spans="4:26" x14ac:dyDescent="0.25">
      <c r="D775" s="16"/>
      <c r="Q775" s="16"/>
    </row>
    <row r="776" spans="4:26" x14ac:dyDescent="0.25">
      <c r="D776" s="16"/>
      <c r="Q776" s="16"/>
    </row>
    <row r="777" spans="4:26" x14ac:dyDescent="0.25">
      <c r="D777" s="16"/>
      <c r="Q777" s="16"/>
      <c r="T777" s="1"/>
      <c r="X777" s="1"/>
      <c r="Y777" s="1"/>
      <c r="Z777" s="1"/>
    </row>
    <row r="778" spans="4:26" x14ac:dyDescent="0.25">
      <c r="D778" s="16"/>
      <c r="Q778" s="16"/>
    </row>
    <row r="780" spans="4:26" x14ac:dyDescent="0.25">
      <c r="D780" s="16"/>
      <c r="Q780" s="16"/>
      <c r="T780" s="1"/>
      <c r="X780" s="1"/>
      <c r="Y780" s="1"/>
      <c r="Z780" s="1"/>
    </row>
    <row r="781" spans="4:26" x14ac:dyDescent="0.25">
      <c r="D781" s="16"/>
      <c r="Q781" s="16"/>
    </row>
    <row r="782" spans="4:26" x14ac:dyDescent="0.25">
      <c r="D782" s="16"/>
      <c r="Q782" s="16"/>
    </row>
    <row r="783" spans="4:26" x14ac:dyDescent="0.25">
      <c r="D783" s="16"/>
      <c r="Q783" s="16"/>
      <c r="T783" s="1"/>
      <c r="X783" s="1"/>
      <c r="Y783" s="1"/>
      <c r="Z783" s="1"/>
    </row>
    <row r="785" spans="4:26" x14ac:dyDescent="0.25">
      <c r="D785" s="16"/>
      <c r="Q785" s="16"/>
    </row>
    <row r="786" spans="4:26" x14ac:dyDescent="0.25">
      <c r="D786" s="16"/>
      <c r="Q786" s="16"/>
      <c r="T786" s="1"/>
      <c r="X786" s="1"/>
      <c r="Y786" s="1"/>
      <c r="Z786" s="1"/>
    </row>
    <row r="788" spans="4:26" x14ac:dyDescent="0.25">
      <c r="D788" s="16"/>
      <c r="Q788" s="16"/>
    </row>
    <row r="789" spans="4:26" x14ac:dyDescent="0.25">
      <c r="D789" s="16"/>
      <c r="Q789" s="16"/>
      <c r="T789" s="1"/>
      <c r="X789" s="1"/>
      <c r="Y789" s="1"/>
      <c r="Z789" s="1"/>
    </row>
    <row r="791" spans="4:26" x14ac:dyDescent="0.25">
      <c r="D791" s="16"/>
      <c r="Q791" s="16"/>
    </row>
    <row r="792" spans="4:26" x14ac:dyDescent="0.25">
      <c r="D792" s="16"/>
      <c r="Q792" s="16"/>
      <c r="T792" s="1"/>
      <c r="X792" s="1"/>
      <c r="Y792" s="1"/>
      <c r="Z792" s="1"/>
    </row>
    <row r="794" spans="4:26" x14ac:dyDescent="0.25">
      <c r="D794" s="16"/>
      <c r="Q794" s="16"/>
    </row>
    <row r="795" spans="4:26" x14ac:dyDescent="0.25">
      <c r="D795" s="16"/>
      <c r="Q795" s="16"/>
      <c r="T795" s="1"/>
      <c r="X795" s="1"/>
      <c r="Y795" s="1"/>
      <c r="Z795" s="1"/>
    </row>
    <row r="797" spans="4:26" x14ac:dyDescent="0.25">
      <c r="D797" s="16"/>
      <c r="Q797" s="16"/>
    </row>
    <row r="798" spans="4:26" x14ac:dyDescent="0.25">
      <c r="D798" s="16"/>
      <c r="Q798" s="16"/>
      <c r="T798" s="1"/>
      <c r="X798" s="1"/>
      <c r="Y798" s="1"/>
      <c r="Z798" s="1"/>
    </row>
    <row r="800" spans="4:26" x14ac:dyDescent="0.25">
      <c r="D800" s="16"/>
      <c r="Q800" s="16"/>
    </row>
    <row r="801" spans="4:26" x14ac:dyDescent="0.25">
      <c r="D801" s="16"/>
      <c r="Q801" s="16"/>
      <c r="T801" s="1"/>
      <c r="X801" s="1"/>
      <c r="Y801" s="1"/>
      <c r="Z801" s="1"/>
    </row>
    <row r="803" spans="4:26" x14ac:dyDescent="0.25">
      <c r="D803" s="16"/>
      <c r="Q803" s="16"/>
    </row>
    <row r="804" spans="4:26" x14ac:dyDescent="0.25">
      <c r="D804" s="16"/>
      <c r="Q804" s="16"/>
      <c r="T804" s="1"/>
      <c r="X804" s="1"/>
      <c r="Y804" s="1"/>
      <c r="Z804" s="1"/>
    </row>
    <row r="806" spans="4:26" x14ac:dyDescent="0.25">
      <c r="D806" s="16"/>
      <c r="Q806" s="16"/>
    </row>
    <row r="807" spans="4:26" x14ac:dyDescent="0.25">
      <c r="D807" s="16"/>
      <c r="Q807" s="16"/>
      <c r="T807" s="1"/>
      <c r="X807" s="1"/>
      <c r="Y807" s="1"/>
      <c r="Z807" s="1"/>
    </row>
    <row r="809" spans="4:26" x14ac:dyDescent="0.25">
      <c r="D809" s="16"/>
      <c r="Q809" s="16"/>
    </row>
    <row r="810" spans="4:26" x14ac:dyDescent="0.25">
      <c r="D810" s="16"/>
      <c r="Q810" s="16"/>
      <c r="T810" s="1"/>
      <c r="X810" s="1"/>
      <c r="Y810" s="1"/>
      <c r="Z810" s="1"/>
    </row>
    <row r="812" spans="4:26" x14ac:dyDescent="0.25">
      <c r="D812" s="16"/>
      <c r="Q812" s="16"/>
    </row>
    <row r="813" spans="4:26" x14ac:dyDescent="0.25">
      <c r="D813" s="16"/>
      <c r="Q813" s="16"/>
      <c r="T813" s="1"/>
      <c r="X813" s="1"/>
      <c r="Y813" s="1"/>
      <c r="Z813" s="1"/>
    </row>
    <row r="815" spans="4:26" x14ac:dyDescent="0.25">
      <c r="D815" s="16"/>
      <c r="Q815" s="16"/>
    </row>
    <row r="816" spans="4:26" x14ac:dyDescent="0.25">
      <c r="D816" s="16"/>
      <c r="Q816" s="16"/>
      <c r="T816" s="1"/>
      <c r="X816" s="1"/>
      <c r="Y816" s="1"/>
      <c r="Z816" s="1"/>
    </row>
    <row r="818" spans="4:26" x14ac:dyDescent="0.25">
      <c r="D818" s="16"/>
      <c r="Q818" s="16"/>
    </row>
    <row r="819" spans="4:26" x14ac:dyDescent="0.25">
      <c r="D819" s="16"/>
      <c r="Q819" s="16"/>
      <c r="T819" s="1"/>
      <c r="X819" s="1"/>
      <c r="Y819" s="1"/>
      <c r="Z819" s="1"/>
    </row>
    <row r="821" spans="4:26" x14ac:dyDescent="0.25">
      <c r="D821" s="16"/>
      <c r="Q821" s="16"/>
    </row>
    <row r="822" spans="4:26" x14ac:dyDescent="0.25">
      <c r="D822" s="16"/>
      <c r="Q822" s="16"/>
      <c r="T822" s="1"/>
      <c r="X822" s="1"/>
      <c r="Y822" s="1"/>
      <c r="Z822" s="1"/>
    </row>
    <row r="824" spans="4:26" x14ac:dyDescent="0.25">
      <c r="D824" s="16"/>
      <c r="Q824" s="16"/>
    </row>
    <row r="825" spans="4:26" x14ac:dyDescent="0.25">
      <c r="D825" s="16"/>
      <c r="Q825" s="16"/>
      <c r="T825" s="1"/>
      <c r="X825" s="1"/>
      <c r="Y825" s="1"/>
      <c r="Z825" s="1"/>
    </row>
    <row r="827" spans="4:26" x14ac:dyDescent="0.25">
      <c r="D827" s="16"/>
      <c r="Q827" s="16"/>
    </row>
    <row r="828" spans="4:26" x14ac:dyDescent="0.25">
      <c r="D828" s="16"/>
      <c r="Q828" s="16"/>
      <c r="T828" s="1"/>
      <c r="X828" s="1"/>
      <c r="Y828" s="1"/>
      <c r="Z828" s="1"/>
    </row>
    <row r="830" spans="4:26" x14ac:dyDescent="0.25">
      <c r="D830" s="16"/>
      <c r="Q830" s="16"/>
    </row>
    <row r="831" spans="4:26" x14ac:dyDescent="0.25">
      <c r="D831" s="16"/>
      <c r="Q831" s="16"/>
      <c r="T831" s="1"/>
      <c r="X831" s="1"/>
      <c r="Y831" s="1"/>
      <c r="Z831" s="1"/>
    </row>
    <row r="833" spans="4:26" x14ac:dyDescent="0.25">
      <c r="D833" s="16"/>
      <c r="Q833" s="16"/>
    </row>
    <row r="834" spans="4:26" x14ac:dyDescent="0.25">
      <c r="D834" s="16"/>
      <c r="Q834" s="16"/>
      <c r="T834" s="1"/>
      <c r="X834" s="1"/>
      <c r="Y834" s="1"/>
      <c r="Z834" s="1"/>
    </row>
    <row r="836" spans="4:26" x14ac:dyDescent="0.25">
      <c r="D836" s="16"/>
      <c r="Q836" s="16"/>
    </row>
    <row r="837" spans="4:26" x14ac:dyDescent="0.25">
      <c r="D837" s="16"/>
      <c r="Q837" s="16"/>
      <c r="T837" s="1"/>
      <c r="X837" s="1"/>
      <c r="Y837" s="1"/>
      <c r="Z837" s="1"/>
    </row>
    <row r="839" spans="4:26" x14ac:dyDescent="0.25">
      <c r="D839" s="16"/>
      <c r="Q839" s="16"/>
    </row>
    <row r="840" spans="4:26" x14ac:dyDescent="0.25">
      <c r="D840" s="16"/>
      <c r="Q840" s="16"/>
      <c r="T840" s="1"/>
      <c r="X840" s="1"/>
      <c r="Y840" s="1"/>
      <c r="Z840" s="1"/>
    </row>
    <row r="842" spans="4:26" x14ac:dyDescent="0.25">
      <c r="D842" s="16"/>
      <c r="Q842" s="16"/>
    </row>
    <row r="843" spans="4:26" x14ac:dyDescent="0.25">
      <c r="D843" s="16"/>
      <c r="Q843" s="16"/>
      <c r="T843" s="1"/>
      <c r="X843" s="1"/>
      <c r="Y843" s="1"/>
      <c r="Z843" s="1"/>
    </row>
    <row r="845" spans="4:26" x14ac:dyDescent="0.25">
      <c r="D845" s="16"/>
      <c r="Q845" s="16"/>
    </row>
    <row r="846" spans="4:26" x14ac:dyDescent="0.25">
      <c r="D846" s="16"/>
      <c r="Q846" s="16"/>
      <c r="T846" s="1"/>
      <c r="X846" s="1"/>
      <c r="Y846" s="1"/>
      <c r="Z846" s="1"/>
    </row>
    <row r="847" spans="4:26" x14ac:dyDescent="0.25">
      <c r="D847" s="17"/>
      <c r="Q847" s="17"/>
      <c r="T847" s="1"/>
      <c r="X847" s="1"/>
      <c r="Y847" s="1"/>
      <c r="Z847" s="1"/>
    </row>
    <row r="848" spans="4:26" x14ac:dyDescent="0.25">
      <c r="D848" s="16"/>
      <c r="Q848" s="16"/>
    </row>
    <row r="849" spans="4:26" x14ac:dyDescent="0.25">
      <c r="D849" s="16"/>
      <c r="Q849" s="16"/>
    </row>
    <row r="850" spans="4:26" x14ac:dyDescent="0.25">
      <c r="D850" s="17"/>
      <c r="Q850" s="17"/>
      <c r="T850" s="1"/>
      <c r="X850" s="1"/>
      <c r="Y850" s="1"/>
      <c r="Z850" s="1"/>
    </row>
    <row r="851" spans="4:26" x14ac:dyDescent="0.25">
      <c r="D851" s="16"/>
      <c r="Q851" s="16"/>
      <c r="T851" s="1"/>
      <c r="X851" s="1"/>
      <c r="Y851" s="1"/>
      <c r="Z851" s="1"/>
    </row>
    <row r="852" spans="4:26" x14ac:dyDescent="0.25">
      <c r="D852" s="16"/>
      <c r="Q852" s="16"/>
    </row>
    <row r="854" spans="4:26" x14ac:dyDescent="0.25">
      <c r="D854" s="16"/>
      <c r="Q854" s="16"/>
      <c r="T854" s="1"/>
      <c r="X854" s="1"/>
      <c r="Y854" s="1"/>
      <c r="Z854" s="1"/>
    </row>
    <row r="855" spans="4:26" x14ac:dyDescent="0.25">
      <c r="D855" s="16"/>
      <c r="Q855" s="16"/>
    </row>
    <row r="857" spans="4:26" x14ac:dyDescent="0.25">
      <c r="D857" s="16"/>
      <c r="Q857" s="16"/>
      <c r="T857" s="1"/>
      <c r="X857" s="1"/>
      <c r="Y857" s="1"/>
      <c r="Z857" s="1"/>
    </row>
    <row r="858" spans="4:26" x14ac:dyDescent="0.25">
      <c r="D858" s="16"/>
      <c r="Q858" s="16"/>
      <c r="T858" s="1"/>
      <c r="X858" s="1"/>
      <c r="Y858" s="1"/>
      <c r="Z858" s="1"/>
    </row>
    <row r="860" spans="4:26" x14ac:dyDescent="0.25">
      <c r="D860" s="16"/>
      <c r="Q860" s="16"/>
    </row>
    <row r="861" spans="4:26" x14ac:dyDescent="0.25">
      <c r="D861" s="16"/>
      <c r="Q861" s="16"/>
      <c r="T861" s="1"/>
      <c r="X861" s="1"/>
      <c r="Y861" s="1"/>
      <c r="Z861" s="1"/>
    </row>
    <row r="863" spans="4:26" x14ac:dyDescent="0.25">
      <c r="D863" s="16"/>
      <c r="Q863" s="16"/>
    </row>
    <row r="864" spans="4:26" x14ac:dyDescent="0.25">
      <c r="D864" s="16"/>
      <c r="Q864" s="16"/>
      <c r="T864" s="1"/>
      <c r="X864" s="1"/>
      <c r="Y864" s="1"/>
      <c r="Z864" s="1"/>
    </row>
    <row r="865" spans="4:26" x14ac:dyDescent="0.25">
      <c r="D865" s="17"/>
      <c r="Q865" s="17"/>
      <c r="T865" s="1"/>
      <c r="X865" s="1"/>
      <c r="Y865" s="1"/>
      <c r="Z865" s="1"/>
    </row>
    <row r="866" spans="4:26" x14ac:dyDescent="0.25">
      <c r="D866" s="16"/>
      <c r="Q866" s="16"/>
    </row>
    <row r="867" spans="4:26" x14ac:dyDescent="0.25">
      <c r="D867" s="16"/>
      <c r="Q867" s="16"/>
    </row>
    <row r="868" spans="4:26" x14ac:dyDescent="0.25">
      <c r="D868" s="17"/>
      <c r="Q868" s="17"/>
      <c r="T868" s="1"/>
      <c r="X868" s="1"/>
      <c r="Y868" s="1"/>
      <c r="Z868" s="1"/>
    </row>
    <row r="869" spans="4:26" x14ac:dyDescent="0.25">
      <c r="D869" s="17"/>
      <c r="Q869" s="17"/>
      <c r="T869" s="1"/>
      <c r="X869" s="1"/>
      <c r="Y869" s="1"/>
      <c r="Z869" s="1"/>
    </row>
    <row r="870" spans="4:26" x14ac:dyDescent="0.25">
      <c r="D870" s="16"/>
      <c r="Q870" s="16"/>
    </row>
    <row r="872" spans="4:26" x14ac:dyDescent="0.25">
      <c r="D872" s="17"/>
      <c r="Q872" s="17"/>
      <c r="T872" s="1"/>
      <c r="X872" s="1"/>
      <c r="Y872" s="1"/>
      <c r="Z872" s="1"/>
    </row>
    <row r="873" spans="4:26" x14ac:dyDescent="0.25">
      <c r="D873" s="16"/>
      <c r="Q873" s="16"/>
      <c r="T873" s="1"/>
      <c r="X873" s="1"/>
      <c r="Y873" s="1"/>
      <c r="Z873" s="1"/>
    </row>
    <row r="874" spans="4:26" x14ac:dyDescent="0.25">
      <c r="D874" s="16"/>
      <c r="Q874" s="16"/>
      <c r="T874" s="1"/>
      <c r="X874" s="1"/>
      <c r="Y874" s="1"/>
      <c r="Z874" s="1"/>
    </row>
    <row r="876" spans="4:26" x14ac:dyDescent="0.25">
      <c r="D876" s="16"/>
      <c r="Q876" s="16"/>
    </row>
    <row r="877" spans="4:26" x14ac:dyDescent="0.25">
      <c r="D877" s="16"/>
      <c r="Q877" s="16"/>
      <c r="T877" s="1"/>
      <c r="X877" s="1"/>
      <c r="Y877" s="1"/>
      <c r="Z877" s="1"/>
    </row>
    <row r="879" spans="4:26" x14ac:dyDescent="0.25">
      <c r="D879" s="16"/>
      <c r="Q879" s="16"/>
    </row>
    <row r="880" spans="4:26" x14ac:dyDescent="0.25">
      <c r="D880" s="16"/>
      <c r="Q880" s="16"/>
      <c r="T880" s="1"/>
      <c r="X880" s="1"/>
      <c r="Y880" s="1"/>
      <c r="Z880" s="1"/>
    </row>
    <row r="881" spans="4:26" x14ac:dyDescent="0.25">
      <c r="D881" s="16"/>
      <c r="Q881" s="16"/>
    </row>
    <row r="882" spans="4:26" x14ac:dyDescent="0.25">
      <c r="D882" s="16"/>
      <c r="Q882" s="16"/>
    </row>
    <row r="883" spans="4:26" x14ac:dyDescent="0.25">
      <c r="D883" s="17"/>
      <c r="Q883" s="17"/>
      <c r="T883" s="1"/>
      <c r="X883" s="1"/>
      <c r="Y883" s="1"/>
      <c r="Z883" s="1"/>
    </row>
    <row r="884" spans="4:26" x14ac:dyDescent="0.25">
      <c r="D884" s="16"/>
      <c r="Q884" s="16"/>
    </row>
    <row r="885" spans="4:26" x14ac:dyDescent="0.25">
      <c r="D885" s="16"/>
      <c r="Q885" s="16"/>
    </row>
    <row r="886" spans="4:26" x14ac:dyDescent="0.25">
      <c r="D886" s="17"/>
      <c r="Q886" s="17"/>
      <c r="T886" s="1"/>
      <c r="X886" s="1"/>
      <c r="Y886" s="1"/>
      <c r="Z886" s="1"/>
    </row>
    <row r="887" spans="4:26" x14ac:dyDescent="0.25">
      <c r="D887" s="16"/>
      <c r="Q887" s="16"/>
    </row>
    <row r="888" spans="4:26" x14ac:dyDescent="0.25">
      <c r="D888" s="16"/>
      <c r="Q888" s="16"/>
    </row>
    <row r="889" spans="4:26" x14ac:dyDescent="0.25">
      <c r="D889" s="17"/>
      <c r="Q889" s="17"/>
      <c r="T889" s="1"/>
      <c r="X889" s="1"/>
      <c r="Y889" s="1"/>
      <c r="Z889" s="1"/>
    </row>
    <row r="891" spans="4:26" x14ac:dyDescent="0.25">
      <c r="D891" s="16"/>
      <c r="Q891" s="16"/>
    </row>
    <row r="892" spans="4:26" x14ac:dyDescent="0.25">
      <c r="D892" s="17"/>
      <c r="Q892" s="17"/>
      <c r="T892" s="1"/>
      <c r="X892" s="1"/>
      <c r="Y892" s="1"/>
      <c r="Z892" s="1"/>
    </row>
    <row r="894" spans="4:26" x14ac:dyDescent="0.25">
      <c r="D894" s="16"/>
      <c r="Q894" s="16"/>
    </row>
    <row r="895" spans="4:26" x14ac:dyDescent="0.25">
      <c r="D895" s="16"/>
      <c r="Q895" s="16"/>
      <c r="T895" s="1"/>
      <c r="X895" s="1"/>
      <c r="Y895" s="1"/>
      <c r="Z895" s="1"/>
    </row>
    <row r="896" spans="4:26" x14ac:dyDescent="0.25">
      <c r="D896" s="17"/>
      <c r="Q896" s="17"/>
      <c r="T896" s="1"/>
      <c r="X896" s="1"/>
      <c r="Y896" s="1"/>
      <c r="Z896" s="1"/>
    </row>
    <row r="897" spans="4:26" x14ac:dyDescent="0.25">
      <c r="D897" s="16"/>
      <c r="Q897" s="16"/>
    </row>
    <row r="898" spans="4:26" x14ac:dyDescent="0.25">
      <c r="D898" s="16"/>
      <c r="Q898" s="16"/>
    </row>
    <row r="899" spans="4:26" x14ac:dyDescent="0.25">
      <c r="D899" s="16"/>
      <c r="Q899" s="16"/>
      <c r="T899" s="1"/>
      <c r="X899" s="1"/>
      <c r="Y899" s="1"/>
      <c r="Z899" s="1"/>
    </row>
    <row r="900" spans="4:26" x14ac:dyDescent="0.25">
      <c r="D900" s="16"/>
      <c r="Q900" s="16"/>
    </row>
    <row r="901" spans="4:26" x14ac:dyDescent="0.25">
      <c r="D901" s="16"/>
      <c r="Q901" s="16"/>
    </row>
    <row r="902" spans="4:26" x14ac:dyDescent="0.25">
      <c r="D902" s="17"/>
      <c r="Q902" s="17"/>
      <c r="T902" s="1"/>
      <c r="X902" s="1"/>
      <c r="Y902" s="1"/>
      <c r="Z902" s="1"/>
    </row>
    <row r="903" spans="4:26" x14ac:dyDescent="0.25">
      <c r="D903" s="16"/>
      <c r="Q903" s="16"/>
      <c r="T903" s="1"/>
      <c r="X903" s="1"/>
      <c r="Y903" s="1"/>
      <c r="Z903" s="1"/>
    </row>
    <row r="904" spans="4:26" x14ac:dyDescent="0.25">
      <c r="D904" s="16"/>
      <c r="Q904" s="16"/>
      <c r="T904" s="1"/>
      <c r="X904" s="1"/>
      <c r="Y904" s="1"/>
      <c r="Z904" s="1"/>
    </row>
    <row r="905" spans="4:26" x14ac:dyDescent="0.25">
      <c r="D905" s="16"/>
      <c r="Q905" s="16"/>
      <c r="T905" s="1"/>
      <c r="X905" s="1"/>
      <c r="Y905" s="1"/>
      <c r="Z905" s="1"/>
    </row>
    <row r="906" spans="4:26" x14ac:dyDescent="0.25">
      <c r="D906" s="16"/>
      <c r="Q906" s="16"/>
    </row>
    <row r="907" spans="4:26" x14ac:dyDescent="0.25">
      <c r="D907" s="16"/>
      <c r="Q907" s="16"/>
    </row>
    <row r="908" spans="4:26" x14ac:dyDescent="0.25">
      <c r="D908" s="16"/>
      <c r="Q908" s="16"/>
      <c r="T908" s="1"/>
      <c r="X908" s="1"/>
      <c r="Y908" s="1"/>
      <c r="Z908" s="1"/>
    </row>
    <row r="909" spans="4:26" x14ac:dyDescent="0.25">
      <c r="D909" s="16"/>
      <c r="Q909" s="16"/>
      <c r="T909" s="1"/>
      <c r="X909" s="1"/>
      <c r="Y909" s="1"/>
      <c r="Z909" s="1"/>
    </row>
    <row r="910" spans="4:26" x14ac:dyDescent="0.25">
      <c r="D910" s="16"/>
      <c r="Q910" s="16"/>
      <c r="T910" s="1"/>
      <c r="X910" s="1"/>
      <c r="Y910" s="1"/>
      <c r="Z910" s="1"/>
    </row>
    <row r="911" spans="4:26" x14ac:dyDescent="0.25">
      <c r="D911" s="16"/>
      <c r="Q911" s="16"/>
      <c r="T911" s="1"/>
      <c r="X911" s="1"/>
      <c r="Y911" s="1"/>
      <c r="Z911" s="1"/>
    </row>
    <row r="912" spans="4:26" x14ac:dyDescent="0.25">
      <c r="D912" s="16"/>
      <c r="Q912" s="16"/>
    </row>
    <row r="913" spans="4:26" x14ac:dyDescent="0.25">
      <c r="D913" s="16"/>
      <c r="Q913" s="16"/>
    </row>
    <row r="914" spans="4:26" x14ac:dyDescent="0.25">
      <c r="D914" s="17"/>
      <c r="Q914" s="17"/>
      <c r="T914" s="1"/>
      <c r="X914" s="1"/>
      <c r="Y914" s="1"/>
      <c r="Z914" s="1"/>
    </row>
    <row r="915" spans="4:26" x14ac:dyDescent="0.25">
      <c r="D915" s="16"/>
      <c r="Q915" s="16"/>
    </row>
    <row r="916" spans="4:26" x14ac:dyDescent="0.25">
      <c r="D916" s="16"/>
      <c r="Q916" s="16"/>
    </row>
    <row r="917" spans="4:26" x14ac:dyDescent="0.25">
      <c r="D917" s="17"/>
      <c r="Q917" s="17"/>
      <c r="T917" s="1"/>
      <c r="X917" s="1"/>
      <c r="Y917" s="1"/>
      <c r="Z917" s="1"/>
    </row>
    <row r="918" spans="4:26" x14ac:dyDescent="0.25">
      <c r="D918" s="16"/>
      <c r="Q918" s="16"/>
      <c r="T918" s="1"/>
      <c r="X918" s="1"/>
      <c r="Y918" s="1"/>
      <c r="Z918" s="1"/>
    </row>
    <row r="919" spans="4:26" x14ac:dyDescent="0.25">
      <c r="D919" s="16"/>
      <c r="Q919" s="16"/>
    </row>
    <row r="920" spans="4:26" x14ac:dyDescent="0.25">
      <c r="D920" s="16"/>
      <c r="Q920" s="16"/>
    </row>
    <row r="921" spans="4:26" x14ac:dyDescent="0.25">
      <c r="D921" s="16"/>
      <c r="Q921" s="16"/>
      <c r="T921" s="1"/>
      <c r="X921" s="1"/>
      <c r="Y921" s="1"/>
      <c r="Z921" s="1"/>
    </row>
    <row r="922" spans="4:26" x14ac:dyDescent="0.25">
      <c r="D922" s="17"/>
      <c r="Q922" s="17"/>
      <c r="T922" s="1"/>
      <c r="X922" s="1"/>
      <c r="Y922" s="1"/>
      <c r="Z922" s="1"/>
    </row>
    <row r="924" spans="4:26" x14ac:dyDescent="0.25">
      <c r="D924" s="16"/>
      <c r="Q924" s="16"/>
    </row>
    <row r="925" spans="4:26" x14ac:dyDescent="0.25">
      <c r="D925" s="17"/>
      <c r="Q925" s="17"/>
      <c r="T925" s="1"/>
      <c r="X925" s="1"/>
      <c r="Y925" s="1"/>
      <c r="Z925" s="1"/>
    </row>
    <row r="927" spans="4:26" x14ac:dyDescent="0.25">
      <c r="D927" s="16"/>
      <c r="Q927" s="16"/>
    </row>
    <row r="928" spans="4:26" x14ac:dyDescent="0.25">
      <c r="D928" s="17"/>
      <c r="Q928" s="17"/>
      <c r="T928" s="1"/>
      <c r="X928" s="1"/>
      <c r="Y928" s="1"/>
      <c r="Z928" s="1"/>
    </row>
    <row r="930" spans="4:26" x14ac:dyDescent="0.25">
      <c r="D930" s="16"/>
      <c r="Q930" s="16"/>
    </row>
    <row r="931" spans="4:26" x14ac:dyDescent="0.25">
      <c r="D931" s="17"/>
      <c r="Q931" s="17"/>
      <c r="T931" s="1"/>
      <c r="X931" s="1"/>
      <c r="Y931" s="1"/>
      <c r="Z931" s="1"/>
    </row>
    <row r="933" spans="4:26" x14ac:dyDescent="0.25">
      <c r="D933" s="16"/>
      <c r="Q933" s="16"/>
    </row>
    <row r="934" spans="4:26" x14ac:dyDescent="0.25">
      <c r="D934" s="17"/>
      <c r="Q934" s="17"/>
      <c r="T934" s="1"/>
      <c r="X934" s="1"/>
      <c r="Y934" s="1"/>
      <c r="Z934" s="1"/>
    </row>
    <row r="936" spans="4:26" x14ac:dyDescent="0.25">
      <c r="D936" s="16"/>
      <c r="Q936" s="16"/>
    </row>
    <row r="937" spans="4:26" x14ac:dyDescent="0.25">
      <c r="D937" s="17"/>
      <c r="Q937" s="17"/>
      <c r="T937" s="1"/>
      <c r="X937" s="1"/>
      <c r="Y937" s="1"/>
      <c r="Z937" s="1"/>
    </row>
    <row r="938" spans="4:26" x14ac:dyDescent="0.25">
      <c r="D938" s="17"/>
      <c r="Q938" s="17"/>
      <c r="T938" s="1"/>
      <c r="X938" s="1"/>
      <c r="Y938" s="1"/>
      <c r="Z938" s="1"/>
    </row>
    <row r="939" spans="4:26" x14ac:dyDescent="0.25">
      <c r="D939" s="16"/>
      <c r="Q939" s="16"/>
    </row>
    <row r="940" spans="4:26" x14ac:dyDescent="0.25">
      <c r="D940" s="16"/>
      <c r="Q940" s="16"/>
    </row>
    <row r="941" spans="4:26" x14ac:dyDescent="0.25">
      <c r="D941" s="16"/>
      <c r="Q941" s="16"/>
      <c r="T941" s="1"/>
      <c r="X941" s="1"/>
      <c r="Y941" s="1"/>
      <c r="Z941" s="1"/>
    </row>
    <row r="942" spans="4:26" x14ac:dyDescent="0.25">
      <c r="D942" s="16"/>
      <c r="Q942" s="16"/>
      <c r="T942" s="1"/>
      <c r="X942" s="1"/>
      <c r="Y942" s="1"/>
      <c r="Z942" s="1"/>
    </row>
    <row r="945" spans="4:26" x14ac:dyDescent="0.25">
      <c r="D945" s="16"/>
      <c r="Q945" s="16"/>
      <c r="T945" s="1"/>
      <c r="X945" s="1"/>
      <c r="Y945" s="1"/>
      <c r="Z945" s="1"/>
    </row>
    <row r="946" spans="4:26" x14ac:dyDescent="0.25">
      <c r="D946" s="17"/>
      <c r="Q946" s="17"/>
      <c r="T946" s="1"/>
      <c r="X946" s="1"/>
      <c r="Y946" s="1"/>
      <c r="Z946" s="1"/>
    </row>
    <row r="948" spans="4:26" x14ac:dyDescent="0.25">
      <c r="D948" s="16"/>
      <c r="Q948" s="16"/>
    </row>
    <row r="949" spans="4:26" x14ac:dyDescent="0.25">
      <c r="D949" s="17"/>
      <c r="Q949" s="17"/>
      <c r="T949" s="1"/>
      <c r="X949" s="1"/>
      <c r="Y949" s="1"/>
      <c r="Z949" s="1"/>
    </row>
    <row r="950" spans="4:26" x14ac:dyDescent="0.25">
      <c r="D950" s="17"/>
      <c r="Q950" s="17"/>
      <c r="T950" s="1"/>
      <c r="X950" s="1"/>
      <c r="Y950" s="1"/>
      <c r="Z950" s="1"/>
    </row>
    <row r="951" spans="4:26" x14ac:dyDescent="0.25">
      <c r="D951" s="16"/>
      <c r="Q951" s="16"/>
    </row>
    <row r="953" spans="4:26" x14ac:dyDescent="0.25">
      <c r="D953" s="17"/>
      <c r="Q953" s="17"/>
      <c r="T953" s="1"/>
      <c r="X953" s="1"/>
      <c r="Y953" s="1"/>
      <c r="Z953" s="1"/>
    </row>
    <row r="954" spans="4:26" x14ac:dyDescent="0.25">
      <c r="D954" s="16"/>
      <c r="Q954" s="16"/>
    </row>
    <row r="956" spans="4:26" x14ac:dyDescent="0.25">
      <c r="D956" s="17"/>
      <c r="Q956" s="17"/>
      <c r="T956" s="1"/>
      <c r="X956" s="1"/>
      <c r="Y956" s="1"/>
      <c r="Z956" s="1"/>
    </row>
    <row r="957" spans="4:26" x14ac:dyDescent="0.25">
      <c r="D957" s="16"/>
      <c r="Q957" s="16"/>
      <c r="T957" s="1"/>
      <c r="X957" s="1"/>
      <c r="Y957" s="1"/>
      <c r="Z957" s="1"/>
    </row>
    <row r="958" spans="4:26" x14ac:dyDescent="0.25">
      <c r="D958" s="17"/>
      <c r="Q958" s="17"/>
      <c r="T958" s="1"/>
      <c r="X958" s="1"/>
      <c r="Y958" s="1"/>
      <c r="Z958" s="1"/>
    </row>
    <row r="960" spans="4:26" x14ac:dyDescent="0.25">
      <c r="D960" s="16"/>
      <c r="Q960" s="16"/>
    </row>
    <row r="961" spans="4:26" x14ac:dyDescent="0.25">
      <c r="D961" s="17"/>
      <c r="Q961" s="16"/>
      <c r="T961" s="1"/>
      <c r="X961" s="1"/>
      <c r="Y961" s="1"/>
      <c r="Z961" s="1"/>
    </row>
    <row r="962" spans="4:26" x14ac:dyDescent="0.25">
      <c r="D962" s="17"/>
      <c r="Q962" s="17"/>
      <c r="T962" s="1"/>
      <c r="X962" s="1"/>
      <c r="Y962" s="1"/>
      <c r="Z962" s="1"/>
    </row>
    <row r="963" spans="4:26" x14ac:dyDescent="0.25">
      <c r="D963" s="16"/>
      <c r="Q963" s="16"/>
    </row>
    <row r="964" spans="4:26" x14ac:dyDescent="0.25">
      <c r="D964" s="16"/>
      <c r="Q964" s="16"/>
    </row>
    <row r="965" spans="4:26" x14ac:dyDescent="0.25">
      <c r="D965" s="17"/>
      <c r="Q965" s="17"/>
      <c r="T965" s="1"/>
      <c r="X965" s="1"/>
      <c r="Y965" s="1"/>
      <c r="Z965" s="1"/>
    </row>
    <row r="966" spans="4:26" x14ac:dyDescent="0.25">
      <c r="D966" s="16"/>
      <c r="Q966" s="16"/>
      <c r="T966" s="1"/>
      <c r="X966" s="1"/>
      <c r="Y966" s="1"/>
      <c r="Z966" s="1"/>
    </row>
    <row r="967" spans="4:26" x14ac:dyDescent="0.25">
      <c r="D967" s="16"/>
      <c r="Q967" s="16"/>
    </row>
    <row r="969" spans="4:26" x14ac:dyDescent="0.25">
      <c r="D969" s="16"/>
      <c r="Q969" s="16"/>
      <c r="T969" s="1"/>
      <c r="X969" s="1"/>
      <c r="Y969" s="1"/>
      <c r="Z969" s="1"/>
    </row>
    <row r="970" spans="4:26" x14ac:dyDescent="0.25">
      <c r="D970" s="16"/>
      <c r="Q970" s="16"/>
      <c r="T970" s="1"/>
      <c r="X970" s="1"/>
      <c r="Y970" s="1"/>
      <c r="Z970" s="1"/>
    </row>
    <row r="971" spans="4:26" x14ac:dyDescent="0.25">
      <c r="Q971" s="16"/>
    </row>
    <row r="972" spans="4:26" x14ac:dyDescent="0.25">
      <c r="D972" s="16"/>
      <c r="Q972" s="16"/>
    </row>
    <row r="973" spans="4:26" x14ac:dyDescent="0.25">
      <c r="D973" s="17"/>
      <c r="Q973" s="17"/>
      <c r="T973" s="1"/>
      <c r="X973" s="1"/>
      <c r="Y973" s="1"/>
      <c r="Z973" s="1"/>
    </row>
    <row r="974" spans="4:26" x14ac:dyDescent="0.25">
      <c r="D974" s="16"/>
      <c r="Q974" s="16"/>
      <c r="T974" s="1"/>
      <c r="X974" s="1"/>
      <c r="Y974" s="1"/>
      <c r="Z974" s="1"/>
    </row>
    <row r="975" spans="4:26" x14ac:dyDescent="0.25">
      <c r="D975" s="16"/>
      <c r="Q975" s="16"/>
    </row>
    <row r="976" spans="4:26" x14ac:dyDescent="0.25">
      <c r="Q976" s="16"/>
    </row>
    <row r="977" spans="4:26" x14ac:dyDescent="0.25">
      <c r="D977" s="17"/>
      <c r="Q977" s="17"/>
      <c r="T977" s="1"/>
      <c r="X977" s="1"/>
      <c r="Y977" s="1"/>
      <c r="Z977" s="1"/>
    </row>
    <row r="978" spans="4:26" x14ac:dyDescent="0.25">
      <c r="D978" s="16"/>
      <c r="Q978" s="16"/>
      <c r="T978" s="1"/>
      <c r="X978" s="1"/>
      <c r="Y978" s="1"/>
      <c r="Z978" s="1"/>
    </row>
    <row r="979" spans="4:26" x14ac:dyDescent="0.25">
      <c r="D979" s="16"/>
      <c r="Q979" s="16"/>
    </row>
    <row r="980" spans="4:26" x14ac:dyDescent="0.25">
      <c r="Q980" s="16"/>
    </row>
    <row r="981" spans="4:26" x14ac:dyDescent="0.25">
      <c r="D981" s="16"/>
      <c r="Q981" s="16"/>
      <c r="T981" s="1"/>
      <c r="X981" s="1"/>
      <c r="Y981" s="1"/>
      <c r="Z981" s="1"/>
    </row>
    <row r="982" spans="4:26" x14ac:dyDescent="0.25">
      <c r="D982" s="17"/>
      <c r="Q982" s="17"/>
      <c r="T982" s="1"/>
      <c r="X982" s="1"/>
      <c r="Y982" s="1"/>
      <c r="Z982" s="1"/>
    </row>
    <row r="983" spans="4:26" x14ac:dyDescent="0.25">
      <c r="D983" s="16"/>
      <c r="Q983" s="16"/>
    </row>
    <row r="984" spans="4:26" x14ac:dyDescent="0.25">
      <c r="D984" s="16"/>
      <c r="Q984" s="16"/>
    </row>
    <row r="985" spans="4:26" x14ac:dyDescent="0.25">
      <c r="D985" s="17"/>
      <c r="Q985" s="17"/>
      <c r="T985" s="1"/>
      <c r="X985" s="1"/>
      <c r="Y985" s="1"/>
      <c r="Z985" s="1"/>
    </row>
    <row r="986" spans="4:26" x14ac:dyDescent="0.25">
      <c r="D986" s="17"/>
      <c r="Q986" s="17"/>
      <c r="T986" s="1"/>
      <c r="X986" s="1"/>
      <c r="Y986" s="1"/>
      <c r="Z986" s="1"/>
    </row>
    <row r="987" spans="4:26" x14ac:dyDescent="0.25">
      <c r="D987" s="16"/>
      <c r="Q987" s="16"/>
    </row>
    <row r="989" spans="4:26" x14ac:dyDescent="0.25">
      <c r="D989" s="17"/>
      <c r="Q989" s="17"/>
      <c r="T989" s="1"/>
      <c r="X989" s="1"/>
      <c r="Y989" s="1"/>
      <c r="Z989" s="1"/>
    </row>
    <row r="990" spans="4:26" x14ac:dyDescent="0.25">
      <c r="D990" s="16"/>
      <c r="Q990" s="16"/>
    </row>
    <row r="992" spans="4:26" x14ac:dyDescent="0.25">
      <c r="D992" s="17"/>
      <c r="Q992" s="17"/>
      <c r="T992" s="1"/>
      <c r="X992" s="1"/>
      <c r="Y992" s="1"/>
      <c r="Z992" s="1"/>
    </row>
    <row r="993" spans="4:26" x14ac:dyDescent="0.25">
      <c r="D993" s="16"/>
      <c r="Q993" s="16"/>
    </row>
    <row r="995" spans="4:26" x14ac:dyDescent="0.25">
      <c r="D995" s="17"/>
      <c r="Q995" s="17"/>
      <c r="T995" s="1"/>
      <c r="X995" s="1"/>
      <c r="Y995" s="1"/>
      <c r="Z995" s="1"/>
    </row>
    <row r="996" spans="4:26" x14ac:dyDescent="0.25">
      <c r="D996" s="16"/>
      <c r="Q996" s="16"/>
    </row>
    <row r="998" spans="4:26" x14ac:dyDescent="0.25">
      <c r="D998" s="17"/>
      <c r="Q998" s="17"/>
      <c r="T998" s="1"/>
      <c r="X998" s="1"/>
      <c r="Y998" s="1"/>
      <c r="Z998" s="1"/>
    </row>
    <row r="999" spans="4:26" x14ac:dyDescent="0.25">
      <c r="D999" s="16"/>
      <c r="Q999" s="16"/>
    </row>
    <row r="1000" spans="4:26" x14ac:dyDescent="0.25">
      <c r="Q1000" s="16"/>
    </row>
    <row r="1001" spans="4:26" x14ac:dyDescent="0.25">
      <c r="D1001" s="17"/>
      <c r="Q1001" s="17"/>
      <c r="T1001" s="1"/>
      <c r="X1001" s="1"/>
      <c r="Y1001" s="1"/>
      <c r="Z1001" s="1"/>
    </row>
    <row r="1002" spans="4:26" x14ac:dyDescent="0.25">
      <c r="D1002" s="16"/>
      <c r="Q1002" s="16"/>
    </row>
    <row r="1003" spans="4:26" x14ac:dyDescent="0.25">
      <c r="D1003" s="16"/>
      <c r="Q1003" s="16"/>
    </row>
    <row r="1004" spans="4:26" x14ac:dyDescent="0.25">
      <c r="D1004" s="17"/>
      <c r="Q1004" s="17"/>
      <c r="T1004" s="1"/>
      <c r="X1004" s="1"/>
      <c r="Y1004" s="1"/>
      <c r="Z1004" s="1"/>
    </row>
    <row r="1005" spans="4:26" x14ac:dyDescent="0.25">
      <c r="D1005" s="16"/>
      <c r="Q1005" s="16"/>
    </row>
    <row r="1006" spans="4:26" x14ac:dyDescent="0.25">
      <c r="D1006" s="16"/>
      <c r="Q1006" s="16"/>
    </row>
    <row r="1007" spans="4:26" x14ac:dyDescent="0.25">
      <c r="D1007" s="17"/>
      <c r="Q1007" s="17"/>
      <c r="T1007" s="1"/>
      <c r="X1007" s="1"/>
      <c r="Y1007" s="1"/>
      <c r="Z1007" s="1"/>
    </row>
    <row r="1008" spans="4:26" x14ac:dyDescent="0.25">
      <c r="D1008" s="16"/>
      <c r="Q1008" s="16"/>
    </row>
    <row r="1009" spans="4:26" x14ac:dyDescent="0.25">
      <c r="D1009" s="16"/>
      <c r="Q1009" s="16"/>
    </row>
    <row r="1010" spans="4:26" x14ac:dyDescent="0.25">
      <c r="D1010" s="17"/>
      <c r="Q1010" s="17"/>
      <c r="T1010" s="1"/>
      <c r="X1010" s="1"/>
      <c r="Y1010" s="1"/>
      <c r="Z1010" s="1"/>
    </row>
    <row r="1011" spans="4:26" x14ac:dyDescent="0.25">
      <c r="D1011" s="16"/>
      <c r="Q1011" s="16"/>
      <c r="T1011" s="1"/>
      <c r="X1011" s="1"/>
      <c r="Y1011" s="1"/>
      <c r="Z1011" s="1"/>
    </row>
    <row r="1012" spans="4:26" x14ac:dyDescent="0.25">
      <c r="D1012" s="16"/>
      <c r="Q1012" s="16"/>
    </row>
    <row r="1014" spans="4:26" x14ac:dyDescent="0.25">
      <c r="D1014" s="16"/>
      <c r="Q1014" s="16"/>
      <c r="T1014" s="1"/>
      <c r="X1014" s="1"/>
      <c r="Y1014" s="1"/>
      <c r="Z1014" s="1"/>
    </row>
    <row r="1015" spans="4:26" x14ac:dyDescent="0.25">
      <c r="D1015" s="16"/>
      <c r="Q1015" s="16"/>
    </row>
    <row r="1017" spans="4:26" x14ac:dyDescent="0.25">
      <c r="D1017" s="16"/>
      <c r="Q1017" s="16"/>
      <c r="T1017" s="1"/>
      <c r="X1017" s="1"/>
      <c r="Y1017" s="1"/>
      <c r="Z1017" s="1"/>
    </row>
    <row r="1018" spans="4:26" x14ac:dyDescent="0.25">
      <c r="D1018" s="16"/>
      <c r="Q1018" s="16"/>
    </row>
    <row r="1020" spans="4:26" x14ac:dyDescent="0.25">
      <c r="D1020" s="16"/>
      <c r="Q1020" s="16"/>
      <c r="T1020" s="1"/>
      <c r="X1020" s="1"/>
      <c r="Y1020" s="1"/>
      <c r="Z1020" s="1"/>
    </row>
    <row r="1021" spans="4:26" x14ac:dyDescent="0.25">
      <c r="D1021" s="16"/>
      <c r="Q1021" s="16"/>
      <c r="T1021" s="1"/>
      <c r="X1021" s="1"/>
      <c r="Y1021" s="1"/>
      <c r="Z1021" s="1"/>
    </row>
    <row r="1022" spans="4:26" x14ac:dyDescent="0.25">
      <c r="Q1022" s="16"/>
    </row>
    <row r="1023" spans="4:26" x14ac:dyDescent="0.25">
      <c r="D1023" s="16"/>
      <c r="Q1023" s="16"/>
    </row>
    <row r="1024" spans="4:26" x14ac:dyDescent="0.25">
      <c r="D1024" s="17"/>
      <c r="Q1024" s="17"/>
      <c r="T1024" s="1"/>
      <c r="X1024" s="1"/>
      <c r="Y1024" s="1"/>
      <c r="Z1024" s="1"/>
    </row>
    <row r="1025" spans="4:26" x14ac:dyDescent="0.25">
      <c r="D1025" s="16"/>
      <c r="Q1025" s="16"/>
    </row>
    <row r="1026" spans="4:26" x14ac:dyDescent="0.25">
      <c r="D1026" s="16"/>
      <c r="Q1026" s="16"/>
    </row>
    <row r="1027" spans="4:26" x14ac:dyDescent="0.25">
      <c r="D1027" s="17"/>
      <c r="Q1027" s="17"/>
      <c r="T1027" s="1"/>
      <c r="X1027" s="1"/>
      <c r="Y1027" s="1"/>
      <c r="Z1027" s="1"/>
    </row>
    <row r="1029" spans="4:26" x14ac:dyDescent="0.25">
      <c r="D1029" s="16"/>
      <c r="Q1029" s="16"/>
    </row>
    <row r="1030" spans="4:26" x14ac:dyDescent="0.25">
      <c r="D1030" s="17"/>
      <c r="Q1030" s="16"/>
      <c r="T1030" s="1"/>
      <c r="X1030" s="1"/>
      <c r="Y1030" s="1"/>
      <c r="Z1030" s="1"/>
    </row>
    <row r="1031" spans="4:26" x14ac:dyDescent="0.25">
      <c r="Q1031" s="16"/>
    </row>
    <row r="1032" spans="4:26" x14ac:dyDescent="0.25">
      <c r="D1032" s="16"/>
      <c r="Q1032" s="16"/>
    </row>
    <row r="1033" spans="4:26" x14ac:dyDescent="0.25">
      <c r="D1033" s="17"/>
      <c r="Q1033" s="16"/>
      <c r="T1033" s="1"/>
      <c r="X1033" s="1"/>
      <c r="Y1033" s="1"/>
      <c r="Z1033" s="1"/>
    </row>
    <row r="1034" spans="4:26" x14ac:dyDescent="0.25">
      <c r="Q1034" s="16"/>
    </row>
    <row r="1035" spans="4:26" x14ac:dyDescent="0.25">
      <c r="D1035" s="16"/>
      <c r="Q1035" s="16"/>
    </row>
    <row r="1036" spans="4:26" x14ac:dyDescent="0.25">
      <c r="D1036" s="17"/>
      <c r="Q1036" s="16"/>
      <c r="T1036" s="1"/>
      <c r="X1036" s="1"/>
      <c r="Y1036" s="1"/>
      <c r="Z1036" s="1"/>
    </row>
    <row r="1038" spans="4:26" x14ac:dyDescent="0.25">
      <c r="D1038" s="16"/>
      <c r="Q1038" s="16"/>
    </row>
    <row r="1039" spans="4:26" x14ac:dyDescent="0.25">
      <c r="D1039" s="16"/>
      <c r="Q1039" s="16"/>
      <c r="T1039" s="1"/>
      <c r="X1039" s="1"/>
      <c r="Y1039" s="1"/>
      <c r="Z1039" s="1"/>
    </row>
    <row r="1040" spans="4:26" x14ac:dyDescent="0.25">
      <c r="D1040" s="17"/>
      <c r="Q1040" s="16"/>
      <c r="T1040" s="1"/>
      <c r="X1040" s="1"/>
      <c r="Y1040" s="1"/>
      <c r="Z1040" s="1"/>
    </row>
    <row r="1041" spans="4:26" x14ac:dyDescent="0.25">
      <c r="D1041" s="16"/>
      <c r="Q1041" s="16"/>
    </row>
    <row r="1043" spans="4:26" x14ac:dyDescent="0.25">
      <c r="D1043" s="17"/>
      <c r="Q1043" s="17"/>
      <c r="T1043" s="1"/>
      <c r="X1043" s="1"/>
      <c r="Y1043" s="1"/>
      <c r="Z1043" s="1"/>
    </row>
    <row r="1044" spans="4:26" x14ac:dyDescent="0.25">
      <c r="D1044" s="16"/>
      <c r="Q1044" s="16"/>
    </row>
    <row r="1045" spans="4:26" x14ac:dyDescent="0.25">
      <c r="Q1045" s="16"/>
    </row>
    <row r="1046" spans="4:26" x14ac:dyDescent="0.25">
      <c r="D1046" s="17"/>
      <c r="Q1046" s="16"/>
      <c r="T1046" s="1"/>
      <c r="X1046" s="1"/>
      <c r="Y1046" s="1"/>
      <c r="Z1046" s="1"/>
    </row>
    <row r="1047" spans="4:26" x14ac:dyDescent="0.25">
      <c r="D1047" s="16"/>
      <c r="Q1047" s="16"/>
      <c r="T1047" s="1"/>
      <c r="X1047" s="1"/>
      <c r="Y1047" s="1"/>
      <c r="Z1047" s="1"/>
    </row>
    <row r="1048" spans="4:26" x14ac:dyDescent="0.25">
      <c r="D1048" s="17"/>
      <c r="Q1048" s="16"/>
      <c r="T1048" s="1"/>
      <c r="X1048" s="1"/>
      <c r="Y1048" s="1"/>
      <c r="Z1048" s="1"/>
    </row>
    <row r="1049" spans="4:26" x14ac:dyDescent="0.25">
      <c r="Q1049" s="16"/>
    </row>
    <row r="1050" spans="4:26" x14ac:dyDescent="0.25">
      <c r="D1050" s="16"/>
      <c r="Q1050" s="16"/>
    </row>
    <row r="1051" spans="4:26" x14ac:dyDescent="0.25">
      <c r="D1051" s="17"/>
      <c r="Q1051" s="16"/>
      <c r="T1051" s="1"/>
      <c r="X1051" s="1"/>
      <c r="Y1051" s="1"/>
      <c r="Z1051" s="1"/>
    </row>
    <row r="1052" spans="4:26" x14ac:dyDescent="0.25">
      <c r="Q1052" s="16"/>
    </row>
    <row r="1053" spans="4:26" x14ac:dyDescent="0.25">
      <c r="D1053" s="16"/>
      <c r="Q1053" s="16"/>
    </row>
    <row r="1054" spans="4:26" x14ac:dyDescent="0.25">
      <c r="D1054" s="17"/>
      <c r="Q1054" s="16"/>
      <c r="T1054" s="1"/>
      <c r="X1054" s="1"/>
      <c r="Y1054" s="1"/>
      <c r="Z1054" s="1"/>
    </row>
    <row r="1055" spans="4:26" x14ac:dyDescent="0.25">
      <c r="Q1055" s="16"/>
    </row>
    <row r="1056" spans="4:26" x14ac:dyDescent="0.25">
      <c r="D1056" s="16"/>
      <c r="Q1056" s="16"/>
    </row>
    <row r="1057" spans="4:26" x14ac:dyDescent="0.25">
      <c r="D1057" s="17"/>
      <c r="Q1057" s="17"/>
      <c r="T1057" s="1"/>
      <c r="X1057" s="1"/>
      <c r="Y1057" s="1"/>
      <c r="Z1057" s="1"/>
    </row>
    <row r="1058" spans="4:26" x14ac:dyDescent="0.25">
      <c r="D1058" s="16"/>
      <c r="Q1058" s="16"/>
    </row>
    <row r="1059" spans="4:26" x14ac:dyDescent="0.25">
      <c r="D1059" s="16"/>
      <c r="Q1059" s="16"/>
    </row>
    <row r="1060" spans="4:26" x14ac:dyDescent="0.25">
      <c r="D1060" s="17"/>
      <c r="Q1060" s="16"/>
      <c r="T1060" s="1"/>
      <c r="X1060" s="1"/>
      <c r="Y1060" s="1"/>
      <c r="Z1060" s="1"/>
    </row>
    <row r="1061" spans="4:26" x14ac:dyDescent="0.25">
      <c r="Q1061" s="16"/>
    </row>
    <row r="1062" spans="4:26" x14ac:dyDescent="0.25">
      <c r="D1062" s="16"/>
      <c r="Q1062" s="16"/>
    </row>
    <row r="1063" spans="4:26" x14ac:dyDescent="0.25">
      <c r="D1063" s="17"/>
      <c r="Q1063" s="16"/>
      <c r="T1063" s="1"/>
      <c r="X1063" s="1"/>
      <c r="Y1063" s="1"/>
      <c r="Z1063" s="1"/>
    </row>
    <row r="1064" spans="4:26" x14ac:dyDescent="0.25">
      <c r="Q1064" s="16"/>
    </row>
    <row r="1065" spans="4:26" x14ac:dyDescent="0.25">
      <c r="D1065" s="16"/>
      <c r="Q1065" s="16"/>
    </row>
    <row r="1066" spans="4:26" x14ac:dyDescent="0.25">
      <c r="D1066" s="17"/>
      <c r="Q1066" s="17"/>
      <c r="T1066" s="1"/>
      <c r="X1066" s="1"/>
      <c r="Y1066" s="1"/>
      <c r="Z1066" s="1"/>
    </row>
    <row r="1067" spans="4:26" x14ac:dyDescent="0.25">
      <c r="D1067" s="16"/>
      <c r="Q1067" s="16"/>
    </row>
    <row r="1068" spans="4:26" x14ac:dyDescent="0.25">
      <c r="D1068" s="16"/>
      <c r="Q1068" s="16"/>
    </row>
    <row r="1069" spans="4:26" x14ac:dyDescent="0.25">
      <c r="D1069" s="17"/>
      <c r="Q1069" s="17"/>
      <c r="T1069" s="1"/>
      <c r="X1069" s="1"/>
      <c r="Y1069" s="1"/>
      <c r="Z1069" s="1"/>
    </row>
    <row r="1070" spans="4:26" x14ac:dyDescent="0.25">
      <c r="D1070" s="16"/>
      <c r="Q1070" s="16"/>
    </row>
    <row r="1071" spans="4:26" x14ac:dyDescent="0.25">
      <c r="D1071" s="16"/>
      <c r="Q1071" s="16"/>
    </row>
    <row r="1072" spans="4:26" x14ac:dyDescent="0.25">
      <c r="D1072" s="17"/>
      <c r="Q1072" s="17"/>
      <c r="T1072" s="1"/>
      <c r="X1072" s="1"/>
      <c r="Y1072" s="1"/>
      <c r="Z1072" s="1"/>
    </row>
    <row r="1073" spans="4:26" x14ac:dyDescent="0.25">
      <c r="D1073" s="16"/>
      <c r="Q1073" s="16"/>
    </row>
    <row r="1074" spans="4:26" x14ac:dyDescent="0.25">
      <c r="D1074" s="16"/>
      <c r="Q1074" s="16"/>
    </row>
    <row r="1075" spans="4:26" x14ac:dyDescent="0.25">
      <c r="D1075" s="17"/>
      <c r="Q1075" s="17"/>
      <c r="T1075" s="1"/>
      <c r="X1075" s="1"/>
      <c r="Y1075" s="1"/>
      <c r="Z1075" s="1"/>
    </row>
    <row r="1077" spans="4:26" x14ac:dyDescent="0.25">
      <c r="D1077" s="16"/>
      <c r="Q1077" s="16"/>
    </row>
    <row r="1078" spans="4:26" x14ac:dyDescent="0.25">
      <c r="D1078" s="17"/>
      <c r="Q1078" s="17"/>
      <c r="T1078" s="1"/>
      <c r="X1078" s="1"/>
      <c r="Y1078" s="1"/>
      <c r="Z1078" s="1"/>
    </row>
    <row r="1080" spans="4:26" x14ac:dyDescent="0.25">
      <c r="D1080" s="16"/>
      <c r="Q1080" s="16"/>
    </row>
    <row r="1081" spans="4:26" x14ac:dyDescent="0.25">
      <c r="D1081" s="17"/>
      <c r="Q1081" s="16"/>
      <c r="T1081" s="1"/>
      <c r="X1081" s="1"/>
      <c r="Y1081" s="1"/>
      <c r="Z1081" s="1"/>
    </row>
    <row r="1082" spans="4:26" x14ac:dyDescent="0.25">
      <c r="Q1082" s="16"/>
    </row>
    <row r="1083" spans="4:26" x14ac:dyDescent="0.25">
      <c r="D1083" s="16"/>
      <c r="Q1083" s="16"/>
    </row>
    <row r="1084" spans="4:26" x14ac:dyDescent="0.25">
      <c r="D1084" s="17"/>
      <c r="Q1084" s="17"/>
      <c r="T1084" s="1"/>
      <c r="X1084" s="1"/>
      <c r="Y1084" s="1"/>
      <c r="Z1084" s="1"/>
    </row>
    <row r="1085" spans="4:26" x14ac:dyDescent="0.25">
      <c r="D1085" s="16"/>
      <c r="Q1085" s="16"/>
    </row>
    <row r="1086" spans="4:26" x14ac:dyDescent="0.25">
      <c r="D1086" s="16"/>
      <c r="Q1086" s="16"/>
    </row>
    <row r="1087" spans="4:26" x14ac:dyDescent="0.25">
      <c r="D1087" s="17"/>
      <c r="Q1087" s="17"/>
      <c r="T1087" s="1"/>
      <c r="X1087" s="1"/>
      <c r="Y1087" s="1"/>
      <c r="Z1087" s="1"/>
    </row>
    <row r="1088" spans="4:26" x14ac:dyDescent="0.25">
      <c r="D1088" s="16"/>
      <c r="Q1088" s="16"/>
    </row>
    <row r="1089" spans="4:26" x14ac:dyDescent="0.25">
      <c r="D1089" s="16"/>
      <c r="Q1089" s="16"/>
    </row>
    <row r="1090" spans="4:26" x14ac:dyDescent="0.25">
      <c r="D1090" s="17"/>
      <c r="Q1090" s="16"/>
      <c r="T1090" s="1"/>
      <c r="X1090" s="1"/>
      <c r="Y1090" s="1"/>
      <c r="Z1090" s="1"/>
    </row>
    <row r="1092" spans="4:26" x14ac:dyDescent="0.25">
      <c r="D1092" s="16"/>
      <c r="Q1092" s="16"/>
    </row>
    <row r="1093" spans="4:26" x14ac:dyDescent="0.25">
      <c r="D1093" s="16"/>
      <c r="Q1093" s="16"/>
      <c r="T1093" s="1"/>
      <c r="X1093" s="1"/>
      <c r="Y1093" s="1"/>
      <c r="Z1093" s="1"/>
    </row>
    <row r="1094" spans="4:26" x14ac:dyDescent="0.25">
      <c r="Q1094" s="16"/>
    </row>
    <row r="1095" spans="4:26" x14ac:dyDescent="0.25">
      <c r="D1095" s="16"/>
      <c r="Q1095" s="16"/>
    </row>
    <row r="1096" spans="4:26" x14ac:dyDescent="0.25">
      <c r="D1096" s="17"/>
      <c r="Q1096" s="17"/>
      <c r="T1096" s="1"/>
      <c r="X1096" s="1"/>
      <c r="Y1096" s="1"/>
      <c r="Z1096" s="1"/>
    </row>
    <row r="1098" spans="4:26" x14ac:dyDescent="0.25">
      <c r="D1098" s="16"/>
      <c r="Q1098" s="16"/>
    </row>
    <row r="1099" spans="4:26" x14ac:dyDescent="0.25">
      <c r="D1099" s="17"/>
      <c r="Q1099" s="17"/>
      <c r="T1099" s="1"/>
      <c r="X1099" s="1"/>
      <c r="Y1099" s="1"/>
      <c r="Z1099" s="1"/>
    </row>
    <row r="1100" spans="4:26" x14ac:dyDescent="0.25">
      <c r="D1100" s="17"/>
      <c r="Q1100" s="17"/>
      <c r="T1100" s="1"/>
      <c r="X1100" s="1"/>
      <c r="Y1100" s="1"/>
      <c r="Z1100" s="1"/>
    </row>
    <row r="1101" spans="4:26" x14ac:dyDescent="0.25">
      <c r="D1101" s="16"/>
      <c r="Q1101" s="16"/>
    </row>
    <row r="1102" spans="4:26" x14ac:dyDescent="0.25">
      <c r="Q1102" s="16"/>
    </row>
    <row r="1103" spans="4:26" x14ac:dyDescent="0.25">
      <c r="D1103" s="17"/>
      <c r="Q1103" s="17"/>
      <c r="T1103" s="1"/>
      <c r="X1103" s="1"/>
      <c r="Y1103" s="1"/>
      <c r="Z1103" s="1"/>
    </row>
    <row r="1104" spans="4:26" x14ac:dyDescent="0.25">
      <c r="D1104" s="16"/>
      <c r="Q1104" s="16"/>
    </row>
    <row r="1105" spans="4:26" x14ac:dyDescent="0.25">
      <c r="D1105" s="16"/>
      <c r="Q1105" s="16"/>
    </row>
    <row r="1106" spans="4:26" x14ac:dyDescent="0.25">
      <c r="D1106" s="17"/>
      <c r="Q1106" s="17"/>
      <c r="T1106" s="1"/>
      <c r="X1106" s="1"/>
      <c r="Y1106" s="1"/>
      <c r="Z1106" s="1"/>
    </row>
    <row r="1107" spans="4:26" x14ac:dyDescent="0.25">
      <c r="D1107" s="16"/>
      <c r="Q1107" s="16"/>
    </row>
    <row r="1108" spans="4:26" x14ac:dyDescent="0.25">
      <c r="D1108" s="16"/>
      <c r="Q1108" s="16"/>
    </row>
    <row r="1109" spans="4:26" x14ac:dyDescent="0.25">
      <c r="D1109" s="17"/>
      <c r="Q1109" s="16"/>
      <c r="T1109" s="1"/>
      <c r="X1109" s="1"/>
      <c r="Y1109" s="1"/>
      <c r="Z1109" s="1"/>
    </row>
    <row r="1110" spans="4:26" x14ac:dyDescent="0.25">
      <c r="D1110" s="16"/>
      <c r="Q1110" s="16"/>
    </row>
    <row r="1112" spans="4:26" x14ac:dyDescent="0.25">
      <c r="D1112" s="16"/>
      <c r="Q1112" s="16"/>
      <c r="T1112" s="1"/>
      <c r="X1112" s="1"/>
      <c r="Y1112" s="1"/>
      <c r="Z1112" s="1"/>
    </row>
    <row r="1113" spans="4:26" x14ac:dyDescent="0.25">
      <c r="D1113" s="16"/>
      <c r="Q1113" s="16"/>
      <c r="T1113" s="1"/>
      <c r="X1113" s="1"/>
      <c r="Y1113" s="1"/>
      <c r="Z1113" s="1"/>
    </row>
    <row r="1115" spans="4:26" x14ac:dyDescent="0.25">
      <c r="D1115" s="16"/>
      <c r="Q1115" s="16"/>
    </row>
    <row r="1116" spans="4:26" x14ac:dyDescent="0.25">
      <c r="D1116" s="16"/>
      <c r="Q1116" s="16"/>
      <c r="T1116" s="1"/>
      <c r="X1116" s="1"/>
      <c r="Y1116" s="1"/>
      <c r="Z1116" s="1"/>
    </row>
    <row r="1118" spans="4:26" x14ac:dyDescent="0.25">
      <c r="D1118" s="16"/>
      <c r="Q1118" s="16"/>
    </row>
    <row r="1119" spans="4:26" x14ac:dyDescent="0.25">
      <c r="D1119" s="16"/>
      <c r="Q1119" s="16"/>
      <c r="T1119" s="1"/>
      <c r="X1119" s="1"/>
      <c r="Y1119" s="1"/>
      <c r="Z1119" s="1"/>
    </row>
    <row r="1121" spans="4:26" x14ac:dyDescent="0.25">
      <c r="D1121" s="16"/>
      <c r="Q1121" s="16"/>
    </row>
    <row r="1122" spans="4:26" x14ac:dyDescent="0.25">
      <c r="D1122" s="16"/>
      <c r="Q1122" s="16"/>
      <c r="T1122" s="1"/>
      <c r="X1122" s="1"/>
      <c r="Y1122" s="1"/>
      <c r="Z1122" s="1"/>
    </row>
    <row r="1124" spans="4:26" x14ac:dyDescent="0.25">
      <c r="D1124" s="16"/>
      <c r="Q1124" s="16"/>
    </row>
    <row r="1125" spans="4:26" x14ac:dyDescent="0.25">
      <c r="D1125" s="16"/>
      <c r="Q1125" s="16"/>
      <c r="T1125" s="1"/>
      <c r="X1125" s="1"/>
      <c r="Y1125" s="1"/>
      <c r="Z1125" s="1"/>
    </row>
    <row r="1128" spans="4:26" x14ac:dyDescent="0.25">
      <c r="D1128" s="16"/>
      <c r="Q1128" s="16"/>
      <c r="T1128" s="1"/>
      <c r="X1128" s="1"/>
      <c r="Y1128" s="1"/>
      <c r="Z1128" s="1"/>
    </row>
    <row r="1129" spans="4:26" x14ac:dyDescent="0.25">
      <c r="D1129" s="17"/>
      <c r="Q1129" s="16"/>
      <c r="T1129" s="1"/>
      <c r="X1129" s="1"/>
      <c r="Y1129" s="1"/>
      <c r="Z1129" s="1"/>
    </row>
    <row r="1131" spans="4:26" x14ac:dyDescent="0.25">
      <c r="D1131" s="16"/>
      <c r="Q1131" s="16"/>
    </row>
    <row r="1132" spans="4:26" x14ac:dyDescent="0.25">
      <c r="D1132" s="16"/>
      <c r="Q1132" s="16"/>
      <c r="T1132" s="1"/>
      <c r="X1132" s="1"/>
      <c r="Y1132" s="1"/>
      <c r="Z1132" s="1"/>
    </row>
    <row r="1133" spans="4:26" x14ac:dyDescent="0.25">
      <c r="Q1133" s="16"/>
    </row>
    <row r="1134" spans="4:26" x14ac:dyDescent="0.25">
      <c r="D1134" s="16"/>
      <c r="Q1134" s="16"/>
    </row>
    <row r="1135" spans="4:26" x14ac:dyDescent="0.25">
      <c r="D1135" s="17"/>
      <c r="Q1135" s="17"/>
      <c r="T1135" s="1"/>
      <c r="X1135" s="1"/>
      <c r="Y1135" s="1"/>
      <c r="Z1135" s="1"/>
    </row>
    <row r="1136" spans="4:26" x14ac:dyDescent="0.25">
      <c r="D1136" s="16"/>
      <c r="Q1136" s="16"/>
    </row>
    <row r="1137" spans="4:26" x14ac:dyDescent="0.25">
      <c r="D1137" s="16"/>
      <c r="Q1137" s="16"/>
    </row>
    <row r="1138" spans="4:26" x14ac:dyDescent="0.25">
      <c r="D1138" s="17"/>
      <c r="Q1138" s="17"/>
      <c r="T1138" s="1"/>
      <c r="X1138" s="1"/>
      <c r="Y1138" s="1"/>
      <c r="Z1138" s="1"/>
    </row>
    <row r="1139" spans="4:26" x14ac:dyDescent="0.25">
      <c r="D1139" s="16"/>
      <c r="Q1139" s="16"/>
      <c r="T1139" s="1"/>
      <c r="X1139" s="1"/>
      <c r="Y1139" s="1"/>
      <c r="Z1139" s="1"/>
    </row>
    <row r="1140" spans="4:26" x14ac:dyDescent="0.25">
      <c r="D1140" s="16"/>
      <c r="Q1140" s="16"/>
      <c r="T1140" s="1"/>
      <c r="X1140" s="1"/>
      <c r="Y1140" s="1"/>
      <c r="Z1140" s="1"/>
    </row>
    <row r="1141" spans="4:26" x14ac:dyDescent="0.25">
      <c r="D1141" s="17"/>
      <c r="Q1141" s="17"/>
      <c r="T1141" s="1"/>
      <c r="X1141" s="1"/>
      <c r="Y1141" s="1"/>
      <c r="Z1141" s="1"/>
    </row>
    <row r="1142" spans="4:26" x14ac:dyDescent="0.25">
      <c r="D1142" s="16"/>
      <c r="Q1142" s="16"/>
      <c r="T1142" s="1"/>
      <c r="X1142" s="1"/>
      <c r="Y1142" s="1"/>
      <c r="Z1142" s="1"/>
    </row>
    <row r="1143" spans="4:26" x14ac:dyDescent="0.25">
      <c r="D1143" s="16"/>
      <c r="Q1143" s="16"/>
    </row>
    <row r="1144" spans="4:26" x14ac:dyDescent="0.25">
      <c r="Q1144" s="16"/>
    </row>
    <row r="1145" spans="4:26" x14ac:dyDescent="0.25">
      <c r="D1145" s="17"/>
      <c r="Q1145" s="17"/>
      <c r="T1145" s="1"/>
      <c r="X1145" s="1"/>
      <c r="Y1145" s="1"/>
      <c r="Z1145" s="1"/>
    </row>
    <row r="1146" spans="4:26" x14ac:dyDescent="0.25">
      <c r="D1146" s="16"/>
      <c r="Q1146" s="16"/>
    </row>
    <row r="1147" spans="4:26" x14ac:dyDescent="0.25">
      <c r="D1147" s="16"/>
      <c r="Q1147" s="16"/>
    </row>
    <row r="1148" spans="4:26" x14ac:dyDescent="0.25">
      <c r="D1148" s="17"/>
      <c r="Q1148" s="16"/>
      <c r="T1148" s="1"/>
      <c r="X1148" s="1"/>
      <c r="Y1148" s="1"/>
      <c r="Z1148" s="1"/>
    </row>
    <row r="1149" spans="4:26" x14ac:dyDescent="0.25">
      <c r="D1149" s="16"/>
      <c r="Q1149" s="16"/>
      <c r="T1149" s="1"/>
      <c r="X1149" s="1"/>
      <c r="Y1149" s="1"/>
      <c r="Z1149" s="1"/>
    </row>
    <row r="1151" spans="4:26" x14ac:dyDescent="0.25">
      <c r="D1151" s="16"/>
      <c r="Q1151" s="16"/>
    </row>
    <row r="1152" spans="4:26" x14ac:dyDescent="0.25">
      <c r="D1152" s="16"/>
      <c r="Q1152" s="16"/>
      <c r="T1152" s="1"/>
      <c r="X1152" s="1"/>
      <c r="Y1152" s="1"/>
      <c r="Z1152" s="1"/>
    </row>
    <row r="1154" spans="4:26" x14ac:dyDescent="0.25">
      <c r="D1154" s="16"/>
      <c r="Q1154" s="16"/>
    </row>
    <row r="1155" spans="4:26" x14ac:dyDescent="0.25">
      <c r="D1155" s="16"/>
      <c r="Q1155" s="16"/>
      <c r="T1155" s="1"/>
      <c r="X1155" s="1"/>
      <c r="Y1155" s="1"/>
      <c r="Z1155" s="1"/>
    </row>
    <row r="1156" spans="4:26" x14ac:dyDescent="0.25">
      <c r="Q1156" s="16"/>
    </row>
    <row r="1158" spans="4:26" x14ac:dyDescent="0.25">
      <c r="D1158" s="16"/>
      <c r="Q1158" s="16"/>
      <c r="T1158" s="1"/>
      <c r="X1158" s="1"/>
      <c r="Y1158" s="1"/>
      <c r="Z1158" s="1"/>
    </row>
    <row r="1159" spans="4:26" x14ac:dyDescent="0.25">
      <c r="D1159" s="16"/>
      <c r="Q1159" s="16"/>
    </row>
    <row r="1161" spans="4:26" x14ac:dyDescent="0.25">
      <c r="D1161" s="16"/>
      <c r="Q1161" s="16"/>
      <c r="T1161" s="1"/>
      <c r="X1161" s="1"/>
      <c r="Y1161" s="1"/>
      <c r="Z1161" s="1"/>
    </row>
    <row r="1162" spans="4:26" x14ac:dyDescent="0.25">
      <c r="D1162" s="16"/>
      <c r="Q1162" s="16"/>
    </row>
    <row r="1164" spans="4:26" x14ac:dyDescent="0.25">
      <c r="D1164" s="16"/>
      <c r="Q1164" s="16"/>
      <c r="T1164" s="1"/>
      <c r="X1164" s="1"/>
      <c r="Y1164" s="1"/>
      <c r="Z1164" s="1"/>
    </row>
    <row r="1165" spans="4:26" x14ac:dyDescent="0.25">
      <c r="D1165" s="16"/>
      <c r="Q1165" s="16"/>
    </row>
    <row r="1167" spans="4:26" x14ac:dyDescent="0.25">
      <c r="D1167" s="16"/>
      <c r="Q1167" s="16"/>
      <c r="T1167" s="1"/>
      <c r="X1167" s="1"/>
      <c r="Y1167" s="1"/>
      <c r="Z1167" s="1"/>
    </row>
    <row r="1168" spans="4:26" x14ac:dyDescent="0.25">
      <c r="D1168" s="16"/>
      <c r="Q1168" s="16"/>
    </row>
    <row r="1170" spans="4:26" x14ac:dyDescent="0.25">
      <c r="D1170" s="16"/>
      <c r="Q1170" s="16"/>
      <c r="T1170" s="1"/>
      <c r="X1170" s="1"/>
      <c r="Y1170" s="1"/>
      <c r="Z1170" s="1"/>
    </row>
    <row r="1171" spans="4:26" x14ac:dyDescent="0.25">
      <c r="D1171" s="16"/>
      <c r="Q1171" s="16"/>
      <c r="T1171" s="1"/>
      <c r="X1171" s="1"/>
      <c r="Y1171" s="1"/>
      <c r="Z1171" s="1"/>
    </row>
    <row r="1173" spans="4:26" x14ac:dyDescent="0.25">
      <c r="D1173" s="16"/>
      <c r="Q1173" s="16"/>
    </row>
    <row r="1174" spans="4:26" x14ac:dyDescent="0.25">
      <c r="D1174" s="16"/>
      <c r="Q1174" s="16"/>
      <c r="T1174" s="1"/>
      <c r="X1174" s="1"/>
      <c r="Y1174" s="1"/>
      <c r="Z1174" s="1"/>
    </row>
    <row r="1176" spans="4:26" x14ac:dyDescent="0.25">
      <c r="D1176" s="16"/>
      <c r="Q1176" s="16"/>
    </row>
    <row r="1177" spans="4:26" x14ac:dyDescent="0.25">
      <c r="D1177" s="16"/>
      <c r="Q1177" s="16"/>
      <c r="T1177" s="1"/>
      <c r="X1177" s="1"/>
      <c r="Y1177" s="1"/>
      <c r="Z1177" s="1"/>
    </row>
    <row r="1178" spans="4:26" x14ac:dyDescent="0.25">
      <c r="D1178" s="17"/>
      <c r="Q1178" s="17"/>
      <c r="T1178" s="1"/>
      <c r="X1178" s="1"/>
      <c r="Y1178" s="1"/>
      <c r="Z1178" s="1"/>
    </row>
    <row r="1179" spans="4:26" x14ac:dyDescent="0.25">
      <c r="D1179" s="16"/>
      <c r="Q1179" s="16"/>
      <c r="T1179" s="1"/>
      <c r="X1179" s="1"/>
      <c r="Y1179" s="1"/>
      <c r="Z1179" s="1"/>
    </row>
    <row r="1180" spans="4:26" x14ac:dyDescent="0.25">
      <c r="D1180" s="16"/>
      <c r="Q1180" s="16"/>
      <c r="T1180" s="1"/>
      <c r="X1180" s="1"/>
      <c r="Y1180" s="1"/>
      <c r="Z1180" s="1"/>
    </row>
    <row r="1182" spans="4:26" x14ac:dyDescent="0.25">
      <c r="D1182" s="16"/>
      <c r="Q1182" s="16"/>
    </row>
    <row r="1183" spans="4:26" x14ac:dyDescent="0.25">
      <c r="D1183" s="16"/>
      <c r="Q1183" s="16"/>
      <c r="T1183" s="1"/>
      <c r="X1183" s="1"/>
      <c r="Y1183" s="1"/>
      <c r="Z1183" s="1"/>
    </row>
    <row r="1184" spans="4:26" x14ac:dyDescent="0.25">
      <c r="D1184" s="16"/>
      <c r="Q1184" s="16"/>
      <c r="T1184" s="1"/>
      <c r="X1184" s="1"/>
      <c r="Y1184" s="1"/>
      <c r="Z1184" s="1"/>
    </row>
    <row r="1185" spans="4:26" x14ac:dyDescent="0.25">
      <c r="D1185" s="17"/>
      <c r="Q1185" s="17"/>
      <c r="T1185" s="1"/>
      <c r="X1185" s="1"/>
      <c r="Y1185" s="1"/>
      <c r="Z1185" s="1"/>
    </row>
    <row r="1186" spans="4:26" x14ac:dyDescent="0.25">
      <c r="D1186" s="16"/>
      <c r="Q1186" s="16"/>
    </row>
    <row r="1187" spans="4:26" x14ac:dyDescent="0.25">
      <c r="D1187" s="16"/>
      <c r="Q1187" s="16"/>
    </row>
    <row r="1188" spans="4:26" x14ac:dyDescent="0.25">
      <c r="D1188" s="17"/>
      <c r="Q1188" s="17"/>
      <c r="T1188" s="1"/>
      <c r="X1188" s="1"/>
      <c r="Y1188" s="1"/>
      <c r="Z1188" s="1"/>
    </row>
    <row r="1189" spans="4:26" x14ac:dyDescent="0.25">
      <c r="D1189" s="16"/>
      <c r="Q1189" s="16"/>
    </row>
    <row r="1190" spans="4:26" x14ac:dyDescent="0.25">
      <c r="D1190" s="16"/>
      <c r="Q1190" s="16"/>
    </row>
    <row r="1191" spans="4:26" x14ac:dyDescent="0.25">
      <c r="D1191" s="16"/>
      <c r="Q1191" s="16"/>
      <c r="T1191" s="1"/>
      <c r="X1191" s="1"/>
      <c r="Y1191" s="1"/>
      <c r="Z1191" s="1"/>
    </row>
    <row r="1192" spans="4:26" x14ac:dyDescent="0.25">
      <c r="D1192" s="16"/>
      <c r="Q1192" s="16"/>
    </row>
    <row r="1193" spans="4:26" x14ac:dyDescent="0.25">
      <c r="D1193" s="16"/>
      <c r="Q1193" s="16"/>
    </row>
    <row r="1194" spans="4:26" x14ac:dyDescent="0.25">
      <c r="D1194" s="17"/>
      <c r="Q1194" s="17"/>
      <c r="T1194" s="1"/>
      <c r="X1194" s="1"/>
      <c r="Y1194" s="1"/>
      <c r="Z1194" s="1"/>
    </row>
    <row r="1195" spans="4:26" x14ac:dyDescent="0.25">
      <c r="D1195" s="16"/>
      <c r="Q1195" s="16"/>
    </row>
    <row r="1196" spans="4:26" x14ac:dyDescent="0.25">
      <c r="D1196" s="16"/>
      <c r="Q1196" s="16"/>
    </row>
    <row r="1197" spans="4:26" x14ac:dyDescent="0.25">
      <c r="D1197" s="16"/>
      <c r="Q1197" s="16"/>
      <c r="T1197" s="1"/>
      <c r="X1197" s="1"/>
      <c r="Y1197" s="1"/>
      <c r="Z1197" s="1"/>
    </row>
    <row r="1198" spans="4:26" x14ac:dyDescent="0.25">
      <c r="D1198" s="16"/>
      <c r="Q1198" s="16"/>
    </row>
    <row r="1200" spans="4:26" x14ac:dyDescent="0.25">
      <c r="D1200" s="16"/>
      <c r="Q1200" s="16"/>
      <c r="T1200" s="1"/>
      <c r="X1200" s="1"/>
      <c r="Y1200" s="1"/>
      <c r="Z1200" s="1"/>
    </row>
    <row r="1201" spans="4:26" x14ac:dyDescent="0.25">
      <c r="D1201" s="16"/>
      <c r="Q1201" s="16"/>
    </row>
    <row r="1203" spans="4:26" x14ac:dyDescent="0.25">
      <c r="D1203" s="17"/>
      <c r="Q1203" s="17"/>
      <c r="T1203" s="1"/>
      <c r="X1203" s="1"/>
      <c r="Y1203" s="1"/>
      <c r="Z1203" s="1"/>
    </row>
    <row r="1204" spans="4:26" x14ac:dyDescent="0.25">
      <c r="D1204" s="16"/>
      <c r="Q1204" s="16"/>
    </row>
    <row r="1205" spans="4:26" x14ac:dyDescent="0.25">
      <c r="D1205" s="16"/>
      <c r="Q1205" s="16"/>
    </row>
    <row r="1206" spans="4:26" x14ac:dyDescent="0.25">
      <c r="D1206" s="16"/>
      <c r="Q1206" s="16"/>
      <c r="T1206" s="1"/>
      <c r="X1206" s="1"/>
      <c r="Y1206" s="1"/>
      <c r="Z1206" s="1"/>
    </row>
    <row r="1207" spans="4:26" x14ac:dyDescent="0.25">
      <c r="D1207" s="16"/>
      <c r="Q1207" s="16"/>
    </row>
    <row r="1209" spans="4:26" x14ac:dyDescent="0.25">
      <c r="D1209" s="17"/>
      <c r="Q1209" s="17"/>
      <c r="T1209" s="1"/>
      <c r="X1209" s="1"/>
      <c r="Y1209" s="1"/>
      <c r="Z1209" s="1"/>
    </row>
    <row r="1210" spans="4:26" x14ac:dyDescent="0.25">
      <c r="D1210" s="16"/>
      <c r="Q1210" s="16"/>
    </row>
    <row r="1212" spans="4:26" x14ac:dyDescent="0.25">
      <c r="D1212" s="17"/>
      <c r="Q1212" s="17"/>
      <c r="T1212" s="1"/>
      <c r="X1212" s="1"/>
      <c r="Y1212" s="1"/>
      <c r="Z1212" s="1"/>
    </row>
    <row r="1213" spans="4:26" x14ac:dyDescent="0.25">
      <c r="D1213" s="16"/>
      <c r="Q1213" s="16"/>
    </row>
    <row r="1214" spans="4:26" x14ac:dyDescent="0.25">
      <c r="Q1214" s="16"/>
    </row>
    <row r="1215" spans="4:26" x14ac:dyDescent="0.25">
      <c r="D1215" s="17"/>
      <c r="Q1215" s="16"/>
      <c r="T1215" s="1"/>
      <c r="X1215" s="1"/>
      <c r="Y1215" s="1"/>
      <c r="Z1215" s="1"/>
    </row>
    <row r="1216" spans="4:26" x14ac:dyDescent="0.25">
      <c r="D1216" s="16"/>
      <c r="Q1216" s="16"/>
    </row>
    <row r="1218" spans="4:26" x14ac:dyDescent="0.25">
      <c r="D1218" s="16"/>
      <c r="Q1218" s="16"/>
      <c r="T1218" s="1"/>
      <c r="X1218" s="1"/>
      <c r="Y1218" s="1"/>
      <c r="Z1218" s="1"/>
    </row>
    <row r="1219" spans="4:26" x14ac:dyDescent="0.25">
      <c r="D1219" s="16"/>
      <c r="Q1219" s="16"/>
    </row>
    <row r="1221" spans="4:26" x14ac:dyDescent="0.25">
      <c r="D1221" s="17"/>
      <c r="Q1221" s="17"/>
      <c r="T1221" s="1"/>
      <c r="X1221" s="1"/>
      <c r="Y1221" s="1"/>
      <c r="Z1221" s="1"/>
    </row>
    <row r="1222" spans="4:26" x14ac:dyDescent="0.25">
      <c r="D1222" s="16"/>
      <c r="Q1222" s="16"/>
    </row>
    <row r="1223" spans="4:26" x14ac:dyDescent="0.25">
      <c r="Q1223" s="16"/>
    </row>
    <row r="1224" spans="4:26" x14ac:dyDescent="0.25">
      <c r="D1224" s="17"/>
      <c r="Q1224" s="16"/>
      <c r="T1224" s="1"/>
      <c r="X1224" s="1"/>
      <c r="Y1224" s="1"/>
      <c r="Z1224" s="1"/>
    </row>
    <row r="1225" spans="4:26" x14ac:dyDescent="0.25">
      <c r="D1225" s="16"/>
      <c r="Q1225" s="16"/>
    </row>
    <row r="1227" spans="4:26" x14ac:dyDescent="0.25">
      <c r="D1227" s="17"/>
      <c r="Q1227" s="17"/>
      <c r="T1227" s="1"/>
      <c r="X1227" s="1"/>
      <c r="Y1227" s="1"/>
      <c r="Z1227" s="1"/>
    </row>
    <row r="1228" spans="4:26" x14ac:dyDescent="0.25">
      <c r="D1228" s="16"/>
      <c r="Q1228" s="16"/>
    </row>
    <row r="1229" spans="4:26" x14ac:dyDescent="0.25">
      <c r="Q1229" s="16"/>
    </row>
    <row r="1230" spans="4:26" x14ac:dyDescent="0.25">
      <c r="D1230" s="17"/>
      <c r="Q1230" s="16"/>
      <c r="T1230" s="1"/>
      <c r="X1230" s="1"/>
      <c r="Y1230" s="1"/>
      <c r="Z1230" s="1"/>
    </row>
    <row r="1231" spans="4:26" x14ac:dyDescent="0.25">
      <c r="D1231" s="16"/>
      <c r="Q1231" s="16"/>
    </row>
    <row r="1233" spans="4:26" x14ac:dyDescent="0.25">
      <c r="D1233" s="17"/>
      <c r="Q1233" s="17"/>
      <c r="T1233" s="1"/>
      <c r="X1233" s="1"/>
      <c r="Y1233" s="1"/>
      <c r="Z1233" s="1"/>
    </row>
    <row r="1234" spans="4:26" x14ac:dyDescent="0.25">
      <c r="D1234" s="16"/>
      <c r="Q1234" s="16"/>
    </row>
    <row r="1235" spans="4:26" x14ac:dyDescent="0.25">
      <c r="D1235" s="16"/>
      <c r="Q1235" s="16"/>
    </row>
    <row r="1236" spans="4:26" x14ac:dyDescent="0.25">
      <c r="D1236" s="16"/>
      <c r="Q1236" s="16"/>
      <c r="T1236" s="1"/>
      <c r="X1236" s="1"/>
      <c r="Y1236" s="1"/>
      <c r="Z1236" s="1"/>
    </row>
    <row r="1237" spans="4:26" x14ac:dyDescent="0.25">
      <c r="D1237" s="16"/>
      <c r="Q1237" s="16"/>
    </row>
    <row r="1238" spans="4:26" x14ac:dyDescent="0.25">
      <c r="D1238" s="16"/>
      <c r="Q1238" s="16"/>
    </row>
    <row r="1239" spans="4:26" x14ac:dyDescent="0.25">
      <c r="D1239" s="17"/>
      <c r="Q1239" s="17"/>
      <c r="T1239" s="1"/>
      <c r="X1239" s="1"/>
      <c r="Y1239" s="1"/>
      <c r="Z1239" s="1"/>
    </row>
    <row r="1240" spans="4:26" x14ac:dyDescent="0.25">
      <c r="D1240" s="16"/>
      <c r="Q1240" s="16"/>
    </row>
    <row r="1241" spans="4:26" x14ac:dyDescent="0.25">
      <c r="D1241" s="16"/>
      <c r="Q1241" s="16"/>
    </row>
    <row r="1242" spans="4:26" x14ac:dyDescent="0.25">
      <c r="D1242" s="17"/>
      <c r="Q1242" s="16"/>
      <c r="T1242" s="1"/>
      <c r="X1242" s="1"/>
      <c r="Y1242" s="1"/>
      <c r="Z1242" s="1"/>
    </row>
    <row r="1243" spans="4:26" x14ac:dyDescent="0.25">
      <c r="Q1243" s="16"/>
    </row>
    <row r="1244" spans="4:26" x14ac:dyDescent="0.25">
      <c r="D1244" s="16"/>
      <c r="Q1244" s="16"/>
    </row>
    <row r="1245" spans="4:26" x14ac:dyDescent="0.25">
      <c r="D1245" s="16"/>
      <c r="Q1245" s="16"/>
      <c r="T1245" s="1"/>
      <c r="X1245" s="1"/>
      <c r="Y1245" s="1"/>
      <c r="Z1245" s="1"/>
    </row>
    <row r="1246" spans="4:26" x14ac:dyDescent="0.25">
      <c r="D1246" s="16"/>
      <c r="Q1246" s="16"/>
    </row>
    <row r="1247" spans="4:26" x14ac:dyDescent="0.25">
      <c r="Q1247" s="16"/>
    </row>
    <row r="1248" spans="4:26" x14ac:dyDescent="0.25">
      <c r="D1248" s="16"/>
      <c r="Q1248" s="16"/>
      <c r="T1248" s="1"/>
      <c r="X1248" s="1"/>
      <c r="Y1248" s="1"/>
      <c r="Z1248" s="1"/>
    </row>
    <row r="1249" spans="4:26" x14ac:dyDescent="0.25">
      <c r="D1249" s="16"/>
      <c r="Q1249" s="16"/>
    </row>
    <row r="1250" spans="4:26" x14ac:dyDescent="0.25">
      <c r="D1250" s="16"/>
      <c r="Q1250" s="16"/>
    </row>
    <row r="1251" spans="4:26" x14ac:dyDescent="0.25">
      <c r="D1251" s="16"/>
      <c r="Q1251" s="16"/>
      <c r="T1251" s="1"/>
      <c r="X1251" s="1"/>
      <c r="Y1251" s="1"/>
      <c r="Z1251" s="1"/>
    </row>
    <row r="1252" spans="4:26" x14ac:dyDescent="0.25">
      <c r="D1252" s="17"/>
      <c r="Q1252" s="17"/>
      <c r="T1252" s="1"/>
      <c r="X1252" s="1"/>
      <c r="Y1252" s="1"/>
      <c r="Z1252" s="1"/>
    </row>
    <row r="1254" spans="4:26" x14ac:dyDescent="0.25">
      <c r="D1254" s="16"/>
      <c r="Q1254" s="16"/>
    </row>
    <row r="1255" spans="4:26" x14ac:dyDescent="0.25">
      <c r="D1255" s="17"/>
      <c r="Q1255" s="17"/>
      <c r="T1255" s="1"/>
      <c r="X1255" s="1"/>
      <c r="Y1255" s="1"/>
      <c r="Z1255" s="1"/>
    </row>
    <row r="1256" spans="4:26" x14ac:dyDescent="0.25">
      <c r="D1256" s="17"/>
      <c r="Q1256" s="17"/>
      <c r="T1256" s="1"/>
      <c r="X1256" s="1"/>
      <c r="Y1256" s="1"/>
      <c r="Z1256" s="1"/>
    </row>
    <row r="1257" spans="4:26" x14ac:dyDescent="0.25">
      <c r="D1257" s="16"/>
      <c r="Q1257" s="16"/>
    </row>
    <row r="1259" spans="4:26" x14ac:dyDescent="0.25">
      <c r="D1259" s="17"/>
      <c r="Q1259" s="17"/>
      <c r="T1259" s="1"/>
      <c r="X1259" s="1"/>
      <c r="Y1259" s="1"/>
      <c r="Z1259" s="1"/>
    </row>
    <row r="1260" spans="4:26" x14ac:dyDescent="0.25">
      <c r="D1260" s="16"/>
      <c r="Q1260" s="16"/>
    </row>
    <row r="1261" spans="4:26" x14ac:dyDescent="0.25">
      <c r="D1261" s="16"/>
      <c r="Q1261" s="16"/>
    </row>
    <row r="1262" spans="4:26" x14ac:dyDescent="0.25">
      <c r="D1262" s="17"/>
      <c r="Q1262" s="17"/>
      <c r="T1262" s="1"/>
      <c r="X1262" s="1"/>
      <c r="Y1262" s="1"/>
      <c r="Z1262" s="1"/>
    </row>
    <row r="1263" spans="4:26" x14ac:dyDescent="0.25">
      <c r="D1263" s="16"/>
      <c r="Q1263" s="16"/>
    </row>
    <row r="1264" spans="4:26" x14ac:dyDescent="0.25">
      <c r="D1264" s="16"/>
      <c r="Q1264" s="16"/>
    </row>
    <row r="1265" spans="4:26" x14ac:dyDescent="0.25">
      <c r="D1265" s="17"/>
      <c r="Q1265" s="17"/>
      <c r="T1265" s="1"/>
      <c r="X1265" s="1"/>
      <c r="Y1265" s="1"/>
      <c r="Z1265" s="1"/>
    </row>
    <row r="1267" spans="4:26" x14ac:dyDescent="0.25">
      <c r="D1267" s="16"/>
      <c r="Q1267" s="16"/>
    </row>
    <row r="1268" spans="4:26" x14ac:dyDescent="0.25">
      <c r="D1268" s="16"/>
      <c r="Q1268" s="16"/>
      <c r="T1268" s="1"/>
      <c r="X1268" s="1"/>
      <c r="Y1268" s="1"/>
      <c r="Z1268" s="1"/>
    </row>
    <row r="1269" spans="4:26" x14ac:dyDescent="0.25">
      <c r="D1269" s="16"/>
      <c r="Q1269" s="16"/>
      <c r="T1269" s="1"/>
      <c r="X1269" s="1"/>
      <c r="Y1269" s="1"/>
      <c r="Z1269" s="1"/>
    </row>
    <row r="1270" spans="4:26" x14ac:dyDescent="0.25">
      <c r="D1270" s="16"/>
      <c r="Q1270" s="16"/>
    </row>
    <row r="1272" spans="4:26" x14ac:dyDescent="0.25">
      <c r="D1272" s="16"/>
      <c r="Q1272" s="16"/>
      <c r="T1272" s="1"/>
      <c r="X1272" s="1"/>
      <c r="Y1272" s="1"/>
      <c r="Z1272" s="1"/>
    </row>
    <row r="1273" spans="4:26" x14ac:dyDescent="0.25">
      <c r="D1273" s="16"/>
      <c r="Q1273" s="16"/>
    </row>
    <row r="1274" spans="4:26" x14ac:dyDescent="0.25">
      <c r="D1274" s="16"/>
      <c r="Q1274" s="16"/>
    </row>
    <row r="1275" spans="4:26" x14ac:dyDescent="0.25">
      <c r="D1275" s="17"/>
      <c r="Q1275" s="17"/>
      <c r="T1275" s="1"/>
      <c r="X1275" s="1"/>
      <c r="Y1275" s="1"/>
      <c r="Z1275" s="1"/>
    </row>
    <row r="1277" spans="4:26" x14ac:dyDescent="0.25">
      <c r="D1277" s="16"/>
      <c r="Q1277" s="16"/>
    </row>
    <row r="1278" spans="4:26" x14ac:dyDescent="0.25">
      <c r="D1278" s="17"/>
      <c r="Q1278" s="17"/>
      <c r="T1278" s="1"/>
      <c r="X1278" s="1"/>
      <c r="Y1278" s="1"/>
      <c r="Z1278" s="1"/>
    </row>
    <row r="1280" spans="4:26" x14ac:dyDescent="0.25">
      <c r="D1280" s="16"/>
      <c r="Q1280" s="16"/>
    </row>
    <row r="1281" spans="4:26" x14ac:dyDescent="0.25">
      <c r="D1281" s="17"/>
      <c r="Q1281" s="17"/>
      <c r="T1281" s="1"/>
      <c r="X1281" s="1"/>
      <c r="Y1281" s="1"/>
      <c r="Z1281" s="1"/>
    </row>
    <row r="1283" spans="4:26" x14ac:dyDescent="0.25">
      <c r="D1283" s="16"/>
      <c r="Q1283" s="16"/>
    </row>
    <row r="1284" spans="4:26" x14ac:dyDescent="0.25">
      <c r="D1284" s="17"/>
      <c r="Q1284" s="17"/>
      <c r="T1284" s="1"/>
      <c r="X1284" s="1"/>
      <c r="Y1284" s="1"/>
      <c r="Z1284" s="1"/>
    </row>
    <row r="1285" spans="4:26" x14ac:dyDescent="0.25">
      <c r="D1285" s="17"/>
      <c r="Q1285" s="17"/>
      <c r="T1285" s="1"/>
      <c r="X1285" s="1"/>
      <c r="Y1285" s="1"/>
      <c r="Z1285" s="1"/>
    </row>
    <row r="1286" spans="4:26" x14ac:dyDescent="0.25">
      <c r="D1286" s="16"/>
      <c r="Q1286" s="16"/>
    </row>
    <row r="1287" spans="4:26" x14ac:dyDescent="0.25">
      <c r="D1287" s="16"/>
      <c r="Q1287" s="16"/>
    </row>
    <row r="1288" spans="4:26" x14ac:dyDescent="0.25">
      <c r="D1288" s="16"/>
      <c r="Q1288" s="16"/>
      <c r="T1288" s="1"/>
      <c r="X1288" s="1"/>
      <c r="Y1288" s="1"/>
      <c r="Z1288" s="1"/>
    </row>
    <row r="1289" spans="4:26" x14ac:dyDescent="0.25">
      <c r="D1289" s="16"/>
      <c r="Q1289" s="16"/>
    </row>
    <row r="1290" spans="4:26" x14ac:dyDescent="0.25">
      <c r="Q1290" s="16"/>
    </row>
    <row r="1291" spans="4:26" x14ac:dyDescent="0.25">
      <c r="D1291" s="17"/>
      <c r="Q1291" s="17"/>
      <c r="T1291" s="1"/>
      <c r="X1291" s="1"/>
      <c r="Y1291" s="1"/>
      <c r="Z1291" s="1"/>
    </row>
    <row r="1292" spans="4:26" x14ac:dyDescent="0.25">
      <c r="D1292" s="16"/>
      <c r="Q1292" s="16"/>
    </row>
    <row r="1293" spans="4:26" x14ac:dyDescent="0.25">
      <c r="D1293" s="16"/>
      <c r="Q1293" s="16"/>
    </row>
    <row r="1294" spans="4:26" x14ac:dyDescent="0.25">
      <c r="D1294" s="17"/>
      <c r="Q1294" s="16"/>
      <c r="T1294" s="1"/>
      <c r="X1294" s="1"/>
      <c r="Y1294" s="1"/>
      <c r="Z1294" s="1"/>
    </row>
    <row r="1295" spans="4:26" x14ac:dyDescent="0.25">
      <c r="D1295" s="16"/>
      <c r="Q1295" s="16"/>
    </row>
    <row r="1297" spans="4:26" x14ac:dyDescent="0.25">
      <c r="D1297" s="16"/>
      <c r="Q1297" s="16"/>
      <c r="T1297" s="1"/>
      <c r="X1297" s="1"/>
      <c r="Y1297" s="1"/>
      <c r="Z1297" s="1"/>
    </row>
    <row r="1298" spans="4:26" x14ac:dyDescent="0.25">
      <c r="D1298" s="16"/>
      <c r="Q1298" s="16"/>
    </row>
    <row r="1300" spans="4:26" x14ac:dyDescent="0.25">
      <c r="D1300" s="16"/>
      <c r="Q1300" s="16"/>
      <c r="T1300" s="1"/>
      <c r="X1300" s="1"/>
      <c r="Y1300" s="1"/>
      <c r="Z1300" s="1"/>
    </row>
    <row r="1301" spans="4:26" x14ac:dyDescent="0.25">
      <c r="D1301" s="16"/>
      <c r="Q1301" s="16"/>
    </row>
    <row r="1303" spans="4:26" x14ac:dyDescent="0.25">
      <c r="D1303" s="17"/>
      <c r="Q1303" s="17"/>
      <c r="T1303" s="1"/>
      <c r="X1303" s="1"/>
      <c r="Y1303" s="1"/>
      <c r="Z1303" s="1"/>
    </row>
    <row r="1304" spans="4:26" x14ac:dyDescent="0.25">
      <c r="D1304" s="16"/>
      <c r="Q1304" s="16"/>
    </row>
    <row r="1305" spans="4:26" x14ac:dyDescent="0.25">
      <c r="Q1305" s="16"/>
    </row>
    <row r="1306" spans="4:26" x14ac:dyDescent="0.25">
      <c r="D1306" s="17"/>
      <c r="Q1306" s="16"/>
      <c r="T1306" s="1"/>
      <c r="X1306" s="1"/>
      <c r="Y1306" s="1"/>
      <c r="Z1306" s="1"/>
    </row>
    <row r="1307" spans="4:26" x14ac:dyDescent="0.25">
      <c r="D1307" s="16"/>
      <c r="Q1307" s="16"/>
    </row>
    <row r="1309" spans="4:26" x14ac:dyDescent="0.25">
      <c r="D1309" s="17"/>
      <c r="Q1309" s="17"/>
      <c r="T1309" s="1"/>
      <c r="X1309" s="1"/>
      <c r="Y1309" s="1"/>
      <c r="Z1309" s="1"/>
    </row>
    <row r="1310" spans="4:26" x14ac:dyDescent="0.25">
      <c r="D1310" s="16"/>
      <c r="Q1310" s="16"/>
    </row>
    <row r="1311" spans="4:26" x14ac:dyDescent="0.25">
      <c r="Q1311" s="16"/>
    </row>
    <row r="1312" spans="4:26" x14ac:dyDescent="0.25">
      <c r="D1312" s="17"/>
      <c r="Q1312" s="16"/>
      <c r="T1312" s="1"/>
      <c r="X1312" s="1"/>
      <c r="Y1312" s="1"/>
      <c r="Z1312" s="1"/>
    </row>
    <row r="1313" spans="4:26" x14ac:dyDescent="0.25">
      <c r="D1313" s="16"/>
      <c r="Q1313" s="16"/>
    </row>
    <row r="1315" spans="4:26" x14ac:dyDescent="0.25">
      <c r="D1315" s="17"/>
      <c r="Q1315" s="17"/>
      <c r="T1315" s="1"/>
      <c r="X1315" s="1"/>
      <c r="Y1315" s="1"/>
      <c r="Z1315" s="1"/>
    </row>
    <row r="1316" spans="4:26" x14ac:dyDescent="0.25">
      <c r="D1316" s="16"/>
      <c r="Q1316" s="16"/>
    </row>
    <row r="1317" spans="4:26" x14ac:dyDescent="0.25">
      <c r="Q1317" s="16"/>
    </row>
    <row r="1318" spans="4:26" x14ac:dyDescent="0.25">
      <c r="D1318" s="17"/>
      <c r="Q1318" s="16"/>
      <c r="T1318" s="1"/>
      <c r="X1318" s="1"/>
      <c r="Y1318" s="1"/>
      <c r="Z1318" s="1"/>
    </row>
    <row r="1319" spans="4:26" x14ac:dyDescent="0.25">
      <c r="D1319" s="16"/>
      <c r="Q1319" s="16"/>
    </row>
    <row r="1321" spans="4:26" x14ac:dyDescent="0.25">
      <c r="D1321" s="17"/>
      <c r="Q1321" s="17"/>
      <c r="T1321" s="1"/>
      <c r="X1321" s="1"/>
      <c r="Y1321" s="1"/>
      <c r="Z1321" s="1"/>
    </row>
    <row r="1322" spans="4:26" x14ac:dyDescent="0.25">
      <c r="D1322" s="16"/>
      <c r="Q1322" s="16"/>
    </row>
    <row r="1323" spans="4:26" x14ac:dyDescent="0.25">
      <c r="Q1323" s="16"/>
    </row>
    <row r="1324" spans="4:26" x14ac:dyDescent="0.25">
      <c r="D1324" s="17"/>
      <c r="Q1324" s="16"/>
      <c r="T1324" s="1"/>
      <c r="X1324" s="1"/>
      <c r="Y1324" s="1"/>
      <c r="Z1324" s="1"/>
    </row>
    <row r="1325" spans="4:26" x14ac:dyDescent="0.25">
      <c r="D1325" s="16"/>
      <c r="Q1325" s="16"/>
    </row>
    <row r="1327" spans="4:26" x14ac:dyDescent="0.25">
      <c r="D1327" s="17"/>
      <c r="Q1327" s="17"/>
      <c r="T1327" s="1"/>
      <c r="X1327" s="1"/>
      <c r="Y1327" s="1"/>
      <c r="Z1327" s="1"/>
    </row>
    <row r="1328" spans="4:26" x14ac:dyDescent="0.25">
      <c r="D1328" s="16"/>
      <c r="Q1328" s="16"/>
    </row>
    <row r="1330" spans="4:26" x14ac:dyDescent="0.25">
      <c r="D1330" s="17"/>
      <c r="Q1330" s="17"/>
      <c r="T1330" s="1"/>
      <c r="X1330" s="1"/>
      <c r="Y1330" s="1"/>
      <c r="Z1330" s="1"/>
    </row>
    <row r="1331" spans="4:26" x14ac:dyDescent="0.25">
      <c r="D1331" s="16"/>
      <c r="Q1331" s="16"/>
    </row>
    <row r="1333" spans="4:26" x14ac:dyDescent="0.25">
      <c r="D1333" s="17"/>
      <c r="Q1333" s="17"/>
      <c r="T1333" s="1"/>
      <c r="X1333" s="1"/>
      <c r="Y1333" s="1"/>
      <c r="Z1333" s="1"/>
    </row>
    <row r="1334" spans="4:26" x14ac:dyDescent="0.25">
      <c r="D1334" s="16"/>
      <c r="Q1334" s="16"/>
    </row>
    <row r="1336" spans="4:26" x14ac:dyDescent="0.25">
      <c r="D1336" s="17"/>
      <c r="Q1336" s="17"/>
      <c r="T1336" s="1"/>
      <c r="X1336" s="1"/>
      <c r="Y1336" s="1"/>
      <c r="Z1336" s="1"/>
    </row>
    <row r="1337" spans="4:26" x14ac:dyDescent="0.25">
      <c r="D1337" s="16"/>
      <c r="Q1337" s="16"/>
      <c r="T1337" s="1"/>
      <c r="X1337" s="1"/>
      <c r="Y1337" s="1"/>
      <c r="Z1337" s="1"/>
    </row>
    <row r="1338" spans="4:26" x14ac:dyDescent="0.25">
      <c r="D1338" s="16"/>
      <c r="Q1338" s="16"/>
    </row>
    <row r="1340" spans="4:26" x14ac:dyDescent="0.25">
      <c r="D1340" s="16"/>
      <c r="Q1340" s="16"/>
      <c r="T1340" s="1"/>
      <c r="X1340" s="1"/>
      <c r="Y1340" s="1"/>
      <c r="Z1340" s="1"/>
    </row>
    <row r="1341" spans="4:26" x14ac:dyDescent="0.25">
      <c r="D1341" s="16"/>
      <c r="Q1341" s="16"/>
    </row>
    <row r="1342" spans="4:26" x14ac:dyDescent="0.25">
      <c r="D1342" s="16"/>
      <c r="Q1342" s="16"/>
    </row>
    <row r="1343" spans="4:26" x14ac:dyDescent="0.25">
      <c r="D1343" s="16"/>
      <c r="Q1343" s="16"/>
      <c r="T1343" s="1"/>
      <c r="X1343" s="1"/>
      <c r="Y1343" s="1"/>
      <c r="Z1343" s="1"/>
    </row>
    <row r="1345" spans="4:26" x14ac:dyDescent="0.25">
      <c r="D1345" s="16"/>
      <c r="Q1345" s="16"/>
    </row>
    <row r="1346" spans="4:26" x14ac:dyDescent="0.25">
      <c r="D1346" s="16"/>
      <c r="Q1346" s="16"/>
      <c r="T1346" s="1"/>
      <c r="X1346" s="1"/>
      <c r="Y1346" s="1"/>
      <c r="Z1346" s="1"/>
    </row>
    <row r="1347" spans="4:26" x14ac:dyDescent="0.25">
      <c r="D1347" s="17"/>
      <c r="Q1347" s="17"/>
      <c r="T1347" s="1"/>
      <c r="X1347" s="1"/>
      <c r="Y1347" s="1"/>
      <c r="Z1347" s="1"/>
    </row>
    <row r="1349" spans="4:26" x14ac:dyDescent="0.25">
      <c r="D1349" s="16"/>
      <c r="Q1349" s="16"/>
    </row>
    <row r="1350" spans="4:26" x14ac:dyDescent="0.25">
      <c r="D1350" s="17"/>
      <c r="Q1350" s="17"/>
      <c r="T1350" s="1"/>
      <c r="X1350" s="1"/>
      <c r="Y1350" s="1"/>
      <c r="Z1350" s="1"/>
    </row>
    <row r="1352" spans="4:26" x14ac:dyDescent="0.25">
      <c r="D1352" s="16"/>
      <c r="Q1352" s="16"/>
    </row>
    <row r="1353" spans="4:26" x14ac:dyDescent="0.25">
      <c r="D1353" s="17"/>
      <c r="Q1353" s="17"/>
      <c r="T1353" s="1"/>
      <c r="X1353" s="1"/>
      <c r="Y1353" s="1"/>
      <c r="Z1353" s="1"/>
    </row>
    <row r="1355" spans="4:26" x14ac:dyDescent="0.25">
      <c r="D1355" s="16"/>
      <c r="Q1355" s="16"/>
    </row>
    <row r="1356" spans="4:26" x14ac:dyDescent="0.25">
      <c r="D1356" s="17"/>
      <c r="Q1356" s="17"/>
      <c r="T1356" s="1"/>
      <c r="X1356" s="1"/>
      <c r="Y1356" s="1"/>
      <c r="Z1356" s="1"/>
    </row>
    <row r="1357" spans="4:26" x14ac:dyDescent="0.25">
      <c r="D1357" s="17"/>
      <c r="Q1357" s="17"/>
      <c r="T1357" s="1"/>
      <c r="X1357" s="1"/>
      <c r="Y1357" s="1"/>
      <c r="Z1357" s="1"/>
    </row>
    <row r="1358" spans="4:26" x14ac:dyDescent="0.25">
      <c r="D1358" s="16"/>
      <c r="Q1358" s="16"/>
    </row>
    <row r="1360" spans="4:26" x14ac:dyDescent="0.25">
      <c r="D1360" s="17"/>
      <c r="Q1360" s="17"/>
      <c r="T1360" s="1"/>
      <c r="X1360" s="1"/>
      <c r="Y1360" s="1"/>
      <c r="Z1360" s="1"/>
    </row>
    <row r="1361" spans="4:26" x14ac:dyDescent="0.25">
      <c r="D1361" s="16"/>
      <c r="Q1361" s="16"/>
      <c r="T1361" s="1"/>
      <c r="X1361" s="1"/>
      <c r="Y1361" s="1"/>
      <c r="Z1361" s="1"/>
    </row>
    <row r="1364" spans="4:26" x14ac:dyDescent="0.25">
      <c r="D1364" s="16"/>
      <c r="Q1364" s="16"/>
      <c r="T1364" s="1"/>
      <c r="X1364" s="1"/>
      <c r="Y1364" s="1"/>
      <c r="Z1364" s="1"/>
    </row>
    <row r="1365" spans="4:26" x14ac:dyDescent="0.25">
      <c r="D1365" s="17"/>
      <c r="Q1365" s="16"/>
      <c r="T1365" s="1"/>
      <c r="X1365" s="1"/>
      <c r="Y1365" s="1"/>
      <c r="Z1365" s="1"/>
    </row>
    <row r="1366" spans="4:26" x14ac:dyDescent="0.25">
      <c r="D1366" s="17"/>
      <c r="Q1366" s="17"/>
      <c r="T1366" s="1"/>
      <c r="X1366" s="1"/>
      <c r="Y1366" s="1"/>
      <c r="Z1366" s="1"/>
    </row>
    <row r="1367" spans="4:26" x14ac:dyDescent="0.25">
      <c r="D1367" s="16"/>
      <c r="Q1367" s="16"/>
    </row>
    <row r="1368" spans="4:26" x14ac:dyDescent="0.25">
      <c r="D1368" s="16"/>
      <c r="Q1368" s="16"/>
    </row>
    <row r="1369" spans="4:26" x14ac:dyDescent="0.25">
      <c r="D1369" s="16"/>
      <c r="Q1369" s="16"/>
      <c r="T1369" s="1"/>
      <c r="X1369" s="1"/>
      <c r="Y1369" s="1"/>
      <c r="Z1369" s="1"/>
    </row>
    <row r="1370" spans="4:26" x14ac:dyDescent="0.25">
      <c r="D1370" s="17"/>
      <c r="Q1370" s="17"/>
      <c r="T1370" s="1"/>
      <c r="X1370" s="1"/>
      <c r="Y1370" s="1"/>
      <c r="Z1370" s="1"/>
    </row>
    <row r="1371" spans="4:26" x14ac:dyDescent="0.25">
      <c r="D1371" s="17"/>
      <c r="Q1371" s="17"/>
      <c r="T1371" s="1"/>
      <c r="X1371" s="1"/>
      <c r="Y1371" s="1"/>
      <c r="Z1371" s="1"/>
    </row>
    <row r="1372" spans="4:26" x14ac:dyDescent="0.25">
      <c r="D1372" s="16"/>
      <c r="Q1372" s="16"/>
    </row>
    <row r="1374" spans="4:26" x14ac:dyDescent="0.25">
      <c r="D1374" s="17"/>
      <c r="Q1374" s="17"/>
      <c r="T1374" s="1"/>
      <c r="X1374" s="1"/>
      <c r="Y1374" s="1"/>
      <c r="Z1374" s="1"/>
    </row>
    <row r="1375" spans="4:26" x14ac:dyDescent="0.25">
      <c r="D1375" s="16"/>
      <c r="Q1375" s="16"/>
      <c r="T1375" s="1"/>
      <c r="X1375" s="1"/>
      <c r="Y1375" s="1"/>
      <c r="Z1375" s="1"/>
    </row>
    <row r="1376" spans="4:26" x14ac:dyDescent="0.25">
      <c r="D1376" s="16"/>
      <c r="Q1376" s="16"/>
    </row>
    <row r="1377" spans="4:26" x14ac:dyDescent="0.25">
      <c r="Q1377" s="16"/>
    </row>
    <row r="1378" spans="4:26" x14ac:dyDescent="0.25">
      <c r="D1378" s="17"/>
      <c r="Q1378" s="17"/>
      <c r="T1378" s="1"/>
      <c r="X1378" s="1"/>
      <c r="Y1378" s="1"/>
      <c r="Z1378" s="1"/>
    </row>
    <row r="1379" spans="4:26" x14ac:dyDescent="0.25">
      <c r="D1379" s="16"/>
      <c r="Q1379" s="16"/>
      <c r="T1379" s="1"/>
      <c r="X1379" s="1"/>
      <c r="Y1379" s="1"/>
      <c r="Z1379" s="1"/>
    </row>
    <row r="1380" spans="4:26" x14ac:dyDescent="0.25">
      <c r="D1380" s="16"/>
      <c r="Q1380" s="16"/>
      <c r="T1380" s="1"/>
      <c r="X1380" s="1"/>
      <c r="Y1380" s="1"/>
      <c r="Z1380" s="1"/>
    </row>
    <row r="1383" spans="4:26" x14ac:dyDescent="0.25">
      <c r="D1383" s="16"/>
      <c r="Q1383" s="16"/>
      <c r="T1383" s="1"/>
      <c r="X1383" s="1"/>
      <c r="Y1383" s="1"/>
      <c r="Z1383" s="1"/>
    </row>
    <row r="1386" spans="4:26" x14ac:dyDescent="0.25">
      <c r="D1386" s="16"/>
      <c r="Q1386" s="16"/>
      <c r="T1386" s="1"/>
      <c r="X1386" s="1"/>
      <c r="Y1386" s="1"/>
      <c r="Z1386" s="1"/>
    </row>
    <row r="1387" spans="4:26" x14ac:dyDescent="0.25">
      <c r="D1387" s="17"/>
      <c r="Q1387" s="17"/>
      <c r="T1387" s="1"/>
      <c r="X1387" s="1"/>
      <c r="Y1387" s="1"/>
      <c r="Z1387" s="1"/>
    </row>
    <row r="1389" spans="4:26" x14ac:dyDescent="0.25">
      <c r="D1389" s="16"/>
      <c r="Q1389" s="16"/>
    </row>
    <row r="1390" spans="4:26" x14ac:dyDescent="0.25">
      <c r="D1390" s="17"/>
      <c r="Q1390" s="17"/>
      <c r="T1390" s="1"/>
      <c r="X1390" s="1"/>
      <c r="Y1390" s="1"/>
      <c r="Z1390" s="1"/>
    </row>
    <row r="1392" spans="4:26" x14ac:dyDescent="0.25">
      <c r="D1392" s="16"/>
      <c r="Q1392" s="16"/>
    </row>
    <row r="1393" spans="4:26" x14ac:dyDescent="0.25">
      <c r="D1393" s="17"/>
      <c r="Q1393" s="16"/>
      <c r="T1393" s="1"/>
      <c r="X1393" s="1"/>
      <c r="Y1393" s="1"/>
      <c r="Z1393" s="1"/>
    </row>
    <row r="1395" spans="4:26" x14ac:dyDescent="0.25">
      <c r="D1395" s="16"/>
      <c r="Q1395" s="16"/>
    </row>
    <row r="1396" spans="4:26" x14ac:dyDescent="0.25">
      <c r="D1396" s="16"/>
      <c r="Q1396" s="16"/>
      <c r="T1396" s="1"/>
      <c r="X1396" s="1"/>
      <c r="Y1396" s="1"/>
      <c r="Z1396" s="1"/>
    </row>
    <row r="1398" spans="4:26" x14ac:dyDescent="0.25">
      <c r="D1398" s="16"/>
      <c r="Q1398" s="16"/>
    </row>
    <row r="1399" spans="4:26" x14ac:dyDescent="0.25">
      <c r="D1399" s="16"/>
      <c r="Q1399" s="16"/>
      <c r="T1399" s="1"/>
      <c r="X1399" s="1"/>
      <c r="Y1399" s="1"/>
      <c r="Z1399" s="1"/>
    </row>
    <row r="1401" spans="4:26" x14ac:dyDescent="0.25">
      <c r="D1401" s="16"/>
      <c r="Q1401" s="16"/>
    </row>
    <row r="1402" spans="4:26" x14ac:dyDescent="0.25">
      <c r="D1402" s="16"/>
      <c r="Q1402" s="16"/>
      <c r="T1402" s="1"/>
      <c r="X1402" s="1"/>
      <c r="Y1402" s="1"/>
      <c r="Z1402" s="1"/>
    </row>
    <row r="1403" spans="4:26" x14ac:dyDescent="0.25">
      <c r="Q1403" s="16"/>
    </row>
    <row r="1404" spans="4:26" x14ac:dyDescent="0.25">
      <c r="D1404" s="16"/>
      <c r="Q1404" s="16"/>
    </row>
    <row r="1405" spans="4:26" x14ac:dyDescent="0.25">
      <c r="D1405" s="17"/>
      <c r="Q1405" s="17"/>
      <c r="T1405" s="1"/>
      <c r="X1405" s="1"/>
      <c r="Y1405" s="1"/>
      <c r="Z1405" s="1"/>
    </row>
    <row r="1406" spans="4:26" x14ac:dyDescent="0.25">
      <c r="D1406" s="16"/>
      <c r="Q1406" s="16"/>
    </row>
    <row r="1407" spans="4:26" x14ac:dyDescent="0.25">
      <c r="D1407" s="16"/>
      <c r="Q1407" s="16"/>
    </row>
    <row r="1408" spans="4:26" x14ac:dyDescent="0.25">
      <c r="D1408" s="17"/>
      <c r="Q1408" s="17"/>
      <c r="T1408" s="1"/>
      <c r="X1408" s="1"/>
      <c r="Y1408" s="1"/>
      <c r="Z1408" s="1"/>
    </row>
    <row r="1409" spans="4:26" x14ac:dyDescent="0.25">
      <c r="D1409" s="16"/>
      <c r="Q1409" s="16"/>
      <c r="T1409" s="1"/>
      <c r="X1409" s="1"/>
      <c r="Y1409" s="1"/>
      <c r="Z1409" s="1"/>
    </row>
    <row r="1410" spans="4:26" x14ac:dyDescent="0.25">
      <c r="D1410" s="16"/>
      <c r="Q1410" s="16"/>
    </row>
    <row r="1412" spans="4:26" x14ac:dyDescent="0.25">
      <c r="D1412" s="16"/>
      <c r="Q1412" s="16"/>
      <c r="T1412" s="1"/>
      <c r="X1412" s="1"/>
      <c r="Y1412" s="1"/>
      <c r="Z1412" s="1"/>
    </row>
    <row r="1413" spans="4:26" x14ac:dyDescent="0.25">
      <c r="D1413" s="16"/>
      <c r="Q1413" s="16"/>
    </row>
    <row r="1415" spans="4:26" x14ac:dyDescent="0.25">
      <c r="D1415" s="17"/>
      <c r="Q1415" s="17"/>
      <c r="T1415" s="1"/>
      <c r="X1415" s="1"/>
      <c r="Y1415" s="1"/>
      <c r="Z1415" s="1"/>
    </row>
    <row r="1416" spans="4:26" x14ac:dyDescent="0.25">
      <c r="D1416" s="16"/>
      <c r="Q1416" s="16"/>
      <c r="T1416" s="1"/>
      <c r="X1416" s="1"/>
      <c r="Y1416" s="1"/>
      <c r="Z1416" s="1"/>
    </row>
    <row r="1417" spans="4:26" x14ac:dyDescent="0.25">
      <c r="D1417" s="17"/>
      <c r="Q1417" s="17"/>
      <c r="T1417" s="1"/>
      <c r="X1417" s="1"/>
      <c r="Y1417" s="1"/>
      <c r="Z1417" s="1"/>
    </row>
    <row r="1418" spans="4:26" x14ac:dyDescent="0.25">
      <c r="D1418" s="17"/>
      <c r="Q1418" s="17"/>
      <c r="T1418" s="1"/>
      <c r="X1418" s="1"/>
      <c r="Y1418" s="1"/>
      <c r="Z1418" s="1"/>
    </row>
    <row r="1419" spans="4:26" x14ac:dyDescent="0.25">
      <c r="D1419" s="16"/>
      <c r="Q1419" s="16"/>
      <c r="T1419" s="1"/>
      <c r="X1419" s="1"/>
      <c r="Y1419" s="1"/>
      <c r="Z1419" s="1"/>
    </row>
    <row r="1420" spans="4:26" x14ac:dyDescent="0.25">
      <c r="D1420" s="17"/>
      <c r="Q1420" s="17"/>
      <c r="T1420" s="1"/>
      <c r="X1420" s="1"/>
      <c r="Y1420" s="1"/>
      <c r="Z1420" s="1"/>
    </row>
    <row r="1421" spans="4:26" x14ac:dyDescent="0.25">
      <c r="D1421" s="17"/>
      <c r="Q1421" s="17"/>
      <c r="T1421" s="1"/>
      <c r="X1421" s="1"/>
      <c r="Y1421" s="1"/>
      <c r="Z1421" s="1"/>
    </row>
    <row r="1422" spans="4:26" x14ac:dyDescent="0.25">
      <c r="D1422" s="16"/>
      <c r="Q1422" s="16"/>
      <c r="T1422" s="1"/>
      <c r="X1422" s="1"/>
      <c r="Y1422" s="1"/>
      <c r="Z1422" s="1"/>
    </row>
    <row r="1423" spans="4:26" x14ac:dyDescent="0.25">
      <c r="D1423" s="17"/>
      <c r="Q1423" s="17"/>
      <c r="T1423" s="1"/>
      <c r="X1423" s="1"/>
      <c r="Y1423" s="1"/>
      <c r="Z1423" s="1"/>
    </row>
    <row r="1425" spans="4:26" x14ac:dyDescent="0.25">
      <c r="D1425" s="16"/>
      <c r="Q1425" s="16"/>
    </row>
    <row r="1426" spans="4:26" x14ac:dyDescent="0.25">
      <c r="D1426" s="17"/>
      <c r="Q1426" s="17"/>
      <c r="T1426" s="1"/>
      <c r="X1426" s="1"/>
      <c r="Y1426" s="1"/>
      <c r="Z1426" s="1"/>
    </row>
    <row r="1427" spans="4:26" x14ac:dyDescent="0.25">
      <c r="D1427" s="17"/>
      <c r="Q1427" s="17"/>
      <c r="T1427" s="1"/>
      <c r="X1427" s="1"/>
      <c r="Y1427" s="1"/>
      <c r="Z1427" s="1"/>
    </row>
    <row r="1428" spans="4:26" x14ac:dyDescent="0.25">
      <c r="D1428" s="16"/>
      <c r="Q1428" s="16"/>
      <c r="T1428" s="1"/>
      <c r="X1428" s="1"/>
      <c r="Y1428" s="1"/>
      <c r="Z1428" s="1"/>
    </row>
    <row r="1429" spans="4:26" x14ac:dyDescent="0.25">
      <c r="D1429" s="17"/>
      <c r="Q1429" s="17"/>
      <c r="T1429" s="1"/>
      <c r="X1429" s="1"/>
      <c r="Y1429" s="1"/>
      <c r="Z1429" s="1"/>
    </row>
    <row r="1430" spans="4:26" x14ac:dyDescent="0.25">
      <c r="D1430" s="17"/>
      <c r="Q1430" s="17"/>
      <c r="T1430" s="1"/>
      <c r="X1430" s="1"/>
      <c r="Y1430" s="1"/>
      <c r="Z1430" s="1"/>
    </row>
    <row r="1431" spans="4:26" x14ac:dyDescent="0.25">
      <c r="D1431" s="16"/>
      <c r="Q1431" s="16"/>
    </row>
    <row r="1433" spans="4:26" x14ac:dyDescent="0.25">
      <c r="D1433" s="17"/>
      <c r="Q1433" s="17"/>
      <c r="T1433" s="1"/>
      <c r="X1433" s="1"/>
      <c r="Y1433" s="1"/>
      <c r="Z1433" s="1"/>
    </row>
    <row r="1434" spans="4:26" x14ac:dyDescent="0.25">
      <c r="D1434" s="16"/>
      <c r="Q1434" s="16"/>
      <c r="T1434" s="1"/>
      <c r="X1434" s="1"/>
      <c r="Y1434" s="1"/>
      <c r="Z1434" s="1"/>
    </row>
    <row r="1435" spans="4:26" x14ac:dyDescent="0.25">
      <c r="D1435" s="17"/>
      <c r="Q1435" s="17"/>
      <c r="T1435" s="1"/>
      <c r="X1435" s="1"/>
      <c r="Y1435" s="1"/>
      <c r="Z1435" s="1"/>
    </row>
    <row r="1436" spans="4:26" x14ac:dyDescent="0.25">
      <c r="D1436" s="17"/>
      <c r="Q1436" s="17"/>
      <c r="T1436" s="1"/>
      <c r="X1436" s="1"/>
      <c r="Y1436" s="1"/>
      <c r="Z1436" s="1"/>
    </row>
    <row r="1437" spans="4:26" x14ac:dyDescent="0.25">
      <c r="D1437" s="16"/>
      <c r="Q1437" s="16"/>
    </row>
    <row r="1439" spans="4:26" x14ac:dyDescent="0.25">
      <c r="D1439" s="17"/>
      <c r="Q1439" s="17"/>
      <c r="T1439" s="1"/>
      <c r="X1439" s="1"/>
      <c r="Y1439" s="1"/>
      <c r="Z1439" s="1"/>
    </row>
    <row r="1440" spans="4:26" x14ac:dyDescent="0.25">
      <c r="D1440" s="16"/>
      <c r="Q1440" s="16"/>
    </row>
    <row r="1442" spans="4:26" x14ac:dyDescent="0.25">
      <c r="D1442" s="17"/>
      <c r="Q1442" s="17"/>
      <c r="T1442" s="1"/>
      <c r="X1442" s="1"/>
      <c r="Y1442" s="1"/>
      <c r="Z1442" s="1"/>
    </row>
    <row r="1443" spans="4:26" x14ac:dyDescent="0.25">
      <c r="D1443" s="16"/>
      <c r="Q1443" s="16"/>
    </row>
    <row r="1444" spans="4:26" x14ac:dyDescent="0.25">
      <c r="D1444" s="16"/>
      <c r="Q1444" s="16"/>
    </row>
    <row r="1445" spans="4:26" x14ac:dyDescent="0.25">
      <c r="D1445" s="16"/>
      <c r="Q1445" s="16"/>
      <c r="T1445" s="1"/>
      <c r="X1445" s="1"/>
      <c r="Y1445" s="1"/>
      <c r="Z1445" s="1"/>
    </row>
    <row r="1446" spans="4:26" x14ac:dyDescent="0.25">
      <c r="D1446" s="16"/>
      <c r="Q1446" s="16"/>
    </row>
    <row r="1448" spans="4:26" x14ac:dyDescent="0.25">
      <c r="D1448" s="16"/>
      <c r="Q1448" s="16"/>
      <c r="T1448" s="1"/>
      <c r="X1448" s="1"/>
      <c r="Y1448" s="1"/>
      <c r="Z1448" s="1"/>
    </row>
    <row r="1449" spans="4:26" x14ac:dyDescent="0.25">
      <c r="D1449" s="16"/>
      <c r="Q1449" s="16"/>
    </row>
    <row r="1451" spans="4:26" x14ac:dyDescent="0.25">
      <c r="D1451" s="16"/>
      <c r="Q1451" s="16"/>
      <c r="T1451" s="1"/>
      <c r="X1451" s="1"/>
      <c r="Y1451" s="1"/>
      <c r="Z1451" s="1"/>
    </row>
    <row r="1452" spans="4:26" x14ac:dyDescent="0.25">
      <c r="D1452" s="16"/>
      <c r="Q1452" s="16"/>
    </row>
    <row r="1453" spans="4:26" x14ac:dyDescent="0.25">
      <c r="D1453" s="16"/>
      <c r="Q1453" s="16"/>
    </row>
    <row r="1454" spans="4:26" x14ac:dyDescent="0.25">
      <c r="D1454" s="17"/>
      <c r="Q1454" s="17"/>
      <c r="T1454" s="1"/>
      <c r="X1454" s="1"/>
      <c r="Y1454" s="1"/>
      <c r="Z1454" s="1"/>
    </row>
    <row r="1455" spans="4:26" x14ac:dyDescent="0.25">
      <c r="D1455" s="16"/>
      <c r="Q1455" s="16"/>
    </row>
    <row r="1456" spans="4:26" x14ac:dyDescent="0.25">
      <c r="D1456" s="16"/>
      <c r="Q1456" s="16"/>
    </row>
    <row r="1457" spans="4:26" x14ac:dyDescent="0.25">
      <c r="D1457" s="16"/>
      <c r="Q1457" s="16"/>
      <c r="T1457" s="1"/>
      <c r="X1457" s="1"/>
      <c r="Y1457" s="1"/>
      <c r="Z1457" s="1"/>
    </row>
    <row r="1458" spans="4:26" x14ac:dyDescent="0.25">
      <c r="D1458" s="16"/>
      <c r="Q1458" s="16"/>
    </row>
    <row r="1460" spans="4:26" x14ac:dyDescent="0.25">
      <c r="D1460" s="17"/>
      <c r="Q1460" s="17"/>
      <c r="T1460" s="1"/>
      <c r="X1460" s="1"/>
      <c r="Y1460" s="1"/>
      <c r="Z1460" s="1"/>
    </row>
    <row r="1461" spans="4:26" x14ac:dyDescent="0.25">
      <c r="D1461" s="16"/>
      <c r="Q1461" s="16"/>
    </row>
    <row r="1462" spans="4:26" x14ac:dyDescent="0.25">
      <c r="D1462" s="16"/>
      <c r="Q1462" s="16"/>
    </row>
    <row r="1463" spans="4:26" x14ac:dyDescent="0.25">
      <c r="D1463" s="16"/>
      <c r="Q1463" s="16"/>
      <c r="T1463" s="1"/>
      <c r="X1463" s="1"/>
      <c r="Y1463" s="1"/>
      <c r="Z1463" s="1"/>
    </row>
    <row r="1464" spans="4:26" x14ac:dyDescent="0.25">
      <c r="D1464" s="16"/>
      <c r="Q1464" s="16"/>
    </row>
    <row r="1466" spans="4:26" x14ac:dyDescent="0.25">
      <c r="D1466" s="16"/>
      <c r="Q1466" s="16"/>
      <c r="T1466" s="1"/>
      <c r="X1466" s="1"/>
      <c r="Y1466" s="1"/>
      <c r="Z1466" s="1"/>
    </row>
    <row r="1467" spans="4:26" x14ac:dyDescent="0.25">
      <c r="D1467" s="16"/>
      <c r="Q1467" s="16"/>
    </row>
    <row r="1469" spans="4:26" x14ac:dyDescent="0.25">
      <c r="D1469" s="16"/>
      <c r="Q1469" s="16"/>
      <c r="T1469" s="1"/>
      <c r="X1469" s="1"/>
      <c r="Y1469" s="1"/>
      <c r="Z1469" s="1"/>
    </row>
    <row r="1470" spans="4:26" x14ac:dyDescent="0.25">
      <c r="D1470" s="16"/>
      <c r="Q1470" s="16"/>
    </row>
    <row r="1471" spans="4:26" x14ac:dyDescent="0.25">
      <c r="D1471" s="16"/>
      <c r="Q1471" s="16"/>
    </row>
    <row r="1472" spans="4:26" x14ac:dyDescent="0.25">
      <c r="D1472" s="16"/>
      <c r="Q1472" s="16"/>
      <c r="T1472" s="1"/>
      <c r="X1472" s="1"/>
      <c r="Y1472" s="1"/>
      <c r="Z1472" s="1"/>
    </row>
    <row r="1473" spans="4:26" x14ac:dyDescent="0.25">
      <c r="D1473" s="16"/>
      <c r="Q1473" s="16"/>
    </row>
    <row r="1475" spans="4:26" x14ac:dyDescent="0.25">
      <c r="D1475" s="16"/>
      <c r="Q1475" s="16"/>
      <c r="T1475" s="1"/>
      <c r="X1475" s="1"/>
      <c r="Y1475" s="1"/>
      <c r="Z1475" s="1"/>
    </row>
    <row r="1476" spans="4:26" x14ac:dyDescent="0.25">
      <c r="D1476" s="16"/>
      <c r="Q1476" s="16"/>
    </row>
    <row r="1478" spans="4:26" x14ac:dyDescent="0.25">
      <c r="D1478" s="16"/>
      <c r="Q1478" s="16"/>
      <c r="T1478" s="1"/>
      <c r="X1478" s="1"/>
      <c r="Y1478" s="1"/>
      <c r="Z1478" s="1"/>
    </row>
    <row r="1479" spans="4:26" x14ac:dyDescent="0.25">
      <c r="D1479" s="16"/>
      <c r="Q1479" s="16"/>
    </row>
    <row r="1481" spans="4:26" x14ac:dyDescent="0.25">
      <c r="D1481" s="16"/>
      <c r="Q1481" s="16"/>
      <c r="T1481" s="1"/>
      <c r="X1481" s="1"/>
      <c r="Y1481" s="1"/>
      <c r="Z1481" s="1"/>
    </row>
    <row r="1482" spans="4:26" x14ac:dyDescent="0.25">
      <c r="D1482" s="16"/>
      <c r="Q1482" s="16"/>
    </row>
    <row r="1484" spans="4:26" x14ac:dyDescent="0.25">
      <c r="D1484" s="17"/>
      <c r="Q1484" s="17"/>
      <c r="T1484" s="1"/>
      <c r="X1484" s="1"/>
      <c r="Y1484" s="1"/>
      <c r="Z1484" s="1"/>
    </row>
    <row r="1485" spans="4:26" x14ac:dyDescent="0.25">
      <c r="D1485" s="16"/>
      <c r="Q1485" s="16"/>
      <c r="T1485" s="1"/>
      <c r="X1485" s="1"/>
      <c r="Y1485" s="1"/>
      <c r="Z1485" s="1"/>
    </row>
    <row r="1486" spans="4:26" x14ac:dyDescent="0.25">
      <c r="D1486" s="16"/>
      <c r="Q1486" s="16"/>
    </row>
    <row r="1488" spans="4:26" x14ac:dyDescent="0.25">
      <c r="D1488" s="16"/>
      <c r="Q1488" s="16"/>
      <c r="T1488" s="1"/>
      <c r="X1488" s="1"/>
      <c r="Y1488" s="1"/>
      <c r="Z1488" s="1"/>
    </row>
    <row r="1489" spans="4:26" x14ac:dyDescent="0.25">
      <c r="D1489" s="16"/>
      <c r="Q1489" s="16"/>
    </row>
    <row r="1490" spans="4:26" x14ac:dyDescent="0.25">
      <c r="D1490" s="16"/>
      <c r="Q1490" s="16"/>
    </row>
    <row r="1491" spans="4:26" x14ac:dyDescent="0.25">
      <c r="D1491" s="16"/>
      <c r="Q1491" s="16"/>
      <c r="T1491" s="1"/>
      <c r="X1491" s="1"/>
      <c r="Y1491" s="1"/>
      <c r="Z1491" s="1"/>
    </row>
    <row r="1492" spans="4:26" x14ac:dyDescent="0.25">
      <c r="Q1492" s="16"/>
    </row>
    <row r="1493" spans="4:26" x14ac:dyDescent="0.25">
      <c r="D1493" s="16"/>
      <c r="Q1493" s="16"/>
    </row>
    <row r="1494" spans="4:26" x14ac:dyDescent="0.25">
      <c r="D1494" s="16"/>
      <c r="Q1494" s="16"/>
      <c r="T1494" s="1"/>
      <c r="X1494" s="1"/>
      <c r="Y1494" s="1"/>
      <c r="Z1494" s="1"/>
    </row>
    <row r="1495" spans="4:26" x14ac:dyDescent="0.25">
      <c r="D1495" s="16"/>
      <c r="Q1495" s="16"/>
    </row>
    <row r="1497" spans="4:26" x14ac:dyDescent="0.25">
      <c r="D1497" s="17"/>
      <c r="Q1497" s="17"/>
      <c r="T1497" s="1"/>
      <c r="X1497" s="1"/>
      <c r="Y1497" s="1"/>
      <c r="Z1497" s="1"/>
    </row>
    <row r="1498" spans="4:26" x14ac:dyDescent="0.25">
      <c r="D1498" s="16"/>
      <c r="Q1498" s="16"/>
    </row>
    <row r="1499" spans="4:26" x14ac:dyDescent="0.25">
      <c r="D1499" s="16"/>
      <c r="Q1499" s="16"/>
    </row>
    <row r="1500" spans="4:26" x14ac:dyDescent="0.25">
      <c r="D1500" s="17"/>
      <c r="Q1500" s="17"/>
      <c r="T1500" s="1"/>
      <c r="X1500" s="1"/>
      <c r="Y1500" s="1"/>
      <c r="Z1500" s="1"/>
    </row>
    <row r="1502" spans="4:26" x14ac:dyDescent="0.25">
      <c r="D1502" s="16"/>
      <c r="Q1502" s="16"/>
    </row>
    <row r="1503" spans="4:26" x14ac:dyDescent="0.25">
      <c r="D1503" s="16"/>
      <c r="Q1503" s="16"/>
      <c r="T1503" s="1"/>
      <c r="X1503" s="1"/>
      <c r="Y1503" s="1"/>
      <c r="Z1503" s="1"/>
    </row>
    <row r="1504" spans="4:26" x14ac:dyDescent="0.25">
      <c r="D1504" s="17"/>
      <c r="Q1504" s="17"/>
      <c r="T1504" s="1"/>
      <c r="X1504" s="1"/>
      <c r="Y1504" s="1"/>
      <c r="Z1504" s="1"/>
    </row>
    <row r="1506" spans="4:26" x14ac:dyDescent="0.25">
      <c r="D1506" s="16"/>
      <c r="Q1506" s="16"/>
    </row>
    <row r="1507" spans="4:26" x14ac:dyDescent="0.25">
      <c r="D1507" s="17"/>
      <c r="Q1507" s="17"/>
      <c r="T1507" s="1"/>
      <c r="X1507" s="1"/>
      <c r="Y1507" s="1"/>
      <c r="Z1507" s="1"/>
    </row>
    <row r="1509" spans="4:26" x14ac:dyDescent="0.25">
      <c r="D1509" s="16"/>
      <c r="Q1509" s="16"/>
    </row>
    <row r="1510" spans="4:26" x14ac:dyDescent="0.25">
      <c r="D1510" s="16"/>
      <c r="Q1510" s="16"/>
      <c r="T1510" s="1"/>
      <c r="X1510" s="1"/>
      <c r="Y1510" s="1"/>
      <c r="Z1510" s="1"/>
    </row>
    <row r="1511" spans="4:26" x14ac:dyDescent="0.25">
      <c r="D1511" s="16"/>
      <c r="Q1511" s="16"/>
    </row>
    <row r="1512" spans="4:26" x14ac:dyDescent="0.25">
      <c r="D1512" s="16"/>
      <c r="Q1512" s="16"/>
    </row>
    <row r="1513" spans="4:26" x14ac:dyDescent="0.25">
      <c r="D1513" s="16"/>
      <c r="Q1513" s="16"/>
      <c r="T1513" s="1"/>
      <c r="X1513" s="1"/>
      <c r="Y1513" s="1"/>
      <c r="Z1513" s="1"/>
    </row>
    <row r="1515" spans="4:26" x14ac:dyDescent="0.25">
      <c r="D1515" s="16"/>
      <c r="Q1515" s="16"/>
    </row>
    <row r="1516" spans="4:26" x14ac:dyDescent="0.25">
      <c r="D1516" s="16"/>
      <c r="Q1516" s="16"/>
      <c r="T1516" s="1"/>
      <c r="X1516" s="1"/>
      <c r="Y1516" s="1"/>
      <c r="Z1516" s="1"/>
    </row>
    <row r="1517" spans="4:26" x14ac:dyDescent="0.25">
      <c r="D1517" s="16"/>
      <c r="Q1517" s="16"/>
    </row>
    <row r="1518" spans="4:26" x14ac:dyDescent="0.25">
      <c r="D1518" s="16"/>
      <c r="Q1518" s="16"/>
    </row>
    <row r="1519" spans="4:26" x14ac:dyDescent="0.25">
      <c r="D1519" s="17"/>
      <c r="Q1519" s="17"/>
      <c r="T1519" s="1"/>
      <c r="X1519" s="1"/>
      <c r="Y1519" s="1"/>
      <c r="Z1519" s="1"/>
    </row>
    <row r="1520" spans="4:26" x14ac:dyDescent="0.25">
      <c r="D1520" s="16"/>
      <c r="Q1520" s="16"/>
    </row>
    <row r="1521" spans="4:26" x14ac:dyDescent="0.25">
      <c r="D1521" s="16"/>
      <c r="Q1521" s="16"/>
    </row>
    <row r="1522" spans="4:26" x14ac:dyDescent="0.25">
      <c r="D1522" s="16"/>
      <c r="Q1522" s="16"/>
      <c r="T1522" s="1"/>
      <c r="X1522" s="1"/>
      <c r="Y1522" s="1"/>
      <c r="Z1522" s="1"/>
    </row>
    <row r="1523" spans="4:26" x14ac:dyDescent="0.25">
      <c r="D1523" s="16"/>
      <c r="Q1523" s="16"/>
    </row>
    <row r="1525" spans="4:26" x14ac:dyDescent="0.25">
      <c r="D1525" s="17"/>
      <c r="Q1525" s="17"/>
      <c r="T1525" s="1"/>
      <c r="X1525" s="1"/>
      <c r="Y1525" s="1"/>
      <c r="Z1525" s="1"/>
    </row>
    <row r="1526" spans="4:26" x14ac:dyDescent="0.25">
      <c r="D1526" s="16"/>
      <c r="Q1526" s="16"/>
    </row>
    <row r="1528" spans="4:26" x14ac:dyDescent="0.25">
      <c r="D1528" s="17"/>
      <c r="Q1528" s="17"/>
      <c r="T1528" s="1"/>
      <c r="X1528" s="1"/>
      <c r="Y1528" s="1"/>
      <c r="Z1528" s="1"/>
    </row>
    <row r="1529" spans="4:26" x14ac:dyDescent="0.25">
      <c r="D1529" s="16"/>
      <c r="Q1529" s="16"/>
    </row>
    <row r="1531" spans="4:26" x14ac:dyDescent="0.25">
      <c r="D1531" s="17"/>
      <c r="Q1531" s="17"/>
      <c r="T1531" s="1"/>
      <c r="X1531" s="1"/>
      <c r="Y1531" s="1"/>
      <c r="Z1531" s="1"/>
    </row>
    <row r="1532" spans="4:26" x14ac:dyDescent="0.25">
      <c r="D1532" s="16"/>
      <c r="Q1532" s="16"/>
    </row>
    <row r="1534" spans="4:26" x14ac:dyDescent="0.25">
      <c r="D1534" s="17"/>
      <c r="Q1534" s="17"/>
      <c r="T1534" s="1"/>
      <c r="X1534" s="1"/>
      <c r="Y1534" s="1"/>
      <c r="Z1534" s="1"/>
    </row>
    <row r="1535" spans="4:26" x14ac:dyDescent="0.25">
      <c r="D1535" s="16"/>
      <c r="Q1535" s="16"/>
    </row>
    <row r="1537" spans="4:26" x14ac:dyDescent="0.25">
      <c r="D1537" s="17"/>
      <c r="Q1537" s="17"/>
      <c r="T1537" s="1"/>
      <c r="X1537" s="1"/>
      <c r="Y1537" s="1"/>
      <c r="Z1537" s="1"/>
    </row>
    <row r="1538" spans="4:26" x14ac:dyDescent="0.25">
      <c r="D1538" s="16"/>
      <c r="Q1538" s="16"/>
    </row>
    <row r="1539" spans="4:26" x14ac:dyDescent="0.25">
      <c r="Q1539" s="16"/>
    </row>
    <row r="1540" spans="4:26" x14ac:dyDescent="0.25">
      <c r="D1540" s="17"/>
      <c r="Q1540" s="16"/>
      <c r="T1540" s="1"/>
      <c r="X1540" s="1"/>
      <c r="Y1540" s="1"/>
      <c r="Z1540" s="1"/>
    </row>
    <row r="1541" spans="4:26" x14ac:dyDescent="0.25">
      <c r="D1541" s="16"/>
      <c r="Q1541" s="16"/>
    </row>
    <row r="1543" spans="4:26" x14ac:dyDescent="0.25">
      <c r="D1543" s="16"/>
      <c r="Q1543" s="16"/>
      <c r="T1543" s="1"/>
      <c r="X1543" s="1"/>
      <c r="Y1543" s="1"/>
      <c r="Z1543" s="1"/>
    </row>
    <row r="1544" spans="4:26" x14ac:dyDescent="0.25">
      <c r="D1544" s="16"/>
      <c r="Q1544" s="16"/>
    </row>
    <row r="1546" spans="4:26" x14ac:dyDescent="0.25">
      <c r="D1546" s="17"/>
      <c r="Q1546" s="17"/>
      <c r="T1546" s="1"/>
      <c r="X1546" s="1"/>
      <c r="Y1546" s="1"/>
      <c r="Z1546" s="1"/>
    </row>
    <row r="1547" spans="4:26" x14ac:dyDescent="0.25">
      <c r="D1547" s="16"/>
      <c r="Q1547" s="16"/>
    </row>
    <row r="1549" spans="4:26" x14ac:dyDescent="0.25">
      <c r="D1549" s="17"/>
      <c r="Q1549" s="17"/>
      <c r="T1549" s="1"/>
      <c r="X1549" s="1"/>
      <c r="Y1549" s="1"/>
      <c r="Z1549" s="1"/>
    </row>
    <row r="1550" spans="4:26" x14ac:dyDescent="0.25">
      <c r="D1550" s="16"/>
      <c r="Q1550" s="16"/>
    </row>
    <row r="1552" spans="4:26" x14ac:dyDescent="0.25">
      <c r="D1552" s="17"/>
      <c r="Q1552" s="17"/>
      <c r="T1552" s="1"/>
      <c r="X1552" s="1"/>
      <c r="Y1552" s="1"/>
      <c r="Z1552" s="1"/>
    </row>
    <row r="1553" spans="4:26" x14ac:dyDescent="0.25">
      <c r="D1553" s="16"/>
      <c r="Q1553" s="16"/>
      <c r="T1553" s="1"/>
      <c r="X1553" s="1"/>
      <c r="Y1553" s="1"/>
      <c r="Z1553" s="1"/>
    </row>
    <row r="1556" spans="4:26" x14ac:dyDescent="0.25">
      <c r="D1556" s="16"/>
      <c r="Q1556" s="16"/>
      <c r="T1556" s="1"/>
      <c r="X1556" s="1"/>
      <c r="Y1556" s="1"/>
      <c r="Z1556" s="1"/>
    </row>
    <row r="1557" spans="4:26" x14ac:dyDescent="0.25">
      <c r="D1557" s="17"/>
      <c r="Q1557" s="17"/>
      <c r="T1557" s="1"/>
      <c r="X1557" s="1"/>
      <c r="Y1557" s="1"/>
      <c r="Z1557" s="1"/>
    </row>
    <row r="1558" spans="4:26" x14ac:dyDescent="0.25">
      <c r="D1558" s="17"/>
      <c r="Q1558" s="17"/>
      <c r="T1558" s="1"/>
      <c r="X1558" s="1"/>
      <c r="Y1558" s="1"/>
      <c r="Z1558" s="1"/>
    </row>
    <row r="1559" spans="4:26" x14ac:dyDescent="0.25">
      <c r="D1559" s="16"/>
      <c r="Q1559" s="16"/>
    </row>
    <row r="1561" spans="4:26" x14ac:dyDescent="0.25">
      <c r="D1561" s="17"/>
      <c r="Q1561" s="17"/>
      <c r="T1561" s="1"/>
      <c r="X1561" s="1"/>
      <c r="Y1561" s="1"/>
      <c r="Z1561" s="1"/>
    </row>
    <row r="1562" spans="4:26" x14ac:dyDescent="0.25">
      <c r="D1562" s="16"/>
      <c r="Q1562" s="16"/>
      <c r="T1562" s="1"/>
      <c r="X1562" s="1"/>
      <c r="Y1562" s="1"/>
      <c r="Z1562" s="1"/>
    </row>
    <row r="1565" spans="4:26" x14ac:dyDescent="0.25">
      <c r="D1565" s="16"/>
      <c r="Q1565" s="16"/>
      <c r="T1565" s="1"/>
      <c r="X1565" s="1"/>
      <c r="Y1565" s="1"/>
      <c r="Z1565" s="1"/>
    </row>
    <row r="1568" spans="4:26" x14ac:dyDescent="0.25">
      <c r="D1568" s="16"/>
      <c r="Q1568" s="16"/>
      <c r="T1568" s="1"/>
      <c r="X1568" s="1"/>
      <c r="Y1568" s="1"/>
      <c r="Z1568" s="1"/>
    </row>
    <row r="1571" spans="4:26" x14ac:dyDescent="0.25">
      <c r="D1571" s="16"/>
      <c r="Q1571" s="16"/>
      <c r="T1571" s="1"/>
      <c r="X1571" s="1"/>
      <c r="Y1571" s="1"/>
      <c r="Z1571" s="1"/>
    </row>
    <row r="1574" spans="4:26" x14ac:dyDescent="0.25">
      <c r="D1574" s="16"/>
      <c r="Q1574" s="16"/>
      <c r="T1574" s="1"/>
      <c r="X1574" s="1"/>
      <c r="Y1574" s="1"/>
      <c r="Z1574" s="1"/>
    </row>
    <row r="1577" spans="4:26" x14ac:dyDescent="0.25">
      <c r="D1577" s="16"/>
      <c r="Q1577" s="16"/>
      <c r="T1577" s="1"/>
      <c r="X1577" s="1"/>
      <c r="Y1577" s="1"/>
      <c r="Z1577" s="1"/>
    </row>
    <row r="1580" spans="4:26" x14ac:dyDescent="0.25">
      <c r="D1580" s="16"/>
      <c r="Q1580" s="16"/>
      <c r="T1580" s="1"/>
      <c r="X1580" s="1"/>
      <c r="Y1580" s="1"/>
      <c r="Z1580" s="1"/>
    </row>
    <row r="1581" spans="4:26" x14ac:dyDescent="0.25">
      <c r="Q1581" s="16"/>
    </row>
    <row r="1583" spans="4:26" x14ac:dyDescent="0.25">
      <c r="D1583" s="16"/>
      <c r="Q1583" s="16"/>
      <c r="T1583" s="1"/>
      <c r="X1583" s="1"/>
      <c r="Y1583" s="1"/>
      <c r="Z1583" s="1"/>
    </row>
    <row r="1584" spans="4:26" x14ac:dyDescent="0.25">
      <c r="D1584" s="16"/>
      <c r="Q1584" s="16"/>
    </row>
    <row r="1586" spans="4:26" x14ac:dyDescent="0.25">
      <c r="D1586" s="16"/>
      <c r="Q1586" s="16"/>
      <c r="T1586" s="1"/>
      <c r="X1586" s="1"/>
      <c r="Y1586" s="1"/>
      <c r="Z1586" s="1"/>
    </row>
    <row r="1587" spans="4:26" x14ac:dyDescent="0.25">
      <c r="D1587" s="16"/>
      <c r="Q1587" s="16"/>
    </row>
    <row r="1589" spans="4:26" x14ac:dyDescent="0.25">
      <c r="D1589" s="16"/>
      <c r="Q1589" s="16"/>
      <c r="T1589" s="1"/>
      <c r="X1589" s="1"/>
      <c r="Y1589" s="1"/>
      <c r="Z1589" s="1"/>
    </row>
    <row r="1590" spans="4:26" x14ac:dyDescent="0.25">
      <c r="D1590" s="16"/>
      <c r="Q1590" s="16"/>
    </row>
    <row r="1592" spans="4:26" x14ac:dyDescent="0.25">
      <c r="D1592" s="16"/>
      <c r="Q1592" s="16"/>
      <c r="T1592" s="1"/>
      <c r="X1592" s="1"/>
      <c r="Y1592" s="1"/>
      <c r="Z1592" s="1"/>
    </row>
    <row r="1593" spans="4:26" x14ac:dyDescent="0.25">
      <c r="D1593" s="16"/>
      <c r="Q1593" s="16"/>
    </row>
    <row r="1595" spans="4:26" x14ac:dyDescent="0.25">
      <c r="D1595" s="16"/>
      <c r="Q1595" s="16"/>
      <c r="T1595" s="1"/>
      <c r="X1595" s="1"/>
      <c r="Y1595" s="1"/>
      <c r="Z1595" s="1"/>
    </row>
    <row r="1596" spans="4:26" x14ac:dyDescent="0.25">
      <c r="D1596" s="16"/>
      <c r="Q1596" s="16"/>
      <c r="T1596" s="1"/>
      <c r="X1596" s="1"/>
      <c r="Y1596" s="1"/>
      <c r="Z1596" s="1"/>
    </row>
    <row r="1597" spans="4:26" x14ac:dyDescent="0.25">
      <c r="D1597" s="17"/>
      <c r="Q1597" s="17"/>
      <c r="T1597" s="1"/>
      <c r="X1597" s="1"/>
      <c r="Y1597" s="1"/>
      <c r="Z1597" s="1"/>
    </row>
    <row r="1598" spans="4:26" x14ac:dyDescent="0.25">
      <c r="D1598" s="16"/>
      <c r="Q1598" s="16"/>
      <c r="T1598" s="1"/>
      <c r="X1598" s="1"/>
      <c r="Y1598" s="1"/>
      <c r="Z1598" s="1"/>
    </row>
    <row r="1599" spans="4:26" x14ac:dyDescent="0.25">
      <c r="D1599" s="16"/>
      <c r="Q1599" s="16"/>
    </row>
    <row r="1600" spans="4:26" x14ac:dyDescent="0.25">
      <c r="Q1600" s="16"/>
    </row>
    <row r="1601" spans="4:26" x14ac:dyDescent="0.25">
      <c r="D1601" s="16"/>
      <c r="Q1601" s="16"/>
      <c r="T1601" s="1"/>
      <c r="X1601" s="1"/>
      <c r="Y1601" s="1"/>
      <c r="Z1601" s="1"/>
    </row>
    <row r="1602" spans="4:26" x14ac:dyDescent="0.25">
      <c r="D1602" s="17"/>
      <c r="Q1602" s="17"/>
      <c r="T1602" s="1"/>
      <c r="X1602" s="1"/>
      <c r="Y1602" s="1"/>
      <c r="Z1602" s="1"/>
    </row>
    <row r="1603" spans="4:26" x14ac:dyDescent="0.25">
      <c r="D1603" s="17"/>
      <c r="Q1603" s="17"/>
      <c r="T1603" s="1"/>
      <c r="X1603" s="1"/>
      <c r="Y1603" s="1"/>
      <c r="Z1603" s="1"/>
    </row>
    <row r="1604" spans="4:26" x14ac:dyDescent="0.25">
      <c r="D1604" s="16"/>
      <c r="Q1604" s="16"/>
      <c r="T1604" s="1"/>
      <c r="X1604" s="1"/>
      <c r="Y1604" s="1"/>
      <c r="Z1604" s="1"/>
    </row>
    <row r="1605" spans="4:26" x14ac:dyDescent="0.25">
      <c r="Q1605" s="16"/>
    </row>
    <row r="1606" spans="4:26" x14ac:dyDescent="0.25">
      <c r="Q1606" s="16"/>
    </row>
    <row r="1607" spans="4:26" x14ac:dyDescent="0.25">
      <c r="D1607" s="16"/>
      <c r="Q1607" s="16"/>
      <c r="T1607" s="1"/>
      <c r="X1607" s="1"/>
      <c r="Y1607" s="1"/>
      <c r="Z1607" s="1"/>
    </row>
    <row r="1608" spans="4:26" x14ac:dyDescent="0.25">
      <c r="D1608" s="17"/>
      <c r="Q1608" s="16"/>
      <c r="T1608" s="1"/>
      <c r="X1608" s="1"/>
      <c r="Y1608" s="1"/>
      <c r="Z1608" s="1"/>
    </row>
    <row r="1609" spans="4:26" x14ac:dyDescent="0.25">
      <c r="D1609" s="17"/>
      <c r="Q1609" s="16"/>
      <c r="T1609" s="1"/>
      <c r="X1609" s="1"/>
      <c r="Y1609" s="1"/>
      <c r="Z1609" s="1"/>
    </row>
    <row r="1610" spans="4:26" x14ac:dyDescent="0.25">
      <c r="D1610" s="16"/>
      <c r="Q1610" s="16"/>
    </row>
    <row r="1611" spans="4:26" x14ac:dyDescent="0.25">
      <c r="Q1611" s="16"/>
    </row>
    <row r="1612" spans="4:26" x14ac:dyDescent="0.25">
      <c r="D1612" s="17"/>
      <c r="Q1612" s="16"/>
      <c r="T1612" s="1"/>
      <c r="X1612" s="1"/>
      <c r="Y1612" s="1"/>
      <c r="Z1612" s="1"/>
    </row>
    <row r="1613" spans="4:26" x14ac:dyDescent="0.25">
      <c r="D1613" s="16"/>
      <c r="Q1613" s="16"/>
      <c r="T1613" s="1"/>
      <c r="X1613" s="1"/>
      <c r="Y1613" s="1"/>
      <c r="Z1613" s="1"/>
    </row>
    <row r="1615" spans="4:26" x14ac:dyDescent="0.25">
      <c r="D1615" s="16"/>
      <c r="Q1615" s="16"/>
    </row>
    <row r="1616" spans="4:26" x14ac:dyDescent="0.25">
      <c r="D1616" s="16"/>
      <c r="Q1616" s="16"/>
      <c r="T1616" s="1"/>
      <c r="X1616" s="1"/>
      <c r="Y1616" s="1"/>
      <c r="Z1616" s="1"/>
    </row>
    <row r="1617" spans="4:26" x14ac:dyDescent="0.25">
      <c r="D1617" s="17"/>
      <c r="Q1617" s="17"/>
      <c r="T1617" s="1"/>
      <c r="X1617" s="1"/>
      <c r="Y1617" s="1"/>
      <c r="Z1617" s="1"/>
    </row>
    <row r="1618" spans="4:26" x14ac:dyDescent="0.25">
      <c r="D1618" s="16"/>
      <c r="Q1618" s="16"/>
    </row>
    <row r="1619" spans="4:26" x14ac:dyDescent="0.25">
      <c r="D1619" s="16"/>
      <c r="Q1619" s="16"/>
    </row>
    <row r="1620" spans="4:26" x14ac:dyDescent="0.25">
      <c r="D1620" s="17"/>
      <c r="Q1620" s="16"/>
      <c r="T1620" s="1"/>
      <c r="X1620" s="1"/>
      <c r="Y1620" s="1"/>
      <c r="Z1620" s="1"/>
    </row>
    <row r="1621" spans="4:26" x14ac:dyDescent="0.25">
      <c r="D1621" s="17"/>
      <c r="Q1621" s="17"/>
      <c r="T1621" s="1"/>
      <c r="X1621" s="1"/>
      <c r="Y1621" s="1"/>
      <c r="Z1621" s="1"/>
    </row>
    <row r="1622" spans="4:26" x14ac:dyDescent="0.25">
      <c r="D1622" s="16"/>
      <c r="Q1622" s="16"/>
    </row>
    <row r="1623" spans="4:26" x14ac:dyDescent="0.25">
      <c r="D1623" s="16"/>
      <c r="Q1623" s="16"/>
    </row>
    <row r="1624" spans="4:26" x14ac:dyDescent="0.25">
      <c r="D1624" s="17"/>
      <c r="Q1624" s="16"/>
      <c r="T1624" s="1"/>
      <c r="X1624" s="1"/>
      <c r="Y1624" s="1"/>
      <c r="Z1624" s="1"/>
    </row>
    <row r="1625" spans="4:26" x14ac:dyDescent="0.25">
      <c r="D1625" s="16"/>
      <c r="Q1625" s="16"/>
    </row>
    <row r="1626" spans="4:26" x14ac:dyDescent="0.25">
      <c r="Q1626" s="16"/>
    </row>
    <row r="1627" spans="4:26" x14ac:dyDescent="0.25">
      <c r="D1627" s="17"/>
      <c r="Q1627" s="16"/>
      <c r="T1627" s="1"/>
      <c r="X1627" s="1"/>
      <c r="Y1627" s="1"/>
      <c r="Z1627" s="1"/>
    </row>
    <row r="1628" spans="4:26" x14ac:dyDescent="0.25">
      <c r="D1628" s="16"/>
      <c r="Q1628" s="16"/>
    </row>
    <row r="1630" spans="4:26" x14ac:dyDescent="0.25">
      <c r="D1630" s="16"/>
      <c r="Q1630" s="16"/>
      <c r="T1630" s="1"/>
      <c r="X1630" s="1"/>
      <c r="Y1630" s="1"/>
      <c r="Z1630" s="1"/>
    </row>
    <row r="1631" spans="4:26" x14ac:dyDescent="0.25">
      <c r="D1631" s="16"/>
      <c r="Q1631" s="16"/>
      <c r="T1631" s="1"/>
      <c r="X1631" s="1"/>
      <c r="Y1631" s="1"/>
      <c r="Z1631" s="1"/>
    </row>
    <row r="1632" spans="4:26" x14ac:dyDescent="0.25">
      <c r="Q1632" s="16"/>
    </row>
    <row r="1633" spans="4:26" x14ac:dyDescent="0.25">
      <c r="Q1633" s="16"/>
    </row>
    <row r="1634" spans="4:26" x14ac:dyDescent="0.25">
      <c r="D1634" s="16"/>
      <c r="Q1634" s="16"/>
      <c r="T1634" s="1"/>
      <c r="X1634" s="1"/>
      <c r="Y1634" s="1"/>
      <c r="Z1634" s="1"/>
    </row>
    <row r="1635" spans="4:26" x14ac:dyDescent="0.25">
      <c r="D1635" s="17"/>
      <c r="Q1635" s="17"/>
      <c r="T1635" s="1"/>
      <c r="X1635" s="1"/>
      <c r="Y1635" s="1"/>
      <c r="Z1635" s="1"/>
    </row>
    <row r="1636" spans="4:26" x14ac:dyDescent="0.25">
      <c r="D1636" s="16"/>
      <c r="Q1636" s="16"/>
    </row>
    <row r="1637" spans="4:26" x14ac:dyDescent="0.25">
      <c r="D1637" s="16"/>
      <c r="Q1637" s="16"/>
    </row>
    <row r="1638" spans="4:26" x14ac:dyDescent="0.25">
      <c r="D1638" s="17"/>
      <c r="Q1638" s="17"/>
      <c r="T1638" s="1"/>
      <c r="X1638" s="1"/>
      <c r="Y1638" s="1"/>
      <c r="Z1638" s="1"/>
    </row>
    <row r="1639" spans="4:26" x14ac:dyDescent="0.25">
      <c r="D1639" s="16"/>
      <c r="Q1639" s="16"/>
    </row>
    <row r="1640" spans="4:26" x14ac:dyDescent="0.25">
      <c r="D1640" s="16"/>
      <c r="Q1640" s="16"/>
    </row>
    <row r="1641" spans="4:26" x14ac:dyDescent="0.25">
      <c r="D1641" s="17"/>
      <c r="Q1641" s="17"/>
      <c r="T1641" s="1"/>
      <c r="X1641" s="1"/>
      <c r="Y1641" s="1"/>
      <c r="Z1641" s="1"/>
    </row>
    <row r="1642" spans="4:26" x14ac:dyDescent="0.25">
      <c r="D1642" s="16"/>
      <c r="Q1642" s="16"/>
      <c r="T1642" s="1"/>
      <c r="X1642" s="1"/>
      <c r="Y1642" s="1"/>
      <c r="Z1642" s="1"/>
    </row>
    <row r="1643" spans="4:26" x14ac:dyDescent="0.25">
      <c r="D1643" s="16"/>
      <c r="Q1643" s="16"/>
    </row>
    <row r="1644" spans="4:26" x14ac:dyDescent="0.25">
      <c r="Q1644" s="16"/>
    </row>
    <row r="1645" spans="4:26" x14ac:dyDescent="0.25">
      <c r="D1645" s="17"/>
      <c r="Q1645" s="17"/>
      <c r="T1645" s="1"/>
      <c r="X1645" s="1"/>
      <c r="Y1645" s="1"/>
      <c r="Z1645" s="1"/>
    </row>
    <row r="1646" spans="4:26" x14ac:dyDescent="0.25">
      <c r="D1646" s="16"/>
      <c r="Q1646" s="16"/>
      <c r="T1646" s="1"/>
      <c r="X1646" s="1"/>
      <c r="Y1646" s="1"/>
      <c r="Z1646" s="1"/>
    </row>
    <row r="1647" spans="4:26" x14ac:dyDescent="0.25">
      <c r="D1647" s="16"/>
      <c r="Q1647" s="16"/>
    </row>
    <row r="1648" spans="4:26" x14ac:dyDescent="0.25">
      <c r="Q1648" s="16"/>
    </row>
    <row r="1649" spans="4:26" x14ac:dyDescent="0.25">
      <c r="D1649" s="16"/>
      <c r="Q1649" s="16"/>
      <c r="T1649" s="1"/>
      <c r="X1649" s="1"/>
      <c r="Y1649" s="1"/>
      <c r="Z1649" s="1"/>
    </row>
    <row r="1650" spans="4:26" x14ac:dyDescent="0.25">
      <c r="D1650" s="17"/>
      <c r="Q1650" s="17"/>
      <c r="T1650" s="1"/>
      <c r="X1650" s="1"/>
      <c r="Y1650" s="1"/>
      <c r="Z1650" s="1"/>
    </row>
    <row r="1651" spans="4:26" x14ac:dyDescent="0.25">
      <c r="D1651" s="16"/>
      <c r="Q1651" s="16"/>
    </row>
    <row r="1652" spans="4:26" x14ac:dyDescent="0.25">
      <c r="D1652" s="16"/>
      <c r="Q1652" s="16"/>
    </row>
    <row r="1653" spans="4:26" x14ac:dyDescent="0.25">
      <c r="D1653" s="17"/>
      <c r="Q1653" s="17"/>
      <c r="T1653" s="1"/>
      <c r="X1653" s="1"/>
      <c r="Y1653" s="1"/>
      <c r="Z1653" s="1"/>
    </row>
    <row r="1654" spans="4:26" x14ac:dyDescent="0.25">
      <c r="D1654" s="16"/>
      <c r="Q1654" s="16"/>
      <c r="T1654" s="1"/>
      <c r="X1654" s="1"/>
      <c r="Y1654" s="1"/>
      <c r="Z1654" s="1"/>
    </row>
    <row r="1655" spans="4:26" x14ac:dyDescent="0.25">
      <c r="D1655" s="16"/>
      <c r="Q1655" s="16"/>
    </row>
    <row r="1657" spans="4:26" x14ac:dyDescent="0.25">
      <c r="D1657" s="16"/>
      <c r="Q1657" s="16"/>
      <c r="T1657" s="1"/>
      <c r="X1657" s="1"/>
      <c r="Y1657" s="1"/>
      <c r="Z1657" s="1"/>
    </row>
    <row r="1658" spans="4:26" x14ac:dyDescent="0.25">
      <c r="D1658" s="16"/>
      <c r="Q1658" s="16"/>
      <c r="T1658" s="1"/>
      <c r="X1658" s="1"/>
      <c r="Y1658" s="1"/>
      <c r="Z1658" s="1"/>
    </row>
    <row r="1659" spans="4:26" x14ac:dyDescent="0.25">
      <c r="D1659" s="17"/>
      <c r="Q1659" s="17"/>
      <c r="T1659" s="1"/>
      <c r="X1659" s="1"/>
      <c r="Y1659" s="1"/>
      <c r="Z1659" s="1"/>
    </row>
    <row r="1660" spans="4:26" x14ac:dyDescent="0.25">
      <c r="D1660" s="16"/>
      <c r="Q1660" s="16"/>
    </row>
    <row r="1661" spans="4:26" x14ac:dyDescent="0.25">
      <c r="D1661" s="16"/>
      <c r="Q1661" s="16"/>
    </row>
    <row r="1662" spans="4:26" x14ac:dyDescent="0.25">
      <c r="D1662" s="17"/>
      <c r="Q1662" s="16"/>
      <c r="T1662" s="1"/>
      <c r="X1662" s="1"/>
      <c r="Y1662" s="1"/>
      <c r="Z1662" s="1"/>
    </row>
    <row r="1663" spans="4:26" x14ac:dyDescent="0.25">
      <c r="D1663" s="17"/>
      <c r="Q1663" s="16"/>
      <c r="T1663" s="1"/>
      <c r="X1663" s="1"/>
      <c r="Y1663" s="1"/>
      <c r="Z1663" s="1"/>
    </row>
    <row r="1664" spans="4:26" x14ac:dyDescent="0.25">
      <c r="D1664" s="16"/>
      <c r="Q1664" s="16"/>
    </row>
    <row r="1666" spans="4:26" x14ac:dyDescent="0.25">
      <c r="D1666" s="16"/>
      <c r="Q1666" s="16"/>
      <c r="T1666" s="1"/>
      <c r="X1666" s="1"/>
      <c r="Y1666" s="1"/>
      <c r="Z1666" s="1"/>
    </row>
    <row r="1667" spans="4:26" x14ac:dyDescent="0.25">
      <c r="D1667" s="16"/>
      <c r="Q1667" s="16"/>
      <c r="T1667" s="1"/>
      <c r="X1667" s="1"/>
      <c r="Y1667" s="1"/>
      <c r="Z1667" s="1"/>
    </row>
    <row r="1668" spans="4:26" x14ac:dyDescent="0.25">
      <c r="D1668" s="17"/>
      <c r="Q1668" s="16"/>
      <c r="T1668" s="1"/>
      <c r="X1668" s="1"/>
      <c r="Y1668" s="1"/>
      <c r="Z1668" s="1"/>
    </row>
    <row r="1669" spans="4:26" x14ac:dyDescent="0.25">
      <c r="D1669" s="17"/>
      <c r="Q1669" s="16"/>
      <c r="T1669" s="1"/>
      <c r="X1669" s="1"/>
      <c r="Y1669" s="1"/>
      <c r="Z1669" s="1"/>
    </row>
    <row r="1670" spans="4:26" x14ac:dyDescent="0.25">
      <c r="D1670" s="16"/>
      <c r="Q1670" s="16"/>
    </row>
    <row r="1671" spans="4:26" x14ac:dyDescent="0.25">
      <c r="Q1671" s="16"/>
    </row>
    <row r="1672" spans="4:26" x14ac:dyDescent="0.25">
      <c r="D1672" s="17"/>
      <c r="Q1672" s="16"/>
      <c r="T1672" s="1"/>
      <c r="X1672" s="1"/>
      <c r="Y1672" s="1"/>
      <c r="Z1672" s="1"/>
    </row>
    <row r="1673" spans="4:26" x14ac:dyDescent="0.25">
      <c r="D1673" s="16"/>
      <c r="Q1673" s="16"/>
      <c r="T1673" s="1"/>
      <c r="X1673" s="1"/>
      <c r="Y1673" s="1"/>
      <c r="Z1673" s="1"/>
    </row>
    <row r="1676" spans="4:26" x14ac:dyDescent="0.25">
      <c r="D1676" s="16"/>
      <c r="Q1676" s="16"/>
      <c r="T1676" s="1"/>
      <c r="X1676" s="1"/>
      <c r="Y1676" s="1"/>
      <c r="Z1676" s="1"/>
    </row>
    <row r="1677" spans="4:26" x14ac:dyDescent="0.25">
      <c r="Q1677" s="16"/>
    </row>
    <row r="1678" spans="4:26" x14ac:dyDescent="0.25">
      <c r="Q1678" s="16"/>
    </row>
    <row r="1679" spans="4:26" x14ac:dyDescent="0.25">
      <c r="D1679" s="16"/>
      <c r="Q1679" s="16"/>
      <c r="T1679" s="1"/>
      <c r="X1679" s="1"/>
      <c r="Y1679" s="1"/>
      <c r="Z1679" s="1"/>
    </row>
    <row r="1681" spans="4:26" x14ac:dyDescent="0.25">
      <c r="D1681" s="16"/>
      <c r="Q1681" s="16"/>
    </row>
    <row r="1682" spans="4:26" x14ac:dyDescent="0.25">
      <c r="D1682" s="16"/>
      <c r="Q1682" s="16"/>
      <c r="T1682" s="1"/>
      <c r="X1682" s="1"/>
      <c r="Y1682" s="1"/>
      <c r="Z1682" s="1"/>
    </row>
    <row r="1685" spans="4:26" x14ac:dyDescent="0.25">
      <c r="D1685" s="16"/>
      <c r="Q1685" s="16"/>
      <c r="T1685" s="1"/>
      <c r="X1685" s="1"/>
      <c r="Y1685" s="1"/>
      <c r="Z1685" s="1"/>
    </row>
    <row r="1686" spans="4:26" x14ac:dyDescent="0.25">
      <c r="Q1686" s="16"/>
    </row>
    <row r="1687" spans="4:26" x14ac:dyDescent="0.25">
      <c r="Q1687" s="16"/>
    </row>
    <row r="1688" spans="4:26" x14ac:dyDescent="0.25">
      <c r="D1688" s="16"/>
      <c r="Q1688" s="16"/>
      <c r="T1688" s="1"/>
      <c r="X1688" s="1"/>
      <c r="Y1688" s="1"/>
      <c r="Z1688" s="1"/>
    </row>
    <row r="1690" spans="4:26" x14ac:dyDescent="0.25">
      <c r="D1690" s="16"/>
      <c r="Q1690" s="16"/>
    </row>
    <row r="1691" spans="4:26" x14ac:dyDescent="0.25">
      <c r="D1691" s="16"/>
      <c r="Q1691" s="16"/>
      <c r="T1691" s="1"/>
      <c r="X1691" s="1"/>
      <c r="Y1691" s="1"/>
      <c r="Z1691" s="1"/>
    </row>
    <row r="1693" spans="4:26" x14ac:dyDescent="0.25">
      <c r="D1693" s="16"/>
      <c r="Q1693" s="16"/>
    </row>
    <row r="1694" spans="4:26" x14ac:dyDescent="0.25">
      <c r="D1694" s="16"/>
      <c r="Q1694" s="16"/>
      <c r="T1694" s="1"/>
      <c r="X1694" s="1"/>
      <c r="Y1694" s="1"/>
      <c r="Z1694" s="1"/>
    </row>
    <row r="1695" spans="4:26" x14ac:dyDescent="0.25">
      <c r="Q1695" s="16"/>
    </row>
    <row r="1696" spans="4:26" x14ac:dyDescent="0.25">
      <c r="Q1696" s="16"/>
    </row>
    <row r="1697" spans="4:26" x14ac:dyDescent="0.25">
      <c r="D1697" s="16"/>
      <c r="Q1697" s="16"/>
      <c r="T1697" s="1"/>
      <c r="X1697" s="1"/>
      <c r="Y1697" s="1"/>
      <c r="Z1697" s="1"/>
    </row>
    <row r="1698" spans="4:26" x14ac:dyDescent="0.25">
      <c r="Q1698" s="16"/>
    </row>
    <row r="1699" spans="4:26" x14ac:dyDescent="0.25">
      <c r="Q1699" s="16"/>
    </row>
    <row r="1700" spans="4:26" x14ac:dyDescent="0.25">
      <c r="D1700" s="16"/>
      <c r="Q1700" s="16"/>
      <c r="T1700" s="1"/>
      <c r="X1700" s="1"/>
      <c r="Y1700" s="1"/>
      <c r="Z1700" s="1"/>
    </row>
    <row r="1701" spans="4:26" x14ac:dyDescent="0.25">
      <c r="Q1701" s="16"/>
    </row>
    <row r="1703" spans="4:26" x14ac:dyDescent="0.25">
      <c r="D1703" s="16"/>
      <c r="Q1703" s="16"/>
      <c r="T1703" s="1"/>
      <c r="X1703" s="1"/>
      <c r="Y1703" s="1"/>
      <c r="Z1703" s="1"/>
    </row>
    <row r="1704" spans="4:26" x14ac:dyDescent="0.25">
      <c r="D1704" s="16"/>
      <c r="Q1704" s="16"/>
    </row>
    <row r="1705" spans="4:26" x14ac:dyDescent="0.25">
      <c r="Q1705" s="16"/>
    </row>
    <row r="1706" spans="4:26" x14ac:dyDescent="0.25">
      <c r="D1706" s="16"/>
      <c r="Q1706" s="16"/>
      <c r="T1706" s="1"/>
      <c r="X1706" s="1"/>
      <c r="Y1706" s="1"/>
      <c r="Z1706" s="1"/>
    </row>
    <row r="1707" spans="4:26" x14ac:dyDescent="0.25">
      <c r="Q1707" s="16"/>
    </row>
    <row r="1709" spans="4:26" x14ac:dyDescent="0.25">
      <c r="D1709" s="16"/>
      <c r="Q1709" s="16"/>
      <c r="T1709" s="1"/>
      <c r="X1709" s="1"/>
      <c r="Y1709" s="1"/>
      <c r="Z1709" s="1"/>
    </row>
    <row r="1710" spans="4:26" x14ac:dyDescent="0.25">
      <c r="D1710" s="16"/>
      <c r="Q1710" s="16"/>
    </row>
    <row r="1711" spans="4:26" x14ac:dyDescent="0.25">
      <c r="Q1711" s="16"/>
    </row>
    <row r="1712" spans="4:26" x14ac:dyDescent="0.25">
      <c r="D1712" s="16"/>
      <c r="Q1712" s="16"/>
      <c r="T1712" s="1"/>
      <c r="X1712" s="1"/>
      <c r="Y1712" s="1"/>
      <c r="Z1712" s="1"/>
    </row>
    <row r="1713" spans="4:26" x14ac:dyDescent="0.25">
      <c r="D1713" s="17"/>
      <c r="Q1713" s="16"/>
      <c r="T1713" s="1"/>
      <c r="X1713" s="1"/>
      <c r="Y1713" s="1"/>
      <c r="Z1713" s="1"/>
    </row>
    <row r="1714" spans="4:26" x14ac:dyDescent="0.25">
      <c r="D1714" s="17"/>
      <c r="Q1714" s="17"/>
      <c r="T1714" s="1"/>
      <c r="X1714" s="1"/>
      <c r="Y1714" s="1"/>
      <c r="Z1714" s="1"/>
    </row>
    <row r="1715" spans="4:26" x14ac:dyDescent="0.25">
      <c r="D1715" s="16"/>
      <c r="Q1715" s="16"/>
      <c r="T1715" s="1"/>
      <c r="X1715" s="1"/>
      <c r="Y1715" s="1"/>
      <c r="Z1715" s="1"/>
    </row>
    <row r="1716" spans="4:26" x14ac:dyDescent="0.25">
      <c r="D1716" s="16"/>
      <c r="Q1716" s="16"/>
    </row>
    <row r="1717" spans="4:26" x14ac:dyDescent="0.25">
      <c r="Q1717" s="16"/>
    </row>
    <row r="1718" spans="4:26" x14ac:dyDescent="0.25">
      <c r="D1718" s="16"/>
      <c r="Q1718" s="16"/>
      <c r="T1718" s="1"/>
      <c r="X1718" s="1"/>
      <c r="Y1718" s="1"/>
      <c r="Z1718" s="1"/>
    </row>
    <row r="1719" spans="4:26" x14ac:dyDescent="0.25">
      <c r="D1719" s="17"/>
      <c r="Q1719" s="17"/>
      <c r="T1719" s="1"/>
      <c r="X1719" s="1"/>
      <c r="Y1719" s="1"/>
      <c r="Z1719" s="1"/>
    </row>
    <row r="1720" spans="4:26" x14ac:dyDescent="0.25">
      <c r="D1720" s="16"/>
      <c r="Q1720" s="16"/>
      <c r="T1720" s="1"/>
      <c r="X1720" s="1"/>
      <c r="Y1720" s="1"/>
      <c r="Z1720" s="1"/>
    </row>
    <row r="1721" spans="4:26" x14ac:dyDescent="0.25">
      <c r="D1721" s="16"/>
      <c r="Q1721" s="16"/>
      <c r="T1721" s="1"/>
      <c r="X1721" s="1"/>
      <c r="Y1721" s="1"/>
      <c r="Z1721" s="1"/>
    </row>
    <row r="1723" spans="4:26" x14ac:dyDescent="0.25">
      <c r="D1723" s="16"/>
      <c r="Q1723" s="16"/>
    </row>
    <row r="1724" spans="4:26" x14ac:dyDescent="0.25">
      <c r="D1724" s="16"/>
      <c r="Q1724" s="16"/>
      <c r="T1724" s="1"/>
      <c r="X1724" s="1"/>
      <c r="Y1724" s="1"/>
      <c r="Z1724" s="1"/>
    </row>
    <row r="1725" spans="4:26" x14ac:dyDescent="0.25">
      <c r="D1725" s="17"/>
      <c r="Q1725" s="16"/>
      <c r="T1725" s="1"/>
      <c r="X1725" s="1"/>
      <c r="Y1725" s="1"/>
      <c r="Z1725" s="1"/>
    </row>
    <row r="1726" spans="4:26" x14ac:dyDescent="0.25">
      <c r="D1726" s="17"/>
      <c r="Q1726" s="17"/>
      <c r="T1726" s="1"/>
      <c r="X1726" s="1"/>
      <c r="Y1726" s="1"/>
      <c r="Z1726" s="1"/>
    </row>
    <row r="1727" spans="4:26" x14ac:dyDescent="0.25">
      <c r="D1727" s="16"/>
      <c r="Q1727" s="16"/>
      <c r="T1727" s="1"/>
      <c r="X1727" s="1"/>
      <c r="Y1727" s="1"/>
      <c r="Z1727" s="1"/>
    </row>
    <row r="1728" spans="4:26" x14ac:dyDescent="0.25">
      <c r="D1728" s="16"/>
      <c r="Q1728" s="16"/>
    </row>
    <row r="1730" spans="4:26" x14ac:dyDescent="0.25">
      <c r="D1730" s="16"/>
      <c r="Q1730" s="16"/>
      <c r="T1730" s="1"/>
      <c r="X1730" s="1"/>
      <c r="Y1730" s="1"/>
      <c r="Z1730" s="1"/>
    </row>
    <row r="1731" spans="4:26" x14ac:dyDescent="0.25">
      <c r="D1731" s="16"/>
      <c r="Q1731" s="16"/>
      <c r="T1731" s="1"/>
      <c r="X1731" s="1"/>
      <c r="Y1731" s="1"/>
      <c r="Z1731" s="1"/>
    </row>
    <row r="1732" spans="4:26" x14ac:dyDescent="0.25">
      <c r="D1732" s="17"/>
      <c r="Q1732" s="17"/>
      <c r="T1732" s="1"/>
      <c r="X1732" s="1"/>
      <c r="Y1732" s="1"/>
      <c r="Z1732" s="1"/>
    </row>
    <row r="1733" spans="4:26" x14ac:dyDescent="0.25">
      <c r="D1733" s="16"/>
      <c r="Q1733" s="16"/>
      <c r="T1733" s="1"/>
      <c r="X1733" s="1"/>
      <c r="Y1733" s="1"/>
      <c r="Z1733" s="1"/>
    </row>
    <row r="1734" spans="4:26" x14ac:dyDescent="0.25">
      <c r="D1734" s="16"/>
      <c r="Q1734" s="16"/>
    </row>
    <row r="1736" spans="4:26" x14ac:dyDescent="0.25">
      <c r="D1736" s="16"/>
      <c r="Q1736" s="16"/>
      <c r="T1736" s="1"/>
      <c r="X1736" s="1"/>
      <c r="Y1736" s="1"/>
      <c r="Z1736" s="1"/>
    </row>
    <row r="1737" spans="4:26" x14ac:dyDescent="0.25">
      <c r="D1737" s="16"/>
      <c r="Q1737" s="16"/>
      <c r="T1737" s="1"/>
      <c r="X1737" s="1"/>
      <c r="Y1737" s="1"/>
      <c r="Z1737" s="1"/>
    </row>
    <row r="1738" spans="4:26" x14ac:dyDescent="0.25">
      <c r="D1738" s="17"/>
      <c r="Q1738" s="17"/>
      <c r="T1738" s="1"/>
      <c r="X1738" s="1"/>
      <c r="Y1738" s="1"/>
      <c r="Z1738" s="1"/>
    </row>
    <row r="1739" spans="4:26" x14ac:dyDescent="0.25">
      <c r="D1739" s="16"/>
      <c r="Q1739" s="16"/>
      <c r="T1739" s="1"/>
      <c r="X1739" s="1"/>
      <c r="Y1739" s="1"/>
      <c r="Z1739" s="1"/>
    </row>
    <row r="1740" spans="4:26" x14ac:dyDescent="0.25">
      <c r="D1740" s="16"/>
      <c r="Q1740" s="16"/>
    </row>
    <row r="1741" spans="4:26" x14ac:dyDescent="0.25">
      <c r="Q1741" s="16"/>
    </row>
    <row r="1742" spans="4:26" x14ac:dyDescent="0.25">
      <c r="D1742" s="16"/>
      <c r="Q1742" s="16"/>
      <c r="T1742" s="1"/>
      <c r="X1742" s="1"/>
      <c r="Y1742" s="1"/>
      <c r="Z1742" s="1"/>
    </row>
    <row r="1743" spans="4:26" x14ac:dyDescent="0.25">
      <c r="D1743" s="17"/>
      <c r="Q1743" s="17"/>
      <c r="T1743" s="1"/>
      <c r="X1743" s="1"/>
      <c r="Y1743" s="1"/>
      <c r="Z1743" s="1"/>
    </row>
    <row r="1744" spans="4:26" x14ac:dyDescent="0.25">
      <c r="D1744" s="16"/>
      <c r="Q1744" s="16"/>
      <c r="T1744" s="1"/>
      <c r="X1744" s="1"/>
      <c r="Y1744" s="1"/>
      <c r="Z1744" s="1"/>
    </row>
    <row r="1745" spans="4:26" x14ac:dyDescent="0.25">
      <c r="D1745" s="16"/>
      <c r="Q1745" s="16"/>
    </row>
    <row r="1747" spans="4:26" x14ac:dyDescent="0.25">
      <c r="D1747" s="16"/>
      <c r="Q1747" s="16"/>
      <c r="T1747" s="1"/>
      <c r="X1747" s="1"/>
      <c r="Y1747" s="1"/>
      <c r="Z1747" s="1"/>
    </row>
    <row r="1748" spans="4:26" x14ac:dyDescent="0.25">
      <c r="D1748" s="16"/>
      <c r="Q1748" s="16"/>
      <c r="T1748" s="1"/>
      <c r="X1748" s="1"/>
      <c r="Y1748" s="1"/>
      <c r="Z1748" s="1"/>
    </row>
    <row r="1749" spans="4:26" x14ac:dyDescent="0.25">
      <c r="D1749" s="17"/>
      <c r="Q1749" s="17"/>
      <c r="T1749" s="1"/>
      <c r="X1749" s="1"/>
      <c r="Y1749" s="1"/>
      <c r="Z1749" s="1"/>
    </row>
    <row r="1750" spans="4:26" x14ac:dyDescent="0.25">
      <c r="D1750" s="16"/>
      <c r="Q1750" s="16"/>
    </row>
    <row r="1751" spans="4:26" x14ac:dyDescent="0.25">
      <c r="D1751" s="16"/>
      <c r="Q1751" s="16"/>
    </row>
    <row r="1752" spans="4:26" x14ac:dyDescent="0.25">
      <c r="D1752" s="17"/>
      <c r="Q1752" s="17"/>
      <c r="T1752" s="1"/>
      <c r="X1752" s="1"/>
      <c r="Y1752" s="1"/>
      <c r="Z1752" s="1"/>
    </row>
    <row r="1753" spans="4:26" x14ac:dyDescent="0.25">
      <c r="D1753" s="16"/>
      <c r="Q1753" s="16"/>
      <c r="T1753" s="1"/>
      <c r="X1753" s="1"/>
      <c r="Y1753" s="1"/>
      <c r="Z1753" s="1"/>
    </row>
    <row r="1754" spans="4:26" x14ac:dyDescent="0.25">
      <c r="D1754" s="16"/>
      <c r="Q1754" s="16"/>
      <c r="T1754" s="1"/>
      <c r="X1754" s="1"/>
      <c r="Y1754" s="1"/>
      <c r="Z1754" s="1"/>
    </row>
    <row r="1755" spans="4:26" x14ac:dyDescent="0.25">
      <c r="D1755" s="17"/>
      <c r="Q1755" s="17"/>
      <c r="T1755" s="1"/>
      <c r="X1755" s="1"/>
      <c r="Y1755" s="1"/>
      <c r="Z1755" s="1"/>
    </row>
    <row r="1756" spans="4:26" x14ac:dyDescent="0.25">
      <c r="D1756" s="16"/>
      <c r="Q1756" s="16"/>
    </row>
    <row r="1757" spans="4:26" x14ac:dyDescent="0.25">
      <c r="D1757" s="16"/>
      <c r="Q1757" s="16"/>
    </row>
    <row r="1758" spans="4:26" x14ac:dyDescent="0.25">
      <c r="D1758" s="17"/>
      <c r="Q1758" s="17"/>
      <c r="T1758" s="1"/>
      <c r="X1758" s="1"/>
      <c r="Y1758" s="1"/>
      <c r="Z1758" s="1"/>
    </row>
    <row r="1759" spans="4:26" x14ac:dyDescent="0.25">
      <c r="D1759" s="16"/>
      <c r="Q1759" s="16"/>
      <c r="T1759" s="1"/>
      <c r="X1759" s="1"/>
      <c r="Y1759" s="1"/>
      <c r="Z1759" s="1"/>
    </row>
    <row r="1760" spans="4:26" x14ac:dyDescent="0.25">
      <c r="D1760" s="16"/>
      <c r="Q1760" s="16"/>
    </row>
    <row r="1762" spans="4:26" x14ac:dyDescent="0.25">
      <c r="D1762" s="17"/>
      <c r="Q1762" s="17"/>
      <c r="T1762" s="1"/>
      <c r="X1762" s="1"/>
      <c r="Y1762" s="1"/>
      <c r="Z1762" s="1"/>
    </row>
    <row r="1763" spans="4:26" x14ac:dyDescent="0.25">
      <c r="D1763" s="16"/>
      <c r="Q1763" s="16"/>
    </row>
    <row r="1765" spans="4:26" x14ac:dyDescent="0.25">
      <c r="D1765" s="17"/>
      <c r="Q1765" s="17"/>
      <c r="T1765" s="1"/>
      <c r="X1765" s="1"/>
      <c r="Y1765" s="1"/>
      <c r="Z1765" s="1"/>
    </row>
    <row r="1766" spans="4:26" x14ac:dyDescent="0.25">
      <c r="D1766" s="16"/>
      <c r="Q1766" s="16"/>
      <c r="T1766" s="1"/>
      <c r="X1766" s="1"/>
      <c r="Y1766" s="1"/>
      <c r="Z1766" s="1"/>
    </row>
    <row r="1767" spans="4:26" x14ac:dyDescent="0.25">
      <c r="D1767" s="17"/>
      <c r="Q1767" s="17"/>
      <c r="T1767" s="1"/>
      <c r="X1767" s="1"/>
      <c r="Y1767" s="1"/>
      <c r="Z1767" s="1"/>
    </row>
    <row r="1769" spans="4:26" x14ac:dyDescent="0.25">
      <c r="D1769" s="16"/>
      <c r="Q1769" s="16"/>
    </row>
    <row r="1770" spans="4:26" x14ac:dyDescent="0.25">
      <c r="D1770" s="17"/>
      <c r="Q1770" s="17"/>
      <c r="T1770" s="1"/>
      <c r="X1770" s="1"/>
      <c r="Y1770" s="1"/>
      <c r="Z1770" s="1"/>
    </row>
    <row r="1771" spans="4:26" x14ac:dyDescent="0.25">
      <c r="D1771" s="17"/>
      <c r="Q1771" s="17"/>
      <c r="T1771" s="1"/>
      <c r="X1771" s="1"/>
      <c r="Y1771" s="1"/>
      <c r="Z1771" s="1"/>
    </row>
    <row r="1772" spans="4:26" x14ac:dyDescent="0.25">
      <c r="D1772" s="16"/>
      <c r="Q1772" s="16"/>
      <c r="T1772" s="1"/>
      <c r="X1772" s="1"/>
      <c r="Y1772" s="1"/>
      <c r="Z1772" s="1"/>
    </row>
    <row r="1775" spans="4:26" x14ac:dyDescent="0.25">
      <c r="D1775" s="16"/>
      <c r="Q1775" s="16"/>
      <c r="T1775" s="1"/>
      <c r="X1775" s="1"/>
      <c r="Y1775" s="1"/>
      <c r="Z1775" s="1"/>
    </row>
    <row r="1778" spans="4:26" x14ac:dyDescent="0.25">
      <c r="D1778" s="16"/>
      <c r="Q1778" s="16"/>
      <c r="T1778" s="1"/>
      <c r="X1778" s="1"/>
      <c r="Y1778" s="1"/>
      <c r="Z1778" s="1"/>
    </row>
    <row r="1781" spans="4:26" x14ac:dyDescent="0.25">
      <c r="D1781" s="16"/>
      <c r="Q1781" s="16"/>
      <c r="T1781" s="1"/>
      <c r="X1781" s="1"/>
      <c r="Y1781" s="1"/>
      <c r="Z1781" s="1"/>
    </row>
    <row r="1784" spans="4:26" x14ac:dyDescent="0.25">
      <c r="D1784" s="16"/>
      <c r="Q1784" s="16"/>
      <c r="T1784" s="1"/>
      <c r="X1784" s="1"/>
      <c r="Y1784" s="1"/>
      <c r="Z1784" s="1"/>
    </row>
    <row r="1785" spans="4:26" x14ac:dyDescent="0.25">
      <c r="D1785" s="17"/>
      <c r="Q1785" s="17"/>
      <c r="T1785" s="1"/>
      <c r="X1785" s="1"/>
      <c r="Y1785" s="1"/>
      <c r="Z1785" s="1"/>
    </row>
    <row r="1787" spans="4:26" x14ac:dyDescent="0.25">
      <c r="D1787" s="16"/>
      <c r="Q1787" s="16"/>
    </row>
    <row r="1788" spans="4:26" x14ac:dyDescent="0.25">
      <c r="D1788" s="17"/>
      <c r="Q1788" s="17"/>
      <c r="T1788" s="1"/>
      <c r="X1788" s="1"/>
      <c r="Y1788" s="1"/>
      <c r="Z1788" s="1"/>
    </row>
    <row r="1790" spans="4:26" x14ac:dyDescent="0.25">
      <c r="D1790" s="16"/>
      <c r="Q1790" s="16"/>
    </row>
    <row r="1791" spans="4:26" x14ac:dyDescent="0.25">
      <c r="D1791" s="17"/>
      <c r="Q1791" s="17"/>
      <c r="T1791" s="1"/>
      <c r="X1791" s="1"/>
      <c r="Y1791" s="1"/>
      <c r="Z1791" s="1"/>
    </row>
    <row r="1792" spans="4:26" x14ac:dyDescent="0.25">
      <c r="D1792" s="17"/>
      <c r="Q1792" s="17"/>
      <c r="T1792" s="1"/>
      <c r="X1792" s="1"/>
      <c r="Y1792" s="1"/>
      <c r="Z1792" s="1"/>
    </row>
    <row r="1793" spans="4:26" x14ac:dyDescent="0.25">
      <c r="D1793" s="16"/>
      <c r="Q1793" s="16"/>
      <c r="T1793" s="1"/>
      <c r="X1793" s="1"/>
      <c r="Y1793" s="1"/>
      <c r="Z1793" s="1"/>
    </row>
    <row r="1796" spans="4:26" x14ac:dyDescent="0.25">
      <c r="D1796" s="16"/>
      <c r="Q1796" s="16"/>
      <c r="T1796" s="1"/>
      <c r="X1796" s="1"/>
      <c r="Y1796" s="1"/>
      <c r="Z1796" s="1"/>
    </row>
    <row r="1797" spans="4:26" x14ac:dyDescent="0.25">
      <c r="D1797" s="17"/>
      <c r="Q1797" s="16"/>
      <c r="T1797" s="1"/>
      <c r="X1797" s="1"/>
      <c r="Y1797" s="1"/>
      <c r="Z1797" s="1"/>
    </row>
    <row r="1798" spans="4:26" x14ac:dyDescent="0.25">
      <c r="Q1798" s="16"/>
    </row>
    <row r="1799" spans="4:26" x14ac:dyDescent="0.25">
      <c r="D1799" s="16"/>
      <c r="Q1799" s="16"/>
    </row>
    <row r="1800" spans="4:26" x14ac:dyDescent="0.25">
      <c r="D1800" s="17"/>
      <c r="Q1800" s="16"/>
      <c r="T1800" s="1"/>
      <c r="X1800" s="1"/>
      <c r="Y1800" s="1"/>
      <c r="Z1800" s="1"/>
    </row>
    <row r="1801" spans="4:26" x14ac:dyDescent="0.25">
      <c r="Q1801" s="16"/>
    </row>
    <row r="1802" spans="4:26" x14ac:dyDescent="0.25">
      <c r="D1802" s="16"/>
      <c r="Q1802" s="16"/>
    </row>
    <row r="1803" spans="4:26" x14ac:dyDescent="0.25">
      <c r="D1803" s="17"/>
      <c r="Q1803" s="16"/>
      <c r="T1803" s="1"/>
      <c r="X1803" s="1"/>
      <c r="Y1803" s="1"/>
      <c r="Z1803" s="1"/>
    </row>
    <row r="1805" spans="4:26" x14ac:dyDescent="0.25">
      <c r="D1805" s="16"/>
      <c r="Q1805" s="16"/>
    </row>
    <row r="1806" spans="4:26" x14ac:dyDescent="0.25">
      <c r="D1806" s="16"/>
      <c r="Q1806" s="16"/>
      <c r="T1806" s="1"/>
      <c r="X1806" s="1"/>
      <c r="Y1806" s="1"/>
      <c r="Z1806" s="1"/>
    </row>
    <row r="1807" spans="4:26" x14ac:dyDescent="0.25">
      <c r="D1807" s="17"/>
      <c r="Q1807" s="17"/>
      <c r="T1807" s="1"/>
      <c r="X1807" s="1"/>
      <c r="Y1807" s="1"/>
      <c r="Z1807" s="1"/>
    </row>
    <row r="1808" spans="4:26" x14ac:dyDescent="0.25">
      <c r="D1808" s="16"/>
      <c r="Q1808" s="16"/>
      <c r="T1808" s="1"/>
      <c r="X1808" s="1"/>
      <c r="Y1808" s="1"/>
      <c r="Z1808" s="1"/>
    </row>
    <row r="1809" spans="4:26" x14ac:dyDescent="0.25">
      <c r="D1809" s="16"/>
      <c r="Q1809" s="16"/>
    </row>
    <row r="1810" spans="4:26" x14ac:dyDescent="0.25">
      <c r="Q1810" s="16"/>
    </row>
    <row r="1811" spans="4:26" x14ac:dyDescent="0.25">
      <c r="D1811" s="16"/>
      <c r="Q1811" s="16"/>
      <c r="T1811" s="1"/>
      <c r="X1811" s="1"/>
      <c r="Y1811" s="1"/>
      <c r="Z1811" s="1"/>
    </row>
    <row r="1812" spans="4:26" x14ac:dyDescent="0.25">
      <c r="D1812" s="17"/>
      <c r="Q1812" s="17"/>
      <c r="T1812" s="1"/>
      <c r="X1812" s="1"/>
      <c r="Y1812" s="1"/>
      <c r="Z1812" s="1"/>
    </row>
    <row r="1813" spans="4:26" x14ac:dyDescent="0.25">
      <c r="D1813" s="16"/>
      <c r="Q1813" s="16"/>
      <c r="T1813" s="1"/>
      <c r="X1813" s="1"/>
      <c r="Y1813" s="1"/>
      <c r="Z1813" s="1"/>
    </row>
    <row r="1814" spans="4:26" x14ac:dyDescent="0.25">
      <c r="D1814" s="16"/>
      <c r="Q1814" s="16"/>
    </row>
    <row r="1816" spans="4:26" x14ac:dyDescent="0.25">
      <c r="D1816" s="16"/>
      <c r="Q1816" s="16"/>
      <c r="T1816" s="1"/>
      <c r="X1816" s="1"/>
      <c r="Y1816" s="1"/>
      <c r="Z1816" s="1"/>
    </row>
    <row r="1817" spans="4:26" x14ac:dyDescent="0.25">
      <c r="D1817" s="16"/>
      <c r="Q1817" s="16"/>
    </row>
    <row r="1819" spans="4:26" x14ac:dyDescent="0.25">
      <c r="D1819" s="16"/>
      <c r="Q1819" s="16"/>
      <c r="T1819" s="1"/>
      <c r="X1819" s="1"/>
      <c r="Y1819" s="1"/>
      <c r="Z1819" s="1"/>
    </row>
    <row r="1820" spans="4:26" x14ac:dyDescent="0.25">
      <c r="D1820" s="16"/>
      <c r="Q1820" s="16"/>
    </row>
    <row r="1822" spans="4:26" x14ac:dyDescent="0.25">
      <c r="D1822" s="16"/>
      <c r="Q1822" s="16"/>
      <c r="T1822" s="1"/>
      <c r="X1822" s="1"/>
      <c r="Y1822" s="1"/>
      <c r="Z1822" s="1"/>
    </row>
    <row r="1823" spans="4:26" x14ac:dyDescent="0.25">
      <c r="D1823" s="16"/>
      <c r="Q1823" s="16"/>
    </row>
    <row r="1825" spans="4:26" x14ac:dyDescent="0.25">
      <c r="D1825" s="16"/>
      <c r="Q1825" s="16"/>
      <c r="T1825" s="1"/>
      <c r="X1825" s="1"/>
      <c r="Y1825" s="1"/>
      <c r="Z1825" s="1"/>
    </row>
    <row r="1826" spans="4:26" x14ac:dyDescent="0.25">
      <c r="D1826" s="16"/>
      <c r="Q1826" s="16"/>
    </row>
    <row r="1828" spans="4:26" x14ac:dyDescent="0.25">
      <c r="D1828" s="16"/>
      <c r="Q1828" s="16"/>
      <c r="T1828" s="1"/>
      <c r="X1828" s="1"/>
      <c r="Y1828" s="1"/>
      <c r="Z1828" s="1"/>
    </row>
    <row r="1829" spans="4:26" x14ac:dyDescent="0.25">
      <c r="D1829" s="16"/>
      <c r="Q1829" s="16"/>
    </row>
    <row r="1831" spans="4:26" x14ac:dyDescent="0.25">
      <c r="D1831" s="16"/>
      <c r="Q1831" s="16"/>
      <c r="T1831" s="1"/>
      <c r="X1831" s="1"/>
      <c r="Y1831" s="1"/>
      <c r="Z1831" s="1"/>
    </row>
    <row r="1832" spans="4:26" x14ac:dyDescent="0.25">
      <c r="D1832" s="16"/>
      <c r="Q1832" s="16"/>
      <c r="T1832" s="1"/>
      <c r="X1832" s="1"/>
      <c r="Y1832" s="1"/>
      <c r="Z1832" s="1"/>
    </row>
    <row r="1834" spans="4:26" x14ac:dyDescent="0.25">
      <c r="D1834" s="16"/>
      <c r="Q1834" s="16"/>
    </row>
    <row r="1835" spans="4:26" x14ac:dyDescent="0.25">
      <c r="D1835" s="16"/>
      <c r="Q1835" s="16"/>
      <c r="T1835" s="1"/>
      <c r="X1835" s="1"/>
      <c r="Y1835" s="1"/>
      <c r="Z1835" s="1"/>
    </row>
    <row r="1836" spans="4:26" x14ac:dyDescent="0.25">
      <c r="D1836" s="17"/>
      <c r="Q1836" s="16"/>
      <c r="T1836" s="1"/>
      <c r="X1836" s="1"/>
      <c r="Y1836" s="1"/>
      <c r="Z1836" s="1"/>
    </row>
    <row r="1838" spans="4:26" x14ac:dyDescent="0.25">
      <c r="D1838" s="16"/>
      <c r="Q1838" s="16"/>
    </row>
    <row r="1839" spans="4:26" x14ac:dyDescent="0.25">
      <c r="D1839" s="16"/>
      <c r="Q1839" s="16"/>
      <c r="T1839" s="1"/>
      <c r="X1839" s="1"/>
      <c r="Y1839" s="1"/>
      <c r="Z1839" s="1"/>
    </row>
    <row r="1840" spans="4:26" x14ac:dyDescent="0.25">
      <c r="D1840" s="17"/>
      <c r="Q1840" s="17"/>
      <c r="T1840" s="1"/>
      <c r="X1840" s="1"/>
      <c r="Y1840" s="1"/>
      <c r="Z1840" s="1"/>
    </row>
    <row r="1841" spans="4:26" x14ac:dyDescent="0.25">
      <c r="D1841" s="16"/>
      <c r="Q1841" s="16"/>
    </row>
    <row r="1842" spans="4:26" x14ac:dyDescent="0.25">
      <c r="D1842" s="16"/>
      <c r="Q1842" s="16"/>
    </row>
    <row r="1843" spans="4:26" x14ac:dyDescent="0.25">
      <c r="D1843" s="17"/>
      <c r="Q1843" s="16"/>
      <c r="T1843" s="1"/>
      <c r="X1843" s="1"/>
      <c r="Y1843" s="1"/>
      <c r="Z1843" s="1"/>
    </row>
    <row r="1844" spans="4:26" x14ac:dyDescent="0.25">
      <c r="D1844" s="16"/>
      <c r="Q1844" s="16"/>
      <c r="T1844" s="1"/>
      <c r="X1844" s="1"/>
      <c r="Y1844" s="1"/>
      <c r="Z1844" s="1"/>
    </row>
    <row r="1845" spans="4:26" x14ac:dyDescent="0.25">
      <c r="Q1845" s="16"/>
    </row>
    <row r="1847" spans="4:26" x14ac:dyDescent="0.25">
      <c r="D1847" s="16"/>
      <c r="Q1847" s="16"/>
      <c r="T1847" s="1"/>
      <c r="X1847" s="1"/>
      <c r="Y1847" s="1"/>
      <c r="Z1847" s="1"/>
    </row>
    <row r="1848" spans="4:26" x14ac:dyDescent="0.25">
      <c r="D1848" s="16"/>
      <c r="Q1848" s="16"/>
    </row>
    <row r="1849" spans="4:26" x14ac:dyDescent="0.25">
      <c r="Q1849" s="16"/>
    </row>
    <row r="1850" spans="4:26" x14ac:dyDescent="0.25">
      <c r="D1850" s="16"/>
      <c r="Q1850" s="16"/>
      <c r="T1850" s="1"/>
      <c r="X1850" s="1"/>
      <c r="Y1850" s="1"/>
      <c r="Z1850" s="1"/>
    </row>
    <row r="1852" spans="4:26" x14ac:dyDescent="0.25">
      <c r="D1852" s="16"/>
      <c r="Q1852" s="16"/>
    </row>
    <row r="1853" spans="4:26" x14ac:dyDescent="0.25">
      <c r="D1853" s="16"/>
      <c r="Q1853" s="16"/>
      <c r="T1853" s="1"/>
      <c r="X1853" s="1"/>
      <c r="Y1853" s="1"/>
      <c r="Z1853" s="1"/>
    </row>
    <row r="1854" spans="4:26" x14ac:dyDescent="0.25">
      <c r="D1854" s="17"/>
      <c r="Q1854" s="16"/>
      <c r="T1854" s="1"/>
      <c r="X1854" s="1"/>
      <c r="Y1854" s="1"/>
      <c r="Z1854" s="1"/>
    </row>
    <row r="1855" spans="4:26" x14ac:dyDescent="0.25">
      <c r="Q1855" s="16"/>
    </row>
    <row r="1856" spans="4:26" x14ac:dyDescent="0.25">
      <c r="D1856" s="16"/>
      <c r="Q1856" s="16"/>
    </row>
    <row r="1857" spans="4:26" x14ac:dyDescent="0.25">
      <c r="D1857" s="17"/>
      <c r="Q1857" s="17"/>
      <c r="T1857" s="1"/>
      <c r="X1857" s="1"/>
      <c r="Y1857" s="1"/>
      <c r="Z1857" s="1"/>
    </row>
    <row r="1858" spans="4:26" x14ac:dyDescent="0.25">
      <c r="D1858" s="16"/>
      <c r="Q1858" s="16"/>
    </row>
    <row r="1859" spans="4:26" x14ac:dyDescent="0.25">
      <c r="D1859" s="16"/>
      <c r="Q1859" s="16"/>
    </row>
    <row r="1860" spans="4:26" x14ac:dyDescent="0.25">
      <c r="D1860" s="17"/>
      <c r="Q1860" s="16"/>
      <c r="T1860" s="1"/>
      <c r="X1860" s="1"/>
      <c r="Y1860" s="1"/>
      <c r="Z1860" s="1"/>
    </row>
    <row r="1861" spans="4:26" x14ac:dyDescent="0.25">
      <c r="Q1861" s="16"/>
    </row>
    <row r="1862" spans="4:26" x14ac:dyDescent="0.25">
      <c r="D1862" s="16"/>
      <c r="Q1862" s="16"/>
    </row>
    <row r="1863" spans="4:26" x14ac:dyDescent="0.25">
      <c r="D1863" s="17"/>
      <c r="Q1863" s="16"/>
      <c r="T1863" s="1"/>
      <c r="X1863" s="1"/>
      <c r="Y1863" s="1"/>
      <c r="Z1863" s="1"/>
    </row>
    <row r="1864" spans="4:26" x14ac:dyDescent="0.25">
      <c r="D1864" s="17"/>
      <c r="Q1864" s="16"/>
      <c r="T1864" s="1"/>
      <c r="X1864" s="1"/>
      <c r="Y1864" s="1"/>
      <c r="Z1864" s="1"/>
    </row>
    <row r="1865" spans="4:26" x14ac:dyDescent="0.25">
      <c r="D1865" s="16"/>
      <c r="Q1865" s="16"/>
    </row>
    <row r="1866" spans="4:26" x14ac:dyDescent="0.25">
      <c r="Q1866" s="16"/>
    </row>
    <row r="1867" spans="4:26" x14ac:dyDescent="0.25">
      <c r="D1867" s="17"/>
      <c r="Q1867" s="16"/>
      <c r="T1867" s="1"/>
      <c r="X1867" s="1"/>
      <c r="Y1867" s="1"/>
      <c r="Z1867" s="1"/>
    </row>
    <row r="1868" spans="4:26" x14ac:dyDescent="0.25">
      <c r="D1868" s="16"/>
      <c r="Q1868" s="16"/>
    </row>
    <row r="1870" spans="4:26" x14ac:dyDescent="0.25">
      <c r="D1870" s="16"/>
      <c r="Q1870" s="16"/>
      <c r="T1870" s="1"/>
      <c r="X1870" s="1"/>
      <c r="Y1870" s="1"/>
      <c r="Z1870" s="1"/>
    </row>
    <row r="1871" spans="4:26" x14ac:dyDescent="0.25">
      <c r="D1871" s="16"/>
      <c r="Q1871" s="16"/>
    </row>
    <row r="1873" spans="4:26" x14ac:dyDescent="0.25">
      <c r="D1873" s="16"/>
      <c r="Q1873" s="16"/>
      <c r="T1873" s="1"/>
      <c r="X1873" s="1"/>
      <c r="Y1873" s="1"/>
      <c r="Z1873" s="1"/>
    </row>
    <row r="1874" spans="4:26" x14ac:dyDescent="0.25">
      <c r="D1874" s="16"/>
      <c r="Q1874" s="16"/>
    </row>
    <row r="1876" spans="4:26" x14ac:dyDescent="0.25">
      <c r="D1876" s="16"/>
      <c r="Q1876" s="16"/>
      <c r="T1876" s="1"/>
      <c r="X1876" s="1"/>
      <c r="Y1876" s="1"/>
      <c r="Z1876" s="1"/>
    </row>
    <row r="1877" spans="4:26" x14ac:dyDescent="0.25">
      <c r="D1877" s="16"/>
      <c r="Q1877" s="16"/>
    </row>
    <row r="1879" spans="4:26" x14ac:dyDescent="0.25">
      <c r="D1879" s="16"/>
      <c r="Q1879" s="16"/>
      <c r="T1879" s="1"/>
      <c r="X1879" s="1"/>
      <c r="Y1879" s="1"/>
      <c r="Z1879" s="1"/>
    </row>
    <row r="1880" spans="4:26" x14ac:dyDescent="0.25">
      <c r="D1880" s="16"/>
      <c r="Q1880" s="16"/>
    </row>
    <row r="1882" spans="4:26" x14ac:dyDescent="0.25">
      <c r="D1882" s="16"/>
      <c r="Q1882" s="16"/>
      <c r="T1882" s="1"/>
      <c r="X1882" s="1"/>
      <c r="Y1882" s="1"/>
      <c r="Z1882" s="1"/>
    </row>
    <row r="1883" spans="4:26" x14ac:dyDescent="0.25">
      <c r="D1883" s="16"/>
      <c r="Q1883" s="16"/>
    </row>
    <row r="1885" spans="4:26" x14ac:dyDescent="0.25">
      <c r="D1885" s="16"/>
      <c r="Q1885" s="16"/>
      <c r="T1885" s="1"/>
      <c r="X1885" s="1"/>
      <c r="Y1885" s="1"/>
      <c r="Z1885" s="1"/>
    </row>
    <row r="1886" spans="4:26" x14ac:dyDescent="0.25">
      <c r="D1886" s="16"/>
      <c r="Q1886" s="16"/>
    </row>
    <row r="1888" spans="4:26" x14ac:dyDescent="0.25">
      <c r="D1888" s="16"/>
      <c r="Q1888" s="16"/>
      <c r="T1888" s="1"/>
      <c r="X1888" s="1"/>
      <c r="Y1888" s="1"/>
      <c r="Z1888" s="1"/>
    </row>
    <row r="1889" spans="4:26" x14ac:dyDescent="0.25">
      <c r="D1889" s="16"/>
      <c r="Q1889" s="16"/>
    </row>
    <row r="1891" spans="4:26" x14ac:dyDescent="0.25">
      <c r="D1891" s="16"/>
      <c r="Q1891" s="16"/>
      <c r="T1891" s="1"/>
      <c r="X1891" s="1"/>
      <c r="Y1891" s="1"/>
      <c r="Z1891" s="1"/>
    </row>
    <row r="1892" spans="4:26" x14ac:dyDescent="0.25">
      <c r="D1892" s="16"/>
      <c r="Q1892" s="16"/>
    </row>
    <row r="1894" spans="4:26" x14ac:dyDescent="0.25">
      <c r="D1894" s="16"/>
      <c r="Q1894" s="16"/>
      <c r="T1894" s="1"/>
      <c r="X1894" s="1"/>
      <c r="Y1894" s="1"/>
      <c r="Z1894" s="1"/>
    </row>
    <row r="1895" spans="4:26" x14ac:dyDescent="0.25">
      <c r="D1895" s="16"/>
      <c r="Q1895" s="16"/>
    </row>
    <row r="1896" spans="4:26" x14ac:dyDescent="0.25">
      <c r="Q1896" s="16"/>
    </row>
    <row r="1897" spans="4:26" x14ac:dyDescent="0.25">
      <c r="D1897" s="17"/>
      <c r="Q1897" s="16"/>
      <c r="T1897" s="1"/>
      <c r="X1897" s="1"/>
      <c r="Y1897" s="1"/>
      <c r="Z1897" s="1"/>
    </row>
    <row r="1898" spans="4:26" x14ac:dyDescent="0.25">
      <c r="D1898" s="16"/>
      <c r="Q1898" s="16"/>
      <c r="T1898" s="1"/>
      <c r="X1898" s="1"/>
      <c r="Y1898" s="1"/>
      <c r="Z1898" s="1"/>
    </row>
    <row r="1899" spans="4:26" x14ac:dyDescent="0.25">
      <c r="D1899" s="17"/>
      <c r="Q1899" s="16"/>
      <c r="T1899" s="1"/>
      <c r="X1899" s="1"/>
      <c r="Y1899" s="1"/>
      <c r="Z1899" s="1"/>
    </row>
    <row r="1900" spans="4:26" x14ac:dyDescent="0.25">
      <c r="Q1900" s="16"/>
    </row>
    <row r="1901" spans="4:26" x14ac:dyDescent="0.25">
      <c r="D1901" s="16"/>
      <c r="Q1901" s="16"/>
    </row>
    <row r="1902" spans="4:26" x14ac:dyDescent="0.25">
      <c r="D1902" s="17"/>
      <c r="Q1902" s="16"/>
      <c r="T1902" s="1"/>
      <c r="X1902" s="1"/>
      <c r="Y1902" s="1"/>
      <c r="Z1902" s="1"/>
    </row>
    <row r="1903" spans="4:26" x14ac:dyDescent="0.25">
      <c r="D1903" s="17"/>
      <c r="Q1903" s="16"/>
      <c r="T1903" s="1"/>
      <c r="X1903" s="1"/>
      <c r="Y1903" s="1"/>
      <c r="Z1903" s="1"/>
    </row>
    <row r="1904" spans="4:26" x14ac:dyDescent="0.25">
      <c r="D1904" s="16"/>
      <c r="Q1904" s="16"/>
    </row>
    <row r="1905" spans="4:26" x14ac:dyDescent="0.25">
      <c r="Q1905" s="16"/>
    </row>
    <row r="1906" spans="4:26" x14ac:dyDescent="0.25">
      <c r="D1906" s="17"/>
      <c r="Q1906" s="16"/>
      <c r="T1906" s="1"/>
      <c r="X1906" s="1"/>
      <c r="Y1906" s="1"/>
      <c r="Z1906" s="1"/>
    </row>
    <row r="1907" spans="4:26" x14ac:dyDescent="0.25">
      <c r="D1907" s="16"/>
      <c r="Q1907" s="16"/>
    </row>
    <row r="1909" spans="4:26" x14ac:dyDescent="0.25">
      <c r="D1909" s="16"/>
      <c r="Q1909" s="16"/>
      <c r="T1909" s="1"/>
      <c r="X1909" s="1"/>
      <c r="Y1909" s="1"/>
      <c r="Z1909" s="1"/>
    </row>
    <row r="1910" spans="4:26" x14ac:dyDescent="0.25">
      <c r="D1910" s="16"/>
      <c r="Q1910" s="16"/>
    </row>
    <row r="1911" spans="4:26" x14ac:dyDescent="0.25">
      <c r="Q1911" s="16"/>
    </row>
    <row r="1912" spans="4:26" x14ac:dyDescent="0.25">
      <c r="D1912" s="17"/>
      <c r="Q1912" s="16"/>
      <c r="T1912" s="1"/>
      <c r="X1912" s="1"/>
      <c r="Y1912" s="1"/>
      <c r="Z1912" s="1"/>
    </row>
    <row r="1913" spans="4:26" x14ac:dyDescent="0.25">
      <c r="D1913" s="16"/>
      <c r="Q1913" s="16"/>
      <c r="T1913" s="1"/>
      <c r="X1913" s="1"/>
      <c r="Y1913" s="1"/>
      <c r="Z1913" s="1"/>
    </row>
    <row r="1914" spans="4:26" x14ac:dyDescent="0.25">
      <c r="Q1914" s="16"/>
    </row>
    <row r="1915" spans="4:26" x14ac:dyDescent="0.25">
      <c r="Q1915" s="16"/>
    </row>
    <row r="1916" spans="4:26" x14ac:dyDescent="0.25">
      <c r="D1916" s="16"/>
      <c r="Q1916" s="16"/>
      <c r="T1916" s="1"/>
      <c r="X1916" s="1"/>
      <c r="Y1916" s="1"/>
      <c r="Z1916" s="1"/>
    </row>
    <row r="1919" spans="4:26" x14ac:dyDescent="0.25">
      <c r="D1919" s="16"/>
      <c r="Q1919" s="16"/>
      <c r="T1919" s="1"/>
      <c r="X1919" s="1"/>
      <c r="Y1919" s="1"/>
      <c r="Z1919" s="1"/>
    </row>
    <row r="1920" spans="4:26" x14ac:dyDescent="0.25">
      <c r="Q1920" s="16"/>
    </row>
    <row r="1921" spans="4:26" x14ac:dyDescent="0.25">
      <c r="Q1921" s="16"/>
    </row>
    <row r="1922" spans="4:26" x14ac:dyDescent="0.25">
      <c r="D1922" s="16"/>
      <c r="Q1922" s="16"/>
      <c r="T1922" s="1"/>
      <c r="X1922" s="1"/>
      <c r="Y1922" s="1"/>
      <c r="Z1922" s="1"/>
    </row>
    <row r="1923" spans="4:26" x14ac:dyDescent="0.25">
      <c r="Q1923" s="16"/>
    </row>
    <row r="1924" spans="4:26" x14ac:dyDescent="0.25">
      <c r="Q1924" s="16"/>
    </row>
    <row r="1925" spans="4:26" x14ac:dyDescent="0.25">
      <c r="D1925" s="16"/>
      <c r="Q1925" s="16"/>
      <c r="T1925" s="1"/>
      <c r="X1925" s="1"/>
      <c r="Y1925" s="1"/>
      <c r="Z1925" s="1"/>
    </row>
    <row r="1928" spans="4:26" x14ac:dyDescent="0.25">
      <c r="D1928" s="16"/>
      <c r="Q1928" s="16"/>
      <c r="T1928" s="1"/>
      <c r="X1928" s="1"/>
      <c r="Y1928" s="1"/>
      <c r="Z1928" s="1"/>
    </row>
    <row r="1929" spans="4:26" x14ac:dyDescent="0.25">
      <c r="Q1929" s="16"/>
    </row>
    <row r="1930" spans="4:26" x14ac:dyDescent="0.25">
      <c r="Q1930" s="16"/>
    </row>
    <row r="1931" spans="4:26" x14ac:dyDescent="0.25">
      <c r="D1931" s="16"/>
      <c r="Q1931" s="16"/>
      <c r="T1931" s="1"/>
      <c r="X1931" s="1"/>
      <c r="Y1931" s="1"/>
      <c r="Z1931" s="1"/>
    </row>
    <row r="1932" spans="4:26" x14ac:dyDescent="0.25">
      <c r="Q1932" s="16"/>
    </row>
    <row r="1933" spans="4:26" x14ac:dyDescent="0.25">
      <c r="Q1933" s="16"/>
    </row>
    <row r="1934" spans="4:26" x14ac:dyDescent="0.25">
      <c r="D1934" s="16"/>
      <c r="Q1934" s="16"/>
      <c r="T1934" s="1"/>
      <c r="X1934" s="1"/>
      <c r="Y1934" s="1"/>
      <c r="Z1934" s="1"/>
    </row>
    <row r="1935" spans="4:26" x14ac:dyDescent="0.25">
      <c r="D1935" s="17"/>
      <c r="Q1935" s="17"/>
      <c r="T1935" s="1"/>
      <c r="X1935" s="1"/>
      <c r="Y1935" s="1"/>
      <c r="Z1935" s="1"/>
    </row>
    <row r="1936" spans="4:26" x14ac:dyDescent="0.25">
      <c r="D1936" s="16"/>
      <c r="Q1936" s="16"/>
    </row>
    <row r="1937" spans="4:26" x14ac:dyDescent="0.25">
      <c r="D1937" s="16"/>
      <c r="Q1937" s="16"/>
    </row>
    <row r="1938" spans="4:26" x14ac:dyDescent="0.25">
      <c r="D1938" s="17"/>
      <c r="Q1938" s="17"/>
      <c r="T1938" s="1"/>
      <c r="X1938" s="1"/>
      <c r="Y1938" s="1"/>
      <c r="Z1938" s="1"/>
    </row>
    <row r="1939" spans="4:26" x14ac:dyDescent="0.25">
      <c r="D1939" s="16"/>
      <c r="Q1939" s="16"/>
      <c r="T1939" s="1"/>
      <c r="X1939" s="1"/>
      <c r="Y1939" s="1"/>
      <c r="Z1939" s="1"/>
    </row>
    <row r="1940" spans="4:26" x14ac:dyDescent="0.25">
      <c r="D1940" s="16"/>
      <c r="Q1940" s="16"/>
      <c r="T1940" s="1"/>
      <c r="X1940" s="1"/>
      <c r="Y1940" s="1"/>
      <c r="Z1940" s="1"/>
    </row>
    <row r="1941" spans="4:26" x14ac:dyDescent="0.25">
      <c r="D1941" s="17"/>
      <c r="Q1941" s="17"/>
      <c r="T1941" s="1"/>
      <c r="X1941" s="1"/>
      <c r="Y1941" s="1"/>
      <c r="Z1941" s="1"/>
    </row>
    <row r="1942" spans="4:26" x14ac:dyDescent="0.25">
      <c r="D1942" s="17"/>
      <c r="Q1942" s="17"/>
      <c r="T1942" s="1"/>
      <c r="X1942" s="1"/>
      <c r="Y1942" s="1"/>
      <c r="Z1942" s="1"/>
    </row>
    <row r="1943" spans="4:26" x14ac:dyDescent="0.25">
      <c r="D1943" s="16"/>
      <c r="Q1943" s="16"/>
    </row>
    <row r="1944" spans="4:26" x14ac:dyDescent="0.25">
      <c r="Q1944" s="16"/>
    </row>
    <row r="1945" spans="4:26" x14ac:dyDescent="0.25">
      <c r="D1945" s="17"/>
      <c r="Q1945" s="16"/>
      <c r="T1945" s="1"/>
      <c r="X1945" s="1"/>
      <c r="Y1945" s="1"/>
      <c r="Z1945" s="1"/>
    </row>
    <row r="1946" spans="4:26" x14ac:dyDescent="0.25">
      <c r="D1946" s="16"/>
      <c r="Q1946" s="16"/>
    </row>
    <row r="1947" spans="4:26" x14ac:dyDescent="0.25">
      <c r="Q1947" s="16"/>
    </row>
    <row r="1948" spans="4:26" x14ac:dyDescent="0.25">
      <c r="D1948" s="17"/>
      <c r="Q1948" s="16"/>
      <c r="T1948" s="1"/>
      <c r="X1948" s="1"/>
      <c r="Y1948" s="1"/>
      <c r="Z1948" s="1"/>
    </row>
    <row r="1949" spans="4:26" x14ac:dyDescent="0.25">
      <c r="D1949" s="16"/>
      <c r="Q1949" s="16"/>
      <c r="T1949" s="1"/>
      <c r="X1949" s="1"/>
      <c r="Y1949" s="1"/>
      <c r="Z1949" s="1"/>
    </row>
    <row r="1950" spans="4:26" x14ac:dyDescent="0.25">
      <c r="D1950" s="17"/>
      <c r="Q1950" s="16"/>
      <c r="T1950" s="1"/>
      <c r="X1950" s="1"/>
      <c r="Y1950" s="1"/>
      <c r="Z1950" s="1"/>
    </row>
    <row r="1951" spans="4:26" x14ac:dyDescent="0.25">
      <c r="Q1951" s="16"/>
    </row>
    <row r="1952" spans="4:26" x14ac:dyDescent="0.25">
      <c r="D1952" s="16"/>
      <c r="Q1952" s="16"/>
    </row>
    <row r="1953" spans="4:26" x14ac:dyDescent="0.25">
      <c r="D1953" s="17"/>
      <c r="Q1953" s="16"/>
      <c r="T1953" s="1"/>
      <c r="X1953" s="1"/>
      <c r="Y1953" s="1"/>
      <c r="Z1953" s="1"/>
    </row>
    <row r="1954" spans="4:26" x14ac:dyDescent="0.25">
      <c r="D1954" s="17"/>
      <c r="Q1954" s="16"/>
      <c r="T1954" s="1"/>
      <c r="X1954" s="1"/>
      <c r="Y1954" s="1"/>
      <c r="Z1954" s="1"/>
    </row>
    <row r="1955" spans="4:26" x14ac:dyDescent="0.25">
      <c r="D1955" s="16"/>
      <c r="Q1955" s="16"/>
      <c r="T1955" s="1"/>
      <c r="X1955" s="1"/>
      <c r="Y1955" s="1"/>
      <c r="Z1955" s="1"/>
    </row>
    <row r="1956" spans="4:26" x14ac:dyDescent="0.25">
      <c r="D1956" s="17"/>
      <c r="Q1956" s="16"/>
      <c r="T1956" s="1"/>
      <c r="X1956" s="1"/>
      <c r="Y1956" s="1"/>
      <c r="Z1956" s="1"/>
    </row>
    <row r="1957" spans="4:26" x14ac:dyDescent="0.25">
      <c r="Q1957" s="16"/>
    </row>
    <row r="1958" spans="4:26" x14ac:dyDescent="0.25">
      <c r="D1958" s="16"/>
      <c r="Q1958" s="16"/>
    </row>
    <row r="1959" spans="4:26" x14ac:dyDescent="0.25">
      <c r="D1959" s="17"/>
      <c r="Q1959" s="17"/>
      <c r="T1959" s="1"/>
      <c r="X1959" s="1"/>
      <c r="Y1959" s="1"/>
      <c r="Z1959" s="1"/>
    </row>
    <row r="1960" spans="4:26" x14ac:dyDescent="0.25">
      <c r="D1960" s="17"/>
      <c r="Q1960" s="17"/>
      <c r="T1960" s="1"/>
      <c r="X1960" s="1"/>
      <c r="Y1960" s="1"/>
      <c r="Z1960" s="1"/>
    </row>
    <row r="1961" spans="4:26" x14ac:dyDescent="0.25">
      <c r="D1961" s="16"/>
      <c r="Q1961" s="16"/>
      <c r="T1961" s="1"/>
      <c r="X1961" s="1"/>
      <c r="Y1961" s="1"/>
      <c r="Z1961" s="1"/>
    </row>
    <row r="1962" spans="4:26" x14ac:dyDescent="0.25">
      <c r="D1962" s="17"/>
      <c r="Q1962" s="17"/>
      <c r="T1962" s="1"/>
      <c r="X1962" s="1"/>
      <c r="Y1962" s="1"/>
      <c r="Z1962" s="1"/>
    </row>
    <row r="1964" spans="4:26" x14ac:dyDescent="0.25">
      <c r="D1964" s="16"/>
      <c r="Q1964" s="16"/>
    </row>
    <row r="1965" spans="4:26" x14ac:dyDescent="0.25">
      <c r="D1965" s="17"/>
      <c r="Q1965" s="17"/>
      <c r="T1965" s="1"/>
      <c r="X1965" s="1"/>
      <c r="Y1965" s="1"/>
      <c r="Z1965" s="1"/>
    </row>
    <row r="1967" spans="4:26" x14ac:dyDescent="0.25">
      <c r="D1967" s="16"/>
      <c r="Q1967" s="16"/>
    </row>
    <row r="1968" spans="4:26" x14ac:dyDescent="0.25">
      <c r="D1968" s="17"/>
      <c r="Q1968" s="17"/>
      <c r="T1968" s="1"/>
      <c r="X1968" s="1"/>
      <c r="Y1968" s="1"/>
      <c r="Z1968" s="1"/>
    </row>
    <row r="1970" spans="4:26" x14ac:dyDescent="0.25">
      <c r="D1970" s="16"/>
      <c r="Q1970" s="16"/>
    </row>
    <row r="1971" spans="4:26" x14ac:dyDescent="0.25">
      <c r="D1971" s="17"/>
      <c r="Q1971" s="17"/>
      <c r="T1971" s="1"/>
      <c r="X1971" s="1"/>
      <c r="Y1971" s="1"/>
      <c r="Z1971" s="1"/>
    </row>
    <row r="1973" spans="4:26" x14ac:dyDescent="0.25">
      <c r="D1973" s="16"/>
      <c r="Q1973" s="16"/>
    </row>
    <row r="1974" spans="4:26" x14ac:dyDescent="0.25">
      <c r="D1974" s="17"/>
      <c r="Q1974" s="17"/>
      <c r="T1974" s="1"/>
      <c r="X1974" s="1"/>
      <c r="Y1974" s="1"/>
      <c r="Z1974" s="1"/>
    </row>
    <row r="1976" spans="4:26" x14ac:dyDescent="0.25">
      <c r="D1976" s="16"/>
      <c r="Q1976" s="16"/>
    </row>
    <row r="1977" spans="4:26" x14ac:dyDescent="0.25">
      <c r="D1977" s="17"/>
      <c r="Q1977" s="17"/>
      <c r="T1977" s="1"/>
      <c r="X1977" s="1"/>
      <c r="Y1977" s="1"/>
      <c r="Z1977" s="1"/>
    </row>
    <row r="1979" spans="4:26" x14ac:dyDescent="0.25">
      <c r="D1979" s="16"/>
      <c r="Q1979" s="16"/>
    </row>
    <row r="1980" spans="4:26" x14ac:dyDescent="0.25">
      <c r="D1980" s="17"/>
      <c r="Q1980" s="17"/>
      <c r="T1980" s="1"/>
      <c r="X1980" s="1"/>
      <c r="Y1980" s="1"/>
      <c r="Z1980" s="1"/>
    </row>
    <row r="1982" spans="4:26" x14ac:dyDescent="0.25">
      <c r="D1982" s="16"/>
      <c r="Q1982" s="16"/>
    </row>
    <row r="1983" spans="4:26" x14ac:dyDescent="0.25">
      <c r="D1983" s="17"/>
      <c r="Q1983" s="17"/>
      <c r="T1983" s="1"/>
      <c r="X1983" s="1"/>
      <c r="Y1983" s="1"/>
      <c r="Z1983" s="1"/>
    </row>
    <row r="1985" spans="4:26" x14ac:dyDescent="0.25">
      <c r="D1985" s="16"/>
      <c r="Q1985" s="16"/>
    </row>
    <row r="1986" spans="4:26" x14ac:dyDescent="0.25">
      <c r="D1986" s="17"/>
      <c r="Q1986" s="17"/>
      <c r="T1986" s="1"/>
      <c r="X1986" s="1"/>
      <c r="Y1986" s="1"/>
      <c r="Z1986" s="1"/>
    </row>
    <row r="1988" spans="4:26" x14ac:dyDescent="0.25">
      <c r="D1988" s="16"/>
      <c r="Q1988" s="16"/>
    </row>
    <row r="1989" spans="4:26" x14ac:dyDescent="0.25">
      <c r="D1989" s="17"/>
      <c r="Q1989" s="17"/>
      <c r="T1989" s="1"/>
      <c r="X1989" s="1"/>
      <c r="Y1989" s="1"/>
      <c r="Z1989" s="1"/>
    </row>
    <row r="1991" spans="4:26" x14ac:dyDescent="0.25">
      <c r="D1991" s="16"/>
      <c r="Q1991" s="16"/>
    </row>
    <row r="1992" spans="4:26" x14ac:dyDescent="0.25">
      <c r="D1992" s="17"/>
      <c r="Q1992" s="17"/>
      <c r="T1992" s="1"/>
      <c r="X1992" s="1"/>
      <c r="Y1992" s="1"/>
      <c r="Z1992" s="1"/>
    </row>
    <row r="1994" spans="4:26" x14ac:dyDescent="0.25">
      <c r="D1994" s="16"/>
      <c r="Q1994" s="16"/>
    </row>
    <row r="1995" spans="4:26" x14ac:dyDescent="0.25">
      <c r="D1995" s="17"/>
      <c r="Q1995" s="17"/>
      <c r="T1995" s="1"/>
      <c r="X1995" s="1"/>
      <c r="Y1995" s="1"/>
      <c r="Z1995" s="1"/>
    </row>
    <row r="1997" spans="4:26" x14ac:dyDescent="0.25">
      <c r="D1997" s="16"/>
      <c r="Q1997" s="16"/>
    </row>
    <row r="1998" spans="4:26" x14ac:dyDescent="0.25">
      <c r="D1998" s="17"/>
      <c r="Q1998" s="17"/>
      <c r="T1998" s="1"/>
      <c r="X1998" s="1"/>
      <c r="Y1998" s="1"/>
      <c r="Z1998" s="1"/>
    </row>
    <row r="2000" spans="4:26" x14ac:dyDescent="0.25">
      <c r="D2000" s="16"/>
      <c r="Q2000" s="16"/>
    </row>
    <row r="2001" spans="4:26" x14ac:dyDescent="0.25">
      <c r="D2001" s="17"/>
      <c r="Q2001" s="17"/>
      <c r="T2001" s="1"/>
      <c r="X2001" s="1"/>
      <c r="Y2001" s="1"/>
      <c r="Z2001" s="1"/>
    </row>
    <row r="2003" spans="4:26" x14ac:dyDescent="0.25">
      <c r="D2003" s="16"/>
      <c r="Q2003" s="16"/>
    </row>
    <row r="2004" spans="4:26" x14ac:dyDescent="0.25">
      <c r="D2004" s="17"/>
      <c r="Q2004" s="17"/>
      <c r="T2004" s="1"/>
      <c r="X2004" s="1"/>
      <c r="Y2004" s="1"/>
      <c r="Z2004" s="1"/>
    </row>
    <row r="2006" spans="4:26" x14ac:dyDescent="0.25">
      <c r="D2006" s="16"/>
      <c r="Q2006" s="16"/>
    </row>
    <row r="2007" spans="4:26" x14ac:dyDescent="0.25">
      <c r="D2007" s="17"/>
      <c r="Q2007" s="17"/>
      <c r="T2007" s="1"/>
      <c r="X2007" s="1"/>
      <c r="Y2007" s="1"/>
      <c r="Z2007" s="1"/>
    </row>
    <row r="2009" spans="4:26" x14ac:dyDescent="0.25">
      <c r="D2009" s="16"/>
      <c r="Q2009" s="16"/>
    </row>
    <row r="2010" spans="4:26" x14ac:dyDescent="0.25">
      <c r="D2010" s="17"/>
      <c r="Q2010" s="17"/>
      <c r="T2010" s="1"/>
      <c r="X2010" s="1"/>
      <c r="Y2010" s="1"/>
      <c r="Z2010" s="1"/>
    </row>
    <row r="2012" spans="4:26" x14ac:dyDescent="0.25">
      <c r="D2012" s="16"/>
      <c r="Q2012" s="16"/>
    </row>
    <row r="2013" spans="4:26" x14ac:dyDescent="0.25">
      <c r="D2013" s="17"/>
      <c r="Q2013" s="17"/>
      <c r="T2013" s="1"/>
      <c r="X2013" s="1"/>
      <c r="Y2013" s="1"/>
      <c r="Z2013" s="1"/>
    </row>
    <row r="2015" spans="4:26" x14ac:dyDescent="0.25">
      <c r="D2015" s="16"/>
      <c r="Q2015" s="16"/>
    </row>
    <row r="2016" spans="4:26" x14ac:dyDescent="0.25">
      <c r="D2016" s="17"/>
      <c r="Q2016" s="16"/>
      <c r="T2016" s="1"/>
      <c r="X2016" s="1"/>
      <c r="Y2016" s="1"/>
      <c r="Z2016" s="1"/>
    </row>
    <row r="2018" spans="4:26" x14ac:dyDescent="0.25">
      <c r="D2018" s="16"/>
      <c r="Q2018" s="16"/>
    </row>
    <row r="2019" spans="4:26" x14ac:dyDescent="0.25">
      <c r="D2019" s="16"/>
      <c r="Q2019" s="16"/>
      <c r="T2019" s="1"/>
      <c r="X2019" s="1"/>
      <c r="Y2019" s="1"/>
      <c r="Z2019" s="1"/>
    </row>
    <row r="2021" spans="4:26" x14ac:dyDescent="0.25">
      <c r="D2021" s="16"/>
      <c r="Q2021" s="16"/>
    </row>
    <row r="2022" spans="4:26" x14ac:dyDescent="0.25">
      <c r="D2022" s="16"/>
      <c r="Q2022" s="16"/>
      <c r="T2022" s="1"/>
      <c r="X2022" s="1"/>
      <c r="Y2022" s="1"/>
      <c r="Z2022" s="1"/>
    </row>
    <row r="2024" spans="4:26" x14ac:dyDescent="0.25">
      <c r="D2024" s="16"/>
      <c r="Q2024" s="16"/>
    </row>
    <row r="2025" spans="4:26" x14ac:dyDescent="0.25">
      <c r="D2025" s="16"/>
      <c r="Q2025" s="16"/>
      <c r="T2025" s="1"/>
      <c r="X2025" s="1"/>
      <c r="Y2025" s="1"/>
      <c r="Z2025" s="1"/>
    </row>
    <row r="2027" spans="4:26" x14ac:dyDescent="0.25">
      <c r="D2027" s="16"/>
      <c r="Q2027" s="16"/>
    </row>
    <row r="2028" spans="4:26" x14ac:dyDescent="0.25">
      <c r="D2028" s="16"/>
      <c r="Q2028" s="16"/>
      <c r="T2028" s="1"/>
      <c r="X2028" s="1"/>
      <c r="Y2028" s="1"/>
      <c r="Z2028" s="1"/>
    </row>
    <row r="2029" spans="4:26" x14ac:dyDescent="0.25">
      <c r="D2029" s="17"/>
      <c r="Q2029" s="17"/>
      <c r="T2029" s="1"/>
      <c r="X2029" s="1"/>
      <c r="Y2029" s="1"/>
      <c r="Z2029" s="1"/>
    </row>
    <row r="2030" spans="4:26" x14ac:dyDescent="0.25">
      <c r="D2030" s="16"/>
      <c r="Q2030" s="16"/>
    </row>
    <row r="2031" spans="4:26" x14ac:dyDescent="0.25">
      <c r="D2031" s="16"/>
      <c r="Q2031" s="16"/>
    </row>
    <row r="2032" spans="4:26" x14ac:dyDescent="0.25">
      <c r="D2032" s="17"/>
      <c r="Q2032" s="17"/>
      <c r="T2032" s="1"/>
      <c r="X2032" s="1"/>
      <c r="Y2032" s="1"/>
      <c r="Z2032" s="1"/>
    </row>
    <row r="2033" spans="4:26" x14ac:dyDescent="0.25">
      <c r="D2033" s="16"/>
      <c r="Q2033" s="16"/>
    </row>
    <row r="2034" spans="4:26" x14ac:dyDescent="0.25">
      <c r="D2034" s="16"/>
      <c r="Q2034" s="16"/>
    </row>
    <row r="2035" spans="4:26" x14ac:dyDescent="0.25">
      <c r="D2035" s="17"/>
      <c r="Q2035" s="17"/>
      <c r="T2035" s="1"/>
      <c r="X2035" s="1"/>
      <c r="Y2035" s="1"/>
      <c r="Z2035" s="1"/>
    </row>
    <row r="2036" spans="4:26" x14ac:dyDescent="0.25">
      <c r="D2036" s="17"/>
      <c r="Q2036" s="17"/>
      <c r="T2036" s="1"/>
      <c r="X2036" s="1"/>
      <c r="Y2036" s="1"/>
      <c r="Z2036" s="1"/>
    </row>
    <row r="2037" spans="4:26" x14ac:dyDescent="0.25">
      <c r="D2037" s="16"/>
      <c r="Q2037" s="16"/>
      <c r="T2037" s="1"/>
      <c r="X2037" s="1"/>
      <c r="Y2037" s="1"/>
      <c r="Z2037" s="1"/>
    </row>
    <row r="2038" spans="4:26" x14ac:dyDescent="0.25">
      <c r="D2038" s="16"/>
      <c r="Q2038" s="16"/>
      <c r="T2038" s="1"/>
      <c r="X2038" s="1"/>
      <c r="Y2038" s="1"/>
      <c r="Z2038" s="1"/>
    </row>
    <row r="2040" spans="4:26" x14ac:dyDescent="0.25">
      <c r="D2040" s="16"/>
      <c r="Q2040" s="16"/>
    </row>
    <row r="2041" spans="4:26" x14ac:dyDescent="0.25">
      <c r="D2041" s="16"/>
      <c r="Q2041" s="16"/>
      <c r="T2041" s="1"/>
      <c r="X2041" s="1"/>
      <c r="Y2041" s="1"/>
      <c r="Z2041" s="1"/>
    </row>
    <row r="2043" spans="4:26" x14ac:dyDescent="0.25">
      <c r="D2043" s="16"/>
      <c r="Q2043" s="16"/>
    </row>
    <row r="2044" spans="4:26" x14ac:dyDescent="0.25">
      <c r="D2044" s="16"/>
      <c r="Q2044" s="16"/>
      <c r="T2044" s="1"/>
      <c r="X2044" s="1"/>
      <c r="Y2044" s="1"/>
      <c r="Z2044" s="1"/>
    </row>
    <row r="2047" spans="4:26" x14ac:dyDescent="0.25">
      <c r="D2047" s="16"/>
      <c r="Q2047" s="16"/>
      <c r="T2047" s="1"/>
      <c r="X2047" s="1"/>
      <c r="Y2047" s="1"/>
      <c r="Z2047" s="1"/>
    </row>
    <row r="2048" spans="4:26" x14ac:dyDescent="0.25">
      <c r="D2048" s="17"/>
      <c r="Q2048" s="17"/>
      <c r="T2048" s="1"/>
      <c r="X2048" s="1"/>
      <c r="Y2048" s="1"/>
      <c r="Z2048" s="1"/>
    </row>
    <row r="2049" spans="4:26" x14ac:dyDescent="0.25">
      <c r="D2049" s="17"/>
      <c r="Q2049" s="17"/>
      <c r="T2049" s="1"/>
      <c r="X2049" s="1"/>
      <c r="Y2049" s="1"/>
      <c r="Z2049" s="1"/>
    </row>
    <row r="2050" spans="4:26" x14ac:dyDescent="0.25">
      <c r="D2050" s="16"/>
      <c r="Q2050" s="16"/>
    </row>
    <row r="2052" spans="4:26" x14ac:dyDescent="0.25">
      <c r="D2052" s="17"/>
      <c r="Q2052" s="17"/>
      <c r="T2052" s="1"/>
      <c r="X2052" s="1"/>
      <c r="Y2052" s="1"/>
      <c r="Z2052" s="1"/>
    </row>
    <row r="2053" spans="4:26" x14ac:dyDescent="0.25">
      <c r="D2053" s="16"/>
      <c r="Q2053" s="16"/>
    </row>
    <row r="2055" spans="4:26" x14ac:dyDescent="0.25">
      <c r="D2055" s="17"/>
      <c r="Q2055" s="17"/>
      <c r="T2055" s="1"/>
      <c r="X2055" s="1"/>
      <c r="Y2055" s="1"/>
      <c r="Z2055" s="1"/>
    </row>
    <row r="2056" spans="4:26" x14ac:dyDescent="0.25">
      <c r="D2056" s="16"/>
      <c r="Q2056" s="16"/>
    </row>
    <row r="2057" spans="4:26" x14ac:dyDescent="0.25">
      <c r="D2057" s="16"/>
      <c r="Q2057" s="16"/>
    </row>
    <row r="2058" spans="4:26" x14ac:dyDescent="0.25">
      <c r="D2058" s="17"/>
      <c r="Q2058" s="17"/>
      <c r="T2058" s="1"/>
      <c r="X2058" s="1"/>
      <c r="Y2058" s="1"/>
      <c r="Z2058" s="1"/>
    </row>
    <row r="2059" spans="4:26" x14ac:dyDescent="0.25">
      <c r="D2059" s="16"/>
      <c r="Q2059" s="16"/>
      <c r="T2059" s="1"/>
      <c r="X2059" s="1"/>
      <c r="Y2059" s="1"/>
      <c r="Z2059" s="1"/>
    </row>
    <row r="2060" spans="4:26" x14ac:dyDescent="0.25">
      <c r="D2060" s="16"/>
      <c r="Q2060" s="16"/>
    </row>
    <row r="2061" spans="4:26" x14ac:dyDescent="0.25">
      <c r="D2061" s="16"/>
      <c r="Q2061" s="16"/>
    </row>
    <row r="2062" spans="4:26" x14ac:dyDescent="0.25">
      <c r="D2062" s="17"/>
      <c r="Q2062" s="16"/>
      <c r="T2062" s="1"/>
      <c r="X2062" s="1"/>
      <c r="Y2062" s="1"/>
      <c r="Z2062" s="1"/>
    </row>
    <row r="2063" spans="4:26" x14ac:dyDescent="0.25">
      <c r="Q2063" s="16"/>
    </row>
    <row r="2064" spans="4:26" x14ac:dyDescent="0.25">
      <c r="D2064" s="16"/>
      <c r="Q2064" s="16"/>
    </row>
    <row r="2065" spans="4:26" x14ac:dyDescent="0.25">
      <c r="D2065" s="16"/>
      <c r="Q2065" s="16"/>
      <c r="T2065" s="1"/>
      <c r="X2065" s="1"/>
      <c r="Y2065" s="1"/>
      <c r="Z2065" s="1"/>
    </row>
    <row r="2068" spans="4:26" x14ac:dyDescent="0.25">
      <c r="D2068" s="16"/>
      <c r="Q2068" s="16"/>
      <c r="T2068" s="1"/>
      <c r="X2068" s="1"/>
      <c r="Y2068" s="1"/>
      <c r="Z2068" s="1"/>
    </row>
    <row r="2071" spans="4:26" x14ac:dyDescent="0.25">
      <c r="D2071" s="16"/>
      <c r="Q2071" s="16"/>
      <c r="T2071" s="1"/>
      <c r="X2071" s="1"/>
      <c r="Y2071" s="1"/>
      <c r="Z2071" s="1"/>
    </row>
    <row r="2072" spans="4:26" x14ac:dyDescent="0.25">
      <c r="D2072" s="16"/>
      <c r="Q2072" s="16"/>
    </row>
    <row r="2074" spans="4:26" x14ac:dyDescent="0.25">
      <c r="D2074" s="16"/>
      <c r="Q2074" s="16"/>
      <c r="T2074" s="1"/>
      <c r="X2074" s="1"/>
      <c r="Y2074" s="1"/>
      <c r="Z2074" s="1"/>
    </row>
    <row r="2075" spans="4:26" x14ac:dyDescent="0.25">
      <c r="D2075" s="16"/>
      <c r="Q2075" s="16"/>
      <c r="T2075" s="1"/>
      <c r="X2075" s="1"/>
      <c r="Y2075" s="1"/>
      <c r="Z2075" s="1"/>
    </row>
    <row r="2076" spans="4:26" x14ac:dyDescent="0.25">
      <c r="D2076" s="16"/>
      <c r="Q2076" s="16"/>
    </row>
    <row r="2077" spans="4:26" x14ac:dyDescent="0.25">
      <c r="D2077" s="16"/>
      <c r="Q2077" s="16"/>
    </row>
    <row r="2078" spans="4:26" x14ac:dyDescent="0.25">
      <c r="D2078" s="17"/>
      <c r="Q2078" s="16"/>
      <c r="T2078" s="1"/>
      <c r="X2078" s="1"/>
      <c r="Y2078" s="1"/>
      <c r="Z2078" s="1"/>
    </row>
    <row r="2079" spans="4:26" x14ac:dyDescent="0.25">
      <c r="D2079" s="17"/>
      <c r="Q2079" s="16"/>
      <c r="T2079" s="1"/>
      <c r="X2079" s="1"/>
      <c r="Y2079" s="1"/>
      <c r="Z2079" s="1"/>
    </row>
    <row r="2080" spans="4:26" x14ac:dyDescent="0.25">
      <c r="D2080" s="16"/>
      <c r="Q2080" s="16"/>
    </row>
    <row r="2082" spans="4:26" x14ac:dyDescent="0.25">
      <c r="D2082" s="16"/>
      <c r="Q2082" s="16"/>
      <c r="T2082" s="1"/>
      <c r="X2082" s="1"/>
      <c r="Y2082" s="1"/>
      <c r="Z2082" s="1"/>
    </row>
    <row r="2083" spans="4:26" x14ac:dyDescent="0.25">
      <c r="D2083" s="16"/>
      <c r="Q2083" s="16"/>
      <c r="T2083" s="1"/>
      <c r="X2083" s="1"/>
      <c r="Y2083" s="1"/>
      <c r="Z2083" s="1"/>
    </row>
    <row r="2085" spans="4:26" x14ac:dyDescent="0.25">
      <c r="D2085" s="16"/>
      <c r="Q2085" s="16"/>
    </row>
    <row r="2086" spans="4:26" x14ac:dyDescent="0.25">
      <c r="D2086" s="16"/>
      <c r="Q2086" s="16"/>
      <c r="T2086" s="1"/>
      <c r="X2086" s="1"/>
      <c r="Y2086" s="1"/>
      <c r="Z2086" s="1"/>
    </row>
    <row r="2087" spans="4:26" x14ac:dyDescent="0.25">
      <c r="D2087" s="16"/>
      <c r="Q2087" s="16"/>
      <c r="T2087" s="1"/>
      <c r="X2087" s="1"/>
      <c r="Y2087" s="1"/>
      <c r="Z2087" s="1"/>
    </row>
    <row r="2089" spans="4:26" x14ac:dyDescent="0.25">
      <c r="D2089" s="16"/>
      <c r="Q2089" s="16"/>
    </row>
    <row r="2090" spans="4:26" x14ac:dyDescent="0.25">
      <c r="D2090" s="16"/>
      <c r="Q2090" s="16"/>
      <c r="T2090" s="1"/>
      <c r="X2090" s="1"/>
      <c r="Y2090" s="1"/>
      <c r="Z2090" s="1"/>
    </row>
    <row r="2091" spans="4:26" x14ac:dyDescent="0.25">
      <c r="D2091" s="16"/>
      <c r="Q2091" s="16"/>
      <c r="T2091" s="1"/>
      <c r="X2091" s="1"/>
      <c r="Y2091" s="1"/>
      <c r="Z2091" s="1"/>
    </row>
    <row r="2094" spans="4:26" x14ac:dyDescent="0.25">
      <c r="D2094" s="16"/>
      <c r="Q2094" s="16"/>
      <c r="T2094" s="1"/>
      <c r="X2094" s="1"/>
      <c r="Y2094" s="1"/>
      <c r="Z2094" s="1"/>
    </row>
    <row r="2095" spans="4:26" x14ac:dyDescent="0.25">
      <c r="D2095" s="16"/>
      <c r="Q2095" s="16"/>
    </row>
    <row r="2096" spans="4:26" x14ac:dyDescent="0.25">
      <c r="D2096" s="16"/>
      <c r="Q2096" s="16"/>
    </row>
    <row r="2097" spans="4:26" x14ac:dyDescent="0.25">
      <c r="D2097" s="16"/>
      <c r="Q2097" s="16"/>
      <c r="T2097" s="1"/>
      <c r="X2097" s="1"/>
      <c r="Y2097" s="1"/>
      <c r="Z2097" s="1"/>
    </row>
    <row r="2099" spans="4:26" x14ac:dyDescent="0.25">
      <c r="D2099" s="16"/>
      <c r="Q2099" s="16"/>
    </row>
    <row r="2100" spans="4:26" x14ac:dyDescent="0.25">
      <c r="D2100" s="16"/>
      <c r="Q2100" s="16"/>
      <c r="T2100" s="1"/>
      <c r="X2100" s="1"/>
      <c r="Y2100" s="1"/>
      <c r="Z2100" s="1"/>
    </row>
    <row r="2101" spans="4:26" x14ac:dyDescent="0.25">
      <c r="D2101" s="17"/>
      <c r="Q2101" s="16"/>
      <c r="T2101" s="1"/>
      <c r="X2101" s="1"/>
      <c r="Y2101" s="1"/>
      <c r="Z2101" s="1"/>
    </row>
    <row r="2102" spans="4:26" x14ac:dyDescent="0.25">
      <c r="D2102" s="17"/>
      <c r="Q2102" s="16"/>
      <c r="T2102" s="1"/>
      <c r="X2102" s="1"/>
      <c r="Y2102" s="1"/>
      <c r="Z2102" s="1"/>
    </row>
    <row r="2103" spans="4:26" x14ac:dyDescent="0.25">
      <c r="D2103" s="16"/>
      <c r="Q2103" s="16"/>
    </row>
    <row r="2105" spans="4:26" x14ac:dyDescent="0.25">
      <c r="D2105" s="16"/>
      <c r="Q2105" s="16"/>
      <c r="T2105" s="1"/>
      <c r="X2105" s="1"/>
      <c r="Y2105" s="1"/>
      <c r="Z2105" s="1"/>
    </row>
    <row r="2106" spans="4:26" x14ac:dyDescent="0.25">
      <c r="D2106" s="16"/>
      <c r="Q2106" s="16"/>
      <c r="T2106" s="1"/>
      <c r="X2106" s="1"/>
      <c r="Y2106" s="1"/>
      <c r="Z2106" s="1"/>
    </row>
    <row r="2107" spans="4:26" x14ac:dyDescent="0.25">
      <c r="Q2107" s="16"/>
    </row>
    <row r="2108" spans="4:26" x14ac:dyDescent="0.25">
      <c r="Q2108" s="16"/>
    </row>
    <row r="2109" spans="4:26" x14ac:dyDescent="0.25">
      <c r="D2109" s="16"/>
      <c r="Q2109" s="16"/>
      <c r="T2109" s="1"/>
      <c r="X2109" s="1"/>
      <c r="Y2109" s="1"/>
      <c r="Z2109" s="1"/>
    </row>
    <row r="2111" spans="4:26" x14ac:dyDescent="0.25">
      <c r="D2111" s="16"/>
      <c r="Q2111" s="16"/>
    </row>
    <row r="2112" spans="4:26" x14ac:dyDescent="0.25">
      <c r="D2112" s="16"/>
      <c r="Q2112" s="16"/>
      <c r="T2112" s="1"/>
      <c r="X2112" s="1"/>
      <c r="Y2112" s="1"/>
      <c r="Z2112" s="1"/>
    </row>
    <row r="2114" spans="4:26" x14ac:dyDescent="0.25">
      <c r="D2114" s="16"/>
      <c r="Q2114" s="16"/>
    </row>
    <row r="2115" spans="4:26" x14ac:dyDescent="0.25">
      <c r="D2115" s="16"/>
      <c r="Q2115" s="16"/>
      <c r="T2115" s="1"/>
      <c r="X2115" s="1"/>
      <c r="Y2115" s="1"/>
      <c r="Z2115" s="1"/>
    </row>
    <row r="2116" spans="4:26" x14ac:dyDescent="0.25">
      <c r="D2116" s="17"/>
      <c r="Q2116" s="17"/>
      <c r="T2116" s="1"/>
      <c r="X2116" s="1"/>
      <c r="Y2116" s="1"/>
      <c r="Z2116" s="1"/>
    </row>
    <row r="2117" spans="4:26" x14ac:dyDescent="0.25">
      <c r="D2117" s="16"/>
      <c r="Q2117" s="16"/>
    </row>
    <row r="2118" spans="4:26" x14ac:dyDescent="0.25">
      <c r="D2118" s="16"/>
      <c r="Q2118" s="16"/>
    </row>
    <row r="2119" spans="4:26" x14ac:dyDescent="0.25">
      <c r="D2119" s="17"/>
      <c r="Q2119" s="17"/>
      <c r="T2119" s="1"/>
      <c r="X2119" s="1"/>
      <c r="Y2119" s="1"/>
      <c r="Z2119" s="1"/>
    </row>
    <row r="2120" spans="4:26" x14ac:dyDescent="0.25">
      <c r="D2120" s="16"/>
      <c r="Q2120" s="16"/>
    </row>
    <row r="2121" spans="4:26" x14ac:dyDescent="0.25">
      <c r="D2121" s="16"/>
      <c r="Q2121" s="16"/>
    </row>
    <row r="2122" spans="4:26" x14ac:dyDescent="0.25">
      <c r="D2122" s="17"/>
      <c r="Q2122" s="17"/>
      <c r="T2122" s="1"/>
      <c r="X2122" s="1"/>
      <c r="Y2122" s="1"/>
      <c r="Z2122" s="1"/>
    </row>
    <row r="2123" spans="4:26" x14ac:dyDescent="0.25">
      <c r="D2123" s="16"/>
      <c r="Q2123" s="16"/>
      <c r="T2123" s="1"/>
      <c r="X2123" s="1"/>
      <c r="Y2123" s="1"/>
      <c r="Z2123" s="1"/>
    </row>
    <row r="2124" spans="4:26" x14ac:dyDescent="0.25">
      <c r="D2124" s="16"/>
      <c r="Q2124" s="16"/>
    </row>
    <row r="2125" spans="4:26" x14ac:dyDescent="0.25">
      <c r="D2125" s="16"/>
      <c r="Q2125" s="16"/>
    </row>
    <row r="2126" spans="4:26" x14ac:dyDescent="0.25">
      <c r="D2126" s="16"/>
      <c r="Q2126" s="16"/>
      <c r="T2126" s="1"/>
      <c r="X2126" s="1"/>
      <c r="Y2126" s="1"/>
      <c r="Z2126" s="1"/>
    </row>
    <row r="2128" spans="4:26" x14ac:dyDescent="0.25">
      <c r="D2128" s="16"/>
      <c r="Q2128" s="16"/>
    </row>
    <row r="2129" spans="4:26" x14ac:dyDescent="0.25">
      <c r="D2129" s="16"/>
      <c r="Q2129" s="16"/>
      <c r="T2129" s="1"/>
      <c r="X2129" s="1"/>
      <c r="Y2129" s="1"/>
      <c r="Z2129" s="1"/>
    </row>
    <row r="2130" spans="4:26" x14ac:dyDescent="0.25">
      <c r="D2130" s="17"/>
      <c r="Q2130" s="16"/>
      <c r="T2130" s="1"/>
      <c r="X2130" s="1"/>
      <c r="Y2130" s="1"/>
      <c r="Z2130" s="1"/>
    </row>
    <row r="2131" spans="4:26" x14ac:dyDescent="0.25">
      <c r="D2131" s="16"/>
      <c r="Q2131" s="16"/>
      <c r="T2131" s="1"/>
      <c r="X2131" s="1"/>
      <c r="Y2131" s="1"/>
      <c r="Z2131" s="1"/>
    </row>
    <row r="2132" spans="4:26" x14ac:dyDescent="0.25">
      <c r="D2132" s="17"/>
      <c r="Q2132" s="17"/>
      <c r="T2132" s="1"/>
      <c r="X2132" s="1"/>
      <c r="Y2132" s="1"/>
      <c r="Z2132" s="1"/>
    </row>
    <row r="2134" spans="4:26" x14ac:dyDescent="0.25">
      <c r="D2134" s="16"/>
      <c r="Q2134" s="16"/>
    </row>
    <row r="2135" spans="4:26" x14ac:dyDescent="0.25">
      <c r="D2135" s="17"/>
      <c r="Q2135" s="16"/>
      <c r="T2135" s="1"/>
      <c r="X2135" s="1"/>
      <c r="Y2135" s="1"/>
      <c r="Z2135" s="1"/>
    </row>
    <row r="2136" spans="4:26" x14ac:dyDescent="0.25">
      <c r="Q2136" s="16"/>
    </row>
    <row r="2137" spans="4:26" x14ac:dyDescent="0.25">
      <c r="D2137" s="16"/>
      <c r="Q2137" s="16"/>
    </row>
    <row r="2138" spans="4:26" x14ac:dyDescent="0.25">
      <c r="D2138" s="17"/>
      <c r="Q2138" s="16"/>
      <c r="T2138" s="1"/>
      <c r="X2138" s="1"/>
      <c r="Y2138" s="1"/>
      <c r="Z2138" s="1"/>
    </row>
    <row r="2139" spans="4:26" x14ac:dyDescent="0.25">
      <c r="Q2139" s="16"/>
    </row>
    <row r="2140" spans="4:26" x14ac:dyDescent="0.25">
      <c r="D2140" s="16"/>
      <c r="Q2140" s="16"/>
    </row>
    <row r="2141" spans="4:26" x14ac:dyDescent="0.25">
      <c r="D2141" s="17"/>
      <c r="Q2141" s="16"/>
      <c r="T2141" s="1"/>
      <c r="X2141" s="1"/>
      <c r="Y2141" s="1"/>
      <c r="Z2141" s="1"/>
    </row>
    <row r="2142" spans="4:26" x14ac:dyDescent="0.25">
      <c r="Q2142" s="16"/>
    </row>
    <row r="2143" spans="4:26" x14ac:dyDescent="0.25">
      <c r="D2143" s="16"/>
      <c r="Q2143" s="16"/>
    </row>
    <row r="2144" spans="4:26" x14ac:dyDescent="0.25">
      <c r="D2144" s="17"/>
      <c r="Q2144" s="17"/>
      <c r="T2144" s="1"/>
      <c r="X2144" s="1"/>
      <c r="Y2144" s="1"/>
      <c r="Z2144" s="1"/>
    </row>
    <row r="2145" spans="4:26" x14ac:dyDescent="0.25">
      <c r="D2145" s="17"/>
      <c r="Q2145" s="17"/>
      <c r="T2145" s="1"/>
      <c r="X2145" s="1"/>
      <c r="Y2145" s="1"/>
      <c r="Z2145" s="1"/>
    </row>
    <row r="2146" spans="4:26" x14ac:dyDescent="0.25">
      <c r="D2146" s="16"/>
      <c r="Q2146" s="16"/>
      <c r="T2146" s="1"/>
      <c r="X2146" s="1"/>
      <c r="Y2146" s="1"/>
      <c r="Z2146" s="1"/>
    </row>
    <row r="2147" spans="4:26" x14ac:dyDescent="0.25">
      <c r="Q2147" s="16"/>
    </row>
    <row r="2148" spans="4:26" x14ac:dyDescent="0.25">
      <c r="Q2148" s="16"/>
    </row>
    <row r="2149" spans="4:26" x14ac:dyDescent="0.25">
      <c r="D2149" s="16"/>
      <c r="Q2149" s="16"/>
      <c r="T2149" s="1"/>
      <c r="X2149" s="1"/>
      <c r="Y2149" s="1"/>
      <c r="Z2149" s="1"/>
    </row>
    <row r="2150" spans="4:26" x14ac:dyDescent="0.25">
      <c r="D2150" s="17"/>
      <c r="Q2150" s="16"/>
      <c r="T2150" s="1"/>
      <c r="X2150" s="1"/>
      <c r="Y2150" s="1"/>
      <c r="Z2150" s="1"/>
    </row>
    <row r="2151" spans="4:26" x14ac:dyDescent="0.25">
      <c r="Q2151" s="16"/>
    </row>
    <row r="2152" spans="4:26" x14ac:dyDescent="0.25">
      <c r="D2152" s="16"/>
      <c r="Q2152" s="16"/>
    </row>
    <row r="2153" spans="4:26" x14ac:dyDescent="0.25">
      <c r="D2153" s="17"/>
      <c r="Q2153" s="16"/>
      <c r="T2153" s="1"/>
      <c r="X2153" s="1"/>
      <c r="Y2153" s="1"/>
      <c r="Z2153" s="1"/>
    </row>
    <row r="2154" spans="4:26" x14ac:dyDescent="0.25">
      <c r="D2154" s="17"/>
      <c r="Q2154" s="16"/>
      <c r="T2154" s="1"/>
      <c r="X2154" s="1"/>
      <c r="Y2154" s="1"/>
      <c r="Z2154" s="1"/>
    </row>
    <row r="2155" spans="4:26" x14ac:dyDescent="0.25">
      <c r="D2155" s="16"/>
      <c r="Q2155" s="16"/>
      <c r="T2155" s="1"/>
      <c r="X2155" s="1"/>
      <c r="Y2155" s="1"/>
      <c r="Z2155" s="1"/>
    </row>
    <row r="2156" spans="4:26" x14ac:dyDescent="0.25">
      <c r="Q2156" s="16"/>
    </row>
    <row r="2157" spans="4:26" x14ac:dyDescent="0.25">
      <c r="Q2157" s="16"/>
    </row>
    <row r="2158" spans="4:26" x14ac:dyDescent="0.25">
      <c r="D2158" s="16"/>
      <c r="Q2158" s="16"/>
      <c r="T2158" s="1"/>
      <c r="X2158" s="1"/>
      <c r="Y2158" s="1"/>
      <c r="Z2158" s="1"/>
    </row>
    <row r="2159" spans="4:26" x14ac:dyDescent="0.25">
      <c r="D2159" s="17"/>
      <c r="Q2159" s="16"/>
      <c r="T2159" s="1"/>
      <c r="X2159" s="1"/>
      <c r="Y2159" s="1"/>
      <c r="Z2159" s="1"/>
    </row>
    <row r="2160" spans="4:26" x14ac:dyDescent="0.25">
      <c r="Q2160" s="16"/>
    </row>
    <row r="2161" spans="4:26" x14ac:dyDescent="0.25">
      <c r="D2161" s="16"/>
      <c r="Q2161" s="16"/>
    </row>
    <row r="2162" spans="4:26" x14ac:dyDescent="0.25">
      <c r="D2162" s="16"/>
      <c r="Q2162" s="16"/>
      <c r="T2162" s="1"/>
      <c r="X2162" s="1"/>
      <c r="Y2162" s="1"/>
      <c r="Z2162" s="1"/>
    </row>
    <row r="2163" spans="4:26" x14ac:dyDescent="0.25">
      <c r="D2163" s="16"/>
      <c r="Q2163" s="16"/>
      <c r="T2163" s="1"/>
      <c r="X2163" s="1"/>
      <c r="Y2163" s="1"/>
      <c r="Z2163" s="1"/>
    </row>
    <row r="2164" spans="4:26" x14ac:dyDescent="0.25">
      <c r="D2164" s="16"/>
      <c r="Q2164" s="16"/>
      <c r="T2164" s="1"/>
      <c r="X2164" s="1"/>
      <c r="Y2164" s="1"/>
      <c r="Z2164" s="1"/>
    </row>
    <row r="2165" spans="4:26" x14ac:dyDescent="0.25">
      <c r="D2165" s="16"/>
      <c r="Q2165" s="16"/>
    </row>
    <row r="2166" spans="4:26" x14ac:dyDescent="0.25">
      <c r="Q2166" s="16"/>
    </row>
    <row r="2167" spans="4:26" x14ac:dyDescent="0.25">
      <c r="D2167" s="17"/>
      <c r="Q2167" s="16"/>
      <c r="T2167" s="1"/>
      <c r="X2167" s="1"/>
      <c r="Y2167" s="1"/>
      <c r="Z2167" s="1"/>
    </row>
    <row r="2168" spans="4:26" x14ac:dyDescent="0.25">
      <c r="D2168" s="16"/>
      <c r="Q2168" s="16"/>
      <c r="T2168" s="1"/>
      <c r="X2168" s="1"/>
      <c r="Y2168" s="1"/>
      <c r="Z2168" s="1"/>
    </row>
    <row r="2169" spans="4:26" x14ac:dyDescent="0.25">
      <c r="D2169" s="16"/>
      <c r="Q2169" s="16"/>
      <c r="T2169" s="1"/>
      <c r="X2169" s="1"/>
      <c r="Y2169" s="1"/>
      <c r="Z2169" s="1"/>
    </row>
    <row r="2170" spans="4:26" x14ac:dyDescent="0.25">
      <c r="D2170" s="16"/>
      <c r="Q2170" s="16"/>
    </row>
    <row r="2171" spans="4:26" x14ac:dyDescent="0.25">
      <c r="D2171" s="16"/>
      <c r="Q2171" s="16"/>
    </row>
    <row r="2172" spans="4:26" x14ac:dyDescent="0.25">
      <c r="D2172" s="16"/>
      <c r="Q2172" s="16"/>
      <c r="T2172" s="1"/>
      <c r="X2172" s="1"/>
      <c r="Y2172" s="1"/>
      <c r="Z2172" s="1"/>
    </row>
    <row r="2173" spans="4:26" x14ac:dyDescent="0.25">
      <c r="D2173" s="16"/>
      <c r="Q2173" s="16"/>
      <c r="T2173" s="1"/>
      <c r="X2173" s="1"/>
      <c r="Y2173" s="1"/>
      <c r="Z2173" s="1"/>
    </row>
    <row r="2174" spans="4:26" x14ac:dyDescent="0.25">
      <c r="D2174" s="16"/>
      <c r="Q2174" s="16"/>
    </row>
    <row r="2175" spans="4:26" x14ac:dyDescent="0.25">
      <c r="Q2175" s="16"/>
    </row>
    <row r="2176" spans="4:26" x14ac:dyDescent="0.25">
      <c r="D2176" s="16"/>
      <c r="Q2176" s="16"/>
      <c r="T2176" s="1"/>
      <c r="X2176" s="1"/>
      <c r="Y2176" s="1"/>
      <c r="Z2176" s="1"/>
    </row>
    <row r="2177" spans="4:26" x14ac:dyDescent="0.25">
      <c r="D2177" s="17"/>
      <c r="Q2177" s="16"/>
      <c r="T2177" s="1"/>
      <c r="X2177" s="1"/>
      <c r="Y2177" s="1"/>
      <c r="Z2177" s="1"/>
    </row>
    <row r="2179" spans="4:26" x14ac:dyDescent="0.25">
      <c r="D2179" s="16"/>
      <c r="Q2179" s="16"/>
    </row>
    <row r="2180" spans="4:26" x14ac:dyDescent="0.25">
      <c r="D2180" s="16"/>
      <c r="Q2180" s="16"/>
      <c r="T2180" s="1"/>
      <c r="X2180" s="1"/>
      <c r="Y2180" s="1"/>
      <c r="Z2180" s="1"/>
    </row>
    <row r="2181" spans="4:26" x14ac:dyDescent="0.25">
      <c r="D2181" s="16"/>
      <c r="Q2181" s="16"/>
    </row>
    <row r="2182" spans="4:26" x14ac:dyDescent="0.25">
      <c r="D2182" s="16"/>
      <c r="Q2182" s="16"/>
    </row>
    <row r="2183" spans="4:26" x14ac:dyDescent="0.25">
      <c r="D2183" s="16"/>
      <c r="Q2183" s="16"/>
      <c r="T2183" s="1"/>
      <c r="X2183" s="1"/>
      <c r="Y2183" s="1"/>
      <c r="Z2183" s="1"/>
    </row>
    <row r="2184" spans="4:26" x14ac:dyDescent="0.25">
      <c r="D2184" s="16"/>
      <c r="Q2184" s="16"/>
    </row>
    <row r="2185" spans="4:26" x14ac:dyDescent="0.25">
      <c r="D2185" s="16"/>
      <c r="Q2185" s="16"/>
    </row>
    <row r="2186" spans="4:26" x14ac:dyDescent="0.25">
      <c r="D2186" s="16"/>
      <c r="Q2186" s="16"/>
      <c r="T2186" s="1"/>
      <c r="X2186" s="1"/>
      <c r="Y2186" s="1"/>
      <c r="Z2186" s="1"/>
    </row>
    <row r="2187" spans="4:26" x14ac:dyDescent="0.25">
      <c r="D2187" s="16"/>
      <c r="Q2187" s="16"/>
      <c r="T2187" s="1"/>
      <c r="X2187" s="1"/>
      <c r="Y2187" s="1"/>
      <c r="Z2187" s="1"/>
    </row>
    <row r="2188" spans="4:26" x14ac:dyDescent="0.25">
      <c r="D2188" s="16"/>
      <c r="Q2188" s="16"/>
      <c r="T2188" s="1"/>
      <c r="X2188" s="1"/>
      <c r="Y2188" s="1"/>
      <c r="Z2188" s="1"/>
    </row>
    <row r="2191" spans="4:26" x14ac:dyDescent="0.25">
      <c r="D2191" s="16"/>
      <c r="Q2191" s="16"/>
      <c r="T2191" s="1"/>
      <c r="X2191" s="1"/>
      <c r="Y2191" s="1"/>
      <c r="Z2191" s="1"/>
    </row>
    <row r="2192" spans="4:26" x14ac:dyDescent="0.25">
      <c r="D2192" s="17"/>
      <c r="Q2192" s="16"/>
      <c r="T2192" s="1"/>
      <c r="X2192" s="1"/>
      <c r="Y2192" s="1"/>
      <c r="Z2192" s="1"/>
    </row>
    <row r="2193" spans="4:26" x14ac:dyDescent="0.25">
      <c r="Q2193" s="16"/>
    </row>
    <row r="2194" spans="4:26" x14ac:dyDescent="0.25">
      <c r="D2194" s="16"/>
      <c r="Q2194" s="16"/>
    </row>
    <row r="2195" spans="4:26" x14ac:dyDescent="0.25">
      <c r="D2195" s="16"/>
      <c r="Q2195" s="16"/>
      <c r="T2195" s="1"/>
      <c r="X2195" s="1"/>
      <c r="Y2195" s="1"/>
      <c r="Z2195" s="1"/>
    </row>
    <row r="2196" spans="4:26" x14ac:dyDescent="0.25">
      <c r="D2196" s="16"/>
      <c r="Q2196" s="16"/>
      <c r="T2196" s="1"/>
      <c r="X2196" s="1"/>
      <c r="Y2196" s="1"/>
      <c r="Z2196" s="1"/>
    </row>
    <row r="2197" spans="4:26" x14ac:dyDescent="0.25">
      <c r="D2197" s="17"/>
      <c r="Q2197" s="17"/>
      <c r="T2197" s="1"/>
      <c r="X2197" s="1"/>
      <c r="Y2197" s="1"/>
      <c r="Z2197" s="1"/>
    </row>
    <row r="2199" spans="4:26" x14ac:dyDescent="0.25">
      <c r="D2199" s="16"/>
      <c r="Q2199" s="16"/>
    </row>
    <row r="2200" spans="4:26" x14ac:dyDescent="0.25">
      <c r="D2200" s="17"/>
      <c r="Q2200" s="16"/>
      <c r="T2200" s="1"/>
      <c r="X2200" s="1"/>
      <c r="Y2200" s="1"/>
      <c r="Z2200" s="1"/>
    </row>
    <row r="2202" spans="4:26" x14ac:dyDescent="0.25">
      <c r="D2202" s="16"/>
      <c r="Q2202" s="16"/>
    </row>
    <row r="2203" spans="4:26" x14ac:dyDescent="0.25">
      <c r="D2203" s="16"/>
      <c r="Q2203" s="16"/>
      <c r="T2203" s="1"/>
      <c r="X2203" s="1"/>
      <c r="Y2203" s="1"/>
      <c r="Z2203" s="1"/>
    </row>
    <row r="2206" spans="4:26" x14ac:dyDescent="0.25">
      <c r="D2206" s="16"/>
      <c r="Q2206" s="16"/>
      <c r="T2206" s="1"/>
      <c r="X2206" s="1"/>
      <c r="Y2206" s="1"/>
      <c r="Z2206" s="1"/>
    </row>
    <row r="2207" spans="4:26" x14ac:dyDescent="0.25">
      <c r="D2207" s="16"/>
      <c r="Q2207" s="16"/>
    </row>
    <row r="2208" spans="4:26" x14ac:dyDescent="0.25">
      <c r="D2208" s="16"/>
      <c r="Q2208" s="16"/>
    </row>
    <row r="2209" spans="4:26" x14ac:dyDescent="0.25">
      <c r="D2209" s="16"/>
      <c r="Q2209" s="16"/>
      <c r="T2209" s="1"/>
      <c r="X2209" s="1"/>
      <c r="Y2209" s="1"/>
      <c r="Z2209" s="1"/>
    </row>
    <row r="2212" spans="4:26" x14ac:dyDescent="0.25">
      <c r="D2212" s="16"/>
      <c r="Q2212" s="16"/>
      <c r="T2212" s="1"/>
      <c r="X2212" s="1"/>
      <c r="Y2212" s="1"/>
      <c r="Z2212" s="1"/>
    </row>
    <row r="2213" spans="4:26" x14ac:dyDescent="0.25">
      <c r="D2213" s="17"/>
      <c r="Q2213" s="17"/>
      <c r="T2213" s="1"/>
      <c r="X2213" s="1"/>
      <c r="Y2213" s="1"/>
      <c r="Z2213" s="1"/>
    </row>
    <row r="2214" spans="4:26" x14ac:dyDescent="0.25">
      <c r="D2214" s="17"/>
      <c r="Q2214" s="17"/>
      <c r="T2214" s="1"/>
      <c r="X2214" s="1"/>
      <c r="Y2214" s="1"/>
      <c r="Z2214" s="1"/>
    </row>
    <row r="2215" spans="4:26" x14ac:dyDescent="0.25">
      <c r="D2215" s="16"/>
      <c r="Q2215" s="16"/>
    </row>
    <row r="2216" spans="4:26" x14ac:dyDescent="0.25">
      <c r="D2216" s="16"/>
      <c r="Q2216" s="16"/>
    </row>
    <row r="2217" spans="4:26" x14ac:dyDescent="0.25">
      <c r="D2217" s="17"/>
      <c r="Q2217" s="17"/>
      <c r="T2217" s="1"/>
      <c r="X2217" s="1"/>
      <c r="Y2217" s="1"/>
      <c r="Z2217" s="1"/>
    </row>
    <row r="2219" spans="4:26" x14ac:dyDescent="0.25">
      <c r="D2219" s="16"/>
      <c r="Q2219" s="16"/>
    </row>
    <row r="2220" spans="4:26" x14ac:dyDescent="0.25">
      <c r="D2220" s="16"/>
      <c r="Q2220" s="16"/>
      <c r="T2220" s="1"/>
      <c r="X2220" s="1"/>
      <c r="Y2220" s="1"/>
      <c r="Z2220" s="1"/>
    </row>
    <row r="2223" spans="4:26" x14ac:dyDescent="0.25">
      <c r="D2223" s="16"/>
      <c r="Q2223" s="16"/>
      <c r="T2223" s="1"/>
      <c r="X2223" s="1"/>
      <c r="Y2223" s="1"/>
      <c r="Z2223" s="1"/>
    </row>
    <row r="2224" spans="4:26" x14ac:dyDescent="0.25">
      <c r="D2224" s="17"/>
      <c r="Q2224" s="17"/>
      <c r="T2224" s="1"/>
      <c r="X2224" s="1"/>
      <c r="Y2224" s="1"/>
      <c r="Z2224" s="1"/>
    </row>
    <row r="2226" spans="4:26" x14ac:dyDescent="0.25">
      <c r="D2226" s="16"/>
      <c r="Q2226" s="16"/>
    </row>
    <row r="2227" spans="4:26" x14ac:dyDescent="0.25">
      <c r="D2227" s="16"/>
      <c r="Q2227" s="16"/>
      <c r="T2227" s="1"/>
      <c r="X2227" s="1"/>
      <c r="Y2227" s="1"/>
      <c r="Z2227" s="1"/>
    </row>
    <row r="2229" spans="4:26" x14ac:dyDescent="0.25">
      <c r="D2229" s="16"/>
      <c r="Q2229" s="16"/>
    </row>
    <row r="2230" spans="4:26" x14ac:dyDescent="0.25">
      <c r="D2230" s="16"/>
      <c r="Q2230" s="16"/>
      <c r="T2230" s="1"/>
      <c r="X2230" s="1"/>
      <c r="Y2230" s="1"/>
      <c r="Z2230" s="1"/>
    </row>
    <row r="2231" spans="4:26" x14ac:dyDescent="0.25">
      <c r="D2231" s="16"/>
      <c r="Q2231" s="16"/>
    </row>
    <row r="2232" spans="4:26" x14ac:dyDescent="0.25">
      <c r="D2232" s="16"/>
      <c r="Q2232" s="16"/>
    </row>
    <row r="2233" spans="4:26" x14ac:dyDescent="0.25">
      <c r="D2233" s="17"/>
      <c r="Q2233" s="17"/>
      <c r="T2233" s="1"/>
      <c r="X2233" s="1"/>
      <c r="Y2233" s="1"/>
      <c r="Z2233" s="1"/>
    </row>
    <row r="2234" spans="4:26" x14ac:dyDescent="0.25">
      <c r="D2234" s="16"/>
      <c r="Q2234" s="16"/>
    </row>
    <row r="2235" spans="4:26" x14ac:dyDescent="0.25">
      <c r="D2235" s="16"/>
      <c r="Q2235" s="16"/>
    </row>
    <row r="2236" spans="4:26" x14ac:dyDescent="0.25">
      <c r="D2236" s="17"/>
      <c r="Q2236" s="16"/>
      <c r="T2236" s="1"/>
      <c r="X2236" s="1"/>
      <c r="Y2236" s="1"/>
      <c r="Z2236" s="1"/>
    </row>
    <row r="2238" spans="4:26" x14ac:dyDescent="0.25">
      <c r="D2238" s="16"/>
      <c r="Q2238" s="16"/>
    </row>
    <row r="2239" spans="4:26" x14ac:dyDescent="0.25">
      <c r="D2239" s="16"/>
      <c r="Q2239" s="16"/>
      <c r="T2239" s="1"/>
      <c r="X2239" s="1"/>
      <c r="Y2239" s="1"/>
      <c r="Z2239" s="1"/>
    </row>
    <row r="2240" spans="4:26" x14ac:dyDescent="0.25">
      <c r="Q2240" s="16"/>
    </row>
    <row r="2242" spans="4:26" x14ac:dyDescent="0.25">
      <c r="D2242" s="16"/>
      <c r="Q2242" s="16"/>
      <c r="T2242" s="1"/>
      <c r="X2242" s="1"/>
      <c r="Y2242" s="1"/>
      <c r="Z2242" s="1"/>
    </row>
    <row r="2243" spans="4:26" x14ac:dyDescent="0.25">
      <c r="D2243" s="16"/>
      <c r="Q2243" s="16"/>
    </row>
    <row r="2244" spans="4:26" x14ac:dyDescent="0.25">
      <c r="Q2244" s="16"/>
    </row>
    <row r="2245" spans="4:26" x14ac:dyDescent="0.25">
      <c r="D2245" s="17"/>
      <c r="Q2245" s="17"/>
      <c r="T2245" s="1"/>
      <c r="X2245" s="1"/>
      <c r="Y2245" s="1"/>
      <c r="Z2245" s="1"/>
    </row>
    <row r="2246" spans="4:26" x14ac:dyDescent="0.25">
      <c r="D2246" s="16"/>
      <c r="Q2246" s="16"/>
    </row>
    <row r="2247" spans="4:26" x14ac:dyDescent="0.25">
      <c r="D2247" s="16"/>
      <c r="Q2247" s="16"/>
    </row>
    <row r="2248" spans="4:26" x14ac:dyDescent="0.25">
      <c r="D2248" s="17"/>
      <c r="Q2248" s="17"/>
      <c r="T2248" s="1"/>
      <c r="X2248" s="1"/>
      <c r="Y2248" s="1"/>
      <c r="Z2248" s="1"/>
    </row>
    <row r="2250" spans="4:26" x14ac:dyDescent="0.25">
      <c r="D2250" s="16"/>
      <c r="Q2250" s="16"/>
    </row>
    <row r="2251" spans="4:26" x14ac:dyDescent="0.25">
      <c r="D2251" s="16"/>
      <c r="Q2251" s="16"/>
      <c r="T2251" s="1"/>
      <c r="X2251" s="1"/>
      <c r="Y2251" s="1"/>
      <c r="Z2251" s="1"/>
    </row>
    <row r="2252" spans="4:26" x14ac:dyDescent="0.25">
      <c r="D2252" s="16"/>
      <c r="Q2252" s="16"/>
      <c r="T2252" s="1"/>
      <c r="X2252" s="1"/>
      <c r="Y2252" s="1"/>
      <c r="Z2252" s="1"/>
    </row>
    <row r="2253" spans="4:26" x14ac:dyDescent="0.25">
      <c r="D2253" s="16"/>
      <c r="Q2253" s="16"/>
    </row>
    <row r="2255" spans="4:26" x14ac:dyDescent="0.25">
      <c r="D2255" s="16"/>
      <c r="Q2255" s="16"/>
      <c r="T2255" s="1"/>
      <c r="X2255" s="1"/>
      <c r="Y2255" s="1"/>
      <c r="Z2255" s="1"/>
    </row>
    <row r="2256" spans="4:26" x14ac:dyDescent="0.25">
      <c r="D2256" s="16"/>
      <c r="Q2256" s="16"/>
    </row>
    <row r="2257" spans="4:26" x14ac:dyDescent="0.25">
      <c r="D2257" s="16"/>
      <c r="Q2257" s="16"/>
    </row>
    <row r="2258" spans="4:26" x14ac:dyDescent="0.25">
      <c r="D2258" s="17"/>
      <c r="Q2258" s="17"/>
      <c r="T2258" s="1"/>
      <c r="X2258" s="1"/>
      <c r="Y2258" s="1"/>
      <c r="Z2258" s="1"/>
    </row>
    <row r="2259" spans="4:26" x14ac:dyDescent="0.25">
      <c r="D2259" s="16"/>
      <c r="Q2259" s="16"/>
    </row>
    <row r="2260" spans="4:26" x14ac:dyDescent="0.25">
      <c r="D2260" s="16"/>
      <c r="Q2260" s="16"/>
    </row>
    <row r="2261" spans="4:26" x14ac:dyDescent="0.25">
      <c r="D2261" s="16"/>
      <c r="Q2261" s="16"/>
      <c r="T2261" s="1"/>
      <c r="X2261" s="1"/>
      <c r="Y2261" s="1"/>
      <c r="Z2261" s="1"/>
    </row>
    <row r="2263" spans="4:26" x14ac:dyDescent="0.25">
      <c r="D2263" s="16"/>
      <c r="Q2263" s="16"/>
    </row>
    <row r="2264" spans="4:26" x14ac:dyDescent="0.25">
      <c r="D2264" s="16"/>
      <c r="Q2264" s="16"/>
      <c r="T2264" s="1"/>
      <c r="X2264" s="1"/>
      <c r="Y2264" s="1"/>
      <c r="Z2264" s="1"/>
    </row>
    <row r="2265" spans="4:26" x14ac:dyDescent="0.25">
      <c r="D2265" s="16"/>
      <c r="Q2265" s="16"/>
      <c r="T2265" s="1"/>
      <c r="X2265" s="1"/>
      <c r="Y2265" s="1"/>
      <c r="Z2265" s="1"/>
    </row>
    <row r="2266" spans="4:26" x14ac:dyDescent="0.25">
      <c r="D2266" s="16"/>
      <c r="Q2266" s="16"/>
    </row>
    <row r="2267" spans="4:26" x14ac:dyDescent="0.25">
      <c r="Q2267" s="16"/>
    </row>
    <row r="2268" spans="4:26" x14ac:dyDescent="0.25">
      <c r="D2268" s="16"/>
      <c r="Q2268" s="16"/>
      <c r="T2268" s="1"/>
      <c r="X2268" s="1"/>
      <c r="Y2268" s="1"/>
      <c r="Z2268" s="1"/>
    </row>
    <row r="2270" spans="4:26" x14ac:dyDescent="0.25">
      <c r="D2270" s="16"/>
      <c r="Q2270" s="16"/>
    </row>
    <row r="2271" spans="4:26" x14ac:dyDescent="0.25">
      <c r="D2271" s="16"/>
      <c r="Q2271" s="16"/>
      <c r="T2271" s="1"/>
      <c r="X2271" s="1"/>
      <c r="Y2271" s="1"/>
      <c r="Z2271" s="1"/>
    </row>
    <row r="2273" spans="4:26" x14ac:dyDescent="0.25">
      <c r="D2273" s="16"/>
      <c r="Q2273" s="16"/>
    </row>
    <row r="2274" spans="4:26" x14ac:dyDescent="0.25">
      <c r="D2274" s="16"/>
      <c r="Q2274" s="16"/>
      <c r="T2274" s="1"/>
      <c r="X2274" s="1"/>
      <c r="Y2274" s="1"/>
      <c r="Z2274" s="1"/>
    </row>
    <row r="2275" spans="4:26" x14ac:dyDescent="0.25">
      <c r="D2275" s="16"/>
      <c r="Q2275" s="16"/>
    </row>
    <row r="2276" spans="4:26" x14ac:dyDescent="0.25">
      <c r="D2276" s="16"/>
      <c r="Q2276" s="16"/>
    </row>
    <row r="2277" spans="4:26" x14ac:dyDescent="0.25">
      <c r="D2277" s="17"/>
      <c r="Q2277" s="17"/>
      <c r="T2277" s="1"/>
      <c r="X2277" s="1"/>
      <c r="Y2277" s="1"/>
      <c r="Z2277" s="1"/>
    </row>
    <row r="2278" spans="4:26" x14ac:dyDescent="0.25">
      <c r="D2278" s="17"/>
      <c r="Q2278" s="17"/>
      <c r="T2278" s="1"/>
      <c r="X2278" s="1"/>
      <c r="Y2278" s="1"/>
      <c r="Z2278" s="1"/>
    </row>
    <row r="2279" spans="4:26" x14ac:dyDescent="0.25">
      <c r="D2279" s="16"/>
      <c r="Q2279" s="16"/>
    </row>
    <row r="2280" spans="4:26" x14ac:dyDescent="0.25">
      <c r="D2280" s="16"/>
      <c r="Q2280" s="16"/>
    </row>
    <row r="2281" spans="4:26" x14ac:dyDescent="0.25">
      <c r="D2281" s="16"/>
      <c r="Q2281" s="16"/>
      <c r="T2281" s="1"/>
      <c r="X2281" s="1"/>
      <c r="Y2281" s="1"/>
      <c r="Z2281" s="1"/>
    </row>
    <row r="2282" spans="4:26" x14ac:dyDescent="0.25">
      <c r="D2282" s="16"/>
      <c r="Q2282" s="16"/>
    </row>
    <row r="2284" spans="4:26" x14ac:dyDescent="0.25">
      <c r="D2284" s="16"/>
      <c r="Q2284" s="16"/>
      <c r="T2284" s="1"/>
      <c r="X2284" s="1"/>
      <c r="Y2284" s="1"/>
      <c r="Z2284" s="1"/>
    </row>
    <row r="2285" spans="4:26" x14ac:dyDescent="0.25">
      <c r="D2285" s="16"/>
      <c r="Q2285" s="16"/>
    </row>
    <row r="2287" spans="4:26" x14ac:dyDescent="0.25">
      <c r="D2287" s="17"/>
      <c r="Q2287" s="17"/>
      <c r="T2287" s="1"/>
      <c r="X2287" s="1"/>
      <c r="Y2287" s="1"/>
      <c r="Z2287" s="1"/>
    </row>
    <row r="2288" spans="4:26" x14ac:dyDescent="0.25">
      <c r="D2288" s="16"/>
      <c r="Q2288" s="16"/>
    </row>
    <row r="2289" spans="4:26" x14ac:dyDescent="0.25">
      <c r="D2289" s="16"/>
      <c r="Q2289" s="16"/>
    </row>
    <row r="2290" spans="4:26" x14ac:dyDescent="0.25">
      <c r="D2290" s="17"/>
      <c r="Q2290" s="17"/>
      <c r="T2290" s="1"/>
      <c r="X2290" s="1"/>
      <c r="Y2290" s="1"/>
      <c r="Z2290" s="1"/>
    </row>
    <row r="2291" spans="4:26" x14ac:dyDescent="0.25">
      <c r="D2291" s="16"/>
      <c r="Q2291" s="16"/>
      <c r="T2291" s="1"/>
      <c r="X2291" s="1"/>
      <c r="Y2291" s="1"/>
      <c r="Z2291" s="1"/>
    </row>
    <row r="2292" spans="4:26" x14ac:dyDescent="0.25">
      <c r="D2292" s="16"/>
      <c r="Q2292" s="16"/>
      <c r="T2292" s="1"/>
      <c r="X2292" s="1"/>
      <c r="Y2292" s="1"/>
      <c r="Z2292" s="1"/>
    </row>
    <row r="2294" spans="4:26" x14ac:dyDescent="0.25">
      <c r="D2294" s="16"/>
      <c r="Q2294" s="16"/>
    </row>
    <row r="2295" spans="4:26" x14ac:dyDescent="0.25">
      <c r="D2295" s="16"/>
      <c r="Q2295" s="16"/>
      <c r="T2295" s="1"/>
      <c r="X2295" s="1"/>
      <c r="Y2295" s="1"/>
      <c r="Z2295" s="1"/>
    </row>
    <row r="2296" spans="4:26" x14ac:dyDescent="0.25">
      <c r="D2296" s="16"/>
      <c r="Q2296" s="16"/>
      <c r="T2296" s="1"/>
      <c r="X2296" s="1"/>
      <c r="Y2296" s="1"/>
      <c r="Z2296" s="1"/>
    </row>
    <row r="2297" spans="4:26" x14ac:dyDescent="0.25">
      <c r="D2297" s="16"/>
      <c r="Q2297" s="16"/>
      <c r="T2297" s="1"/>
      <c r="X2297" s="1"/>
      <c r="Y2297" s="1"/>
      <c r="Z2297" s="1"/>
    </row>
    <row r="2298" spans="4:26" x14ac:dyDescent="0.25">
      <c r="D2298" s="16"/>
      <c r="Q2298" s="16"/>
      <c r="T2298" s="1"/>
      <c r="X2298" s="1"/>
      <c r="Y2298" s="1"/>
      <c r="Z2298" s="1"/>
    </row>
    <row r="2301" spans="4:26" x14ac:dyDescent="0.25">
      <c r="D2301" s="16"/>
      <c r="Q2301" s="16"/>
      <c r="T2301" s="1"/>
      <c r="X2301" s="1"/>
      <c r="Y2301" s="1"/>
      <c r="Z2301" s="1"/>
    </row>
    <row r="2302" spans="4:26" x14ac:dyDescent="0.25">
      <c r="D2302" s="16"/>
      <c r="Q2302" s="16"/>
      <c r="T2302" s="1"/>
      <c r="X2302" s="1"/>
      <c r="Y2302" s="1"/>
      <c r="Z2302" s="1"/>
    </row>
    <row r="2303" spans="4:26" x14ac:dyDescent="0.25">
      <c r="D2303" s="16"/>
      <c r="Q2303" s="16"/>
    </row>
    <row r="2304" spans="4:26" x14ac:dyDescent="0.25">
      <c r="D2304" s="16"/>
      <c r="Q2304" s="16"/>
    </row>
    <row r="2305" spans="4:26" x14ac:dyDescent="0.25">
      <c r="D2305" s="16"/>
      <c r="Q2305" s="16"/>
      <c r="T2305" s="1"/>
      <c r="X2305" s="1"/>
      <c r="Y2305" s="1"/>
      <c r="Z2305" s="1"/>
    </row>
    <row r="2306" spans="4:26" x14ac:dyDescent="0.25">
      <c r="D2306" s="17"/>
      <c r="Q2306" s="17"/>
      <c r="T2306" s="1"/>
      <c r="X2306" s="1"/>
      <c r="Y2306" s="1"/>
      <c r="Z2306" s="1"/>
    </row>
    <row r="2307" spans="4:26" x14ac:dyDescent="0.25">
      <c r="D2307" s="16"/>
      <c r="Q2307" s="16"/>
    </row>
    <row r="2308" spans="4:26" x14ac:dyDescent="0.25">
      <c r="D2308" s="16"/>
      <c r="Q2308" s="16"/>
    </row>
    <row r="2309" spans="4:26" x14ac:dyDescent="0.25">
      <c r="D2309" s="17"/>
      <c r="Q2309" s="17"/>
      <c r="T2309" s="1"/>
      <c r="X2309" s="1"/>
      <c r="Y2309" s="1"/>
      <c r="Z2309" s="1"/>
    </row>
    <row r="2310" spans="4:26" x14ac:dyDescent="0.25">
      <c r="D2310" s="16"/>
      <c r="Q2310" s="16"/>
      <c r="T2310" s="1"/>
      <c r="X2310" s="1"/>
      <c r="Y2310" s="1"/>
      <c r="Z2310" s="1"/>
    </row>
    <row r="2311" spans="4:26" x14ac:dyDescent="0.25">
      <c r="D2311" s="16"/>
      <c r="Q2311" s="16"/>
      <c r="T2311" s="1"/>
      <c r="X2311" s="1"/>
      <c r="Y2311" s="1"/>
      <c r="Z2311" s="1"/>
    </row>
    <row r="2312" spans="4:26" x14ac:dyDescent="0.25">
      <c r="D2312" s="17"/>
      <c r="Q2312" s="16"/>
      <c r="T2312" s="1"/>
      <c r="X2312" s="1"/>
      <c r="Y2312" s="1"/>
      <c r="Z2312" s="1"/>
    </row>
    <row r="2314" spans="4:26" x14ac:dyDescent="0.25">
      <c r="D2314" s="16"/>
      <c r="Q2314" s="16"/>
    </row>
    <row r="2315" spans="4:26" x14ac:dyDescent="0.25">
      <c r="D2315" s="16"/>
      <c r="Q2315" s="16"/>
      <c r="T2315" s="1"/>
      <c r="X2315" s="1"/>
      <c r="Y2315" s="1"/>
      <c r="Z2315" s="1"/>
    </row>
    <row r="2316" spans="4:26" x14ac:dyDescent="0.25">
      <c r="D2316" s="17"/>
      <c r="Q2316" s="17"/>
      <c r="T2316" s="1"/>
      <c r="X2316" s="1"/>
      <c r="Y2316" s="1"/>
      <c r="Z2316" s="1"/>
    </row>
    <row r="2317" spans="4:26" x14ac:dyDescent="0.25">
      <c r="D2317" s="17"/>
      <c r="Q2317" s="17"/>
      <c r="T2317" s="1"/>
      <c r="X2317" s="1"/>
      <c r="Y2317" s="1"/>
      <c r="Z2317" s="1"/>
    </row>
    <row r="2318" spans="4:26" x14ac:dyDescent="0.25">
      <c r="D2318" s="16"/>
      <c r="Q2318" s="16"/>
      <c r="T2318" s="1"/>
      <c r="X2318" s="1"/>
      <c r="Y2318" s="1"/>
      <c r="Z2318" s="1"/>
    </row>
    <row r="2319" spans="4:26" x14ac:dyDescent="0.25">
      <c r="D2319" s="17"/>
      <c r="Q2319" s="17"/>
      <c r="T2319" s="1"/>
      <c r="X2319" s="1"/>
      <c r="Y2319" s="1"/>
      <c r="Z2319" s="1"/>
    </row>
    <row r="2321" spans="4:26" x14ac:dyDescent="0.25">
      <c r="D2321" s="16"/>
      <c r="Q2321" s="16"/>
    </row>
    <row r="2322" spans="4:26" x14ac:dyDescent="0.25">
      <c r="D2322" s="17"/>
      <c r="Q2322" s="16"/>
      <c r="T2322" s="1"/>
      <c r="X2322" s="1"/>
      <c r="Y2322" s="1"/>
      <c r="Z2322" s="1"/>
    </row>
    <row r="2323" spans="4:26" x14ac:dyDescent="0.25">
      <c r="Q2323" s="16"/>
    </row>
    <row r="2324" spans="4:26" x14ac:dyDescent="0.25">
      <c r="D2324" s="16"/>
      <c r="Q2324" s="16"/>
    </row>
    <row r="2325" spans="4:26" x14ac:dyDescent="0.25">
      <c r="D2325" s="17"/>
      <c r="Q2325" s="17"/>
      <c r="T2325" s="1"/>
      <c r="X2325" s="1"/>
      <c r="Y2325" s="1"/>
      <c r="Z2325" s="1"/>
    </row>
    <row r="2327" spans="4:26" x14ac:dyDescent="0.25">
      <c r="D2327" s="16"/>
      <c r="Q2327" s="16"/>
    </row>
    <row r="2328" spans="4:26" x14ac:dyDescent="0.25">
      <c r="D2328" s="17"/>
      <c r="Q2328" s="17"/>
      <c r="T2328" s="1"/>
      <c r="X2328" s="1"/>
      <c r="Y2328" s="1"/>
      <c r="Z2328" s="1"/>
    </row>
    <row r="2330" spans="4:26" x14ac:dyDescent="0.25">
      <c r="D2330" s="16"/>
      <c r="Q2330" s="16"/>
    </row>
    <row r="2331" spans="4:26" x14ac:dyDescent="0.25">
      <c r="D2331" s="16"/>
      <c r="Q2331" s="16"/>
      <c r="T2331" s="1"/>
      <c r="X2331" s="1"/>
      <c r="Y2331" s="1"/>
      <c r="Z2331" s="1"/>
    </row>
    <row r="2332" spans="4:26" x14ac:dyDescent="0.25">
      <c r="D2332" s="17"/>
      <c r="Q2332" s="17"/>
      <c r="T2332" s="1"/>
      <c r="X2332" s="1"/>
      <c r="Y2332" s="1"/>
      <c r="Z2332" s="1"/>
    </row>
    <row r="2333" spans="4:26" x14ac:dyDescent="0.25">
      <c r="D2333" s="16"/>
      <c r="Q2333" s="16"/>
      <c r="T2333" s="1"/>
      <c r="X2333" s="1"/>
      <c r="Y2333" s="1"/>
      <c r="Z2333" s="1"/>
    </row>
    <row r="2334" spans="4:26" x14ac:dyDescent="0.25">
      <c r="D2334" s="16"/>
      <c r="Q2334" s="16"/>
      <c r="T2334" s="1"/>
      <c r="X2334" s="1"/>
      <c r="Y2334" s="1"/>
      <c r="Z2334" s="1"/>
    </row>
    <row r="2335" spans="4:26" x14ac:dyDescent="0.25">
      <c r="D2335" s="16"/>
      <c r="Q2335" s="16"/>
      <c r="T2335" s="1"/>
      <c r="X2335" s="1"/>
      <c r="Y2335" s="1"/>
      <c r="Z2335" s="1"/>
    </row>
    <row r="2336" spans="4:26" x14ac:dyDescent="0.25">
      <c r="D2336" s="16"/>
      <c r="Q2336" s="16"/>
    </row>
    <row r="2338" spans="4:26" x14ac:dyDescent="0.25">
      <c r="D2338" s="16"/>
      <c r="Q2338" s="16"/>
      <c r="T2338" s="1"/>
      <c r="X2338" s="1"/>
      <c r="Y2338" s="1"/>
      <c r="Z2338" s="1"/>
    </row>
    <row r="2339" spans="4:26" x14ac:dyDescent="0.25">
      <c r="D2339" s="16"/>
      <c r="Q2339" s="16"/>
      <c r="T2339" s="1"/>
      <c r="X2339" s="1"/>
      <c r="Y2339" s="1"/>
      <c r="Z2339" s="1"/>
    </row>
    <row r="2342" spans="4:26" x14ac:dyDescent="0.25">
      <c r="D2342" s="16"/>
      <c r="Q2342" s="16"/>
      <c r="T2342" s="1"/>
      <c r="X2342" s="1"/>
      <c r="Y2342" s="1"/>
      <c r="Z2342" s="1"/>
    </row>
    <row r="2343" spans="4:26" x14ac:dyDescent="0.25">
      <c r="D2343" s="16"/>
      <c r="Q2343" s="16"/>
    </row>
    <row r="2345" spans="4:26" x14ac:dyDescent="0.25">
      <c r="D2345" s="17"/>
      <c r="Q2345" s="17"/>
      <c r="T2345" s="1"/>
      <c r="X2345" s="1"/>
      <c r="Y2345" s="1"/>
      <c r="Z2345" s="1"/>
    </row>
    <row r="2346" spans="4:26" x14ac:dyDescent="0.25">
      <c r="D2346" s="16"/>
      <c r="Q2346" s="16"/>
      <c r="T2346" s="1"/>
      <c r="X2346" s="1"/>
      <c r="Y2346" s="1"/>
      <c r="Z2346" s="1"/>
    </row>
    <row r="2349" spans="4:26" x14ac:dyDescent="0.25">
      <c r="D2349" s="16"/>
      <c r="Q2349" s="16"/>
      <c r="T2349" s="1"/>
      <c r="X2349" s="1"/>
      <c r="Y2349" s="1"/>
      <c r="Z2349" s="1"/>
    </row>
    <row r="2352" spans="4:26" x14ac:dyDescent="0.25">
      <c r="D2352" s="16"/>
      <c r="Q2352" s="16"/>
      <c r="T2352" s="1"/>
      <c r="X2352" s="1"/>
      <c r="Y2352" s="1"/>
      <c r="Z2352" s="1"/>
    </row>
    <row r="2353" spans="4:26" x14ac:dyDescent="0.25">
      <c r="Q2353" s="16"/>
    </row>
    <row r="2354" spans="4:26" x14ac:dyDescent="0.25">
      <c r="Q2354" s="16"/>
    </row>
    <row r="2355" spans="4:26" x14ac:dyDescent="0.25">
      <c r="D2355" s="16"/>
      <c r="Q2355" s="16"/>
      <c r="T2355" s="1"/>
      <c r="X2355" s="1"/>
      <c r="Y2355" s="1"/>
      <c r="Z2355" s="1"/>
    </row>
    <row r="2357" spans="4:26" x14ac:dyDescent="0.25">
      <c r="D2357" s="16"/>
      <c r="Q2357" s="16"/>
    </row>
    <row r="2358" spans="4:26" x14ac:dyDescent="0.25">
      <c r="D2358" s="16"/>
      <c r="Q2358" s="16"/>
      <c r="T2358" s="1"/>
      <c r="X2358" s="1"/>
      <c r="Y2358" s="1"/>
      <c r="Z2358" s="1"/>
    </row>
    <row r="2360" spans="4:26" x14ac:dyDescent="0.25">
      <c r="D2360" s="16"/>
      <c r="Q2360" s="16"/>
    </row>
    <row r="2361" spans="4:26" x14ac:dyDescent="0.25">
      <c r="D2361" s="16"/>
      <c r="Q2361" s="16"/>
      <c r="T2361" s="1"/>
      <c r="X2361" s="1"/>
      <c r="Y2361" s="1"/>
      <c r="Z2361" s="1"/>
    </row>
    <row r="2363" spans="4:26" x14ac:dyDescent="0.25">
      <c r="D2363" s="16"/>
      <c r="Q2363" s="16"/>
    </row>
    <row r="2364" spans="4:26" x14ac:dyDescent="0.25">
      <c r="D2364" s="16"/>
      <c r="Q2364" s="16"/>
      <c r="T2364" s="1"/>
      <c r="X2364" s="1"/>
      <c r="Y2364" s="1"/>
      <c r="Z2364" s="1"/>
    </row>
    <row r="2366" spans="4:26" x14ac:dyDescent="0.25">
      <c r="D2366" s="16"/>
      <c r="Q2366" s="16"/>
    </row>
    <row r="2367" spans="4:26" x14ac:dyDescent="0.25">
      <c r="D2367" s="16"/>
      <c r="Q2367" s="16"/>
      <c r="T2367" s="1"/>
      <c r="X2367" s="1"/>
      <c r="Y2367" s="1"/>
      <c r="Z2367" s="1"/>
    </row>
    <row r="2368" spans="4:26" x14ac:dyDescent="0.25">
      <c r="Q2368" s="16"/>
    </row>
    <row r="2370" spans="4:26" x14ac:dyDescent="0.25">
      <c r="D2370" s="16"/>
      <c r="Q2370" s="16"/>
      <c r="T2370" s="1"/>
      <c r="X2370" s="1"/>
      <c r="Y2370" s="1"/>
      <c r="Z2370" s="1"/>
    </row>
    <row r="2371" spans="4:26" x14ac:dyDescent="0.25">
      <c r="D2371" s="16"/>
      <c r="Q2371" s="16"/>
      <c r="T2371" s="1"/>
      <c r="X2371" s="1"/>
      <c r="Y2371" s="1"/>
      <c r="Z2371" s="1"/>
    </row>
    <row r="2372" spans="4:26" x14ac:dyDescent="0.25">
      <c r="D2372" s="17"/>
      <c r="Q2372" s="16"/>
      <c r="T2372" s="1"/>
      <c r="X2372" s="1"/>
      <c r="Y2372" s="1"/>
      <c r="Z2372" s="1"/>
    </row>
    <row r="2373" spans="4:26" x14ac:dyDescent="0.25">
      <c r="D2373" s="16"/>
      <c r="Q2373" s="16"/>
    </row>
    <row r="2374" spans="4:26" x14ac:dyDescent="0.25">
      <c r="D2374" s="16"/>
      <c r="Q2374" s="16"/>
    </row>
    <row r="2375" spans="4:26" x14ac:dyDescent="0.25">
      <c r="D2375" s="17"/>
      <c r="Q2375" s="17"/>
      <c r="T2375" s="1"/>
      <c r="X2375" s="1"/>
      <c r="Y2375" s="1"/>
      <c r="Z2375" s="1"/>
    </row>
    <row r="2376" spans="4:26" x14ac:dyDescent="0.25">
      <c r="D2376" s="16"/>
      <c r="Q2376" s="16"/>
      <c r="T2376" s="1"/>
      <c r="X2376" s="1"/>
      <c r="Y2376" s="1"/>
      <c r="Z2376" s="1"/>
    </row>
    <row r="2377" spans="4:26" x14ac:dyDescent="0.25">
      <c r="D2377" s="16"/>
      <c r="Q2377" s="16"/>
    </row>
    <row r="2378" spans="4:26" x14ac:dyDescent="0.25">
      <c r="D2378" s="16"/>
      <c r="Q2378" s="16"/>
    </row>
    <row r="2379" spans="4:26" x14ac:dyDescent="0.25">
      <c r="D2379" s="16"/>
      <c r="Q2379" s="16"/>
      <c r="T2379" s="1"/>
      <c r="X2379" s="1"/>
      <c r="Y2379" s="1"/>
      <c r="Z2379" s="1"/>
    </row>
    <row r="2381" spans="4:26" x14ac:dyDescent="0.25">
      <c r="D2381" s="16"/>
      <c r="Q2381" s="16"/>
    </row>
    <row r="2382" spans="4:26" x14ac:dyDescent="0.25">
      <c r="D2382" s="16"/>
      <c r="Q2382" s="16"/>
      <c r="T2382" s="1"/>
      <c r="X2382" s="1"/>
      <c r="Y2382" s="1"/>
      <c r="Z2382" s="1"/>
    </row>
    <row r="2383" spans="4:26" x14ac:dyDescent="0.25">
      <c r="Q2383" s="16"/>
    </row>
    <row r="2384" spans="4:26" x14ac:dyDescent="0.25">
      <c r="D2384" s="16"/>
      <c r="Q2384" s="16"/>
    </row>
    <row r="2385" spans="4:26" x14ac:dyDescent="0.25">
      <c r="D2385" s="17"/>
      <c r="Q2385" s="17"/>
      <c r="T2385" s="1"/>
      <c r="X2385" s="1"/>
      <c r="Y2385" s="1"/>
      <c r="Z2385" s="1"/>
    </row>
    <row r="2386" spans="4:26" x14ac:dyDescent="0.25">
      <c r="D2386" s="16"/>
      <c r="Q2386" s="16"/>
    </row>
    <row r="2387" spans="4:26" x14ac:dyDescent="0.25">
      <c r="D2387" s="16"/>
      <c r="Q2387" s="16"/>
    </row>
    <row r="2388" spans="4:26" x14ac:dyDescent="0.25">
      <c r="D2388" s="17"/>
      <c r="Q2388" s="17"/>
      <c r="T2388" s="1"/>
      <c r="X2388" s="1"/>
      <c r="Y2388" s="1"/>
      <c r="Z2388" s="1"/>
    </row>
    <row r="2389" spans="4:26" x14ac:dyDescent="0.25">
      <c r="D2389" s="16"/>
      <c r="Q2389" s="16"/>
    </row>
    <row r="2390" spans="4:26" x14ac:dyDescent="0.25">
      <c r="D2390" s="16"/>
      <c r="Q2390" s="16"/>
    </row>
    <row r="2391" spans="4:26" x14ac:dyDescent="0.25">
      <c r="D2391" s="17"/>
      <c r="Q2391" s="17"/>
      <c r="T2391" s="1"/>
      <c r="X2391" s="1"/>
      <c r="Y2391" s="1"/>
      <c r="Z2391" s="1"/>
    </row>
    <row r="2393" spans="4:26" x14ac:dyDescent="0.25">
      <c r="D2393" s="16"/>
      <c r="Q2393" s="16"/>
    </row>
    <row r="2394" spans="4:26" x14ac:dyDescent="0.25">
      <c r="D2394" s="17"/>
      <c r="Q2394" s="17"/>
      <c r="T2394" s="1"/>
      <c r="X2394" s="1"/>
      <c r="Y2394" s="1"/>
      <c r="Z2394" s="1"/>
    </row>
    <row r="2396" spans="4:26" x14ac:dyDescent="0.25">
      <c r="D2396" s="16"/>
      <c r="Q2396" s="16"/>
    </row>
    <row r="2397" spans="4:26" x14ac:dyDescent="0.25">
      <c r="D2397" s="17"/>
      <c r="Q2397" s="17"/>
      <c r="T2397" s="1"/>
      <c r="X2397" s="1"/>
      <c r="Y2397" s="1"/>
      <c r="Z2397" s="1"/>
    </row>
    <row r="2399" spans="4:26" x14ac:dyDescent="0.25">
      <c r="D2399" s="16"/>
      <c r="Q2399" s="16"/>
    </row>
    <row r="2400" spans="4:26" x14ac:dyDescent="0.25">
      <c r="D2400" s="17"/>
      <c r="Q2400" s="17"/>
      <c r="T2400" s="1"/>
      <c r="X2400" s="1"/>
      <c r="Y2400" s="1"/>
      <c r="Z2400" s="1"/>
    </row>
    <row r="2402" spans="4:26" x14ac:dyDescent="0.25">
      <c r="D2402" s="16"/>
      <c r="Q2402" s="16"/>
    </row>
    <row r="2403" spans="4:26" x14ac:dyDescent="0.25">
      <c r="D2403" s="17"/>
      <c r="Q2403" s="17"/>
      <c r="T2403" s="1"/>
      <c r="X2403" s="1"/>
      <c r="Y2403" s="1"/>
      <c r="Z2403" s="1"/>
    </row>
    <row r="2405" spans="4:26" x14ac:dyDescent="0.25">
      <c r="D2405" s="16"/>
      <c r="Q2405" s="16"/>
    </row>
    <row r="2406" spans="4:26" x14ac:dyDescent="0.25">
      <c r="D2406" s="16"/>
      <c r="Q2406" s="16"/>
      <c r="T2406" s="1"/>
      <c r="X2406" s="1"/>
      <c r="Y2406" s="1"/>
      <c r="Z2406" s="1"/>
    </row>
    <row r="2408" spans="4:26" x14ac:dyDescent="0.25">
      <c r="D2408" s="16"/>
      <c r="Q2408" s="16"/>
    </row>
    <row r="2409" spans="4:26" x14ac:dyDescent="0.25">
      <c r="D2409" s="16"/>
      <c r="Q2409" s="16"/>
      <c r="T2409" s="1"/>
      <c r="X2409" s="1"/>
      <c r="Y2409" s="1"/>
      <c r="Z2409" s="1"/>
    </row>
    <row r="2412" spans="4:26" x14ac:dyDescent="0.25">
      <c r="D2412" s="16"/>
      <c r="Q2412" s="16"/>
      <c r="T2412" s="1"/>
      <c r="X2412" s="1"/>
      <c r="Y2412" s="1"/>
      <c r="Z2412" s="1"/>
    </row>
    <row r="2413" spans="4:26" x14ac:dyDescent="0.25">
      <c r="D2413" s="16"/>
      <c r="Q2413" s="16"/>
    </row>
    <row r="2415" spans="4:26" x14ac:dyDescent="0.25">
      <c r="D2415" s="17"/>
      <c r="Q2415" s="17"/>
      <c r="T2415" s="1"/>
      <c r="X2415" s="1"/>
      <c r="Y2415" s="1"/>
      <c r="Z2415" s="1"/>
    </row>
    <row r="2416" spans="4:26" x14ac:dyDescent="0.25">
      <c r="D2416" s="16"/>
      <c r="Q2416" s="16"/>
    </row>
    <row r="2418" spans="4:26" x14ac:dyDescent="0.25">
      <c r="D2418" s="17"/>
      <c r="Q2418" s="17"/>
      <c r="T2418" s="1"/>
      <c r="X2418" s="1"/>
      <c r="Y2418" s="1"/>
      <c r="Z2418" s="1"/>
    </row>
    <row r="2419" spans="4:26" x14ac:dyDescent="0.25">
      <c r="D2419" s="16"/>
      <c r="Q2419" s="16"/>
    </row>
    <row r="2421" spans="4:26" x14ac:dyDescent="0.25">
      <c r="D2421" s="17"/>
      <c r="Q2421" s="17"/>
      <c r="T2421" s="1"/>
      <c r="X2421" s="1"/>
      <c r="Y2421" s="1"/>
      <c r="Z2421" s="1"/>
    </row>
    <row r="2422" spans="4:26" x14ac:dyDescent="0.25">
      <c r="D2422" s="16"/>
      <c r="Q2422" s="16"/>
      <c r="T2422" s="1"/>
      <c r="X2422" s="1"/>
      <c r="Y2422" s="1"/>
      <c r="Z2422" s="1"/>
    </row>
    <row r="2423" spans="4:26" x14ac:dyDescent="0.25">
      <c r="D2423" s="16"/>
      <c r="Q2423" s="16"/>
    </row>
    <row r="2425" spans="4:26" x14ac:dyDescent="0.25">
      <c r="D2425" s="17"/>
      <c r="Q2425" s="17"/>
      <c r="T2425" s="1"/>
      <c r="X2425" s="1"/>
      <c r="Y2425" s="1"/>
      <c r="Z2425" s="1"/>
    </row>
    <row r="2426" spans="4:26" x14ac:dyDescent="0.25">
      <c r="D2426" s="16"/>
      <c r="Q2426" s="16"/>
      <c r="T2426" s="1"/>
      <c r="X2426" s="1"/>
      <c r="Y2426" s="1"/>
      <c r="Z2426" s="1"/>
    </row>
    <row r="2427" spans="4:26" x14ac:dyDescent="0.25">
      <c r="D2427" s="17"/>
      <c r="Q2427" s="17"/>
      <c r="T2427" s="1"/>
      <c r="X2427" s="1"/>
      <c r="Y2427" s="1"/>
      <c r="Z2427" s="1"/>
    </row>
    <row r="2428" spans="4:26" x14ac:dyDescent="0.25">
      <c r="D2428" s="17"/>
      <c r="Q2428" s="17"/>
      <c r="T2428" s="1"/>
      <c r="X2428" s="1"/>
      <c r="Y2428" s="1"/>
      <c r="Z2428" s="1"/>
    </row>
    <row r="2429" spans="4:26" x14ac:dyDescent="0.25">
      <c r="D2429" s="16"/>
      <c r="Q2429" s="16"/>
      <c r="T2429" s="1"/>
      <c r="X2429" s="1"/>
      <c r="Y2429" s="1"/>
      <c r="Z2429" s="1"/>
    </row>
    <row r="2430" spans="4:26" x14ac:dyDescent="0.25">
      <c r="D2430" s="17"/>
      <c r="Q2430" s="17"/>
      <c r="T2430" s="1"/>
      <c r="X2430" s="1"/>
      <c r="Y2430" s="1"/>
      <c r="Z2430" s="1"/>
    </row>
    <row r="2431" spans="4:26" x14ac:dyDescent="0.25">
      <c r="D2431" s="17"/>
      <c r="Q2431" s="17"/>
      <c r="T2431" s="1"/>
      <c r="X2431" s="1"/>
      <c r="Y2431" s="1"/>
      <c r="Z2431" s="1"/>
    </row>
    <row r="2432" spans="4:26" x14ac:dyDescent="0.25">
      <c r="D2432" s="16"/>
      <c r="Q2432" s="16"/>
      <c r="T2432" s="1"/>
      <c r="X2432" s="1"/>
      <c r="Y2432" s="1"/>
      <c r="Z2432" s="1"/>
    </row>
    <row r="2435" spans="4:26" x14ac:dyDescent="0.25">
      <c r="D2435" s="16"/>
      <c r="Q2435" s="16"/>
      <c r="T2435" s="1"/>
      <c r="X2435" s="1"/>
      <c r="Y2435" s="1"/>
      <c r="Z2435" s="1"/>
    </row>
    <row r="2436" spans="4:26" x14ac:dyDescent="0.25">
      <c r="Q2436" s="16"/>
    </row>
    <row r="2438" spans="4:26" x14ac:dyDescent="0.25">
      <c r="D2438" s="16"/>
      <c r="Q2438" s="16"/>
      <c r="T2438" s="1"/>
      <c r="X2438" s="1"/>
      <c r="Y2438" s="1"/>
      <c r="Z2438" s="1"/>
    </row>
    <row r="2439" spans="4:26" x14ac:dyDescent="0.25">
      <c r="D2439" s="16"/>
      <c r="Q2439" s="16"/>
    </row>
    <row r="2440" spans="4:26" x14ac:dyDescent="0.25">
      <c r="Q2440" s="16"/>
    </row>
    <row r="2441" spans="4:26" x14ac:dyDescent="0.25">
      <c r="D2441" s="16"/>
      <c r="Q2441" s="16"/>
      <c r="T2441" s="1"/>
      <c r="X2441" s="1"/>
      <c r="Y2441" s="1"/>
      <c r="Z2441" s="1"/>
    </row>
    <row r="2442" spans="4:26" x14ac:dyDescent="0.25">
      <c r="D2442" s="16"/>
      <c r="Q2442" s="16"/>
    </row>
    <row r="2443" spans="4:26" x14ac:dyDescent="0.25">
      <c r="D2443" s="16"/>
      <c r="Q2443" s="16"/>
    </row>
    <row r="2444" spans="4:26" x14ac:dyDescent="0.25">
      <c r="D2444" s="17"/>
      <c r="Q2444" s="17"/>
      <c r="T2444" s="1"/>
      <c r="X2444" s="1"/>
      <c r="Y2444" s="1"/>
      <c r="Z2444" s="1"/>
    </row>
    <row r="2445" spans="4:26" x14ac:dyDescent="0.25">
      <c r="D2445" s="16"/>
      <c r="Q2445" s="16"/>
    </row>
    <row r="2446" spans="4:26" x14ac:dyDescent="0.25">
      <c r="D2446" s="16"/>
      <c r="Q2446" s="16"/>
    </row>
    <row r="2447" spans="4:26" x14ac:dyDescent="0.25">
      <c r="D2447" s="17"/>
      <c r="Q2447" s="17"/>
      <c r="T2447" s="1"/>
      <c r="X2447" s="1"/>
      <c r="Y2447" s="1"/>
      <c r="Z2447" s="1"/>
    </row>
    <row r="2448" spans="4:26" x14ac:dyDescent="0.25">
      <c r="D2448" s="16"/>
      <c r="Q2448" s="16"/>
      <c r="T2448" s="1"/>
      <c r="X2448" s="1"/>
      <c r="Y2448" s="1"/>
      <c r="Z2448" s="1"/>
    </row>
    <row r="2449" spans="4:26" x14ac:dyDescent="0.25">
      <c r="D2449" s="16"/>
      <c r="Q2449" s="16"/>
      <c r="T2449" s="1"/>
      <c r="X2449" s="1"/>
      <c r="Y2449" s="1"/>
      <c r="Z2449" s="1"/>
    </row>
    <row r="2450" spans="4:26" x14ac:dyDescent="0.25">
      <c r="D2450" s="16"/>
      <c r="Q2450" s="16"/>
      <c r="T2450" s="1"/>
      <c r="X2450" s="1"/>
      <c r="Y2450" s="1"/>
      <c r="Z2450" s="1"/>
    </row>
    <row r="2451" spans="4:26" x14ac:dyDescent="0.25">
      <c r="D2451" s="17"/>
      <c r="Q2451" s="17"/>
      <c r="T2451" s="1"/>
      <c r="X2451" s="1"/>
      <c r="Y2451" s="1"/>
      <c r="Z2451" s="1"/>
    </row>
    <row r="2452" spans="4:26" x14ac:dyDescent="0.25">
      <c r="D2452" s="16"/>
      <c r="Q2452" s="16"/>
      <c r="T2452" s="1"/>
      <c r="X2452" s="1"/>
      <c r="Y2452" s="1"/>
      <c r="Z2452" s="1"/>
    </row>
    <row r="2453" spans="4:26" x14ac:dyDescent="0.25">
      <c r="D2453" s="16"/>
      <c r="Q2453" s="16"/>
      <c r="T2453" s="1"/>
      <c r="X2453" s="1"/>
      <c r="Y2453" s="1"/>
      <c r="Z2453" s="1"/>
    </row>
    <row r="2454" spans="4:26" x14ac:dyDescent="0.25">
      <c r="D2454" s="16"/>
      <c r="Q2454" s="16"/>
    </row>
    <row r="2455" spans="4:26" x14ac:dyDescent="0.25">
      <c r="D2455" s="16"/>
      <c r="Q2455" s="16"/>
    </row>
    <row r="2456" spans="4:26" x14ac:dyDescent="0.25">
      <c r="D2456" s="17"/>
      <c r="Q2456" s="17"/>
      <c r="T2456" s="1"/>
      <c r="X2456" s="1"/>
      <c r="Y2456" s="1"/>
      <c r="Z2456" s="1"/>
    </row>
    <row r="2457" spans="4:26" x14ac:dyDescent="0.25">
      <c r="D2457" s="16"/>
      <c r="Q2457" s="16"/>
    </row>
    <row r="2458" spans="4:26" x14ac:dyDescent="0.25">
      <c r="D2458" s="16"/>
      <c r="Q2458" s="16"/>
    </row>
    <row r="2459" spans="4:26" x14ac:dyDescent="0.25">
      <c r="D2459" s="17"/>
      <c r="Q2459" s="17"/>
      <c r="T2459" s="1"/>
      <c r="X2459" s="1"/>
      <c r="Y2459" s="1"/>
      <c r="Z2459" s="1"/>
    </row>
    <row r="2460" spans="4:26" x14ac:dyDescent="0.25">
      <c r="D2460" s="16"/>
      <c r="Q2460" s="16"/>
    </row>
    <row r="2461" spans="4:26" x14ac:dyDescent="0.25">
      <c r="D2461" s="16"/>
      <c r="Q2461" s="16"/>
    </row>
    <row r="2462" spans="4:26" x14ac:dyDescent="0.25">
      <c r="D2462" s="17"/>
      <c r="Q2462" s="16"/>
      <c r="T2462" s="1"/>
      <c r="X2462" s="1"/>
      <c r="Y2462" s="1"/>
      <c r="Z2462" s="1"/>
    </row>
    <row r="2463" spans="4:26" x14ac:dyDescent="0.25">
      <c r="D2463" s="16"/>
      <c r="Q2463" s="16"/>
    </row>
    <row r="2465" spans="4:26" x14ac:dyDescent="0.25">
      <c r="D2465" s="16"/>
      <c r="Q2465" s="16"/>
      <c r="T2465" s="1"/>
      <c r="X2465" s="1"/>
      <c r="Y2465" s="1"/>
      <c r="Z2465" s="1"/>
    </row>
    <row r="2466" spans="4:26" x14ac:dyDescent="0.25">
      <c r="D2466" s="16"/>
      <c r="Q2466" s="16"/>
    </row>
    <row r="2467" spans="4:26" x14ac:dyDescent="0.25">
      <c r="D2467" s="16"/>
      <c r="Q2467" s="16"/>
    </row>
    <row r="2468" spans="4:26" x14ac:dyDescent="0.25">
      <c r="D2468" s="16"/>
      <c r="Q2468" s="16"/>
      <c r="T2468" s="1"/>
      <c r="X2468" s="1"/>
      <c r="Y2468" s="1"/>
      <c r="Z2468" s="1"/>
    </row>
    <row r="2469" spans="4:26" x14ac:dyDescent="0.25">
      <c r="Q2469" s="16"/>
    </row>
    <row r="2470" spans="4:26" x14ac:dyDescent="0.25">
      <c r="Q2470" s="16"/>
    </row>
    <row r="2471" spans="4:26" x14ac:dyDescent="0.25">
      <c r="D2471" s="16"/>
      <c r="Q2471" s="16"/>
      <c r="T2471" s="1"/>
      <c r="X2471" s="1"/>
      <c r="Y2471" s="1"/>
      <c r="Z2471" s="1"/>
    </row>
    <row r="2474" spans="4:26" x14ac:dyDescent="0.25">
      <c r="D2474" s="16"/>
      <c r="Q2474" s="16"/>
      <c r="T2474" s="1"/>
      <c r="X2474" s="1"/>
      <c r="Y2474" s="1"/>
      <c r="Z2474" s="1"/>
    </row>
    <row r="2475" spans="4:26" x14ac:dyDescent="0.25">
      <c r="Q2475" s="16"/>
    </row>
    <row r="2476" spans="4:26" x14ac:dyDescent="0.25">
      <c r="Q2476" s="16"/>
    </row>
    <row r="2477" spans="4:26" x14ac:dyDescent="0.25">
      <c r="D2477" s="16"/>
      <c r="Q2477" s="16"/>
      <c r="T2477" s="1"/>
      <c r="X2477" s="1"/>
      <c r="Y2477" s="1"/>
      <c r="Z2477" s="1"/>
    </row>
    <row r="2479" spans="4:26" x14ac:dyDescent="0.25">
      <c r="D2479" s="16"/>
      <c r="Q2479" s="16"/>
    </row>
    <row r="2480" spans="4:26" x14ac:dyDescent="0.25">
      <c r="D2480" s="16"/>
      <c r="Q2480" s="16"/>
      <c r="T2480" s="1"/>
      <c r="X2480" s="1"/>
      <c r="Y2480" s="1"/>
      <c r="Z2480" s="1"/>
    </row>
    <row r="2482" spans="4:26" x14ac:dyDescent="0.25">
      <c r="D2482" s="16"/>
      <c r="Q2482" s="16"/>
    </row>
    <row r="2483" spans="4:26" x14ac:dyDescent="0.25">
      <c r="D2483" s="16"/>
      <c r="Q2483" s="16"/>
      <c r="T2483" s="1"/>
      <c r="X2483" s="1"/>
      <c r="Y2483" s="1"/>
      <c r="Z2483" s="1"/>
    </row>
    <row r="2485" spans="4:26" x14ac:dyDescent="0.25">
      <c r="D2485" s="16"/>
      <c r="Q2485" s="16"/>
    </row>
    <row r="2486" spans="4:26" x14ac:dyDescent="0.25">
      <c r="D2486" s="16"/>
      <c r="Q2486" s="16"/>
      <c r="T2486" s="1"/>
      <c r="X2486" s="1"/>
      <c r="Y2486" s="1"/>
      <c r="Z2486" s="1"/>
    </row>
    <row r="2488" spans="4:26" x14ac:dyDescent="0.25">
      <c r="D2488" s="16"/>
      <c r="Q2488" s="16"/>
    </row>
    <row r="2489" spans="4:26" x14ac:dyDescent="0.25">
      <c r="D2489" s="16"/>
      <c r="Q2489" s="16"/>
      <c r="T2489" s="1"/>
      <c r="X2489" s="1"/>
      <c r="Y2489" s="1"/>
      <c r="Z2489" s="1"/>
    </row>
    <row r="2492" spans="4:26" x14ac:dyDescent="0.25">
      <c r="D2492" s="16"/>
      <c r="Q2492" s="16"/>
      <c r="T2492" s="1"/>
      <c r="X2492" s="1"/>
      <c r="Y2492" s="1"/>
      <c r="Z2492" s="1"/>
    </row>
    <row r="2495" spans="4:26" x14ac:dyDescent="0.25">
      <c r="D2495" s="16"/>
      <c r="Q2495" s="16"/>
      <c r="T2495" s="1"/>
      <c r="X2495" s="1"/>
      <c r="Y2495" s="1"/>
      <c r="Z2495" s="1"/>
    </row>
    <row r="2496" spans="4:26" x14ac:dyDescent="0.25">
      <c r="D2496" s="17"/>
      <c r="Q2496" s="17"/>
      <c r="T2496" s="1"/>
      <c r="X2496" s="1"/>
      <c r="Y2496" s="1"/>
      <c r="Z2496" s="1"/>
    </row>
    <row r="2498" spans="4:26" x14ac:dyDescent="0.25">
      <c r="D2498" s="16"/>
      <c r="Q2498" s="16"/>
    </row>
    <row r="2499" spans="4:26" x14ac:dyDescent="0.25">
      <c r="D2499" s="17"/>
      <c r="Q2499" s="17"/>
      <c r="T2499" s="1"/>
      <c r="X2499" s="1"/>
      <c r="Y2499" s="1"/>
      <c r="Z2499" s="1"/>
    </row>
    <row r="2501" spans="4:26" x14ac:dyDescent="0.25">
      <c r="D2501" s="16"/>
      <c r="Q2501" s="16"/>
    </row>
    <row r="2502" spans="4:26" x14ac:dyDescent="0.25">
      <c r="D2502" s="17"/>
      <c r="Q2502" s="17"/>
      <c r="T2502" s="1"/>
      <c r="X2502" s="1"/>
      <c r="Y2502" s="1"/>
      <c r="Z2502" s="1"/>
    </row>
    <row r="2504" spans="4:26" x14ac:dyDescent="0.25">
      <c r="D2504" s="16"/>
      <c r="Q2504" s="16"/>
    </row>
    <row r="2505" spans="4:26" x14ac:dyDescent="0.25">
      <c r="D2505" s="17"/>
      <c r="Q2505" s="17"/>
      <c r="T2505" s="1"/>
      <c r="X2505" s="1"/>
      <c r="Y2505" s="1"/>
      <c r="Z2505" s="1"/>
    </row>
    <row r="2507" spans="4:26" x14ac:dyDescent="0.25">
      <c r="D2507" s="16"/>
      <c r="Q2507" s="16"/>
    </row>
    <row r="2508" spans="4:26" x14ac:dyDescent="0.25">
      <c r="D2508" s="17"/>
      <c r="Q2508" s="16"/>
      <c r="T2508" s="1"/>
      <c r="X2508" s="1"/>
      <c r="Y2508" s="1"/>
      <c r="Z2508" s="1"/>
    </row>
    <row r="2509" spans="4:26" x14ac:dyDescent="0.25">
      <c r="Q2509" s="16"/>
    </row>
    <row r="2510" spans="4:26" x14ac:dyDescent="0.25">
      <c r="D2510" s="16"/>
      <c r="Q2510" s="16"/>
    </row>
    <row r="2511" spans="4:26" x14ac:dyDescent="0.25">
      <c r="D2511" s="17"/>
      <c r="Q2511" s="17"/>
      <c r="T2511" s="1"/>
      <c r="X2511" s="1"/>
      <c r="Y2511" s="1"/>
      <c r="Z2511" s="1"/>
    </row>
    <row r="2512" spans="4:26" x14ac:dyDescent="0.25">
      <c r="D2512" s="16"/>
      <c r="Q2512" s="16"/>
    </row>
    <row r="2513" spans="4:26" x14ac:dyDescent="0.25">
      <c r="D2513" s="16"/>
      <c r="Q2513" s="16"/>
    </row>
    <row r="2514" spans="4:26" x14ac:dyDescent="0.25">
      <c r="D2514" s="17"/>
      <c r="Q2514" s="17"/>
      <c r="T2514" s="1"/>
      <c r="X2514" s="1"/>
      <c r="Y2514" s="1"/>
      <c r="Z2514" s="1"/>
    </row>
    <row r="2515" spans="4:26" x14ac:dyDescent="0.25">
      <c r="D2515" s="16"/>
      <c r="Q2515" s="16"/>
    </row>
    <row r="2516" spans="4:26" x14ac:dyDescent="0.25">
      <c r="D2516" s="16"/>
      <c r="Q2516" s="16"/>
    </row>
    <row r="2517" spans="4:26" x14ac:dyDescent="0.25">
      <c r="D2517" s="17"/>
      <c r="Q2517" s="17"/>
      <c r="T2517" s="1"/>
      <c r="X2517" s="1"/>
      <c r="Y2517" s="1"/>
      <c r="Z2517" s="1"/>
    </row>
    <row r="2519" spans="4:26" x14ac:dyDescent="0.25">
      <c r="D2519" s="16"/>
      <c r="Q2519" s="16"/>
    </row>
    <row r="2520" spans="4:26" x14ac:dyDescent="0.25">
      <c r="D2520" s="17"/>
      <c r="Q2520" s="17"/>
      <c r="T2520" s="1"/>
      <c r="X2520" s="1"/>
      <c r="Y2520" s="1"/>
      <c r="Z2520" s="1"/>
    </row>
    <row r="2522" spans="4:26" x14ac:dyDescent="0.25">
      <c r="D2522" s="16"/>
      <c r="Q2522" s="16"/>
    </row>
    <row r="2523" spans="4:26" x14ac:dyDescent="0.25">
      <c r="D2523" s="17"/>
      <c r="Q2523" s="17"/>
      <c r="T2523" s="1"/>
      <c r="X2523" s="1"/>
      <c r="Y2523" s="1"/>
      <c r="Z2523" s="1"/>
    </row>
    <row r="2525" spans="4:26" x14ac:dyDescent="0.25">
      <c r="D2525" s="16"/>
      <c r="Q2525" s="16"/>
    </row>
    <row r="2526" spans="4:26" x14ac:dyDescent="0.25">
      <c r="D2526" s="17"/>
      <c r="Q2526" s="17"/>
      <c r="T2526" s="1"/>
      <c r="X2526" s="1"/>
      <c r="Y2526" s="1"/>
      <c r="Z2526" s="1"/>
    </row>
    <row r="2528" spans="4:26" x14ac:dyDescent="0.25">
      <c r="D2528" s="16"/>
      <c r="Q2528" s="16"/>
    </row>
    <row r="2529" spans="4:26" x14ac:dyDescent="0.25">
      <c r="D2529" s="17"/>
      <c r="Q2529" s="17"/>
      <c r="T2529" s="1"/>
      <c r="X2529" s="1"/>
      <c r="Y2529" s="1"/>
      <c r="Z2529" s="1"/>
    </row>
    <row r="2531" spans="4:26" x14ac:dyDescent="0.25">
      <c r="D2531" s="16"/>
      <c r="Q2531" s="16"/>
    </row>
    <row r="2532" spans="4:26" x14ac:dyDescent="0.25">
      <c r="D2532" s="17"/>
      <c r="Q2532" s="17"/>
      <c r="T2532" s="1"/>
      <c r="X2532" s="1"/>
      <c r="Y2532" s="1"/>
      <c r="Z2532" s="1"/>
    </row>
    <row r="2534" spans="4:26" x14ac:dyDescent="0.25">
      <c r="D2534" s="16"/>
      <c r="Q2534" s="16"/>
    </row>
    <row r="2535" spans="4:26" x14ac:dyDescent="0.25">
      <c r="D2535" s="17"/>
      <c r="Q2535" s="16"/>
      <c r="T2535" s="1"/>
      <c r="X2535" s="1"/>
      <c r="Y2535" s="1"/>
      <c r="Z2535" s="1"/>
    </row>
    <row r="2536" spans="4:26" x14ac:dyDescent="0.25">
      <c r="Q2536" s="16"/>
    </row>
    <row r="2537" spans="4:26" x14ac:dyDescent="0.25">
      <c r="D2537" s="16"/>
      <c r="Q2537" s="16"/>
    </row>
    <row r="2538" spans="4:26" x14ac:dyDescent="0.25">
      <c r="D2538" s="17"/>
      <c r="Q2538" s="16"/>
      <c r="T2538" s="1"/>
      <c r="X2538" s="1"/>
      <c r="Y2538" s="1"/>
      <c r="Z2538" s="1"/>
    </row>
    <row r="2539" spans="4:26" x14ac:dyDescent="0.25">
      <c r="Q2539" s="16"/>
    </row>
    <row r="2540" spans="4:26" x14ac:dyDescent="0.25">
      <c r="D2540" s="16"/>
      <c r="Q2540" s="16"/>
    </row>
    <row r="2541" spans="4:26" x14ac:dyDescent="0.25">
      <c r="D2541" s="17"/>
      <c r="Q2541" s="17"/>
      <c r="T2541" s="1"/>
      <c r="X2541" s="1"/>
      <c r="Y2541" s="1"/>
      <c r="Z2541" s="1"/>
    </row>
    <row r="2543" spans="4:26" x14ac:dyDescent="0.25">
      <c r="D2543" s="16"/>
      <c r="Q2543" s="16"/>
    </row>
    <row r="2544" spans="4:26" x14ac:dyDescent="0.25">
      <c r="D2544" s="17"/>
      <c r="Q2544" s="16"/>
      <c r="T2544" s="1"/>
      <c r="X2544" s="1"/>
      <c r="Y2544" s="1"/>
      <c r="Z2544" s="1"/>
    </row>
    <row r="2545" spans="4:26" x14ac:dyDescent="0.25">
      <c r="D2545" s="17"/>
      <c r="Q2545" s="16"/>
      <c r="T2545" s="1"/>
      <c r="X2545" s="1"/>
      <c r="Y2545" s="1"/>
      <c r="Z2545" s="1"/>
    </row>
    <row r="2546" spans="4:26" x14ac:dyDescent="0.25">
      <c r="D2546" s="16"/>
      <c r="Q2546" s="16"/>
      <c r="T2546" s="1"/>
      <c r="X2546" s="1"/>
      <c r="Y2546" s="1"/>
      <c r="Z2546" s="1"/>
    </row>
    <row r="2547" spans="4:26" x14ac:dyDescent="0.25">
      <c r="D2547" s="16"/>
      <c r="Q2547" s="16"/>
    </row>
    <row r="2548" spans="4:26" x14ac:dyDescent="0.25">
      <c r="Q2548" s="16"/>
    </row>
    <row r="2549" spans="4:26" x14ac:dyDescent="0.25">
      <c r="D2549" s="17"/>
      <c r="Q2549" s="16"/>
      <c r="T2549" s="1"/>
      <c r="X2549" s="1"/>
      <c r="Y2549" s="1"/>
      <c r="Z2549" s="1"/>
    </row>
    <row r="2550" spans="4:26" x14ac:dyDescent="0.25">
      <c r="D2550" s="16"/>
      <c r="Q2550" s="16"/>
      <c r="T2550" s="1"/>
      <c r="X2550" s="1"/>
      <c r="Y2550" s="1"/>
      <c r="Z2550" s="1"/>
    </row>
    <row r="2551" spans="4:26" x14ac:dyDescent="0.25">
      <c r="D2551" s="17"/>
      <c r="Q2551" s="17"/>
      <c r="T2551" s="1"/>
      <c r="X2551" s="1"/>
      <c r="Y2551" s="1"/>
      <c r="Z2551" s="1"/>
    </row>
    <row r="2552" spans="4:26" x14ac:dyDescent="0.25">
      <c r="D2552" s="16"/>
      <c r="Q2552" s="16"/>
    </row>
    <row r="2553" spans="4:26" x14ac:dyDescent="0.25">
      <c r="D2553" s="16"/>
      <c r="Q2553" s="16"/>
    </row>
    <row r="2554" spans="4:26" x14ac:dyDescent="0.25">
      <c r="D2554" s="16"/>
      <c r="Q2554" s="16"/>
      <c r="T2554" s="1"/>
      <c r="X2554" s="1"/>
      <c r="Y2554" s="1"/>
      <c r="Z2554" s="1"/>
    </row>
    <row r="2555" spans="4:26" x14ac:dyDescent="0.25">
      <c r="Q2555" s="16"/>
    </row>
    <row r="2556" spans="4:26" x14ac:dyDescent="0.25">
      <c r="Q2556" s="16"/>
    </row>
    <row r="2557" spans="4:26" x14ac:dyDescent="0.25">
      <c r="D2557" s="16"/>
      <c r="Q2557" s="16"/>
      <c r="T2557" s="1"/>
      <c r="X2557" s="1"/>
      <c r="Y2557" s="1"/>
      <c r="Z2557" s="1"/>
    </row>
    <row r="2558" spans="4:26" x14ac:dyDescent="0.25">
      <c r="D2558" s="17"/>
      <c r="Q2558" s="16"/>
      <c r="T2558" s="1"/>
      <c r="X2558" s="1"/>
      <c r="Y2558" s="1"/>
      <c r="Z2558" s="1"/>
    </row>
    <row r="2559" spans="4:26" x14ac:dyDescent="0.25">
      <c r="D2559" s="17"/>
      <c r="Q2559" s="16"/>
      <c r="T2559" s="1"/>
      <c r="X2559" s="1"/>
      <c r="Y2559" s="1"/>
      <c r="Z2559" s="1"/>
    </row>
    <row r="2560" spans="4:26" x14ac:dyDescent="0.25">
      <c r="D2560" s="16"/>
      <c r="Q2560" s="16"/>
    </row>
    <row r="2561" spans="4:26" x14ac:dyDescent="0.25">
      <c r="Q2561" s="16"/>
    </row>
    <row r="2562" spans="4:26" x14ac:dyDescent="0.25">
      <c r="D2562" s="17"/>
      <c r="Q2562" s="16"/>
      <c r="T2562" s="1"/>
      <c r="X2562" s="1"/>
      <c r="Y2562" s="1"/>
      <c r="Z2562" s="1"/>
    </row>
    <row r="2563" spans="4:26" x14ac:dyDescent="0.25">
      <c r="D2563" s="16"/>
      <c r="Q2563" s="16"/>
      <c r="T2563" s="1"/>
      <c r="X2563" s="1"/>
      <c r="Y2563" s="1"/>
      <c r="Z2563" s="1"/>
    </row>
    <row r="2564" spans="4:26" x14ac:dyDescent="0.25">
      <c r="D2564" s="17"/>
      <c r="Q2564" s="17"/>
      <c r="T2564" s="1"/>
      <c r="X2564" s="1"/>
      <c r="Y2564" s="1"/>
      <c r="Z2564" s="1"/>
    </row>
    <row r="2565" spans="4:26" x14ac:dyDescent="0.25">
      <c r="D2565" s="16"/>
      <c r="Q2565" s="16"/>
    </row>
    <row r="2566" spans="4:26" x14ac:dyDescent="0.25">
      <c r="D2566" s="16"/>
      <c r="Q2566" s="16"/>
    </row>
    <row r="2567" spans="4:26" x14ac:dyDescent="0.25">
      <c r="D2567" s="17"/>
      <c r="Q2567" s="16"/>
      <c r="T2567" s="1"/>
      <c r="X2567" s="1"/>
      <c r="Y2567" s="1"/>
      <c r="Z2567" s="1"/>
    </row>
    <row r="2568" spans="4:26" x14ac:dyDescent="0.25">
      <c r="D2568" s="17"/>
      <c r="Q2568" s="17"/>
      <c r="T2568" s="1"/>
      <c r="X2568" s="1"/>
      <c r="Y2568" s="1"/>
      <c r="Z2568" s="1"/>
    </row>
    <row r="2569" spans="4:26" x14ac:dyDescent="0.25">
      <c r="D2569" s="16"/>
      <c r="Q2569" s="16"/>
      <c r="T2569" s="1"/>
      <c r="X2569" s="1"/>
      <c r="Y2569" s="1"/>
      <c r="Z2569" s="1"/>
    </row>
    <row r="2570" spans="4:26" x14ac:dyDescent="0.25">
      <c r="D2570" s="16"/>
      <c r="Q2570" s="16"/>
      <c r="T2570" s="1"/>
      <c r="X2570" s="1"/>
      <c r="Y2570" s="1"/>
      <c r="Z2570" s="1"/>
    </row>
    <row r="2571" spans="4:26" x14ac:dyDescent="0.25">
      <c r="Q2571" s="16"/>
    </row>
    <row r="2572" spans="4:26" x14ac:dyDescent="0.25">
      <c r="D2572" s="16"/>
      <c r="Q2572" s="16"/>
    </row>
    <row r="2573" spans="4:26" x14ac:dyDescent="0.25">
      <c r="D2573" s="17"/>
      <c r="Q2573" s="17"/>
      <c r="T2573" s="1"/>
      <c r="X2573" s="1"/>
      <c r="Y2573" s="1"/>
      <c r="Z2573" s="1"/>
    </row>
    <row r="2574" spans="4:26" x14ac:dyDescent="0.25">
      <c r="D2574" s="16"/>
      <c r="Q2574" s="16"/>
      <c r="T2574" s="1"/>
      <c r="X2574" s="1"/>
      <c r="Y2574" s="1"/>
      <c r="Z2574" s="1"/>
    </row>
    <row r="2575" spans="4:26" x14ac:dyDescent="0.25">
      <c r="D2575" s="16"/>
      <c r="Q2575" s="16"/>
      <c r="T2575" s="1"/>
      <c r="X2575" s="1"/>
      <c r="Y2575" s="1"/>
      <c r="Z2575" s="1"/>
    </row>
    <row r="2576" spans="4:26" x14ac:dyDescent="0.25">
      <c r="D2576" s="16"/>
      <c r="Q2576" s="16"/>
      <c r="T2576" s="1"/>
      <c r="X2576" s="1"/>
      <c r="Y2576" s="1"/>
      <c r="Z2576" s="1"/>
    </row>
    <row r="2577" spans="4:26" x14ac:dyDescent="0.25">
      <c r="D2577" s="17"/>
      <c r="Q2577" s="16"/>
      <c r="T2577" s="1"/>
      <c r="X2577" s="1"/>
      <c r="Y2577" s="1"/>
      <c r="Z2577" s="1"/>
    </row>
    <row r="2579" spans="4:26" x14ac:dyDescent="0.25">
      <c r="D2579" s="16"/>
      <c r="Q2579" s="16"/>
    </row>
    <row r="2580" spans="4:26" x14ac:dyDescent="0.25">
      <c r="D2580" s="16"/>
      <c r="Q2580" s="16"/>
      <c r="T2580" s="1"/>
      <c r="X2580" s="1"/>
      <c r="Y2580" s="1"/>
      <c r="Z2580" s="1"/>
    </row>
    <row r="2581" spans="4:26" x14ac:dyDescent="0.25">
      <c r="D2581" s="17"/>
      <c r="Q2581" s="17"/>
      <c r="T2581" s="1"/>
      <c r="X2581" s="1"/>
      <c r="Y2581" s="1"/>
      <c r="Z2581" s="1"/>
    </row>
    <row r="2582" spans="4:26" x14ac:dyDescent="0.25">
      <c r="D2582" s="16"/>
      <c r="Q2582" s="16"/>
      <c r="T2582" s="1"/>
      <c r="X2582" s="1"/>
      <c r="Y2582" s="1"/>
      <c r="Z2582" s="1"/>
    </row>
    <row r="2583" spans="4:26" x14ac:dyDescent="0.25">
      <c r="D2583" s="16"/>
      <c r="Q2583" s="16"/>
      <c r="T2583" s="1"/>
      <c r="X2583" s="1"/>
      <c r="Y2583" s="1"/>
      <c r="Z2583" s="1"/>
    </row>
    <row r="2585" spans="4:26" x14ac:dyDescent="0.25">
      <c r="D2585" s="16"/>
      <c r="Q2585" s="16"/>
    </row>
    <row r="2586" spans="4:26" x14ac:dyDescent="0.25">
      <c r="D2586" s="16"/>
      <c r="Q2586" s="16"/>
      <c r="T2586" s="1"/>
      <c r="X2586" s="1"/>
      <c r="Y2586" s="1"/>
      <c r="Z2586" s="1"/>
    </row>
    <row r="2587" spans="4:26" x14ac:dyDescent="0.25">
      <c r="D2587" s="17"/>
      <c r="Q2587" s="17"/>
      <c r="T2587" s="1"/>
      <c r="X2587" s="1"/>
      <c r="Y2587" s="1"/>
      <c r="Z2587" s="1"/>
    </row>
    <row r="2588" spans="4:26" x14ac:dyDescent="0.25">
      <c r="D2588" s="16"/>
      <c r="Q2588" s="16"/>
      <c r="T2588" s="1"/>
      <c r="X2588" s="1"/>
      <c r="Y2588" s="1"/>
      <c r="Z2588" s="1"/>
    </row>
    <row r="2589" spans="4:26" x14ac:dyDescent="0.25">
      <c r="D2589" s="16"/>
      <c r="Q2589" s="16"/>
    </row>
    <row r="2591" spans="4:26" x14ac:dyDescent="0.25">
      <c r="D2591" s="16"/>
      <c r="Q2591" s="16"/>
      <c r="T2591" s="1"/>
      <c r="X2591" s="1"/>
      <c r="Y2591" s="1"/>
      <c r="Z2591" s="1"/>
    </row>
    <row r="2592" spans="4:26" x14ac:dyDescent="0.25">
      <c r="D2592" s="16"/>
      <c r="Q2592" s="16"/>
    </row>
    <row r="2594" spans="4:26" x14ac:dyDescent="0.25">
      <c r="D2594" s="17"/>
      <c r="Q2594" s="17"/>
      <c r="T2594" s="1"/>
      <c r="X2594" s="1"/>
      <c r="Y2594" s="1"/>
      <c r="Z2594" s="1"/>
    </row>
    <row r="2595" spans="4:26" x14ac:dyDescent="0.25">
      <c r="D2595" s="16"/>
      <c r="Q2595" s="16"/>
      <c r="T2595" s="1"/>
      <c r="X2595" s="1"/>
      <c r="Y2595" s="1"/>
      <c r="Z2595" s="1"/>
    </row>
    <row r="2596" spans="4:26" x14ac:dyDescent="0.25">
      <c r="D2596" s="17"/>
      <c r="Q2596" s="17"/>
      <c r="T2596" s="1"/>
      <c r="X2596" s="1"/>
      <c r="Y2596" s="1"/>
      <c r="Z2596" s="1"/>
    </row>
    <row r="2598" spans="4:26" x14ac:dyDescent="0.25">
      <c r="D2598" s="16"/>
      <c r="Q2598" s="16"/>
    </row>
    <row r="2599" spans="4:26" x14ac:dyDescent="0.25">
      <c r="D2599" s="17"/>
      <c r="Q2599" s="16"/>
      <c r="T2599" s="1"/>
      <c r="X2599" s="1"/>
      <c r="Y2599" s="1"/>
      <c r="Z2599" s="1"/>
    </row>
    <row r="2601" spans="4:26" x14ac:dyDescent="0.25">
      <c r="D2601" s="16"/>
      <c r="Q2601" s="16"/>
    </row>
    <row r="2602" spans="4:26" x14ac:dyDescent="0.25">
      <c r="D2602" s="16"/>
      <c r="Q2602" s="16"/>
      <c r="T2602" s="1"/>
      <c r="X2602" s="1"/>
      <c r="Y2602" s="1"/>
      <c r="Z2602" s="1"/>
    </row>
    <row r="2603" spans="4:26" x14ac:dyDescent="0.25">
      <c r="D2603" s="16"/>
      <c r="Q2603" s="16"/>
      <c r="T2603" s="1"/>
      <c r="X2603" s="1"/>
      <c r="Y2603" s="1"/>
      <c r="Z2603" s="1"/>
    </row>
    <row r="2605" spans="4:26" x14ac:dyDescent="0.25">
      <c r="D2605" s="16"/>
      <c r="Q2605" s="16"/>
    </row>
    <row r="2606" spans="4:26" x14ac:dyDescent="0.25">
      <c r="D2606" s="16"/>
      <c r="Q2606" s="16"/>
      <c r="T2606" s="1"/>
      <c r="X2606" s="1"/>
      <c r="Y2606" s="1"/>
      <c r="Z2606" s="1"/>
    </row>
    <row r="2607" spans="4:26" x14ac:dyDescent="0.25">
      <c r="D2607" s="16"/>
      <c r="Q2607" s="16"/>
    </row>
    <row r="2608" spans="4:26" x14ac:dyDescent="0.25">
      <c r="D2608" s="16"/>
      <c r="Q2608" s="16"/>
    </row>
    <row r="2609" spans="4:26" x14ac:dyDescent="0.25">
      <c r="D2609" s="16"/>
      <c r="Q2609" s="16"/>
      <c r="T2609" s="1"/>
      <c r="X2609" s="1"/>
      <c r="Y2609" s="1"/>
      <c r="Z2609" s="1"/>
    </row>
    <row r="2610" spans="4:26" x14ac:dyDescent="0.25">
      <c r="D2610" s="16"/>
      <c r="Q2610" s="16"/>
      <c r="T2610" s="1"/>
      <c r="X2610" s="1"/>
      <c r="Y2610" s="1"/>
      <c r="Z2610" s="1"/>
    </row>
    <row r="2611" spans="4:26" x14ac:dyDescent="0.25">
      <c r="D2611" s="16"/>
      <c r="Q2611" s="16"/>
      <c r="T2611" s="1"/>
      <c r="X2611" s="1"/>
      <c r="Y2611" s="1"/>
      <c r="Z2611" s="1"/>
    </row>
    <row r="2612" spans="4:26" x14ac:dyDescent="0.25">
      <c r="D2612" s="17"/>
      <c r="Q2612" s="16"/>
      <c r="T2612" s="1"/>
      <c r="X2612" s="1"/>
      <c r="Y2612" s="1"/>
      <c r="Z2612" s="1"/>
    </row>
    <row r="2613" spans="4:26" x14ac:dyDescent="0.25">
      <c r="D2613" s="16"/>
      <c r="Q2613" s="16"/>
      <c r="T2613" s="1"/>
      <c r="X2613" s="1"/>
      <c r="Y2613" s="1"/>
      <c r="Z2613" s="1"/>
    </row>
    <row r="2614" spans="4:26" x14ac:dyDescent="0.25">
      <c r="D2614" s="17"/>
      <c r="Q2614" s="17"/>
      <c r="T2614" s="1"/>
      <c r="X2614" s="1"/>
      <c r="Y2614" s="1"/>
      <c r="Z2614" s="1"/>
    </row>
    <row r="2615" spans="4:26" x14ac:dyDescent="0.25">
      <c r="D2615" s="17"/>
      <c r="Q2615" s="17"/>
      <c r="T2615" s="1"/>
      <c r="X2615" s="1"/>
      <c r="Y2615" s="1"/>
      <c r="Z2615" s="1"/>
    </row>
    <row r="2616" spans="4:26" x14ac:dyDescent="0.25">
      <c r="D2616" s="16"/>
      <c r="Q2616" s="16"/>
    </row>
    <row r="2617" spans="4:26" x14ac:dyDescent="0.25">
      <c r="D2617" s="16"/>
      <c r="Q2617" s="16"/>
    </row>
    <row r="2618" spans="4:26" x14ac:dyDescent="0.25">
      <c r="D2618" s="17"/>
      <c r="Q2618" s="17"/>
      <c r="T2618" s="1"/>
      <c r="X2618" s="1"/>
      <c r="Y2618" s="1"/>
      <c r="Z2618" s="1"/>
    </row>
    <row r="2619" spans="4:26" x14ac:dyDescent="0.25">
      <c r="D2619" s="16"/>
      <c r="Q2619" s="16"/>
    </row>
    <row r="2620" spans="4:26" x14ac:dyDescent="0.25">
      <c r="D2620" s="16"/>
      <c r="Q2620" s="16"/>
    </row>
    <row r="2621" spans="4:26" x14ac:dyDescent="0.25">
      <c r="D2621" s="17"/>
      <c r="Q2621" s="17"/>
      <c r="T2621" s="1"/>
      <c r="X2621" s="1"/>
      <c r="Y2621" s="1"/>
      <c r="Z2621" s="1"/>
    </row>
    <row r="2622" spans="4:26" x14ac:dyDescent="0.25">
      <c r="D2622" s="16"/>
      <c r="Q2622" s="16"/>
    </row>
    <row r="2623" spans="4:26" x14ac:dyDescent="0.25">
      <c r="D2623" s="16"/>
      <c r="Q2623" s="16"/>
    </row>
    <row r="2624" spans="4:26" x14ac:dyDescent="0.25">
      <c r="D2624" s="17"/>
      <c r="Q2624" s="17"/>
      <c r="T2624" s="1"/>
      <c r="X2624" s="1"/>
      <c r="Y2624" s="1"/>
      <c r="Z2624" s="1"/>
    </row>
    <row r="2625" spans="4:26" x14ac:dyDescent="0.25">
      <c r="D2625" s="16"/>
      <c r="Q2625" s="16"/>
    </row>
    <row r="2626" spans="4:26" x14ac:dyDescent="0.25">
      <c r="D2626" s="16"/>
      <c r="Q2626" s="16"/>
    </row>
    <row r="2627" spans="4:26" x14ac:dyDescent="0.25">
      <c r="D2627" s="17"/>
      <c r="Q2627" s="17"/>
      <c r="T2627" s="1"/>
      <c r="X2627" s="1"/>
      <c r="Y2627" s="1"/>
      <c r="Z2627" s="1"/>
    </row>
    <row r="2628" spans="4:26" x14ac:dyDescent="0.25">
      <c r="D2628" s="16"/>
      <c r="Q2628" s="16"/>
    </row>
    <row r="2629" spans="4:26" x14ac:dyDescent="0.25">
      <c r="D2629" s="16"/>
      <c r="Q2629" s="16"/>
    </row>
    <row r="2630" spans="4:26" x14ac:dyDescent="0.25">
      <c r="D2630" s="17"/>
      <c r="Q2630" s="16"/>
      <c r="T2630" s="1"/>
      <c r="X2630" s="1"/>
      <c r="Y2630" s="1"/>
      <c r="Z2630" s="1"/>
    </row>
    <row r="2631" spans="4:26" x14ac:dyDescent="0.25">
      <c r="D2631" s="17"/>
      <c r="Q2631" s="17"/>
      <c r="T2631" s="1"/>
      <c r="X2631" s="1"/>
      <c r="Y2631" s="1"/>
      <c r="Z2631" s="1"/>
    </row>
    <row r="2632" spans="4:26" x14ac:dyDescent="0.25">
      <c r="D2632" s="16"/>
      <c r="Q2632" s="16"/>
    </row>
    <row r="2633" spans="4:26" x14ac:dyDescent="0.25">
      <c r="D2633" s="16"/>
      <c r="Q2633" s="16"/>
    </row>
    <row r="2634" spans="4:26" x14ac:dyDescent="0.25">
      <c r="D2634" s="17"/>
      <c r="Q2634" s="16"/>
      <c r="T2634" s="1"/>
      <c r="X2634" s="1"/>
      <c r="Y2634" s="1"/>
      <c r="Z2634" s="1"/>
    </row>
    <row r="2635" spans="4:26" x14ac:dyDescent="0.25">
      <c r="D2635" s="16"/>
      <c r="Q2635" s="16"/>
      <c r="T2635" s="1"/>
      <c r="X2635" s="1"/>
      <c r="Y2635" s="1"/>
      <c r="Z2635" s="1"/>
    </row>
    <row r="2637" spans="4:26" x14ac:dyDescent="0.25">
      <c r="D2637" s="16"/>
      <c r="Q2637" s="16"/>
    </row>
    <row r="2638" spans="4:26" x14ac:dyDescent="0.25">
      <c r="D2638" s="16"/>
      <c r="Q2638" s="16"/>
      <c r="T2638" s="1"/>
      <c r="X2638" s="1"/>
      <c r="Y2638" s="1"/>
      <c r="Z2638" s="1"/>
    </row>
    <row r="2639" spans="4:26" x14ac:dyDescent="0.25">
      <c r="Q2639" s="16"/>
    </row>
    <row r="2641" spans="4:26" x14ac:dyDescent="0.25">
      <c r="D2641" s="16"/>
      <c r="Q2641" s="16"/>
      <c r="T2641" s="1"/>
      <c r="X2641" s="1"/>
      <c r="Y2641" s="1"/>
      <c r="Z2641" s="1"/>
    </row>
    <row r="2642" spans="4:26" x14ac:dyDescent="0.25">
      <c r="D2642" s="16"/>
      <c r="Q2642" s="16"/>
    </row>
    <row r="2643" spans="4:26" x14ac:dyDescent="0.25">
      <c r="Q2643" s="16"/>
    </row>
    <row r="2644" spans="4:26" x14ac:dyDescent="0.25">
      <c r="D2644" s="16"/>
      <c r="Q2644" s="16"/>
      <c r="T2644" s="1"/>
      <c r="X2644" s="1"/>
      <c r="Y2644" s="1"/>
      <c r="Z2644" s="1"/>
    </row>
    <row r="2646" spans="4:26" x14ac:dyDescent="0.25">
      <c r="D2646" s="16"/>
      <c r="Q2646" s="16"/>
    </row>
    <row r="2647" spans="4:26" x14ac:dyDescent="0.25">
      <c r="D2647" s="16"/>
      <c r="Q2647" s="16"/>
      <c r="T2647" s="1"/>
      <c r="X2647" s="1"/>
      <c r="Y2647" s="1"/>
      <c r="Z2647" s="1"/>
    </row>
    <row r="2649" spans="4:26" x14ac:dyDescent="0.25">
      <c r="D2649" s="16"/>
      <c r="Q2649" s="16"/>
    </row>
    <row r="2650" spans="4:26" x14ac:dyDescent="0.25">
      <c r="D2650" s="16"/>
      <c r="Q2650" s="16"/>
      <c r="T2650" s="1"/>
      <c r="X2650" s="1"/>
      <c r="Y2650" s="1"/>
      <c r="Z2650" s="1"/>
    </row>
    <row r="2651" spans="4:26" x14ac:dyDescent="0.25">
      <c r="D2651" s="17"/>
      <c r="Q2651" s="17"/>
      <c r="T2651" s="1"/>
      <c r="X2651" s="1"/>
      <c r="Y2651" s="1"/>
      <c r="Z2651" s="1"/>
    </row>
    <row r="2652" spans="4:26" x14ac:dyDescent="0.25">
      <c r="D2652" s="16"/>
      <c r="Q2652" s="16"/>
    </row>
    <row r="2653" spans="4:26" x14ac:dyDescent="0.25">
      <c r="D2653" s="16"/>
      <c r="Q2653" s="16"/>
    </row>
    <row r="2654" spans="4:26" x14ac:dyDescent="0.25">
      <c r="D2654" s="17"/>
      <c r="Q2654" s="17"/>
      <c r="T2654" s="1"/>
      <c r="X2654" s="1"/>
      <c r="Y2654" s="1"/>
      <c r="Z2654" s="1"/>
    </row>
    <row r="2655" spans="4:26" x14ac:dyDescent="0.25">
      <c r="D2655" s="16"/>
      <c r="Q2655" s="16"/>
      <c r="T2655" s="1"/>
      <c r="X2655" s="1"/>
      <c r="Y2655" s="1"/>
      <c r="Z2655" s="1"/>
    </row>
    <row r="2656" spans="4:26" x14ac:dyDescent="0.25">
      <c r="D2656" s="16"/>
      <c r="Q2656" s="16"/>
    </row>
    <row r="2658" spans="4:26" x14ac:dyDescent="0.25">
      <c r="D2658" s="16"/>
      <c r="Q2658" s="16"/>
      <c r="T2658" s="1"/>
      <c r="X2658" s="1"/>
      <c r="Y2658" s="1"/>
      <c r="Z2658" s="1"/>
    </row>
    <row r="2659" spans="4:26" x14ac:dyDescent="0.25">
      <c r="D2659" s="16"/>
      <c r="Q2659" s="16"/>
    </row>
    <row r="2661" spans="4:26" x14ac:dyDescent="0.25">
      <c r="D2661" s="16"/>
      <c r="Q2661" s="16"/>
      <c r="T2661" s="1"/>
      <c r="X2661" s="1"/>
      <c r="Y2661" s="1"/>
      <c r="Z2661" s="1"/>
    </row>
    <row r="2662" spans="4:26" x14ac:dyDescent="0.25">
      <c r="D2662" s="16"/>
      <c r="Q2662" s="16"/>
      <c r="T2662" s="1"/>
      <c r="X2662" s="1"/>
      <c r="Y2662" s="1"/>
      <c r="Z2662" s="1"/>
    </row>
    <row r="2664" spans="4:26" x14ac:dyDescent="0.25">
      <c r="D2664" s="16"/>
      <c r="Q2664" s="16"/>
    </row>
    <row r="2665" spans="4:26" x14ac:dyDescent="0.25">
      <c r="D2665" s="16"/>
      <c r="Q2665" s="16"/>
      <c r="T2665" s="1"/>
      <c r="X2665" s="1"/>
      <c r="Y2665" s="1"/>
      <c r="Z2665" s="1"/>
    </row>
    <row r="2668" spans="4:26" x14ac:dyDescent="0.25">
      <c r="D2668" s="16"/>
      <c r="Q2668" s="16"/>
      <c r="T2668" s="1"/>
      <c r="X2668" s="1"/>
      <c r="Y2668" s="1"/>
      <c r="Z2668" s="1"/>
    </row>
    <row r="2669" spans="4:26" x14ac:dyDescent="0.25">
      <c r="D2669" s="17"/>
      <c r="Q2669" s="16"/>
      <c r="T2669" s="1"/>
      <c r="X2669" s="1"/>
      <c r="Y2669" s="1"/>
      <c r="Z2669" s="1"/>
    </row>
    <row r="2671" spans="4:26" x14ac:dyDescent="0.25">
      <c r="D2671" s="16"/>
      <c r="Q2671" s="16"/>
    </row>
    <row r="2672" spans="4:26" x14ac:dyDescent="0.25">
      <c r="D2672" s="16"/>
      <c r="Q2672" s="16"/>
      <c r="T2672" s="1"/>
      <c r="X2672" s="1"/>
      <c r="Y2672" s="1"/>
      <c r="Z2672" s="1"/>
    </row>
    <row r="2673" spans="4:26" x14ac:dyDescent="0.25">
      <c r="D2673" s="17"/>
      <c r="Q2673" s="16"/>
      <c r="T2673" s="1"/>
      <c r="X2673" s="1"/>
      <c r="Y2673" s="1"/>
      <c r="Z2673" s="1"/>
    </row>
    <row r="2674" spans="4:26" x14ac:dyDescent="0.25">
      <c r="D2674" s="16"/>
      <c r="Q2674" s="16"/>
      <c r="T2674" s="1"/>
      <c r="X2674" s="1"/>
      <c r="Y2674" s="1"/>
      <c r="Z2674" s="1"/>
    </row>
    <row r="2677" spans="4:26" x14ac:dyDescent="0.25">
      <c r="D2677" s="16"/>
      <c r="Q2677" s="16"/>
      <c r="T2677" s="1"/>
      <c r="X2677" s="1"/>
      <c r="Y2677" s="1"/>
      <c r="Z2677" s="1"/>
    </row>
    <row r="2678" spans="4:26" x14ac:dyDescent="0.25">
      <c r="D2678" s="17"/>
      <c r="Q2678" s="17"/>
      <c r="T2678" s="1"/>
      <c r="X2678" s="1"/>
      <c r="Y2678" s="1"/>
      <c r="Z2678" s="1"/>
    </row>
    <row r="2679" spans="4:26" x14ac:dyDescent="0.25">
      <c r="D2679" s="17"/>
      <c r="Q2679" s="17"/>
      <c r="T2679" s="1"/>
      <c r="X2679" s="1"/>
      <c r="Y2679" s="1"/>
      <c r="Z2679" s="1"/>
    </row>
    <row r="2680" spans="4:26" x14ac:dyDescent="0.25">
      <c r="D2680" s="16"/>
      <c r="Q2680" s="16"/>
      <c r="T2680" s="1"/>
      <c r="X2680" s="1"/>
      <c r="Y2680" s="1"/>
      <c r="Z2680" s="1"/>
    </row>
    <row r="2683" spans="4:26" x14ac:dyDescent="0.25">
      <c r="D2683" s="16"/>
      <c r="Q2683" s="16"/>
      <c r="T2683" s="1"/>
      <c r="X2683" s="1"/>
      <c r="Y2683" s="1"/>
      <c r="Z2683" s="1"/>
    </row>
    <row r="2684" spans="4:26" x14ac:dyDescent="0.25">
      <c r="D2684" s="16"/>
      <c r="Q2684" s="16"/>
      <c r="T2684" s="1"/>
      <c r="X2684" s="1"/>
      <c r="Y2684" s="1"/>
      <c r="Z2684" s="1"/>
    </row>
    <row r="2685" spans="4:26" x14ac:dyDescent="0.25">
      <c r="D2685" s="16"/>
      <c r="Q2685" s="16"/>
      <c r="T2685" s="1"/>
      <c r="X2685" s="1"/>
      <c r="Y2685" s="1"/>
      <c r="Z2685" s="1"/>
    </row>
    <row r="2686" spans="4:26" x14ac:dyDescent="0.25">
      <c r="D2686" s="16"/>
      <c r="Q2686" s="16"/>
    </row>
    <row r="2688" spans="4:26" x14ac:dyDescent="0.25">
      <c r="D2688" s="17"/>
      <c r="Q2688" s="17"/>
      <c r="T2688" s="1"/>
      <c r="X2688" s="1"/>
      <c r="Y2688" s="1"/>
      <c r="Z2688" s="1"/>
    </row>
    <row r="2689" spans="4:26" x14ac:dyDescent="0.25">
      <c r="D2689" s="16"/>
      <c r="Q2689" s="16"/>
      <c r="T2689" s="1"/>
      <c r="X2689" s="1"/>
      <c r="Y2689" s="1"/>
      <c r="Z2689" s="1"/>
    </row>
    <row r="2690" spans="4:26" x14ac:dyDescent="0.25">
      <c r="D2690" s="17"/>
      <c r="Q2690" s="16"/>
      <c r="T2690" s="1"/>
      <c r="X2690" s="1"/>
      <c r="Y2690" s="1"/>
      <c r="Z2690" s="1"/>
    </row>
    <row r="2691" spans="4:26" x14ac:dyDescent="0.25">
      <c r="D2691" s="17"/>
      <c r="Q2691" s="16"/>
      <c r="T2691" s="1"/>
      <c r="X2691" s="1"/>
      <c r="Y2691" s="1"/>
      <c r="Z2691" s="1"/>
    </row>
    <row r="2692" spans="4:26" x14ac:dyDescent="0.25">
      <c r="D2692" s="16"/>
      <c r="Q2692" s="16"/>
    </row>
    <row r="2694" spans="4:26" x14ac:dyDescent="0.25">
      <c r="D2694" s="17"/>
      <c r="Q2694" s="17"/>
      <c r="T2694" s="1"/>
      <c r="X2694" s="1"/>
      <c r="Y2694" s="1"/>
      <c r="Z2694" s="1"/>
    </row>
    <row r="2695" spans="4:26" x14ac:dyDescent="0.25">
      <c r="D2695" s="16"/>
      <c r="Q2695" s="16"/>
    </row>
    <row r="2696" spans="4:26" x14ac:dyDescent="0.25">
      <c r="D2696" s="16"/>
      <c r="Q2696" s="16"/>
    </row>
    <row r="2697" spans="4:26" x14ac:dyDescent="0.25">
      <c r="D2697" s="16"/>
      <c r="Q2697" s="16"/>
      <c r="T2697" s="1"/>
      <c r="X2697" s="1"/>
      <c r="Y2697" s="1"/>
      <c r="Z2697" s="1"/>
    </row>
    <row r="2699" spans="4:26" x14ac:dyDescent="0.25">
      <c r="D2699" s="16"/>
      <c r="Q2699" s="16"/>
    </row>
    <row r="2700" spans="4:26" x14ac:dyDescent="0.25">
      <c r="D2700" s="16"/>
      <c r="Q2700" s="16"/>
      <c r="T2700" s="1"/>
      <c r="X2700" s="1"/>
      <c r="Y2700" s="1"/>
      <c r="Z2700" s="1"/>
    </row>
    <row r="2703" spans="4:26" x14ac:dyDescent="0.25">
      <c r="D2703" s="16"/>
      <c r="Q2703" s="16"/>
      <c r="T2703" s="1"/>
      <c r="X2703" s="1"/>
      <c r="Y2703" s="1"/>
      <c r="Z2703" s="1"/>
    </row>
    <row r="2706" spans="4:26" x14ac:dyDescent="0.25">
      <c r="D2706" s="16"/>
      <c r="Q2706" s="16"/>
      <c r="T2706" s="1"/>
      <c r="X2706" s="1"/>
      <c r="Y2706" s="1"/>
      <c r="Z2706" s="1"/>
    </row>
    <row r="2709" spans="4:26" x14ac:dyDescent="0.25">
      <c r="D2709" s="16"/>
      <c r="Q2709" s="16"/>
      <c r="T2709" s="1"/>
      <c r="X2709" s="1"/>
      <c r="Y2709" s="1"/>
      <c r="Z2709" s="1"/>
    </row>
    <row r="2712" spans="4:26" x14ac:dyDescent="0.25">
      <c r="D2712" s="16"/>
      <c r="Q2712" s="16"/>
      <c r="T2712" s="1"/>
      <c r="X2712" s="1"/>
      <c r="Y2712" s="1"/>
      <c r="Z2712" s="1"/>
    </row>
    <row r="2713" spans="4:26" x14ac:dyDescent="0.25">
      <c r="Q2713" s="16"/>
    </row>
    <row r="2715" spans="4:26" x14ac:dyDescent="0.25">
      <c r="D2715" s="16"/>
      <c r="Q2715" s="16"/>
      <c r="T2715" s="1"/>
      <c r="X2715" s="1"/>
      <c r="Y2715" s="1"/>
      <c r="Z2715" s="1"/>
    </row>
    <row r="2716" spans="4:26" x14ac:dyDescent="0.25">
      <c r="D2716" s="16"/>
      <c r="Q2716" s="16"/>
      <c r="T2716" s="1"/>
      <c r="X2716" s="1"/>
      <c r="Y2716" s="1"/>
      <c r="Z2716" s="1"/>
    </row>
    <row r="2717" spans="4:26" x14ac:dyDescent="0.25">
      <c r="D2717" s="17"/>
      <c r="Q2717" s="17"/>
      <c r="T2717" s="1"/>
      <c r="X2717" s="1"/>
      <c r="Y2717" s="1"/>
      <c r="Z2717" s="1"/>
    </row>
    <row r="2718" spans="4:26" x14ac:dyDescent="0.25">
      <c r="D2718" s="16"/>
      <c r="Q2718" s="16"/>
      <c r="T2718" s="1"/>
      <c r="X2718" s="1"/>
      <c r="Y2718" s="1"/>
      <c r="Z2718" s="1"/>
    </row>
    <row r="2719" spans="4:26" x14ac:dyDescent="0.25">
      <c r="D2719" s="16"/>
      <c r="Q2719" s="16"/>
    </row>
    <row r="2721" spans="4:26" x14ac:dyDescent="0.25">
      <c r="D2721" s="16"/>
      <c r="Q2721" s="16"/>
      <c r="T2721" s="1"/>
      <c r="X2721" s="1"/>
      <c r="Y2721" s="1"/>
      <c r="Z2721" s="1"/>
    </row>
    <row r="2722" spans="4:26" x14ac:dyDescent="0.25">
      <c r="D2722" s="16"/>
      <c r="Q2722" s="16"/>
      <c r="T2722" s="1"/>
      <c r="X2722" s="1"/>
      <c r="Y2722" s="1"/>
      <c r="Z2722" s="1"/>
    </row>
    <row r="2724" spans="4:26" x14ac:dyDescent="0.25">
      <c r="D2724" s="16"/>
      <c r="Q2724" s="16"/>
    </row>
    <row r="2725" spans="4:26" x14ac:dyDescent="0.25">
      <c r="D2725" s="16"/>
      <c r="Q2725" s="16"/>
      <c r="T2725" s="1"/>
      <c r="X2725" s="1"/>
      <c r="Y2725" s="1"/>
      <c r="Z2725" s="1"/>
    </row>
    <row r="2726" spans="4:26" x14ac:dyDescent="0.25">
      <c r="Q2726" s="16"/>
    </row>
    <row r="2727" spans="4:26" x14ac:dyDescent="0.25">
      <c r="D2727" s="16"/>
      <c r="Q2727" s="16"/>
    </row>
    <row r="2728" spans="4:26" x14ac:dyDescent="0.25">
      <c r="D2728" s="17"/>
      <c r="Q2728" s="17"/>
      <c r="T2728" s="1"/>
      <c r="X2728" s="1"/>
      <c r="Y2728" s="1"/>
      <c r="Z2728" s="1"/>
    </row>
    <row r="2730" spans="4:26" x14ac:dyDescent="0.25">
      <c r="D2730" s="16"/>
      <c r="Q2730" s="16"/>
    </row>
    <row r="2731" spans="4:26" x14ac:dyDescent="0.25">
      <c r="D2731" s="17"/>
      <c r="Q2731" s="16"/>
      <c r="T2731" s="1"/>
      <c r="X2731" s="1"/>
      <c r="Y2731" s="1"/>
      <c r="Z2731" s="1"/>
    </row>
    <row r="2732" spans="4:26" x14ac:dyDescent="0.25">
      <c r="D2732" s="17"/>
      <c r="Q2732" s="16"/>
      <c r="T2732" s="1"/>
      <c r="X2732" s="1"/>
      <c r="Y2732" s="1"/>
      <c r="Z2732" s="1"/>
    </row>
    <row r="2733" spans="4:26" x14ac:dyDescent="0.25">
      <c r="D2733" s="16"/>
      <c r="Q2733" s="16"/>
      <c r="T2733" s="1"/>
      <c r="X2733" s="1"/>
      <c r="Y2733" s="1"/>
      <c r="Z2733" s="1"/>
    </row>
    <row r="2736" spans="4:26" x14ac:dyDescent="0.25">
      <c r="D2736" s="16"/>
      <c r="Q2736" s="16"/>
      <c r="T2736" s="1"/>
      <c r="X2736" s="1"/>
      <c r="Y2736" s="1"/>
      <c r="Z2736" s="1"/>
    </row>
    <row r="2737" spans="4:26" x14ac:dyDescent="0.25">
      <c r="D2737" s="17"/>
      <c r="Q2737" s="16"/>
      <c r="T2737" s="1"/>
      <c r="X2737" s="1"/>
      <c r="Y2737" s="1"/>
      <c r="Z2737" s="1"/>
    </row>
    <row r="2738" spans="4:26" x14ac:dyDescent="0.25">
      <c r="D2738" s="17"/>
      <c r="Q2738" s="16"/>
      <c r="T2738" s="1"/>
      <c r="X2738" s="1"/>
      <c r="Y2738" s="1"/>
      <c r="Z2738" s="1"/>
    </row>
    <row r="2739" spans="4:26" x14ac:dyDescent="0.25">
      <c r="D2739" s="16"/>
      <c r="Q2739" s="16"/>
      <c r="T2739" s="1"/>
      <c r="X2739" s="1"/>
      <c r="Y2739" s="1"/>
      <c r="Z2739" s="1"/>
    </row>
    <row r="2742" spans="4:26" x14ac:dyDescent="0.25">
      <c r="D2742" s="16"/>
      <c r="Q2742" s="16"/>
      <c r="T2742" s="1"/>
      <c r="X2742" s="1"/>
      <c r="Y2742" s="1"/>
      <c r="Z2742" s="1"/>
    </row>
    <row r="2743" spans="4:26" x14ac:dyDescent="0.25">
      <c r="D2743" s="17"/>
      <c r="Q2743" s="16"/>
      <c r="T2743" s="1"/>
      <c r="X2743" s="1"/>
      <c r="Y2743" s="1"/>
      <c r="Z2743" s="1"/>
    </row>
    <row r="2744" spans="4:26" x14ac:dyDescent="0.25">
      <c r="D2744" s="17"/>
      <c r="Q2744" s="16"/>
      <c r="T2744" s="1"/>
      <c r="X2744" s="1"/>
      <c r="Y2744" s="1"/>
      <c r="Z2744" s="1"/>
    </row>
    <row r="2745" spans="4:26" x14ac:dyDescent="0.25">
      <c r="D2745" s="16"/>
      <c r="Q2745" s="16"/>
      <c r="T2745" s="1"/>
      <c r="X2745" s="1"/>
      <c r="Y2745" s="1"/>
      <c r="Z2745" s="1"/>
    </row>
    <row r="2746" spans="4:26" x14ac:dyDescent="0.25">
      <c r="D2746" s="17"/>
      <c r="Q2746" s="16"/>
      <c r="T2746" s="1"/>
      <c r="X2746" s="1"/>
      <c r="Y2746" s="1"/>
      <c r="Z2746" s="1"/>
    </row>
    <row r="2747" spans="4:26" x14ac:dyDescent="0.25">
      <c r="D2747" s="17"/>
      <c r="Q2747" s="17"/>
      <c r="T2747" s="1"/>
      <c r="X2747" s="1"/>
      <c r="Y2747" s="1"/>
      <c r="Z2747" s="1"/>
    </row>
    <row r="2748" spans="4:26" x14ac:dyDescent="0.25">
      <c r="D2748" s="16"/>
      <c r="Q2748" s="16"/>
    </row>
    <row r="2749" spans="4:26" x14ac:dyDescent="0.25">
      <c r="D2749" s="16"/>
      <c r="Q2749" s="16"/>
    </row>
    <row r="2750" spans="4:26" x14ac:dyDescent="0.25">
      <c r="D2750" s="17"/>
      <c r="Q2750" s="17"/>
      <c r="T2750" s="1"/>
      <c r="X2750" s="1"/>
      <c r="Y2750" s="1"/>
      <c r="Z2750" s="1"/>
    </row>
    <row r="2751" spans="4:26" x14ac:dyDescent="0.25">
      <c r="D2751" s="16"/>
      <c r="Q2751" s="16"/>
    </row>
    <row r="2752" spans="4:26" x14ac:dyDescent="0.25">
      <c r="D2752" s="16"/>
      <c r="Q2752" s="16"/>
    </row>
    <row r="2753" spans="4:26" x14ac:dyDescent="0.25">
      <c r="D2753" s="17"/>
      <c r="Q2753" s="17"/>
      <c r="T2753" s="1"/>
      <c r="X2753" s="1"/>
      <c r="Y2753" s="1"/>
      <c r="Z2753" s="1"/>
    </row>
    <row r="2754" spans="4:26" x14ac:dyDescent="0.25">
      <c r="D2754" s="16"/>
      <c r="Q2754" s="16"/>
    </row>
    <row r="2755" spans="4:26" x14ac:dyDescent="0.25">
      <c r="D2755" s="16"/>
      <c r="Q2755" s="16"/>
    </row>
    <row r="2756" spans="4:26" x14ac:dyDescent="0.25">
      <c r="D2756" s="17"/>
      <c r="Q2756" s="17"/>
      <c r="T2756" s="1"/>
      <c r="X2756" s="1"/>
      <c r="Y2756" s="1"/>
      <c r="Z2756" s="1"/>
    </row>
    <row r="2757" spans="4:26" x14ac:dyDescent="0.25">
      <c r="D2757" s="16"/>
      <c r="Q2757" s="16"/>
    </row>
    <row r="2758" spans="4:26" x14ac:dyDescent="0.25">
      <c r="D2758" s="16"/>
      <c r="Q2758" s="16"/>
    </row>
    <row r="2759" spans="4:26" x14ac:dyDescent="0.25">
      <c r="D2759" s="17"/>
      <c r="Q2759" s="17"/>
      <c r="T2759" s="1"/>
      <c r="X2759" s="1"/>
      <c r="Y2759" s="1"/>
      <c r="Z2759" s="1"/>
    </row>
    <row r="2760" spans="4:26" x14ac:dyDescent="0.25">
      <c r="D2760" s="16"/>
      <c r="Q2760" s="16"/>
    </row>
    <row r="2761" spans="4:26" x14ac:dyDescent="0.25">
      <c r="D2761" s="16"/>
      <c r="Q2761" s="16"/>
    </row>
    <row r="2762" spans="4:26" x14ac:dyDescent="0.25">
      <c r="D2762" s="17"/>
      <c r="Q2762" s="16"/>
      <c r="T2762" s="1"/>
      <c r="X2762" s="1"/>
      <c r="Y2762" s="1"/>
      <c r="Z2762" s="1"/>
    </row>
    <row r="2763" spans="4:26" x14ac:dyDescent="0.25">
      <c r="D2763" s="16"/>
      <c r="Q2763" s="16"/>
    </row>
    <row r="2765" spans="4:26" x14ac:dyDescent="0.25">
      <c r="D2765" s="16"/>
      <c r="Q2765" s="16"/>
      <c r="T2765" s="1"/>
      <c r="X2765" s="1"/>
      <c r="Y2765" s="1"/>
      <c r="Z2765" s="1"/>
    </row>
    <row r="2766" spans="4:26" x14ac:dyDescent="0.25">
      <c r="D2766" s="16"/>
      <c r="Q2766" s="16"/>
    </row>
    <row r="2768" spans="4:26" x14ac:dyDescent="0.25">
      <c r="D2768" s="17"/>
      <c r="Q2768" s="17"/>
      <c r="T2768" s="1"/>
      <c r="X2768" s="1"/>
      <c r="Y2768" s="1"/>
      <c r="Z2768" s="1"/>
    </row>
    <row r="2769" spans="4:26" x14ac:dyDescent="0.25">
      <c r="D2769" s="16"/>
      <c r="Q2769" s="16"/>
    </row>
    <row r="2771" spans="4:26" x14ac:dyDescent="0.25">
      <c r="D2771" s="17"/>
      <c r="Q2771" s="17"/>
      <c r="T2771" s="1"/>
      <c r="X2771" s="1"/>
      <c r="Y2771" s="1"/>
      <c r="Z2771" s="1"/>
    </row>
    <row r="2772" spans="4:26" x14ac:dyDescent="0.25">
      <c r="D2772" s="16"/>
      <c r="Q2772" s="16"/>
    </row>
    <row r="2774" spans="4:26" x14ac:dyDescent="0.25">
      <c r="D2774" s="17"/>
      <c r="Q2774" s="17"/>
      <c r="T2774" s="1"/>
      <c r="X2774" s="1"/>
      <c r="Y2774" s="1"/>
      <c r="Z2774" s="1"/>
    </row>
    <row r="2775" spans="4:26" x14ac:dyDescent="0.25">
      <c r="D2775" s="16"/>
      <c r="Q2775" s="16"/>
    </row>
    <row r="2777" spans="4:26" x14ac:dyDescent="0.25">
      <c r="D2777" s="17"/>
      <c r="Q2777" s="17"/>
      <c r="T2777" s="1"/>
      <c r="X2777" s="1"/>
      <c r="Y2777" s="1"/>
      <c r="Z2777" s="1"/>
    </row>
    <row r="2778" spans="4:26" x14ac:dyDescent="0.25">
      <c r="D2778" s="16"/>
      <c r="Q2778" s="16"/>
    </row>
    <row r="2780" spans="4:26" x14ac:dyDescent="0.25">
      <c r="D2780" s="17"/>
      <c r="Q2780" s="17"/>
      <c r="T2780" s="1"/>
      <c r="X2780" s="1"/>
      <c r="Y2780" s="1"/>
      <c r="Z2780" s="1"/>
    </row>
    <row r="2781" spans="4:26" x14ac:dyDescent="0.25">
      <c r="D2781" s="16"/>
      <c r="Q2781" s="16"/>
    </row>
    <row r="2783" spans="4:26" x14ac:dyDescent="0.25">
      <c r="D2783" s="17"/>
      <c r="Q2783" s="17"/>
      <c r="T2783" s="1"/>
      <c r="X2783" s="1"/>
      <c r="Y2783" s="1"/>
      <c r="Z2783" s="1"/>
    </row>
    <row r="2784" spans="4:26" x14ac:dyDescent="0.25">
      <c r="D2784" s="16"/>
      <c r="Q2784" s="16"/>
    </row>
    <row r="2786" spans="4:26" x14ac:dyDescent="0.25">
      <c r="D2786" s="17"/>
      <c r="Q2786" s="17"/>
      <c r="T2786" s="1"/>
      <c r="X2786" s="1"/>
      <c r="Y2786" s="1"/>
      <c r="Z2786" s="1"/>
    </row>
    <row r="2787" spans="4:26" x14ac:dyDescent="0.25">
      <c r="D2787" s="16"/>
      <c r="Q2787" s="16"/>
    </row>
    <row r="2789" spans="4:26" x14ac:dyDescent="0.25">
      <c r="D2789" s="17"/>
      <c r="Q2789" s="17"/>
      <c r="T2789" s="1"/>
      <c r="X2789" s="1"/>
      <c r="Y2789" s="1"/>
      <c r="Z2789" s="1"/>
    </row>
    <row r="2790" spans="4:26" x14ac:dyDescent="0.25">
      <c r="D2790" s="16"/>
      <c r="Q2790" s="16"/>
    </row>
    <row r="2792" spans="4:26" x14ac:dyDescent="0.25">
      <c r="D2792" s="17"/>
      <c r="Q2792" s="17"/>
      <c r="T2792" s="1"/>
      <c r="X2792" s="1"/>
      <c r="Y2792" s="1"/>
      <c r="Z2792" s="1"/>
    </row>
    <row r="2793" spans="4:26" x14ac:dyDescent="0.25">
      <c r="D2793" s="16"/>
      <c r="Q2793" s="16"/>
    </row>
    <row r="2795" spans="4:26" x14ac:dyDescent="0.25">
      <c r="D2795" s="17"/>
      <c r="Q2795" s="17"/>
      <c r="T2795" s="1"/>
      <c r="X2795" s="1"/>
      <c r="Y2795" s="1"/>
      <c r="Z2795" s="1"/>
    </row>
    <row r="2796" spans="4:26" x14ac:dyDescent="0.25">
      <c r="D2796" s="16"/>
      <c r="Q2796" s="16"/>
    </row>
    <row r="2798" spans="4:26" x14ac:dyDescent="0.25">
      <c r="D2798" s="17"/>
      <c r="Q2798" s="17"/>
      <c r="T2798" s="1"/>
      <c r="X2798" s="1"/>
      <c r="Y2798" s="1"/>
      <c r="Z2798" s="1"/>
    </row>
    <row r="2799" spans="4:26" x14ac:dyDescent="0.25">
      <c r="D2799" s="16"/>
      <c r="Q2799" s="16"/>
    </row>
    <row r="2801" spans="4:26" x14ac:dyDescent="0.25">
      <c r="D2801" s="17"/>
      <c r="Q2801" s="17"/>
      <c r="T2801" s="1"/>
      <c r="X2801" s="1"/>
      <c r="Y2801" s="1"/>
      <c r="Z2801" s="1"/>
    </row>
    <row r="2802" spans="4:26" x14ac:dyDescent="0.25">
      <c r="D2802" s="16"/>
      <c r="Q2802" s="16"/>
    </row>
    <row r="2803" spans="4:26" x14ac:dyDescent="0.25">
      <c r="Q2803" s="16"/>
    </row>
    <row r="2804" spans="4:26" x14ac:dyDescent="0.25">
      <c r="D2804" s="17"/>
      <c r="Q2804" s="16"/>
      <c r="T2804" s="1"/>
      <c r="X2804" s="1"/>
      <c r="Y2804" s="1"/>
      <c r="Z2804" s="1"/>
    </row>
    <row r="2805" spans="4:26" x14ac:dyDescent="0.25">
      <c r="D2805" s="16"/>
      <c r="Q2805" s="16"/>
    </row>
    <row r="2807" spans="4:26" x14ac:dyDescent="0.25">
      <c r="D2807" s="16"/>
      <c r="Q2807" s="16"/>
      <c r="T2807" s="1"/>
      <c r="X2807" s="1"/>
      <c r="Y2807" s="1"/>
      <c r="Z2807" s="1"/>
    </row>
    <row r="2808" spans="4:26" x14ac:dyDescent="0.25">
      <c r="D2808" s="16"/>
      <c r="Q2808" s="16"/>
    </row>
    <row r="2810" spans="4:26" x14ac:dyDescent="0.25">
      <c r="D2810" s="17"/>
      <c r="Q2810" s="17"/>
      <c r="T2810" s="1"/>
      <c r="X2810" s="1"/>
      <c r="Y2810" s="1"/>
      <c r="Z2810" s="1"/>
    </row>
    <row r="2811" spans="4:26" x14ac:dyDescent="0.25">
      <c r="D2811" s="16"/>
      <c r="Q2811" s="16"/>
    </row>
    <row r="2812" spans="4:26" x14ac:dyDescent="0.25">
      <c r="Q2812" s="16"/>
    </row>
    <row r="2813" spans="4:26" x14ac:dyDescent="0.25">
      <c r="D2813" s="17"/>
      <c r="Q2813" s="17"/>
      <c r="T2813" s="1"/>
      <c r="X2813" s="1"/>
      <c r="Y2813" s="1"/>
      <c r="Z2813" s="1"/>
    </row>
    <row r="2814" spans="4:26" x14ac:dyDescent="0.25">
      <c r="D2814" s="16"/>
      <c r="Q2814" s="16"/>
    </row>
    <row r="2815" spans="4:26" x14ac:dyDescent="0.25">
      <c r="D2815" s="16"/>
      <c r="Q2815" s="16"/>
    </row>
    <row r="2816" spans="4:26" x14ac:dyDescent="0.25">
      <c r="D2816" s="17"/>
      <c r="Q2816" s="17"/>
      <c r="T2816" s="1"/>
      <c r="X2816" s="1"/>
      <c r="Y2816" s="1"/>
      <c r="Z2816" s="1"/>
    </row>
    <row r="2817" spans="4:26" x14ac:dyDescent="0.25">
      <c r="D2817" s="16"/>
      <c r="Q2817" s="16"/>
    </row>
    <row r="2818" spans="4:26" x14ac:dyDescent="0.25">
      <c r="D2818" s="16"/>
      <c r="Q2818" s="16"/>
    </row>
    <row r="2819" spans="4:26" x14ac:dyDescent="0.25">
      <c r="D2819" s="17"/>
      <c r="Q2819" s="17"/>
      <c r="T2819" s="1"/>
      <c r="X2819" s="1"/>
      <c r="Y2819" s="1"/>
      <c r="Z2819" s="1"/>
    </row>
    <row r="2821" spans="4:26" x14ac:dyDescent="0.25">
      <c r="D2821" s="16"/>
      <c r="Q2821" s="16"/>
    </row>
    <row r="2822" spans="4:26" x14ac:dyDescent="0.25">
      <c r="D2822" s="17"/>
      <c r="Q2822" s="17"/>
      <c r="T2822" s="1"/>
      <c r="X2822" s="1"/>
      <c r="Y2822" s="1"/>
      <c r="Z2822" s="1"/>
    </row>
    <row r="2824" spans="4:26" x14ac:dyDescent="0.25">
      <c r="D2824" s="16"/>
      <c r="Q2824" s="16"/>
    </row>
    <row r="2825" spans="4:26" x14ac:dyDescent="0.25">
      <c r="D2825" s="16"/>
      <c r="Q2825" s="16"/>
      <c r="T2825" s="1"/>
      <c r="X2825" s="1"/>
      <c r="Y2825" s="1"/>
      <c r="Z2825" s="1"/>
    </row>
    <row r="2828" spans="4:26" x14ac:dyDescent="0.25">
      <c r="D2828" s="16"/>
      <c r="Q2828" s="16"/>
      <c r="T2828" s="1"/>
      <c r="X2828" s="1"/>
      <c r="Y2828" s="1"/>
      <c r="Z2828" s="1"/>
    </row>
    <row r="2829" spans="4:26" x14ac:dyDescent="0.25">
      <c r="D2829" s="16"/>
      <c r="Q2829" s="16"/>
    </row>
    <row r="2831" spans="4:26" x14ac:dyDescent="0.25">
      <c r="D2831" s="16"/>
      <c r="Q2831" s="16"/>
      <c r="T2831" s="1"/>
      <c r="X2831" s="1"/>
      <c r="Y2831" s="1"/>
      <c r="Z2831" s="1"/>
    </row>
    <row r="2832" spans="4:26" x14ac:dyDescent="0.25">
      <c r="D2832" s="16"/>
      <c r="Q2832" s="16"/>
      <c r="T2832" s="1"/>
      <c r="X2832" s="1"/>
      <c r="Y2832" s="1"/>
      <c r="Z2832" s="1"/>
    </row>
    <row r="2835" spans="4:26" x14ac:dyDescent="0.25">
      <c r="D2835" s="16"/>
      <c r="Q2835" s="16"/>
      <c r="T2835" s="1"/>
      <c r="X2835" s="1"/>
      <c r="Y2835" s="1"/>
      <c r="Z2835" s="1"/>
    </row>
    <row r="2838" spans="4:26" x14ac:dyDescent="0.25">
      <c r="D2838" s="16"/>
      <c r="Q2838" s="16"/>
      <c r="T2838" s="1"/>
      <c r="X2838" s="1"/>
      <c r="Y2838" s="1"/>
      <c r="Z2838" s="1"/>
    </row>
    <row r="2839" spans="4:26" x14ac:dyDescent="0.25">
      <c r="D2839" s="17"/>
      <c r="Q2839" s="17"/>
      <c r="T2839" s="1"/>
      <c r="X2839" s="1"/>
      <c r="Y2839" s="1"/>
      <c r="Z2839" s="1"/>
    </row>
    <row r="2841" spans="4:26" x14ac:dyDescent="0.25">
      <c r="D2841" s="16"/>
      <c r="Q2841" s="16"/>
    </row>
    <row r="2842" spans="4:26" x14ac:dyDescent="0.25">
      <c r="D2842" s="17"/>
      <c r="Q2842" s="17"/>
      <c r="T2842" s="1"/>
      <c r="X2842" s="1"/>
      <c r="Y2842" s="1"/>
      <c r="Z2842" s="1"/>
    </row>
    <row r="2844" spans="4:26" x14ac:dyDescent="0.25">
      <c r="D2844" s="16"/>
      <c r="Q2844" s="16"/>
    </row>
    <row r="2845" spans="4:26" x14ac:dyDescent="0.25">
      <c r="D2845" s="17"/>
      <c r="Q2845" s="17"/>
      <c r="T2845" s="1"/>
      <c r="X2845" s="1"/>
      <c r="Y2845" s="1"/>
      <c r="Z2845" s="1"/>
    </row>
    <row r="2847" spans="4:26" x14ac:dyDescent="0.25">
      <c r="D2847" s="16"/>
      <c r="Q2847" s="16"/>
    </row>
    <row r="2848" spans="4:26" x14ac:dyDescent="0.25">
      <c r="D2848" s="17"/>
      <c r="Q2848" s="17"/>
      <c r="T2848" s="1"/>
      <c r="X2848" s="1"/>
      <c r="Y2848" s="1"/>
      <c r="Z2848" s="1"/>
    </row>
    <row r="2849" spans="4:26" x14ac:dyDescent="0.25">
      <c r="D2849" s="17"/>
      <c r="Q2849" s="17"/>
      <c r="T2849" s="1"/>
      <c r="X2849" s="1"/>
      <c r="Y2849" s="1"/>
      <c r="Z2849" s="1"/>
    </row>
    <row r="2850" spans="4:26" x14ac:dyDescent="0.25">
      <c r="D2850" s="16"/>
      <c r="Q2850" s="16"/>
    </row>
    <row r="2852" spans="4:26" x14ac:dyDescent="0.25">
      <c r="D2852" s="17"/>
      <c r="Q2852" s="17"/>
      <c r="T2852" s="1"/>
      <c r="X2852" s="1"/>
      <c r="Y2852" s="1"/>
      <c r="Z2852" s="1"/>
    </row>
    <row r="2853" spans="4:26" x14ac:dyDescent="0.25">
      <c r="D2853" s="16"/>
      <c r="Q2853" s="16"/>
    </row>
    <row r="2855" spans="4:26" x14ac:dyDescent="0.25">
      <c r="D2855" s="17"/>
      <c r="Q2855" s="17"/>
      <c r="T2855" s="1"/>
      <c r="X2855" s="1"/>
      <c r="Y2855" s="1"/>
      <c r="Z2855" s="1"/>
    </row>
    <row r="2856" spans="4:26" x14ac:dyDescent="0.25">
      <c r="D2856" s="16"/>
      <c r="Q2856" s="16"/>
    </row>
    <row r="2858" spans="4:26" x14ac:dyDescent="0.25">
      <c r="D2858" s="17"/>
      <c r="Q2858" s="17"/>
      <c r="T2858" s="1"/>
      <c r="X2858" s="1"/>
      <c r="Y2858" s="1"/>
      <c r="Z2858" s="1"/>
    </row>
    <row r="2859" spans="4:26" x14ac:dyDescent="0.25">
      <c r="D2859" s="16"/>
      <c r="Q2859" s="16"/>
    </row>
    <row r="2861" spans="4:26" x14ac:dyDescent="0.25">
      <c r="D2861" s="17"/>
      <c r="Q2861" s="17"/>
      <c r="T2861" s="1"/>
      <c r="X2861" s="1"/>
      <c r="Y2861" s="1"/>
      <c r="Z2861" s="1"/>
    </row>
    <row r="2862" spans="4:26" x14ac:dyDescent="0.25">
      <c r="D2862" s="16"/>
      <c r="Q2862" s="16"/>
    </row>
    <row r="2863" spans="4:26" x14ac:dyDescent="0.25">
      <c r="D2863" s="16"/>
      <c r="Q2863" s="16"/>
    </row>
    <row r="2864" spans="4:26" x14ac:dyDescent="0.25">
      <c r="D2864" s="17"/>
      <c r="Q2864" s="17"/>
      <c r="T2864" s="1"/>
      <c r="X2864" s="1"/>
      <c r="Y2864" s="1"/>
      <c r="Z2864" s="1"/>
    </row>
    <row r="2866" spans="4:26" x14ac:dyDescent="0.25">
      <c r="D2866" s="16"/>
      <c r="Q2866" s="16"/>
    </row>
    <row r="2867" spans="4:26" x14ac:dyDescent="0.25">
      <c r="D2867" s="17"/>
      <c r="Q2867" s="17"/>
      <c r="T2867" s="1"/>
      <c r="X2867" s="1"/>
      <c r="Y2867" s="1"/>
      <c r="Z2867" s="1"/>
    </row>
    <row r="2869" spans="4:26" x14ac:dyDescent="0.25">
      <c r="D2869" s="16"/>
      <c r="Q2869" s="16"/>
    </row>
    <row r="2870" spans="4:26" x14ac:dyDescent="0.25">
      <c r="D2870" s="17"/>
      <c r="Q2870" s="17"/>
      <c r="T2870" s="1"/>
      <c r="X2870" s="1"/>
      <c r="Y2870" s="1"/>
      <c r="Z2870" s="1"/>
    </row>
    <row r="2872" spans="4:26" x14ac:dyDescent="0.25">
      <c r="D2872" s="16"/>
      <c r="Q2872" s="16"/>
    </row>
    <row r="2873" spans="4:26" x14ac:dyDescent="0.25">
      <c r="D2873" s="17"/>
      <c r="Q2873" s="17"/>
      <c r="T2873" s="1"/>
      <c r="X2873" s="1"/>
      <c r="Y2873" s="1"/>
      <c r="Z2873" s="1"/>
    </row>
    <row r="2874" spans="4:26" x14ac:dyDescent="0.25">
      <c r="D2874" s="17"/>
      <c r="Q2874" s="17"/>
      <c r="T2874" s="1"/>
      <c r="X2874" s="1"/>
      <c r="Y2874" s="1"/>
      <c r="Z2874" s="1"/>
    </row>
    <row r="2875" spans="4:26" x14ac:dyDescent="0.25">
      <c r="D2875" s="16"/>
      <c r="Q2875" s="16"/>
    </row>
    <row r="2877" spans="4:26" x14ac:dyDescent="0.25">
      <c r="D2877" s="17"/>
      <c r="Q2877" s="17"/>
      <c r="T2877" s="1"/>
      <c r="X2877" s="1"/>
      <c r="Y2877" s="1"/>
      <c r="Z2877" s="1"/>
    </row>
    <row r="2878" spans="4:26" x14ac:dyDescent="0.25">
      <c r="D2878" s="16"/>
      <c r="Q2878" s="16"/>
    </row>
    <row r="2880" spans="4:26" x14ac:dyDescent="0.25">
      <c r="D2880" s="17"/>
      <c r="Q2880" s="17"/>
      <c r="T2880" s="1"/>
      <c r="X2880" s="1"/>
      <c r="Y2880" s="1"/>
      <c r="Z2880" s="1"/>
    </row>
    <row r="2881" spans="4:26" x14ac:dyDescent="0.25">
      <c r="D2881" s="16"/>
      <c r="Q2881" s="16"/>
    </row>
    <row r="2883" spans="4:26" x14ac:dyDescent="0.25">
      <c r="D2883" s="17"/>
      <c r="Q2883" s="17"/>
      <c r="T2883" s="1"/>
      <c r="X2883" s="1"/>
      <c r="Y2883" s="1"/>
      <c r="Z2883" s="1"/>
    </row>
    <row r="2884" spans="4:26" x14ac:dyDescent="0.25">
      <c r="D2884" s="16"/>
      <c r="Q2884" s="16"/>
      <c r="T2884" s="1"/>
      <c r="X2884" s="1"/>
      <c r="Y2884" s="1"/>
      <c r="Z2884" s="1"/>
    </row>
    <row r="2887" spans="4:26" x14ac:dyDescent="0.25">
      <c r="D2887" s="16"/>
      <c r="Q2887" s="16"/>
      <c r="T2887" s="1"/>
      <c r="X2887" s="1"/>
      <c r="Y2887" s="1"/>
      <c r="Z2887" s="1"/>
    </row>
    <row r="2890" spans="4:26" x14ac:dyDescent="0.25">
      <c r="D2890" s="16"/>
      <c r="Q2890" s="16"/>
      <c r="T2890" s="1"/>
      <c r="X2890" s="1"/>
      <c r="Y2890" s="1"/>
      <c r="Z2890" s="1"/>
    </row>
    <row r="2891" spans="4:26" x14ac:dyDescent="0.25">
      <c r="D2891" s="17"/>
      <c r="Q2891" s="17"/>
      <c r="T2891" s="1"/>
      <c r="X2891" s="1"/>
      <c r="Y2891" s="1"/>
      <c r="Z2891" s="1"/>
    </row>
    <row r="2893" spans="4:26" x14ac:dyDescent="0.25">
      <c r="D2893" s="16"/>
      <c r="Q2893" s="16"/>
    </row>
    <row r="2894" spans="4:26" x14ac:dyDescent="0.25">
      <c r="D2894" s="17"/>
      <c r="Q2894" s="17"/>
      <c r="T2894" s="1"/>
      <c r="X2894" s="1"/>
      <c r="Y2894" s="1"/>
      <c r="Z2894" s="1"/>
    </row>
    <row r="2896" spans="4:26" x14ac:dyDescent="0.25">
      <c r="D2896" s="16"/>
      <c r="Q2896" s="16"/>
    </row>
    <row r="2897" spans="4:26" x14ac:dyDescent="0.25">
      <c r="D2897" s="17"/>
      <c r="Q2897" s="17"/>
      <c r="T2897" s="1"/>
      <c r="X2897" s="1"/>
      <c r="Y2897" s="1"/>
      <c r="Z2897" s="1"/>
    </row>
    <row r="2898" spans="4:26" x14ac:dyDescent="0.25">
      <c r="D2898" s="17"/>
      <c r="Q2898" s="17"/>
      <c r="T2898" s="1"/>
      <c r="X2898" s="1"/>
      <c r="Y2898" s="1"/>
      <c r="Z2898" s="1"/>
    </row>
    <row r="2899" spans="4:26" x14ac:dyDescent="0.25">
      <c r="D2899" s="16"/>
      <c r="Q2899" s="16"/>
      <c r="T2899" s="1"/>
      <c r="X2899" s="1"/>
      <c r="Y2899" s="1"/>
      <c r="Z2899" s="1"/>
    </row>
    <row r="2900" spans="4:26" x14ac:dyDescent="0.25">
      <c r="D2900" s="17"/>
      <c r="Q2900" s="17"/>
      <c r="T2900" s="1"/>
      <c r="X2900" s="1"/>
      <c r="Y2900" s="1"/>
      <c r="Z2900" s="1"/>
    </row>
    <row r="2902" spans="4:26" x14ac:dyDescent="0.25">
      <c r="D2902" s="16"/>
      <c r="Q2902" s="16"/>
    </row>
    <row r="2903" spans="4:26" x14ac:dyDescent="0.25">
      <c r="D2903" s="17"/>
      <c r="Q2903" s="17"/>
      <c r="T2903" s="1"/>
      <c r="X2903" s="1"/>
      <c r="Y2903" s="1"/>
      <c r="Z2903" s="1"/>
    </row>
    <row r="2905" spans="4:26" x14ac:dyDescent="0.25">
      <c r="D2905" s="16"/>
      <c r="Q2905" s="16"/>
    </row>
    <row r="2906" spans="4:26" x14ac:dyDescent="0.25">
      <c r="D2906" s="17"/>
      <c r="Q2906" s="17"/>
      <c r="T2906" s="1"/>
      <c r="X2906" s="1"/>
      <c r="Y2906" s="1"/>
      <c r="Z2906" s="1"/>
    </row>
    <row r="2908" spans="4:26" x14ac:dyDescent="0.25">
      <c r="D2908" s="16"/>
      <c r="Q2908" s="16"/>
    </row>
    <row r="2909" spans="4:26" x14ac:dyDescent="0.25">
      <c r="D2909" s="17"/>
      <c r="Q2909" s="17"/>
      <c r="T2909" s="1"/>
      <c r="X2909" s="1"/>
      <c r="Y2909" s="1"/>
      <c r="Z2909" s="1"/>
    </row>
    <row r="2911" spans="4:26" x14ac:dyDescent="0.25">
      <c r="D2911" s="16"/>
      <c r="Q2911" s="16"/>
    </row>
    <row r="2912" spans="4:26" x14ac:dyDescent="0.25">
      <c r="D2912" s="17"/>
      <c r="Q2912" s="17"/>
      <c r="T2912" s="1"/>
      <c r="X2912" s="1"/>
      <c r="Y2912" s="1"/>
      <c r="Z2912" s="1"/>
    </row>
    <row r="2914" spans="4:26" x14ac:dyDescent="0.25">
      <c r="D2914" s="16"/>
      <c r="Q2914" s="16"/>
    </row>
    <row r="2915" spans="4:26" x14ac:dyDescent="0.25">
      <c r="D2915" s="17"/>
      <c r="Q2915" s="17"/>
      <c r="T2915" s="1"/>
      <c r="X2915" s="1"/>
      <c r="Y2915" s="1"/>
      <c r="Z2915" s="1"/>
    </row>
    <row r="2916" spans="4:26" x14ac:dyDescent="0.25">
      <c r="D2916" s="17"/>
      <c r="Q2916" s="17"/>
      <c r="T2916" s="1"/>
      <c r="X2916" s="1"/>
      <c r="Y2916" s="1"/>
      <c r="Z2916" s="1"/>
    </row>
    <row r="2917" spans="4:26" x14ac:dyDescent="0.25">
      <c r="D2917" s="16"/>
      <c r="Q2917" s="16"/>
      <c r="T2917" s="1"/>
      <c r="X2917" s="1"/>
      <c r="Y2917" s="1"/>
      <c r="Z2917" s="1"/>
    </row>
    <row r="2918" spans="4:26" x14ac:dyDescent="0.25">
      <c r="D2918" s="17"/>
      <c r="Q2918" s="17"/>
      <c r="T2918" s="1"/>
      <c r="X2918" s="1"/>
      <c r="Y2918" s="1"/>
      <c r="Z2918" s="1"/>
    </row>
    <row r="2919" spans="4:26" x14ac:dyDescent="0.25">
      <c r="D2919" s="17"/>
      <c r="Q2919" s="17"/>
      <c r="T2919" s="1"/>
      <c r="X2919" s="1"/>
      <c r="Y2919" s="1"/>
      <c r="Z2919" s="1"/>
    </row>
    <row r="2920" spans="4:26" x14ac:dyDescent="0.25">
      <c r="D2920" s="16"/>
      <c r="Q2920" s="16"/>
      <c r="T2920" s="1"/>
      <c r="X2920" s="1"/>
      <c r="Y2920" s="1"/>
      <c r="Z2920" s="1"/>
    </row>
    <row r="2921" spans="4:26" x14ac:dyDescent="0.25">
      <c r="D2921" s="17"/>
      <c r="Q2921" s="17"/>
      <c r="T2921" s="1"/>
      <c r="X2921" s="1"/>
      <c r="Y2921" s="1"/>
      <c r="Z2921" s="1"/>
    </row>
    <row r="2922" spans="4:26" x14ac:dyDescent="0.25">
      <c r="D2922" s="17"/>
      <c r="Q2922" s="17"/>
      <c r="T2922" s="1"/>
      <c r="X2922" s="1"/>
      <c r="Y2922" s="1"/>
      <c r="Z2922" s="1"/>
    </row>
    <row r="2923" spans="4:26" x14ac:dyDescent="0.25">
      <c r="D2923" s="16"/>
      <c r="Q2923" s="16"/>
    </row>
    <row r="2925" spans="4:26" x14ac:dyDescent="0.25">
      <c r="D2925" s="17"/>
      <c r="Q2925" s="17"/>
      <c r="T2925" s="1"/>
      <c r="X2925" s="1"/>
      <c r="Y2925" s="1"/>
      <c r="Z2925" s="1"/>
    </row>
    <row r="2926" spans="4:26" x14ac:dyDescent="0.25">
      <c r="D2926" s="16"/>
      <c r="Q2926" s="16"/>
    </row>
    <row r="2928" spans="4:26" x14ac:dyDescent="0.25">
      <c r="D2928" s="17"/>
      <c r="Q2928" s="17"/>
      <c r="T2928" s="1"/>
      <c r="X2928" s="1"/>
      <c r="Y2928" s="1"/>
      <c r="Z2928" s="1"/>
    </row>
    <row r="2929" spans="4:26" x14ac:dyDescent="0.25">
      <c r="D2929" s="16"/>
      <c r="Q2929" s="16"/>
      <c r="T2929" s="1"/>
      <c r="X2929" s="1"/>
      <c r="Y2929" s="1"/>
      <c r="Z2929" s="1"/>
    </row>
    <row r="2930" spans="4:26" x14ac:dyDescent="0.25">
      <c r="D2930" s="17"/>
      <c r="Q2930" s="17"/>
      <c r="T2930" s="1"/>
      <c r="X2930" s="1"/>
      <c r="Y2930" s="1"/>
      <c r="Z2930" s="1"/>
    </row>
    <row r="2932" spans="4:26" x14ac:dyDescent="0.25">
      <c r="D2932" s="16"/>
      <c r="Q2932" s="16"/>
    </row>
    <row r="2933" spans="4:26" x14ac:dyDescent="0.25">
      <c r="D2933" s="17"/>
      <c r="Q2933" s="17"/>
      <c r="T2933" s="1"/>
      <c r="X2933" s="1"/>
      <c r="Y2933" s="1"/>
      <c r="Z2933" s="1"/>
    </row>
    <row r="2935" spans="4:26" x14ac:dyDescent="0.25">
      <c r="D2935" s="16"/>
      <c r="Q2935" s="16"/>
    </row>
    <row r="2936" spans="4:26" x14ac:dyDescent="0.25">
      <c r="D2936" s="17"/>
      <c r="Q2936" s="17"/>
      <c r="T2936" s="1"/>
      <c r="X2936" s="1"/>
      <c r="Y2936" s="1"/>
      <c r="Z2936" s="1"/>
    </row>
    <row r="2938" spans="4:26" x14ac:dyDescent="0.25">
      <c r="D2938" s="16"/>
      <c r="Q2938" s="16"/>
    </row>
    <row r="2939" spans="4:26" x14ac:dyDescent="0.25">
      <c r="D2939" s="17"/>
      <c r="Q2939" s="17"/>
      <c r="T2939" s="1"/>
      <c r="X2939" s="1"/>
      <c r="Y2939" s="1"/>
      <c r="Z2939" s="1"/>
    </row>
    <row r="2941" spans="4:26" x14ac:dyDescent="0.25">
      <c r="D2941" s="16"/>
      <c r="Q2941" s="16"/>
    </row>
    <row r="2942" spans="4:26" x14ac:dyDescent="0.25">
      <c r="D2942" s="17"/>
      <c r="Q2942" s="17"/>
      <c r="T2942" s="1"/>
      <c r="X2942" s="1"/>
      <c r="Y2942" s="1"/>
      <c r="Z2942" s="1"/>
    </row>
    <row r="2943" spans="4:26" x14ac:dyDescent="0.25">
      <c r="D2943" s="17"/>
      <c r="Q2943" s="17"/>
      <c r="T2943" s="1"/>
      <c r="X2943" s="1"/>
      <c r="Y2943" s="1"/>
      <c r="Z2943" s="1"/>
    </row>
    <row r="2944" spans="4:26" x14ac:dyDescent="0.25">
      <c r="D2944" s="16"/>
      <c r="Q2944" s="16"/>
    </row>
    <row r="2946" spans="4:26" x14ac:dyDescent="0.25">
      <c r="D2946" s="17"/>
      <c r="Q2946" s="17"/>
      <c r="T2946" s="1"/>
      <c r="X2946" s="1"/>
      <c r="Y2946" s="1"/>
      <c r="Z2946" s="1"/>
    </row>
    <row r="2947" spans="4:26" x14ac:dyDescent="0.25">
      <c r="D2947" s="16"/>
      <c r="Q2947" s="16"/>
    </row>
    <row r="2949" spans="4:26" x14ac:dyDescent="0.25">
      <c r="D2949" s="17"/>
      <c r="Q2949" s="17"/>
      <c r="T2949" s="1"/>
      <c r="X2949" s="1"/>
      <c r="Y2949" s="1"/>
      <c r="Z2949" s="1"/>
    </row>
    <row r="2950" spans="4:26" x14ac:dyDescent="0.25">
      <c r="D2950" s="16"/>
      <c r="Q2950" s="16"/>
    </row>
    <row r="2952" spans="4:26" x14ac:dyDescent="0.25">
      <c r="D2952" s="17"/>
      <c r="Q2952" s="17"/>
      <c r="T2952" s="1"/>
      <c r="X2952" s="1"/>
      <c r="Y2952" s="1"/>
      <c r="Z2952" s="1"/>
    </row>
    <row r="2953" spans="4:26" x14ac:dyDescent="0.25">
      <c r="D2953" s="16"/>
      <c r="Q2953" s="16"/>
    </row>
    <row r="2955" spans="4:26" x14ac:dyDescent="0.25">
      <c r="D2955" s="17"/>
      <c r="Q2955" s="17"/>
      <c r="T2955" s="1"/>
      <c r="X2955" s="1"/>
      <c r="Y2955" s="1"/>
      <c r="Z2955" s="1"/>
    </row>
    <row r="2956" spans="4:26" x14ac:dyDescent="0.25">
      <c r="D2956" s="16"/>
      <c r="Q2956" s="16"/>
    </row>
    <row r="2958" spans="4:26" x14ac:dyDescent="0.25">
      <c r="D2958" s="17"/>
      <c r="Q2958" s="17"/>
      <c r="T2958" s="1"/>
      <c r="X2958" s="1"/>
      <c r="Y2958" s="1"/>
      <c r="Z2958" s="1"/>
    </row>
    <row r="2959" spans="4:26" x14ac:dyDescent="0.25">
      <c r="D2959" s="16"/>
      <c r="Q2959" s="16"/>
    </row>
    <row r="2961" spans="4:26" x14ac:dyDescent="0.25">
      <c r="D2961" s="17"/>
      <c r="Q2961" s="17"/>
      <c r="T2961" s="1"/>
      <c r="X2961" s="1"/>
      <c r="Y2961" s="1"/>
      <c r="Z2961" s="1"/>
    </row>
    <row r="2962" spans="4:26" x14ac:dyDescent="0.25">
      <c r="D2962" s="16"/>
      <c r="Q2962" s="16"/>
      <c r="T2962" s="1"/>
      <c r="X2962" s="1"/>
      <c r="Y2962" s="1"/>
      <c r="Z2962" s="1"/>
    </row>
    <row r="2965" spans="4:26" x14ac:dyDescent="0.25">
      <c r="D2965" s="16"/>
      <c r="Q2965" s="16"/>
      <c r="T2965" s="1"/>
      <c r="X2965" s="1"/>
      <c r="Y2965" s="1"/>
      <c r="Z2965" s="1"/>
    </row>
    <row r="2966" spans="4:26" x14ac:dyDescent="0.25">
      <c r="D2966" s="17"/>
      <c r="Q2966" s="17"/>
      <c r="T2966" s="1"/>
      <c r="X2966" s="1"/>
      <c r="Y2966" s="1"/>
      <c r="Z2966" s="1"/>
    </row>
    <row r="2967" spans="4:26" x14ac:dyDescent="0.25">
      <c r="D2967" s="17"/>
      <c r="Q2967" s="17"/>
      <c r="T2967" s="1"/>
      <c r="X2967" s="1"/>
      <c r="Y2967" s="1"/>
      <c r="Z2967" s="1"/>
    </row>
    <row r="2968" spans="4:26" x14ac:dyDescent="0.25">
      <c r="D2968" s="16"/>
      <c r="Q2968" s="16"/>
      <c r="T2968" s="1"/>
      <c r="X2968" s="1"/>
      <c r="Y2968" s="1"/>
      <c r="Z2968" s="1"/>
    </row>
    <row r="2969" spans="4:26" x14ac:dyDescent="0.25">
      <c r="D2969" s="17"/>
      <c r="Q2969" s="17"/>
      <c r="T2969" s="1"/>
      <c r="X2969" s="1"/>
      <c r="Y2969" s="1"/>
      <c r="Z2969" s="1"/>
    </row>
    <row r="2971" spans="4:26" x14ac:dyDescent="0.25">
      <c r="D2971" s="16"/>
      <c r="Q2971" s="16"/>
    </row>
    <row r="2972" spans="4:26" x14ac:dyDescent="0.25">
      <c r="D2972" s="17"/>
      <c r="Q2972" s="17"/>
      <c r="T2972" s="1"/>
      <c r="X2972" s="1"/>
      <c r="Y2972" s="1"/>
      <c r="Z2972" s="1"/>
    </row>
    <row r="2974" spans="4:26" x14ac:dyDescent="0.25">
      <c r="D2974" s="16"/>
      <c r="Q2974" s="16"/>
    </row>
    <row r="2975" spans="4:26" x14ac:dyDescent="0.25">
      <c r="D2975" s="17"/>
      <c r="Q2975" s="17"/>
      <c r="T2975" s="1"/>
      <c r="X2975" s="1"/>
      <c r="Y2975" s="1"/>
      <c r="Z2975" s="1"/>
    </row>
    <row r="2976" spans="4:26" x14ac:dyDescent="0.25">
      <c r="D2976" s="17"/>
      <c r="Q2976" s="17"/>
      <c r="T2976" s="1"/>
      <c r="X2976" s="1"/>
      <c r="Y2976" s="1"/>
      <c r="Z2976" s="1"/>
    </row>
    <row r="2977" spans="4:26" x14ac:dyDescent="0.25">
      <c r="D2977" s="16"/>
      <c r="Q2977" s="16"/>
      <c r="T2977" s="1"/>
      <c r="X2977" s="1"/>
      <c r="Y2977" s="1"/>
      <c r="Z2977" s="1"/>
    </row>
    <row r="2978" spans="4:26" x14ac:dyDescent="0.25">
      <c r="D2978" s="17"/>
      <c r="Q2978" s="17"/>
      <c r="T2978" s="1"/>
      <c r="X2978" s="1"/>
      <c r="Y2978" s="1"/>
      <c r="Z2978" s="1"/>
    </row>
    <row r="2979" spans="4:26" x14ac:dyDescent="0.25">
      <c r="D2979" s="17"/>
      <c r="Q2979" s="17"/>
      <c r="T2979" s="1"/>
      <c r="X2979" s="1"/>
      <c r="Y2979" s="1"/>
      <c r="Z2979" s="1"/>
    </row>
    <row r="2980" spans="4:26" x14ac:dyDescent="0.25">
      <c r="D2980" s="16"/>
      <c r="Q2980" s="16"/>
    </row>
    <row r="2982" spans="4:26" x14ac:dyDescent="0.25">
      <c r="D2982" s="17"/>
      <c r="Q2982" s="17"/>
      <c r="T2982" s="1"/>
      <c r="X2982" s="1"/>
      <c r="Y2982" s="1"/>
      <c r="Z2982" s="1"/>
    </row>
    <row r="2983" spans="4:26" x14ac:dyDescent="0.25">
      <c r="D2983" s="16"/>
      <c r="Q2983" s="16"/>
    </row>
    <row r="2985" spans="4:26" x14ac:dyDescent="0.25">
      <c r="D2985" s="17"/>
      <c r="Q2985" s="17"/>
      <c r="T2985" s="1"/>
      <c r="X2985" s="1"/>
      <c r="Y2985" s="1"/>
      <c r="Z2985" s="1"/>
    </row>
    <row r="2986" spans="4:26" x14ac:dyDescent="0.25">
      <c r="D2986" s="16"/>
      <c r="Q2986" s="16"/>
    </row>
    <row r="2988" spans="4:26" x14ac:dyDescent="0.25">
      <c r="D2988" s="17"/>
      <c r="Q2988" s="17"/>
      <c r="T2988" s="1"/>
      <c r="X2988" s="1"/>
      <c r="Y2988" s="1"/>
      <c r="Z2988" s="1"/>
    </row>
    <row r="2989" spans="4:26" x14ac:dyDescent="0.25">
      <c r="D2989" s="16"/>
      <c r="Q2989" s="16"/>
    </row>
    <row r="2991" spans="4:26" x14ac:dyDescent="0.25">
      <c r="D2991" s="17"/>
      <c r="Q2991" s="17"/>
      <c r="T2991" s="1"/>
      <c r="X2991" s="1"/>
      <c r="Y2991" s="1"/>
      <c r="Z2991" s="1"/>
    </row>
    <row r="2992" spans="4:26" x14ac:dyDescent="0.25">
      <c r="D2992" s="16"/>
      <c r="Q2992" s="16"/>
    </row>
    <row r="2994" spans="4:26" x14ac:dyDescent="0.25">
      <c r="D2994" s="17"/>
      <c r="Q2994" s="17"/>
      <c r="T2994" s="1"/>
      <c r="X2994" s="1"/>
      <c r="Y2994" s="1"/>
      <c r="Z2994" s="1"/>
    </row>
    <row r="2995" spans="4:26" x14ac:dyDescent="0.25">
      <c r="D2995" s="16"/>
      <c r="Q2995" s="16"/>
    </row>
    <row r="2997" spans="4:26" x14ac:dyDescent="0.25">
      <c r="D2997" s="17"/>
      <c r="Q2997" s="17"/>
      <c r="T2997" s="1"/>
      <c r="X2997" s="1"/>
      <c r="Y2997" s="1"/>
      <c r="Z2997" s="1"/>
    </row>
    <row r="2998" spans="4:26" x14ac:dyDescent="0.25">
      <c r="D2998" s="16"/>
      <c r="Q2998" s="16"/>
    </row>
    <row r="3000" spans="4:26" x14ac:dyDescent="0.25">
      <c r="D3000" s="17"/>
      <c r="Q3000" s="17"/>
      <c r="T3000" s="1"/>
      <c r="X3000" s="1"/>
      <c r="Y3000" s="1"/>
      <c r="Z3000" s="1"/>
    </row>
    <row r="3001" spans="4:26" x14ac:dyDescent="0.25">
      <c r="D3001" s="16"/>
      <c r="Q3001" s="16"/>
    </row>
    <row r="3003" spans="4:26" x14ac:dyDescent="0.25">
      <c r="D3003" s="17"/>
      <c r="Q3003" s="17"/>
      <c r="T3003" s="1"/>
      <c r="X3003" s="1"/>
      <c r="Y3003" s="1"/>
      <c r="Z3003" s="1"/>
    </row>
    <row r="3004" spans="4:26" x14ac:dyDescent="0.25">
      <c r="D3004" s="16"/>
      <c r="Q3004" s="16"/>
    </row>
    <row r="3006" spans="4:26" x14ac:dyDescent="0.25">
      <c r="D3006" s="17"/>
      <c r="Q3006" s="17"/>
      <c r="T3006" s="1"/>
      <c r="X3006" s="1"/>
      <c r="Y3006" s="1"/>
      <c r="Z3006" s="1"/>
    </row>
    <row r="3007" spans="4:26" x14ac:dyDescent="0.25">
      <c r="D3007" s="16"/>
      <c r="Q3007" s="16"/>
    </row>
    <row r="3009" spans="4:26" x14ac:dyDescent="0.25">
      <c r="D3009" s="17"/>
      <c r="Q3009" s="17"/>
      <c r="T3009" s="1"/>
      <c r="X3009" s="1"/>
      <c r="Y3009" s="1"/>
      <c r="Z3009" s="1"/>
    </row>
    <row r="3010" spans="4:26" x14ac:dyDescent="0.25">
      <c r="D3010" s="16"/>
      <c r="Q3010" s="16"/>
    </row>
    <row r="3012" spans="4:26" x14ac:dyDescent="0.25">
      <c r="D3012" s="17"/>
      <c r="Q3012" s="17"/>
      <c r="T3012" s="1"/>
      <c r="X3012" s="1"/>
      <c r="Y3012" s="1"/>
      <c r="Z3012" s="1"/>
    </row>
    <row r="3013" spans="4:26" x14ac:dyDescent="0.25">
      <c r="D3013" s="16"/>
      <c r="Q3013" s="16"/>
    </row>
    <row r="3015" spans="4:26" x14ac:dyDescent="0.25">
      <c r="D3015" s="17"/>
      <c r="Q3015" s="17"/>
      <c r="T3015" s="1"/>
      <c r="X3015" s="1"/>
      <c r="Y3015" s="1"/>
      <c r="Z3015" s="1"/>
    </row>
    <row r="3016" spans="4:26" x14ac:dyDescent="0.25">
      <c r="D3016" s="16"/>
      <c r="Q3016" s="16"/>
    </row>
    <row r="3018" spans="4:26" x14ac:dyDescent="0.25">
      <c r="D3018" s="17"/>
      <c r="Q3018" s="17"/>
      <c r="T3018" s="1"/>
      <c r="X3018" s="1"/>
      <c r="Y3018" s="1"/>
      <c r="Z3018" s="1"/>
    </row>
    <row r="3019" spans="4:26" x14ac:dyDescent="0.25">
      <c r="D3019" s="16"/>
      <c r="Q3019" s="16"/>
    </row>
    <row r="3021" spans="4:26" x14ac:dyDescent="0.25">
      <c r="D3021" s="17"/>
      <c r="Q3021" s="17"/>
      <c r="T3021" s="1"/>
      <c r="X3021" s="1"/>
      <c r="Y3021" s="1"/>
      <c r="Z3021" s="1"/>
    </row>
    <row r="3022" spans="4:26" x14ac:dyDescent="0.25">
      <c r="D3022" s="16"/>
      <c r="Q3022" s="16"/>
    </row>
    <row r="3024" spans="4:26" x14ac:dyDescent="0.25">
      <c r="D3024" s="17"/>
      <c r="Q3024" s="17"/>
      <c r="T3024" s="1"/>
      <c r="X3024" s="1"/>
      <c r="Y3024" s="1"/>
      <c r="Z3024" s="1"/>
    </row>
    <row r="3025" spans="4:26" x14ac:dyDescent="0.25">
      <c r="D3025" s="16"/>
      <c r="Q3025" s="16"/>
    </row>
    <row r="3027" spans="4:26" x14ac:dyDescent="0.25">
      <c r="D3027" s="17"/>
      <c r="Q3027" s="17"/>
      <c r="T3027" s="1"/>
      <c r="X3027" s="1"/>
      <c r="Y3027" s="1"/>
      <c r="Z3027" s="1"/>
    </row>
    <row r="3028" spans="4:26" x14ac:dyDescent="0.25">
      <c r="D3028" s="16"/>
      <c r="Q3028" s="16"/>
    </row>
    <row r="3030" spans="4:26" x14ac:dyDescent="0.25">
      <c r="D3030" s="17"/>
      <c r="Q3030" s="17"/>
      <c r="T3030" s="1"/>
      <c r="X3030" s="1"/>
      <c r="Y3030" s="1"/>
      <c r="Z3030" s="1"/>
    </row>
    <row r="3031" spans="4:26" x14ac:dyDescent="0.25">
      <c r="D3031" s="16"/>
      <c r="Q3031" s="16"/>
    </row>
    <row r="3033" spans="4:26" x14ac:dyDescent="0.25">
      <c r="D3033" s="17"/>
      <c r="Q3033" s="17"/>
      <c r="T3033" s="1"/>
      <c r="X3033" s="1"/>
      <c r="Y3033" s="1"/>
      <c r="Z3033" s="1"/>
    </row>
    <row r="3034" spans="4:26" x14ac:dyDescent="0.25">
      <c r="D3034" s="16"/>
      <c r="Q3034" s="16"/>
    </row>
    <row r="3036" spans="4:26" x14ac:dyDescent="0.25">
      <c r="D3036" s="17"/>
      <c r="Q3036" s="17"/>
      <c r="T3036" s="1"/>
      <c r="X3036" s="1"/>
      <c r="Y3036" s="1"/>
      <c r="Z3036" s="1"/>
    </row>
    <row r="3037" spans="4:26" x14ac:dyDescent="0.25">
      <c r="D3037" s="16"/>
      <c r="Q3037" s="16"/>
    </row>
    <row r="3039" spans="4:26" x14ac:dyDescent="0.25">
      <c r="D3039" s="17"/>
      <c r="Q3039" s="17"/>
      <c r="T3039" s="1"/>
      <c r="X3039" s="1"/>
      <c r="Y3039" s="1"/>
      <c r="Z3039" s="1"/>
    </row>
    <row r="3040" spans="4:26" x14ac:dyDescent="0.25">
      <c r="D3040" s="16"/>
      <c r="Q3040" s="16"/>
    </row>
    <row r="3042" spans="4:26" x14ac:dyDescent="0.25">
      <c r="D3042" s="17"/>
      <c r="Q3042" s="17"/>
      <c r="T3042" s="1"/>
      <c r="X3042" s="1"/>
      <c r="Y3042" s="1"/>
      <c r="Z3042" s="1"/>
    </row>
    <row r="3043" spans="4:26" x14ac:dyDescent="0.25">
      <c r="D3043" s="16"/>
      <c r="Q3043" s="16"/>
      <c r="T3043" s="1"/>
      <c r="X3043" s="1"/>
      <c r="Y3043" s="1"/>
      <c r="Z3043" s="1"/>
    </row>
    <row r="3044" spans="4:26" x14ac:dyDescent="0.25">
      <c r="D3044" s="17"/>
      <c r="Q3044" s="17"/>
      <c r="T3044" s="1"/>
      <c r="X3044" s="1"/>
      <c r="Y3044" s="1"/>
      <c r="Z3044" s="1"/>
    </row>
    <row r="3045" spans="4:26" x14ac:dyDescent="0.25">
      <c r="D3045" s="17"/>
      <c r="Q3045" s="17"/>
      <c r="T3045" s="1"/>
      <c r="X3045" s="1"/>
      <c r="Y3045" s="1"/>
      <c r="Z3045" s="1"/>
    </row>
    <row r="3046" spans="4:26" x14ac:dyDescent="0.25">
      <c r="D3046" s="16"/>
      <c r="Q3046" s="16"/>
      <c r="T3046" s="1"/>
      <c r="X3046" s="1"/>
      <c r="Y3046" s="1"/>
      <c r="Z3046" s="1"/>
    </row>
    <row r="3047" spans="4:26" x14ac:dyDescent="0.25">
      <c r="D3047" s="17"/>
      <c r="Q3047" s="17"/>
      <c r="T3047" s="1"/>
      <c r="X3047" s="1"/>
      <c r="Y3047" s="1"/>
      <c r="Z3047" s="1"/>
    </row>
    <row r="3048" spans="4:26" x14ac:dyDescent="0.25">
      <c r="D3048" s="17"/>
      <c r="Q3048" s="17"/>
      <c r="T3048" s="1"/>
      <c r="X3048" s="1"/>
      <c r="Y3048" s="1"/>
      <c r="Z3048" s="1"/>
    </row>
    <row r="3049" spans="4:26" x14ac:dyDescent="0.25">
      <c r="D3049" s="16"/>
      <c r="Q3049" s="16"/>
    </row>
    <row r="3051" spans="4:26" x14ac:dyDescent="0.25">
      <c r="D3051" s="17"/>
      <c r="Q3051" s="17"/>
      <c r="T3051" s="1"/>
      <c r="X3051" s="1"/>
      <c r="Y3051" s="1"/>
      <c r="Z3051" s="1"/>
    </row>
    <row r="3052" spans="4:26" x14ac:dyDescent="0.25">
      <c r="D3052" s="16"/>
      <c r="Q3052" s="16"/>
    </row>
    <row r="3054" spans="4:26" x14ac:dyDescent="0.25">
      <c r="D3054" s="17"/>
      <c r="Q3054" s="17"/>
      <c r="T3054" s="1"/>
      <c r="X3054" s="1"/>
      <c r="Y3054" s="1"/>
      <c r="Z3054" s="1"/>
    </row>
    <row r="3055" spans="4:26" x14ac:dyDescent="0.25">
      <c r="D3055" s="16"/>
      <c r="Q3055" s="16"/>
      <c r="T3055" s="1"/>
      <c r="X3055" s="1"/>
      <c r="Y3055" s="1"/>
      <c r="Z3055" s="1"/>
    </row>
    <row r="3056" spans="4:26" x14ac:dyDescent="0.25">
      <c r="D3056" s="17"/>
      <c r="Q3056" s="17"/>
      <c r="T3056" s="1"/>
      <c r="X3056" s="1"/>
      <c r="Y3056" s="1"/>
      <c r="Z3056" s="1"/>
    </row>
    <row r="3057" spans="4:26" x14ac:dyDescent="0.25">
      <c r="D3057" s="17"/>
      <c r="Q3057" s="17"/>
      <c r="T3057" s="1"/>
      <c r="X3057" s="1"/>
      <c r="Y3057" s="1"/>
      <c r="Z3057" s="1"/>
    </row>
    <row r="3058" spans="4:26" x14ac:dyDescent="0.25">
      <c r="D3058" s="16"/>
      <c r="Q3058" s="16"/>
      <c r="T3058" s="1"/>
      <c r="X3058" s="1"/>
      <c r="Y3058" s="1"/>
      <c r="Z3058" s="1"/>
    </row>
    <row r="3059" spans="4:26" x14ac:dyDescent="0.25">
      <c r="D3059" s="17"/>
      <c r="Q3059" s="17"/>
      <c r="T3059" s="1"/>
      <c r="X3059" s="1"/>
      <c r="Y3059" s="1"/>
      <c r="Z3059" s="1"/>
    </row>
    <row r="3060" spans="4:26" x14ac:dyDescent="0.25">
      <c r="D3060" s="17"/>
      <c r="Q3060" s="17"/>
      <c r="T3060" s="1"/>
      <c r="X3060" s="1"/>
      <c r="Y3060" s="1"/>
      <c r="Z3060" s="1"/>
    </row>
    <row r="3061" spans="4:26" x14ac:dyDescent="0.25">
      <c r="D3061" s="16"/>
      <c r="Q3061" s="16"/>
      <c r="T3061" s="1"/>
      <c r="X3061" s="1"/>
      <c r="Y3061" s="1"/>
      <c r="Z3061" s="1"/>
    </row>
    <row r="3062" spans="4:26" x14ac:dyDescent="0.25">
      <c r="D3062" s="17"/>
      <c r="Q3062" s="17"/>
      <c r="T3062" s="1"/>
      <c r="X3062" s="1"/>
      <c r="Y3062" s="1"/>
      <c r="Z3062" s="1"/>
    </row>
    <row r="3063" spans="4:26" x14ac:dyDescent="0.25">
      <c r="D3063" s="17"/>
      <c r="Q3063" s="17"/>
      <c r="T3063" s="1"/>
      <c r="X3063" s="1"/>
      <c r="Y3063" s="1"/>
      <c r="Z3063" s="1"/>
    </row>
    <row r="3064" spans="4:26" x14ac:dyDescent="0.25">
      <c r="D3064" s="16"/>
      <c r="Q3064" s="16"/>
    </row>
    <row r="3066" spans="4:26" x14ac:dyDescent="0.25">
      <c r="D3066" s="17"/>
      <c r="Q3066" s="17"/>
      <c r="T3066" s="1"/>
      <c r="X3066" s="1"/>
      <c r="Y3066" s="1"/>
      <c r="Z3066" s="1"/>
    </row>
    <row r="3067" spans="4:26" x14ac:dyDescent="0.25">
      <c r="D3067" s="16"/>
      <c r="Q3067" s="16"/>
      <c r="T3067" s="1"/>
      <c r="X3067" s="1"/>
      <c r="Y3067" s="1"/>
      <c r="Z3067" s="1"/>
    </row>
    <row r="3068" spans="4:26" x14ac:dyDescent="0.25">
      <c r="D3068" s="17"/>
      <c r="Q3068" s="17"/>
      <c r="T3068" s="1"/>
      <c r="X3068" s="1"/>
      <c r="Y3068" s="1"/>
      <c r="Z3068" s="1"/>
    </row>
    <row r="3069" spans="4:26" x14ac:dyDescent="0.25">
      <c r="D3069" s="17"/>
      <c r="Q3069" s="17"/>
      <c r="T3069" s="1"/>
      <c r="X3069" s="1"/>
      <c r="Y3069" s="1"/>
      <c r="Z3069" s="1"/>
    </row>
    <row r="3070" spans="4:26" x14ac:dyDescent="0.25">
      <c r="D3070" s="16"/>
      <c r="Q3070" s="16"/>
      <c r="T3070" s="1"/>
      <c r="X3070" s="1"/>
      <c r="Y3070" s="1"/>
      <c r="Z3070" s="1"/>
    </row>
    <row r="3071" spans="4:26" x14ac:dyDescent="0.25">
      <c r="D3071" s="17"/>
      <c r="Q3071" s="17"/>
      <c r="T3071" s="1"/>
      <c r="X3071" s="1"/>
      <c r="Y3071" s="1"/>
      <c r="Z3071" s="1"/>
    </row>
    <row r="3073" spans="4:26" x14ac:dyDescent="0.25">
      <c r="D3073" s="16"/>
      <c r="Q3073" s="16"/>
    </row>
    <row r="3074" spans="4:26" x14ac:dyDescent="0.25">
      <c r="D3074" s="17"/>
      <c r="Q3074" s="17"/>
      <c r="T3074" s="1"/>
      <c r="X3074" s="1"/>
      <c r="Y3074" s="1"/>
      <c r="Z3074" s="1"/>
    </row>
    <row r="3075" spans="4:26" x14ac:dyDescent="0.25">
      <c r="D3075" s="17"/>
      <c r="Q3075" s="17"/>
      <c r="T3075" s="1"/>
      <c r="X3075" s="1"/>
      <c r="Y3075" s="1"/>
      <c r="Z3075" s="1"/>
    </row>
    <row r="3076" spans="4:26" x14ac:dyDescent="0.25">
      <c r="D3076" s="16"/>
      <c r="Q3076" s="16"/>
      <c r="T3076" s="1"/>
      <c r="X3076" s="1"/>
      <c r="Y3076" s="1"/>
      <c r="Z3076" s="1"/>
    </row>
    <row r="3077" spans="4:26" x14ac:dyDescent="0.25">
      <c r="D3077" s="17"/>
      <c r="Q3077" s="17"/>
      <c r="T3077" s="1"/>
      <c r="X3077" s="1"/>
      <c r="Y3077" s="1"/>
      <c r="Z3077" s="1"/>
    </row>
    <row r="3079" spans="4:26" x14ac:dyDescent="0.25">
      <c r="D3079" s="16"/>
      <c r="Q3079" s="16"/>
    </row>
    <row r="3080" spans="4:26" x14ac:dyDescent="0.25">
      <c r="D3080" s="17"/>
      <c r="Q3080" s="17"/>
      <c r="T3080" s="1"/>
      <c r="X3080" s="1"/>
      <c r="Y3080" s="1"/>
      <c r="Z3080" s="1"/>
    </row>
    <row r="3081" spans="4:26" x14ac:dyDescent="0.25">
      <c r="D3081" s="17"/>
      <c r="Q3081" s="17"/>
      <c r="T3081" s="1"/>
      <c r="X3081" s="1"/>
      <c r="Y3081" s="1"/>
      <c r="Z3081" s="1"/>
    </row>
    <row r="3082" spans="4:26" x14ac:dyDescent="0.25">
      <c r="D3082" s="16"/>
      <c r="Q3082" s="16"/>
      <c r="T3082" s="1"/>
      <c r="X3082" s="1"/>
      <c r="Y3082" s="1"/>
      <c r="Z3082" s="1"/>
    </row>
    <row r="3083" spans="4:26" x14ac:dyDescent="0.25">
      <c r="D3083" s="17"/>
      <c r="Q3083" s="17"/>
      <c r="T3083" s="1"/>
      <c r="X3083" s="1"/>
      <c r="Y3083" s="1"/>
      <c r="Z3083" s="1"/>
    </row>
    <row r="3084" spans="4:26" x14ac:dyDescent="0.25">
      <c r="D3084" s="17"/>
      <c r="Q3084" s="17"/>
      <c r="T3084" s="1"/>
      <c r="X3084" s="1"/>
      <c r="Y3084" s="1"/>
      <c r="Z3084" s="1"/>
    </row>
    <row r="3085" spans="4:26" x14ac:dyDescent="0.25">
      <c r="D3085" s="16"/>
      <c r="Q3085" s="16"/>
    </row>
    <row r="3087" spans="4:26" x14ac:dyDescent="0.25">
      <c r="D3087" s="17"/>
      <c r="Q3087" s="17"/>
      <c r="T3087" s="1"/>
      <c r="X3087" s="1"/>
      <c r="Y3087" s="1"/>
      <c r="Z3087" s="1"/>
    </row>
    <row r="3088" spans="4:26" x14ac:dyDescent="0.25">
      <c r="D3088" s="16"/>
      <c r="Q3088" s="16"/>
      <c r="T3088" s="1"/>
      <c r="X3088" s="1"/>
      <c r="Y3088" s="1"/>
      <c r="Z3088" s="1"/>
    </row>
    <row r="3089" spans="4:26" x14ac:dyDescent="0.25">
      <c r="D3089" s="17"/>
      <c r="Q3089" s="17"/>
      <c r="T3089" s="1"/>
      <c r="X3089" s="1"/>
      <c r="Y3089" s="1"/>
      <c r="Z3089" s="1"/>
    </row>
    <row r="3090" spans="4:26" x14ac:dyDescent="0.25">
      <c r="D3090" s="17"/>
      <c r="Q3090" s="17"/>
      <c r="T3090" s="1"/>
      <c r="X3090" s="1"/>
      <c r="Y3090" s="1"/>
      <c r="Z3090" s="1"/>
    </row>
    <row r="3091" spans="4:26" x14ac:dyDescent="0.25">
      <c r="D3091" s="16"/>
      <c r="Q3091" s="16"/>
      <c r="T3091" s="1"/>
      <c r="X3091" s="1"/>
      <c r="Y3091" s="1"/>
      <c r="Z3091" s="1"/>
    </row>
    <row r="3092" spans="4:26" x14ac:dyDescent="0.25">
      <c r="D3092" s="17"/>
      <c r="Q3092" s="17"/>
      <c r="T3092" s="1"/>
      <c r="X3092" s="1"/>
      <c r="Y3092" s="1"/>
      <c r="Z3092" s="1"/>
    </row>
    <row r="3094" spans="4:26" x14ac:dyDescent="0.25">
      <c r="D3094" s="16"/>
      <c r="Q3094" s="16"/>
    </row>
    <row r="3095" spans="4:26" x14ac:dyDescent="0.25">
      <c r="D3095" s="17"/>
      <c r="Q3095" s="17"/>
      <c r="T3095" s="1"/>
      <c r="X3095" s="1"/>
      <c r="Y3095" s="1"/>
      <c r="Z3095" s="1"/>
    </row>
    <row r="3096" spans="4:26" x14ac:dyDescent="0.25">
      <c r="D3096" s="17"/>
      <c r="Q3096" s="17"/>
      <c r="T3096" s="1"/>
      <c r="X3096" s="1"/>
      <c r="Y3096" s="1"/>
      <c r="Z3096" s="1"/>
    </row>
    <row r="3097" spans="4:26" x14ac:dyDescent="0.25">
      <c r="D3097" s="16"/>
      <c r="Q3097" s="16"/>
      <c r="T3097" s="1"/>
      <c r="X3097" s="1"/>
      <c r="Y3097" s="1"/>
      <c r="Z3097" s="1"/>
    </row>
    <row r="3100" spans="4:26" x14ac:dyDescent="0.25">
      <c r="D3100" s="16"/>
      <c r="Q3100" s="16"/>
      <c r="T3100" s="1"/>
      <c r="X3100" s="1"/>
      <c r="Y3100" s="1"/>
      <c r="Z3100" s="1"/>
    </row>
    <row r="3103" spans="4:26" x14ac:dyDescent="0.25">
      <c r="D3103" s="16"/>
      <c r="Q3103" s="16"/>
      <c r="T3103" s="1"/>
      <c r="X3103" s="1"/>
      <c r="Y3103" s="1"/>
      <c r="Z3103" s="1"/>
    </row>
    <row r="3104" spans="4:26" x14ac:dyDescent="0.25">
      <c r="D3104" s="17"/>
      <c r="Q3104" s="17"/>
      <c r="T3104" s="1"/>
      <c r="X3104" s="1"/>
      <c r="Y3104" s="1"/>
      <c r="Z3104" s="1"/>
    </row>
    <row r="3105" spans="4:26" x14ac:dyDescent="0.25">
      <c r="D3105" s="17"/>
      <c r="Q3105" s="17"/>
      <c r="T3105" s="1"/>
      <c r="X3105" s="1"/>
      <c r="Y3105" s="1"/>
      <c r="Z3105" s="1"/>
    </row>
    <row r="3106" spans="4:26" x14ac:dyDescent="0.25">
      <c r="D3106" s="16"/>
      <c r="Q3106" s="16"/>
      <c r="T3106" s="1"/>
      <c r="X3106" s="1"/>
      <c r="Y3106" s="1"/>
      <c r="Z3106" s="1"/>
    </row>
    <row r="3107" spans="4:26" x14ac:dyDescent="0.25">
      <c r="D3107" s="17"/>
      <c r="Q3107" s="17"/>
      <c r="T3107" s="1"/>
      <c r="X3107" s="1"/>
      <c r="Y3107" s="1"/>
      <c r="Z3107" s="1"/>
    </row>
    <row r="3108" spans="4:26" x14ac:dyDescent="0.25">
      <c r="D3108" s="17"/>
      <c r="Q3108" s="17"/>
      <c r="T3108" s="1"/>
      <c r="X3108" s="1"/>
      <c r="Y3108" s="1"/>
      <c r="Z3108" s="1"/>
    </row>
    <row r="3109" spans="4:26" x14ac:dyDescent="0.25">
      <c r="D3109" s="16"/>
      <c r="Q3109" s="16"/>
      <c r="T3109" s="1"/>
      <c r="X3109" s="1"/>
      <c r="Y3109" s="1"/>
      <c r="Z3109" s="1"/>
    </row>
    <row r="3110" spans="4:26" x14ac:dyDescent="0.25">
      <c r="D3110" s="17"/>
      <c r="Q3110" s="17"/>
      <c r="T3110" s="1"/>
      <c r="X3110" s="1"/>
      <c r="Y3110" s="1"/>
      <c r="Z3110" s="1"/>
    </row>
    <row r="3111" spans="4:26" x14ac:dyDescent="0.25">
      <c r="D3111" s="17"/>
      <c r="Q3111" s="17"/>
      <c r="T3111" s="1"/>
      <c r="X3111" s="1"/>
      <c r="Y3111" s="1"/>
      <c r="Z3111" s="1"/>
    </row>
    <row r="3112" spans="4:26" x14ac:dyDescent="0.25">
      <c r="D3112" s="16"/>
      <c r="Q3112" s="16"/>
    </row>
    <row r="3114" spans="4:26" x14ac:dyDescent="0.25">
      <c r="D3114" s="17"/>
      <c r="Q3114" s="17"/>
      <c r="T3114" s="1"/>
      <c r="X3114" s="1"/>
      <c r="Y3114" s="1"/>
      <c r="Z3114" s="1"/>
    </row>
    <row r="3115" spans="4:26" x14ac:dyDescent="0.25">
      <c r="D3115" s="16"/>
      <c r="Q3115" s="16"/>
      <c r="T3115" s="1"/>
      <c r="X3115" s="1"/>
      <c r="Y3115" s="1"/>
      <c r="Z3115" s="1"/>
    </row>
    <row r="3116" spans="4:26" x14ac:dyDescent="0.25">
      <c r="D3116" s="17"/>
      <c r="Q3116" s="17"/>
      <c r="T3116" s="1"/>
      <c r="X3116" s="1"/>
      <c r="Y3116" s="1"/>
      <c r="Z3116" s="1"/>
    </row>
    <row r="3117" spans="4:26" x14ac:dyDescent="0.25">
      <c r="D3117" s="17"/>
      <c r="Q3117" s="17"/>
      <c r="T3117" s="1"/>
      <c r="X3117" s="1"/>
      <c r="Y3117" s="1"/>
      <c r="Z3117" s="1"/>
    </row>
    <row r="3118" spans="4:26" x14ac:dyDescent="0.25">
      <c r="D3118" s="16"/>
      <c r="Q3118" s="16"/>
    </row>
    <row r="3120" spans="4:26" x14ac:dyDescent="0.25">
      <c r="D3120" s="17"/>
      <c r="Q3120" s="17"/>
      <c r="T3120" s="1"/>
      <c r="X3120" s="1"/>
      <c r="Y3120" s="1"/>
      <c r="Z3120" s="1"/>
    </row>
    <row r="3121" spans="4:26" x14ac:dyDescent="0.25">
      <c r="D3121" s="16"/>
      <c r="Q3121" s="16"/>
    </row>
    <row r="3123" spans="4:26" x14ac:dyDescent="0.25">
      <c r="D3123" s="17"/>
      <c r="Q3123" s="17"/>
      <c r="T3123" s="1"/>
      <c r="X3123" s="1"/>
      <c r="Y3123" s="1"/>
      <c r="Z3123" s="1"/>
    </row>
    <row r="3124" spans="4:26" x14ac:dyDescent="0.25">
      <c r="D3124" s="16"/>
      <c r="Q3124" s="16"/>
      <c r="T3124" s="1"/>
      <c r="X3124" s="1"/>
      <c r="Y3124" s="1"/>
      <c r="Z3124" s="1"/>
    </row>
    <row r="3125" spans="4:26" x14ac:dyDescent="0.25">
      <c r="D3125" s="17"/>
      <c r="Q3125" s="17"/>
      <c r="T3125" s="1"/>
      <c r="X3125" s="1"/>
      <c r="Y3125" s="1"/>
      <c r="Z3125" s="1"/>
    </row>
    <row r="3127" spans="4:26" x14ac:dyDescent="0.25">
      <c r="D3127" s="16"/>
      <c r="Q3127" s="16"/>
    </row>
    <row r="3128" spans="4:26" x14ac:dyDescent="0.25">
      <c r="D3128" s="17"/>
      <c r="Q3128" s="17"/>
      <c r="T3128" s="1"/>
      <c r="X3128" s="1"/>
      <c r="Y3128" s="1"/>
      <c r="Z3128" s="1"/>
    </row>
    <row r="3130" spans="4:26" x14ac:dyDescent="0.25">
      <c r="D3130" s="16"/>
      <c r="Q3130" s="16"/>
    </row>
    <row r="3131" spans="4:26" x14ac:dyDescent="0.25">
      <c r="D3131" s="16"/>
      <c r="Q3131" s="16"/>
      <c r="T3131" s="1"/>
      <c r="X3131" s="1"/>
      <c r="Y3131" s="1"/>
      <c r="Z3131" s="1"/>
    </row>
    <row r="3132" spans="4:26" x14ac:dyDescent="0.25">
      <c r="D3132" s="16"/>
      <c r="Q3132" s="16"/>
      <c r="T3132" s="1"/>
      <c r="X3132" s="1"/>
      <c r="Y3132" s="1"/>
      <c r="Z3132" s="1"/>
    </row>
    <row r="3133" spans="4:26" x14ac:dyDescent="0.25">
      <c r="D3133" s="16"/>
      <c r="Q3133" s="16"/>
      <c r="T3133" s="1"/>
      <c r="X3133" s="1"/>
      <c r="Y3133" s="1"/>
      <c r="Z3133" s="1"/>
    </row>
    <row r="3134" spans="4:26" x14ac:dyDescent="0.25">
      <c r="D3134" s="16"/>
      <c r="Q3134" s="16"/>
    </row>
    <row r="3135" spans="4:26" x14ac:dyDescent="0.25">
      <c r="D3135" s="16"/>
      <c r="Q3135" s="16"/>
    </row>
    <row r="3136" spans="4:26" x14ac:dyDescent="0.25">
      <c r="D3136" s="17"/>
      <c r="Q3136" s="17"/>
      <c r="T3136" s="1"/>
      <c r="X3136" s="1"/>
      <c r="Y3136" s="1"/>
      <c r="Z3136" s="1"/>
    </row>
    <row r="3137" spans="4:26" x14ac:dyDescent="0.25">
      <c r="D3137" s="17"/>
      <c r="Q3137" s="17"/>
      <c r="T3137" s="1"/>
      <c r="X3137" s="1"/>
      <c r="Y3137" s="1"/>
      <c r="Z3137" s="1"/>
    </row>
    <row r="3138" spans="4:26" x14ac:dyDescent="0.25">
      <c r="D3138" s="16"/>
      <c r="Q3138" s="16"/>
      <c r="T3138" s="1"/>
      <c r="X3138" s="1"/>
      <c r="Y3138" s="1"/>
      <c r="Z3138" s="1"/>
    </row>
    <row r="3139" spans="4:26" x14ac:dyDescent="0.25">
      <c r="D3139" s="17"/>
      <c r="Q3139" s="17"/>
      <c r="T3139" s="1"/>
      <c r="X3139" s="1"/>
      <c r="Y3139" s="1"/>
      <c r="Z3139" s="1"/>
    </row>
    <row r="3140" spans="4:26" x14ac:dyDescent="0.25">
      <c r="D3140" s="17"/>
      <c r="Q3140" s="17"/>
      <c r="T3140" s="1"/>
      <c r="X3140" s="1"/>
      <c r="Y3140" s="1"/>
      <c r="Z3140" s="1"/>
    </row>
    <row r="3141" spans="4:26" x14ac:dyDescent="0.25">
      <c r="D3141" s="16"/>
      <c r="Q3141" s="16"/>
      <c r="T3141" s="1"/>
      <c r="X3141" s="1"/>
      <c r="Y3141" s="1"/>
      <c r="Z3141" s="1"/>
    </row>
    <row r="3142" spans="4:26" x14ac:dyDescent="0.25">
      <c r="D3142" s="17"/>
      <c r="Q3142" s="17"/>
      <c r="T3142" s="1"/>
      <c r="X3142" s="1"/>
      <c r="Y3142" s="1"/>
      <c r="Z3142" s="1"/>
    </row>
    <row r="3143" spans="4:26" x14ac:dyDescent="0.25">
      <c r="D3143" s="17"/>
      <c r="Q3143" s="17"/>
      <c r="T3143" s="1"/>
      <c r="X3143" s="1"/>
      <c r="Y3143" s="1"/>
      <c r="Z3143" s="1"/>
    </row>
    <row r="3144" spans="4:26" x14ac:dyDescent="0.25">
      <c r="D3144" s="16"/>
      <c r="Q3144" s="16"/>
      <c r="T3144" s="1"/>
      <c r="X3144" s="1"/>
      <c r="Y3144" s="1"/>
      <c r="Z3144" s="1"/>
    </row>
    <row r="3145" spans="4:26" x14ac:dyDescent="0.25">
      <c r="D3145" s="17"/>
      <c r="Q3145" s="17"/>
      <c r="T3145" s="1"/>
      <c r="X3145" s="1"/>
      <c r="Y3145" s="1"/>
      <c r="Z3145" s="1"/>
    </row>
    <row r="3146" spans="4:26" x14ac:dyDescent="0.25">
      <c r="D3146" s="17"/>
      <c r="Q3146" s="17"/>
      <c r="T3146" s="1"/>
      <c r="X3146" s="1"/>
      <c r="Y3146" s="1"/>
      <c r="Z3146" s="1"/>
    </row>
    <row r="3147" spans="4:26" x14ac:dyDescent="0.25">
      <c r="D3147" s="16"/>
      <c r="Q3147" s="16"/>
      <c r="T3147" s="1"/>
      <c r="X3147" s="1"/>
      <c r="Y3147" s="1"/>
      <c r="Z3147" s="1"/>
    </row>
    <row r="3148" spans="4:26" x14ac:dyDescent="0.25">
      <c r="D3148" s="17"/>
      <c r="Q3148" s="17"/>
      <c r="T3148" s="1"/>
      <c r="X3148" s="1"/>
      <c r="Y3148" s="1"/>
      <c r="Z3148" s="1"/>
    </row>
    <row r="3149" spans="4:26" x14ac:dyDescent="0.25">
      <c r="D3149" s="17"/>
      <c r="Q3149" s="17"/>
      <c r="T3149" s="1"/>
      <c r="X3149" s="1"/>
      <c r="Y3149" s="1"/>
      <c r="Z3149" s="1"/>
    </row>
    <row r="3150" spans="4:26" x14ac:dyDescent="0.25">
      <c r="D3150" s="16"/>
      <c r="Q3150" s="16"/>
      <c r="T3150" s="1"/>
      <c r="X3150" s="1"/>
      <c r="Y3150" s="1"/>
      <c r="Z3150" s="1"/>
    </row>
    <row r="3151" spans="4:26" x14ac:dyDescent="0.25">
      <c r="D3151" s="16"/>
      <c r="Q3151" s="16"/>
      <c r="T3151" s="1"/>
      <c r="X3151" s="1"/>
      <c r="Y3151" s="1"/>
      <c r="Z3151" s="1"/>
    </row>
    <row r="3152" spans="4:26" x14ac:dyDescent="0.25">
      <c r="D3152" s="16"/>
      <c r="Q3152" s="16"/>
      <c r="T3152" s="1"/>
      <c r="X3152" s="1"/>
      <c r="Y3152" s="1"/>
      <c r="Z3152" s="1"/>
    </row>
    <row r="3155" spans="4:26" x14ac:dyDescent="0.25">
      <c r="D3155" s="16"/>
      <c r="Q3155" s="16"/>
      <c r="T3155" s="1"/>
      <c r="X3155" s="1"/>
      <c r="Y3155" s="1"/>
      <c r="Z3155" s="1"/>
    </row>
    <row r="3158" spans="4:26" x14ac:dyDescent="0.25">
      <c r="D3158" s="16"/>
      <c r="Q3158" s="16"/>
      <c r="T3158" s="1"/>
      <c r="X3158" s="1"/>
      <c r="Y3158" s="1"/>
      <c r="Z3158" s="1"/>
    </row>
    <row r="3159" spans="4:26" x14ac:dyDescent="0.25">
      <c r="D3159" s="16"/>
      <c r="Q3159" s="16"/>
    </row>
    <row r="3160" spans="4:26" x14ac:dyDescent="0.25">
      <c r="D3160" s="16"/>
      <c r="Q3160" s="16"/>
    </row>
    <row r="3161" spans="4:26" x14ac:dyDescent="0.25">
      <c r="D3161" s="16"/>
      <c r="Q3161" s="16"/>
      <c r="T3161" s="1"/>
      <c r="X3161" s="1"/>
      <c r="Y3161" s="1"/>
      <c r="Z3161" s="1"/>
    </row>
    <row r="3162" spans="4:26" x14ac:dyDescent="0.25">
      <c r="D3162" s="16"/>
      <c r="Q3162" s="16"/>
    </row>
    <row r="3163" spans="4:26" x14ac:dyDescent="0.25">
      <c r="D3163" s="16"/>
      <c r="Q3163" s="16"/>
    </row>
    <row r="3164" spans="4:26" x14ac:dyDescent="0.25">
      <c r="D3164" s="17"/>
      <c r="Q3164" s="17"/>
      <c r="T3164" s="1"/>
      <c r="X3164" s="1"/>
      <c r="Y3164" s="1"/>
      <c r="Z3164" s="1"/>
    </row>
    <row r="3166" spans="4:26" x14ac:dyDescent="0.25">
      <c r="D3166" s="16"/>
      <c r="Q3166" s="16"/>
    </row>
    <row r="3167" spans="4:26" x14ac:dyDescent="0.25">
      <c r="D3167" s="17"/>
      <c r="Q3167" s="17"/>
      <c r="T3167" s="1"/>
      <c r="X3167" s="1"/>
      <c r="Y3167" s="1"/>
      <c r="Z3167" s="1"/>
    </row>
    <row r="3169" spans="4:26" x14ac:dyDescent="0.25">
      <c r="D3169" s="16"/>
      <c r="Q3169" s="16"/>
    </row>
    <row r="3170" spans="4:26" x14ac:dyDescent="0.25">
      <c r="D3170" s="16"/>
      <c r="Q3170" s="16"/>
      <c r="T3170" s="1"/>
      <c r="X3170" s="1"/>
      <c r="Y3170" s="1"/>
      <c r="Z3170" s="1"/>
    </row>
    <row r="3171" spans="4:26" x14ac:dyDescent="0.25">
      <c r="D3171" s="16"/>
      <c r="Q3171" s="16"/>
    </row>
    <row r="3172" spans="4:26" x14ac:dyDescent="0.25">
      <c r="D3172" s="16"/>
      <c r="Q3172" s="16"/>
    </row>
    <row r="3173" spans="4:26" x14ac:dyDescent="0.25">
      <c r="D3173" s="17"/>
      <c r="Q3173" s="17"/>
      <c r="T3173" s="1"/>
      <c r="X3173" s="1"/>
      <c r="Y3173" s="1"/>
      <c r="Z3173" s="1"/>
    </row>
    <row r="3175" spans="4:26" x14ac:dyDescent="0.25">
      <c r="D3175" s="16"/>
      <c r="Q3175" s="16"/>
    </row>
    <row r="3176" spans="4:26" x14ac:dyDescent="0.25">
      <c r="D3176" s="17"/>
      <c r="Q3176" s="17"/>
      <c r="T3176" s="1"/>
      <c r="X3176" s="1"/>
      <c r="Y3176" s="1"/>
      <c r="Z3176" s="1"/>
    </row>
    <row r="3178" spans="4:26" x14ac:dyDescent="0.25">
      <c r="D3178" s="16"/>
      <c r="Q3178" s="16"/>
    </row>
    <row r="3179" spans="4:26" x14ac:dyDescent="0.25">
      <c r="D3179" s="17"/>
      <c r="Q3179" s="17"/>
      <c r="T3179" s="1"/>
      <c r="X3179" s="1"/>
      <c r="Y3179" s="1"/>
      <c r="Z3179" s="1"/>
    </row>
    <row r="3181" spans="4:26" x14ac:dyDescent="0.25">
      <c r="D3181" s="16"/>
      <c r="Q3181" s="16"/>
    </row>
    <row r="3182" spans="4:26" x14ac:dyDescent="0.25">
      <c r="D3182" s="17"/>
      <c r="Q3182" s="17"/>
      <c r="T3182" s="1"/>
      <c r="X3182" s="1"/>
      <c r="Y3182" s="1"/>
      <c r="Z3182" s="1"/>
    </row>
    <row r="3184" spans="4:26" x14ac:dyDescent="0.25">
      <c r="D3184" s="16"/>
      <c r="Q3184" s="16"/>
    </row>
    <row r="3185" spans="4:26" x14ac:dyDescent="0.25">
      <c r="D3185" s="17"/>
      <c r="Q3185" s="17"/>
      <c r="T3185" s="1"/>
      <c r="X3185" s="1"/>
      <c r="Y3185" s="1"/>
      <c r="Z3185" s="1"/>
    </row>
    <row r="3187" spans="4:26" x14ac:dyDescent="0.25">
      <c r="D3187" s="16"/>
      <c r="Q3187" s="16"/>
    </row>
    <row r="3188" spans="4:26" x14ac:dyDescent="0.25">
      <c r="D3188" s="17"/>
      <c r="Q3188" s="17"/>
      <c r="T3188" s="1"/>
      <c r="X3188" s="1"/>
      <c r="Y3188" s="1"/>
      <c r="Z3188" s="1"/>
    </row>
    <row r="3190" spans="4:26" x14ac:dyDescent="0.25">
      <c r="D3190" s="16"/>
      <c r="Q3190" s="16"/>
    </row>
    <row r="3191" spans="4:26" x14ac:dyDescent="0.25">
      <c r="D3191" s="17"/>
      <c r="Q3191" s="17"/>
      <c r="T3191" s="1"/>
      <c r="X3191" s="1"/>
      <c r="Y3191" s="1"/>
      <c r="Z3191" s="1"/>
    </row>
    <row r="3193" spans="4:26" x14ac:dyDescent="0.25">
      <c r="D3193" s="16"/>
      <c r="Q3193" s="16"/>
    </row>
    <row r="3194" spans="4:26" x14ac:dyDescent="0.25">
      <c r="D3194" s="16"/>
      <c r="Q3194" s="16"/>
      <c r="T3194" s="1"/>
      <c r="X3194" s="1"/>
      <c r="Y3194" s="1"/>
      <c r="Z3194" s="1"/>
    </row>
    <row r="3195" spans="4:26" x14ac:dyDescent="0.25">
      <c r="D3195" s="16"/>
      <c r="Q3195" s="16"/>
    </row>
    <row r="3196" spans="4:26" x14ac:dyDescent="0.25">
      <c r="D3196" s="16"/>
      <c r="Q3196" s="16"/>
    </row>
    <row r="3197" spans="4:26" x14ac:dyDescent="0.25">
      <c r="D3197" s="17"/>
      <c r="Q3197" s="17"/>
      <c r="T3197" s="1"/>
      <c r="X3197" s="1"/>
      <c r="Y3197" s="1"/>
      <c r="Z3197" s="1"/>
    </row>
    <row r="3199" spans="4:26" x14ac:dyDescent="0.25">
      <c r="D3199" s="16"/>
      <c r="Q3199" s="16"/>
    </row>
    <row r="3200" spans="4:26" x14ac:dyDescent="0.25">
      <c r="D3200" s="17"/>
      <c r="Q3200" s="17"/>
      <c r="T3200" s="1"/>
      <c r="X3200" s="1"/>
      <c r="Y3200" s="1"/>
      <c r="Z3200" s="1"/>
    </row>
    <row r="3202" spans="4:26" x14ac:dyDescent="0.25">
      <c r="D3202" s="16"/>
      <c r="Q3202" s="16"/>
    </row>
    <row r="3203" spans="4:26" x14ac:dyDescent="0.25">
      <c r="D3203" s="17"/>
      <c r="Q3203" s="17"/>
      <c r="T3203" s="1"/>
      <c r="X3203" s="1"/>
      <c r="Y3203" s="1"/>
      <c r="Z3203" s="1"/>
    </row>
    <row r="3205" spans="4:26" x14ac:dyDescent="0.25">
      <c r="D3205" s="16"/>
      <c r="Q3205" s="16"/>
    </row>
    <row r="3206" spans="4:26" x14ac:dyDescent="0.25">
      <c r="D3206" s="17"/>
      <c r="Q3206" s="17"/>
      <c r="T3206" s="1"/>
      <c r="X3206" s="1"/>
      <c r="Y3206" s="1"/>
      <c r="Z3206" s="1"/>
    </row>
    <row r="3208" spans="4:26" x14ac:dyDescent="0.25">
      <c r="D3208" s="16"/>
      <c r="Q3208" s="16"/>
    </row>
    <row r="3209" spans="4:26" x14ac:dyDescent="0.25">
      <c r="D3209" s="16"/>
      <c r="Q3209" s="16"/>
      <c r="T3209" s="1"/>
      <c r="X3209" s="1"/>
      <c r="Y3209" s="1"/>
      <c r="Z3209" s="1"/>
    </row>
    <row r="3212" spans="4:26" x14ac:dyDescent="0.25">
      <c r="D3212" s="16"/>
      <c r="Q3212" s="16"/>
      <c r="T3212" s="1"/>
      <c r="X3212" s="1"/>
      <c r="Y3212" s="1"/>
      <c r="Z3212" s="1"/>
    </row>
    <row r="3215" spans="4:26" x14ac:dyDescent="0.25">
      <c r="D3215" s="16"/>
      <c r="Q3215" s="16"/>
      <c r="T3215" s="1"/>
      <c r="X3215" s="1"/>
      <c r="Y3215" s="1"/>
      <c r="Z3215" s="1"/>
    </row>
    <row r="3216" spans="4:26" x14ac:dyDescent="0.25">
      <c r="D3216" s="16"/>
      <c r="Q3216" s="16"/>
    </row>
    <row r="3218" spans="4:26" x14ac:dyDescent="0.25">
      <c r="D3218" s="17"/>
      <c r="Q3218" s="17"/>
      <c r="T3218" s="1"/>
      <c r="X3218" s="1"/>
      <c r="Y3218" s="1"/>
      <c r="Z3218" s="1"/>
    </row>
    <row r="3219" spans="4:26" x14ac:dyDescent="0.25">
      <c r="D3219" s="16"/>
      <c r="Q3219" s="16"/>
    </row>
    <row r="3220" spans="4:26" x14ac:dyDescent="0.25">
      <c r="D3220" s="16"/>
      <c r="Q3220" s="16"/>
    </row>
    <row r="3221" spans="4:26" x14ac:dyDescent="0.25">
      <c r="D3221" s="17"/>
      <c r="Q3221" s="17"/>
      <c r="T3221" s="1"/>
      <c r="X3221" s="1"/>
      <c r="Y3221" s="1"/>
      <c r="Z3221" s="1"/>
    </row>
    <row r="3223" spans="4:26" x14ac:dyDescent="0.25">
      <c r="D3223" s="16"/>
      <c r="Q3223" s="16"/>
    </row>
    <row r="3224" spans="4:26" x14ac:dyDescent="0.25">
      <c r="D3224" s="16"/>
      <c r="Q3224" s="16"/>
      <c r="T3224" s="1"/>
      <c r="X3224" s="1"/>
      <c r="Y3224" s="1"/>
      <c r="Z3224" s="1"/>
    </row>
    <row r="3227" spans="4:26" x14ac:dyDescent="0.25">
      <c r="D3227" s="16"/>
      <c r="Q3227" s="16"/>
      <c r="T3227" s="1"/>
      <c r="X3227" s="1"/>
      <c r="Y3227" s="1"/>
      <c r="Z3227" s="1"/>
    </row>
    <row r="3228" spans="4:26" x14ac:dyDescent="0.25">
      <c r="D3228" s="16"/>
      <c r="Q3228" s="16"/>
    </row>
    <row r="3230" spans="4:26" x14ac:dyDescent="0.25">
      <c r="D3230" s="17"/>
      <c r="Q3230" s="17"/>
      <c r="T3230" s="1"/>
      <c r="X3230" s="1"/>
      <c r="Y3230" s="1"/>
      <c r="Z3230" s="1"/>
    </row>
    <row r="3231" spans="4:26" x14ac:dyDescent="0.25">
      <c r="D3231" s="16"/>
      <c r="Q3231" s="16"/>
    </row>
    <row r="3232" spans="4:26" x14ac:dyDescent="0.25">
      <c r="D3232" s="16"/>
      <c r="Q3232" s="16"/>
    </row>
    <row r="3233" spans="4:26" x14ac:dyDescent="0.25">
      <c r="D3233" s="17"/>
      <c r="Q3233" s="17"/>
      <c r="T3233" s="1"/>
      <c r="X3233" s="1"/>
      <c r="Y3233" s="1"/>
      <c r="Z3233" s="1"/>
    </row>
    <row r="3235" spans="4:26" x14ac:dyDescent="0.25">
      <c r="D3235" s="16"/>
      <c r="Q3235" s="16"/>
    </row>
    <row r="3236" spans="4:26" x14ac:dyDescent="0.25">
      <c r="D3236" s="16"/>
      <c r="Q3236" s="16"/>
      <c r="T3236" s="1"/>
      <c r="X3236" s="1"/>
      <c r="Y3236" s="1"/>
      <c r="Z3236" s="1"/>
    </row>
    <row r="3239" spans="4:26" x14ac:dyDescent="0.25">
      <c r="D3239" s="16"/>
      <c r="Q3239" s="16"/>
      <c r="T3239" s="1"/>
      <c r="X3239" s="1"/>
      <c r="Y3239" s="1"/>
      <c r="Z3239" s="1"/>
    </row>
    <row r="3240" spans="4:26" x14ac:dyDescent="0.25">
      <c r="D3240" s="16"/>
      <c r="Q3240" s="16"/>
    </row>
    <row r="3241" spans="4:26" x14ac:dyDescent="0.25">
      <c r="D3241" s="16"/>
      <c r="Q3241" s="16"/>
    </row>
    <row r="3242" spans="4:26" x14ac:dyDescent="0.25">
      <c r="D3242" s="17"/>
      <c r="Q3242" s="17"/>
      <c r="T3242" s="1"/>
      <c r="X3242" s="1"/>
      <c r="Y3242" s="1"/>
      <c r="Z3242" s="1"/>
    </row>
    <row r="3244" spans="4:26" x14ac:dyDescent="0.25">
      <c r="D3244" s="16"/>
      <c r="Q3244" s="16"/>
    </row>
    <row r="3245" spans="4:26" x14ac:dyDescent="0.25">
      <c r="D3245" s="16"/>
      <c r="Q3245" s="16"/>
      <c r="T3245" s="1"/>
      <c r="X3245" s="1"/>
      <c r="Y3245" s="1"/>
      <c r="Z3245" s="1"/>
    </row>
    <row r="3246" spans="4:26" x14ac:dyDescent="0.25">
      <c r="D3246" s="16"/>
      <c r="Q3246" s="16"/>
    </row>
    <row r="3248" spans="4:26" x14ac:dyDescent="0.25">
      <c r="D3248" s="17"/>
      <c r="Q3248" s="17"/>
      <c r="T3248" s="1"/>
      <c r="X3248" s="1"/>
      <c r="Y3248" s="1"/>
      <c r="Z3248" s="1"/>
    </row>
    <row r="3249" spans="4:26" x14ac:dyDescent="0.25">
      <c r="D3249" s="16"/>
      <c r="Q3249" s="16"/>
    </row>
    <row r="3250" spans="4:26" x14ac:dyDescent="0.25">
      <c r="D3250" s="16"/>
      <c r="Q3250" s="16"/>
    </row>
    <row r="3251" spans="4:26" x14ac:dyDescent="0.25">
      <c r="D3251" s="17"/>
      <c r="Q3251" s="17"/>
      <c r="T3251" s="1"/>
      <c r="X3251" s="1"/>
      <c r="Y3251" s="1"/>
      <c r="Z3251" s="1"/>
    </row>
    <row r="3253" spans="4:26" x14ac:dyDescent="0.25">
      <c r="D3253" s="16"/>
      <c r="Q3253" s="16"/>
    </row>
    <row r="3254" spans="4:26" x14ac:dyDescent="0.25">
      <c r="D3254" s="16"/>
      <c r="Q3254" s="16"/>
      <c r="T3254" s="1"/>
      <c r="X3254" s="1"/>
      <c r="Y3254" s="1"/>
      <c r="Z3254" s="1"/>
    </row>
    <row r="3255" spans="4:26" x14ac:dyDescent="0.25">
      <c r="D3255" s="16"/>
      <c r="Q3255" s="16"/>
    </row>
    <row r="3257" spans="4:26" x14ac:dyDescent="0.25">
      <c r="D3257" s="17"/>
      <c r="Q3257" s="17"/>
      <c r="T3257" s="1"/>
      <c r="X3257" s="1"/>
      <c r="Y3257" s="1"/>
      <c r="Z3257" s="1"/>
    </row>
    <row r="3258" spans="4:26" x14ac:dyDescent="0.25">
      <c r="D3258" s="16"/>
      <c r="Q3258" s="16"/>
    </row>
    <row r="3260" spans="4:26" x14ac:dyDescent="0.25">
      <c r="D3260" s="17"/>
      <c r="Q3260" s="17"/>
      <c r="T3260" s="1"/>
      <c r="X3260" s="1"/>
      <c r="Y3260" s="1"/>
      <c r="Z3260" s="1"/>
    </row>
    <row r="3261" spans="4:26" x14ac:dyDescent="0.25">
      <c r="D3261" s="16"/>
      <c r="Q3261" s="16"/>
    </row>
    <row r="3262" spans="4:26" x14ac:dyDescent="0.25">
      <c r="D3262" s="16"/>
      <c r="Q3262" s="16"/>
    </row>
    <row r="3263" spans="4:26" x14ac:dyDescent="0.25">
      <c r="D3263" s="17"/>
      <c r="Q3263" s="17"/>
      <c r="T3263" s="1"/>
      <c r="X3263" s="1"/>
      <c r="Y3263" s="1"/>
      <c r="Z3263" s="1"/>
    </row>
    <row r="3265" spans="4:26" x14ac:dyDescent="0.25">
      <c r="D3265" s="16"/>
      <c r="Q3265" s="16"/>
    </row>
    <row r="3266" spans="4:26" x14ac:dyDescent="0.25">
      <c r="D3266" s="17"/>
      <c r="Q3266" s="17"/>
      <c r="T3266" s="1"/>
      <c r="X3266" s="1"/>
      <c r="Y3266" s="1"/>
      <c r="Z3266" s="1"/>
    </row>
    <row r="3268" spans="4:26" x14ac:dyDescent="0.25">
      <c r="D3268" s="16"/>
      <c r="Q3268" s="16"/>
    </row>
    <row r="3269" spans="4:26" x14ac:dyDescent="0.25">
      <c r="D3269" s="17"/>
      <c r="Q3269" s="17"/>
      <c r="T3269" s="1"/>
      <c r="X3269" s="1"/>
      <c r="Y3269" s="1"/>
      <c r="Z3269" s="1"/>
    </row>
    <row r="3271" spans="4:26" x14ac:dyDescent="0.25">
      <c r="D3271" s="16"/>
      <c r="Q3271" s="16"/>
    </row>
    <row r="3272" spans="4:26" x14ac:dyDescent="0.25">
      <c r="D3272" s="17"/>
      <c r="Q3272" s="17"/>
      <c r="T3272" s="1"/>
      <c r="X3272" s="1"/>
      <c r="Y3272" s="1"/>
      <c r="Z3272" s="1"/>
    </row>
    <row r="3274" spans="4:26" x14ac:dyDescent="0.25">
      <c r="D3274" s="16"/>
      <c r="Q3274" s="16"/>
    </row>
    <row r="3275" spans="4:26" x14ac:dyDescent="0.25">
      <c r="D3275" s="17"/>
      <c r="Q3275" s="17"/>
      <c r="T3275" s="1"/>
      <c r="X3275" s="1"/>
      <c r="Y3275" s="1"/>
      <c r="Z3275" s="1"/>
    </row>
    <row r="3277" spans="4:26" x14ac:dyDescent="0.25">
      <c r="D3277" s="16"/>
      <c r="Q3277" s="16"/>
    </row>
    <row r="3278" spans="4:26" x14ac:dyDescent="0.25">
      <c r="D3278" s="17"/>
      <c r="Q3278" s="17"/>
      <c r="T3278" s="1"/>
      <c r="X3278" s="1"/>
      <c r="Y3278" s="1"/>
      <c r="Z3278" s="1"/>
    </row>
    <row r="3280" spans="4:26" x14ac:dyDescent="0.25">
      <c r="D3280" s="16"/>
      <c r="Q3280" s="16"/>
    </row>
    <row r="3281" spans="4:26" x14ac:dyDescent="0.25">
      <c r="D3281" s="17"/>
      <c r="Q3281" s="17"/>
      <c r="T3281" s="1"/>
      <c r="X3281" s="1"/>
      <c r="Y3281" s="1"/>
      <c r="Z3281" s="1"/>
    </row>
    <row r="3283" spans="4:26" x14ac:dyDescent="0.25">
      <c r="D3283" s="16"/>
      <c r="Q3283" s="16"/>
    </row>
    <row r="3284" spans="4:26" x14ac:dyDescent="0.25">
      <c r="D3284" s="17"/>
      <c r="Q3284" s="17"/>
      <c r="T3284" s="1"/>
      <c r="X3284" s="1"/>
      <c r="Y3284" s="1"/>
      <c r="Z3284" s="1"/>
    </row>
    <row r="3286" spans="4:26" x14ac:dyDescent="0.25">
      <c r="D3286" s="16"/>
      <c r="Q3286" s="16"/>
    </row>
    <row r="3287" spans="4:26" x14ac:dyDescent="0.25">
      <c r="D3287" s="17"/>
      <c r="Q3287" s="17"/>
      <c r="T3287" s="1"/>
      <c r="X3287" s="1"/>
      <c r="Y3287" s="1"/>
      <c r="Z3287" s="1"/>
    </row>
    <row r="3289" spans="4:26" x14ac:dyDescent="0.25">
      <c r="D3289" s="16"/>
      <c r="Q3289" s="16"/>
    </row>
    <row r="3290" spans="4:26" x14ac:dyDescent="0.25">
      <c r="D3290" s="17"/>
      <c r="Q3290" s="17"/>
      <c r="T3290" s="1"/>
      <c r="X3290" s="1"/>
      <c r="Y3290" s="1"/>
      <c r="Z3290" s="1"/>
    </row>
    <row r="3292" spans="4:26" x14ac:dyDescent="0.25">
      <c r="D3292" s="16"/>
      <c r="Q3292" s="16"/>
    </row>
    <row r="3293" spans="4:26" x14ac:dyDescent="0.25">
      <c r="D3293" s="17"/>
      <c r="Q3293" s="17"/>
      <c r="T3293" s="1"/>
      <c r="X3293" s="1"/>
      <c r="Y3293" s="1"/>
      <c r="Z3293" s="1"/>
    </row>
    <row r="3295" spans="4:26" x14ac:dyDescent="0.25">
      <c r="D3295" s="16"/>
      <c r="Q3295" s="16"/>
    </row>
    <row r="3296" spans="4:26" x14ac:dyDescent="0.25">
      <c r="D3296" s="17"/>
      <c r="Q3296" s="17"/>
      <c r="T3296" s="1"/>
      <c r="X3296" s="1"/>
      <c r="Y3296" s="1"/>
      <c r="Z3296" s="1"/>
    </row>
    <row r="3298" spans="4:26" x14ac:dyDescent="0.25">
      <c r="D3298" s="16"/>
      <c r="Q3298" s="16"/>
    </row>
    <row r="3299" spans="4:26" x14ac:dyDescent="0.25">
      <c r="D3299" s="17"/>
      <c r="Q3299" s="17"/>
      <c r="T3299" s="1"/>
      <c r="X3299" s="1"/>
      <c r="Y3299" s="1"/>
      <c r="Z3299" s="1"/>
    </row>
    <row r="3301" spans="4:26" x14ac:dyDescent="0.25">
      <c r="D3301" s="16"/>
      <c r="Q3301" s="16"/>
    </row>
    <row r="3302" spans="4:26" x14ac:dyDescent="0.25">
      <c r="D3302" s="17"/>
      <c r="Q3302" s="17"/>
      <c r="T3302" s="1"/>
      <c r="X3302" s="1"/>
      <c r="Y3302" s="1"/>
      <c r="Z3302" s="1"/>
    </row>
    <row r="3304" spans="4:26" x14ac:dyDescent="0.25">
      <c r="D3304" s="16"/>
      <c r="Q3304" s="16"/>
    </row>
    <row r="3305" spans="4:26" x14ac:dyDescent="0.25">
      <c r="D3305" s="17"/>
      <c r="Q3305" s="17"/>
      <c r="T3305" s="1"/>
      <c r="X3305" s="1"/>
      <c r="Y3305" s="1"/>
      <c r="Z3305" s="1"/>
    </row>
    <row r="3307" spans="4:26" x14ac:dyDescent="0.25">
      <c r="D3307" s="16"/>
      <c r="Q3307" s="16"/>
    </row>
    <row r="3308" spans="4:26" x14ac:dyDescent="0.25">
      <c r="D3308" s="17"/>
      <c r="Q3308" s="17"/>
      <c r="T3308" s="1"/>
      <c r="X3308" s="1"/>
      <c r="Y3308" s="1"/>
      <c r="Z3308" s="1"/>
    </row>
    <row r="3310" spans="4:26" x14ac:dyDescent="0.25">
      <c r="D3310" s="16"/>
      <c r="Q3310" s="16"/>
    </row>
    <row r="3311" spans="4:26" x14ac:dyDescent="0.25">
      <c r="D3311" s="17"/>
      <c r="Q3311" s="17"/>
      <c r="T3311" s="1"/>
      <c r="X3311" s="1"/>
      <c r="Y3311" s="1"/>
      <c r="Z3311" s="1"/>
    </row>
    <row r="3313" spans="4:26" x14ac:dyDescent="0.25">
      <c r="D3313" s="16"/>
      <c r="Q3313" s="16"/>
    </row>
    <row r="3314" spans="4:26" x14ac:dyDescent="0.25">
      <c r="D3314" s="17"/>
      <c r="Q3314" s="17"/>
      <c r="T3314" s="1"/>
      <c r="X3314" s="1"/>
      <c r="Y3314" s="1"/>
      <c r="Z3314" s="1"/>
    </row>
    <row r="3316" spans="4:26" x14ac:dyDescent="0.25">
      <c r="D3316" s="16"/>
      <c r="Q3316" s="16"/>
    </row>
    <row r="3317" spans="4:26" x14ac:dyDescent="0.25">
      <c r="D3317" s="17"/>
      <c r="Q3317" s="17"/>
      <c r="T3317" s="1"/>
      <c r="X3317" s="1"/>
      <c r="Y3317" s="1"/>
      <c r="Z3317" s="1"/>
    </row>
    <row r="3319" spans="4:26" x14ac:dyDescent="0.25">
      <c r="D3319" s="16"/>
      <c r="Q3319" s="16"/>
    </row>
    <row r="3320" spans="4:26" x14ac:dyDescent="0.25">
      <c r="D3320" s="17"/>
      <c r="Q3320" s="17"/>
      <c r="T3320" s="1"/>
      <c r="X3320" s="1"/>
      <c r="Y3320" s="1"/>
      <c r="Z3320" s="1"/>
    </row>
    <row r="3321" spans="4:26" x14ac:dyDescent="0.25">
      <c r="D3321" s="17"/>
      <c r="Q3321" s="17"/>
      <c r="T3321" s="1"/>
      <c r="X3321" s="1"/>
      <c r="Y3321" s="1"/>
      <c r="Z3321" s="1"/>
    </row>
    <row r="3322" spans="4:26" x14ac:dyDescent="0.25">
      <c r="D3322" s="16"/>
      <c r="Q3322" s="16"/>
    </row>
    <row r="3324" spans="4:26" x14ac:dyDescent="0.25">
      <c r="D3324" s="17"/>
      <c r="Q3324" s="17"/>
      <c r="T3324" s="1"/>
      <c r="X3324" s="1"/>
      <c r="Y3324" s="1"/>
      <c r="Z3324" s="1"/>
    </row>
    <row r="3325" spans="4:26" x14ac:dyDescent="0.25">
      <c r="D3325" s="16"/>
      <c r="Q3325" s="16"/>
    </row>
    <row r="3327" spans="4:26" x14ac:dyDescent="0.25">
      <c r="D3327" s="17"/>
      <c r="Q3327" s="17"/>
      <c r="T3327" s="1"/>
      <c r="X3327" s="1"/>
      <c r="Y3327" s="1"/>
      <c r="Z3327" s="1"/>
    </row>
    <row r="3328" spans="4:26" x14ac:dyDescent="0.25">
      <c r="D3328" s="16"/>
      <c r="Q3328" s="16"/>
      <c r="T3328" s="1"/>
      <c r="X3328" s="1"/>
      <c r="Y3328" s="1"/>
      <c r="Z3328" s="1"/>
    </row>
    <row r="3329" spans="4:26" x14ac:dyDescent="0.25">
      <c r="D3329" s="17"/>
      <c r="Q3329" s="17"/>
      <c r="T3329" s="1"/>
      <c r="X3329" s="1"/>
      <c r="Y3329" s="1"/>
      <c r="Z3329" s="1"/>
    </row>
    <row r="3330" spans="4:26" x14ac:dyDescent="0.25">
      <c r="D3330" s="17"/>
      <c r="Q3330" s="17"/>
      <c r="T3330" s="1"/>
      <c r="X3330" s="1"/>
      <c r="Y3330" s="1"/>
      <c r="Z3330" s="1"/>
    </row>
    <row r="3331" spans="4:26" x14ac:dyDescent="0.25">
      <c r="D3331" s="16"/>
      <c r="Q3331" s="16"/>
    </row>
    <row r="3333" spans="4:26" x14ac:dyDescent="0.25">
      <c r="D3333" s="17"/>
      <c r="Q3333" s="17"/>
      <c r="T3333" s="1"/>
      <c r="X3333" s="1"/>
      <c r="Y3333" s="1"/>
      <c r="Z3333" s="1"/>
    </row>
    <row r="3334" spans="4:26" x14ac:dyDescent="0.25">
      <c r="D3334" s="16"/>
      <c r="Q3334" s="16"/>
      <c r="T3334" s="1"/>
      <c r="X3334" s="1"/>
      <c r="Y3334" s="1"/>
      <c r="Z3334" s="1"/>
    </row>
    <row r="3337" spans="4:26" x14ac:dyDescent="0.25">
      <c r="D3337" s="16"/>
      <c r="Q3337" s="16"/>
      <c r="T3337" s="1"/>
      <c r="X3337" s="1"/>
      <c r="Y3337" s="1"/>
      <c r="Z3337" s="1"/>
    </row>
    <row r="3338" spans="4:26" x14ac:dyDescent="0.25">
      <c r="D3338" s="17"/>
      <c r="Q3338" s="17"/>
      <c r="T3338" s="1"/>
      <c r="X3338" s="1"/>
      <c r="Y3338" s="1"/>
      <c r="Z3338" s="1"/>
    </row>
    <row r="3339" spans="4:26" x14ac:dyDescent="0.25">
      <c r="D3339" s="17"/>
      <c r="Q3339" s="17"/>
      <c r="T3339" s="1"/>
      <c r="X3339" s="1"/>
      <c r="Y3339" s="1"/>
      <c r="Z3339" s="1"/>
    </row>
    <row r="3340" spans="4:26" x14ac:dyDescent="0.25">
      <c r="D3340" s="16"/>
      <c r="Q3340" s="16"/>
      <c r="T3340" s="1"/>
      <c r="X3340" s="1"/>
      <c r="Y3340" s="1"/>
      <c r="Z3340" s="1"/>
    </row>
    <row r="3343" spans="4:26" x14ac:dyDescent="0.25">
      <c r="D3343" s="16"/>
      <c r="Q3343" s="16"/>
      <c r="T3343" s="1"/>
      <c r="X3343" s="1"/>
      <c r="Y3343" s="1"/>
      <c r="Z3343" s="1"/>
    </row>
    <row r="3344" spans="4:26" x14ac:dyDescent="0.25">
      <c r="D3344" s="16"/>
      <c r="Q3344" s="16"/>
    </row>
    <row r="3345" spans="4:26" x14ac:dyDescent="0.25">
      <c r="D3345" s="16"/>
      <c r="Q3345" s="16"/>
    </row>
    <row r="3346" spans="4:26" x14ac:dyDescent="0.25">
      <c r="D3346" s="16"/>
      <c r="Q3346" s="16"/>
      <c r="T3346" s="1"/>
      <c r="X3346" s="1"/>
      <c r="Y3346" s="1"/>
      <c r="Z3346" s="1"/>
    </row>
    <row r="3349" spans="4:26" x14ac:dyDescent="0.25">
      <c r="D3349" s="16"/>
      <c r="Q3349" s="16"/>
      <c r="T3349" s="1"/>
      <c r="X3349" s="1"/>
      <c r="Y3349" s="1"/>
      <c r="Z3349" s="1"/>
    </row>
    <row r="3352" spans="4:26" x14ac:dyDescent="0.25">
      <c r="D3352" s="16"/>
      <c r="Q3352" s="16"/>
      <c r="T3352" s="1"/>
      <c r="X3352" s="1"/>
      <c r="Y3352" s="1"/>
      <c r="Z3352" s="1"/>
    </row>
    <row r="3355" spans="4:26" x14ac:dyDescent="0.25">
      <c r="D3355" s="16"/>
      <c r="Q3355" s="16"/>
      <c r="T3355" s="1"/>
      <c r="X3355" s="1"/>
      <c r="Y3355" s="1"/>
      <c r="Z3355" s="1"/>
    </row>
    <row r="3358" spans="4:26" x14ac:dyDescent="0.25">
      <c r="D3358" s="16"/>
      <c r="Q3358" s="16"/>
      <c r="T3358" s="1"/>
      <c r="X3358" s="1"/>
      <c r="Y3358" s="1"/>
      <c r="Z3358" s="1"/>
    </row>
    <row r="3361" spans="4:26" x14ac:dyDescent="0.25">
      <c r="D3361" s="16"/>
      <c r="Q3361" s="16"/>
      <c r="T3361" s="1"/>
      <c r="X3361" s="1"/>
      <c r="Y3361" s="1"/>
      <c r="Z3361" s="1"/>
    </row>
    <row r="3364" spans="4:26" x14ac:dyDescent="0.25">
      <c r="D3364" s="16"/>
      <c r="Q3364" s="16"/>
      <c r="T3364" s="1"/>
      <c r="X3364" s="1"/>
      <c r="Y3364" s="1"/>
      <c r="Z3364" s="1"/>
    </row>
    <row r="3367" spans="4:26" x14ac:dyDescent="0.25">
      <c r="D3367" s="16"/>
      <c r="Q3367" s="16"/>
      <c r="T3367" s="1"/>
      <c r="X3367" s="1"/>
      <c r="Y3367" s="1"/>
      <c r="Z3367" s="1"/>
    </row>
    <row r="3370" spans="4:26" x14ac:dyDescent="0.25">
      <c r="D3370" s="16"/>
      <c r="Q3370" s="16"/>
      <c r="T3370" s="1"/>
      <c r="X3370" s="1"/>
      <c r="Y3370" s="1"/>
      <c r="Z3370" s="1"/>
    </row>
    <row r="3373" spans="4:26" x14ac:dyDescent="0.25">
      <c r="D3373" s="16"/>
      <c r="Q3373" s="16"/>
      <c r="T3373" s="1"/>
      <c r="X3373" s="1"/>
      <c r="Y3373" s="1"/>
      <c r="Z3373" s="1"/>
    </row>
    <row r="3374" spans="4:26" x14ac:dyDescent="0.25">
      <c r="D3374" s="17"/>
      <c r="Q3374" s="17"/>
      <c r="T3374" s="1"/>
      <c r="X3374" s="1"/>
      <c r="Y3374" s="1"/>
      <c r="Z3374" s="1"/>
    </row>
    <row r="3375" spans="4:26" x14ac:dyDescent="0.25">
      <c r="D3375" s="17"/>
      <c r="Q3375" s="17"/>
      <c r="T3375" s="1"/>
      <c r="X3375" s="1"/>
      <c r="Y3375" s="1"/>
      <c r="Z3375" s="1"/>
    </row>
    <row r="3376" spans="4:26" x14ac:dyDescent="0.25">
      <c r="D3376" s="16"/>
      <c r="Q3376" s="16"/>
    </row>
    <row r="3378" spans="4:26" x14ac:dyDescent="0.25">
      <c r="D3378" s="17"/>
      <c r="Q3378" s="17"/>
      <c r="T3378" s="1"/>
      <c r="X3378" s="1"/>
      <c r="Y3378" s="1"/>
      <c r="Z3378" s="1"/>
    </row>
    <row r="3379" spans="4:26" x14ac:dyDescent="0.25">
      <c r="D3379" s="16"/>
      <c r="Q3379" s="16"/>
    </row>
    <row r="3381" spans="4:26" x14ac:dyDescent="0.25">
      <c r="D3381" s="17"/>
      <c r="Q3381" s="17"/>
      <c r="T3381" s="1"/>
      <c r="X3381" s="1"/>
      <c r="Y3381" s="1"/>
      <c r="Z3381" s="1"/>
    </row>
    <row r="3382" spans="4:26" x14ac:dyDescent="0.25">
      <c r="D3382" s="16"/>
      <c r="Q3382" s="16"/>
    </row>
    <row r="3384" spans="4:26" x14ac:dyDescent="0.25">
      <c r="D3384" s="17"/>
      <c r="Q3384" s="17"/>
      <c r="T3384" s="1"/>
      <c r="X3384" s="1"/>
      <c r="Y3384" s="1"/>
      <c r="Z3384" s="1"/>
    </row>
    <row r="3385" spans="4:26" x14ac:dyDescent="0.25">
      <c r="D3385" s="16"/>
      <c r="Q3385" s="16"/>
      <c r="T3385" s="1"/>
      <c r="X3385" s="1"/>
      <c r="Y3385" s="1"/>
      <c r="Z3385" s="1"/>
    </row>
    <row r="3386" spans="4:26" x14ac:dyDescent="0.25">
      <c r="D3386" s="17"/>
      <c r="Q3386" s="17"/>
      <c r="T3386" s="1"/>
      <c r="X3386" s="1"/>
      <c r="Y3386" s="1"/>
      <c r="Z3386" s="1"/>
    </row>
    <row r="3388" spans="4:26" x14ac:dyDescent="0.25">
      <c r="D3388" s="16"/>
      <c r="Q3388" s="16"/>
    </row>
    <row r="3389" spans="4:26" x14ac:dyDescent="0.25">
      <c r="D3389" s="17"/>
      <c r="Q3389" s="17"/>
      <c r="T3389" s="1"/>
      <c r="X3389" s="1"/>
      <c r="Y3389" s="1"/>
      <c r="Z3389" s="1"/>
    </row>
    <row r="3390" spans="4:26" x14ac:dyDescent="0.25">
      <c r="D3390" s="17"/>
      <c r="Q3390" s="17"/>
      <c r="T3390" s="1"/>
      <c r="X3390" s="1"/>
      <c r="Y3390" s="1"/>
      <c r="Z3390" s="1"/>
    </row>
    <row r="3391" spans="4:26" x14ac:dyDescent="0.25">
      <c r="D3391" s="16"/>
      <c r="Q3391" s="16"/>
    </row>
    <row r="3393" spans="4:26" x14ac:dyDescent="0.25">
      <c r="D3393" s="17"/>
      <c r="Q3393" s="17"/>
      <c r="T3393" s="1"/>
      <c r="X3393" s="1"/>
      <c r="Y3393" s="1"/>
      <c r="Z3393" s="1"/>
    </row>
    <row r="3394" spans="4:26" x14ac:dyDescent="0.25">
      <c r="D3394" s="16"/>
      <c r="Q3394" s="16"/>
    </row>
    <row r="3396" spans="4:26" x14ac:dyDescent="0.25">
      <c r="D3396" s="17"/>
      <c r="Q3396" s="17"/>
      <c r="T3396" s="1"/>
      <c r="X3396" s="1"/>
      <c r="Y3396" s="1"/>
      <c r="Z3396" s="1"/>
    </row>
    <row r="3397" spans="4:26" x14ac:dyDescent="0.25">
      <c r="D3397" s="16"/>
      <c r="Q3397" s="16"/>
    </row>
    <row r="3399" spans="4:26" x14ac:dyDescent="0.25">
      <c r="D3399" s="17"/>
      <c r="Q3399" s="17"/>
      <c r="T3399" s="1"/>
      <c r="X3399" s="1"/>
      <c r="Y3399" s="1"/>
      <c r="Z3399" s="1"/>
    </row>
    <row r="3400" spans="4:26" x14ac:dyDescent="0.25">
      <c r="D3400" s="16"/>
      <c r="Q3400" s="16"/>
    </row>
    <row r="3402" spans="4:26" x14ac:dyDescent="0.25">
      <c r="D3402" s="17"/>
      <c r="Q3402" s="17"/>
      <c r="T3402" s="1"/>
      <c r="X3402" s="1"/>
      <c r="Y3402" s="1"/>
      <c r="Z3402" s="1"/>
    </row>
    <row r="3403" spans="4:26" x14ac:dyDescent="0.25">
      <c r="D3403" s="16"/>
      <c r="Q3403" s="16"/>
    </row>
    <row r="3405" spans="4:26" x14ac:dyDescent="0.25">
      <c r="D3405" s="17"/>
      <c r="Q3405" s="17"/>
      <c r="T3405" s="1"/>
      <c r="X3405" s="1"/>
      <c r="Y3405" s="1"/>
      <c r="Z3405" s="1"/>
    </row>
    <row r="3406" spans="4:26" x14ac:dyDescent="0.25">
      <c r="D3406" s="16"/>
      <c r="Q3406" s="16"/>
      <c r="T3406" s="1"/>
      <c r="X3406" s="1"/>
      <c r="Y3406" s="1"/>
      <c r="Z3406" s="1"/>
    </row>
    <row r="3407" spans="4:26" x14ac:dyDescent="0.25">
      <c r="D3407" s="17"/>
      <c r="Q3407" s="17"/>
      <c r="T3407" s="1"/>
      <c r="X3407" s="1"/>
      <c r="Y3407" s="1"/>
      <c r="Z3407" s="1"/>
    </row>
    <row r="3409" spans="4:26" x14ac:dyDescent="0.25">
      <c r="D3409" s="16"/>
      <c r="Q3409" s="16"/>
    </row>
    <row r="3410" spans="4:26" x14ac:dyDescent="0.25">
      <c r="D3410" s="17"/>
      <c r="Q3410" s="17"/>
      <c r="T3410" s="1"/>
      <c r="X3410" s="1"/>
      <c r="Y3410" s="1"/>
      <c r="Z3410" s="1"/>
    </row>
    <row r="3412" spans="4:26" x14ac:dyDescent="0.25">
      <c r="D3412" s="16"/>
      <c r="Q3412" s="16"/>
    </row>
    <row r="3413" spans="4:26" x14ac:dyDescent="0.25">
      <c r="D3413" s="16"/>
      <c r="Q3413" s="16"/>
      <c r="T3413" s="1"/>
      <c r="X3413" s="1"/>
      <c r="Y3413" s="1"/>
      <c r="Z3413" s="1"/>
    </row>
    <row r="3416" spans="4:26" x14ac:dyDescent="0.25">
      <c r="D3416" s="16"/>
      <c r="Q3416" s="16"/>
      <c r="T3416" s="1"/>
      <c r="X3416" s="1"/>
      <c r="Y3416" s="1"/>
      <c r="Z3416" s="1"/>
    </row>
    <row r="3417" spans="4:26" x14ac:dyDescent="0.25">
      <c r="D3417" s="16"/>
      <c r="Q3417" s="16"/>
      <c r="T3417" s="1"/>
      <c r="X3417" s="1"/>
      <c r="Y3417" s="1"/>
      <c r="Z3417" s="1"/>
    </row>
    <row r="3418" spans="4:26" x14ac:dyDescent="0.25">
      <c r="D3418" s="17"/>
      <c r="Q3418" s="17"/>
      <c r="T3418" s="1"/>
      <c r="X3418" s="1"/>
      <c r="Y3418" s="1"/>
      <c r="Z3418" s="1"/>
    </row>
    <row r="3420" spans="4:26" x14ac:dyDescent="0.25">
      <c r="D3420" s="16"/>
      <c r="Q3420" s="16"/>
    </row>
    <row r="3421" spans="4:26" x14ac:dyDescent="0.25">
      <c r="D3421" s="16"/>
      <c r="Q3421" s="16"/>
      <c r="T3421" s="1"/>
      <c r="X3421" s="1"/>
      <c r="Y3421" s="1"/>
      <c r="Z3421" s="1"/>
    </row>
    <row r="3424" spans="4:26" x14ac:dyDescent="0.25">
      <c r="D3424" s="16"/>
      <c r="Q3424" s="16"/>
      <c r="T3424" s="1"/>
      <c r="X3424" s="1"/>
      <c r="Y3424" s="1"/>
      <c r="Z3424" s="1"/>
    </row>
    <row r="3425" spans="4:26" x14ac:dyDescent="0.25">
      <c r="D3425" s="16"/>
      <c r="Q3425" s="16"/>
      <c r="T3425" s="1"/>
      <c r="X3425" s="1"/>
      <c r="Y3425" s="1"/>
      <c r="Z3425" s="1"/>
    </row>
    <row r="3426" spans="4:26" x14ac:dyDescent="0.25">
      <c r="D3426" s="16"/>
      <c r="Q3426" s="16"/>
    </row>
    <row r="3428" spans="4:26" x14ac:dyDescent="0.25">
      <c r="D3428" s="17"/>
      <c r="Q3428" s="17"/>
      <c r="T3428" s="1"/>
      <c r="X3428" s="1"/>
      <c r="Y3428" s="1"/>
      <c r="Z3428" s="1"/>
    </row>
    <row r="3429" spans="4:26" x14ac:dyDescent="0.25">
      <c r="D3429" s="16"/>
      <c r="Q3429" s="16"/>
      <c r="T3429" s="1"/>
      <c r="X3429" s="1"/>
      <c r="Y3429" s="1"/>
      <c r="Z3429" s="1"/>
    </row>
    <row r="3430" spans="4:26" x14ac:dyDescent="0.25">
      <c r="D3430" s="17"/>
      <c r="Q3430" s="17"/>
      <c r="T3430" s="1"/>
      <c r="X3430" s="1"/>
      <c r="Y3430" s="1"/>
      <c r="Z3430" s="1"/>
    </row>
    <row r="3432" spans="4:26" x14ac:dyDescent="0.25">
      <c r="D3432" s="16"/>
      <c r="Q3432" s="16"/>
    </row>
    <row r="3433" spans="4:26" x14ac:dyDescent="0.25">
      <c r="D3433" s="16"/>
      <c r="Q3433" s="16"/>
      <c r="T3433" s="1"/>
      <c r="X3433" s="1"/>
      <c r="Y3433" s="1"/>
      <c r="Z3433" s="1"/>
    </row>
    <row r="3436" spans="4:26" x14ac:dyDescent="0.25">
      <c r="D3436" s="16"/>
      <c r="Q3436" s="16"/>
      <c r="T3436" s="1"/>
      <c r="X3436" s="1"/>
      <c r="Y3436" s="1"/>
      <c r="Z3436" s="1"/>
    </row>
    <row r="3437" spans="4:26" x14ac:dyDescent="0.25">
      <c r="D3437" s="17"/>
      <c r="Q3437" s="17"/>
      <c r="T3437" s="1"/>
      <c r="X3437" s="1"/>
      <c r="Y3437" s="1"/>
      <c r="Z3437" s="1"/>
    </row>
    <row r="3439" spans="4:26" x14ac:dyDescent="0.25">
      <c r="D3439" s="16"/>
      <c r="Q3439" s="16"/>
    </row>
    <row r="3440" spans="4:26" x14ac:dyDescent="0.25">
      <c r="D3440" s="16"/>
      <c r="Q3440" s="16"/>
      <c r="T3440" s="1"/>
      <c r="X3440" s="1"/>
      <c r="Y3440" s="1"/>
      <c r="Z3440" s="1"/>
    </row>
    <row r="3441" spans="4:26" x14ac:dyDescent="0.25">
      <c r="D3441" s="16"/>
      <c r="Q3441" s="16"/>
    </row>
    <row r="3443" spans="4:26" x14ac:dyDescent="0.25">
      <c r="D3443" s="17"/>
      <c r="Q3443" s="17"/>
      <c r="T3443" s="1"/>
      <c r="X3443" s="1"/>
      <c r="Y3443" s="1"/>
      <c r="Z3443" s="1"/>
    </row>
    <row r="3444" spans="4:26" x14ac:dyDescent="0.25">
      <c r="D3444" s="16"/>
      <c r="Q3444" s="16"/>
    </row>
    <row r="3446" spans="4:26" x14ac:dyDescent="0.25">
      <c r="D3446" s="17"/>
      <c r="Q3446" s="17"/>
      <c r="T3446" s="1"/>
      <c r="X3446" s="1"/>
      <c r="Y3446" s="1"/>
      <c r="Z3446" s="1"/>
    </row>
    <row r="3447" spans="4:26" x14ac:dyDescent="0.25">
      <c r="D3447" s="16"/>
      <c r="Q3447" s="16"/>
    </row>
    <row r="3448" spans="4:26" x14ac:dyDescent="0.25">
      <c r="D3448" s="16"/>
      <c r="Q3448" s="16"/>
    </row>
    <row r="3449" spans="4:26" x14ac:dyDescent="0.25">
      <c r="D3449" s="17"/>
      <c r="Q3449" s="17"/>
      <c r="T3449" s="1"/>
      <c r="X3449" s="1"/>
      <c r="Y3449" s="1"/>
      <c r="Z3449" s="1"/>
    </row>
    <row r="3450" spans="4:26" x14ac:dyDescent="0.25">
      <c r="D3450" s="17"/>
      <c r="Q3450" s="17"/>
      <c r="T3450" s="1"/>
      <c r="X3450" s="1"/>
      <c r="Y3450" s="1"/>
      <c r="Z3450" s="1"/>
    </row>
    <row r="3451" spans="4:26" x14ac:dyDescent="0.25">
      <c r="D3451" s="16"/>
      <c r="Q3451" s="16"/>
      <c r="T3451" s="1"/>
      <c r="X3451" s="1"/>
      <c r="Y3451" s="1"/>
      <c r="Z3451" s="1"/>
    </row>
    <row r="3454" spans="4:26" x14ac:dyDescent="0.25">
      <c r="D3454" s="16"/>
      <c r="Q3454" s="16"/>
      <c r="T3454" s="1"/>
      <c r="X3454" s="1"/>
      <c r="Y3454" s="1"/>
      <c r="Z3454" s="1"/>
    </row>
    <row r="3455" spans="4:26" x14ac:dyDescent="0.25">
      <c r="D3455" s="16"/>
      <c r="Q3455" s="16"/>
    </row>
    <row r="3457" spans="4:26" x14ac:dyDescent="0.25">
      <c r="D3457" s="17"/>
      <c r="Q3457" s="17"/>
      <c r="T3457" s="1"/>
      <c r="X3457" s="1"/>
      <c r="Y3457" s="1"/>
      <c r="Z3457" s="1"/>
    </row>
    <row r="3458" spans="4:26" x14ac:dyDescent="0.25">
      <c r="D3458" s="16"/>
      <c r="Q3458" s="16"/>
    </row>
    <row r="3459" spans="4:26" x14ac:dyDescent="0.25">
      <c r="D3459" s="16"/>
      <c r="Q3459" s="16"/>
    </row>
    <row r="3460" spans="4:26" x14ac:dyDescent="0.25">
      <c r="D3460" s="16"/>
      <c r="Q3460" s="16"/>
      <c r="T3460" s="1"/>
      <c r="X3460" s="1"/>
      <c r="Y3460" s="1"/>
      <c r="Z3460" s="1"/>
    </row>
    <row r="3461" spans="4:26" x14ac:dyDescent="0.25">
      <c r="D3461" s="16"/>
      <c r="Q3461" s="16"/>
    </row>
    <row r="3462" spans="4:26" x14ac:dyDescent="0.25">
      <c r="D3462" s="16"/>
      <c r="Q3462" s="16"/>
    </row>
    <row r="3463" spans="4:26" x14ac:dyDescent="0.25">
      <c r="D3463" s="17"/>
      <c r="Q3463" s="17"/>
      <c r="T3463" s="1"/>
      <c r="X3463" s="1"/>
      <c r="Y3463" s="1"/>
      <c r="Z3463" s="1"/>
    </row>
    <row r="3464" spans="4:26" x14ac:dyDescent="0.25">
      <c r="D3464" s="17"/>
      <c r="Q3464" s="17"/>
      <c r="T3464" s="1"/>
      <c r="X3464" s="1"/>
      <c r="Y3464" s="1"/>
      <c r="Z3464" s="1"/>
    </row>
    <row r="3465" spans="4:26" x14ac:dyDescent="0.25">
      <c r="D3465" s="16"/>
      <c r="Q3465" s="16"/>
      <c r="T3465" s="1"/>
      <c r="X3465" s="1"/>
      <c r="Y3465" s="1"/>
      <c r="Z3465" s="1"/>
    </row>
    <row r="3466" spans="4:26" x14ac:dyDescent="0.25">
      <c r="D3466" s="16"/>
      <c r="Q3466" s="16"/>
      <c r="T3466" s="1"/>
      <c r="X3466" s="1"/>
      <c r="Y3466" s="1"/>
      <c r="Z3466" s="1"/>
    </row>
    <row r="3467" spans="4:26" x14ac:dyDescent="0.25">
      <c r="D3467" s="16"/>
      <c r="Q3467" s="16"/>
      <c r="T3467" s="1"/>
      <c r="X3467" s="1"/>
      <c r="Y3467" s="1"/>
      <c r="Z3467" s="1"/>
    </row>
    <row r="3468" spans="4:26" x14ac:dyDescent="0.25">
      <c r="D3468" s="16"/>
      <c r="Q3468" s="16"/>
    </row>
    <row r="3469" spans="4:26" x14ac:dyDescent="0.25">
      <c r="D3469" s="16"/>
      <c r="Q3469" s="16"/>
    </row>
    <row r="3470" spans="4:26" x14ac:dyDescent="0.25">
      <c r="D3470" s="17"/>
      <c r="Q3470" s="17"/>
      <c r="T3470" s="1"/>
      <c r="X3470" s="1"/>
      <c r="Y3470" s="1"/>
      <c r="Z3470" s="1"/>
    </row>
    <row r="3472" spans="4:26" x14ac:dyDescent="0.25">
      <c r="D3472" s="16"/>
      <c r="Q3472" s="16"/>
    </row>
    <row r="3473" spans="4:26" x14ac:dyDescent="0.25">
      <c r="D3473" s="16"/>
      <c r="Q3473" s="16"/>
      <c r="T3473" s="1"/>
      <c r="X3473" s="1"/>
      <c r="Y3473" s="1"/>
      <c r="Z3473" s="1"/>
    </row>
    <row r="3474" spans="4:26" x14ac:dyDescent="0.25">
      <c r="D3474" s="16"/>
      <c r="Q3474" s="16"/>
      <c r="T3474" s="1"/>
      <c r="X3474" s="1"/>
      <c r="Y3474" s="1"/>
      <c r="Z3474" s="1"/>
    </row>
    <row r="3475" spans="4:26" x14ac:dyDescent="0.25">
      <c r="D3475" s="16"/>
      <c r="Q3475" s="16"/>
    </row>
    <row r="3476" spans="4:26" x14ac:dyDescent="0.25">
      <c r="D3476" s="16"/>
      <c r="Q3476" s="16"/>
    </row>
    <row r="3477" spans="4:26" x14ac:dyDescent="0.25">
      <c r="D3477" s="17"/>
      <c r="Q3477" s="17"/>
      <c r="T3477" s="1"/>
      <c r="X3477" s="1"/>
      <c r="Y3477" s="1"/>
      <c r="Z3477" s="1"/>
    </row>
    <row r="3478" spans="4:26" x14ac:dyDescent="0.25">
      <c r="D3478" s="17"/>
      <c r="Q3478" s="17"/>
      <c r="T3478" s="1"/>
      <c r="X3478" s="1"/>
      <c r="Y3478" s="1"/>
      <c r="Z3478" s="1"/>
    </row>
    <row r="3479" spans="4:26" x14ac:dyDescent="0.25">
      <c r="D3479" s="16"/>
      <c r="Q3479" s="16"/>
      <c r="T3479" s="1"/>
      <c r="X3479" s="1"/>
      <c r="Y3479" s="1"/>
      <c r="Z3479" s="1"/>
    </row>
    <row r="3480" spans="4:26" x14ac:dyDescent="0.25">
      <c r="D3480" s="16"/>
      <c r="Q3480" s="16"/>
    </row>
    <row r="3481" spans="4:26" x14ac:dyDescent="0.25">
      <c r="D3481" s="16"/>
      <c r="Q3481" s="16"/>
    </row>
    <row r="3482" spans="4:26" x14ac:dyDescent="0.25">
      <c r="D3482" s="16"/>
      <c r="Q3482" s="16"/>
      <c r="T3482" s="1"/>
      <c r="X3482" s="1"/>
      <c r="Y3482" s="1"/>
      <c r="Z3482" s="1"/>
    </row>
    <row r="3483" spans="4:26" x14ac:dyDescent="0.25">
      <c r="D3483" s="16"/>
      <c r="Q3483" s="16"/>
    </row>
    <row r="3484" spans="4:26" x14ac:dyDescent="0.25">
      <c r="D3484" s="16"/>
      <c r="Q3484" s="16"/>
    </row>
    <row r="3485" spans="4:26" x14ac:dyDescent="0.25">
      <c r="D3485" s="16"/>
      <c r="Q3485" s="16"/>
      <c r="T3485" s="1"/>
      <c r="X3485" s="1"/>
      <c r="Y3485" s="1"/>
      <c r="Z3485" s="1"/>
    </row>
    <row r="3486" spans="4:26" x14ac:dyDescent="0.25">
      <c r="D3486" s="17"/>
      <c r="Q3486" s="17"/>
      <c r="T3486" s="1"/>
      <c r="X3486" s="1"/>
      <c r="Y3486" s="1"/>
      <c r="Z3486" s="1"/>
    </row>
    <row r="3487" spans="4:26" x14ac:dyDescent="0.25">
      <c r="D3487" s="17"/>
      <c r="Q3487" s="17"/>
      <c r="T3487" s="1"/>
      <c r="X3487" s="1"/>
      <c r="Y3487" s="1"/>
      <c r="Z3487" s="1"/>
    </row>
    <row r="3488" spans="4:26" x14ac:dyDescent="0.25">
      <c r="D3488" s="16"/>
      <c r="Q3488" s="16"/>
    </row>
    <row r="3489" spans="4:26" x14ac:dyDescent="0.25">
      <c r="D3489" s="16"/>
      <c r="Q3489" s="16"/>
    </row>
    <row r="3490" spans="4:26" x14ac:dyDescent="0.25">
      <c r="D3490" s="16"/>
      <c r="Q3490" s="16"/>
      <c r="T3490" s="1"/>
      <c r="X3490" s="1"/>
      <c r="Y3490" s="1"/>
      <c r="Z3490" s="1"/>
    </row>
    <row r="3491" spans="4:26" x14ac:dyDescent="0.25">
      <c r="D3491" s="16"/>
      <c r="Q3491" s="16"/>
    </row>
    <row r="3492" spans="4:26" x14ac:dyDescent="0.25">
      <c r="D3492" s="16"/>
      <c r="Q3492" s="16"/>
    </row>
    <row r="3493" spans="4:26" x14ac:dyDescent="0.25">
      <c r="D3493" s="16"/>
      <c r="Q3493" s="16"/>
      <c r="T3493" s="1"/>
      <c r="X3493" s="1"/>
      <c r="Y3493" s="1"/>
      <c r="Z3493" s="1"/>
    </row>
    <row r="3494" spans="4:26" x14ac:dyDescent="0.25">
      <c r="D3494" s="16"/>
      <c r="Q3494" s="16"/>
      <c r="T3494" s="1"/>
      <c r="X3494" s="1"/>
      <c r="Y3494" s="1"/>
      <c r="Z3494" s="1"/>
    </row>
    <row r="3495" spans="4:26" x14ac:dyDescent="0.25">
      <c r="D3495" s="16"/>
      <c r="Q3495" s="16"/>
    </row>
    <row r="3496" spans="4:26" x14ac:dyDescent="0.25">
      <c r="D3496" s="16"/>
      <c r="Q3496" s="16"/>
    </row>
    <row r="3497" spans="4:26" x14ac:dyDescent="0.25">
      <c r="D3497" s="17"/>
      <c r="Q3497" s="17"/>
      <c r="T3497" s="1"/>
      <c r="X3497" s="1"/>
      <c r="Y3497" s="1"/>
      <c r="Z3497" s="1"/>
    </row>
    <row r="3499" spans="4:26" x14ac:dyDescent="0.25">
      <c r="D3499" s="16"/>
      <c r="Q3499" s="16"/>
    </row>
    <row r="3500" spans="4:26" x14ac:dyDescent="0.25">
      <c r="D3500" s="16"/>
      <c r="Q3500" s="16"/>
      <c r="T3500" s="1"/>
      <c r="X3500" s="1"/>
      <c r="Y3500" s="1"/>
      <c r="Z3500" s="1"/>
    </row>
    <row r="3501" spans="4:26" x14ac:dyDescent="0.25">
      <c r="D3501" s="16"/>
      <c r="Q3501" s="16"/>
      <c r="T3501" s="1"/>
      <c r="X3501" s="1"/>
      <c r="Y3501" s="1"/>
      <c r="Z3501" s="1"/>
    </row>
    <row r="3502" spans="4:26" x14ac:dyDescent="0.25">
      <c r="D3502" s="16"/>
      <c r="Q3502" s="16"/>
    </row>
    <row r="3503" spans="4:26" x14ac:dyDescent="0.25">
      <c r="D3503" s="16"/>
      <c r="Q3503" s="16"/>
    </row>
    <row r="3504" spans="4:26" x14ac:dyDescent="0.25">
      <c r="D3504" s="16"/>
      <c r="Q3504" s="16"/>
      <c r="T3504" s="1"/>
      <c r="X3504" s="1"/>
      <c r="Y3504" s="1"/>
      <c r="Z3504" s="1"/>
    </row>
    <row r="3507" spans="4:26" x14ac:dyDescent="0.25">
      <c r="D3507" s="16"/>
      <c r="Q3507" s="16"/>
      <c r="T3507" s="1"/>
      <c r="X3507" s="1"/>
      <c r="Y3507" s="1"/>
      <c r="Z3507" s="1"/>
    </row>
    <row r="3508" spans="4:26" x14ac:dyDescent="0.25">
      <c r="D3508" s="16"/>
      <c r="Q3508" s="16"/>
    </row>
    <row r="3510" spans="4:26" x14ac:dyDescent="0.25">
      <c r="D3510" s="17"/>
      <c r="Q3510" s="17"/>
      <c r="T3510" s="1"/>
      <c r="X3510" s="1"/>
      <c r="Y3510" s="1"/>
      <c r="Z3510" s="1"/>
    </row>
    <row r="3511" spans="4:26" x14ac:dyDescent="0.25">
      <c r="D3511" s="16"/>
      <c r="Q3511" s="16"/>
    </row>
    <row r="3512" spans="4:26" x14ac:dyDescent="0.25">
      <c r="D3512" s="16"/>
      <c r="Q3512" s="16"/>
    </row>
    <row r="3513" spans="4:26" x14ac:dyDescent="0.25">
      <c r="D3513" s="16"/>
      <c r="Q3513" s="16"/>
      <c r="T3513" s="1"/>
      <c r="X3513" s="1"/>
      <c r="Y3513" s="1"/>
      <c r="Z3513" s="1"/>
    </row>
    <row r="3514" spans="4:26" x14ac:dyDescent="0.25">
      <c r="D3514" s="16"/>
      <c r="Q3514" s="16"/>
    </row>
    <row r="3515" spans="4:26" x14ac:dyDescent="0.25">
      <c r="D3515" s="16"/>
      <c r="Q3515" s="16"/>
    </row>
    <row r="3516" spans="4:26" x14ac:dyDescent="0.25">
      <c r="D3516" s="17"/>
      <c r="Q3516" s="17"/>
      <c r="T3516" s="1"/>
      <c r="X3516" s="1"/>
      <c r="Y3516" s="1"/>
      <c r="Z3516" s="1"/>
    </row>
    <row r="3517" spans="4:26" x14ac:dyDescent="0.25">
      <c r="D3517" s="17"/>
      <c r="Q3517" s="17"/>
      <c r="T3517" s="1"/>
      <c r="X3517" s="1"/>
      <c r="Y3517" s="1"/>
      <c r="Z3517" s="1"/>
    </row>
    <row r="3518" spans="4:26" x14ac:dyDescent="0.25">
      <c r="D3518" s="16"/>
      <c r="Q3518" s="16"/>
    </row>
    <row r="3520" spans="4:26" x14ac:dyDescent="0.25">
      <c r="D3520" s="17"/>
      <c r="Q3520" s="17"/>
      <c r="T3520" s="1"/>
      <c r="X3520" s="1"/>
      <c r="Y3520" s="1"/>
      <c r="Z3520" s="1"/>
    </row>
    <row r="3521" spans="4:26" x14ac:dyDescent="0.25">
      <c r="D3521" s="16"/>
      <c r="Q3521" s="16"/>
    </row>
    <row r="3522" spans="4:26" x14ac:dyDescent="0.25">
      <c r="D3522" s="16"/>
      <c r="Q3522" s="16"/>
    </row>
    <row r="3523" spans="4:26" x14ac:dyDescent="0.25">
      <c r="D3523" s="16"/>
      <c r="Q3523" s="16"/>
      <c r="T3523" s="1"/>
      <c r="X3523" s="1"/>
      <c r="Y3523" s="1"/>
      <c r="Z3523" s="1"/>
    </row>
    <row r="3526" spans="4:26" x14ac:dyDescent="0.25">
      <c r="D3526" s="16"/>
      <c r="Q3526" s="16"/>
      <c r="T3526" s="1"/>
      <c r="X3526" s="1"/>
      <c r="Y3526" s="1"/>
      <c r="Z3526" s="1"/>
    </row>
    <row r="3527" spans="4:26" x14ac:dyDescent="0.25">
      <c r="D3527" s="16"/>
      <c r="Q3527" s="16"/>
    </row>
    <row r="3528" spans="4:26" x14ac:dyDescent="0.25">
      <c r="D3528" s="16"/>
      <c r="Q3528" s="16"/>
    </row>
    <row r="3529" spans="4:26" x14ac:dyDescent="0.25">
      <c r="D3529" s="16"/>
      <c r="Q3529" s="16"/>
      <c r="T3529" s="1"/>
      <c r="X3529" s="1"/>
      <c r="Y3529" s="1"/>
      <c r="Z3529" s="1"/>
    </row>
    <row r="3530" spans="4:26" x14ac:dyDescent="0.25">
      <c r="D3530" s="16"/>
      <c r="Q3530" s="16"/>
    </row>
    <row r="3532" spans="4:26" x14ac:dyDescent="0.25">
      <c r="D3532" s="17"/>
      <c r="Q3532" s="17"/>
      <c r="T3532" s="1"/>
      <c r="X3532" s="1"/>
      <c r="Y3532" s="1"/>
      <c r="Z3532" s="1"/>
    </row>
    <row r="3533" spans="4:26" x14ac:dyDescent="0.25">
      <c r="D3533" s="16"/>
      <c r="Q3533" s="16"/>
      <c r="T3533" s="1"/>
      <c r="X3533" s="1"/>
      <c r="Y3533" s="1"/>
      <c r="Z3533" s="1"/>
    </row>
    <row r="3534" spans="4:26" x14ac:dyDescent="0.25">
      <c r="D3534" s="16"/>
      <c r="Q3534" s="16"/>
      <c r="T3534" s="1"/>
      <c r="X3534" s="1"/>
      <c r="Y3534" s="1"/>
      <c r="Z3534" s="1"/>
    </row>
    <row r="3535" spans="4:26" x14ac:dyDescent="0.25">
      <c r="D3535" s="16"/>
      <c r="Q3535" s="16"/>
      <c r="T3535" s="1"/>
      <c r="X3535" s="1"/>
      <c r="Y3535" s="1"/>
      <c r="Z3535" s="1"/>
    </row>
    <row r="3536" spans="4:26" x14ac:dyDescent="0.25">
      <c r="D3536" s="17"/>
      <c r="Q3536" s="17"/>
      <c r="T3536" s="1"/>
      <c r="X3536" s="1"/>
      <c r="Y3536" s="1"/>
      <c r="Z3536" s="1"/>
    </row>
    <row r="3537" spans="4:26" x14ac:dyDescent="0.25">
      <c r="D3537" s="17"/>
      <c r="Q3537" s="17"/>
      <c r="T3537" s="1"/>
      <c r="X3537" s="1"/>
      <c r="Y3537" s="1"/>
      <c r="Z3537" s="1"/>
    </row>
    <row r="3538" spans="4:26" x14ac:dyDescent="0.25">
      <c r="D3538" s="16"/>
      <c r="Q3538" s="16"/>
      <c r="T3538" s="1"/>
      <c r="X3538" s="1"/>
      <c r="Y3538" s="1"/>
      <c r="Z3538" s="1"/>
    </row>
    <row r="3539" spans="4:26" x14ac:dyDescent="0.25">
      <c r="D3539" s="16"/>
      <c r="Q3539" s="16"/>
      <c r="T3539" s="1"/>
      <c r="X3539" s="1"/>
      <c r="Y3539" s="1"/>
      <c r="Z3539" s="1"/>
    </row>
    <row r="3540" spans="4:26" x14ac:dyDescent="0.25">
      <c r="D3540" s="16"/>
      <c r="Q3540" s="16"/>
      <c r="T3540" s="1"/>
      <c r="X3540" s="1"/>
      <c r="Y3540" s="1"/>
      <c r="Z3540" s="1"/>
    </row>
    <row r="3541" spans="4:26" x14ac:dyDescent="0.25">
      <c r="D3541" s="16"/>
      <c r="Q3541" s="16"/>
      <c r="T3541" s="1"/>
      <c r="X3541" s="1"/>
      <c r="Y3541" s="1"/>
      <c r="Z3541" s="1"/>
    </row>
    <row r="3544" spans="4:26" x14ac:dyDescent="0.25">
      <c r="D3544" s="16"/>
      <c r="Q3544" s="16"/>
      <c r="T3544" s="1"/>
      <c r="X3544" s="1"/>
      <c r="Y3544" s="1"/>
      <c r="Z3544" s="1"/>
    </row>
    <row r="3545" spans="4:26" x14ac:dyDescent="0.25">
      <c r="D3545" s="16"/>
      <c r="Q3545" s="16"/>
    </row>
    <row r="3547" spans="4:26" x14ac:dyDescent="0.25">
      <c r="D3547" s="17"/>
      <c r="Q3547" s="17"/>
      <c r="T3547" s="1"/>
      <c r="X3547" s="1"/>
      <c r="Y3547" s="1"/>
      <c r="Z3547" s="1"/>
    </row>
    <row r="3548" spans="4:26" x14ac:dyDescent="0.25">
      <c r="D3548" s="16"/>
      <c r="Q3548" s="16"/>
    </row>
    <row r="3549" spans="4:26" x14ac:dyDescent="0.25">
      <c r="D3549" s="16"/>
      <c r="Q3549" s="16"/>
    </row>
    <row r="3550" spans="4:26" x14ac:dyDescent="0.25">
      <c r="D3550" s="16"/>
      <c r="Q3550" s="16"/>
      <c r="T3550" s="1"/>
      <c r="X3550" s="1"/>
      <c r="Y3550" s="1"/>
      <c r="Z3550" s="1"/>
    </row>
    <row r="3551" spans="4:26" x14ac:dyDescent="0.25">
      <c r="D3551" s="16"/>
      <c r="Q3551" s="16"/>
      <c r="T3551" s="1"/>
      <c r="X3551" s="1"/>
      <c r="Y3551" s="1"/>
      <c r="Z3551" s="1"/>
    </row>
    <row r="3552" spans="4:26" x14ac:dyDescent="0.25">
      <c r="D3552" s="17"/>
      <c r="Q3552" s="17"/>
      <c r="T3552" s="1"/>
      <c r="X3552" s="1"/>
      <c r="Y3552" s="1"/>
      <c r="Z3552" s="1"/>
    </row>
    <row r="3554" spans="4:26" x14ac:dyDescent="0.25">
      <c r="D3554" s="16"/>
      <c r="Q3554" s="16"/>
    </row>
    <row r="3555" spans="4:26" x14ac:dyDescent="0.25">
      <c r="D3555" s="16"/>
      <c r="Q3555" s="16"/>
      <c r="T3555" s="1"/>
      <c r="X3555" s="1"/>
      <c r="Y3555" s="1"/>
      <c r="Z3555" s="1"/>
    </row>
    <row r="3558" spans="4:26" x14ac:dyDescent="0.25">
      <c r="D3558" s="16"/>
      <c r="Q3558" s="16"/>
      <c r="T3558" s="1"/>
      <c r="X3558" s="1"/>
      <c r="Y3558" s="1"/>
      <c r="Z3558" s="1"/>
    </row>
    <row r="3559" spans="4:26" x14ac:dyDescent="0.25">
      <c r="D3559" s="16"/>
      <c r="Q3559" s="16"/>
      <c r="T3559" s="1"/>
      <c r="X3559" s="1"/>
      <c r="Y3559" s="1"/>
      <c r="Z3559" s="1"/>
    </row>
    <row r="3560" spans="4:26" x14ac:dyDescent="0.25">
      <c r="D3560" s="16"/>
      <c r="Q3560" s="16"/>
      <c r="T3560" s="1"/>
      <c r="X3560" s="1"/>
      <c r="Y3560" s="1"/>
      <c r="Z3560" s="1"/>
    </row>
    <row r="3561" spans="4:26" x14ac:dyDescent="0.25">
      <c r="D3561" s="16"/>
      <c r="Q3561" s="16"/>
      <c r="T3561" s="1"/>
      <c r="X3561" s="1"/>
      <c r="Y3561" s="1"/>
      <c r="Z3561" s="1"/>
    </row>
    <row r="3562" spans="4:26" x14ac:dyDescent="0.25">
      <c r="D3562" s="17"/>
      <c r="Q3562" s="17"/>
      <c r="T3562" s="1"/>
      <c r="X3562" s="1"/>
      <c r="Y3562" s="1"/>
      <c r="Z3562" s="1"/>
    </row>
    <row r="3563" spans="4:26" x14ac:dyDescent="0.25">
      <c r="D3563" s="17"/>
      <c r="Q3563" s="17"/>
      <c r="T3563" s="1"/>
      <c r="X3563" s="1"/>
      <c r="Y3563" s="1"/>
      <c r="Z3563" s="1"/>
    </row>
    <row r="3564" spans="4:26" x14ac:dyDescent="0.25">
      <c r="D3564" s="16"/>
      <c r="Q3564" s="16"/>
      <c r="T3564" s="1"/>
      <c r="X3564" s="1"/>
      <c r="Y3564" s="1"/>
      <c r="Z3564" s="1"/>
    </row>
    <row r="3565" spans="4:26" x14ac:dyDescent="0.25">
      <c r="D3565" s="17"/>
      <c r="Q3565" s="17"/>
      <c r="T3565" s="1"/>
      <c r="X3565" s="1"/>
      <c r="Y3565" s="1"/>
      <c r="Z3565" s="1"/>
    </row>
    <row r="3566" spans="4:26" x14ac:dyDescent="0.25">
      <c r="D3566" s="17"/>
      <c r="Q3566" s="17"/>
      <c r="T3566" s="1"/>
      <c r="X3566" s="1"/>
      <c r="Y3566" s="1"/>
      <c r="Z3566" s="1"/>
    </row>
    <row r="3567" spans="4:26" x14ac:dyDescent="0.25">
      <c r="D3567" s="16"/>
      <c r="Q3567" s="16"/>
      <c r="T3567" s="1"/>
      <c r="X3567" s="1"/>
      <c r="Y3567" s="1"/>
      <c r="Z3567" s="1"/>
    </row>
    <row r="3568" spans="4:26" x14ac:dyDescent="0.25">
      <c r="D3568" s="17"/>
      <c r="Q3568" s="17"/>
      <c r="T3568" s="1"/>
      <c r="X3568" s="1"/>
      <c r="Y3568" s="1"/>
      <c r="Z3568" s="1"/>
    </row>
    <row r="3569" spans="4:26" x14ac:dyDescent="0.25">
      <c r="D3569" s="17"/>
      <c r="Q3569" s="17"/>
      <c r="T3569" s="1"/>
      <c r="X3569" s="1"/>
      <c r="Y3569" s="1"/>
      <c r="Z3569" s="1"/>
    </row>
    <row r="3570" spans="4:26" x14ac:dyDescent="0.25">
      <c r="D3570" s="16"/>
      <c r="Q3570" s="16"/>
      <c r="T3570" s="1"/>
      <c r="X3570" s="1"/>
      <c r="Y3570" s="1"/>
      <c r="Z3570" s="1"/>
    </row>
    <row r="3571" spans="4:26" x14ac:dyDescent="0.25">
      <c r="D3571" s="17"/>
      <c r="Q3571" s="17"/>
      <c r="T3571" s="1"/>
      <c r="X3571" s="1"/>
      <c r="Y3571" s="1"/>
      <c r="Z3571" s="1"/>
    </row>
    <row r="3572" spans="4:26" x14ac:dyDescent="0.25">
      <c r="D3572" s="17"/>
      <c r="Q3572" s="17"/>
      <c r="T3572" s="1"/>
      <c r="X3572" s="1"/>
      <c r="Y3572" s="1"/>
      <c r="Z3572" s="1"/>
    </row>
    <row r="3573" spans="4:26" x14ac:dyDescent="0.25">
      <c r="D3573" s="16"/>
      <c r="Q3573" s="16"/>
    </row>
    <row r="3574" spans="4:26" x14ac:dyDescent="0.25">
      <c r="D3574" s="16"/>
      <c r="Q3574" s="16"/>
    </row>
    <row r="3575" spans="4:26" x14ac:dyDescent="0.25">
      <c r="D3575" s="16"/>
      <c r="Q3575" s="16"/>
      <c r="T3575" s="1"/>
      <c r="X3575" s="1"/>
      <c r="Y3575" s="1"/>
      <c r="Z3575" s="1"/>
    </row>
    <row r="3576" spans="4:26" x14ac:dyDescent="0.25">
      <c r="D3576" s="16"/>
      <c r="Q3576" s="16"/>
    </row>
    <row r="3578" spans="4:26" x14ac:dyDescent="0.25">
      <c r="D3578" s="17"/>
      <c r="Q3578" s="17"/>
      <c r="T3578" s="1"/>
      <c r="X3578" s="1"/>
      <c r="Y3578" s="1"/>
      <c r="Z3578" s="1"/>
    </row>
    <row r="3579" spans="4:26" x14ac:dyDescent="0.25">
      <c r="D3579" s="16"/>
      <c r="Q3579" s="16"/>
    </row>
    <row r="3581" spans="4:26" x14ac:dyDescent="0.25">
      <c r="D3581" s="17"/>
      <c r="Q3581" s="17"/>
      <c r="T3581" s="1"/>
      <c r="X3581" s="1"/>
      <c r="Y3581" s="1"/>
      <c r="Z3581" s="1"/>
    </row>
    <row r="3582" spans="4:26" x14ac:dyDescent="0.25">
      <c r="D3582" s="16"/>
      <c r="Q3582" s="16"/>
      <c r="T3582" s="1"/>
      <c r="X3582" s="1"/>
      <c r="Y3582" s="1"/>
      <c r="Z3582" s="1"/>
    </row>
    <row r="3583" spans="4:26" x14ac:dyDescent="0.25">
      <c r="D3583" s="17"/>
      <c r="Q3583" s="17"/>
      <c r="T3583" s="1"/>
      <c r="X3583" s="1"/>
      <c r="Y3583" s="1"/>
      <c r="Z3583" s="1"/>
    </row>
    <row r="3584" spans="4:26" x14ac:dyDescent="0.25">
      <c r="D3584" s="17"/>
      <c r="Q3584" s="17"/>
      <c r="T3584" s="1"/>
      <c r="X3584" s="1"/>
      <c r="Y3584" s="1"/>
      <c r="Z3584" s="1"/>
    </row>
    <row r="3585" spans="4:26" x14ac:dyDescent="0.25">
      <c r="D3585" s="16"/>
      <c r="Q3585" s="16"/>
      <c r="T3585" s="1"/>
      <c r="X3585" s="1"/>
      <c r="Y3585" s="1"/>
      <c r="Z3585" s="1"/>
    </row>
    <row r="3586" spans="4:26" x14ac:dyDescent="0.25">
      <c r="D3586" s="17"/>
      <c r="Q3586" s="17"/>
      <c r="T3586" s="1"/>
      <c r="X3586" s="1"/>
      <c r="Y3586" s="1"/>
      <c r="Z3586" s="1"/>
    </row>
    <row r="3587" spans="4:26" x14ac:dyDescent="0.25">
      <c r="D3587" s="17"/>
      <c r="Q3587" s="17"/>
      <c r="T3587" s="1"/>
      <c r="X3587" s="1"/>
      <c r="Y3587" s="1"/>
      <c r="Z3587" s="1"/>
    </row>
    <row r="3588" spans="4:26" x14ac:dyDescent="0.25">
      <c r="D3588" s="16"/>
      <c r="Q3588" s="16"/>
      <c r="T3588" s="1"/>
      <c r="X3588" s="1"/>
      <c r="Y3588" s="1"/>
      <c r="Z3588" s="1"/>
    </row>
    <row r="3589" spans="4:26" x14ac:dyDescent="0.25">
      <c r="D3589" s="17"/>
      <c r="Q3589" s="17"/>
      <c r="T3589" s="1"/>
      <c r="X3589" s="1"/>
      <c r="Y3589" s="1"/>
      <c r="Z3589" s="1"/>
    </row>
    <row r="3590" spans="4:26" x14ac:dyDescent="0.25">
      <c r="D3590" s="17"/>
      <c r="Q3590" s="17"/>
      <c r="T3590" s="1"/>
      <c r="X3590" s="1"/>
      <c r="Y3590" s="1"/>
      <c r="Z3590" s="1"/>
    </row>
    <row r="3591" spans="4:26" x14ac:dyDescent="0.25">
      <c r="D3591" s="16"/>
      <c r="Q3591" s="16"/>
      <c r="T3591" s="1"/>
      <c r="X3591" s="1"/>
      <c r="Y3591" s="1"/>
      <c r="Z3591" s="1"/>
    </row>
    <row r="3592" spans="4:26" x14ac:dyDescent="0.25">
      <c r="D3592" s="17"/>
      <c r="Q3592" s="17"/>
      <c r="T3592" s="1"/>
      <c r="X3592" s="1"/>
      <c r="Y3592" s="1"/>
      <c r="Z3592" s="1"/>
    </row>
    <row r="3594" spans="4:26" x14ac:dyDescent="0.25">
      <c r="D3594" s="16"/>
      <c r="Q3594" s="16"/>
    </row>
    <row r="3595" spans="4:26" x14ac:dyDescent="0.25">
      <c r="D3595" s="17"/>
      <c r="Q3595" s="17"/>
      <c r="T3595" s="1"/>
      <c r="X3595" s="1"/>
      <c r="Y3595" s="1"/>
      <c r="Z3595" s="1"/>
    </row>
    <row r="3596" spans="4:26" x14ac:dyDescent="0.25">
      <c r="D3596" s="17"/>
      <c r="Q3596" s="17"/>
      <c r="T3596" s="1"/>
      <c r="X3596" s="1"/>
      <c r="Y3596" s="1"/>
      <c r="Z3596" s="1"/>
    </row>
    <row r="3597" spans="4:26" x14ac:dyDescent="0.25">
      <c r="D3597" s="16"/>
      <c r="Q3597" s="16"/>
    </row>
    <row r="3599" spans="4:26" x14ac:dyDescent="0.25">
      <c r="D3599" s="17"/>
      <c r="Q3599" s="17"/>
      <c r="T3599" s="1"/>
      <c r="X3599" s="1"/>
      <c r="Y3599" s="1"/>
      <c r="Z3599" s="1"/>
    </row>
    <row r="3600" spans="4:26" x14ac:dyDescent="0.25">
      <c r="D3600" s="16"/>
      <c r="Q3600" s="16"/>
      <c r="T3600" s="1"/>
      <c r="X3600" s="1"/>
      <c r="Y3600" s="1"/>
      <c r="Z3600" s="1"/>
    </row>
    <row r="3601" spans="4:26" x14ac:dyDescent="0.25">
      <c r="D3601" s="17"/>
      <c r="Q3601" s="17"/>
      <c r="T3601" s="1"/>
      <c r="X3601" s="1"/>
      <c r="Y3601" s="1"/>
      <c r="Z3601" s="1"/>
    </row>
    <row r="3603" spans="4:26" x14ac:dyDescent="0.25">
      <c r="D3603" s="16"/>
      <c r="Q3603" s="16"/>
    </row>
    <row r="3604" spans="4:26" x14ac:dyDescent="0.25">
      <c r="D3604" s="17"/>
      <c r="Q3604" s="17"/>
      <c r="T3604" s="1"/>
      <c r="X3604" s="1"/>
      <c r="Y3604" s="1"/>
      <c r="Z3604" s="1"/>
    </row>
    <row r="3605" spans="4:26" x14ac:dyDescent="0.25">
      <c r="D3605" s="17"/>
      <c r="Q3605" s="17"/>
      <c r="T3605" s="1"/>
      <c r="X3605" s="1"/>
      <c r="Y3605" s="1"/>
      <c r="Z3605" s="1"/>
    </row>
    <row r="3606" spans="4:26" x14ac:dyDescent="0.25">
      <c r="D3606" s="16"/>
      <c r="Q3606" s="16"/>
      <c r="T3606" s="1"/>
      <c r="X3606" s="1"/>
      <c r="Y3606" s="1"/>
      <c r="Z3606" s="1"/>
    </row>
    <row r="3607" spans="4:26" x14ac:dyDescent="0.25">
      <c r="D3607" s="17"/>
      <c r="Q3607" s="17"/>
      <c r="T3607" s="1"/>
      <c r="X3607" s="1"/>
      <c r="Y3607" s="1"/>
      <c r="Z3607" s="1"/>
    </row>
    <row r="3608" spans="4:26" x14ac:dyDescent="0.25">
      <c r="D3608" s="17"/>
      <c r="Q3608" s="17"/>
      <c r="T3608" s="1"/>
      <c r="X3608" s="1"/>
      <c r="Y3608" s="1"/>
      <c r="Z3608" s="1"/>
    </row>
    <row r="3609" spans="4:26" x14ac:dyDescent="0.25">
      <c r="D3609" s="16"/>
      <c r="Q3609" s="16"/>
      <c r="T3609" s="1"/>
      <c r="X3609" s="1"/>
      <c r="Y3609" s="1"/>
      <c r="Z3609" s="1"/>
    </row>
    <row r="3612" spans="4:26" x14ac:dyDescent="0.25">
      <c r="D3612" s="16"/>
      <c r="Q3612" s="16"/>
      <c r="T3612" s="1"/>
      <c r="X3612" s="1"/>
      <c r="Y3612" s="1"/>
      <c r="Z3612" s="1"/>
    </row>
    <row r="3615" spans="4:26" x14ac:dyDescent="0.25">
      <c r="D3615" s="16"/>
      <c r="Q3615" s="16"/>
      <c r="T3615" s="1"/>
      <c r="X3615" s="1"/>
      <c r="Y3615" s="1"/>
      <c r="Z3615" s="1"/>
    </row>
    <row r="3618" spans="4:26" x14ac:dyDescent="0.25">
      <c r="D3618" s="16"/>
      <c r="Q3618" s="16"/>
      <c r="T3618" s="1"/>
      <c r="X3618" s="1"/>
      <c r="Y3618" s="1"/>
      <c r="Z3618" s="1"/>
    </row>
    <row r="3619" spans="4:26" x14ac:dyDescent="0.25">
      <c r="D3619" s="16"/>
      <c r="Q3619" s="16"/>
    </row>
    <row r="3620" spans="4:26" x14ac:dyDescent="0.25">
      <c r="D3620" s="16"/>
      <c r="Q3620" s="16"/>
    </row>
    <row r="3621" spans="4:26" x14ac:dyDescent="0.25">
      <c r="D3621" s="17"/>
      <c r="Q3621" s="17"/>
      <c r="T3621" s="1"/>
      <c r="X3621" s="1"/>
      <c r="Y3621" s="1"/>
      <c r="Z3621" s="1"/>
    </row>
    <row r="3622" spans="4:26" x14ac:dyDescent="0.25">
      <c r="D3622" s="17"/>
      <c r="Q3622" s="17"/>
      <c r="T3622" s="1"/>
      <c r="X3622" s="1"/>
      <c r="Y3622" s="1"/>
      <c r="Z3622" s="1"/>
    </row>
    <row r="3623" spans="4:26" x14ac:dyDescent="0.25">
      <c r="D3623" s="16"/>
      <c r="Q3623" s="16"/>
      <c r="T3623" s="1"/>
      <c r="X3623" s="1"/>
      <c r="Y3623" s="1"/>
      <c r="Z3623" s="1"/>
    </row>
    <row r="3626" spans="4:26" x14ac:dyDescent="0.25">
      <c r="D3626" s="16"/>
      <c r="Q3626" s="16"/>
      <c r="T3626" s="1"/>
      <c r="X3626" s="1"/>
      <c r="Y3626" s="1"/>
      <c r="Z3626" s="1"/>
    </row>
    <row r="3627" spans="4:26" x14ac:dyDescent="0.25">
      <c r="D3627" s="16"/>
      <c r="Q3627" s="16"/>
      <c r="T3627" s="1"/>
      <c r="X3627" s="1"/>
      <c r="Y3627" s="1"/>
      <c r="Z3627" s="1"/>
    </row>
    <row r="3630" spans="4:26" x14ac:dyDescent="0.25">
      <c r="D3630" s="16"/>
      <c r="Q3630" s="16"/>
      <c r="T3630" s="1"/>
      <c r="X3630" s="1"/>
      <c r="Y3630" s="1"/>
      <c r="Z3630" s="1"/>
    </row>
    <row r="3631" spans="4:26" x14ac:dyDescent="0.25">
      <c r="D3631" s="17"/>
      <c r="Q3631" s="17"/>
      <c r="T3631" s="1"/>
      <c r="X3631" s="1"/>
      <c r="Y3631" s="1"/>
      <c r="Z3631" s="1"/>
    </row>
    <row r="3633" spans="4:26" x14ac:dyDescent="0.25">
      <c r="D3633" s="16"/>
      <c r="Q3633" s="16"/>
    </row>
    <row r="3634" spans="4:26" x14ac:dyDescent="0.25">
      <c r="D3634" s="16"/>
      <c r="Q3634" s="16"/>
      <c r="T3634" s="1"/>
      <c r="X3634" s="1"/>
      <c r="Y3634" s="1"/>
      <c r="Z3634" s="1"/>
    </row>
    <row r="3637" spans="4:26" x14ac:dyDescent="0.25">
      <c r="D3637" s="16"/>
      <c r="Q3637" s="16"/>
      <c r="T3637" s="1"/>
      <c r="X3637" s="1"/>
      <c r="Y3637" s="1"/>
      <c r="Z3637" s="1"/>
    </row>
    <row r="3640" spans="4:26" x14ac:dyDescent="0.25">
      <c r="D3640" s="16"/>
      <c r="Q3640" s="16"/>
      <c r="T3640" s="1"/>
      <c r="X3640" s="1"/>
      <c r="Y3640" s="1"/>
      <c r="Z3640" s="1"/>
    </row>
    <row r="3641" spans="4:26" x14ac:dyDescent="0.25">
      <c r="D3641" s="17"/>
      <c r="Q3641" s="17"/>
      <c r="T3641" s="1"/>
      <c r="X3641" s="1"/>
      <c r="Y3641" s="1"/>
      <c r="Z3641" s="1"/>
    </row>
    <row r="3642" spans="4:26" x14ac:dyDescent="0.25">
      <c r="D3642" s="17"/>
      <c r="Q3642" s="17"/>
      <c r="T3642" s="1"/>
      <c r="X3642" s="1"/>
      <c r="Y3642" s="1"/>
      <c r="Z3642" s="1"/>
    </row>
    <row r="3643" spans="4:26" x14ac:dyDescent="0.25">
      <c r="D3643" s="16"/>
      <c r="Q3643" s="16"/>
      <c r="T3643" s="1"/>
      <c r="X3643" s="1"/>
      <c r="Y3643" s="1"/>
      <c r="Z3643" s="1"/>
    </row>
    <row r="3646" spans="4:26" x14ac:dyDescent="0.25">
      <c r="D3646" s="16"/>
      <c r="Q3646" s="16"/>
      <c r="T3646" s="1"/>
      <c r="X3646" s="1"/>
      <c r="Y3646" s="1"/>
      <c r="Z3646" s="1"/>
    </row>
    <row r="3649" spans="4:26" x14ac:dyDescent="0.25">
      <c r="D3649" s="16"/>
      <c r="Q3649" s="16"/>
      <c r="T3649" s="1"/>
      <c r="X3649" s="1"/>
      <c r="Y3649" s="1"/>
      <c r="Z3649" s="1"/>
    </row>
    <row r="3652" spans="4:26" x14ac:dyDescent="0.25">
      <c r="D3652" s="16"/>
      <c r="Q3652" s="16"/>
      <c r="T3652" s="1"/>
      <c r="X3652" s="1"/>
      <c r="Y3652" s="1"/>
      <c r="Z3652" s="1"/>
    </row>
    <row r="3653" spans="4:26" x14ac:dyDescent="0.25">
      <c r="D3653" s="16"/>
      <c r="Q3653" s="16"/>
    </row>
    <row r="3655" spans="4:26" x14ac:dyDescent="0.25">
      <c r="D3655" s="17"/>
      <c r="Q3655" s="17"/>
      <c r="T3655" s="1"/>
      <c r="X3655" s="1"/>
      <c r="Y3655" s="1"/>
      <c r="Z3655" s="1"/>
    </row>
    <row r="3656" spans="4:26" x14ac:dyDescent="0.25">
      <c r="D3656" s="16"/>
      <c r="Q3656" s="16"/>
    </row>
    <row r="3658" spans="4:26" x14ac:dyDescent="0.25">
      <c r="D3658" s="17"/>
      <c r="Q3658" s="17"/>
      <c r="T3658" s="1"/>
      <c r="X3658" s="1"/>
      <c r="Y3658" s="1"/>
      <c r="Z3658" s="1"/>
    </row>
    <row r="3659" spans="4:26" x14ac:dyDescent="0.25">
      <c r="D3659" s="16"/>
      <c r="Q3659" s="16"/>
    </row>
    <row r="3661" spans="4:26" x14ac:dyDescent="0.25">
      <c r="D3661" s="17"/>
      <c r="Q3661" s="17"/>
      <c r="T3661" s="1"/>
      <c r="X3661" s="1"/>
      <c r="Y3661" s="1"/>
      <c r="Z3661" s="1"/>
    </row>
    <row r="3662" spans="4:26" x14ac:dyDescent="0.25">
      <c r="D3662" s="16"/>
      <c r="Q3662" s="16"/>
      <c r="T3662" s="1"/>
      <c r="X3662" s="1"/>
      <c r="Y3662" s="1"/>
      <c r="Z3662" s="1"/>
    </row>
    <row r="3665" spans="4:26" x14ac:dyDescent="0.25">
      <c r="D3665" s="16"/>
      <c r="Q3665" s="16"/>
      <c r="T3665" s="1"/>
      <c r="X3665" s="1"/>
      <c r="Y3665" s="1"/>
      <c r="Z3665" s="1"/>
    </row>
    <row r="3666" spans="4:26" x14ac:dyDescent="0.25">
      <c r="D3666" s="17"/>
      <c r="Q3666" s="17"/>
      <c r="T3666" s="1"/>
      <c r="X3666" s="1"/>
      <c r="Y3666" s="1"/>
      <c r="Z3666" s="1"/>
    </row>
    <row r="3667" spans="4:26" x14ac:dyDescent="0.25">
      <c r="D3667" s="17"/>
      <c r="Q3667" s="17"/>
      <c r="T3667" s="1"/>
      <c r="X3667" s="1"/>
      <c r="Y3667" s="1"/>
      <c r="Z3667" s="1"/>
    </row>
    <row r="3668" spans="4:26" x14ac:dyDescent="0.25">
      <c r="D3668" s="16"/>
      <c r="Q3668" s="16"/>
    </row>
    <row r="3670" spans="4:26" x14ac:dyDescent="0.25">
      <c r="D3670" s="17"/>
      <c r="Q3670" s="17"/>
      <c r="T3670" s="1"/>
      <c r="X3670" s="1"/>
      <c r="Y3670" s="1"/>
      <c r="Z3670" s="1"/>
    </row>
    <row r="3671" spans="4:26" x14ac:dyDescent="0.25">
      <c r="D3671" s="16"/>
      <c r="Q3671" s="16"/>
    </row>
    <row r="3673" spans="4:26" x14ac:dyDescent="0.25">
      <c r="D3673" s="17"/>
      <c r="Q3673" s="17"/>
      <c r="T3673" s="1"/>
      <c r="X3673" s="1"/>
      <c r="Y3673" s="1"/>
      <c r="Z3673" s="1"/>
    </row>
    <row r="3674" spans="4:26" x14ac:dyDescent="0.25">
      <c r="D3674" s="16"/>
      <c r="Q3674" s="16"/>
      <c r="T3674" s="1"/>
      <c r="X3674" s="1"/>
      <c r="Y3674" s="1"/>
      <c r="Z3674" s="1"/>
    </row>
    <row r="3677" spans="4:26" x14ac:dyDescent="0.25">
      <c r="D3677" s="16"/>
      <c r="Q3677" s="16"/>
      <c r="T3677" s="1"/>
      <c r="X3677" s="1"/>
      <c r="Y3677" s="1"/>
      <c r="Z3677" s="1"/>
    </row>
    <row r="3680" spans="4:26" x14ac:dyDescent="0.25">
      <c r="D3680" s="16"/>
      <c r="Q3680" s="16"/>
      <c r="T3680" s="1"/>
      <c r="X3680" s="1"/>
      <c r="Y3680" s="1"/>
      <c r="Z3680" s="1"/>
    </row>
    <row r="3681" spans="4:26" x14ac:dyDescent="0.25">
      <c r="D3681" s="17"/>
      <c r="Q3681" s="17"/>
      <c r="T3681" s="1"/>
      <c r="X3681" s="1"/>
      <c r="Y3681" s="1"/>
      <c r="Z3681" s="1"/>
    </row>
    <row r="3683" spans="4:26" x14ac:dyDescent="0.25">
      <c r="D3683" s="16"/>
      <c r="Q3683" s="16"/>
    </row>
    <row r="3684" spans="4:26" x14ac:dyDescent="0.25">
      <c r="D3684" s="17"/>
      <c r="Q3684" s="17"/>
      <c r="T3684" s="1"/>
      <c r="X3684" s="1"/>
      <c r="Y3684" s="1"/>
      <c r="Z3684" s="1"/>
    </row>
    <row r="3686" spans="4:26" x14ac:dyDescent="0.25">
      <c r="D3686" s="16"/>
      <c r="Q3686" s="16"/>
    </row>
    <row r="3687" spans="4:26" x14ac:dyDescent="0.25">
      <c r="D3687" s="16"/>
      <c r="Q3687" s="16"/>
      <c r="T3687" s="1"/>
      <c r="X3687" s="1"/>
      <c r="Y3687" s="1"/>
      <c r="Z3687" s="1"/>
    </row>
    <row r="3688" spans="4:26" x14ac:dyDescent="0.25">
      <c r="D3688" s="16"/>
      <c r="Q3688" s="16"/>
    </row>
    <row r="3690" spans="4:26" x14ac:dyDescent="0.25">
      <c r="D3690" s="17"/>
      <c r="Q3690" s="17"/>
      <c r="T3690" s="1"/>
      <c r="X3690" s="1"/>
      <c r="Y3690" s="1"/>
      <c r="Z3690" s="1"/>
    </row>
    <row r="3691" spans="4:26" x14ac:dyDescent="0.25">
      <c r="D3691" s="16"/>
      <c r="Q3691" s="16"/>
    </row>
    <row r="3693" spans="4:26" x14ac:dyDescent="0.25">
      <c r="D3693" s="17"/>
      <c r="Q3693" s="17"/>
      <c r="T3693" s="1"/>
      <c r="X3693" s="1"/>
      <c r="Y3693" s="1"/>
      <c r="Z3693" s="1"/>
    </row>
    <row r="3694" spans="4:26" x14ac:dyDescent="0.25">
      <c r="D3694" s="16"/>
      <c r="Q3694" s="16"/>
      <c r="T3694" s="1"/>
      <c r="X3694" s="1"/>
      <c r="Y3694" s="1"/>
      <c r="Z3694" s="1"/>
    </row>
    <row r="3695" spans="4:26" x14ac:dyDescent="0.25">
      <c r="D3695" s="16"/>
      <c r="Q3695" s="16"/>
    </row>
    <row r="3696" spans="4:26" x14ac:dyDescent="0.25">
      <c r="D3696" s="16"/>
      <c r="Q3696" s="16"/>
    </row>
    <row r="3697" spans="4:26" x14ac:dyDescent="0.25">
      <c r="D3697" s="17"/>
      <c r="Q3697" s="17"/>
      <c r="T3697" s="1"/>
      <c r="X3697" s="1"/>
      <c r="Y3697" s="1"/>
      <c r="Z3697" s="1"/>
    </row>
    <row r="3699" spans="4:26" x14ac:dyDescent="0.25">
      <c r="D3699" s="16"/>
      <c r="Q3699" s="16"/>
    </row>
    <row r="3700" spans="4:26" x14ac:dyDescent="0.25">
      <c r="D3700" s="17"/>
      <c r="Q3700" s="17"/>
      <c r="T3700" s="1"/>
      <c r="X3700" s="1"/>
      <c r="Y3700" s="1"/>
      <c r="Z3700" s="1"/>
    </row>
    <row r="3702" spans="4:26" x14ac:dyDescent="0.25">
      <c r="D3702" s="16"/>
      <c r="Q3702" s="16"/>
    </row>
    <row r="3703" spans="4:26" x14ac:dyDescent="0.25">
      <c r="D3703" s="17"/>
      <c r="Q3703" s="17"/>
      <c r="T3703" s="1"/>
      <c r="X3703" s="1"/>
      <c r="Y3703" s="1"/>
      <c r="Z3703" s="1"/>
    </row>
    <row r="3705" spans="4:26" x14ac:dyDescent="0.25">
      <c r="D3705" s="16"/>
      <c r="Q3705" s="16"/>
    </row>
    <row r="3706" spans="4:26" x14ac:dyDescent="0.25">
      <c r="D3706" s="17"/>
      <c r="Q3706" s="17"/>
      <c r="T3706" s="1"/>
      <c r="X3706" s="1"/>
      <c r="Y3706" s="1"/>
      <c r="Z3706" s="1"/>
    </row>
    <row r="3708" spans="4:26" x14ac:dyDescent="0.25">
      <c r="D3708" s="16"/>
      <c r="Q3708" s="16"/>
    </row>
    <row r="3709" spans="4:26" x14ac:dyDescent="0.25">
      <c r="D3709" s="17"/>
      <c r="Q3709" s="17"/>
      <c r="T3709" s="1"/>
      <c r="X3709" s="1"/>
      <c r="Y3709" s="1"/>
      <c r="Z3709" s="1"/>
    </row>
    <row r="3711" spans="4:26" x14ac:dyDescent="0.25">
      <c r="D3711" s="16"/>
      <c r="Q3711" s="16"/>
    </row>
    <row r="3712" spans="4:26" x14ac:dyDescent="0.25">
      <c r="D3712" s="16"/>
      <c r="Q3712" s="16"/>
      <c r="T3712" s="1"/>
      <c r="X3712" s="1"/>
      <c r="Y3712" s="1"/>
      <c r="Z3712" s="1"/>
    </row>
    <row r="3715" spans="4:26" x14ac:dyDescent="0.25">
      <c r="D3715" s="16"/>
      <c r="Q3715" s="16"/>
      <c r="T3715" s="1"/>
      <c r="X3715" s="1"/>
      <c r="Y3715" s="1"/>
      <c r="Z3715" s="1"/>
    </row>
    <row r="3716" spans="4:26" x14ac:dyDescent="0.25">
      <c r="D3716" s="16"/>
      <c r="Q3716" s="16"/>
    </row>
    <row r="3717" spans="4:26" x14ac:dyDescent="0.25">
      <c r="D3717" s="16"/>
      <c r="Q3717" s="16"/>
    </row>
    <row r="3718" spans="4:26" x14ac:dyDescent="0.25">
      <c r="D3718" s="17"/>
      <c r="Q3718" s="17"/>
      <c r="T3718" s="1"/>
      <c r="X3718" s="1"/>
      <c r="Y3718" s="1"/>
      <c r="Z3718" s="1"/>
    </row>
    <row r="3720" spans="4:26" x14ac:dyDescent="0.25">
      <c r="D3720" s="16"/>
      <c r="Q3720" s="16"/>
    </row>
    <row r="3721" spans="4:26" x14ac:dyDescent="0.25">
      <c r="D3721" s="17"/>
      <c r="Q3721" s="17"/>
      <c r="T3721" s="1"/>
      <c r="X3721" s="1"/>
      <c r="Y3721" s="1"/>
      <c r="Z3721" s="1"/>
    </row>
    <row r="3723" spans="4:26" x14ac:dyDescent="0.25">
      <c r="D3723" s="16"/>
      <c r="Q3723" s="16"/>
    </row>
    <row r="3724" spans="4:26" x14ac:dyDescent="0.25">
      <c r="D3724" s="17"/>
      <c r="Q3724" s="17"/>
      <c r="T3724" s="1"/>
      <c r="X3724" s="1"/>
      <c r="Y3724" s="1"/>
      <c r="Z3724" s="1"/>
    </row>
    <row r="3726" spans="4:26" x14ac:dyDescent="0.25">
      <c r="D3726" s="16"/>
      <c r="Q3726" s="16"/>
    </row>
    <row r="3727" spans="4:26" x14ac:dyDescent="0.25">
      <c r="D3727" s="16"/>
      <c r="Q3727" s="16"/>
      <c r="T3727" s="1"/>
      <c r="X3727" s="1"/>
      <c r="Y3727" s="1"/>
      <c r="Z3727" s="1"/>
    </row>
    <row r="3728" spans="4:26" x14ac:dyDescent="0.25">
      <c r="D3728" s="17"/>
      <c r="Q3728" s="17"/>
      <c r="T3728" s="1"/>
      <c r="X3728" s="1"/>
      <c r="Y3728" s="1"/>
      <c r="Z3728" s="1"/>
    </row>
    <row r="3730" spans="4:26" x14ac:dyDescent="0.25">
      <c r="D3730" s="16"/>
      <c r="Q3730" s="16"/>
    </row>
    <row r="3731" spans="4:26" x14ac:dyDescent="0.25">
      <c r="D3731" s="16"/>
      <c r="Q3731" s="16"/>
      <c r="T3731" s="1"/>
      <c r="X3731" s="1"/>
      <c r="Y3731" s="1"/>
      <c r="Z3731" s="1"/>
    </row>
    <row r="3734" spans="4:26" x14ac:dyDescent="0.25">
      <c r="D3734" s="16"/>
      <c r="Q3734" s="16"/>
      <c r="T3734" s="1"/>
      <c r="X3734" s="1"/>
      <c r="Y3734" s="1"/>
      <c r="Z3734" s="1"/>
    </row>
    <row r="3735" spans="4:26" x14ac:dyDescent="0.25">
      <c r="D3735" s="16"/>
      <c r="Q3735" s="16"/>
    </row>
    <row r="3736" spans="4:26" x14ac:dyDescent="0.25">
      <c r="D3736" s="16"/>
      <c r="Q3736" s="16"/>
    </row>
    <row r="3737" spans="4:26" x14ac:dyDescent="0.25">
      <c r="D3737" s="16"/>
      <c r="Q3737" s="16"/>
      <c r="T3737" s="1"/>
      <c r="X3737" s="1"/>
      <c r="Y3737" s="1"/>
      <c r="Z3737" s="1"/>
    </row>
    <row r="3740" spans="4:26" x14ac:dyDescent="0.25">
      <c r="D3740" s="16"/>
      <c r="Q3740" s="16"/>
      <c r="T3740" s="1"/>
      <c r="X3740" s="1"/>
      <c r="Y3740" s="1"/>
      <c r="Z3740" s="1"/>
    </row>
    <row r="3741" spans="4:26" x14ac:dyDescent="0.25">
      <c r="D3741" s="16"/>
      <c r="Q3741" s="16"/>
    </row>
    <row r="3743" spans="4:26" x14ac:dyDescent="0.25">
      <c r="D3743" s="17"/>
      <c r="Q3743" s="17"/>
      <c r="T3743" s="1"/>
      <c r="X3743" s="1"/>
      <c r="Y3743" s="1"/>
      <c r="Z3743" s="1"/>
    </row>
    <row r="3744" spans="4:26" x14ac:dyDescent="0.25">
      <c r="D3744" s="16"/>
      <c r="Q3744" s="16"/>
    </row>
    <row r="3745" spans="4:26" x14ac:dyDescent="0.25">
      <c r="D3745" s="16"/>
      <c r="Q3745" s="16"/>
    </row>
    <row r="3746" spans="4:26" x14ac:dyDescent="0.25">
      <c r="D3746" s="17"/>
      <c r="Q3746" s="17"/>
      <c r="T3746" s="1"/>
      <c r="X3746" s="1"/>
      <c r="Y3746" s="1"/>
      <c r="Z3746" s="1"/>
    </row>
    <row r="3748" spans="4:26" x14ac:dyDescent="0.25">
      <c r="D3748" s="16"/>
      <c r="Q3748" s="16"/>
    </row>
    <row r="3749" spans="4:26" x14ac:dyDescent="0.25">
      <c r="D3749" s="17"/>
      <c r="Q3749" s="17"/>
      <c r="T3749" s="1"/>
      <c r="X3749" s="1"/>
      <c r="Y3749" s="1"/>
      <c r="Z3749" s="1"/>
    </row>
    <row r="3751" spans="4:26" x14ac:dyDescent="0.25">
      <c r="D3751" s="16"/>
      <c r="Q3751" s="16"/>
    </row>
    <row r="3752" spans="4:26" x14ac:dyDescent="0.25">
      <c r="D3752" s="17"/>
      <c r="Q3752" s="17"/>
      <c r="T3752" s="1"/>
      <c r="X3752" s="1"/>
      <c r="Y3752" s="1"/>
      <c r="Z3752" s="1"/>
    </row>
    <row r="3754" spans="4:26" x14ac:dyDescent="0.25">
      <c r="D3754" s="16"/>
      <c r="Q3754" s="16"/>
    </row>
    <row r="3755" spans="4:26" x14ac:dyDescent="0.25">
      <c r="D3755" s="16"/>
      <c r="Q3755" s="16"/>
      <c r="T3755" s="1"/>
      <c r="X3755" s="1"/>
      <c r="Y3755" s="1"/>
      <c r="Z3755" s="1"/>
    </row>
    <row r="3758" spans="4:26" x14ac:dyDescent="0.25">
      <c r="D3758" s="16"/>
      <c r="Q3758" s="16"/>
      <c r="T3758" s="1"/>
      <c r="X3758" s="1"/>
      <c r="Y3758" s="1"/>
      <c r="Z3758" s="1"/>
    </row>
    <row r="3761" spans="4:26" x14ac:dyDescent="0.25">
      <c r="D3761" s="16"/>
      <c r="Q3761" s="16"/>
      <c r="T3761" s="1"/>
      <c r="X3761" s="1"/>
      <c r="Y3761" s="1"/>
      <c r="Z3761" s="1"/>
    </row>
    <row r="3764" spans="4:26" x14ac:dyDescent="0.25">
      <c r="D3764" s="16"/>
      <c r="Q3764" s="16"/>
      <c r="T3764" s="1"/>
      <c r="X3764" s="1"/>
      <c r="Y3764" s="1"/>
      <c r="Z3764" s="1"/>
    </row>
    <row r="3767" spans="4:26" x14ac:dyDescent="0.25">
      <c r="D3767" s="16"/>
      <c r="Q3767" s="16"/>
      <c r="T3767" s="1"/>
      <c r="X3767" s="1"/>
      <c r="Y3767" s="1"/>
      <c r="Z3767" s="1"/>
    </row>
    <row r="3770" spans="4:26" x14ac:dyDescent="0.25">
      <c r="D3770" s="16"/>
      <c r="Q3770" s="16"/>
      <c r="T3770" s="1"/>
      <c r="X3770" s="1"/>
      <c r="Y3770" s="1"/>
      <c r="Z3770" s="1"/>
    </row>
    <row r="3773" spans="4:26" x14ac:dyDescent="0.25">
      <c r="D3773" s="16"/>
      <c r="Q3773" s="16"/>
      <c r="T3773" s="1"/>
      <c r="X3773" s="1"/>
      <c r="Y3773" s="1"/>
      <c r="Z3773" s="1"/>
    </row>
    <row r="3776" spans="4:26" x14ac:dyDescent="0.25">
      <c r="D3776" s="16"/>
      <c r="Q3776" s="16"/>
      <c r="T3776" s="1"/>
      <c r="X3776" s="1"/>
      <c r="Y3776" s="1"/>
      <c r="Z3776" s="1"/>
    </row>
    <row r="3779" spans="4:26" x14ac:dyDescent="0.25">
      <c r="D3779" s="16"/>
      <c r="Q3779" s="16"/>
      <c r="T3779" s="1"/>
      <c r="X3779" s="1"/>
      <c r="Y3779" s="1"/>
      <c r="Z3779" s="1"/>
    </row>
    <row r="3780" spans="4:26" x14ac:dyDescent="0.25">
      <c r="D3780" s="16"/>
      <c r="Q3780" s="16"/>
    </row>
    <row r="3782" spans="4:26" x14ac:dyDescent="0.25">
      <c r="D3782" s="17"/>
      <c r="Q3782" s="17"/>
      <c r="T3782" s="1"/>
      <c r="X3782" s="1"/>
      <c r="Y3782" s="1"/>
      <c r="Z3782" s="1"/>
    </row>
    <row r="3783" spans="4:26" x14ac:dyDescent="0.25">
      <c r="D3783" s="16"/>
      <c r="Q3783" s="16"/>
    </row>
    <row r="3784" spans="4:26" x14ac:dyDescent="0.25">
      <c r="D3784" s="16"/>
      <c r="Q3784" s="16"/>
    </row>
    <row r="3785" spans="4:26" x14ac:dyDescent="0.25">
      <c r="D3785" s="16"/>
      <c r="Q3785" s="16"/>
      <c r="T3785" s="1"/>
      <c r="X3785" s="1"/>
      <c r="Y3785" s="1"/>
      <c r="Z3785" s="1"/>
    </row>
    <row r="3788" spans="4:26" x14ac:dyDescent="0.25">
      <c r="D3788" s="16"/>
      <c r="Q3788" s="16"/>
      <c r="T3788" s="1"/>
      <c r="X3788" s="1"/>
      <c r="Y3788" s="1"/>
      <c r="Z3788" s="1"/>
    </row>
    <row r="3789" spans="4:26" x14ac:dyDescent="0.25">
      <c r="D3789" s="16"/>
      <c r="Q3789" s="16"/>
    </row>
    <row r="3791" spans="4:26" x14ac:dyDescent="0.25">
      <c r="D3791" s="17"/>
      <c r="Q3791" s="17"/>
      <c r="T3791" s="1"/>
      <c r="X3791" s="1"/>
      <c r="Y3791" s="1"/>
      <c r="Z3791" s="1"/>
    </row>
    <row r="3792" spans="4:26" x14ac:dyDescent="0.25">
      <c r="D3792" s="16"/>
      <c r="Q3792" s="16"/>
      <c r="T3792" s="1"/>
      <c r="X3792" s="1"/>
      <c r="Y3792" s="1"/>
      <c r="Z3792" s="1"/>
    </row>
    <row r="3795" spans="4:26" x14ac:dyDescent="0.25">
      <c r="D3795" s="16"/>
      <c r="Q3795" s="16"/>
      <c r="T3795" s="1"/>
      <c r="X3795" s="1"/>
      <c r="Y3795" s="1"/>
      <c r="Z3795" s="1"/>
    </row>
    <row r="3798" spans="4:26" x14ac:dyDescent="0.25">
      <c r="D3798" s="16"/>
      <c r="Q3798" s="16"/>
      <c r="T3798" s="1"/>
      <c r="X3798" s="1"/>
      <c r="Y3798" s="1"/>
      <c r="Z3798" s="1"/>
    </row>
    <row r="3801" spans="4:26" x14ac:dyDescent="0.25">
      <c r="D3801" s="16"/>
      <c r="Q3801" s="16"/>
      <c r="T3801" s="1"/>
      <c r="X3801" s="1"/>
      <c r="Y3801" s="1"/>
      <c r="Z3801" s="1"/>
    </row>
    <row r="3804" spans="4:26" x14ac:dyDescent="0.25">
      <c r="D3804" s="16"/>
      <c r="Q3804" s="16"/>
      <c r="T3804" s="1"/>
      <c r="X3804" s="1"/>
      <c r="Y3804" s="1"/>
      <c r="Z3804" s="1"/>
    </row>
    <row r="3807" spans="4:26" x14ac:dyDescent="0.25">
      <c r="D3807" s="16"/>
      <c r="Q3807" s="16"/>
      <c r="T3807" s="1"/>
      <c r="X3807" s="1"/>
      <c r="Y3807" s="1"/>
      <c r="Z3807" s="1"/>
    </row>
    <row r="3808" spans="4:26" x14ac:dyDescent="0.25">
      <c r="D3808" s="17"/>
      <c r="Q3808" s="17"/>
      <c r="T3808" s="1"/>
      <c r="X3808" s="1"/>
      <c r="Y3808" s="1"/>
      <c r="Z3808" s="1"/>
    </row>
    <row r="3810" spans="4:26" x14ac:dyDescent="0.25">
      <c r="D3810" s="16"/>
      <c r="Q3810" s="16"/>
    </row>
    <row r="3811" spans="4:26" x14ac:dyDescent="0.25">
      <c r="D3811" s="17"/>
      <c r="Q3811" s="17"/>
      <c r="T3811" s="1"/>
      <c r="X3811" s="1"/>
      <c r="Y3811" s="1"/>
      <c r="Z3811" s="1"/>
    </row>
    <row r="3813" spans="4:26" x14ac:dyDescent="0.25">
      <c r="D3813" s="16"/>
      <c r="Q3813" s="16"/>
    </row>
    <row r="3814" spans="4:26" x14ac:dyDescent="0.25">
      <c r="D3814" s="17"/>
      <c r="Q3814" s="17"/>
      <c r="T3814" s="1"/>
      <c r="X3814" s="1"/>
      <c r="Y3814" s="1"/>
      <c r="Z3814" s="1"/>
    </row>
    <row r="3816" spans="4:26" x14ac:dyDescent="0.25">
      <c r="D3816" s="16"/>
      <c r="Q3816" s="16"/>
    </row>
    <row r="3817" spans="4:26" x14ac:dyDescent="0.25">
      <c r="D3817" s="17"/>
      <c r="Q3817" s="17"/>
      <c r="T3817" s="1"/>
      <c r="X3817" s="1"/>
      <c r="Y3817" s="1"/>
      <c r="Z3817" s="1"/>
    </row>
    <row r="3818" spans="4:26" x14ac:dyDescent="0.25">
      <c r="D3818" s="17"/>
      <c r="Q3818" s="17"/>
      <c r="T3818" s="1"/>
      <c r="X3818" s="1"/>
      <c r="Y3818" s="1"/>
      <c r="Z3818" s="1"/>
    </row>
    <row r="3819" spans="4:26" x14ac:dyDescent="0.25">
      <c r="D3819" s="16"/>
      <c r="Q3819" s="16"/>
    </row>
    <row r="3821" spans="4:26" x14ac:dyDescent="0.25">
      <c r="D3821" s="17"/>
      <c r="Q3821" s="17"/>
      <c r="T3821" s="1"/>
      <c r="X3821" s="1"/>
      <c r="Y3821" s="1"/>
      <c r="Z3821" s="1"/>
    </row>
    <row r="3822" spans="4:26" x14ac:dyDescent="0.25">
      <c r="D3822" s="16"/>
      <c r="Q3822" s="16"/>
    </row>
    <row r="3824" spans="4:26" x14ac:dyDescent="0.25">
      <c r="D3824" s="17"/>
      <c r="Q3824" s="17"/>
      <c r="T3824" s="1"/>
      <c r="X3824" s="1"/>
      <c r="Y3824" s="1"/>
      <c r="Z3824" s="1"/>
    </row>
    <row r="3825" spans="4:26" x14ac:dyDescent="0.25">
      <c r="D3825" s="16"/>
      <c r="Q3825" s="16"/>
      <c r="T3825" s="1"/>
      <c r="X3825" s="1"/>
      <c r="Y3825" s="1"/>
      <c r="Z3825" s="1"/>
    </row>
    <row r="3828" spans="4:26" x14ac:dyDescent="0.25">
      <c r="D3828" s="16"/>
      <c r="Q3828" s="16"/>
      <c r="T3828" s="1"/>
      <c r="X3828" s="1"/>
      <c r="Y3828" s="1"/>
      <c r="Z3828" s="1"/>
    </row>
    <row r="3831" spans="4:26" x14ac:dyDescent="0.25">
      <c r="D3831" s="16"/>
      <c r="Q3831" s="16"/>
      <c r="T3831" s="1"/>
      <c r="X3831" s="1"/>
      <c r="Y3831" s="1"/>
      <c r="Z3831" s="1"/>
    </row>
    <row r="3832" spans="4:26" x14ac:dyDescent="0.25">
      <c r="D3832" s="17"/>
      <c r="Q3832" s="17"/>
      <c r="T3832" s="1"/>
      <c r="X3832" s="1"/>
      <c r="Y3832" s="1"/>
      <c r="Z3832" s="1"/>
    </row>
    <row r="3834" spans="4:26" x14ac:dyDescent="0.25">
      <c r="D3834" s="16"/>
      <c r="Q3834" s="16"/>
    </row>
    <row r="3835" spans="4:26" x14ac:dyDescent="0.25">
      <c r="D3835" s="17"/>
      <c r="Q3835" s="17"/>
      <c r="T3835" s="1"/>
      <c r="X3835" s="1"/>
      <c r="Y3835" s="1"/>
      <c r="Z3835" s="1"/>
    </row>
    <row r="3837" spans="4:26" x14ac:dyDescent="0.25">
      <c r="D3837" s="16"/>
      <c r="Q3837" s="16"/>
    </row>
    <row r="3838" spans="4:26" x14ac:dyDescent="0.25">
      <c r="D3838" s="17"/>
      <c r="Q3838" s="17"/>
      <c r="T3838" s="1"/>
      <c r="X3838" s="1"/>
      <c r="Y3838" s="1"/>
      <c r="Z3838" s="1"/>
    </row>
    <row r="3840" spans="4:26" x14ac:dyDescent="0.25">
      <c r="D3840" s="16"/>
      <c r="Q3840" s="16"/>
    </row>
    <row r="3841" spans="4:26" x14ac:dyDescent="0.25">
      <c r="D3841" s="17"/>
      <c r="Q3841" s="17"/>
      <c r="T3841" s="1"/>
      <c r="X3841" s="1"/>
      <c r="Y3841" s="1"/>
      <c r="Z3841" s="1"/>
    </row>
    <row r="3843" spans="4:26" x14ac:dyDescent="0.25">
      <c r="D3843" s="16"/>
      <c r="Q3843" s="16"/>
    </row>
    <row r="3844" spans="4:26" x14ac:dyDescent="0.25">
      <c r="D3844" s="17"/>
      <c r="Q3844" s="17"/>
      <c r="T3844" s="1"/>
      <c r="X3844" s="1"/>
      <c r="Y3844" s="1"/>
      <c r="Z3844" s="1"/>
    </row>
    <row r="3846" spans="4:26" x14ac:dyDescent="0.25">
      <c r="D3846" s="16"/>
      <c r="Q3846" s="16"/>
    </row>
    <row r="3847" spans="4:26" x14ac:dyDescent="0.25">
      <c r="D3847" s="17"/>
      <c r="Q3847" s="17"/>
      <c r="T3847" s="1"/>
      <c r="X3847" s="1"/>
      <c r="Y3847" s="1"/>
      <c r="Z3847" s="1"/>
    </row>
    <row r="3849" spans="4:26" x14ac:dyDescent="0.25">
      <c r="D3849" s="16"/>
      <c r="Q3849" s="16"/>
    </row>
    <row r="3850" spans="4:26" x14ac:dyDescent="0.25">
      <c r="D3850" s="17"/>
      <c r="Q3850" s="17"/>
      <c r="T3850" s="1"/>
      <c r="X3850" s="1"/>
      <c r="Y3850" s="1"/>
      <c r="Z3850" s="1"/>
    </row>
    <row r="3851" spans="4:26" x14ac:dyDescent="0.25">
      <c r="D3851" s="17"/>
      <c r="Q3851" s="17"/>
      <c r="T3851" s="1"/>
      <c r="X3851" s="1"/>
      <c r="Y3851" s="1"/>
      <c r="Z3851" s="1"/>
    </row>
    <row r="3852" spans="4:26" x14ac:dyDescent="0.25">
      <c r="D3852" s="16"/>
      <c r="Q3852" s="16"/>
    </row>
    <row r="3854" spans="4:26" x14ac:dyDescent="0.25">
      <c r="D3854" s="17"/>
      <c r="Q3854" s="17"/>
      <c r="T3854" s="1"/>
      <c r="X3854" s="1"/>
      <c r="Y3854" s="1"/>
      <c r="Z3854" s="1"/>
    </row>
    <row r="3855" spans="4:26" x14ac:dyDescent="0.25">
      <c r="D3855" s="16"/>
      <c r="Q3855" s="16"/>
    </row>
    <row r="3857" spans="4:26" x14ac:dyDescent="0.25">
      <c r="D3857" s="17"/>
      <c r="Q3857" s="17"/>
      <c r="T3857" s="1"/>
      <c r="X3857" s="1"/>
      <c r="Y3857" s="1"/>
      <c r="Z3857" s="1"/>
    </row>
    <row r="3858" spans="4:26" x14ac:dyDescent="0.25">
      <c r="D3858" s="16"/>
      <c r="Q3858" s="16"/>
    </row>
    <row r="3859" spans="4:26" x14ac:dyDescent="0.25">
      <c r="D3859" s="16"/>
      <c r="Q3859" s="16"/>
    </row>
    <row r="3860" spans="4:26" x14ac:dyDescent="0.25">
      <c r="D3860" s="16"/>
      <c r="Q3860" s="16"/>
      <c r="T3860" s="1"/>
      <c r="X3860" s="1"/>
      <c r="Y3860" s="1"/>
      <c r="Z3860" s="1"/>
    </row>
    <row r="3863" spans="4:26" x14ac:dyDescent="0.25">
      <c r="D3863" s="16"/>
      <c r="Q3863" s="16"/>
      <c r="T3863" s="1"/>
      <c r="X3863" s="1"/>
      <c r="Y3863" s="1"/>
      <c r="Z3863" s="1"/>
    </row>
    <row r="3864" spans="4:26" x14ac:dyDescent="0.25">
      <c r="D3864" s="16"/>
      <c r="Q3864" s="16"/>
    </row>
    <row r="3866" spans="4:26" x14ac:dyDescent="0.25">
      <c r="D3866" s="17"/>
      <c r="Q3866" s="17"/>
      <c r="T3866" s="1"/>
      <c r="X3866" s="1"/>
      <c r="Y3866" s="1"/>
      <c r="Z3866" s="1"/>
    </row>
    <row r="3867" spans="4:26" x14ac:dyDescent="0.25">
      <c r="D3867" s="16"/>
      <c r="Q3867" s="16"/>
    </row>
    <row r="3868" spans="4:26" x14ac:dyDescent="0.25">
      <c r="D3868" s="16"/>
      <c r="Q3868" s="16"/>
    </row>
    <row r="3869" spans="4:26" x14ac:dyDescent="0.25">
      <c r="D3869" s="16"/>
      <c r="Q3869" s="16"/>
      <c r="T3869" s="1"/>
      <c r="X3869" s="1"/>
      <c r="Y3869" s="1"/>
      <c r="Z3869" s="1"/>
    </row>
    <row r="3872" spans="4:26" x14ac:dyDescent="0.25">
      <c r="D3872" s="16"/>
      <c r="Q3872" s="16"/>
      <c r="T3872" s="1"/>
      <c r="X3872" s="1"/>
      <c r="Y3872" s="1"/>
      <c r="Z3872" s="1"/>
    </row>
    <row r="3873" spans="4:26" x14ac:dyDescent="0.25">
      <c r="D3873" s="16"/>
      <c r="Q3873" s="16"/>
    </row>
    <row r="3875" spans="4:26" x14ac:dyDescent="0.25">
      <c r="D3875" s="17"/>
      <c r="Q3875" s="17"/>
      <c r="T3875" s="1"/>
      <c r="X3875" s="1"/>
      <c r="Y3875" s="1"/>
      <c r="Z3875" s="1"/>
    </row>
    <row r="3876" spans="4:26" x14ac:dyDescent="0.25">
      <c r="D3876" s="16"/>
      <c r="Q3876" s="16"/>
      <c r="T3876" s="1"/>
      <c r="X3876" s="1"/>
      <c r="Y3876" s="1"/>
      <c r="Z3876" s="1"/>
    </row>
    <row r="3877" spans="4:26" x14ac:dyDescent="0.25">
      <c r="D3877" s="16"/>
      <c r="Q3877" s="16"/>
    </row>
    <row r="3878" spans="4:26" x14ac:dyDescent="0.25">
      <c r="D3878" s="16"/>
      <c r="Q3878" s="16"/>
    </row>
    <row r="3879" spans="4:26" x14ac:dyDescent="0.25">
      <c r="D3879" s="16"/>
      <c r="Q3879" s="16"/>
      <c r="T3879" s="1"/>
      <c r="X3879" s="1"/>
      <c r="Y3879" s="1"/>
      <c r="Z3879" s="1"/>
    </row>
    <row r="3880" spans="4:26" x14ac:dyDescent="0.25">
      <c r="D3880" s="17"/>
      <c r="Q3880" s="17"/>
      <c r="T3880" s="1"/>
      <c r="X3880" s="1"/>
      <c r="Y3880" s="1"/>
      <c r="Z3880" s="1"/>
    </row>
    <row r="3882" spans="4:26" x14ac:dyDescent="0.25">
      <c r="D3882" s="16"/>
      <c r="Q3882" s="16"/>
    </row>
    <row r="3883" spans="4:26" x14ac:dyDescent="0.25">
      <c r="D3883" s="17"/>
      <c r="Q3883" s="17"/>
      <c r="T3883" s="1"/>
      <c r="X3883" s="1"/>
      <c r="Y3883" s="1"/>
      <c r="Z3883" s="1"/>
    </row>
    <row r="3885" spans="4:26" x14ac:dyDescent="0.25">
      <c r="D3885" s="16"/>
      <c r="Q3885" s="16"/>
    </row>
    <row r="3886" spans="4:26" x14ac:dyDescent="0.25">
      <c r="D3886" s="16"/>
      <c r="Q3886" s="16"/>
      <c r="T3886" s="1"/>
      <c r="X3886" s="1"/>
      <c r="Y3886" s="1"/>
      <c r="Z3886" s="1"/>
    </row>
    <row r="3887" spans="4:26" x14ac:dyDescent="0.25">
      <c r="D3887" s="16"/>
      <c r="Q3887" s="16"/>
    </row>
    <row r="3888" spans="4:26" x14ac:dyDescent="0.25">
      <c r="D3888" s="16"/>
      <c r="Q3888" s="16"/>
    </row>
    <row r="3889" spans="4:26" x14ac:dyDescent="0.25">
      <c r="D3889" s="17"/>
      <c r="Q3889" s="17"/>
      <c r="T3889" s="1"/>
      <c r="X3889" s="1"/>
      <c r="Y3889" s="1"/>
      <c r="Z3889" s="1"/>
    </row>
    <row r="3891" spans="4:26" x14ac:dyDescent="0.25">
      <c r="D3891" s="16"/>
      <c r="Q3891" s="16"/>
    </row>
    <row r="3892" spans="4:26" x14ac:dyDescent="0.25">
      <c r="D3892" s="16"/>
      <c r="Q3892" s="16"/>
      <c r="T3892" s="1"/>
      <c r="X3892" s="1"/>
      <c r="Y3892" s="1"/>
      <c r="Z3892" s="1"/>
    </row>
    <row r="3893" spans="4:26" x14ac:dyDescent="0.25">
      <c r="D3893" s="16"/>
      <c r="Q3893" s="16"/>
    </row>
    <row r="3894" spans="4:26" x14ac:dyDescent="0.25">
      <c r="D3894" s="16"/>
      <c r="Q3894" s="16"/>
    </row>
    <row r="3895" spans="4:26" x14ac:dyDescent="0.25">
      <c r="D3895" s="17"/>
      <c r="Q3895" s="17"/>
      <c r="T3895" s="1"/>
      <c r="X3895" s="1"/>
      <c r="Y3895" s="1"/>
      <c r="Z3895" s="1"/>
    </row>
    <row r="3897" spans="4:26" x14ac:dyDescent="0.25">
      <c r="D3897" s="16"/>
      <c r="Q3897" s="16"/>
    </row>
    <row r="3898" spans="4:26" x14ac:dyDescent="0.25">
      <c r="D3898" s="16"/>
      <c r="Q3898" s="16"/>
      <c r="T3898" s="1"/>
      <c r="X3898" s="1"/>
      <c r="Y3898" s="1"/>
      <c r="Z3898" s="1"/>
    </row>
    <row r="3899" spans="4:26" x14ac:dyDescent="0.25">
      <c r="D3899" s="16"/>
      <c r="Q3899" s="16"/>
    </row>
    <row r="3901" spans="4:26" x14ac:dyDescent="0.25">
      <c r="D3901" s="17"/>
      <c r="Q3901" s="17"/>
      <c r="T3901" s="1"/>
      <c r="X3901" s="1"/>
      <c r="Y3901" s="1"/>
      <c r="Z3901" s="1"/>
    </row>
    <row r="3902" spans="4:26" x14ac:dyDescent="0.25">
      <c r="D3902" s="16"/>
      <c r="Q3902" s="16"/>
    </row>
    <row r="3903" spans="4:26" x14ac:dyDescent="0.25">
      <c r="D3903" s="16"/>
      <c r="Q3903" s="16"/>
    </row>
    <row r="3904" spans="4:26" x14ac:dyDescent="0.25">
      <c r="D3904" s="17"/>
      <c r="Q3904" s="17"/>
      <c r="T3904" s="1"/>
      <c r="X3904" s="1"/>
      <c r="Y3904" s="1"/>
      <c r="Z3904" s="1"/>
    </row>
    <row r="3906" spans="4:26" x14ac:dyDescent="0.25">
      <c r="D3906" s="16"/>
      <c r="Q3906" s="16"/>
    </row>
    <row r="3907" spans="4:26" x14ac:dyDescent="0.25">
      <c r="D3907" s="16"/>
      <c r="Q3907" s="16"/>
      <c r="T3907" s="1"/>
      <c r="X3907" s="1"/>
      <c r="Y3907" s="1"/>
      <c r="Z3907" s="1"/>
    </row>
    <row r="3910" spans="4:26" x14ac:dyDescent="0.25">
      <c r="D3910" s="16"/>
      <c r="Q3910" s="16"/>
      <c r="T3910" s="1"/>
      <c r="X3910" s="1"/>
      <c r="Y3910" s="1"/>
      <c r="Z3910" s="1"/>
    </row>
    <row r="3913" spans="4:26" x14ac:dyDescent="0.25">
      <c r="D3913" s="16"/>
      <c r="Q3913" s="16"/>
      <c r="T3913" s="1"/>
      <c r="X3913" s="1"/>
      <c r="Y3913" s="1"/>
      <c r="Z3913" s="1"/>
    </row>
    <row r="3916" spans="4:26" x14ac:dyDescent="0.25">
      <c r="D3916" s="16"/>
      <c r="Q3916" s="16"/>
      <c r="T3916" s="1"/>
      <c r="X3916" s="1"/>
      <c r="Y3916" s="1"/>
      <c r="Z3916" s="1"/>
    </row>
    <row r="3917" spans="4:26" x14ac:dyDescent="0.25">
      <c r="D3917" s="17"/>
      <c r="Q3917" s="17"/>
      <c r="T3917" s="1"/>
      <c r="X3917" s="1"/>
      <c r="Y3917" s="1"/>
      <c r="Z3917" s="1"/>
    </row>
    <row r="3919" spans="4:26" x14ac:dyDescent="0.25">
      <c r="D3919" s="16"/>
      <c r="Q3919" s="16"/>
    </row>
    <row r="3920" spans="4:26" x14ac:dyDescent="0.25">
      <c r="D3920" s="17"/>
      <c r="Q3920" s="17"/>
      <c r="T3920" s="1"/>
      <c r="X3920" s="1"/>
      <c r="Y3920" s="1"/>
      <c r="Z3920" s="1"/>
    </row>
    <row r="3921" spans="4:26" x14ac:dyDescent="0.25">
      <c r="D3921" s="17"/>
      <c r="Q3921" s="17"/>
      <c r="T3921" s="1"/>
      <c r="X3921" s="1"/>
      <c r="Y3921" s="1"/>
      <c r="Z3921" s="1"/>
    </row>
    <row r="3922" spans="4:26" x14ac:dyDescent="0.25">
      <c r="D3922" s="16"/>
      <c r="Q3922" s="16"/>
    </row>
    <row r="3924" spans="4:26" x14ac:dyDescent="0.25">
      <c r="D3924" s="17"/>
      <c r="Q3924" s="17"/>
      <c r="T3924" s="1"/>
      <c r="X3924" s="1"/>
      <c r="Y3924" s="1"/>
      <c r="Z3924" s="1"/>
    </row>
    <row r="3925" spans="4:26" x14ac:dyDescent="0.25">
      <c r="D3925" s="16"/>
      <c r="Q3925" s="16"/>
      <c r="T3925" s="1"/>
      <c r="X3925" s="1"/>
      <c r="Y3925" s="1"/>
      <c r="Z3925" s="1"/>
    </row>
    <row r="3926" spans="4:26" x14ac:dyDescent="0.25">
      <c r="D3926" s="16"/>
      <c r="Q3926" s="16"/>
    </row>
    <row r="3928" spans="4:26" x14ac:dyDescent="0.25">
      <c r="D3928" s="17"/>
      <c r="Q3928" s="17"/>
      <c r="T3928" s="1"/>
      <c r="X3928" s="1"/>
      <c r="Y3928" s="1"/>
      <c r="Z3928" s="1"/>
    </row>
    <row r="3929" spans="4:26" x14ac:dyDescent="0.25">
      <c r="D3929" s="16"/>
      <c r="Q3929" s="16"/>
    </row>
    <row r="3930" spans="4:26" x14ac:dyDescent="0.25">
      <c r="D3930" s="16"/>
      <c r="Q3930" s="16"/>
    </row>
    <row r="3931" spans="4:26" x14ac:dyDescent="0.25">
      <c r="D3931" s="17"/>
      <c r="Q3931" s="17"/>
      <c r="T3931" s="1"/>
      <c r="X3931" s="1"/>
      <c r="Y3931" s="1"/>
      <c r="Z3931" s="1"/>
    </row>
    <row r="3933" spans="4:26" x14ac:dyDescent="0.25">
      <c r="D3933" s="16"/>
      <c r="Q3933" s="16"/>
    </row>
    <row r="3934" spans="4:26" x14ac:dyDescent="0.25">
      <c r="D3934" s="17"/>
      <c r="Q3934" s="17"/>
      <c r="T3934" s="1"/>
      <c r="X3934" s="1"/>
      <c r="Y3934" s="1"/>
      <c r="Z3934" s="1"/>
    </row>
    <row r="3935" spans="4:26" x14ac:dyDescent="0.25">
      <c r="D3935" s="17"/>
      <c r="Q3935" s="17"/>
      <c r="T3935" s="1"/>
      <c r="X3935" s="1"/>
      <c r="Y3935" s="1"/>
      <c r="Z3935" s="1"/>
    </row>
    <row r="3936" spans="4:26" x14ac:dyDescent="0.25">
      <c r="D3936" s="16"/>
      <c r="Q3936" s="16"/>
    </row>
    <row r="3938" spans="4:26" x14ac:dyDescent="0.25">
      <c r="D3938" s="17"/>
      <c r="Q3938" s="17"/>
      <c r="T3938" s="1"/>
      <c r="X3938" s="1"/>
      <c r="Y3938" s="1"/>
      <c r="Z3938" s="1"/>
    </row>
    <row r="3939" spans="4:26" x14ac:dyDescent="0.25">
      <c r="D3939" s="16"/>
      <c r="Q3939" s="16"/>
      <c r="T3939" s="1"/>
      <c r="X3939" s="1"/>
      <c r="Y3939" s="1"/>
      <c r="Z3939" s="1"/>
    </row>
    <row r="3940" spans="4:26" x14ac:dyDescent="0.25">
      <c r="D3940" s="16"/>
      <c r="Q3940" s="16"/>
    </row>
    <row r="3941" spans="4:26" x14ac:dyDescent="0.25">
      <c r="D3941" s="16"/>
      <c r="Q3941" s="16"/>
    </row>
    <row r="3942" spans="4:26" x14ac:dyDescent="0.25">
      <c r="D3942" s="16"/>
      <c r="Q3942" s="16"/>
      <c r="T3942" s="1"/>
      <c r="X3942" s="1"/>
      <c r="Y3942" s="1"/>
      <c r="Z3942" s="1"/>
    </row>
    <row r="3945" spans="4:26" x14ac:dyDescent="0.25">
      <c r="D3945" s="16"/>
      <c r="Q3945" s="16"/>
      <c r="T3945" s="1"/>
      <c r="X3945" s="1"/>
      <c r="Y3945" s="1"/>
      <c r="Z3945" s="1"/>
    </row>
    <row r="3946" spans="4:26" x14ac:dyDescent="0.25">
      <c r="D3946" s="16"/>
      <c r="Q3946" s="16"/>
    </row>
    <row r="3948" spans="4:26" x14ac:dyDescent="0.25">
      <c r="D3948" s="17"/>
      <c r="Q3948" s="17"/>
      <c r="T3948" s="1"/>
      <c r="X3948" s="1"/>
      <c r="Y3948" s="1"/>
      <c r="Z3948" s="1"/>
    </row>
    <row r="3949" spans="4:26" x14ac:dyDescent="0.25">
      <c r="D3949" s="16"/>
      <c r="Q3949" s="16"/>
    </row>
    <row r="3950" spans="4:26" x14ac:dyDescent="0.25">
      <c r="D3950" s="16"/>
      <c r="Q3950" s="16"/>
    </row>
    <row r="3951" spans="4:26" x14ac:dyDescent="0.25">
      <c r="D3951" s="16"/>
      <c r="Q3951" s="16"/>
      <c r="T3951" s="1"/>
      <c r="X3951" s="1"/>
      <c r="Y3951" s="1"/>
      <c r="Z3951" s="1"/>
    </row>
    <row r="3952" spans="4:26" x14ac:dyDescent="0.25">
      <c r="D3952" s="17"/>
      <c r="Q3952" s="17"/>
      <c r="T3952" s="1"/>
      <c r="X3952" s="1"/>
      <c r="Y3952" s="1"/>
      <c r="Z3952" s="1"/>
    </row>
    <row r="3953" spans="4:26" x14ac:dyDescent="0.25">
      <c r="D3953" s="17"/>
      <c r="Q3953" s="17"/>
      <c r="T3953" s="1"/>
      <c r="X3953" s="1"/>
      <c r="Y3953" s="1"/>
      <c r="Z3953" s="1"/>
    </row>
    <row r="3954" spans="4:26" x14ac:dyDescent="0.25">
      <c r="D3954" s="16"/>
      <c r="Q3954" s="16"/>
    </row>
    <row r="3956" spans="4:26" x14ac:dyDescent="0.25">
      <c r="D3956" s="17"/>
      <c r="Q3956" s="17"/>
      <c r="T3956" s="1"/>
      <c r="X3956" s="1"/>
      <c r="Y3956" s="1"/>
      <c r="Z3956" s="1"/>
    </row>
    <row r="3957" spans="4:26" x14ac:dyDescent="0.25">
      <c r="D3957" s="16"/>
      <c r="Q3957" s="16"/>
    </row>
    <row r="3958" spans="4:26" x14ac:dyDescent="0.25">
      <c r="D3958" s="16"/>
      <c r="Q3958" s="16"/>
    </row>
    <row r="3959" spans="4:26" x14ac:dyDescent="0.25">
      <c r="D3959" s="17"/>
      <c r="Q3959" s="17"/>
      <c r="T3959" s="1"/>
      <c r="X3959" s="1"/>
      <c r="Y3959" s="1"/>
      <c r="Z3959" s="1"/>
    </row>
    <row r="3961" spans="4:26" x14ac:dyDescent="0.25">
      <c r="D3961" s="16"/>
      <c r="Q3961" s="16"/>
    </row>
    <row r="3962" spans="4:26" x14ac:dyDescent="0.25">
      <c r="D3962" s="17"/>
      <c r="Q3962" s="17"/>
      <c r="T3962" s="1"/>
      <c r="X3962" s="1"/>
      <c r="Y3962" s="1"/>
      <c r="Z3962" s="1"/>
    </row>
    <row r="3963" spans="4:26" x14ac:dyDescent="0.25">
      <c r="D3963" s="17"/>
      <c r="Q3963" s="17"/>
      <c r="T3963" s="1"/>
      <c r="X3963" s="1"/>
      <c r="Y3963" s="1"/>
      <c r="Z3963" s="1"/>
    </row>
    <row r="3964" spans="4:26" x14ac:dyDescent="0.25">
      <c r="D3964" s="16"/>
      <c r="Q3964" s="16"/>
    </row>
    <row r="3965" spans="4:26" x14ac:dyDescent="0.25">
      <c r="D3965" s="16"/>
      <c r="Q3965" s="16"/>
    </row>
    <row r="3966" spans="4:26" x14ac:dyDescent="0.25">
      <c r="D3966" s="16"/>
      <c r="Q3966" s="16"/>
      <c r="T3966" s="1"/>
      <c r="X3966" s="1"/>
      <c r="Y3966" s="1"/>
      <c r="Z3966" s="1"/>
    </row>
    <row r="3967" spans="4:26" x14ac:dyDescent="0.25">
      <c r="D3967" s="17"/>
      <c r="Q3967" s="17"/>
      <c r="T3967" s="1"/>
      <c r="X3967" s="1"/>
      <c r="Y3967" s="1"/>
      <c r="Z3967" s="1"/>
    </row>
    <row r="3969" spans="4:26" x14ac:dyDescent="0.25">
      <c r="D3969" s="16"/>
      <c r="Q3969" s="16"/>
    </row>
    <row r="3970" spans="4:26" x14ac:dyDescent="0.25">
      <c r="D3970" s="17"/>
      <c r="Q3970" s="17"/>
      <c r="T3970" s="1"/>
      <c r="X3970" s="1"/>
      <c r="Y3970" s="1"/>
      <c r="Z3970" s="1"/>
    </row>
    <row r="3972" spans="4:26" x14ac:dyDescent="0.25">
      <c r="D3972" s="16"/>
      <c r="Q3972" s="16"/>
    </row>
    <row r="3973" spans="4:26" x14ac:dyDescent="0.25">
      <c r="D3973" s="16"/>
      <c r="Q3973" s="16"/>
      <c r="T3973" s="1"/>
      <c r="X3973" s="1"/>
      <c r="Y3973" s="1"/>
      <c r="Z3973" s="1"/>
    </row>
    <row r="3974" spans="4:26" x14ac:dyDescent="0.25">
      <c r="D3974" s="16"/>
      <c r="Q3974" s="16"/>
      <c r="T3974" s="1"/>
      <c r="X3974" s="1"/>
      <c r="Y3974" s="1"/>
      <c r="Z3974" s="1"/>
    </row>
    <row r="3977" spans="4:26" x14ac:dyDescent="0.25">
      <c r="D3977" s="16"/>
      <c r="Q3977" s="16"/>
      <c r="T3977" s="1"/>
      <c r="X3977" s="1"/>
      <c r="Y3977" s="1"/>
      <c r="Z3977" s="1"/>
    </row>
    <row r="3978" spans="4:26" x14ac:dyDescent="0.25">
      <c r="D3978" s="16"/>
      <c r="Q3978" s="16"/>
      <c r="T3978" s="1"/>
      <c r="X3978" s="1"/>
      <c r="Y3978" s="1"/>
      <c r="Z3978" s="1"/>
    </row>
    <row r="3981" spans="4:26" x14ac:dyDescent="0.25">
      <c r="D3981" s="16"/>
      <c r="Q3981" s="16"/>
      <c r="T3981" s="1"/>
      <c r="X3981" s="1"/>
      <c r="Y3981" s="1"/>
      <c r="Z3981" s="1"/>
    </row>
    <row r="3982" spans="4:26" x14ac:dyDescent="0.25">
      <c r="D3982" s="16"/>
      <c r="Q3982" s="16"/>
    </row>
    <row r="3984" spans="4:26" x14ac:dyDescent="0.25">
      <c r="D3984" s="17"/>
      <c r="Q3984" s="17"/>
      <c r="T3984" s="1"/>
      <c r="X3984" s="1"/>
      <c r="Y3984" s="1"/>
      <c r="Z3984" s="1"/>
    </row>
    <row r="3985" spans="4:26" x14ac:dyDescent="0.25">
      <c r="D3985" s="16"/>
      <c r="Q3985" s="16"/>
      <c r="T3985" s="1"/>
      <c r="X3985" s="1"/>
      <c r="Y3985" s="1"/>
      <c r="Z3985" s="1"/>
    </row>
    <row r="3988" spans="4:26" x14ac:dyDescent="0.25">
      <c r="D3988" s="16"/>
      <c r="Q3988" s="16"/>
      <c r="T3988" s="1"/>
      <c r="X3988" s="1"/>
      <c r="Y3988" s="1"/>
      <c r="Z3988" s="1"/>
    </row>
    <row r="3991" spans="4:26" x14ac:dyDescent="0.25">
      <c r="D3991" s="16"/>
      <c r="Q3991" s="16"/>
      <c r="T3991" s="1"/>
      <c r="X3991" s="1"/>
      <c r="Y3991" s="1"/>
      <c r="Z3991" s="1"/>
    </row>
    <row r="3992" spans="4:26" x14ac:dyDescent="0.25">
      <c r="D3992" s="16"/>
      <c r="Q3992" s="16"/>
      <c r="T3992" s="1"/>
      <c r="X3992" s="1"/>
      <c r="Y3992" s="1"/>
      <c r="Z3992" s="1"/>
    </row>
    <row r="3995" spans="4:26" x14ac:dyDescent="0.25">
      <c r="D3995" s="16"/>
      <c r="Q3995" s="16"/>
      <c r="T3995" s="1"/>
      <c r="X3995" s="1"/>
      <c r="Y3995" s="1"/>
      <c r="Z3995" s="1"/>
    </row>
    <row r="3998" spans="4:26" x14ac:dyDescent="0.25">
      <c r="D3998" s="16"/>
      <c r="Q3998" s="16"/>
      <c r="T3998" s="1"/>
      <c r="X3998" s="1"/>
      <c r="Y3998" s="1"/>
      <c r="Z3998" s="1"/>
    </row>
    <row r="3999" spans="4:26" x14ac:dyDescent="0.25">
      <c r="D3999" s="16"/>
      <c r="Q3999" s="16"/>
      <c r="T3999" s="1"/>
      <c r="X3999" s="1"/>
      <c r="Y3999" s="1"/>
      <c r="Z3999" s="1"/>
    </row>
    <row r="4000" spans="4:26" x14ac:dyDescent="0.25">
      <c r="D4000" s="16"/>
      <c r="Q4000" s="16"/>
    </row>
    <row r="4001" spans="4:26" x14ac:dyDescent="0.25">
      <c r="D4001" s="16"/>
      <c r="Q4001" s="16"/>
    </row>
    <row r="4002" spans="4:26" x14ac:dyDescent="0.25">
      <c r="D4002" s="17"/>
      <c r="Q4002" s="17"/>
      <c r="T4002" s="1"/>
      <c r="X4002" s="1"/>
      <c r="Y4002" s="1"/>
      <c r="Z4002" s="1"/>
    </row>
    <row r="4004" spans="4:26" x14ac:dyDescent="0.25">
      <c r="D4004" s="16"/>
      <c r="Q4004" s="16"/>
    </row>
    <row r="4005" spans="4:26" x14ac:dyDescent="0.25">
      <c r="D4005" s="16"/>
      <c r="Q4005" s="16"/>
      <c r="T4005" s="1"/>
      <c r="X4005" s="1"/>
      <c r="Y4005" s="1"/>
      <c r="Z4005" s="1"/>
    </row>
    <row r="4006" spans="4:26" x14ac:dyDescent="0.25">
      <c r="D4006" s="16"/>
      <c r="Q4006" s="16"/>
    </row>
    <row r="4008" spans="4:26" x14ac:dyDescent="0.25">
      <c r="D4008" s="17"/>
      <c r="Q4008" s="17"/>
      <c r="T4008" s="1"/>
      <c r="X4008" s="1"/>
      <c r="Y4008" s="1"/>
      <c r="Z4008" s="1"/>
    </row>
    <row r="4009" spans="4:26" x14ac:dyDescent="0.25">
      <c r="D4009" s="16"/>
      <c r="Q4009" s="16"/>
      <c r="T4009" s="1"/>
      <c r="X4009" s="1"/>
      <c r="Y4009" s="1"/>
      <c r="Z4009" s="1"/>
    </row>
    <row r="4010" spans="4:26" x14ac:dyDescent="0.25">
      <c r="D4010" s="17"/>
      <c r="Q4010" s="17"/>
      <c r="T4010" s="1"/>
      <c r="X4010" s="1"/>
      <c r="Y4010" s="1"/>
      <c r="Z4010" s="1"/>
    </row>
    <row r="4012" spans="4:26" x14ac:dyDescent="0.25">
      <c r="D4012" s="16"/>
      <c r="Q4012" s="16"/>
    </row>
    <row r="4013" spans="4:26" x14ac:dyDescent="0.25">
      <c r="D4013" s="17"/>
      <c r="Q4013" s="17"/>
      <c r="T4013" s="1"/>
      <c r="X4013" s="1"/>
      <c r="Y4013" s="1"/>
      <c r="Z4013" s="1"/>
    </row>
    <row r="4014" spans="4:26" x14ac:dyDescent="0.25">
      <c r="D4014" s="17"/>
      <c r="Q4014" s="17"/>
      <c r="T4014" s="1"/>
      <c r="X4014" s="1"/>
      <c r="Y4014" s="1"/>
      <c r="Z4014" s="1"/>
    </row>
    <row r="4015" spans="4:26" x14ac:dyDescent="0.25">
      <c r="D4015" s="16"/>
      <c r="Q4015" s="16"/>
      <c r="T4015" s="1"/>
      <c r="X4015" s="1"/>
      <c r="Y4015" s="1"/>
      <c r="Z4015" s="1"/>
    </row>
    <row r="4018" spans="4:26" x14ac:dyDescent="0.25">
      <c r="D4018" s="16"/>
      <c r="Q4018" s="16"/>
      <c r="T4018" s="1"/>
      <c r="X4018" s="1"/>
      <c r="Y4018" s="1"/>
      <c r="Z4018" s="1"/>
    </row>
    <row r="4021" spans="4:26" x14ac:dyDescent="0.25">
      <c r="D4021" s="16"/>
      <c r="Q4021" s="16"/>
      <c r="T4021" s="1"/>
      <c r="X4021" s="1"/>
      <c r="Y4021" s="1"/>
      <c r="Z4021" s="1"/>
    </row>
    <row r="4024" spans="4:26" x14ac:dyDescent="0.25">
      <c r="D4024" s="16"/>
      <c r="Q4024" s="16"/>
      <c r="T4024" s="1"/>
      <c r="X4024" s="1"/>
      <c r="Y4024" s="1"/>
      <c r="Z4024" s="1"/>
    </row>
    <row r="4027" spans="4:26" x14ac:dyDescent="0.25">
      <c r="D4027" s="16"/>
      <c r="Q4027" s="16"/>
      <c r="T4027" s="1"/>
      <c r="X4027" s="1"/>
      <c r="Y4027" s="1"/>
      <c r="Z4027" s="1"/>
    </row>
    <row r="4030" spans="4:26" x14ac:dyDescent="0.25">
      <c r="D4030" s="16"/>
      <c r="Q4030" s="16"/>
      <c r="T4030" s="1"/>
      <c r="X4030" s="1"/>
      <c r="Y4030" s="1"/>
      <c r="Z4030" s="1"/>
    </row>
    <row r="4033" spans="4:26" x14ac:dyDescent="0.25">
      <c r="D4033" s="16"/>
      <c r="Q4033" s="16"/>
      <c r="T4033" s="1"/>
      <c r="X4033" s="1"/>
      <c r="Y4033" s="1"/>
      <c r="Z4033" s="1"/>
    </row>
    <row r="4036" spans="4:26" x14ac:dyDescent="0.25">
      <c r="D4036" s="16"/>
      <c r="Q4036" s="16"/>
      <c r="T4036" s="1"/>
      <c r="X4036" s="1"/>
      <c r="Y4036" s="1"/>
      <c r="Z4036" s="1"/>
    </row>
    <row r="4039" spans="4:26" x14ac:dyDescent="0.25">
      <c r="D4039" s="16"/>
      <c r="Q4039" s="16"/>
      <c r="T4039" s="1"/>
      <c r="X4039" s="1"/>
      <c r="Y4039" s="1"/>
      <c r="Z4039" s="1"/>
    </row>
    <row r="4042" spans="4:26" x14ac:dyDescent="0.25">
      <c r="D4042" s="16"/>
      <c r="Q4042" s="16"/>
      <c r="T4042" s="1"/>
      <c r="X4042" s="1"/>
      <c r="Y4042" s="1"/>
      <c r="Z4042" s="1"/>
    </row>
    <row r="4045" spans="4:26" x14ac:dyDescent="0.25">
      <c r="D4045" s="16"/>
      <c r="Q4045" s="16"/>
      <c r="T4045" s="1"/>
      <c r="X4045" s="1"/>
      <c r="Y4045" s="1"/>
      <c r="Z4045" s="1"/>
    </row>
    <row r="4048" spans="4:26" x14ac:dyDescent="0.25">
      <c r="D4048" s="16"/>
      <c r="Q4048" s="16"/>
      <c r="T4048" s="1"/>
      <c r="X4048" s="1"/>
      <c r="Y4048" s="1"/>
      <c r="Z4048" s="1"/>
    </row>
    <row r="4051" spans="4:26" x14ac:dyDescent="0.25">
      <c r="D4051" s="16"/>
      <c r="Q4051" s="16"/>
      <c r="T4051" s="1"/>
      <c r="X4051" s="1"/>
      <c r="Y4051" s="1"/>
      <c r="Z4051" s="1"/>
    </row>
    <row r="4052" spans="4:26" x14ac:dyDescent="0.25">
      <c r="D4052" s="17"/>
      <c r="Q4052" s="17"/>
      <c r="T4052" s="1"/>
      <c r="X4052" s="1"/>
      <c r="Y4052" s="1"/>
      <c r="Z4052" s="1"/>
    </row>
    <row r="4053" spans="4:26" x14ac:dyDescent="0.25">
      <c r="D4053" s="17"/>
      <c r="Q4053" s="17"/>
      <c r="T4053" s="1"/>
      <c r="X4053" s="1"/>
      <c r="Y4053" s="1"/>
      <c r="Z4053" s="1"/>
    </row>
    <row r="4054" spans="4:26" x14ac:dyDescent="0.25">
      <c r="D4054" s="16"/>
      <c r="Q4054" s="16"/>
    </row>
    <row r="4056" spans="4:26" x14ac:dyDescent="0.25">
      <c r="D4056" s="17"/>
      <c r="Q4056" s="17"/>
      <c r="T4056" s="1"/>
      <c r="X4056" s="1"/>
      <c r="Y4056" s="1"/>
      <c r="Z4056" s="1"/>
    </row>
    <row r="4057" spans="4:26" x14ac:dyDescent="0.25">
      <c r="D4057" s="16"/>
      <c r="Q4057" s="16"/>
    </row>
    <row r="4059" spans="4:26" x14ac:dyDescent="0.25">
      <c r="D4059" s="17"/>
      <c r="Q4059" s="17"/>
      <c r="T4059" s="1"/>
      <c r="X4059" s="1"/>
      <c r="Y4059" s="1"/>
      <c r="Z4059" s="1"/>
    </row>
    <row r="4060" spans="4:26" x14ac:dyDescent="0.25">
      <c r="D4060" s="16"/>
      <c r="Q4060" s="16"/>
      <c r="T4060" s="1"/>
      <c r="X4060" s="1"/>
      <c r="Y4060" s="1"/>
      <c r="Z4060" s="1"/>
    </row>
    <row r="4063" spans="4:26" x14ac:dyDescent="0.25">
      <c r="D4063" s="16"/>
      <c r="Q4063" s="16"/>
      <c r="T4063" s="1"/>
      <c r="X4063" s="1"/>
      <c r="Y4063" s="1"/>
      <c r="Z4063" s="1"/>
    </row>
    <row r="4066" spans="4:26" x14ac:dyDescent="0.25">
      <c r="D4066" s="16"/>
      <c r="Q4066" s="16"/>
      <c r="T4066" s="1"/>
      <c r="X4066" s="1"/>
      <c r="Y4066" s="1"/>
      <c r="Z4066" s="1"/>
    </row>
    <row r="4067" spans="4:26" x14ac:dyDescent="0.25">
      <c r="D4067" s="17"/>
      <c r="Q4067" s="17"/>
      <c r="T4067" s="1"/>
      <c r="X4067" s="1"/>
      <c r="Y4067" s="1"/>
      <c r="Z4067" s="1"/>
    </row>
    <row r="4068" spans="4:26" x14ac:dyDescent="0.25">
      <c r="D4068" s="17"/>
      <c r="Q4068" s="17"/>
      <c r="T4068" s="1"/>
      <c r="X4068" s="1"/>
      <c r="Y4068" s="1"/>
      <c r="Z4068" s="1"/>
    </row>
    <row r="4069" spans="4:26" x14ac:dyDescent="0.25">
      <c r="D4069" s="16"/>
      <c r="Q4069" s="16"/>
    </row>
    <row r="4071" spans="4:26" x14ac:dyDescent="0.25">
      <c r="D4071" s="17"/>
      <c r="Q4071" s="17"/>
      <c r="T4071" s="1"/>
      <c r="X4071" s="1"/>
      <c r="Y4071" s="1"/>
      <c r="Z4071" s="1"/>
    </row>
    <row r="4072" spans="4:26" x14ac:dyDescent="0.25">
      <c r="D4072" s="16"/>
      <c r="Q4072" s="16"/>
    </row>
    <row r="4074" spans="4:26" x14ac:dyDescent="0.25">
      <c r="D4074" s="17"/>
      <c r="Q4074" s="17"/>
      <c r="T4074" s="1"/>
      <c r="X4074" s="1"/>
      <c r="Y4074" s="1"/>
      <c r="Z4074" s="1"/>
    </row>
    <row r="4075" spans="4:26" x14ac:dyDescent="0.25">
      <c r="D4075" s="16"/>
      <c r="Q4075" s="16"/>
    </row>
    <row r="4077" spans="4:26" x14ac:dyDescent="0.25">
      <c r="D4077" s="17"/>
      <c r="Q4077" s="17"/>
      <c r="T4077" s="1"/>
      <c r="X4077" s="1"/>
      <c r="Y4077" s="1"/>
      <c r="Z4077" s="1"/>
    </row>
    <row r="4078" spans="4:26" x14ac:dyDescent="0.25">
      <c r="D4078" s="16"/>
      <c r="Q4078" s="16"/>
    </row>
    <row r="4080" spans="4:26" x14ac:dyDescent="0.25">
      <c r="D4080" s="17"/>
      <c r="Q4080" s="17"/>
      <c r="T4080" s="1"/>
      <c r="X4080" s="1"/>
      <c r="Y4080" s="1"/>
      <c r="Z4080" s="1"/>
    </row>
    <row r="4081" spans="4:26" x14ac:dyDescent="0.25">
      <c r="D4081" s="16"/>
      <c r="Q4081" s="16"/>
    </row>
    <row r="4083" spans="4:26" x14ac:dyDescent="0.25">
      <c r="D4083" s="17"/>
      <c r="Q4083" s="17"/>
      <c r="T4083" s="1"/>
      <c r="X4083" s="1"/>
      <c r="Y4083" s="1"/>
      <c r="Z4083" s="1"/>
    </row>
    <row r="4084" spans="4:26" x14ac:dyDescent="0.25">
      <c r="D4084" s="16"/>
      <c r="Q4084" s="16"/>
    </row>
    <row r="4086" spans="4:26" x14ac:dyDescent="0.25">
      <c r="D4086" s="17"/>
      <c r="Q4086" s="17"/>
      <c r="T4086" s="1"/>
      <c r="X4086" s="1"/>
      <c r="Y4086" s="1"/>
      <c r="Z4086" s="1"/>
    </row>
    <row r="4087" spans="4:26" x14ac:dyDescent="0.25">
      <c r="D4087" s="16"/>
      <c r="Q4087" s="16"/>
      <c r="T4087" s="1"/>
      <c r="X4087" s="1"/>
      <c r="Y4087" s="1"/>
      <c r="Z4087" s="1"/>
    </row>
    <row r="4090" spans="4:26" x14ac:dyDescent="0.25">
      <c r="D4090" s="16"/>
      <c r="Q4090" s="16"/>
      <c r="T4090" s="1"/>
      <c r="X4090" s="1"/>
      <c r="Y4090" s="1"/>
      <c r="Z4090" s="1"/>
    </row>
    <row r="4093" spans="4:26" x14ac:dyDescent="0.25">
      <c r="D4093" s="16"/>
      <c r="Q4093" s="16"/>
      <c r="T4093" s="1"/>
      <c r="X4093" s="1"/>
      <c r="Y4093" s="1"/>
      <c r="Z4093" s="1"/>
    </row>
    <row r="4094" spans="4:26" x14ac:dyDescent="0.25">
      <c r="D4094" s="17"/>
      <c r="Q4094" s="17"/>
      <c r="T4094" s="1"/>
      <c r="X4094" s="1"/>
      <c r="Y4094" s="1"/>
      <c r="Z4094" s="1"/>
    </row>
    <row r="4096" spans="4:26" x14ac:dyDescent="0.25">
      <c r="D4096" s="16"/>
      <c r="Q4096" s="16"/>
    </row>
    <row r="4097" spans="4:26" x14ac:dyDescent="0.25">
      <c r="D4097" s="17"/>
      <c r="Q4097" s="17"/>
      <c r="T4097" s="1"/>
      <c r="X4097" s="1"/>
      <c r="Y4097" s="1"/>
      <c r="Z4097" s="1"/>
    </row>
    <row r="4099" spans="4:26" x14ac:dyDescent="0.25">
      <c r="D4099" s="16"/>
      <c r="Q4099" s="16"/>
    </row>
    <row r="4100" spans="4:26" x14ac:dyDescent="0.25">
      <c r="D4100" s="17"/>
      <c r="Q4100" s="17"/>
      <c r="T4100" s="1"/>
      <c r="X4100" s="1"/>
      <c r="Y4100" s="1"/>
      <c r="Z4100" s="1"/>
    </row>
    <row r="4101" spans="4:26" x14ac:dyDescent="0.25">
      <c r="D4101" s="17"/>
      <c r="Q4101" s="17"/>
      <c r="T4101" s="1"/>
      <c r="X4101" s="1"/>
      <c r="Y4101" s="1"/>
      <c r="Z4101" s="1"/>
    </row>
    <row r="4102" spans="4:26" x14ac:dyDescent="0.25">
      <c r="D4102" s="16"/>
      <c r="Q4102" s="16"/>
      <c r="T4102" s="1"/>
      <c r="X4102" s="1"/>
      <c r="Y4102" s="1"/>
      <c r="Z4102" s="1"/>
    </row>
    <row r="4105" spans="4:26" x14ac:dyDescent="0.25">
      <c r="D4105" s="16"/>
      <c r="Q4105" s="16"/>
      <c r="T4105" s="1"/>
      <c r="X4105" s="1"/>
      <c r="Y4105" s="1"/>
      <c r="Z4105" s="1"/>
    </row>
    <row r="4108" spans="4:26" x14ac:dyDescent="0.25">
      <c r="D4108" s="16"/>
      <c r="Q4108" s="16"/>
      <c r="T4108" s="1"/>
      <c r="X4108" s="1"/>
      <c r="Y4108" s="1"/>
      <c r="Z4108" s="1"/>
    </row>
    <row r="4111" spans="4:26" x14ac:dyDescent="0.25">
      <c r="D4111" s="16"/>
      <c r="Q4111" s="16"/>
      <c r="T4111" s="1"/>
      <c r="X4111" s="1"/>
      <c r="Y4111" s="1"/>
      <c r="Z4111" s="1"/>
    </row>
    <row r="4112" spans="4:26" x14ac:dyDescent="0.25">
      <c r="D4112" s="17"/>
      <c r="Q4112" s="17"/>
      <c r="T4112" s="1"/>
      <c r="X4112" s="1"/>
      <c r="Y4112" s="1"/>
      <c r="Z4112" s="1"/>
    </row>
    <row r="4114" spans="4:26" x14ac:dyDescent="0.25">
      <c r="D4114" s="16"/>
      <c r="Q4114" s="16"/>
    </row>
    <row r="4115" spans="4:26" x14ac:dyDescent="0.25">
      <c r="D4115" s="17"/>
      <c r="Q4115" s="17"/>
      <c r="T4115" s="1"/>
      <c r="X4115" s="1"/>
      <c r="Y4115" s="1"/>
      <c r="Z4115" s="1"/>
    </row>
    <row r="4117" spans="4:26" x14ac:dyDescent="0.25">
      <c r="D4117" s="16"/>
      <c r="Q4117" s="16"/>
    </row>
    <row r="4118" spans="4:26" x14ac:dyDescent="0.25">
      <c r="D4118" s="17"/>
      <c r="Q4118" s="17"/>
      <c r="T4118" s="1"/>
      <c r="X4118" s="1"/>
      <c r="Y4118" s="1"/>
      <c r="Z4118" s="1"/>
    </row>
    <row r="4120" spans="4:26" x14ac:dyDescent="0.25">
      <c r="D4120" s="16"/>
      <c r="Q4120" s="16"/>
    </row>
    <row r="4121" spans="4:26" x14ac:dyDescent="0.25">
      <c r="D4121" s="16"/>
      <c r="Q4121" s="16"/>
      <c r="T4121" s="1"/>
      <c r="X4121" s="1"/>
      <c r="Y4121" s="1"/>
      <c r="Z4121" s="1"/>
    </row>
    <row r="4122" spans="4:26" x14ac:dyDescent="0.25">
      <c r="D4122" s="16"/>
      <c r="Q4122" s="16"/>
    </row>
    <row r="4123" spans="4:26" x14ac:dyDescent="0.25">
      <c r="D4123" s="16"/>
      <c r="Q4123" s="16"/>
    </row>
    <row r="4124" spans="4:26" x14ac:dyDescent="0.25">
      <c r="D4124" s="17"/>
      <c r="Q4124" s="17"/>
      <c r="T4124" s="1"/>
      <c r="X4124" s="1"/>
      <c r="Y4124" s="1"/>
      <c r="Z4124" s="1"/>
    </row>
    <row r="4125" spans="4:26" x14ac:dyDescent="0.25">
      <c r="D4125" s="17"/>
      <c r="Q4125" s="17"/>
      <c r="T4125" s="1"/>
      <c r="X4125" s="1"/>
      <c r="Y4125" s="1"/>
      <c r="Z4125" s="1"/>
    </row>
    <row r="4126" spans="4:26" x14ac:dyDescent="0.25">
      <c r="D4126" s="16"/>
      <c r="Q4126" s="16"/>
    </row>
    <row r="4127" spans="4:26" x14ac:dyDescent="0.25">
      <c r="D4127" s="16"/>
      <c r="Q4127" s="16"/>
    </row>
    <row r="4128" spans="4:26" x14ac:dyDescent="0.25">
      <c r="D4128" s="16"/>
      <c r="Q4128" s="16"/>
      <c r="T4128" s="1"/>
      <c r="X4128" s="1"/>
      <c r="Y4128" s="1"/>
      <c r="Z4128" s="1"/>
    </row>
    <row r="4129" spans="4:26" x14ac:dyDescent="0.25">
      <c r="D4129" s="16"/>
      <c r="Q4129" s="16"/>
      <c r="T4129" s="1"/>
      <c r="X4129" s="1"/>
      <c r="Y4129" s="1"/>
      <c r="Z4129" s="1"/>
    </row>
    <row r="4132" spans="4:26" x14ac:dyDescent="0.25">
      <c r="D4132" s="16"/>
      <c r="Q4132" s="16"/>
      <c r="T4132" s="1"/>
      <c r="X4132" s="1"/>
      <c r="Y4132" s="1"/>
      <c r="Z4132" s="1"/>
    </row>
    <row r="4133" spans="4:26" x14ac:dyDescent="0.25">
      <c r="D4133" s="16"/>
      <c r="Q4133" s="16"/>
    </row>
    <row r="4134" spans="4:26" x14ac:dyDescent="0.25">
      <c r="D4134" s="16"/>
      <c r="Q4134" s="16"/>
    </row>
    <row r="4135" spans="4:26" x14ac:dyDescent="0.25">
      <c r="D4135" s="16"/>
      <c r="Q4135" s="16"/>
      <c r="T4135" s="1"/>
      <c r="X4135" s="1"/>
      <c r="Y4135" s="1"/>
      <c r="Z4135" s="1"/>
    </row>
    <row r="4138" spans="4:26" x14ac:dyDescent="0.25">
      <c r="D4138" s="16"/>
      <c r="Q4138" s="16"/>
      <c r="T4138" s="1"/>
      <c r="X4138" s="1"/>
      <c r="Y4138" s="1"/>
      <c r="Z4138" s="1"/>
    </row>
    <row r="4139" spans="4:26" x14ac:dyDescent="0.25">
      <c r="D4139" s="16"/>
      <c r="Q4139" s="16"/>
    </row>
    <row r="4140" spans="4:26" x14ac:dyDescent="0.25">
      <c r="D4140" s="16"/>
      <c r="Q4140" s="16"/>
    </row>
    <row r="4141" spans="4:26" x14ac:dyDescent="0.25">
      <c r="D4141" s="17"/>
      <c r="Q4141" s="17"/>
      <c r="T4141" s="1"/>
      <c r="X4141" s="1"/>
      <c r="Y4141" s="1"/>
      <c r="Z4141" s="1"/>
    </row>
    <row r="4143" spans="4:26" x14ac:dyDescent="0.25">
      <c r="D4143" s="16"/>
      <c r="Q4143" s="16"/>
    </row>
    <row r="4144" spans="4:26" x14ac:dyDescent="0.25">
      <c r="D4144" s="16"/>
      <c r="Q4144" s="16"/>
      <c r="T4144" s="1"/>
      <c r="X4144" s="1"/>
      <c r="Y4144" s="1"/>
      <c r="Z4144" s="1"/>
    </row>
    <row r="4145" spans="4:26" x14ac:dyDescent="0.25">
      <c r="D4145" s="17"/>
      <c r="Q4145" s="17"/>
      <c r="T4145" s="1"/>
      <c r="X4145" s="1"/>
      <c r="Y4145" s="1"/>
      <c r="Z4145" s="1"/>
    </row>
    <row r="4147" spans="4:26" x14ac:dyDescent="0.25">
      <c r="D4147" s="16"/>
      <c r="Q4147" s="16"/>
    </row>
    <row r="4148" spans="4:26" x14ac:dyDescent="0.25">
      <c r="D4148" s="17"/>
      <c r="Q4148" s="17"/>
      <c r="T4148" s="1"/>
      <c r="X4148" s="1"/>
      <c r="Y4148" s="1"/>
      <c r="Z4148" s="1"/>
    </row>
    <row r="4150" spans="4:26" x14ac:dyDescent="0.25">
      <c r="D4150" s="16"/>
      <c r="Q4150" s="16"/>
    </row>
    <row r="4151" spans="4:26" x14ac:dyDescent="0.25">
      <c r="D4151" s="16"/>
      <c r="Q4151" s="16"/>
      <c r="T4151" s="1"/>
      <c r="X4151" s="1"/>
      <c r="Y4151" s="1"/>
      <c r="Z4151" s="1"/>
    </row>
    <row r="4152" spans="4:26" x14ac:dyDescent="0.25">
      <c r="D4152" s="16"/>
      <c r="Q4152" s="16"/>
    </row>
    <row r="4153" spans="4:26" x14ac:dyDescent="0.25">
      <c r="D4153" s="16"/>
      <c r="Q4153" s="16"/>
    </row>
    <row r="4154" spans="4:26" x14ac:dyDescent="0.25">
      <c r="D4154" s="17"/>
      <c r="Q4154" s="17"/>
      <c r="T4154" s="1"/>
      <c r="X4154" s="1"/>
      <c r="Y4154" s="1"/>
      <c r="Z4154" s="1"/>
    </row>
    <row r="4156" spans="4:26" x14ac:dyDescent="0.25">
      <c r="D4156" s="16"/>
      <c r="Q4156" s="16"/>
    </row>
    <row r="4157" spans="4:26" x14ac:dyDescent="0.25">
      <c r="D4157" s="16"/>
      <c r="Q4157" s="16"/>
      <c r="T4157" s="1"/>
      <c r="X4157" s="1"/>
      <c r="Y4157" s="1"/>
      <c r="Z4157" s="1"/>
    </row>
    <row r="4158" spans="4:26" x14ac:dyDescent="0.25">
      <c r="D4158" s="16"/>
      <c r="Q4158" s="16"/>
    </row>
    <row r="4159" spans="4:26" x14ac:dyDescent="0.25">
      <c r="D4159" s="16"/>
      <c r="Q4159" s="16"/>
    </row>
    <row r="4160" spans="4:26" x14ac:dyDescent="0.25">
      <c r="D4160" s="17"/>
      <c r="Q4160" s="17"/>
      <c r="T4160" s="1"/>
      <c r="X4160" s="1"/>
      <c r="Y4160" s="1"/>
      <c r="Z4160" s="1"/>
    </row>
    <row r="4162" spans="4:26" x14ac:dyDescent="0.25">
      <c r="D4162" s="16"/>
      <c r="Q4162" s="16"/>
    </row>
    <row r="4163" spans="4:26" x14ac:dyDescent="0.25">
      <c r="D4163" s="16"/>
      <c r="Q4163" s="16"/>
      <c r="T4163" s="1"/>
      <c r="X4163" s="1"/>
      <c r="Y4163" s="1"/>
      <c r="Z4163" s="1"/>
    </row>
    <row r="4164" spans="4:26" x14ac:dyDescent="0.25">
      <c r="D4164" s="16"/>
      <c r="Q4164" s="16"/>
    </row>
    <row r="4165" spans="4:26" x14ac:dyDescent="0.25">
      <c r="D4165" s="16"/>
      <c r="Q4165" s="16"/>
    </row>
    <row r="4166" spans="4:26" x14ac:dyDescent="0.25">
      <c r="D4166" s="17"/>
      <c r="Q4166" s="17"/>
      <c r="T4166" s="1"/>
      <c r="X4166" s="1"/>
      <c r="Y4166" s="1"/>
      <c r="Z4166" s="1"/>
    </row>
    <row r="4168" spans="4:26" x14ac:dyDescent="0.25">
      <c r="D4168" s="16"/>
      <c r="Q4168" s="16"/>
    </row>
    <row r="4169" spans="4:26" x14ac:dyDescent="0.25">
      <c r="D4169" s="16"/>
      <c r="Q4169" s="16"/>
      <c r="T4169" s="1"/>
      <c r="X4169" s="1"/>
      <c r="Y4169" s="1"/>
      <c r="Z4169" s="1"/>
    </row>
    <row r="4170" spans="4:26" x14ac:dyDescent="0.25">
      <c r="D4170" s="16"/>
      <c r="Q4170" s="16"/>
    </row>
    <row r="4172" spans="4:26" x14ac:dyDescent="0.25">
      <c r="D4172" s="17"/>
      <c r="Q4172" s="17"/>
      <c r="T4172" s="1"/>
      <c r="X4172" s="1"/>
      <c r="Y4172" s="1"/>
      <c r="Z4172" s="1"/>
    </row>
    <row r="4173" spans="4:26" x14ac:dyDescent="0.25">
      <c r="D4173" s="16"/>
      <c r="Q4173" s="16"/>
    </row>
    <row r="4174" spans="4:26" x14ac:dyDescent="0.25">
      <c r="D4174" s="16"/>
      <c r="Q4174" s="16"/>
    </row>
    <row r="4175" spans="4:26" x14ac:dyDescent="0.25">
      <c r="D4175" s="16"/>
      <c r="Q4175" s="16"/>
      <c r="T4175" s="1"/>
      <c r="X4175" s="1"/>
      <c r="Y4175" s="1"/>
      <c r="Z4175" s="1"/>
    </row>
    <row r="4178" spans="4:26" x14ac:dyDescent="0.25">
      <c r="D4178" s="16"/>
      <c r="Q4178" s="16"/>
      <c r="T4178" s="1"/>
      <c r="X4178" s="1"/>
      <c r="Y4178" s="1"/>
      <c r="Z4178" s="1"/>
    </row>
    <row r="4179" spans="4:26" x14ac:dyDescent="0.25">
      <c r="D4179" s="16"/>
      <c r="Q4179" s="16"/>
    </row>
    <row r="4181" spans="4:26" x14ac:dyDescent="0.25">
      <c r="D4181" s="17"/>
      <c r="Q4181" s="17"/>
      <c r="T4181" s="1"/>
      <c r="X4181" s="1"/>
      <c r="Y4181" s="1"/>
      <c r="Z4181" s="1"/>
    </row>
    <row r="4182" spans="4:26" x14ac:dyDescent="0.25">
      <c r="D4182" s="16"/>
      <c r="Q4182" s="16"/>
      <c r="T4182" s="1"/>
      <c r="X4182" s="1"/>
      <c r="Y4182" s="1"/>
      <c r="Z4182" s="1"/>
    </row>
    <row r="4183" spans="4:26" x14ac:dyDescent="0.25">
      <c r="D4183" s="16"/>
      <c r="Q4183" s="16"/>
    </row>
    <row r="4185" spans="4:26" x14ac:dyDescent="0.25">
      <c r="D4185" s="17"/>
      <c r="Q4185" s="17"/>
      <c r="T4185" s="1"/>
      <c r="X4185" s="1"/>
      <c r="Y4185" s="1"/>
      <c r="Z4185" s="1"/>
    </row>
    <row r="4186" spans="4:26" x14ac:dyDescent="0.25">
      <c r="D4186" s="16"/>
      <c r="Q4186" s="16"/>
      <c r="T4186" s="1"/>
      <c r="X4186" s="1"/>
      <c r="Y4186" s="1"/>
      <c r="Z4186" s="1"/>
    </row>
    <row r="4187" spans="4:26" x14ac:dyDescent="0.25">
      <c r="D4187" s="16"/>
      <c r="Q4187" s="16"/>
    </row>
    <row r="4188" spans="4:26" x14ac:dyDescent="0.25">
      <c r="D4188" s="16"/>
      <c r="Q4188" s="16"/>
    </row>
    <row r="4189" spans="4:26" x14ac:dyDescent="0.25">
      <c r="D4189" s="16"/>
      <c r="Q4189" s="16"/>
      <c r="T4189" s="1"/>
      <c r="X4189" s="1"/>
      <c r="Y4189" s="1"/>
      <c r="Z4189" s="1"/>
    </row>
    <row r="4192" spans="4:26" x14ac:dyDescent="0.25">
      <c r="D4192" s="16"/>
      <c r="Q4192" s="16"/>
      <c r="T4192" s="1"/>
      <c r="X4192" s="1"/>
      <c r="Y4192" s="1"/>
      <c r="Z4192" s="1"/>
    </row>
    <row r="4193" spans="4:26" x14ac:dyDescent="0.25">
      <c r="D4193" s="16"/>
      <c r="Q4193" s="16"/>
      <c r="T4193" s="1"/>
      <c r="X4193" s="1"/>
      <c r="Y4193" s="1"/>
      <c r="Z4193" s="1"/>
    </row>
    <row r="4194" spans="4:26" x14ac:dyDescent="0.25">
      <c r="D4194" s="16"/>
      <c r="Q4194" s="16"/>
      <c r="T4194" s="1"/>
      <c r="X4194" s="1"/>
      <c r="Y4194" s="1"/>
      <c r="Z4194" s="1"/>
    </row>
    <row r="4195" spans="4:26" x14ac:dyDescent="0.25">
      <c r="D4195" s="16"/>
      <c r="Q4195" s="16"/>
    </row>
    <row r="4197" spans="4:26" x14ac:dyDescent="0.25">
      <c r="D4197" s="17"/>
      <c r="Q4197" s="17"/>
      <c r="T4197" s="1"/>
      <c r="X4197" s="1"/>
      <c r="Y4197" s="1"/>
      <c r="Z4197" s="1"/>
    </row>
    <row r="4198" spans="4:26" x14ac:dyDescent="0.25">
      <c r="D4198" s="16"/>
      <c r="Q4198" s="16"/>
    </row>
    <row r="4199" spans="4:26" x14ac:dyDescent="0.25">
      <c r="D4199" s="16"/>
      <c r="Q4199" s="16"/>
    </row>
    <row r="4200" spans="4:26" x14ac:dyDescent="0.25">
      <c r="D4200" s="16"/>
      <c r="Q4200" s="16"/>
      <c r="T4200" s="1"/>
      <c r="X4200" s="1"/>
      <c r="Y4200" s="1"/>
      <c r="Z4200" s="1"/>
    </row>
    <row r="4201" spans="4:26" x14ac:dyDescent="0.25">
      <c r="D4201" s="16"/>
      <c r="Q4201" s="16"/>
    </row>
    <row r="4203" spans="4:26" x14ac:dyDescent="0.25">
      <c r="D4203" s="17"/>
      <c r="Q4203" s="17"/>
      <c r="T4203" s="1"/>
      <c r="X4203" s="1"/>
      <c r="Y4203" s="1"/>
      <c r="Z4203" s="1"/>
    </row>
    <row r="4204" spans="4:26" x14ac:dyDescent="0.25">
      <c r="D4204" s="16"/>
      <c r="Q4204" s="16"/>
    </row>
    <row r="4205" spans="4:26" x14ac:dyDescent="0.25">
      <c r="D4205" s="16"/>
      <c r="Q4205" s="16"/>
    </row>
    <row r="4206" spans="4:26" x14ac:dyDescent="0.25">
      <c r="D4206" s="16"/>
      <c r="Q4206" s="16"/>
      <c r="T4206" s="1"/>
      <c r="X4206" s="1"/>
      <c r="Y4206" s="1"/>
      <c r="Z4206" s="1"/>
    </row>
    <row r="4207" spans="4:26" x14ac:dyDescent="0.25">
      <c r="D4207" s="16"/>
      <c r="Q4207" s="16"/>
    </row>
    <row r="4209" spans="4:26" x14ac:dyDescent="0.25">
      <c r="D4209" s="17"/>
      <c r="Q4209" s="17"/>
      <c r="T4209" s="1"/>
      <c r="X4209" s="1"/>
      <c r="Y4209" s="1"/>
      <c r="Z4209" s="1"/>
    </row>
    <row r="4210" spans="4:26" x14ac:dyDescent="0.25">
      <c r="D4210" s="16"/>
      <c r="Q4210" s="16"/>
      <c r="T4210" s="1"/>
      <c r="X4210" s="1"/>
      <c r="Y4210" s="1"/>
      <c r="Z4210" s="1"/>
    </row>
    <row r="4211" spans="4:26" x14ac:dyDescent="0.25">
      <c r="D4211" s="16"/>
      <c r="Q4211" s="16"/>
    </row>
    <row r="4212" spans="4:26" x14ac:dyDescent="0.25">
      <c r="D4212" s="16"/>
      <c r="Q4212" s="16"/>
    </row>
    <row r="4213" spans="4:26" x14ac:dyDescent="0.25">
      <c r="D4213" s="16"/>
      <c r="Q4213" s="16"/>
      <c r="T4213" s="1"/>
      <c r="X4213" s="1"/>
      <c r="Y4213" s="1"/>
      <c r="Z4213" s="1"/>
    </row>
    <row r="4214" spans="4:26" x14ac:dyDescent="0.25">
      <c r="D4214" s="17"/>
      <c r="Q4214" s="17"/>
      <c r="T4214" s="1"/>
      <c r="X4214" s="1"/>
      <c r="Y4214" s="1"/>
      <c r="Z4214" s="1"/>
    </row>
    <row r="4216" spans="4:26" x14ac:dyDescent="0.25">
      <c r="D4216" s="16"/>
      <c r="Q4216" s="16"/>
    </row>
    <row r="4217" spans="4:26" x14ac:dyDescent="0.25">
      <c r="D4217" s="16"/>
      <c r="Q4217" s="16"/>
      <c r="T4217" s="1"/>
      <c r="X4217" s="1"/>
      <c r="Y4217" s="1"/>
      <c r="Z4217" s="1"/>
    </row>
    <row r="4218" spans="4:26" x14ac:dyDescent="0.25">
      <c r="D4218" s="16"/>
      <c r="Q4218" s="16"/>
    </row>
    <row r="4219" spans="4:26" x14ac:dyDescent="0.25">
      <c r="D4219" s="16"/>
      <c r="Q4219" s="16"/>
    </row>
    <row r="4220" spans="4:26" x14ac:dyDescent="0.25">
      <c r="D4220" s="17"/>
      <c r="Q4220" s="17"/>
      <c r="T4220" s="1"/>
      <c r="X4220" s="1"/>
      <c r="Y4220" s="1"/>
      <c r="Z4220" s="1"/>
    </row>
    <row r="4222" spans="4:26" x14ac:dyDescent="0.25">
      <c r="D4222" s="16"/>
      <c r="Q4222" s="16"/>
    </row>
    <row r="4223" spans="4:26" x14ac:dyDescent="0.25">
      <c r="D4223" s="16"/>
      <c r="Q4223" s="16"/>
      <c r="T4223" s="1"/>
      <c r="X4223" s="1"/>
      <c r="Y4223" s="1"/>
      <c r="Z4223" s="1"/>
    </row>
    <row r="4224" spans="4:26" x14ac:dyDescent="0.25">
      <c r="D4224" s="16"/>
      <c r="Q4224" s="16"/>
      <c r="T4224" s="1"/>
      <c r="X4224" s="1"/>
      <c r="Y4224" s="1"/>
      <c r="Z4224" s="1"/>
    </row>
    <row r="4225" spans="4:26" x14ac:dyDescent="0.25">
      <c r="D4225" s="16"/>
      <c r="Q4225" s="16"/>
    </row>
    <row r="4227" spans="4:26" x14ac:dyDescent="0.25">
      <c r="D4227" s="17"/>
      <c r="Q4227" s="17"/>
      <c r="T4227" s="1"/>
      <c r="X4227" s="1"/>
      <c r="Y4227" s="1"/>
      <c r="Z4227" s="1"/>
    </row>
    <row r="4228" spans="4:26" x14ac:dyDescent="0.25">
      <c r="D4228" s="16"/>
      <c r="Q4228" s="16"/>
      <c r="T4228" s="1"/>
      <c r="X4228" s="1"/>
      <c r="Y4228" s="1"/>
      <c r="Z4228" s="1"/>
    </row>
    <row r="4229" spans="4:26" x14ac:dyDescent="0.25">
      <c r="D4229" s="16"/>
      <c r="Q4229" s="16"/>
    </row>
    <row r="4230" spans="4:26" x14ac:dyDescent="0.25">
      <c r="D4230" s="16"/>
      <c r="Q4230" s="16"/>
    </row>
    <row r="4231" spans="4:26" x14ac:dyDescent="0.25">
      <c r="D4231" s="17"/>
      <c r="Q4231" s="17"/>
      <c r="T4231" s="1"/>
      <c r="X4231" s="1"/>
      <c r="Y4231" s="1"/>
      <c r="Z4231" s="1"/>
    </row>
    <row r="4233" spans="4:26" x14ac:dyDescent="0.25">
      <c r="D4233" s="16"/>
      <c r="Q4233" s="16"/>
    </row>
    <row r="4234" spans="4:26" x14ac:dyDescent="0.25">
      <c r="D4234" s="16"/>
      <c r="Q4234" s="16"/>
      <c r="T4234" s="1"/>
      <c r="X4234" s="1"/>
      <c r="Y4234" s="1"/>
      <c r="Z4234" s="1"/>
    </row>
    <row r="4235" spans="4:26" x14ac:dyDescent="0.25">
      <c r="D4235" s="16"/>
      <c r="Q4235" s="16"/>
      <c r="T4235" s="1"/>
      <c r="X4235" s="1"/>
      <c r="Y4235" s="1"/>
      <c r="Z4235" s="1"/>
    </row>
    <row r="4236" spans="4:26" x14ac:dyDescent="0.25">
      <c r="D4236" s="17"/>
      <c r="Q4236" s="17"/>
      <c r="T4236" s="1"/>
      <c r="X4236" s="1"/>
      <c r="Y4236" s="1"/>
      <c r="Z4236" s="1"/>
    </row>
    <row r="4237" spans="4:26" x14ac:dyDescent="0.25">
      <c r="D4237" s="17"/>
      <c r="Q4237" s="17"/>
      <c r="T4237" s="1"/>
      <c r="X4237" s="1"/>
      <c r="Y4237" s="1"/>
      <c r="Z4237" s="1"/>
    </row>
    <row r="4238" spans="4:26" x14ac:dyDescent="0.25">
      <c r="D4238" s="16"/>
      <c r="Q4238" s="16"/>
      <c r="T4238" s="1"/>
      <c r="X4238" s="1"/>
      <c r="Y4238" s="1"/>
      <c r="Z4238" s="1"/>
    </row>
    <row r="4239" spans="4:26" x14ac:dyDescent="0.25">
      <c r="D4239" s="17"/>
      <c r="Q4239" s="17"/>
      <c r="T4239" s="1"/>
      <c r="X4239" s="1"/>
      <c r="Y4239" s="1"/>
      <c r="Z4239" s="1"/>
    </row>
    <row r="4241" spans="4:26" x14ac:dyDescent="0.25">
      <c r="D4241" s="16"/>
      <c r="Q4241" s="16"/>
    </row>
    <row r="4242" spans="4:26" x14ac:dyDescent="0.25">
      <c r="D4242" s="17"/>
      <c r="Q4242" s="17"/>
      <c r="T4242" s="1"/>
      <c r="X4242" s="1"/>
      <c r="Y4242" s="1"/>
      <c r="Z4242" s="1"/>
    </row>
    <row r="4244" spans="4:26" x14ac:dyDescent="0.25">
      <c r="D4244" s="16"/>
      <c r="Q4244" s="16"/>
    </row>
    <row r="4245" spans="4:26" x14ac:dyDescent="0.25">
      <c r="D4245" s="16"/>
      <c r="Q4245" s="16"/>
      <c r="T4245" s="1"/>
      <c r="X4245" s="1"/>
      <c r="Y4245" s="1"/>
      <c r="Z4245" s="1"/>
    </row>
    <row r="4246" spans="4:26" x14ac:dyDescent="0.25">
      <c r="D4246" s="16"/>
      <c r="Q4246" s="16"/>
      <c r="T4246" s="1"/>
      <c r="X4246" s="1"/>
      <c r="Y4246" s="1"/>
      <c r="Z4246" s="1"/>
    </row>
    <row r="4247" spans="4:26" x14ac:dyDescent="0.25">
      <c r="D4247" s="17"/>
      <c r="Q4247" s="17"/>
      <c r="T4247" s="1"/>
      <c r="X4247" s="1"/>
      <c r="Y4247" s="1"/>
      <c r="Z4247" s="1"/>
    </row>
    <row r="4248" spans="4:26" x14ac:dyDescent="0.25">
      <c r="D4248" s="17"/>
      <c r="Q4248" s="17"/>
      <c r="T4248" s="1"/>
      <c r="X4248" s="1"/>
      <c r="Y4248" s="1"/>
      <c r="Z4248" s="1"/>
    </row>
    <row r="4249" spans="4:26" x14ac:dyDescent="0.25">
      <c r="D4249" s="16"/>
      <c r="Q4249" s="16"/>
    </row>
    <row r="4250" spans="4:26" x14ac:dyDescent="0.25">
      <c r="D4250" s="16"/>
      <c r="Q4250" s="16"/>
    </row>
    <row r="4251" spans="4:26" x14ac:dyDescent="0.25">
      <c r="D4251" s="16"/>
      <c r="Q4251" s="16"/>
      <c r="T4251" s="1"/>
      <c r="X4251" s="1"/>
      <c r="Y4251" s="1"/>
      <c r="Z4251" s="1"/>
    </row>
    <row r="4254" spans="4:26" x14ac:dyDescent="0.25">
      <c r="D4254" s="16"/>
      <c r="Q4254" s="16"/>
      <c r="T4254" s="1"/>
      <c r="X4254" s="1"/>
      <c r="Y4254" s="1"/>
      <c r="Z4254" s="1"/>
    </row>
    <row r="4255" spans="4:26" x14ac:dyDescent="0.25">
      <c r="D4255" s="16"/>
      <c r="Q4255" s="16"/>
    </row>
    <row r="4256" spans="4:26" x14ac:dyDescent="0.25">
      <c r="D4256" s="16"/>
      <c r="Q4256" s="16"/>
    </row>
    <row r="4257" spans="4:26" x14ac:dyDescent="0.25">
      <c r="D4257" s="16"/>
      <c r="Q4257" s="16"/>
      <c r="T4257" s="1"/>
      <c r="X4257" s="1"/>
      <c r="Y4257" s="1"/>
      <c r="Z4257" s="1"/>
    </row>
    <row r="4258" spans="4:26" x14ac:dyDescent="0.25">
      <c r="D4258" s="17"/>
      <c r="Q4258" s="17"/>
      <c r="T4258" s="1"/>
      <c r="X4258" s="1"/>
      <c r="Y4258" s="1"/>
      <c r="Z4258" s="1"/>
    </row>
    <row r="4259" spans="4:26" x14ac:dyDescent="0.25">
      <c r="D4259" s="17"/>
      <c r="Q4259" s="17"/>
      <c r="T4259" s="1"/>
      <c r="X4259" s="1"/>
      <c r="Y4259" s="1"/>
      <c r="Z4259" s="1"/>
    </row>
    <row r="4260" spans="4:26" x14ac:dyDescent="0.25">
      <c r="D4260" s="16"/>
      <c r="Q4260" s="16"/>
    </row>
    <row r="4261" spans="4:26" x14ac:dyDescent="0.25">
      <c r="D4261" s="16"/>
      <c r="Q4261" s="16"/>
    </row>
    <row r="4262" spans="4:26" x14ac:dyDescent="0.25">
      <c r="D4262" s="16"/>
      <c r="Q4262" s="16"/>
      <c r="T4262" s="1"/>
      <c r="X4262" s="1"/>
      <c r="Y4262" s="1"/>
      <c r="Z4262" s="1"/>
    </row>
    <row r="4265" spans="4:26" x14ac:dyDescent="0.25">
      <c r="D4265" s="16"/>
      <c r="Q4265" s="16"/>
      <c r="T4265" s="1"/>
      <c r="X4265" s="1"/>
      <c r="Y4265" s="1"/>
      <c r="Z4265" s="1"/>
    </row>
    <row r="4268" spans="4:26" x14ac:dyDescent="0.25">
      <c r="D4268" s="16"/>
      <c r="Q4268" s="16"/>
      <c r="T4268" s="1"/>
      <c r="X4268" s="1"/>
      <c r="Y4268" s="1"/>
      <c r="Z4268" s="1"/>
    </row>
    <row r="4269" spans="4:26" x14ac:dyDescent="0.25">
      <c r="D4269" s="16"/>
      <c r="Q4269" s="16"/>
    </row>
    <row r="4270" spans="4:26" x14ac:dyDescent="0.25">
      <c r="D4270" s="16"/>
      <c r="Q4270" s="16"/>
    </row>
    <row r="4271" spans="4:26" x14ac:dyDescent="0.25">
      <c r="D4271" s="17"/>
      <c r="Q4271" s="17"/>
      <c r="T4271" s="1"/>
      <c r="X4271" s="1"/>
      <c r="Y4271" s="1"/>
      <c r="Z4271" s="1"/>
    </row>
    <row r="4273" spans="4:26" x14ac:dyDescent="0.25">
      <c r="D4273" s="16"/>
      <c r="Q4273" s="16"/>
    </row>
    <row r="4274" spans="4:26" x14ac:dyDescent="0.25">
      <c r="D4274" s="17"/>
      <c r="Q4274" s="17"/>
      <c r="T4274" s="1"/>
      <c r="X4274" s="1"/>
      <c r="Y4274" s="1"/>
      <c r="Z4274" s="1"/>
    </row>
    <row r="4276" spans="4:26" x14ac:dyDescent="0.25">
      <c r="D4276" s="16"/>
      <c r="Q4276" s="16"/>
    </row>
    <row r="4277" spans="4:26" x14ac:dyDescent="0.25">
      <c r="D4277" s="17"/>
      <c r="Q4277" s="17"/>
      <c r="T4277" s="1"/>
      <c r="X4277" s="1"/>
      <c r="Y4277" s="1"/>
      <c r="Z4277" s="1"/>
    </row>
    <row r="4279" spans="4:26" x14ac:dyDescent="0.25">
      <c r="D4279" s="16"/>
      <c r="Q4279" s="16"/>
    </row>
    <row r="4280" spans="4:26" x14ac:dyDescent="0.25">
      <c r="D4280" s="16"/>
      <c r="Q4280" s="16"/>
      <c r="T4280" s="1"/>
      <c r="X4280" s="1"/>
      <c r="Y4280" s="1"/>
      <c r="Z4280" s="1"/>
    </row>
    <row r="4283" spans="4:26" x14ac:dyDescent="0.25">
      <c r="D4283" s="16"/>
      <c r="Q4283" s="16"/>
      <c r="T4283" s="1"/>
      <c r="X4283" s="1"/>
      <c r="Y4283" s="1"/>
      <c r="Z4283" s="1"/>
    </row>
    <row r="4284" spans="4:26" x14ac:dyDescent="0.25">
      <c r="D4284" s="16"/>
      <c r="Q4284" s="16"/>
      <c r="T4284" s="1"/>
      <c r="X4284" s="1"/>
      <c r="Y4284" s="1"/>
      <c r="Z4284" s="1"/>
    </row>
    <row r="4285" spans="4:26" x14ac:dyDescent="0.25">
      <c r="D4285" s="17"/>
      <c r="Q4285" s="17"/>
      <c r="T4285" s="1"/>
      <c r="X4285" s="1"/>
      <c r="Y4285" s="1"/>
      <c r="Z4285" s="1"/>
    </row>
    <row r="4287" spans="4:26" x14ac:dyDescent="0.25">
      <c r="D4287" s="16"/>
      <c r="Q4287" s="16"/>
    </row>
    <row r="4288" spans="4:26" x14ac:dyDescent="0.25">
      <c r="D4288" s="16"/>
      <c r="Q4288" s="16"/>
      <c r="T4288" s="1"/>
      <c r="X4288" s="1"/>
      <c r="Y4288" s="1"/>
      <c r="Z4288" s="1"/>
    </row>
    <row r="4291" spans="4:26" x14ac:dyDescent="0.25">
      <c r="D4291" s="16"/>
      <c r="Q4291" s="16"/>
      <c r="T4291" s="1"/>
      <c r="X4291" s="1"/>
      <c r="Y4291" s="1"/>
      <c r="Z4291" s="1"/>
    </row>
    <row r="4292" spans="4:26" x14ac:dyDescent="0.25">
      <c r="D4292" s="17"/>
      <c r="Q4292" s="17"/>
      <c r="T4292" s="1"/>
      <c r="X4292" s="1"/>
      <c r="Y4292" s="1"/>
      <c r="Z4292" s="1"/>
    </row>
    <row r="4293" spans="4:26" x14ac:dyDescent="0.25">
      <c r="D4293" s="17"/>
      <c r="Q4293" s="17"/>
      <c r="T4293" s="1"/>
      <c r="X4293" s="1"/>
      <c r="Y4293" s="1"/>
      <c r="Z4293" s="1"/>
    </row>
    <row r="4294" spans="4:26" x14ac:dyDescent="0.25">
      <c r="D4294" s="16"/>
      <c r="Q4294" s="16"/>
    </row>
    <row r="4295" spans="4:26" x14ac:dyDescent="0.25">
      <c r="D4295" s="16"/>
      <c r="Q4295" s="16"/>
    </row>
    <row r="4296" spans="4:26" x14ac:dyDescent="0.25">
      <c r="D4296" s="17"/>
      <c r="Q4296" s="17"/>
      <c r="T4296" s="1"/>
      <c r="X4296" s="1"/>
      <c r="Y4296" s="1"/>
      <c r="Z4296" s="1"/>
    </row>
    <row r="4298" spans="4:26" x14ac:dyDescent="0.25">
      <c r="D4298" s="16"/>
      <c r="Q4298" s="16"/>
    </row>
    <row r="4299" spans="4:26" x14ac:dyDescent="0.25">
      <c r="D4299" s="16"/>
      <c r="Q4299" s="16"/>
      <c r="T4299" s="1"/>
      <c r="X4299" s="1"/>
      <c r="Y4299" s="1"/>
      <c r="Z4299" s="1"/>
    </row>
    <row r="4300" spans="4:26" x14ac:dyDescent="0.25">
      <c r="D4300" s="16"/>
      <c r="Q4300" s="16"/>
    </row>
    <row r="4301" spans="4:26" x14ac:dyDescent="0.25">
      <c r="D4301" s="16"/>
      <c r="Q4301" s="16"/>
    </row>
    <row r="4302" spans="4:26" x14ac:dyDescent="0.25">
      <c r="D4302" s="17"/>
      <c r="Q4302" s="17"/>
      <c r="T4302" s="1"/>
      <c r="X4302" s="1"/>
      <c r="Y4302" s="1"/>
      <c r="Z4302" s="1"/>
    </row>
    <row r="4303" spans="4:26" x14ac:dyDescent="0.25">
      <c r="D4303" s="17"/>
      <c r="Q4303" s="17"/>
      <c r="T4303" s="1"/>
      <c r="X4303" s="1"/>
      <c r="Y4303" s="1"/>
      <c r="Z4303" s="1"/>
    </row>
    <row r="4304" spans="4:26" x14ac:dyDescent="0.25">
      <c r="D4304" s="16"/>
      <c r="Q4304" s="16"/>
    </row>
    <row r="4306" spans="4:26" x14ac:dyDescent="0.25">
      <c r="D4306" s="17"/>
      <c r="Q4306" s="17"/>
      <c r="T4306" s="1"/>
      <c r="X4306" s="1"/>
      <c r="Y4306" s="1"/>
      <c r="Z4306" s="1"/>
    </row>
    <row r="4307" spans="4:26" x14ac:dyDescent="0.25">
      <c r="D4307" s="16"/>
      <c r="Q4307" s="16"/>
    </row>
    <row r="4308" spans="4:26" x14ac:dyDescent="0.25">
      <c r="D4308" s="16"/>
      <c r="Q4308" s="16"/>
    </row>
    <row r="4309" spans="4:26" x14ac:dyDescent="0.25">
      <c r="D4309" s="16"/>
      <c r="Q4309" s="16"/>
      <c r="T4309" s="1"/>
      <c r="X4309" s="1"/>
      <c r="Y4309" s="1"/>
      <c r="Z4309" s="1"/>
    </row>
    <row r="4310" spans="4:26" x14ac:dyDescent="0.25">
      <c r="D4310" s="16"/>
      <c r="Q4310" s="16"/>
    </row>
    <row r="4312" spans="4:26" x14ac:dyDescent="0.25">
      <c r="D4312" s="17"/>
      <c r="Q4312" s="17"/>
      <c r="T4312" s="1"/>
      <c r="X4312" s="1"/>
      <c r="Y4312" s="1"/>
      <c r="Z4312" s="1"/>
    </row>
    <row r="4313" spans="4:26" x14ac:dyDescent="0.25">
      <c r="D4313" s="16"/>
      <c r="Q4313" s="16"/>
    </row>
    <row r="4314" spans="4:26" x14ac:dyDescent="0.25">
      <c r="D4314" s="16"/>
      <c r="Q4314" s="16"/>
    </row>
    <row r="4315" spans="4:26" x14ac:dyDescent="0.25">
      <c r="D4315" s="16"/>
      <c r="Q4315" s="16"/>
      <c r="T4315" s="1"/>
      <c r="X4315" s="1"/>
      <c r="Y4315" s="1"/>
      <c r="Z4315" s="1"/>
    </row>
    <row r="4318" spans="4:26" x14ac:dyDescent="0.25">
      <c r="D4318" s="16"/>
      <c r="Q4318" s="16"/>
      <c r="T4318" s="1"/>
      <c r="X4318" s="1"/>
      <c r="Y4318" s="1"/>
      <c r="Z4318" s="1"/>
    </row>
    <row r="4319" spans="4:26" x14ac:dyDescent="0.25">
      <c r="D4319" s="16"/>
      <c r="Q4319" s="16"/>
    </row>
    <row r="4320" spans="4:26" x14ac:dyDescent="0.25">
      <c r="D4320" s="16"/>
      <c r="Q4320" s="16"/>
    </row>
    <row r="4321" spans="4:26" x14ac:dyDescent="0.25">
      <c r="D4321" s="16"/>
      <c r="Q4321" s="16"/>
      <c r="T4321" s="1"/>
      <c r="X4321" s="1"/>
      <c r="Y4321" s="1"/>
      <c r="Z4321" s="1"/>
    </row>
    <row r="4324" spans="4:26" x14ac:dyDescent="0.25">
      <c r="D4324" s="16"/>
      <c r="Q4324" s="16"/>
      <c r="T4324" s="1"/>
      <c r="X4324" s="1"/>
      <c r="Y4324" s="1"/>
      <c r="Z4324" s="1"/>
    </row>
    <row r="4325" spans="4:26" x14ac:dyDescent="0.25">
      <c r="D4325" s="16"/>
      <c r="Q4325" s="16"/>
      <c r="T4325" s="1"/>
      <c r="X4325" s="1"/>
      <c r="Y4325" s="1"/>
      <c r="Z4325" s="1"/>
    </row>
    <row r="4326" spans="4:26" x14ac:dyDescent="0.25">
      <c r="D4326" s="16"/>
      <c r="Q4326" s="16"/>
      <c r="T4326" s="1"/>
      <c r="X4326" s="1"/>
      <c r="Y4326" s="1"/>
      <c r="Z4326" s="1"/>
    </row>
    <row r="4329" spans="4:26" x14ac:dyDescent="0.25">
      <c r="D4329" s="16"/>
      <c r="Q4329" s="16"/>
      <c r="T4329" s="1"/>
      <c r="X4329" s="1"/>
      <c r="Y4329" s="1"/>
      <c r="Z4329" s="1"/>
    </row>
    <row r="4330" spans="4:26" x14ac:dyDescent="0.25">
      <c r="D4330" s="16"/>
      <c r="Q4330" s="16"/>
    </row>
    <row r="4331" spans="4:26" x14ac:dyDescent="0.25">
      <c r="D4331" s="16"/>
      <c r="Q4331" s="16"/>
    </row>
    <row r="4332" spans="4:26" x14ac:dyDescent="0.25">
      <c r="D4332" s="17"/>
      <c r="Q4332" s="17"/>
      <c r="T4332" s="1"/>
      <c r="X4332" s="1"/>
      <c r="Y4332" s="1"/>
      <c r="Z4332" s="1"/>
    </row>
    <row r="4333" spans="4:26" x14ac:dyDescent="0.25">
      <c r="D4333" s="17"/>
      <c r="Q4333" s="17"/>
      <c r="T4333" s="1"/>
      <c r="X4333" s="1"/>
      <c r="Y4333" s="1"/>
      <c r="Z4333" s="1"/>
    </row>
    <row r="4334" spans="4:26" x14ac:dyDescent="0.25">
      <c r="D4334" s="16"/>
      <c r="Q4334" s="16"/>
    </row>
    <row r="4336" spans="4:26" x14ac:dyDescent="0.25">
      <c r="D4336" s="17"/>
      <c r="Q4336" s="17"/>
      <c r="T4336" s="1"/>
      <c r="X4336" s="1"/>
      <c r="Y4336" s="1"/>
      <c r="Z4336" s="1"/>
    </row>
    <row r="4337" spans="4:26" x14ac:dyDescent="0.25">
      <c r="D4337" s="16"/>
      <c r="Q4337" s="16"/>
    </row>
    <row r="4339" spans="4:26" x14ac:dyDescent="0.25">
      <c r="D4339" s="17"/>
      <c r="Q4339" s="17"/>
      <c r="T4339" s="1"/>
      <c r="X4339" s="1"/>
      <c r="Y4339" s="1"/>
      <c r="Z4339" s="1"/>
    </row>
    <row r="4340" spans="4:26" x14ac:dyDescent="0.25">
      <c r="D4340" s="16"/>
      <c r="Q4340" s="16"/>
    </row>
    <row r="4342" spans="4:26" x14ac:dyDescent="0.25">
      <c r="D4342" s="17"/>
      <c r="Q4342" s="17"/>
      <c r="T4342" s="1"/>
      <c r="X4342" s="1"/>
      <c r="Y4342" s="1"/>
      <c r="Z4342" s="1"/>
    </row>
    <row r="4343" spans="4:26" x14ac:dyDescent="0.25">
      <c r="D4343" s="16"/>
      <c r="Q4343" s="16"/>
    </row>
    <row r="4344" spans="4:26" x14ac:dyDescent="0.25">
      <c r="D4344" s="16"/>
      <c r="Q4344" s="16"/>
    </row>
    <row r="4345" spans="4:26" x14ac:dyDescent="0.25">
      <c r="D4345" s="17"/>
      <c r="Q4345" s="17"/>
      <c r="T4345" s="1"/>
      <c r="X4345" s="1"/>
      <c r="Y4345" s="1"/>
      <c r="Z4345" s="1"/>
    </row>
    <row r="4346" spans="4:26" x14ac:dyDescent="0.25">
      <c r="D4346" s="17"/>
      <c r="Q4346" s="17"/>
      <c r="T4346" s="1"/>
      <c r="X4346" s="1"/>
      <c r="Y4346" s="1"/>
      <c r="Z4346" s="1"/>
    </row>
    <row r="4347" spans="4:26" x14ac:dyDescent="0.25">
      <c r="D4347" s="16"/>
      <c r="Q4347" s="16"/>
      <c r="T4347" s="1"/>
      <c r="X4347" s="1"/>
      <c r="Y4347" s="1"/>
      <c r="Z4347" s="1"/>
    </row>
    <row r="4348" spans="4:26" x14ac:dyDescent="0.25">
      <c r="D4348" s="17"/>
      <c r="Q4348" s="17"/>
      <c r="T4348" s="1"/>
      <c r="X4348" s="1"/>
      <c r="Y4348" s="1"/>
      <c r="Z4348" s="1"/>
    </row>
    <row r="4350" spans="4:26" x14ac:dyDescent="0.25">
      <c r="D4350" s="16"/>
      <c r="Q4350" s="16"/>
    </row>
    <row r="4351" spans="4:26" x14ac:dyDescent="0.25">
      <c r="D4351" s="16"/>
      <c r="Q4351" s="16"/>
      <c r="T4351" s="1"/>
      <c r="X4351" s="1"/>
      <c r="Y4351" s="1"/>
      <c r="Z4351" s="1"/>
    </row>
    <row r="4352" spans="4:26" x14ac:dyDescent="0.25">
      <c r="D4352" s="16"/>
      <c r="Q4352" s="16"/>
    </row>
    <row r="4354" spans="4:26" x14ac:dyDescent="0.25">
      <c r="D4354" s="17"/>
      <c r="Q4354" s="17"/>
      <c r="T4354" s="1"/>
      <c r="X4354" s="1"/>
      <c r="Y4354" s="1"/>
      <c r="Z4354" s="1"/>
    </row>
    <row r="4355" spans="4:26" x14ac:dyDescent="0.25">
      <c r="D4355" s="16"/>
      <c r="Q4355" s="16"/>
      <c r="T4355" s="1"/>
      <c r="X4355" s="1"/>
      <c r="Y4355" s="1"/>
      <c r="Z4355" s="1"/>
    </row>
    <row r="4356" spans="4:26" x14ac:dyDescent="0.25">
      <c r="D4356" s="16"/>
      <c r="Q4356" s="16"/>
      <c r="T4356" s="1"/>
      <c r="X4356" s="1"/>
      <c r="Y4356" s="1"/>
      <c r="Z4356" s="1"/>
    </row>
    <row r="4359" spans="4:26" x14ac:dyDescent="0.25">
      <c r="D4359" s="16"/>
      <c r="Q4359" s="16"/>
      <c r="T4359" s="1"/>
      <c r="X4359" s="1"/>
      <c r="Y4359" s="1"/>
      <c r="Z4359" s="1"/>
    </row>
    <row r="4362" spans="4:26" x14ac:dyDescent="0.25">
      <c r="D4362" s="16"/>
      <c r="Q4362" s="16"/>
      <c r="T4362" s="1"/>
      <c r="X4362" s="1"/>
      <c r="Y4362" s="1"/>
      <c r="Z4362" s="1"/>
    </row>
    <row r="4365" spans="4:26" x14ac:dyDescent="0.25">
      <c r="D4365" s="16"/>
      <c r="Q4365" s="16"/>
      <c r="T4365" s="1"/>
      <c r="X4365" s="1"/>
      <c r="Y4365" s="1"/>
      <c r="Z4365" s="1"/>
    </row>
    <row r="4366" spans="4:26" x14ac:dyDescent="0.25">
      <c r="D4366" s="16"/>
      <c r="Q4366" s="16"/>
    </row>
    <row r="4367" spans="4:26" x14ac:dyDescent="0.25">
      <c r="D4367" s="16"/>
      <c r="Q4367" s="16"/>
    </row>
    <row r="4368" spans="4:26" x14ac:dyDescent="0.25">
      <c r="D4368" s="17"/>
      <c r="Q4368" s="17"/>
      <c r="T4368" s="1"/>
      <c r="X4368" s="1"/>
      <c r="Y4368" s="1"/>
      <c r="Z4368" s="1"/>
    </row>
    <row r="4370" spans="4:26" x14ac:dyDescent="0.25">
      <c r="D4370" s="16"/>
      <c r="Q4370" s="16"/>
    </row>
    <row r="4371" spans="4:26" x14ac:dyDescent="0.25">
      <c r="D4371" s="16"/>
      <c r="Q4371" s="16"/>
      <c r="T4371" s="1"/>
      <c r="X4371" s="1"/>
      <c r="Y4371" s="1"/>
      <c r="Z4371" s="1"/>
    </row>
    <row r="4372" spans="4:26" x14ac:dyDescent="0.25">
      <c r="D4372" s="16"/>
      <c r="Q4372" s="16"/>
    </row>
    <row r="4374" spans="4:26" x14ac:dyDescent="0.25">
      <c r="D4374" s="17"/>
      <c r="Q4374" s="17"/>
      <c r="T4374" s="1"/>
      <c r="X4374" s="1"/>
      <c r="Y4374" s="1"/>
      <c r="Z4374" s="1"/>
    </row>
    <row r="4375" spans="4:26" x14ac:dyDescent="0.25">
      <c r="D4375" s="16"/>
      <c r="Q4375" s="16"/>
      <c r="T4375" s="1"/>
      <c r="X4375" s="1"/>
      <c r="Y4375" s="1"/>
      <c r="Z4375" s="1"/>
    </row>
    <row r="4378" spans="4:26" x14ac:dyDescent="0.25">
      <c r="D4378" s="16"/>
      <c r="Q4378" s="16"/>
      <c r="T4378" s="1"/>
      <c r="X4378" s="1"/>
      <c r="Y4378" s="1"/>
      <c r="Z4378" s="1"/>
    </row>
    <row r="4381" spans="4:26" x14ac:dyDescent="0.25">
      <c r="D4381" s="16"/>
      <c r="Q4381" s="16"/>
      <c r="T4381" s="1"/>
      <c r="X4381" s="1"/>
      <c r="Y4381" s="1"/>
      <c r="Z4381" s="1"/>
    </row>
    <row r="4384" spans="4:26" x14ac:dyDescent="0.25">
      <c r="D4384" s="16"/>
      <c r="Q4384" s="16"/>
      <c r="T4384" s="1"/>
      <c r="X4384" s="1"/>
      <c r="Y4384" s="1"/>
      <c r="Z4384" s="1"/>
    </row>
    <row r="4387" spans="4:26" x14ac:dyDescent="0.25">
      <c r="D4387" s="16"/>
      <c r="Q4387" s="16"/>
      <c r="T4387" s="1"/>
      <c r="X4387" s="1"/>
      <c r="Y4387" s="1"/>
      <c r="Z4387" s="1"/>
    </row>
    <row r="4390" spans="4:26" x14ac:dyDescent="0.25">
      <c r="D4390" s="16"/>
      <c r="Q4390" s="16"/>
      <c r="T4390" s="1"/>
      <c r="X4390" s="1"/>
      <c r="Y4390" s="1"/>
      <c r="Z4390" s="1"/>
    </row>
    <row r="4393" spans="4:26" x14ac:dyDescent="0.25">
      <c r="D4393" s="16"/>
      <c r="Q4393" s="16"/>
      <c r="T4393" s="1"/>
      <c r="X4393" s="1"/>
      <c r="Y4393" s="1"/>
      <c r="Z4393" s="1"/>
    </row>
    <row r="4394" spans="4:26" x14ac:dyDescent="0.25">
      <c r="D4394" s="16"/>
      <c r="Q4394" s="16"/>
    </row>
    <row r="4396" spans="4:26" x14ac:dyDescent="0.25">
      <c r="D4396" s="17"/>
      <c r="Q4396" s="17"/>
      <c r="T4396" s="1"/>
      <c r="X4396" s="1"/>
      <c r="Y4396" s="1"/>
      <c r="Z4396" s="1"/>
    </row>
    <row r="4397" spans="4:26" x14ac:dyDescent="0.25">
      <c r="D4397" s="16"/>
      <c r="Q4397" s="16"/>
    </row>
    <row r="4398" spans="4:26" x14ac:dyDescent="0.25">
      <c r="D4398" s="16"/>
      <c r="Q4398" s="16"/>
    </row>
    <row r="4399" spans="4:26" x14ac:dyDescent="0.25">
      <c r="D4399" s="17"/>
      <c r="Q4399" s="17"/>
      <c r="T4399" s="1"/>
      <c r="X4399" s="1"/>
      <c r="Y4399" s="1"/>
      <c r="Z4399" s="1"/>
    </row>
    <row r="4401" spans="4:26" x14ac:dyDescent="0.25">
      <c r="D4401" s="16"/>
      <c r="Q4401" s="16"/>
    </row>
    <row r="4402" spans="4:26" x14ac:dyDescent="0.25">
      <c r="D4402" s="16"/>
      <c r="Q4402" s="16"/>
      <c r="T4402" s="1"/>
      <c r="X4402" s="1"/>
      <c r="Y4402" s="1"/>
      <c r="Z4402" s="1"/>
    </row>
    <row r="4403" spans="4:26" x14ac:dyDescent="0.25">
      <c r="D4403" s="17"/>
      <c r="Q4403" s="17"/>
      <c r="T4403" s="1"/>
      <c r="X4403" s="1"/>
      <c r="Y4403" s="1"/>
      <c r="Z4403" s="1"/>
    </row>
    <row r="4405" spans="4:26" x14ac:dyDescent="0.25">
      <c r="D4405" s="16"/>
      <c r="Q4405" s="16"/>
    </row>
    <row r="4406" spans="4:26" x14ac:dyDescent="0.25">
      <c r="D4406" s="16"/>
      <c r="Q4406" s="16"/>
      <c r="T4406" s="1"/>
      <c r="X4406" s="1"/>
      <c r="Y4406" s="1"/>
      <c r="Z4406" s="1"/>
    </row>
    <row r="4409" spans="4:26" x14ac:dyDescent="0.25">
      <c r="D4409" s="16"/>
      <c r="Q4409" s="16"/>
      <c r="T4409" s="1"/>
      <c r="X4409" s="1"/>
      <c r="Y4409" s="1"/>
      <c r="Z4409" s="1"/>
    </row>
    <row r="4410" spans="4:26" x14ac:dyDescent="0.25">
      <c r="D4410" s="16"/>
      <c r="Q4410" s="16"/>
    </row>
    <row r="4411" spans="4:26" x14ac:dyDescent="0.25">
      <c r="D4411" s="16"/>
      <c r="Q4411" s="16"/>
    </row>
    <row r="4412" spans="4:26" x14ac:dyDescent="0.25">
      <c r="D4412" s="17"/>
      <c r="Q4412" s="17"/>
      <c r="T4412" s="1"/>
      <c r="X4412" s="1"/>
      <c r="Y4412" s="1"/>
      <c r="Z4412" s="1"/>
    </row>
    <row r="4414" spans="4:26" x14ac:dyDescent="0.25">
      <c r="D4414" s="16"/>
      <c r="Q4414" s="16"/>
    </row>
    <row r="4415" spans="4:26" x14ac:dyDescent="0.25">
      <c r="D4415" s="17"/>
      <c r="Q4415" s="17"/>
      <c r="T4415" s="1"/>
      <c r="X4415" s="1"/>
      <c r="Y4415" s="1"/>
      <c r="Z4415" s="1"/>
    </row>
    <row r="4417" spans="4:26" x14ac:dyDescent="0.25">
      <c r="D4417" s="16"/>
      <c r="Q4417" s="16"/>
    </row>
    <row r="4418" spans="4:26" x14ac:dyDescent="0.25">
      <c r="D4418" s="17"/>
      <c r="Q4418" s="17"/>
      <c r="T4418" s="1"/>
      <c r="X4418" s="1"/>
      <c r="Y4418" s="1"/>
      <c r="Z4418" s="1"/>
    </row>
    <row r="4420" spans="4:26" x14ac:dyDescent="0.25">
      <c r="D4420" s="16"/>
      <c r="Q4420" s="16"/>
    </row>
    <row r="4421" spans="4:26" x14ac:dyDescent="0.25">
      <c r="D4421" s="17"/>
      <c r="Q4421" s="17"/>
      <c r="T4421" s="1"/>
      <c r="X4421" s="1"/>
      <c r="Y4421" s="1"/>
      <c r="Z4421" s="1"/>
    </row>
    <row r="4423" spans="4:26" x14ac:dyDescent="0.25">
      <c r="D4423" s="16"/>
      <c r="Q4423" s="16"/>
    </row>
    <row r="4424" spans="4:26" x14ac:dyDescent="0.25">
      <c r="D4424" s="17"/>
      <c r="Q4424" s="17"/>
      <c r="T4424" s="1"/>
      <c r="X4424" s="1"/>
      <c r="Y4424" s="1"/>
      <c r="Z4424" s="1"/>
    </row>
    <row r="4426" spans="4:26" x14ac:dyDescent="0.25">
      <c r="D4426" s="16"/>
      <c r="Q4426" s="16"/>
    </row>
    <row r="4427" spans="4:26" x14ac:dyDescent="0.25">
      <c r="D4427" s="16"/>
      <c r="Q4427" s="16"/>
      <c r="T4427" s="1"/>
      <c r="X4427" s="1"/>
      <c r="Y4427" s="1"/>
      <c r="Z4427" s="1"/>
    </row>
    <row r="4430" spans="4:26" x14ac:dyDescent="0.25">
      <c r="D4430" s="16"/>
      <c r="Q4430" s="16"/>
      <c r="T4430" s="1"/>
      <c r="X4430" s="1"/>
      <c r="Y4430" s="1"/>
      <c r="Z4430" s="1"/>
    </row>
    <row r="4431" spans="4:26" x14ac:dyDescent="0.25">
      <c r="D4431" s="16"/>
      <c r="Q4431" s="16"/>
    </row>
    <row r="4433" spans="4:26" x14ac:dyDescent="0.25">
      <c r="D4433" s="17"/>
      <c r="Q4433" s="17"/>
      <c r="T4433" s="1"/>
      <c r="X4433" s="1"/>
      <c r="Y4433" s="1"/>
      <c r="Z4433" s="1"/>
    </row>
    <row r="4434" spans="4:26" x14ac:dyDescent="0.25">
      <c r="D4434" s="16"/>
      <c r="Q4434" s="16"/>
      <c r="T4434" s="1"/>
      <c r="X4434" s="1"/>
      <c r="Y4434" s="1"/>
      <c r="Z4434" s="1"/>
    </row>
    <row r="4437" spans="4:26" x14ac:dyDescent="0.25">
      <c r="D4437" s="16"/>
      <c r="Q4437" s="16"/>
      <c r="T4437" s="1"/>
      <c r="X4437" s="1"/>
      <c r="Y4437" s="1"/>
      <c r="Z4437" s="1"/>
    </row>
    <row r="4438" spans="4:26" x14ac:dyDescent="0.25">
      <c r="D4438" s="17"/>
      <c r="Q4438" s="17"/>
      <c r="T4438" s="1"/>
      <c r="X4438" s="1"/>
      <c r="Y4438" s="1"/>
      <c r="Z4438" s="1"/>
    </row>
    <row r="4440" spans="4:26" x14ac:dyDescent="0.25">
      <c r="D4440" s="16"/>
      <c r="Q4440" s="16"/>
    </row>
    <row r="4441" spans="4:26" x14ac:dyDescent="0.25">
      <c r="D4441" s="16"/>
      <c r="Q4441" s="16"/>
      <c r="T4441" s="1"/>
      <c r="X4441" s="1"/>
      <c r="Y4441" s="1"/>
      <c r="Z4441" s="1"/>
    </row>
    <row r="4444" spans="4:26" x14ac:dyDescent="0.25">
      <c r="D4444" s="16"/>
      <c r="Q4444" s="16"/>
      <c r="T4444" s="1"/>
      <c r="X4444" s="1"/>
      <c r="Y4444" s="1"/>
      <c r="Z4444" s="1"/>
    </row>
    <row r="4447" spans="4:26" x14ac:dyDescent="0.25">
      <c r="D4447" s="16"/>
      <c r="Q4447" s="16"/>
      <c r="T4447" s="1"/>
      <c r="X4447" s="1"/>
      <c r="Y4447" s="1"/>
      <c r="Z4447" s="1"/>
    </row>
    <row r="4448" spans="4:26" x14ac:dyDescent="0.25">
      <c r="D4448" s="16"/>
      <c r="Q4448" s="16"/>
      <c r="T4448" s="1"/>
      <c r="X4448" s="1"/>
      <c r="Y4448" s="1"/>
      <c r="Z4448" s="1"/>
    </row>
    <row r="4451" spans="4:26" x14ac:dyDescent="0.25">
      <c r="D4451" s="16"/>
      <c r="Q4451" s="16"/>
      <c r="T4451" s="1"/>
      <c r="X4451" s="1"/>
      <c r="Y4451" s="1"/>
      <c r="Z4451" s="1"/>
    </row>
    <row r="4452" spans="4:26" x14ac:dyDescent="0.25">
      <c r="D4452" s="16"/>
      <c r="Q4452" s="16"/>
    </row>
    <row r="4454" spans="4:26" x14ac:dyDescent="0.25">
      <c r="D4454" s="17"/>
      <c r="Q4454" s="17"/>
      <c r="T4454" s="1"/>
      <c r="X4454" s="1"/>
      <c r="Y4454" s="1"/>
      <c r="Z4454" s="1"/>
    </row>
    <row r="4455" spans="4:26" x14ac:dyDescent="0.25">
      <c r="D4455" s="16"/>
      <c r="Q4455" s="16"/>
      <c r="T4455" s="1"/>
      <c r="X4455" s="1"/>
      <c r="Y4455" s="1"/>
      <c r="Z4455" s="1"/>
    </row>
    <row r="4458" spans="4:26" x14ac:dyDescent="0.25">
      <c r="D4458" s="16"/>
      <c r="Q4458" s="16"/>
      <c r="T4458" s="1"/>
      <c r="X4458" s="1"/>
      <c r="Y4458" s="1"/>
      <c r="Z4458" s="1"/>
    </row>
    <row r="4459" spans="4:26" x14ac:dyDescent="0.25">
      <c r="D4459" s="16"/>
      <c r="Q4459" s="16"/>
    </row>
    <row r="4460" spans="4:26" x14ac:dyDescent="0.25">
      <c r="D4460" s="16"/>
      <c r="Q4460" s="16"/>
    </row>
    <row r="4461" spans="4:26" x14ac:dyDescent="0.25">
      <c r="D4461" s="17"/>
      <c r="Q4461" s="17"/>
      <c r="T4461" s="1"/>
      <c r="X4461" s="1"/>
      <c r="Y4461" s="1"/>
      <c r="Z4461" s="1"/>
    </row>
    <row r="4463" spans="4:26" x14ac:dyDescent="0.25">
      <c r="D4463" s="16"/>
      <c r="Q4463" s="16"/>
    </row>
    <row r="4464" spans="4:26" x14ac:dyDescent="0.25">
      <c r="D4464" s="16"/>
      <c r="Q4464" s="16"/>
      <c r="T4464" s="1"/>
      <c r="X4464" s="1"/>
      <c r="Y4464" s="1"/>
      <c r="Z4464" s="1"/>
    </row>
    <row r="4465" spans="4:26" x14ac:dyDescent="0.25">
      <c r="D4465" s="16"/>
      <c r="Q4465" s="16"/>
    </row>
    <row r="4467" spans="4:26" x14ac:dyDescent="0.25">
      <c r="D4467" s="17"/>
      <c r="Q4467" s="17"/>
      <c r="T4467" s="1"/>
      <c r="X4467" s="1"/>
      <c r="Y4467" s="1"/>
      <c r="Z4467" s="1"/>
    </row>
    <row r="4468" spans="4:26" x14ac:dyDescent="0.25">
      <c r="D4468" s="16"/>
      <c r="Q4468" s="16"/>
    </row>
    <row r="4470" spans="4:26" x14ac:dyDescent="0.25">
      <c r="D4470" s="17"/>
      <c r="Q4470" s="17"/>
      <c r="T4470" s="1"/>
      <c r="X4470" s="1"/>
      <c r="Y4470" s="1"/>
      <c r="Z4470" s="1"/>
    </row>
    <row r="4471" spans="4:26" x14ac:dyDescent="0.25">
      <c r="D4471" s="16"/>
      <c r="Q4471" s="16"/>
    </row>
    <row r="4473" spans="4:26" x14ac:dyDescent="0.25">
      <c r="D4473" s="17"/>
      <c r="Q4473" s="17"/>
      <c r="T4473" s="1"/>
      <c r="X4473" s="1"/>
      <c r="Y4473" s="1"/>
      <c r="Z4473" s="1"/>
    </row>
    <row r="4474" spans="4:26" x14ac:dyDescent="0.25">
      <c r="D4474" s="16"/>
      <c r="Q4474" s="16"/>
    </row>
    <row r="4476" spans="4:26" x14ac:dyDescent="0.25">
      <c r="D4476" s="17"/>
      <c r="Q4476" s="17"/>
      <c r="T4476" s="1"/>
      <c r="X4476" s="1"/>
      <c r="Y4476" s="1"/>
      <c r="Z4476" s="1"/>
    </row>
    <row r="4477" spans="4:26" x14ac:dyDescent="0.25">
      <c r="D4477" s="16"/>
      <c r="Q4477" s="16"/>
    </row>
    <row r="4479" spans="4:26" x14ac:dyDescent="0.25">
      <c r="D4479" s="17"/>
      <c r="Q4479" s="17"/>
      <c r="T4479" s="1"/>
      <c r="X4479" s="1"/>
      <c r="Y4479" s="1"/>
      <c r="Z4479" s="1"/>
    </row>
    <row r="4480" spans="4:26" x14ac:dyDescent="0.25">
      <c r="D4480" s="16"/>
      <c r="Q4480" s="16"/>
    </row>
    <row r="4481" spans="4:26" x14ac:dyDescent="0.25">
      <c r="D4481" s="16"/>
      <c r="Q4481" s="16"/>
    </row>
    <row r="4482" spans="4:26" x14ac:dyDescent="0.25">
      <c r="D4482" s="17"/>
      <c r="Q4482" s="17"/>
      <c r="T4482" s="1"/>
      <c r="X4482" s="1"/>
      <c r="Y4482" s="1"/>
      <c r="Z4482" s="1"/>
    </row>
    <row r="4483" spans="4:26" x14ac:dyDescent="0.25">
      <c r="D4483" s="17"/>
      <c r="Q4483" s="17"/>
      <c r="T4483" s="1"/>
      <c r="X4483" s="1"/>
      <c r="Y4483" s="1"/>
      <c r="Z4483" s="1"/>
    </row>
    <row r="4484" spans="4:26" x14ac:dyDescent="0.25">
      <c r="D4484" s="16"/>
      <c r="Q4484" s="16"/>
      <c r="T4484" s="1"/>
      <c r="X4484" s="1"/>
      <c r="Y4484" s="1"/>
      <c r="Z4484" s="1"/>
    </row>
    <row r="4485" spans="4:26" x14ac:dyDescent="0.25">
      <c r="D4485" s="17"/>
      <c r="Q4485" s="17"/>
      <c r="T4485" s="1"/>
      <c r="X4485" s="1"/>
      <c r="Y4485" s="1"/>
      <c r="Z4485" s="1"/>
    </row>
    <row r="4486" spans="4:26" x14ac:dyDescent="0.25">
      <c r="D4486" s="17"/>
      <c r="Q4486" s="17"/>
      <c r="T4486" s="1"/>
      <c r="X4486" s="1"/>
      <c r="Y4486" s="1"/>
      <c r="Z4486" s="1"/>
    </row>
    <row r="4487" spans="4:26" x14ac:dyDescent="0.25">
      <c r="D4487" s="16"/>
      <c r="Q4487" s="16"/>
      <c r="T4487" s="1"/>
      <c r="X4487" s="1"/>
      <c r="Y4487" s="1"/>
      <c r="Z4487" s="1"/>
    </row>
    <row r="4488" spans="4:26" x14ac:dyDescent="0.25">
      <c r="D4488" s="16"/>
      <c r="Q4488" s="16"/>
    </row>
    <row r="4489" spans="4:26" x14ac:dyDescent="0.25">
      <c r="D4489" s="16"/>
      <c r="Q4489" s="16"/>
    </row>
    <row r="4490" spans="4:26" x14ac:dyDescent="0.25">
      <c r="D4490" s="17"/>
      <c r="Q4490" s="17"/>
      <c r="T4490" s="1"/>
      <c r="X4490" s="1"/>
      <c r="Y4490" s="1"/>
      <c r="Z4490" s="1"/>
    </row>
    <row r="4491" spans="4:26" x14ac:dyDescent="0.25">
      <c r="D4491" s="17"/>
      <c r="Q4491" s="17"/>
      <c r="T4491" s="1"/>
      <c r="X4491" s="1"/>
      <c r="Y4491" s="1"/>
      <c r="Z4491" s="1"/>
    </row>
    <row r="4492" spans="4:26" x14ac:dyDescent="0.25">
      <c r="D4492" s="16"/>
      <c r="Q4492" s="16"/>
    </row>
    <row r="4493" spans="4:26" x14ac:dyDescent="0.25">
      <c r="D4493" s="16"/>
      <c r="Q4493" s="16"/>
    </row>
    <row r="4494" spans="4:26" x14ac:dyDescent="0.25">
      <c r="D4494" s="17"/>
      <c r="Q4494" s="17"/>
      <c r="T4494" s="1"/>
      <c r="X4494" s="1"/>
      <c r="Y4494" s="1"/>
      <c r="Z4494" s="1"/>
    </row>
    <row r="4495" spans="4:26" x14ac:dyDescent="0.25">
      <c r="D4495" s="17"/>
      <c r="Q4495" s="17"/>
      <c r="T4495" s="1"/>
      <c r="X4495" s="1"/>
      <c r="Y4495" s="1"/>
      <c r="Z4495" s="1"/>
    </row>
    <row r="4496" spans="4:26" x14ac:dyDescent="0.25">
      <c r="D4496" s="16"/>
      <c r="Q4496" s="16"/>
    </row>
    <row r="4498" spans="4:26" x14ac:dyDescent="0.25">
      <c r="D4498" s="17"/>
      <c r="Q4498" s="17"/>
      <c r="T4498" s="1"/>
      <c r="X4498" s="1"/>
      <c r="Y4498" s="1"/>
      <c r="Z4498" s="1"/>
    </row>
    <row r="4499" spans="4:26" x14ac:dyDescent="0.25">
      <c r="D4499" s="16"/>
      <c r="Q4499" s="16"/>
      <c r="T4499" s="1"/>
      <c r="X4499" s="1"/>
      <c r="Y4499" s="1"/>
      <c r="Z4499" s="1"/>
    </row>
    <row r="4500" spans="4:26" x14ac:dyDescent="0.25">
      <c r="D4500" s="16"/>
      <c r="Q4500" s="16"/>
    </row>
    <row r="4502" spans="4:26" x14ac:dyDescent="0.25">
      <c r="D4502" s="17"/>
      <c r="Q4502" s="17"/>
      <c r="T4502" s="1"/>
      <c r="X4502" s="1"/>
      <c r="Y4502" s="1"/>
      <c r="Z4502" s="1"/>
    </row>
    <row r="4503" spans="4:26" x14ac:dyDescent="0.25">
      <c r="D4503" s="16"/>
      <c r="Q4503" s="16"/>
    </row>
    <row r="4505" spans="4:26" x14ac:dyDescent="0.25">
      <c r="D4505" s="17"/>
      <c r="Q4505" s="17"/>
      <c r="T4505" s="1"/>
      <c r="X4505" s="1"/>
      <c r="Y4505" s="1"/>
      <c r="Z4505" s="1"/>
    </row>
    <row r="4506" spans="4:26" x14ac:dyDescent="0.25">
      <c r="D4506" s="16"/>
      <c r="Q4506" s="16"/>
      <c r="T4506" s="1"/>
      <c r="X4506" s="1"/>
      <c r="Y4506" s="1"/>
      <c r="Z4506" s="1"/>
    </row>
    <row r="4509" spans="4:26" x14ac:dyDescent="0.25">
      <c r="D4509" s="16"/>
      <c r="Q4509" s="16"/>
      <c r="T4509" s="1"/>
      <c r="X4509" s="1"/>
      <c r="Y4509" s="1"/>
      <c r="Z4509" s="1"/>
    </row>
    <row r="4512" spans="4:26" x14ac:dyDescent="0.25">
      <c r="D4512" s="16"/>
      <c r="Q4512" s="16"/>
      <c r="T4512" s="1"/>
      <c r="X4512" s="1"/>
      <c r="Y4512" s="1"/>
      <c r="Z4512" s="1"/>
    </row>
    <row r="4513" spans="4:26" x14ac:dyDescent="0.25">
      <c r="D4513" s="16"/>
      <c r="Q4513" s="16"/>
    </row>
    <row r="4515" spans="4:26" x14ac:dyDescent="0.25">
      <c r="D4515" s="17"/>
      <c r="Q4515" s="17"/>
      <c r="T4515" s="1"/>
      <c r="X4515" s="1"/>
      <c r="Y4515" s="1"/>
      <c r="Z4515" s="1"/>
    </row>
    <row r="4516" spans="4:26" x14ac:dyDescent="0.25">
      <c r="D4516" s="16"/>
      <c r="Q4516" s="16"/>
    </row>
    <row r="4518" spans="4:26" x14ac:dyDescent="0.25">
      <c r="D4518" s="17"/>
      <c r="Q4518" s="17"/>
      <c r="T4518" s="1"/>
      <c r="X4518" s="1"/>
      <c r="Y4518" s="1"/>
      <c r="Z4518" s="1"/>
    </row>
    <row r="4519" spans="4:26" x14ac:dyDescent="0.25">
      <c r="D4519" s="16"/>
      <c r="Q4519" s="16"/>
    </row>
    <row r="4521" spans="4:26" x14ac:dyDescent="0.25">
      <c r="D4521" s="17"/>
      <c r="Q4521" s="17"/>
      <c r="T4521" s="1"/>
      <c r="X4521" s="1"/>
      <c r="Y4521" s="1"/>
      <c r="Z4521" s="1"/>
    </row>
    <row r="4522" spans="4:26" x14ac:dyDescent="0.25">
      <c r="D4522" s="16"/>
      <c r="Q4522" s="16"/>
      <c r="T4522" s="1"/>
      <c r="X4522" s="1"/>
      <c r="Y4522" s="1"/>
      <c r="Z4522" s="1"/>
    </row>
    <row r="4523" spans="4:26" x14ac:dyDescent="0.25">
      <c r="D4523" s="17"/>
      <c r="Q4523" s="17"/>
      <c r="T4523" s="1"/>
      <c r="X4523" s="1"/>
      <c r="Y4523" s="1"/>
      <c r="Z4523" s="1"/>
    </row>
    <row r="4525" spans="4:26" x14ac:dyDescent="0.25">
      <c r="D4525" s="16"/>
      <c r="Q4525" s="16"/>
    </row>
    <row r="4526" spans="4:26" x14ac:dyDescent="0.25">
      <c r="D4526" s="16"/>
      <c r="Q4526" s="16"/>
      <c r="T4526" s="1"/>
      <c r="X4526" s="1"/>
      <c r="Y4526" s="1"/>
      <c r="Z4526" s="1"/>
    </row>
    <row r="4529" spans="4:26" x14ac:dyDescent="0.25">
      <c r="D4529" s="16"/>
      <c r="Q4529" s="16"/>
      <c r="T4529" s="1"/>
      <c r="X4529" s="1"/>
      <c r="Y4529" s="1"/>
      <c r="Z4529" s="1"/>
    </row>
    <row r="4530" spans="4:26" x14ac:dyDescent="0.25">
      <c r="D4530" s="17"/>
      <c r="Q4530" s="17"/>
      <c r="T4530" s="1"/>
      <c r="X4530" s="1"/>
      <c r="Y4530" s="1"/>
      <c r="Z4530" s="1"/>
    </row>
    <row r="4532" spans="4:26" x14ac:dyDescent="0.25">
      <c r="D4532" s="16"/>
      <c r="Q4532" s="16"/>
    </row>
    <row r="4533" spans="4:26" x14ac:dyDescent="0.25">
      <c r="D4533" s="17"/>
      <c r="Q4533" s="17"/>
      <c r="T4533" s="1"/>
      <c r="X4533" s="1"/>
      <c r="Y4533" s="1"/>
      <c r="Z4533" s="1"/>
    </row>
    <row r="4535" spans="4:26" x14ac:dyDescent="0.25">
      <c r="D4535" s="16"/>
      <c r="Q4535" s="16"/>
    </row>
    <row r="4536" spans="4:26" x14ac:dyDescent="0.25">
      <c r="D4536" s="17"/>
      <c r="Q4536" s="17"/>
      <c r="T4536" s="1"/>
      <c r="X4536" s="1"/>
      <c r="Y4536" s="1"/>
      <c r="Z4536" s="1"/>
    </row>
    <row r="4538" spans="4:26" x14ac:dyDescent="0.25">
      <c r="D4538" s="16"/>
      <c r="Q4538" s="16"/>
    </row>
    <row r="4539" spans="4:26" x14ac:dyDescent="0.25">
      <c r="D4539" s="17"/>
      <c r="Q4539" s="17"/>
      <c r="T4539" s="1"/>
      <c r="X4539" s="1"/>
      <c r="Y4539" s="1"/>
      <c r="Z4539" s="1"/>
    </row>
    <row r="4541" spans="4:26" x14ac:dyDescent="0.25">
      <c r="D4541" s="16"/>
      <c r="Q4541" s="16"/>
    </row>
    <row r="4542" spans="4:26" x14ac:dyDescent="0.25">
      <c r="D4542" s="17"/>
      <c r="Q4542" s="17"/>
      <c r="T4542" s="1"/>
      <c r="X4542" s="1"/>
      <c r="Y4542" s="1"/>
      <c r="Z4542" s="1"/>
    </row>
    <row r="4544" spans="4:26" x14ac:dyDescent="0.25">
      <c r="D4544" s="16"/>
      <c r="Q4544" s="16"/>
    </row>
    <row r="4545" spans="4:26" x14ac:dyDescent="0.25">
      <c r="D4545" s="17"/>
      <c r="Q4545" s="17"/>
      <c r="T4545" s="1"/>
      <c r="X4545" s="1"/>
      <c r="Y4545" s="1"/>
      <c r="Z4545" s="1"/>
    </row>
    <row r="4547" spans="4:26" x14ac:dyDescent="0.25">
      <c r="D4547" s="16"/>
      <c r="Q4547" s="16"/>
    </row>
    <row r="4548" spans="4:26" x14ac:dyDescent="0.25">
      <c r="D4548" s="17"/>
      <c r="Q4548" s="17"/>
      <c r="T4548" s="1"/>
      <c r="X4548" s="1"/>
      <c r="Y4548" s="1"/>
      <c r="Z4548" s="1"/>
    </row>
    <row r="4550" spans="4:26" x14ac:dyDescent="0.25">
      <c r="D4550" s="16"/>
      <c r="Q4550" s="16"/>
    </row>
    <row r="4551" spans="4:26" x14ac:dyDescent="0.25">
      <c r="D4551" s="17"/>
      <c r="Q4551" s="17"/>
      <c r="T4551" s="1"/>
      <c r="X4551" s="1"/>
      <c r="Y4551" s="1"/>
      <c r="Z4551" s="1"/>
    </row>
    <row r="4553" spans="4:26" x14ac:dyDescent="0.25">
      <c r="D4553" s="16"/>
      <c r="Q4553" s="16"/>
    </row>
    <row r="4554" spans="4:26" x14ac:dyDescent="0.25">
      <c r="D4554" s="17"/>
      <c r="Q4554" s="17"/>
      <c r="T4554" s="1"/>
      <c r="X4554" s="1"/>
      <c r="Y4554" s="1"/>
      <c r="Z4554" s="1"/>
    </row>
    <row r="4556" spans="4:26" x14ac:dyDescent="0.25">
      <c r="D4556" s="16"/>
      <c r="Q4556" s="16"/>
    </row>
    <row r="4557" spans="4:26" x14ac:dyDescent="0.25">
      <c r="D4557" s="17"/>
      <c r="Q4557" s="17"/>
      <c r="T4557" s="1"/>
      <c r="X4557" s="1"/>
      <c r="Y4557" s="1"/>
      <c r="Z4557" s="1"/>
    </row>
    <row r="4559" spans="4:26" x14ac:dyDescent="0.25">
      <c r="D4559" s="16"/>
      <c r="Q4559" s="16"/>
    </row>
    <row r="4560" spans="4:26" x14ac:dyDescent="0.25">
      <c r="D4560" s="17"/>
      <c r="Q4560" s="17"/>
      <c r="T4560" s="1"/>
      <c r="X4560" s="1"/>
      <c r="Y4560" s="1"/>
      <c r="Z4560" s="1"/>
    </row>
    <row r="4562" spans="4:26" x14ac:dyDescent="0.25">
      <c r="D4562" s="16"/>
      <c r="Q4562" s="16"/>
    </row>
    <row r="4563" spans="4:26" x14ac:dyDescent="0.25">
      <c r="D4563" s="17"/>
      <c r="Q4563" s="17"/>
      <c r="T4563" s="1"/>
      <c r="X4563" s="1"/>
      <c r="Y4563" s="1"/>
      <c r="Z4563" s="1"/>
    </row>
    <row r="4564" spans="4:26" x14ac:dyDescent="0.25">
      <c r="D4564" s="17"/>
      <c r="Q4564" s="17"/>
      <c r="T4564" s="1"/>
      <c r="X4564" s="1"/>
      <c r="Y4564" s="1"/>
      <c r="Z4564" s="1"/>
    </row>
    <row r="4565" spans="4:26" x14ac:dyDescent="0.25">
      <c r="D4565" s="16"/>
      <c r="Q4565" s="16"/>
    </row>
    <row r="4567" spans="4:26" x14ac:dyDescent="0.25">
      <c r="D4567" s="17"/>
      <c r="Q4567" s="17"/>
      <c r="T4567" s="1"/>
      <c r="X4567" s="1"/>
      <c r="Y4567" s="1"/>
      <c r="Z4567" s="1"/>
    </row>
    <row r="4568" spans="4:26" x14ac:dyDescent="0.25">
      <c r="D4568" s="16"/>
      <c r="Q4568" s="16"/>
    </row>
    <row r="4570" spans="4:26" x14ac:dyDescent="0.25">
      <c r="D4570" s="17"/>
      <c r="Q4570" s="17"/>
      <c r="T4570" s="1"/>
      <c r="X4570" s="1"/>
      <c r="Y4570" s="1"/>
      <c r="Z4570" s="1"/>
    </row>
    <row r="4571" spans="4:26" x14ac:dyDescent="0.25">
      <c r="D4571" s="16"/>
      <c r="Q4571" s="16"/>
    </row>
    <row r="4572" spans="4:26" x14ac:dyDescent="0.25">
      <c r="D4572" s="16"/>
      <c r="Q4572" s="16"/>
    </row>
    <row r="4573" spans="4:26" x14ac:dyDescent="0.25">
      <c r="D4573" s="17"/>
      <c r="Q4573" s="17"/>
      <c r="T4573" s="1"/>
      <c r="X4573" s="1"/>
      <c r="Y4573" s="1"/>
      <c r="Z4573" s="1"/>
    </row>
    <row r="4575" spans="4:26" x14ac:dyDescent="0.25">
      <c r="D4575" s="16"/>
      <c r="Q4575" s="16"/>
    </row>
    <row r="4576" spans="4:26" x14ac:dyDescent="0.25">
      <c r="D4576" s="17"/>
      <c r="Q4576" s="17"/>
      <c r="T4576" s="1"/>
      <c r="X4576" s="1"/>
      <c r="Y4576" s="1"/>
      <c r="Z4576" s="1"/>
    </row>
    <row r="4577" spans="4:26" x14ac:dyDescent="0.25">
      <c r="D4577" s="17"/>
      <c r="Q4577" s="17"/>
      <c r="T4577" s="1"/>
      <c r="X4577" s="1"/>
      <c r="Y4577" s="1"/>
      <c r="Z4577" s="1"/>
    </row>
    <row r="4578" spans="4:26" x14ac:dyDescent="0.25">
      <c r="D4578" s="16"/>
      <c r="Q4578" s="16"/>
    </row>
    <row r="4580" spans="4:26" x14ac:dyDescent="0.25">
      <c r="D4580" s="17"/>
      <c r="Q4580" s="17"/>
      <c r="T4580" s="1"/>
      <c r="X4580" s="1"/>
      <c r="Y4580" s="1"/>
      <c r="Z4580" s="1"/>
    </row>
    <row r="4581" spans="4:26" x14ac:dyDescent="0.25">
      <c r="D4581" s="16"/>
      <c r="Q4581" s="16"/>
    </row>
    <row r="4583" spans="4:26" x14ac:dyDescent="0.25">
      <c r="D4583" s="17"/>
      <c r="Q4583" s="17"/>
      <c r="T4583" s="1"/>
      <c r="X4583" s="1"/>
      <c r="Y4583" s="1"/>
      <c r="Z4583" s="1"/>
    </row>
    <row r="4584" spans="4:26" x14ac:dyDescent="0.25">
      <c r="D4584" s="16"/>
      <c r="Q4584" s="16"/>
    </row>
    <row r="4586" spans="4:26" x14ac:dyDescent="0.25">
      <c r="D4586" s="17"/>
      <c r="Q4586" s="17"/>
      <c r="T4586" s="1"/>
      <c r="X4586" s="1"/>
      <c r="Y4586" s="1"/>
      <c r="Z4586" s="1"/>
    </row>
    <row r="4587" spans="4:26" x14ac:dyDescent="0.25">
      <c r="D4587" s="16"/>
      <c r="Q4587" s="16"/>
    </row>
    <row r="4589" spans="4:26" x14ac:dyDescent="0.25">
      <c r="D4589" s="17"/>
      <c r="Q4589" s="17"/>
      <c r="T4589" s="1"/>
      <c r="X4589" s="1"/>
      <c r="Y4589" s="1"/>
      <c r="Z4589" s="1"/>
    </row>
    <row r="4590" spans="4:26" x14ac:dyDescent="0.25">
      <c r="D4590" s="16"/>
      <c r="Q4590" s="16"/>
      <c r="T4590" s="1"/>
      <c r="X4590" s="1"/>
      <c r="Y4590" s="1"/>
      <c r="Z4590" s="1"/>
    </row>
    <row r="4591" spans="4:26" x14ac:dyDescent="0.25">
      <c r="D4591" s="16"/>
      <c r="Q4591" s="16"/>
    </row>
    <row r="4593" spans="4:26" x14ac:dyDescent="0.25">
      <c r="D4593" s="17"/>
      <c r="Q4593" s="17"/>
      <c r="T4593" s="1"/>
      <c r="X4593" s="1"/>
      <c r="Y4593" s="1"/>
      <c r="Z4593" s="1"/>
    </row>
    <row r="4594" spans="4:26" x14ac:dyDescent="0.25">
      <c r="D4594" s="16"/>
      <c r="Q4594" s="16"/>
    </row>
    <row r="4596" spans="4:26" x14ac:dyDescent="0.25">
      <c r="D4596" s="17"/>
      <c r="Q4596" s="17"/>
      <c r="T4596" s="1"/>
      <c r="X4596" s="1"/>
      <c r="Y4596" s="1"/>
      <c r="Z4596" s="1"/>
    </row>
    <row r="4597" spans="4:26" x14ac:dyDescent="0.25">
      <c r="D4597" s="16"/>
      <c r="Q4597" s="16"/>
    </row>
    <row r="4598" spans="4:26" x14ac:dyDescent="0.25">
      <c r="D4598" s="16"/>
      <c r="Q4598" s="16"/>
    </row>
    <row r="4599" spans="4:26" x14ac:dyDescent="0.25">
      <c r="D4599" s="16"/>
      <c r="Q4599" s="16"/>
      <c r="T4599" s="1"/>
      <c r="X4599" s="1"/>
      <c r="Y4599" s="1"/>
      <c r="Z4599" s="1"/>
    </row>
    <row r="4602" spans="4:26" x14ac:dyDescent="0.25">
      <c r="D4602" s="16"/>
      <c r="Q4602" s="16"/>
      <c r="T4602" s="1"/>
      <c r="X4602" s="1"/>
      <c r="Y4602" s="1"/>
      <c r="Z4602" s="1"/>
    </row>
    <row r="4603" spans="4:26" x14ac:dyDescent="0.25">
      <c r="D4603" s="16"/>
      <c r="Q4603" s="16"/>
      <c r="T4603" s="1"/>
      <c r="X4603" s="1"/>
      <c r="Y4603" s="1"/>
      <c r="Z4603" s="1"/>
    </row>
    <row r="4604" spans="4:26" x14ac:dyDescent="0.25">
      <c r="D4604" s="17"/>
      <c r="Q4604" s="17"/>
      <c r="T4604" s="1"/>
      <c r="X4604" s="1"/>
      <c r="Y4604" s="1"/>
      <c r="Z4604" s="1"/>
    </row>
    <row r="4606" spans="4:26" x14ac:dyDescent="0.25">
      <c r="D4606" s="16"/>
      <c r="Q4606" s="16"/>
    </row>
    <row r="4607" spans="4:26" x14ac:dyDescent="0.25">
      <c r="D4607" s="17"/>
      <c r="Q4607" s="17"/>
      <c r="T4607" s="1"/>
      <c r="X4607" s="1"/>
      <c r="Y4607" s="1"/>
      <c r="Z4607" s="1"/>
    </row>
    <row r="4609" spans="4:26" x14ac:dyDescent="0.25">
      <c r="D4609" s="16"/>
      <c r="Q4609" s="16"/>
    </row>
    <row r="4610" spans="4:26" x14ac:dyDescent="0.25">
      <c r="D4610" s="17"/>
      <c r="Q4610" s="17"/>
      <c r="T4610" s="1"/>
      <c r="X4610" s="1"/>
      <c r="Y4610" s="1"/>
      <c r="Z4610" s="1"/>
    </row>
    <row r="4612" spans="4:26" x14ac:dyDescent="0.25">
      <c r="D4612" s="16"/>
      <c r="Q4612" s="16"/>
    </row>
    <row r="4613" spans="4:26" x14ac:dyDescent="0.25">
      <c r="D4613" s="17"/>
      <c r="Q4613" s="17"/>
      <c r="T4613" s="1"/>
      <c r="X4613" s="1"/>
      <c r="Y4613" s="1"/>
      <c r="Z4613" s="1"/>
    </row>
    <row r="4615" spans="4:26" x14ac:dyDescent="0.25">
      <c r="D4615" s="16"/>
      <c r="Q4615" s="16"/>
    </row>
    <row r="4616" spans="4:26" x14ac:dyDescent="0.25">
      <c r="D4616" s="16"/>
      <c r="Q4616" s="16"/>
      <c r="T4616" s="1"/>
      <c r="X4616" s="1"/>
      <c r="Y4616" s="1"/>
      <c r="Z4616" s="1"/>
    </row>
    <row r="4619" spans="4:26" x14ac:dyDescent="0.25">
      <c r="D4619" s="16"/>
      <c r="Q4619" s="16"/>
      <c r="T4619" s="1"/>
      <c r="X4619" s="1"/>
      <c r="Y4619" s="1"/>
      <c r="Z4619" s="1"/>
    </row>
    <row r="4620" spans="4:26" x14ac:dyDescent="0.25">
      <c r="D4620" s="16"/>
      <c r="Q4620" s="16"/>
    </row>
    <row r="4621" spans="4:26" x14ac:dyDescent="0.25">
      <c r="D4621" s="16"/>
      <c r="Q4621" s="16"/>
    </row>
    <row r="4622" spans="4:26" x14ac:dyDescent="0.25">
      <c r="D4622" s="16"/>
      <c r="Q4622" s="16"/>
      <c r="T4622" s="1"/>
      <c r="X4622" s="1"/>
      <c r="Y4622" s="1"/>
      <c r="Z4622" s="1"/>
    </row>
    <row r="4625" spans="4:26" x14ac:dyDescent="0.25">
      <c r="D4625" s="16"/>
      <c r="Q4625" s="16"/>
      <c r="T4625" s="1"/>
      <c r="X4625" s="1"/>
      <c r="Y4625" s="1"/>
      <c r="Z4625" s="1"/>
    </row>
    <row r="4626" spans="4:26" x14ac:dyDescent="0.25">
      <c r="D4626" s="16"/>
      <c r="Q4626" s="16"/>
    </row>
    <row r="4627" spans="4:26" x14ac:dyDescent="0.25">
      <c r="D4627" s="16"/>
      <c r="Q4627" s="16"/>
    </row>
    <row r="4628" spans="4:26" x14ac:dyDescent="0.25">
      <c r="D4628" s="17"/>
      <c r="Q4628" s="17"/>
      <c r="T4628" s="1"/>
      <c r="X4628" s="1"/>
      <c r="Y4628" s="1"/>
      <c r="Z4628" s="1"/>
    </row>
    <row r="4630" spans="4:26" x14ac:dyDescent="0.25">
      <c r="D4630" s="16"/>
      <c r="Q4630" s="16"/>
    </row>
    <row r="4631" spans="4:26" x14ac:dyDescent="0.25">
      <c r="D4631" s="16"/>
      <c r="Q4631" s="16"/>
      <c r="T4631" s="1"/>
      <c r="X4631" s="1"/>
      <c r="Y4631" s="1"/>
      <c r="Z4631" s="1"/>
    </row>
    <row r="4634" spans="4:26" x14ac:dyDescent="0.25">
      <c r="D4634" s="16"/>
      <c r="Q4634" s="16"/>
      <c r="T4634" s="1"/>
      <c r="X4634" s="1"/>
      <c r="Y4634" s="1"/>
      <c r="Z4634" s="1"/>
    </row>
    <row r="4637" spans="4:26" x14ac:dyDescent="0.25">
      <c r="D4637" s="16"/>
      <c r="Q4637" s="16"/>
      <c r="T4637" s="1"/>
      <c r="X4637" s="1"/>
      <c r="Y4637" s="1"/>
      <c r="Z4637" s="1"/>
    </row>
    <row r="4640" spans="4:26" x14ac:dyDescent="0.25">
      <c r="D4640" s="16"/>
      <c r="Q4640" s="16"/>
      <c r="T4640" s="1"/>
      <c r="X4640" s="1"/>
      <c r="Y4640" s="1"/>
      <c r="Z4640" s="1"/>
    </row>
    <row r="4641" spans="4:26" x14ac:dyDescent="0.25">
      <c r="D4641" s="16"/>
      <c r="Q4641" s="16"/>
      <c r="T4641" s="1"/>
      <c r="X4641" s="1"/>
      <c r="Y4641" s="1"/>
      <c r="Z4641" s="1"/>
    </row>
    <row r="4644" spans="4:26" x14ac:dyDescent="0.25">
      <c r="D4644" s="16"/>
      <c r="Q4644" s="16"/>
      <c r="T4644" s="1"/>
      <c r="X4644" s="1"/>
      <c r="Y4644" s="1"/>
      <c r="Z4644" s="1"/>
    </row>
    <row r="4647" spans="4:26" x14ac:dyDescent="0.25">
      <c r="D4647" s="16"/>
      <c r="Q4647" s="16"/>
      <c r="T4647" s="1"/>
      <c r="X4647" s="1"/>
      <c r="Y4647" s="1"/>
      <c r="Z4647" s="1"/>
    </row>
    <row r="4650" spans="4:26" x14ac:dyDescent="0.25">
      <c r="D4650" s="16"/>
      <c r="Q4650" s="16"/>
      <c r="T4650" s="1"/>
      <c r="X4650" s="1"/>
      <c r="Y4650" s="1"/>
      <c r="Z4650" s="1"/>
    </row>
    <row r="4653" spans="4:26" x14ac:dyDescent="0.25">
      <c r="D4653" s="16"/>
      <c r="Q4653" s="16"/>
      <c r="T4653" s="1"/>
      <c r="X4653" s="1"/>
      <c r="Y4653" s="1"/>
      <c r="Z4653" s="1"/>
    </row>
    <row r="4656" spans="4:26" x14ac:dyDescent="0.25">
      <c r="D4656" s="16"/>
      <c r="Q4656" s="16"/>
      <c r="T4656" s="1"/>
      <c r="X4656" s="1"/>
      <c r="Y4656" s="1"/>
      <c r="Z4656" s="1"/>
    </row>
    <row r="4659" spans="4:26" x14ac:dyDescent="0.25">
      <c r="D4659" s="16"/>
      <c r="Q4659" s="16"/>
      <c r="T4659" s="1"/>
      <c r="X4659" s="1"/>
      <c r="Y4659" s="1"/>
      <c r="Z4659" s="1"/>
    </row>
    <row r="4660" spans="4:26" x14ac:dyDescent="0.25">
      <c r="D4660" s="16"/>
      <c r="Q4660" s="16"/>
    </row>
    <row r="4662" spans="4:26" x14ac:dyDescent="0.25">
      <c r="D4662" s="17"/>
      <c r="Q4662" s="17"/>
      <c r="T4662" s="1"/>
      <c r="X4662" s="1"/>
      <c r="Y4662" s="1"/>
      <c r="Z4662" s="1"/>
    </row>
    <row r="4663" spans="4:26" x14ac:dyDescent="0.25">
      <c r="D4663" s="16"/>
      <c r="Q4663" s="16"/>
    </row>
    <row r="4665" spans="4:26" x14ac:dyDescent="0.25">
      <c r="D4665" s="17"/>
      <c r="Q4665" s="17"/>
      <c r="T4665" s="1"/>
      <c r="X4665" s="1"/>
      <c r="Y4665" s="1"/>
      <c r="Z4665" s="1"/>
    </row>
    <row r="4666" spans="4:26" x14ac:dyDescent="0.25">
      <c r="D4666" s="16"/>
      <c r="Q4666" s="16"/>
      <c r="T4666" s="1"/>
      <c r="X4666" s="1"/>
      <c r="Y4666" s="1"/>
      <c r="Z4666" s="1"/>
    </row>
    <row r="4669" spans="4:26" x14ac:dyDescent="0.25">
      <c r="D4669" s="16"/>
      <c r="Q4669" s="16"/>
      <c r="T4669" s="1"/>
      <c r="X4669" s="1"/>
      <c r="Y4669" s="1"/>
      <c r="Z4669" s="1"/>
    </row>
    <row r="4670" spans="4:26" x14ac:dyDescent="0.25">
      <c r="D4670" s="16"/>
      <c r="Q4670" s="16"/>
    </row>
    <row r="4672" spans="4:26" x14ac:dyDescent="0.25">
      <c r="D4672" s="17"/>
      <c r="Q4672" s="17"/>
      <c r="T4672" s="1"/>
      <c r="X4672" s="1"/>
      <c r="Y4672" s="1"/>
      <c r="Z4672" s="1"/>
    </row>
    <row r="4673" spans="4:26" x14ac:dyDescent="0.25">
      <c r="D4673" s="16"/>
      <c r="Q4673" s="16"/>
    </row>
    <row r="4675" spans="4:26" x14ac:dyDescent="0.25">
      <c r="D4675" s="17"/>
      <c r="Q4675" s="17"/>
      <c r="T4675" s="1"/>
      <c r="X4675" s="1"/>
      <c r="Y4675" s="1"/>
      <c r="Z4675" s="1"/>
    </row>
    <row r="4676" spans="4:26" x14ac:dyDescent="0.25">
      <c r="D4676" s="16"/>
      <c r="Q4676" s="16"/>
    </row>
    <row r="4679" spans="4:26" x14ac:dyDescent="0.25">
      <c r="D4679" s="16"/>
      <c r="Q4679" s="16"/>
    </row>
    <row r="4682" spans="4:26" x14ac:dyDescent="0.25">
      <c r="D4682" s="16"/>
      <c r="Q4682" s="16"/>
    </row>
    <row r="4685" spans="4:26" x14ac:dyDescent="0.25">
      <c r="D4685" s="16"/>
      <c r="Q4685" s="16"/>
    </row>
    <row r="4688" spans="4:26" x14ac:dyDescent="0.25">
      <c r="D4688" s="16"/>
      <c r="Q4688" s="16"/>
    </row>
    <row r="4691" spans="4:17" x14ac:dyDescent="0.25">
      <c r="D4691" s="16"/>
      <c r="Q4691" s="16"/>
    </row>
    <row r="4694" spans="4:17" x14ac:dyDescent="0.25">
      <c r="D4694" s="16"/>
      <c r="Q4694" s="16"/>
    </row>
    <row r="4697" spans="4:17" x14ac:dyDescent="0.25">
      <c r="D4697" s="16"/>
      <c r="Q4697" s="16"/>
    </row>
    <row r="4700" spans="4:17" x14ac:dyDescent="0.25">
      <c r="D4700" s="16"/>
      <c r="Q4700" s="16"/>
    </row>
    <row r="4703" spans="4:17" x14ac:dyDescent="0.25">
      <c r="D4703" s="16"/>
      <c r="Q4703" s="16"/>
    </row>
    <row r="4704" spans="4:17" x14ac:dyDescent="0.25">
      <c r="D4704" s="16"/>
      <c r="Q4704" s="16"/>
    </row>
    <row r="4707" spans="4:17" x14ac:dyDescent="0.25">
      <c r="D4707" s="16"/>
      <c r="Q4707" s="16"/>
    </row>
    <row r="4708" spans="4:17" x14ac:dyDescent="0.25">
      <c r="D4708" s="16"/>
      <c r="Q4708" s="16"/>
    </row>
    <row r="4709" spans="4:17" x14ac:dyDescent="0.25">
      <c r="D4709" s="16"/>
      <c r="Q4709" s="16"/>
    </row>
    <row r="4710" spans="4:17" x14ac:dyDescent="0.25">
      <c r="D4710" s="16"/>
      <c r="Q4710" s="16"/>
    </row>
    <row r="4711" spans="4:17" x14ac:dyDescent="0.25">
      <c r="D4711" s="16"/>
      <c r="Q4711" s="16"/>
    </row>
    <row r="4714" spans="4:17" x14ac:dyDescent="0.25">
      <c r="D4714" s="16"/>
      <c r="Q4714" s="16"/>
    </row>
    <row r="4717" spans="4:17" x14ac:dyDescent="0.25">
      <c r="D4717" s="16"/>
      <c r="Q4717" s="16"/>
    </row>
    <row r="4718" spans="4:17" x14ac:dyDescent="0.25">
      <c r="D4718" s="16"/>
      <c r="Q4718" s="16"/>
    </row>
    <row r="4719" spans="4:17" x14ac:dyDescent="0.25">
      <c r="D4719" s="16"/>
      <c r="Q4719" s="16"/>
    </row>
    <row r="4720" spans="4:17" x14ac:dyDescent="0.25">
      <c r="D4720" s="16"/>
      <c r="Q4720" s="16"/>
    </row>
    <row r="4723" spans="4:17" x14ac:dyDescent="0.25">
      <c r="D4723" s="16"/>
      <c r="Q4723" s="16"/>
    </row>
    <row r="4724" spans="4:17" x14ac:dyDescent="0.25">
      <c r="D4724" s="16"/>
      <c r="Q4724" s="16"/>
    </row>
    <row r="4725" spans="4:17" x14ac:dyDescent="0.25">
      <c r="D4725" s="16"/>
      <c r="Q4725" s="16"/>
    </row>
    <row r="4726" spans="4:17" x14ac:dyDescent="0.25">
      <c r="D4726" s="16"/>
      <c r="Q4726" s="16"/>
    </row>
    <row r="4729" spans="4:17" x14ac:dyDescent="0.25">
      <c r="D4729" s="16"/>
      <c r="Q4729" s="16"/>
    </row>
    <row r="4730" spans="4:17" x14ac:dyDescent="0.25">
      <c r="D4730" s="16"/>
      <c r="Q4730" s="16"/>
    </row>
    <row r="4731" spans="4:17" x14ac:dyDescent="0.25">
      <c r="D4731" s="16"/>
      <c r="Q4731" s="16"/>
    </row>
    <row r="4732" spans="4:17" x14ac:dyDescent="0.25">
      <c r="D4732" s="16"/>
      <c r="Q4732" s="16"/>
    </row>
    <row r="4735" spans="4:17" x14ac:dyDescent="0.25">
      <c r="D4735" s="16"/>
      <c r="Q4735" s="16"/>
    </row>
    <row r="4736" spans="4:17" x14ac:dyDescent="0.25">
      <c r="D4736" s="16"/>
      <c r="Q4736" s="16"/>
    </row>
    <row r="4739" spans="4:17" x14ac:dyDescent="0.25">
      <c r="D4739" s="16"/>
      <c r="Q4739" s="16"/>
    </row>
    <row r="4740" spans="4:17" x14ac:dyDescent="0.25">
      <c r="D4740" s="16"/>
      <c r="Q4740" s="16"/>
    </row>
    <row r="4741" spans="4:17" x14ac:dyDescent="0.25">
      <c r="D4741" s="16"/>
      <c r="Q4741" s="16"/>
    </row>
    <row r="4742" spans="4:17" x14ac:dyDescent="0.25">
      <c r="D4742" s="16"/>
      <c r="Q4742" s="16"/>
    </row>
    <row r="4745" spans="4:17" x14ac:dyDescent="0.25">
      <c r="D4745" s="16"/>
      <c r="Q4745" s="16"/>
    </row>
    <row r="4746" spans="4:17" x14ac:dyDescent="0.25">
      <c r="D4746" s="16"/>
      <c r="Q4746" s="16"/>
    </row>
    <row r="4747" spans="4:17" x14ac:dyDescent="0.25">
      <c r="D4747" s="16"/>
      <c r="Q4747" s="16"/>
    </row>
    <row r="4748" spans="4:17" x14ac:dyDescent="0.25">
      <c r="D4748" s="16"/>
      <c r="Q4748" s="16"/>
    </row>
    <row r="4751" spans="4:17" x14ac:dyDescent="0.25">
      <c r="D4751" s="16"/>
      <c r="Q4751" s="16"/>
    </row>
    <row r="4752" spans="4:17" x14ac:dyDescent="0.25">
      <c r="D4752" s="16"/>
      <c r="Q4752" s="16"/>
    </row>
    <row r="4753" spans="4:17" x14ac:dyDescent="0.25">
      <c r="D4753" s="16"/>
      <c r="Q4753" s="16"/>
    </row>
    <row r="4756" spans="4:17" x14ac:dyDescent="0.25">
      <c r="D4756" s="16"/>
      <c r="Q4756" s="16"/>
    </row>
    <row r="4757" spans="4:17" x14ac:dyDescent="0.25">
      <c r="D4757" s="16"/>
      <c r="Q4757" s="16"/>
    </row>
    <row r="4760" spans="4:17" x14ac:dyDescent="0.25">
      <c r="D4760" s="16"/>
      <c r="Q4760" s="16"/>
    </row>
    <row r="4763" spans="4:17" x14ac:dyDescent="0.25">
      <c r="D4763" s="16"/>
      <c r="Q4763" s="16"/>
    </row>
    <row r="4766" spans="4:17" x14ac:dyDescent="0.25">
      <c r="D4766" s="16"/>
      <c r="Q4766" s="16"/>
    </row>
    <row r="4769" spans="4:17" x14ac:dyDescent="0.25">
      <c r="D4769" s="16"/>
      <c r="Q4769" s="16"/>
    </row>
    <row r="4772" spans="4:17" x14ac:dyDescent="0.25">
      <c r="D4772" s="16"/>
      <c r="Q4772" s="16"/>
    </row>
    <row r="4775" spans="4:17" x14ac:dyDescent="0.25">
      <c r="D4775" s="16"/>
      <c r="Q4775" s="16"/>
    </row>
    <row r="4778" spans="4:17" x14ac:dyDescent="0.25">
      <c r="D4778" s="16"/>
      <c r="Q4778" s="16"/>
    </row>
    <row r="4781" spans="4:17" x14ac:dyDescent="0.25">
      <c r="D4781" s="16"/>
      <c r="Q4781" s="16"/>
    </row>
    <row r="4784" spans="4:17" x14ac:dyDescent="0.25">
      <c r="D4784" s="16"/>
      <c r="Q4784" s="16"/>
    </row>
    <row r="4787" spans="4:17" x14ac:dyDescent="0.25">
      <c r="D4787" s="16"/>
      <c r="Q4787" s="16"/>
    </row>
    <row r="4790" spans="4:17" x14ac:dyDescent="0.25">
      <c r="D4790" s="16"/>
      <c r="Q4790" s="16"/>
    </row>
    <row r="4793" spans="4:17" x14ac:dyDescent="0.25">
      <c r="D4793" s="16"/>
      <c r="Q4793" s="16"/>
    </row>
    <row r="4796" spans="4:17" x14ac:dyDescent="0.25">
      <c r="D4796" s="16"/>
      <c r="Q4796" s="16"/>
    </row>
    <row r="4799" spans="4:17" x14ac:dyDescent="0.25">
      <c r="D4799" s="16"/>
      <c r="Q4799" s="16"/>
    </row>
    <row r="4802" spans="4:17" x14ac:dyDescent="0.25">
      <c r="D4802" s="16"/>
      <c r="Q4802" s="16"/>
    </row>
    <row r="4805" spans="4:17" x14ac:dyDescent="0.25">
      <c r="D4805" s="16"/>
      <c r="Q4805" s="16"/>
    </row>
    <row r="4808" spans="4:17" x14ac:dyDescent="0.25">
      <c r="D4808" s="16"/>
      <c r="Q4808" s="16"/>
    </row>
    <row r="4811" spans="4:17" x14ac:dyDescent="0.25">
      <c r="D4811" s="16"/>
      <c r="Q4811" s="16"/>
    </row>
    <row r="4814" spans="4:17" x14ac:dyDescent="0.25">
      <c r="D4814" s="16"/>
      <c r="Q4814" s="16"/>
    </row>
    <row r="4817" spans="4:17" x14ac:dyDescent="0.25">
      <c r="D4817" s="16"/>
      <c r="Q4817" s="16"/>
    </row>
    <row r="4820" spans="4:17" x14ac:dyDescent="0.25">
      <c r="D4820" s="16"/>
      <c r="Q4820" s="16"/>
    </row>
    <row r="4823" spans="4:17" x14ac:dyDescent="0.25">
      <c r="D4823" s="16"/>
      <c r="Q4823" s="16"/>
    </row>
    <row r="4826" spans="4:17" x14ac:dyDescent="0.25">
      <c r="D4826" s="16"/>
      <c r="Q4826" s="16"/>
    </row>
    <row r="4829" spans="4:17" x14ac:dyDescent="0.25">
      <c r="D4829" s="16"/>
      <c r="Q4829" s="16"/>
    </row>
    <row r="4832" spans="4:17" x14ac:dyDescent="0.25">
      <c r="D4832" s="16"/>
      <c r="Q4832" s="16"/>
    </row>
    <row r="4835" spans="4:17" x14ac:dyDescent="0.25">
      <c r="D4835" s="16"/>
      <c r="Q4835" s="16"/>
    </row>
    <row r="4838" spans="4:17" x14ac:dyDescent="0.25">
      <c r="D4838" s="16"/>
      <c r="Q4838" s="16"/>
    </row>
    <row r="4841" spans="4:17" x14ac:dyDescent="0.25">
      <c r="D4841" s="16"/>
      <c r="Q4841" s="16"/>
    </row>
    <row r="4844" spans="4:17" x14ac:dyDescent="0.25">
      <c r="D4844" s="16"/>
      <c r="Q4844" s="16"/>
    </row>
    <row r="4847" spans="4:17" x14ac:dyDescent="0.25">
      <c r="D4847" s="16"/>
      <c r="Q4847" s="16"/>
    </row>
    <row r="4850" spans="4:17" x14ac:dyDescent="0.25">
      <c r="D4850" s="16"/>
      <c r="Q4850" s="16"/>
    </row>
    <row r="4853" spans="4:17" x14ac:dyDescent="0.25">
      <c r="D4853" s="16"/>
      <c r="Q4853" s="16"/>
    </row>
    <row r="4856" spans="4:17" x14ac:dyDescent="0.25">
      <c r="D4856" s="16"/>
      <c r="Q4856" s="16"/>
    </row>
    <row r="4859" spans="4:17" x14ac:dyDescent="0.25">
      <c r="D4859" s="16"/>
      <c r="Q4859" s="16"/>
    </row>
    <row r="4862" spans="4:17" x14ac:dyDescent="0.25">
      <c r="D4862" s="16"/>
      <c r="Q4862" s="16"/>
    </row>
    <row r="4865" spans="4:17" x14ac:dyDescent="0.25">
      <c r="D4865" s="16"/>
      <c r="Q4865" s="16"/>
    </row>
    <row r="4868" spans="4:17" x14ac:dyDescent="0.25">
      <c r="D4868" s="16"/>
      <c r="Q4868" s="16"/>
    </row>
    <row r="4871" spans="4:17" x14ac:dyDescent="0.25">
      <c r="D4871" s="16"/>
      <c r="Q4871" s="16"/>
    </row>
    <row r="4874" spans="4:17" x14ac:dyDescent="0.25">
      <c r="D4874" s="16"/>
      <c r="Q4874" s="16"/>
    </row>
    <row r="4877" spans="4:17" x14ac:dyDescent="0.25">
      <c r="D4877" s="16"/>
      <c r="Q4877" s="16"/>
    </row>
    <row r="4880" spans="4:17" x14ac:dyDescent="0.25">
      <c r="D4880" s="16"/>
      <c r="Q4880" s="16"/>
    </row>
    <row r="4883" spans="4:17" x14ac:dyDescent="0.25">
      <c r="D4883" s="16"/>
      <c r="Q4883" s="16"/>
    </row>
    <row r="4886" spans="4:17" x14ac:dyDescent="0.25">
      <c r="D4886" s="16"/>
      <c r="Q4886" s="16"/>
    </row>
    <row r="4889" spans="4:17" x14ac:dyDescent="0.25">
      <c r="D4889" s="16"/>
      <c r="Q4889" s="16"/>
    </row>
    <row r="4892" spans="4:17" x14ac:dyDescent="0.25">
      <c r="D4892" s="16"/>
      <c r="Q4892" s="16"/>
    </row>
    <row r="4895" spans="4:17" x14ac:dyDescent="0.25">
      <c r="D4895" s="16"/>
      <c r="Q4895" s="16"/>
    </row>
    <row r="4898" spans="4:17" x14ac:dyDescent="0.25">
      <c r="D4898" s="16"/>
      <c r="Q4898" s="16"/>
    </row>
    <row r="4901" spans="4:17" x14ac:dyDescent="0.25">
      <c r="D4901" s="16"/>
      <c r="Q4901" s="16"/>
    </row>
    <row r="4904" spans="4:17" x14ac:dyDescent="0.25">
      <c r="D4904" s="16"/>
      <c r="Q4904" s="16"/>
    </row>
    <row r="4907" spans="4:17" x14ac:dyDescent="0.25">
      <c r="D4907" s="16"/>
      <c r="Q4907" s="16"/>
    </row>
    <row r="4910" spans="4:17" x14ac:dyDescent="0.25">
      <c r="D4910" s="16"/>
      <c r="Q4910" s="16"/>
    </row>
    <row r="4913" spans="4:17" x14ac:dyDescent="0.25">
      <c r="D4913" s="16"/>
      <c r="Q4913" s="16"/>
    </row>
    <row r="4916" spans="4:17" x14ac:dyDescent="0.25">
      <c r="D4916" s="16"/>
      <c r="Q4916" s="16"/>
    </row>
    <row r="4919" spans="4:17" x14ac:dyDescent="0.25">
      <c r="D4919" s="16"/>
      <c r="Q4919" s="16"/>
    </row>
    <row r="4922" spans="4:17" x14ac:dyDescent="0.25">
      <c r="D4922" s="16"/>
      <c r="Q4922" s="16"/>
    </row>
    <row r="4925" spans="4:17" x14ac:dyDescent="0.25">
      <c r="D4925" s="16"/>
      <c r="Q4925" s="16"/>
    </row>
    <row r="4928" spans="4:17" x14ac:dyDescent="0.25">
      <c r="D4928" s="16"/>
      <c r="Q4928" s="16"/>
    </row>
    <row r="4931" spans="4:17" x14ac:dyDescent="0.25">
      <c r="D4931" s="16"/>
      <c r="Q4931" s="16"/>
    </row>
    <row r="4934" spans="4:17" x14ac:dyDescent="0.25">
      <c r="D4934" s="16"/>
      <c r="Q4934" s="16"/>
    </row>
    <row r="4935" spans="4:17" x14ac:dyDescent="0.25">
      <c r="D4935" s="16"/>
      <c r="Q4935" s="16"/>
    </row>
    <row r="4938" spans="4:17" x14ac:dyDescent="0.25">
      <c r="D4938" s="16"/>
      <c r="Q4938" s="16"/>
    </row>
    <row r="4939" spans="4:17" x14ac:dyDescent="0.25">
      <c r="D4939" s="16"/>
      <c r="Q4939" s="16"/>
    </row>
    <row r="4942" spans="4:17" x14ac:dyDescent="0.25">
      <c r="D4942" s="16"/>
      <c r="Q4942" s="16"/>
    </row>
    <row r="4945" spans="4:17" x14ac:dyDescent="0.25">
      <c r="D4945" s="16"/>
      <c r="Q4945" s="16"/>
    </row>
    <row r="4948" spans="4:17" x14ac:dyDescent="0.25">
      <c r="D4948" s="16"/>
      <c r="Q4948" s="16"/>
    </row>
    <row r="4951" spans="4:17" x14ac:dyDescent="0.25">
      <c r="D4951" s="16"/>
      <c r="Q4951" s="16"/>
    </row>
    <row r="4954" spans="4:17" x14ac:dyDescent="0.25">
      <c r="D4954" s="16"/>
      <c r="Q4954" s="16"/>
    </row>
    <row r="4957" spans="4:17" x14ac:dyDescent="0.25">
      <c r="D4957" s="16"/>
      <c r="Q4957" s="16"/>
    </row>
    <row r="4960" spans="4:17" x14ac:dyDescent="0.25">
      <c r="D4960" s="16"/>
      <c r="Q4960" s="16"/>
    </row>
    <row r="4963" spans="4:17" x14ac:dyDescent="0.25">
      <c r="D4963" s="16"/>
      <c r="Q4963" s="16"/>
    </row>
    <row r="4966" spans="4:17" x14ac:dyDescent="0.25">
      <c r="D4966" s="16"/>
      <c r="Q4966" s="16"/>
    </row>
    <row r="4969" spans="4:17" x14ac:dyDescent="0.25">
      <c r="D4969" s="16"/>
      <c r="Q4969" s="16"/>
    </row>
    <row r="4972" spans="4:17" x14ac:dyDescent="0.25">
      <c r="D4972" s="16"/>
      <c r="Q4972" s="16"/>
    </row>
    <row r="4975" spans="4:17" x14ac:dyDescent="0.25">
      <c r="D4975" s="16"/>
      <c r="Q4975" s="16"/>
    </row>
    <row r="4978" spans="4:17" x14ac:dyDescent="0.25">
      <c r="D4978" s="16"/>
      <c r="Q4978" s="16"/>
    </row>
    <row r="4981" spans="4:17" x14ac:dyDescent="0.25">
      <c r="D4981" s="16"/>
      <c r="Q4981" s="16"/>
    </row>
    <row r="4984" spans="4:17" x14ac:dyDescent="0.25">
      <c r="D4984" s="16"/>
      <c r="Q4984" s="16"/>
    </row>
    <row r="4987" spans="4:17" x14ac:dyDescent="0.25">
      <c r="D4987" s="16"/>
      <c r="Q4987" s="16"/>
    </row>
    <row r="4988" spans="4:17" x14ac:dyDescent="0.25">
      <c r="D4988" s="16"/>
      <c r="Q4988" s="16"/>
    </row>
    <row r="4991" spans="4:17" x14ac:dyDescent="0.25">
      <c r="D4991" s="16"/>
      <c r="Q4991" s="16"/>
    </row>
    <row r="4994" spans="4:17" x14ac:dyDescent="0.25">
      <c r="D4994" s="16"/>
      <c r="Q4994" s="16"/>
    </row>
    <row r="4997" spans="4:17" x14ac:dyDescent="0.25">
      <c r="D4997" s="16"/>
      <c r="Q4997" s="16"/>
    </row>
    <row r="5000" spans="4:17" x14ac:dyDescent="0.25">
      <c r="D5000" s="16"/>
      <c r="Q5000" s="16"/>
    </row>
    <row r="5003" spans="4:17" x14ac:dyDescent="0.25">
      <c r="D5003" s="16"/>
      <c r="Q5003" s="16"/>
    </row>
    <row r="5006" spans="4:17" x14ac:dyDescent="0.25">
      <c r="D5006" s="16"/>
      <c r="Q5006" s="16"/>
    </row>
    <row r="5009" spans="4:17" x14ac:dyDescent="0.25">
      <c r="D5009" s="16"/>
      <c r="Q5009" s="16"/>
    </row>
    <row r="5012" spans="4:17" x14ac:dyDescent="0.25">
      <c r="D5012" s="16"/>
      <c r="Q5012" s="16"/>
    </row>
    <row r="5015" spans="4:17" x14ac:dyDescent="0.25">
      <c r="D5015" s="16"/>
      <c r="Q5015" s="16"/>
    </row>
    <row r="5018" spans="4:17" x14ac:dyDescent="0.25">
      <c r="D5018" s="16"/>
      <c r="Q5018" s="16"/>
    </row>
    <row r="5021" spans="4:17" x14ac:dyDescent="0.25">
      <c r="D5021" s="16"/>
      <c r="Q5021" s="16"/>
    </row>
    <row r="5024" spans="4:17" x14ac:dyDescent="0.25">
      <c r="D5024" s="16"/>
      <c r="Q5024" s="16"/>
    </row>
    <row r="5027" spans="4:17" x14ac:dyDescent="0.25">
      <c r="D5027" s="16"/>
      <c r="Q5027" s="16"/>
    </row>
    <row r="5030" spans="4:17" x14ac:dyDescent="0.25">
      <c r="D5030" s="16"/>
      <c r="Q5030" s="16"/>
    </row>
    <row r="5033" spans="4:17" x14ac:dyDescent="0.25">
      <c r="D5033" s="16"/>
      <c r="Q5033" s="16"/>
    </row>
    <row r="5036" spans="4:17" x14ac:dyDescent="0.25">
      <c r="D5036" s="16"/>
      <c r="Q5036" s="16"/>
    </row>
    <row r="5039" spans="4:17" x14ac:dyDescent="0.25">
      <c r="D5039" s="16"/>
      <c r="Q5039" s="16"/>
    </row>
    <row r="5042" spans="4:17" x14ac:dyDescent="0.25">
      <c r="D5042" s="16"/>
      <c r="Q5042" s="16"/>
    </row>
    <row r="5043" spans="4:17" x14ac:dyDescent="0.25">
      <c r="D5043" s="16"/>
      <c r="Q5043" s="16"/>
    </row>
    <row r="5046" spans="4:17" x14ac:dyDescent="0.25">
      <c r="D5046" s="16"/>
      <c r="Q5046" s="16"/>
    </row>
    <row r="5047" spans="4:17" x14ac:dyDescent="0.25">
      <c r="D5047" s="16"/>
      <c r="Q5047" s="16"/>
    </row>
    <row r="5048" spans="4:17" x14ac:dyDescent="0.25">
      <c r="D5048" s="16"/>
      <c r="Q5048" s="16"/>
    </row>
    <row r="5051" spans="4:17" x14ac:dyDescent="0.25">
      <c r="D5051" s="16"/>
      <c r="Q5051" s="16"/>
    </row>
    <row r="5054" spans="4:17" x14ac:dyDescent="0.25">
      <c r="D5054" s="16"/>
      <c r="Q5054" s="16"/>
    </row>
    <row r="5057" spans="4:17" x14ac:dyDescent="0.25">
      <c r="D5057" s="16"/>
      <c r="Q5057" s="16"/>
    </row>
    <row r="5058" spans="4:17" x14ac:dyDescent="0.25">
      <c r="D5058" s="16"/>
      <c r="Q5058" s="16"/>
    </row>
    <row r="5061" spans="4:17" x14ac:dyDescent="0.25">
      <c r="D5061" s="16"/>
      <c r="Q5061" s="16"/>
    </row>
    <row r="5062" spans="4:17" x14ac:dyDescent="0.25">
      <c r="D5062" s="16"/>
      <c r="Q5062" s="16"/>
    </row>
    <row r="5063" spans="4:17" x14ac:dyDescent="0.25">
      <c r="D5063" s="16"/>
      <c r="Q5063" s="16"/>
    </row>
    <row r="5064" spans="4:17" x14ac:dyDescent="0.25">
      <c r="D5064" s="16"/>
      <c r="Q5064" s="16"/>
    </row>
    <row r="5067" spans="4:17" x14ac:dyDescent="0.25">
      <c r="D5067" s="16"/>
      <c r="Q5067" s="16"/>
    </row>
    <row r="5068" spans="4:17" x14ac:dyDescent="0.25">
      <c r="D5068" s="16"/>
      <c r="Q5068" s="16"/>
    </row>
    <row r="5071" spans="4:17" x14ac:dyDescent="0.25">
      <c r="D5071" s="16"/>
      <c r="Q5071" s="16"/>
    </row>
    <row r="5072" spans="4:17" x14ac:dyDescent="0.25">
      <c r="D5072" s="16"/>
      <c r="Q5072" s="16"/>
    </row>
    <row r="5073" spans="4:17" x14ac:dyDescent="0.25">
      <c r="D5073" s="16"/>
      <c r="Q5073" s="16"/>
    </row>
    <row r="5074" spans="4:17" x14ac:dyDescent="0.25">
      <c r="D5074" s="16"/>
      <c r="Q5074" s="16"/>
    </row>
    <row r="5077" spans="4:17" x14ac:dyDescent="0.25">
      <c r="D5077" s="16"/>
      <c r="Q5077" s="16"/>
    </row>
    <row r="5080" spans="4:17" x14ac:dyDescent="0.25">
      <c r="D5080" s="16"/>
      <c r="Q5080" s="16"/>
    </row>
    <row r="5083" spans="4:17" x14ac:dyDescent="0.25">
      <c r="D5083" s="16"/>
      <c r="Q5083" s="16"/>
    </row>
    <row r="5086" spans="4:17" x14ac:dyDescent="0.25">
      <c r="D5086" s="16"/>
      <c r="Q5086" s="16"/>
    </row>
    <row r="5087" spans="4:17" x14ac:dyDescent="0.25">
      <c r="D5087" s="16"/>
      <c r="Q5087" s="16"/>
    </row>
    <row r="5090" spans="4:17" x14ac:dyDescent="0.25">
      <c r="D5090" s="16"/>
      <c r="Q5090" s="16"/>
    </row>
    <row r="5091" spans="4:17" x14ac:dyDescent="0.25">
      <c r="D5091" s="16"/>
      <c r="Q5091" s="16"/>
    </row>
    <row r="5094" spans="4:17" x14ac:dyDescent="0.25">
      <c r="D5094" s="16"/>
      <c r="Q5094" s="16"/>
    </row>
    <row r="5097" spans="4:17" x14ac:dyDescent="0.25">
      <c r="D5097" s="16"/>
      <c r="Q5097" s="16"/>
    </row>
    <row r="5098" spans="4:17" x14ac:dyDescent="0.25">
      <c r="D5098" s="16"/>
      <c r="Q5098" s="16"/>
    </row>
    <row r="5101" spans="4:17" x14ac:dyDescent="0.25">
      <c r="D5101" s="16"/>
      <c r="Q5101" s="16"/>
    </row>
    <row r="5104" spans="4:17" x14ac:dyDescent="0.25">
      <c r="D5104" s="16"/>
      <c r="Q5104" s="16"/>
    </row>
    <row r="5107" spans="4:17" x14ac:dyDescent="0.25">
      <c r="D5107" s="16"/>
      <c r="Q5107" s="16"/>
    </row>
    <row r="5110" spans="4:17" x14ac:dyDescent="0.25">
      <c r="D5110" s="16"/>
      <c r="Q5110" s="16"/>
    </row>
    <row r="5113" spans="4:17" x14ac:dyDescent="0.25">
      <c r="D5113" s="16"/>
      <c r="Q5113" s="16"/>
    </row>
    <row r="5116" spans="4:17" x14ac:dyDescent="0.25">
      <c r="D5116" s="16"/>
      <c r="Q5116" s="16"/>
    </row>
    <row r="5119" spans="4:17" x14ac:dyDescent="0.25">
      <c r="D5119" s="16"/>
      <c r="Q5119" s="16"/>
    </row>
    <row r="5122" spans="4:17" x14ac:dyDescent="0.25">
      <c r="D5122" s="16"/>
      <c r="Q5122" s="16"/>
    </row>
    <row r="5125" spans="4:17" x14ac:dyDescent="0.25">
      <c r="D5125" s="16"/>
      <c r="Q5125" s="16"/>
    </row>
    <row r="5128" spans="4:17" x14ac:dyDescent="0.25">
      <c r="D5128" s="16"/>
      <c r="Q5128" s="16"/>
    </row>
    <row r="5131" spans="4:17" x14ac:dyDescent="0.25">
      <c r="D5131" s="16"/>
      <c r="Q5131" s="16"/>
    </row>
    <row r="5134" spans="4:17" x14ac:dyDescent="0.25">
      <c r="D5134" s="16"/>
      <c r="Q5134" s="16"/>
    </row>
    <row r="5137" spans="4:17" x14ac:dyDescent="0.25">
      <c r="D5137" s="16"/>
      <c r="Q5137" s="16"/>
    </row>
    <row r="5140" spans="4:17" x14ac:dyDescent="0.25">
      <c r="D5140" s="16"/>
      <c r="Q5140" s="16"/>
    </row>
    <row r="5143" spans="4:17" x14ac:dyDescent="0.25">
      <c r="D5143" s="16"/>
      <c r="Q5143" s="16"/>
    </row>
    <row r="5144" spans="4:17" x14ac:dyDescent="0.25">
      <c r="D5144" s="16"/>
      <c r="Q5144" s="16"/>
    </row>
    <row r="5145" spans="4:17" x14ac:dyDescent="0.25">
      <c r="D5145" s="16"/>
      <c r="Q5145" s="16"/>
    </row>
    <row r="5148" spans="4:17" x14ac:dyDescent="0.25">
      <c r="D5148" s="16"/>
      <c r="Q5148" s="16"/>
    </row>
    <row r="5151" spans="4:17" x14ac:dyDescent="0.25">
      <c r="D5151" s="16"/>
      <c r="Q5151" s="16"/>
    </row>
    <row r="5154" spans="4:17" x14ac:dyDescent="0.25">
      <c r="D5154" s="16"/>
      <c r="Q5154" s="16"/>
    </row>
    <row r="5155" spans="4:17" x14ac:dyDescent="0.25">
      <c r="D5155" s="16"/>
      <c r="Q5155" s="16"/>
    </row>
    <row r="5156" spans="4:17" x14ac:dyDescent="0.25">
      <c r="D5156" s="16"/>
      <c r="Q5156" s="16"/>
    </row>
    <row r="5159" spans="4:17" x14ac:dyDescent="0.25">
      <c r="D5159" s="16"/>
      <c r="Q5159" s="16"/>
    </row>
    <row r="5162" spans="4:17" x14ac:dyDescent="0.25">
      <c r="D5162" s="16"/>
      <c r="Q5162" s="16"/>
    </row>
    <row r="5165" spans="4:17" x14ac:dyDescent="0.25">
      <c r="D5165" s="16"/>
      <c r="Q5165" s="16"/>
    </row>
    <row r="5168" spans="4:17" x14ac:dyDescent="0.25">
      <c r="D5168" s="16"/>
      <c r="Q5168" s="16"/>
    </row>
    <row r="5171" spans="4:17" x14ac:dyDescent="0.25">
      <c r="D5171" s="16"/>
      <c r="Q5171" s="16"/>
    </row>
    <row r="5174" spans="4:17" x14ac:dyDescent="0.25">
      <c r="D5174" s="16"/>
      <c r="Q5174" s="16"/>
    </row>
    <row r="5177" spans="4:17" x14ac:dyDescent="0.25">
      <c r="D5177" s="16"/>
      <c r="Q5177" s="16"/>
    </row>
    <row r="5180" spans="4:17" x14ac:dyDescent="0.25">
      <c r="D5180" s="16"/>
      <c r="Q5180" s="16"/>
    </row>
    <row r="5183" spans="4:17" x14ac:dyDescent="0.25">
      <c r="D5183" s="16"/>
      <c r="Q5183" s="16"/>
    </row>
    <row r="5186" spans="4:17" x14ac:dyDescent="0.25">
      <c r="D5186" s="16"/>
      <c r="Q5186" s="16"/>
    </row>
    <row r="5187" spans="4:17" x14ac:dyDescent="0.25">
      <c r="D5187" s="16"/>
      <c r="Q5187" s="16"/>
    </row>
    <row r="5190" spans="4:17" x14ac:dyDescent="0.25">
      <c r="D5190" s="16"/>
      <c r="Q5190" s="16"/>
    </row>
    <row r="5193" spans="4:17" x14ac:dyDescent="0.25">
      <c r="D5193" s="16"/>
      <c r="Q5193" s="16"/>
    </row>
    <row r="5196" spans="4:17" x14ac:dyDescent="0.25">
      <c r="D5196" s="16"/>
      <c r="Q5196" s="16"/>
    </row>
    <row r="5199" spans="4:17" x14ac:dyDescent="0.25">
      <c r="D5199" s="16"/>
      <c r="Q5199" s="16"/>
    </row>
    <row r="5202" spans="4:17" x14ac:dyDescent="0.25">
      <c r="D5202" s="16"/>
      <c r="Q5202" s="16"/>
    </row>
    <row r="5203" spans="4:17" x14ac:dyDescent="0.25">
      <c r="D5203" s="16"/>
      <c r="Q5203" s="16"/>
    </row>
    <row r="5206" spans="4:17" x14ac:dyDescent="0.25">
      <c r="D5206" s="16"/>
      <c r="Q5206" s="16"/>
    </row>
    <row r="5209" spans="4:17" x14ac:dyDescent="0.25">
      <c r="D5209" s="16"/>
      <c r="Q5209" s="16"/>
    </row>
    <row r="5212" spans="4:17" x14ac:dyDescent="0.25">
      <c r="D5212" s="16"/>
      <c r="Q5212" s="16"/>
    </row>
    <row r="5215" spans="4:17" x14ac:dyDescent="0.25">
      <c r="D5215" s="16"/>
      <c r="Q5215" s="16"/>
    </row>
    <row r="5218" spans="4:17" x14ac:dyDescent="0.25">
      <c r="D5218" s="16"/>
      <c r="Q5218" s="16"/>
    </row>
    <row r="5221" spans="4:17" x14ac:dyDescent="0.25">
      <c r="D5221" s="16"/>
      <c r="Q5221" s="16"/>
    </row>
    <row r="5224" spans="4:17" x14ac:dyDescent="0.25">
      <c r="D5224" s="16"/>
      <c r="Q5224" s="16"/>
    </row>
    <row r="5227" spans="4:17" x14ac:dyDescent="0.25">
      <c r="D5227" s="16"/>
      <c r="Q5227" s="16"/>
    </row>
    <row r="5230" spans="4:17" x14ac:dyDescent="0.25">
      <c r="D5230" s="16"/>
      <c r="Q5230" s="16"/>
    </row>
    <row r="5233" spans="4:17" x14ac:dyDescent="0.25">
      <c r="D5233" s="16"/>
      <c r="Q5233" s="16"/>
    </row>
    <row r="5236" spans="4:17" x14ac:dyDescent="0.25">
      <c r="D5236" s="16"/>
      <c r="Q5236" s="16"/>
    </row>
    <row r="5239" spans="4:17" x14ac:dyDescent="0.25">
      <c r="D5239" s="16"/>
      <c r="Q5239" s="16"/>
    </row>
    <row r="5242" spans="4:17" x14ac:dyDescent="0.25">
      <c r="D5242" s="16"/>
      <c r="Q5242" s="16"/>
    </row>
    <row r="5243" spans="4:17" x14ac:dyDescent="0.25">
      <c r="D5243" s="16"/>
      <c r="Q5243" s="16"/>
    </row>
    <row r="5246" spans="4:17" x14ac:dyDescent="0.25">
      <c r="D5246" s="16"/>
      <c r="Q5246" s="16"/>
    </row>
    <row r="5249" spans="4:17" x14ac:dyDescent="0.25">
      <c r="D5249" s="16"/>
      <c r="Q5249" s="16"/>
    </row>
    <row r="5250" spans="4:17" x14ac:dyDescent="0.25">
      <c r="D5250" s="16"/>
      <c r="Q5250" s="16"/>
    </row>
    <row r="5253" spans="4:17" x14ac:dyDescent="0.25">
      <c r="D5253" s="16"/>
      <c r="Q5253" s="16"/>
    </row>
    <row r="5256" spans="4:17" x14ac:dyDescent="0.25">
      <c r="D5256" s="16"/>
      <c r="Q5256" s="16"/>
    </row>
    <row r="5259" spans="4:17" x14ac:dyDescent="0.25">
      <c r="D5259" s="16"/>
      <c r="Q5259" s="16"/>
    </row>
    <row r="5260" spans="4:17" x14ac:dyDescent="0.25">
      <c r="D5260" s="16"/>
      <c r="Q5260" s="16"/>
    </row>
    <row r="5263" spans="4:17" x14ac:dyDescent="0.25">
      <c r="D5263" s="16"/>
      <c r="Q5263" s="16"/>
    </row>
    <row r="5264" spans="4:17" x14ac:dyDescent="0.25">
      <c r="D5264" s="16"/>
      <c r="Q5264" s="16"/>
    </row>
    <row r="5267" spans="4:17" x14ac:dyDescent="0.25">
      <c r="D5267" s="16"/>
      <c r="Q5267" s="16"/>
    </row>
    <row r="5268" spans="4:17" x14ac:dyDescent="0.25">
      <c r="D5268" s="16"/>
      <c r="Q5268" s="16"/>
    </row>
    <row r="5271" spans="4:17" x14ac:dyDescent="0.25">
      <c r="D5271" s="16"/>
      <c r="Q5271" s="16"/>
    </row>
    <row r="5272" spans="4:17" x14ac:dyDescent="0.25">
      <c r="D5272" s="16"/>
      <c r="Q5272" s="16"/>
    </row>
    <row r="5275" spans="4:17" x14ac:dyDescent="0.25">
      <c r="D5275" s="16"/>
      <c r="Q5275" s="16"/>
    </row>
    <row r="5276" spans="4:17" x14ac:dyDescent="0.25">
      <c r="D5276" s="16"/>
      <c r="Q5276" s="16"/>
    </row>
    <row r="5279" spans="4:17" x14ac:dyDescent="0.25">
      <c r="D5279" s="16"/>
      <c r="Q5279" s="16"/>
    </row>
    <row r="5282" spans="4:17" x14ac:dyDescent="0.25">
      <c r="D5282" s="16"/>
      <c r="Q5282" s="16"/>
    </row>
    <row r="5285" spans="4:17" x14ac:dyDescent="0.25">
      <c r="D5285" s="16"/>
      <c r="Q5285" s="16"/>
    </row>
    <row r="5288" spans="4:17" x14ac:dyDescent="0.25">
      <c r="D5288" s="16"/>
      <c r="Q5288" s="16"/>
    </row>
    <row r="5289" spans="4:17" x14ac:dyDescent="0.25">
      <c r="D5289" s="16"/>
      <c r="Q5289" s="16"/>
    </row>
    <row r="5292" spans="4:17" x14ac:dyDescent="0.25">
      <c r="D5292" s="16"/>
      <c r="Q5292" s="16"/>
    </row>
    <row r="5295" spans="4:17" x14ac:dyDescent="0.25">
      <c r="D5295" s="16"/>
      <c r="Q5295" s="16"/>
    </row>
    <row r="5296" spans="4:17" x14ac:dyDescent="0.25">
      <c r="D5296" s="16"/>
      <c r="Q5296" s="16"/>
    </row>
    <row r="5299" spans="4:17" x14ac:dyDescent="0.25">
      <c r="D5299" s="16"/>
      <c r="Q5299" s="16"/>
    </row>
    <row r="5302" spans="4:17" x14ac:dyDescent="0.25">
      <c r="D5302" s="16"/>
      <c r="Q5302" s="16"/>
    </row>
    <row r="5303" spans="4:17" x14ac:dyDescent="0.25">
      <c r="D5303" s="16"/>
      <c r="Q5303" s="16"/>
    </row>
    <row r="5306" spans="4:17" x14ac:dyDescent="0.25">
      <c r="D5306" s="16"/>
      <c r="Q5306" s="16"/>
    </row>
    <row r="5309" spans="4:17" x14ac:dyDescent="0.25">
      <c r="D5309" s="16"/>
      <c r="Q5309" s="16"/>
    </row>
    <row r="5310" spans="4:17" x14ac:dyDescent="0.25">
      <c r="D5310" s="16"/>
      <c r="Q5310" s="16"/>
    </row>
    <row r="5313" spans="4:17" x14ac:dyDescent="0.25">
      <c r="D5313" s="16"/>
      <c r="Q5313" s="16"/>
    </row>
    <row r="5316" spans="4:17" x14ac:dyDescent="0.25">
      <c r="D5316" s="16"/>
      <c r="Q5316" s="16"/>
    </row>
    <row r="5319" spans="4:17" x14ac:dyDescent="0.25">
      <c r="D5319" s="16"/>
      <c r="Q5319" s="16"/>
    </row>
    <row r="5320" spans="4:17" x14ac:dyDescent="0.25">
      <c r="D5320" s="16"/>
      <c r="Q5320" s="16"/>
    </row>
    <row r="5321" spans="4:17" x14ac:dyDescent="0.25">
      <c r="D5321" s="16"/>
      <c r="Q5321" s="16"/>
    </row>
    <row r="5322" spans="4:17" x14ac:dyDescent="0.25">
      <c r="D5322" s="16"/>
      <c r="Q5322" s="16"/>
    </row>
    <row r="5325" spans="4:17" x14ac:dyDescent="0.25">
      <c r="D5325" s="16"/>
      <c r="Q5325" s="16"/>
    </row>
    <row r="5326" spans="4:17" x14ac:dyDescent="0.25">
      <c r="D5326" s="16"/>
      <c r="Q5326" s="16"/>
    </row>
    <row r="5327" spans="4:17" x14ac:dyDescent="0.25">
      <c r="D5327" s="16"/>
      <c r="Q5327" s="16"/>
    </row>
    <row r="5328" spans="4:17" x14ac:dyDescent="0.25">
      <c r="D5328" s="16"/>
      <c r="Q5328" s="16"/>
    </row>
    <row r="5331" spans="4:17" x14ac:dyDescent="0.25">
      <c r="D5331" s="16"/>
      <c r="Q5331" s="16"/>
    </row>
    <row r="5332" spans="4:17" x14ac:dyDescent="0.25">
      <c r="D5332" s="16"/>
      <c r="Q5332" s="16"/>
    </row>
    <row r="5335" spans="4:17" x14ac:dyDescent="0.25">
      <c r="D5335" s="16"/>
      <c r="Q5335" s="16"/>
    </row>
    <row r="5336" spans="4:17" x14ac:dyDescent="0.25">
      <c r="D5336" s="16"/>
      <c r="Q5336" s="16"/>
    </row>
    <row r="5337" spans="4:17" x14ac:dyDescent="0.25">
      <c r="D5337" s="16"/>
      <c r="Q5337" s="16"/>
    </row>
    <row r="5340" spans="4:17" x14ac:dyDescent="0.25">
      <c r="D5340" s="16"/>
      <c r="Q5340" s="16"/>
    </row>
    <row r="5341" spans="4:17" x14ac:dyDescent="0.25">
      <c r="D5341" s="16"/>
      <c r="Q5341" s="16"/>
    </row>
    <row r="5344" spans="4:17" x14ac:dyDescent="0.25">
      <c r="D5344" s="16"/>
      <c r="Q5344" s="16"/>
    </row>
    <row r="5345" spans="4:17" x14ac:dyDescent="0.25">
      <c r="D5345" s="16"/>
      <c r="Q5345" s="16"/>
    </row>
    <row r="5348" spans="4:17" x14ac:dyDescent="0.25">
      <c r="D5348" s="16"/>
      <c r="Q5348" s="16"/>
    </row>
    <row r="5349" spans="4:17" x14ac:dyDescent="0.25">
      <c r="D5349" s="16"/>
      <c r="Q5349" s="16"/>
    </row>
    <row r="5350" spans="4:17" x14ac:dyDescent="0.25">
      <c r="D5350" s="16"/>
      <c r="Q5350" s="16"/>
    </row>
    <row r="5353" spans="4:17" x14ac:dyDescent="0.25">
      <c r="D5353" s="16"/>
      <c r="Q5353" s="16"/>
    </row>
    <row r="5356" spans="4:17" x14ac:dyDescent="0.25">
      <c r="D5356" s="16"/>
      <c r="Q5356" s="16"/>
    </row>
    <row r="5357" spans="4:17" x14ac:dyDescent="0.25">
      <c r="D5357" s="16"/>
      <c r="Q5357" s="16"/>
    </row>
    <row r="5360" spans="4:17" x14ac:dyDescent="0.25">
      <c r="D5360" s="16"/>
      <c r="Q5360" s="16"/>
    </row>
    <row r="5363" spans="4:17" x14ac:dyDescent="0.25">
      <c r="D5363" s="16"/>
      <c r="Q5363" s="16"/>
    </row>
    <row r="5366" spans="4:17" x14ac:dyDescent="0.25">
      <c r="D5366" s="16"/>
      <c r="Q5366" s="16"/>
    </row>
    <row r="5369" spans="4:17" x14ac:dyDescent="0.25">
      <c r="D5369" s="16"/>
      <c r="Q5369" s="16"/>
    </row>
    <row r="5372" spans="4:17" x14ac:dyDescent="0.25">
      <c r="D5372" s="16"/>
      <c r="Q5372" s="16"/>
    </row>
    <row r="5373" spans="4:17" x14ac:dyDescent="0.25">
      <c r="D5373" s="16"/>
      <c r="Q5373" s="16"/>
    </row>
    <row r="5376" spans="4:17" x14ac:dyDescent="0.25">
      <c r="D5376" s="16"/>
      <c r="Q5376" s="16"/>
    </row>
    <row r="5379" spans="4:17" x14ac:dyDescent="0.25">
      <c r="D5379" s="16"/>
      <c r="Q5379" s="16"/>
    </row>
    <row r="5380" spans="4:17" x14ac:dyDescent="0.25">
      <c r="D5380" s="16"/>
      <c r="Q5380" s="16"/>
    </row>
    <row r="5381" spans="4:17" x14ac:dyDescent="0.25">
      <c r="D5381" s="16"/>
      <c r="Q5381" s="16"/>
    </row>
    <row r="5384" spans="4:17" x14ac:dyDescent="0.25">
      <c r="D5384" s="16"/>
      <c r="Q5384" s="16"/>
    </row>
    <row r="5385" spans="4:17" x14ac:dyDescent="0.25">
      <c r="D5385" s="16"/>
      <c r="Q5385" s="16"/>
    </row>
    <row r="5388" spans="4:17" x14ac:dyDescent="0.25">
      <c r="D5388" s="16"/>
      <c r="Q5388" s="16"/>
    </row>
    <row r="5391" spans="4:17" x14ac:dyDescent="0.25">
      <c r="D5391" s="16"/>
      <c r="Q5391" s="16"/>
    </row>
    <row r="5394" spans="4:17" x14ac:dyDescent="0.25">
      <c r="D5394" s="16"/>
      <c r="Q5394" s="16"/>
    </row>
    <row r="5395" spans="4:17" x14ac:dyDescent="0.25">
      <c r="D5395" s="16"/>
      <c r="Q5395" s="16"/>
    </row>
    <row r="5396" spans="4:17" x14ac:dyDescent="0.25">
      <c r="D5396" s="16"/>
      <c r="Q5396" s="16"/>
    </row>
    <row r="5399" spans="4:17" x14ac:dyDescent="0.25">
      <c r="D5399" s="16"/>
      <c r="Q5399" s="16"/>
    </row>
    <row r="5400" spans="4:17" x14ac:dyDescent="0.25">
      <c r="D5400" s="16"/>
      <c r="Q5400" s="16"/>
    </row>
    <row r="5403" spans="4:17" x14ac:dyDescent="0.25">
      <c r="D5403" s="16"/>
      <c r="Q5403" s="16"/>
    </row>
    <row r="5406" spans="4:17" x14ac:dyDescent="0.25">
      <c r="D5406" s="16"/>
      <c r="Q5406" s="16"/>
    </row>
    <row r="5409" spans="4:17" x14ac:dyDescent="0.25">
      <c r="D5409" s="16"/>
      <c r="Q5409" s="16"/>
    </row>
    <row r="5410" spans="4:17" x14ac:dyDescent="0.25">
      <c r="D5410" s="16"/>
      <c r="Q5410" s="16"/>
    </row>
    <row r="5413" spans="4:17" x14ac:dyDescent="0.25">
      <c r="D5413" s="16"/>
      <c r="Q5413" s="16"/>
    </row>
    <row r="5416" spans="4:17" x14ac:dyDescent="0.25">
      <c r="D5416" s="16"/>
      <c r="Q5416" s="16"/>
    </row>
    <row r="5417" spans="4:17" x14ac:dyDescent="0.25">
      <c r="D5417" s="16"/>
      <c r="Q5417" s="16"/>
    </row>
    <row r="5420" spans="4:17" x14ac:dyDescent="0.25">
      <c r="D5420" s="16"/>
      <c r="Q5420" s="16"/>
    </row>
    <row r="5423" spans="4:17" x14ac:dyDescent="0.25">
      <c r="D5423" s="16"/>
      <c r="Q5423" s="16"/>
    </row>
    <row r="5424" spans="4:17" x14ac:dyDescent="0.25">
      <c r="D5424" s="16"/>
      <c r="Q5424" s="16"/>
    </row>
    <row r="5425" spans="4:17" x14ac:dyDescent="0.25">
      <c r="D5425" s="16"/>
      <c r="Q5425" s="16"/>
    </row>
    <row r="5426" spans="4:17" x14ac:dyDescent="0.25">
      <c r="D5426" s="16"/>
      <c r="Q5426" s="16"/>
    </row>
    <row r="5429" spans="4:17" x14ac:dyDescent="0.25">
      <c r="D5429" s="16"/>
      <c r="Q5429" s="16"/>
    </row>
    <row r="5432" spans="4:17" x14ac:dyDescent="0.25">
      <c r="D5432" s="16"/>
      <c r="Q5432" s="16"/>
    </row>
    <row r="5435" spans="4:17" x14ac:dyDescent="0.25">
      <c r="D5435" s="16"/>
      <c r="Q5435" s="16"/>
    </row>
    <row r="5438" spans="4:17" x14ac:dyDescent="0.25">
      <c r="D5438" s="16"/>
      <c r="Q5438" s="16"/>
    </row>
    <row r="5439" spans="4:17" x14ac:dyDescent="0.25">
      <c r="D5439" s="16"/>
      <c r="Q5439" s="16"/>
    </row>
    <row r="5440" spans="4:17" x14ac:dyDescent="0.25">
      <c r="D5440" s="16"/>
      <c r="Q5440" s="16"/>
    </row>
    <row r="5443" spans="4:17" x14ac:dyDescent="0.25">
      <c r="D5443" s="16"/>
      <c r="Q5443" s="16"/>
    </row>
    <row r="5444" spans="4:17" x14ac:dyDescent="0.25">
      <c r="D5444" s="16"/>
      <c r="Q5444" s="16"/>
    </row>
    <row r="5447" spans="4:17" x14ac:dyDescent="0.25">
      <c r="D5447" s="16"/>
      <c r="Q5447" s="16"/>
    </row>
    <row r="5448" spans="4:17" x14ac:dyDescent="0.25">
      <c r="D5448" s="16"/>
      <c r="Q5448" s="16"/>
    </row>
    <row r="5449" spans="4:17" x14ac:dyDescent="0.25">
      <c r="D5449" s="16"/>
      <c r="Q5449" s="16"/>
    </row>
    <row r="5452" spans="4:17" x14ac:dyDescent="0.25">
      <c r="D5452" s="16"/>
      <c r="Q5452" s="16"/>
    </row>
    <row r="5453" spans="4:17" x14ac:dyDescent="0.25">
      <c r="D5453" s="16"/>
      <c r="Q5453" s="16"/>
    </row>
    <row r="5456" spans="4:17" x14ac:dyDescent="0.25">
      <c r="D5456" s="16"/>
      <c r="Q5456" s="16"/>
    </row>
    <row r="5457" spans="4:17" x14ac:dyDescent="0.25">
      <c r="D5457" s="16"/>
      <c r="Q5457" s="16"/>
    </row>
    <row r="5458" spans="4:17" x14ac:dyDescent="0.25">
      <c r="D5458" s="16"/>
      <c r="Q5458" s="16"/>
    </row>
    <row r="5461" spans="4:17" x14ac:dyDescent="0.25">
      <c r="D5461" s="16"/>
      <c r="Q5461" s="16"/>
    </row>
    <row r="5462" spans="4:17" x14ac:dyDescent="0.25">
      <c r="D5462" s="16"/>
      <c r="Q5462" s="16"/>
    </row>
    <row r="5463" spans="4:17" x14ac:dyDescent="0.25">
      <c r="D5463" s="16"/>
      <c r="Q5463" s="16"/>
    </row>
    <row r="5466" spans="4:17" x14ac:dyDescent="0.25">
      <c r="D5466" s="16"/>
      <c r="Q5466" s="16"/>
    </row>
    <row r="5467" spans="4:17" x14ac:dyDescent="0.25">
      <c r="D5467" s="16"/>
      <c r="Q5467" s="16"/>
    </row>
    <row r="5470" spans="4:17" x14ac:dyDescent="0.25">
      <c r="D5470" s="16"/>
      <c r="Q5470" s="16"/>
    </row>
    <row r="5471" spans="4:17" x14ac:dyDescent="0.25">
      <c r="D5471" s="16"/>
      <c r="Q5471" s="16"/>
    </row>
    <row r="5474" spans="4:17" x14ac:dyDescent="0.25">
      <c r="D5474" s="16"/>
      <c r="Q5474" s="16"/>
    </row>
    <row r="5477" spans="4:17" x14ac:dyDescent="0.25">
      <c r="D5477" s="16"/>
      <c r="Q5477" s="16"/>
    </row>
    <row r="5480" spans="4:17" x14ac:dyDescent="0.25">
      <c r="D5480" s="16"/>
      <c r="Q5480" s="16"/>
    </row>
    <row r="5483" spans="4:17" x14ac:dyDescent="0.25">
      <c r="D5483" s="16"/>
      <c r="Q5483" s="16"/>
    </row>
    <row r="5486" spans="4:17" x14ac:dyDescent="0.25">
      <c r="D5486" s="16"/>
      <c r="Q5486" s="16"/>
    </row>
    <row r="5489" spans="4:17" x14ac:dyDescent="0.25">
      <c r="D5489" s="16"/>
      <c r="Q5489" s="16"/>
    </row>
    <row r="5492" spans="4:17" x14ac:dyDescent="0.25">
      <c r="D5492" s="16"/>
      <c r="Q5492" s="16"/>
    </row>
    <row r="5495" spans="4:17" x14ac:dyDescent="0.25">
      <c r="D5495" s="16"/>
      <c r="Q5495" s="16"/>
    </row>
    <row r="5498" spans="4:17" x14ac:dyDescent="0.25">
      <c r="D5498" s="16"/>
      <c r="Q5498" s="16"/>
    </row>
    <row r="5499" spans="4:17" x14ac:dyDescent="0.25">
      <c r="D5499" s="16"/>
      <c r="Q5499" s="16"/>
    </row>
    <row r="5500" spans="4:17" x14ac:dyDescent="0.25">
      <c r="D5500" s="16"/>
      <c r="Q5500" s="16"/>
    </row>
    <row r="5503" spans="4:17" x14ac:dyDescent="0.25">
      <c r="D5503" s="16"/>
      <c r="Q5503" s="16"/>
    </row>
    <row r="5506" spans="4:17" x14ac:dyDescent="0.25">
      <c r="D5506" s="16"/>
      <c r="Q5506" s="16"/>
    </row>
    <row r="5509" spans="4:17" x14ac:dyDescent="0.25">
      <c r="D5509" s="16"/>
      <c r="Q5509" s="16"/>
    </row>
    <row r="5512" spans="4:17" x14ac:dyDescent="0.25">
      <c r="D5512" s="16"/>
      <c r="Q5512" s="16"/>
    </row>
    <row r="5515" spans="4:17" x14ac:dyDescent="0.25">
      <c r="D5515" s="16"/>
      <c r="Q5515" s="16"/>
    </row>
    <row r="5518" spans="4:17" x14ac:dyDescent="0.25">
      <c r="D5518" s="16"/>
      <c r="Q5518" s="16"/>
    </row>
    <row r="5521" spans="4:17" x14ac:dyDescent="0.25">
      <c r="D5521" s="16"/>
      <c r="Q5521" s="16"/>
    </row>
    <row r="5524" spans="4:17" x14ac:dyDescent="0.25">
      <c r="D5524" s="16"/>
      <c r="Q5524" s="16"/>
    </row>
    <row r="5525" spans="4:17" x14ac:dyDescent="0.25">
      <c r="D5525" s="16"/>
      <c r="Q5525" s="16"/>
    </row>
    <row r="5528" spans="4:17" x14ac:dyDescent="0.25">
      <c r="D5528" s="16"/>
      <c r="Q5528" s="16"/>
    </row>
    <row r="5529" spans="4:17" x14ac:dyDescent="0.25">
      <c r="D5529" s="16"/>
      <c r="Q5529" s="16"/>
    </row>
    <row r="5532" spans="4:17" x14ac:dyDescent="0.25">
      <c r="D5532" s="16"/>
      <c r="Q5532" s="16"/>
    </row>
    <row r="5533" spans="4:17" x14ac:dyDescent="0.25">
      <c r="D5533" s="16"/>
      <c r="Q5533" s="16"/>
    </row>
    <row r="5534" spans="4:17" x14ac:dyDescent="0.25">
      <c r="D5534" s="16"/>
      <c r="Q5534" s="16"/>
    </row>
    <row r="5535" spans="4:17" x14ac:dyDescent="0.25">
      <c r="D5535" s="16"/>
      <c r="Q5535" s="16"/>
    </row>
    <row r="5538" spans="4:17" x14ac:dyDescent="0.25">
      <c r="D5538" s="16"/>
      <c r="Q5538" s="16"/>
    </row>
    <row r="5541" spans="4:17" x14ac:dyDescent="0.25">
      <c r="D5541" s="16"/>
      <c r="Q5541" s="16"/>
    </row>
    <row r="5542" spans="4:17" x14ac:dyDescent="0.25">
      <c r="D5542" s="16"/>
      <c r="Q5542" s="16"/>
    </row>
    <row r="5543" spans="4:17" x14ac:dyDescent="0.25">
      <c r="D5543" s="16"/>
      <c r="Q5543" s="16"/>
    </row>
    <row r="5544" spans="4:17" x14ac:dyDescent="0.25">
      <c r="D5544" s="16"/>
      <c r="Q5544" s="16"/>
    </row>
    <row r="5545" spans="4:17" x14ac:dyDescent="0.25">
      <c r="D5545" s="16"/>
      <c r="Q5545" s="16"/>
    </row>
    <row r="5548" spans="4:17" x14ac:dyDescent="0.25">
      <c r="D5548" s="16"/>
      <c r="Q5548" s="16"/>
    </row>
    <row r="5549" spans="4:17" x14ac:dyDescent="0.25">
      <c r="D5549" s="16"/>
      <c r="Q5549" s="16"/>
    </row>
    <row r="5550" spans="4:17" x14ac:dyDescent="0.25">
      <c r="D5550" s="16"/>
      <c r="Q5550" s="16"/>
    </row>
    <row r="5551" spans="4:17" x14ac:dyDescent="0.25">
      <c r="D5551" s="16"/>
      <c r="Q5551" s="16"/>
    </row>
    <row r="5552" spans="4:17" x14ac:dyDescent="0.25">
      <c r="D5552" s="16"/>
      <c r="Q5552" s="16"/>
    </row>
    <row r="5555" spans="4:17" x14ac:dyDescent="0.25">
      <c r="D5555" s="16"/>
      <c r="Q5555" s="16"/>
    </row>
    <row r="5556" spans="4:17" x14ac:dyDescent="0.25">
      <c r="D5556" s="16"/>
      <c r="Q5556" s="16"/>
    </row>
    <row r="5557" spans="4:17" x14ac:dyDescent="0.25">
      <c r="D5557" s="16"/>
      <c r="Q5557" s="16"/>
    </row>
    <row r="5558" spans="4:17" x14ac:dyDescent="0.25">
      <c r="D5558" s="16"/>
      <c r="Q5558" s="16"/>
    </row>
    <row r="5561" spans="4:17" x14ac:dyDescent="0.25">
      <c r="D5561" s="16"/>
      <c r="Q5561" s="16"/>
    </row>
    <row r="5564" spans="4:17" x14ac:dyDescent="0.25">
      <c r="D5564" s="16"/>
      <c r="Q5564" s="16"/>
    </row>
    <row r="5567" spans="4:17" x14ac:dyDescent="0.25">
      <c r="D5567" s="16"/>
      <c r="Q5567" s="16"/>
    </row>
    <row r="5568" spans="4:17" x14ac:dyDescent="0.25">
      <c r="D5568" s="16"/>
      <c r="Q5568" s="16"/>
    </row>
    <row r="5571" spans="4:17" x14ac:dyDescent="0.25">
      <c r="D5571" s="16"/>
      <c r="Q5571" s="16"/>
    </row>
    <row r="5574" spans="4:17" x14ac:dyDescent="0.25">
      <c r="D5574" s="16"/>
      <c r="Q5574" s="16"/>
    </row>
    <row r="5577" spans="4:17" x14ac:dyDescent="0.25">
      <c r="D5577" s="16"/>
      <c r="Q5577" s="16"/>
    </row>
    <row r="5580" spans="4:17" x14ac:dyDescent="0.25">
      <c r="D5580" s="16"/>
      <c r="Q5580" s="16"/>
    </row>
    <row r="5581" spans="4:17" x14ac:dyDescent="0.25">
      <c r="D5581" s="16"/>
      <c r="Q5581" s="16"/>
    </row>
    <row r="5584" spans="4:17" x14ac:dyDescent="0.25">
      <c r="D5584" s="16"/>
      <c r="Q5584" s="16"/>
    </row>
    <row r="5585" spans="4:17" x14ac:dyDescent="0.25">
      <c r="D5585" s="16"/>
      <c r="Q5585" s="16"/>
    </row>
    <row r="5588" spans="4:17" x14ac:dyDescent="0.25">
      <c r="D5588" s="16"/>
      <c r="Q5588" s="16"/>
    </row>
    <row r="5589" spans="4:17" x14ac:dyDescent="0.25">
      <c r="D5589" s="16"/>
      <c r="Q5589" s="16"/>
    </row>
    <row r="5592" spans="4:17" x14ac:dyDescent="0.25">
      <c r="D5592" s="16"/>
      <c r="Q5592" s="16"/>
    </row>
    <row r="5593" spans="4:17" x14ac:dyDescent="0.25">
      <c r="D5593" s="16"/>
      <c r="Q5593" s="16"/>
    </row>
    <row r="5596" spans="4:17" x14ac:dyDescent="0.25">
      <c r="D5596" s="16"/>
      <c r="Q5596" s="16"/>
    </row>
    <row r="5599" spans="4:17" x14ac:dyDescent="0.25">
      <c r="D5599" s="16"/>
      <c r="Q5599" s="16"/>
    </row>
    <row r="5602" spans="4:17" x14ac:dyDescent="0.25">
      <c r="D5602" s="16"/>
      <c r="Q5602" s="16"/>
    </row>
    <row r="5605" spans="4:17" x14ac:dyDescent="0.25">
      <c r="D5605" s="16"/>
      <c r="Q5605" s="16"/>
    </row>
    <row r="5608" spans="4:17" x14ac:dyDescent="0.25">
      <c r="D5608" s="16"/>
      <c r="Q5608" s="16"/>
    </row>
    <row r="5611" spans="4:17" x14ac:dyDescent="0.25">
      <c r="D5611" s="16"/>
      <c r="Q5611" s="16"/>
    </row>
    <row r="5614" spans="4:17" x14ac:dyDescent="0.25">
      <c r="D5614" s="16"/>
      <c r="Q5614" s="16"/>
    </row>
    <row r="5617" spans="4:17" x14ac:dyDescent="0.25">
      <c r="D5617" s="16"/>
      <c r="Q5617" s="16"/>
    </row>
    <row r="5620" spans="4:17" x14ac:dyDescent="0.25">
      <c r="D5620" s="16"/>
      <c r="Q5620" s="16"/>
    </row>
    <row r="5623" spans="4:17" x14ac:dyDescent="0.25">
      <c r="D5623" s="16"/>
      <c r="Q5623" s="16"/>
    </row>
    <row r="5626" spans="4:17" x14ac:dyDescent="0.25">
      <c r="D5626" s="16"/>
      <c r="Q5626" s="16"/>
    </row>
    <row r="5629" spans="4:17" x14ac:dyDescent="0.25">
      <c r="D5629" s="16"/>
      <c r="Q5629" s="16"/>
    </row>
    <row r="5630" spans="4:17" x14ac:dyDescent="0.25">
      <c r="D5630" s="16"/>
      <c r="Q5630" s="16"/>
    </row>
    <row r="5633" spans="4:17" x14ac:dyDescent="0.25">
      <c r="D5633" s="16"/>
      <c r="Q5633" s="16"/>
    </row>
    <row r="5636" spans="4:17" x14ac:dyDescent="0.25">
      <c r="D5636" s="16"/>
      <c r="Q5636" s="16"/>
    </row>
    <row r="5639" spans="4:17" x14ac:dyDescent="0.25">
      <c r="D5639" s="16"/>
      <c r="Q5639" s="16"/>
    </row>
    <row r="5642" spans="4:17" x14ac:dyDescent="0.25">
      <c r="D5642" s="16"/>
      <c r="Q5642" s="16"/>
    </row>
    <row r="5645" spans="4:17" x14ac:dyDescent="0.25">
      <c r="D5645" s="16"/>
      <c r="Q5645" s="16"/>
    </row>
    <row r="5646" spans="4:17" x14ac:dyDescent="0.25">
      <c r="D5646" s="16"/>
      <c r="Q5646" s="16"/>
    </row>
    <row r="5647" spans="4:17" x14ac:dyDescent="0.25">
      <c r="D5647" s="16"/>
      <c r="Q5647" s="16"/>
    </row>
    <row r="5650" spans="4:17" x14ac:dyDescent="0.25">
      <c r="D5650" s="16"/>
      <c r="Q5650" s="16"/>
    </row>
    <row r="5651" spans="4:17" x14ac:dyDescent="0.25">
      <c r="D5651" s="16"/>
      <c r="Q5651" s="16"/>
    </row>
    <row r="5654" spans="4:17" x14ac:dyDescent="0.25">
      <c r="D5654" s="16"/>
      <c r="Q5654" s="16"/>
    </row>
    <row r="5655" spans="4:17" x14ac:dyDescent="0.25">
      <c r="D5655" s="16"/>
      <c r="Q5655" s="16"/>
    </row>
    <row r="5656" spans="4:17" x14ac:dyDescent="0.25">
      <c r="D5656" s="16"/>
      <c r="Q5656" s="16"/>
    </row>
    <row r="5659" spans="4:17" x14ac:dyDescent="0.25">
      <c r="D5659" s="16"/>
      <c r="Q5659" s="16"/>
    </row>
    <row r="5662" spans="4:17" x14ac:dyDescent="0.25">
      <c r="D5662" s="16"/>
      <c r="Q5662" s="16"/>
    </row>
    <row r="5663" spans="4:17" x14ac:dyDescent="0.25">
      <c r="D5663" s="16"/>
      <c r="Q5663" s="16"/>
    </row>
    <row r="5666" spans="4:17" x14ac:dyDescent="0.25">
      <c r="D5666" s="16"/>
      <c r="Q5666" s="16"/>
    </row>
    <row r="5669" spans="4:17" x14ac:dyDescent="0.25">
      <c r="D5669" s="16"/>
      <c r="Q5669" s="16"/>
    </row>
    <row r="5670" spans="4:17" x14ac:dyDescent="0.25">
      <c r="D5670" s="16"/>
      <c r="Q5670" s="16"/>
    </row>
    <row r="5671" spans="4:17" x14ac:dyDescent="0.25">
      <c r="D5671" s="16"/>
      <c r="Q5671" s="16"/>
    </row>
    <row r="5672" spans="4:17" x14ac:dyDescent="0.25">
      <c r="D5672" s="16"/>
      <c r="Q5672" s="16"/>
    </row>
    <row r="5675" spans="4:17" x14ac:dyDescent="0.25">
      <c r="D5675" s="16"/>
      <c r="Q5675" s="16"/>
    </row>
    <row r="5676" spans="4:17" x14ac:dyDescent="0.25">
      <c r="D5676" s="16"/>
      <c r="Q5676" s="16"/>
    </row>
    <row r="5679" spans="4:17" x14ac:dyDescent="0.25">
      <c r="D5679" s="16"/>
      <c r="Q5679" s="16"/>
    </row>
    <row r="5682" spans="4:17" x14ac:dyDescent="0.25">
      <c r="D5682" s="16"/>
      <c r="Q5682" s="16"/>
    </row>
    <row r="5683" spans="4:17" x14ac:dyDescent="0.25">
      <c r="D5683" s="16"/>
      <c r="Q5683" s="16"/>
    </row>
    <row r="5684" spans="4:17" x14ac:dyDescent="0.25">
      <c r="D5684" s="16"/>
      <c r="Q5684" s="16"/>
    </row>
    <row r="5687" spans="4:17" x14ac:dyDescent="0.25">
      <c r="D5687" s="16"/>
      <c r="Q5687" s="16"/>
    </row>
    <row r="5688" spans="4:17" x14ac:dyDescent="0.25">
      <c r="D5688" s="16"/>
      <c r="Q5688" s="16"/>
    </row>
    <row r="5689" spans="4:17" x14ac:dyDescent="0.25">
      <c r="D5689" s="16"/>
      <c r="Q5689" s="16"/>
    </row>
    <row r="5692" spans="4:17" x14ac:dyDescent="0.25">
      <c r="D5692" s="16"/>
      <c r="Q5692" s="16"/>
    </row>
    <row r="5695" spans="4:17" x14ac:dyDescent="0.25">
      <c r="D5695" s="16"/>
      <c r="Q5695" s="16"/>
    </row>
    <row r="5698" spans="4:17" x14ac:dyDescent="0.25">
      <c r="D5698" s="16"/>
      <c r="Q5698" s="16"/>
    </row>
    <row r="5701" spans="4:17" x14ac:dyDescent="0.25">
      <c r="D5701" s="16"/>
      <c r="Q5701" s="16"/>
    </row>
    <row r="5702" spans="4:17" x14ac:dyDescent="0.25">
      <c r="D5702" s="16"/>
      <c r="Q5702" s="16"/>
    </row>
    <row r="5703" spans="4:17" x14ac:dyDescent="0.25">
      <c r="D5703" s="16"/>
      <c r="Q5703" s="16"/>
    </row>
    <row r="5706" spans="4:17" x14ac:dyDescent="0.25">
      <c r="D5706" s="16"/>
      <c r="Q5706" s="16"/>
    </row>
    <row r="5709" spans="4:17" x14ac:dyDescent="0.25">
      <c r="D5709" s="16"/>
      <c r="Q5709" s="16"/>
    </row>
    <row r="5712" spans="4:17" x14ac:dyDescent="0.25">
      <c r="D5712" s="16"/>
      <c r="Q5712" s="16"/>
    </row>
    <row r="5713" spans="4:17" x14ac:dyDescent="0.25">
      <c r="D5713" s="16"/>
      <c r="Q5713" s="16"/>
    </row>
    <row r="5716" spans="4:17" x14ac:dyDescent="0.25">
      <c r="D5716" s="16"/>
      <c r="Q5716" s="16"/>
    </row>
    <row r="5719" spans="4:17" x14ac:dyDescent="0.25">
      <c r="D5719" s="16"/>
      <c r="Q5719" s="16"/>
    </row>
    <row r="5722" spans="4:17" x14ac:dyDescent="0.25">
      <c r="D5722" s="16"/>
      <c r="Q5722" s="16"/>
    </row>
    <row r="5725" spans="4:17" x14ac:dyDescent="0.25">
      <c r="D5725" s="16"/>
      <c r="Q5725" s="16"/>
    </row>
    <row r="5728" spans="4:17" x14ac:dyDescent="0.25">
      <c r="D5728" s="16"/>
      <c r="Q5728" s="16"/>
    </row>
    <row r="5731" spans="4:17" x14ac:dyDescent="0.25">
      <c r="D5731" s="16"/>
      <c r="Q5731" s="16"/>
    </row>
    <row r="5732" spans="4:17" x14ac:dyDescent="0.25">
      <c r="D5732" s="16"/>
      <c r="Q5732" s="16"/>
    </row>
    <row r="5735" spans="4:17" x14ac:dyDescent="0.25">
      <c r="D5735" s="16"/>
      <c r="Q5735" s="16"/>
    </row>
    <row r="5738" spans="4:17" x14ac:dyDescent="0.25">
      <c r="D5738" s="16"/>
      <c r="Q5738" s="16"/>
    </row>
    <row r="5741" spans="4:17" x14ac:dyDescent="0.25">
      <c r="D5741" s="16"/>
      <c r="Q5741" s="16"/>
    </row>
    <row r="5744" spans="4:17" x14ac:dyDescent="0.25">
      <c r="D5744" s="16"/>
      <c r="Q5744" s="16"/>
    </row>
    <row r="5745" spans="4:17" x14ac:dyDescent="0.25">
      <c r="D5745" s="16"/>
      <c r="Q5745" s="16"/>
    </row>
    <row r="5748" spans="4:17" x14ac:dyDescent="0.25">
      <c r="D5748" s="16"/>
      <c r="Q5748" s="16"/>
    </row>
    <row r="5751" spans="4:17" x14ac:dyDescent="0.25">
      <c r="D5751" s="16"/>
      <c r="Q5751" s="16"/>
    </row>
    <row r="5754" spans="4:17" x14ac:dyDescent="0.25">
      <c r="D5754" s="16"/>
      <c r="Q5754" s="16"/>
    </row>
    <row r="5755" spans="4:17" x14ac:dyDescent="0.25">
      <c r="D5755" s="16"/>
      <c r="Q5755" s="16"/>
    </row>
    <row r="5756" spans="4:17" x14ac:dyDescent="0.25">
      <c r="D5756" s="16"/>
      <c r="Q5756" s="16"/>
    </row>
    <row r="5759" spans="4:17" x14ac:dyDescent="0.25">
      <c r="D5759" s="16"/>
      <c r="Q5759" s="16"/>
    </row>
    <row r="5760" spans="4:17" x14ac:dyDescent="0.25">
      <c r="D5760" s="16"/>
      <c r="Q5760" s="16"/>
    </row>
    <row r="5761" spans="4:17" x14ac:dyDescent="0.25">
      <c r="D5761" s="16"/>
      <c r="Q5761" s="16"/>
    </row>
    <row r="5764" spans="4:17" x14ac:dyDescent="0.25">
      <c r="D5764" s="16"/>
      <c r="Q5764" s="16"/>
    </row>
    <row r="5765" spans="4:17" x14ac:dyDescent="0.25">
      <c r="D5765" s="16"/>
      <c r="Q5765" s="16"/>
    </row>
    <row r="5768" spans="4:17" x14ac:dyDescent="0.25">
      <c r="D5768" s="16"/>
      <c r="Q5768" s="16"/>
    </row>
    <row r="5771" spans="4:17" x14ac:dyDescent="0.25">
      <c r="D5771" s="16"/>
      <c r="Q5771" s="16"/>
    </row>
    <row r="5774" spans="4:17" x14ac:dyDescent="0.25">
      <c r="D5774" s="16"/>
      <c r="Q5774" s="16"/>
    </row>
    <row r="5777" spans="4:17" x14ac:dyDescent="0.25">
      <c r="D5777" s="16"/>
      <c r="Q5777" s="16"/>
    </row>
    <row r="5778" spans="4:17" x14ac:dyDescent="0.25">
      <c r="D5778" s="16"/>
      <c r="Q5778" s="16"/>
    </row>
    <row r="5781" spans="4:17" x14ac:dyDescent="0.25">
      <c r="D5781" s="16"/>
      <c r="Q5781" s="16"/>
    </row>
    <row r="5784" spans="4:17" x14ac:dyDescent="0.25">
      <c r="D5784" s="16"/>
      <c r="Q5784" s="16"/>
    </row>
    <row r="5785" spans="4:17" x14ac:dyDescent="0.25">
      <c r="D5785" s="16"/>
      <c r="Q5785" s="16"/>
    </row>
    <row r="5786" spans="4:17" x14ac:dyDescent="0.25">
      <c r="D5786" s="16"/>
      <c r="Q5786" s="16"/>
    </row>
    <row r="5789" spans="4:17" x14ac:dyDescent="0.25">
      <c r="D5789" s="16"/>
      <c r="Q5789" s="16"/>
    </row>
    <row r="5790" spans="4:17" x14ac:dyDescent="0.25">
      <c r="D5790" s="16"/>
      <c r="Q5790" s="16"/>
    </row>
    <row r="5791" spans="4:17" x14ac:dyDescent="0.25">
      <c r="D5791" s="16"/>
      <c r="Q5791" s="16"/>
    </row>
    <row r="5792" spans="4:17" x14ac:dyDescent="0.25">
      <c r="D5792" s="16"/>
      <c r="Q5792" s="16"/>
    </row>
    <row r="5795" spans="4:17" x14ac:dyDescent="0.25">
      <c r="D5795" s="16"/>
      <c r="Q5795" s="16"/>
    </row>
    <row r="5796" spans="4:17" x14ac:dyDescent="0.25">
      <c r="D5796" s="16"/>
      <c r="Q5796" s="16"/>
    </row>
    <row r="5797" spans="4:17" x14ac:dyDescent="0.25">
      <c r="D5797" s="16"/>
      <c r="Q5797" s="16"/>
    </row>
    <row r="5798" spans="4:17" x14ac:dyDescent="0.25">
      <c r="D5798" s="16"/>
      <c r="Q5798" s="16"/>
    </row>
    <row r="5799" spans="4:17" x14ac:dyDescent="0.25">
      <c r="D5799" s="16"/>
      <c r="Q5799" s="16"/>
    </row>
    <row r="5800" spans="4:17" x14ac:dyDescent="0.25">
      <c r="D5800" s="16"/>
      <c r="Q5800" s="16"/>
    </row>
    <row r="5801" spans="4:17" x14ac:dyDescent="0.25">
      <c r="D5801" s="16"/>
      <c r="Q5801" s="16"/>
    </row>
    <row r="5802" spans="4:17" x14ac:dyDescent="0.25">
      <c r="D5802" s="16"/>
      <c r="Q5802" s="16"/>
    </row>
    <row r="5803" spans="4:17" x14ac:dyDescent="0.25">
      <c r="D5803" s="16"/>
      <c r="Q5803" s="16"/>
    </row>
    <row r="5804" spans="4:17" x14ac:dyDescent="0.25">
      <c r="D5804" s="16"/>
      <c r="Q5804" s="16"/>
    </row>
    <row r="5805" spans="4:17" x14ac:dyDescent="0.25">
      <c r="D5805" s="16"/>
      <c r="Q5805" s="16"/>
    </row>
    <row r="5806" spans="4:17" x14ac:dyDescent="0.25">
      <c r="D5806" s="16"/>
      <c r="Q5806" s="16"/>
    </row>
    <row r="5809" spans="4:17" x14ac:dyDescent="0.25">
      <c r="D5809" s="16"/>
      <c r="Q5809" s="16"/>
    </row>
    <row r="5810" spans="4:17" x14ac:dyDescent="0.25">
      <c r="D5810" s="16"/>
      <c r="Q5810" s="16"/>
    </row>
    <row r="5811" spans="4:17" x14ac:dyDescent="0.25">
      <c r="D5811" s="16"/>
      <c r="Q5811" s="16"/>
    </row>
    <row r="5812" spans="4:17" x14ac:dyDescent="0.25">
      <c r="D5812" s="16"/>
      <c r="Q5812" s="16"/>
    </row>
    <row r="5813" spans="4:17" x14ac:dyDescent="0.25">
      <c r="D5813" s="16"/>
      <c r="Q5813" s="16"/>
    </row>
    <row r="5814" spans="4:17" x14ac:dyDescent="0.25">
      <c r="D5814" s="16"/>
      <c r="Q5814" s="16"/>
    </row>
    <row r="5815" spans="4:17" x14ac:dyDescent="0.25">
      <c r="D5815" s="16"/>
      <c r="Q5815" s="16"/>
    </row>
    <row r="5816" spans="4:17" x14ac:dyDescent="0.25">
      <c r="D5816" s="16"/>
      <c r="Q5816" s="16"/>
    </row>
    <row r="5819" spans="4:17" x14ac:dyDescent="0.25">
      <c r="D5819" s="16"/>
      <c r="Q5819" s="16"/>
    </row>
    <row r="5820" spans="4:17" x14ac:dyDescent="0.25">
      <c r="D5820" s="16"/>
      <c r="Q5820" s="16"/>
    </row>
    <row r="5823" spans="4:17" x14ac:dyDescent="0.25">
      <c r="D5823" s="16"/>
      <c r="Q5823" s="16"/>
    </row>
    <row r="5824" spans="4:17" x14ac:dyDescent="0.25">
      <c r="D5824" s="16"/>
      <c r="Q5824" s="16"/>
    </row>
    <row r="5827" spans="4:17" x14ac:dyDescent="0.25">
      <c r="D5827" s="16"/>
      <c r="Q5827" s="16"/>
    </row>
    <row r="5828" spans="4:17" x14ac:dyDescent="0.25">
      <c r="D5828" s="16"/>
      <c r="Q5828" s="16"/>
    </row>
    <row r="5829" spans="4:17" x14ac:dyDescent="0.25">
      <c r="D5829" s="16"/>
      <c r="Q5829" s="16"/>
    </row>
    <row r="5830" spans="4:17" x14ac:dyDescent="0.25">
      <c r="D5830" s="16"/>
      <c r="Q5830" s="16"/>
    </row>
    <row r="5833" spans="4:17" x14ac:dyDescent="0.25">
      <c r="D5833" s="16"/>
      <c r="Q5833" s="16"/>
    </row>
    <row r="5834" spans="4:17" x14ac:dyDescent="0.25">
      <c r="D5834" s="16"/>
      <c r="Q5834" s="16"/>
    </row>
    <row r="5835" spans="4:17" x14ac:dyDescent="0.25">
      <c r="D5835" s="16"/>
      <c r="Q5835" s="16"/>
    </row>
    <row r="5836" spans="4:17" x14ac:dyDescent="0.25">
      <c r="D5836" s="16"/>
      <c r="Q5836" s="16"/>
    </row>
    <row r="5837" spans="4:17" x14ac:dyDescent="0.25">
      <c r="D5837" s="16"/>
      <c r="Q5837" s="16"/>
    </row>
    <row r="5840" spans="4:17" x14ac:dyDescent="0.25">
      <c r="D5840" s="16"/>
      <c r="Q5840" s="16"/>
    </row>
    <row r="5843" spans="4:17" x14ac:dyDescent="0.25">
      <c r="D5843" s="16"/>
      <c r="Q5843" s="16"/>
    </row>
    <row r="5844" spans="4:17" x14ac:dyDescent="0.25">
      <c r="D5844" s="16"/>
      <c r="Q5844" s="16"/>
    </row>
    <row r="5845" spans="4:17" x14ac:dyDescent="0.25">
      <c r="D5845" s="16"/>
      <c r="Q5845" s="16"/>
    </row>
    <row r="5846" spans="4:17" x14ac:dyDescent="0.25">
      <c r="D5846" s="16"/>
      <c r="Q5846" s="16"/>
    </row>
    <row r="5847" spans="4:17" x14ac:dyDescent="0.25">
      <c r="D5847" s="16"/>
      <c r="Q5847" s="16"/>
    </row>
    <row r="5850" spans="4:17" x14ac:dyDescent="0.25">
      <c r="D5850" s="16"/>
      <c r="Q5850" s="16"/>
    </row>
    <row r="5851" spans="4:17" x14ac:dyDescent="0.25">
      <c r="D5851" s="16"/>
      <c r="Q5851" s="16"/>
    </row>
    <row r="5854" spans="4:17" x14ac:dyDescent="0.25">
      <c r="D5854" s="16"/>
      <c r="Q5854" s="16"/>
    </row>
    <row r="5857" spans="4:17" x14ac:dyDescent="0.25">
      <c r="D5857" s="16"/>
      <c r="Q5857" s="16"/>
    </row>
    <row r="5858" spans="4:17" x14ac:dyDescent="0.25">
      <c r="D5858" s="16"/>
      <c r="Q5858" s="16"/>
    </row>
    <row r="5861" spans="4:17" x14ac:dyDescent="0.25">
      <c r="D5861" s="16"/>
      <c r="Q5861" s="16"/>
    </row>
    <row r="5862" spans="4:17" x14ac:dyDescent="0.25">
      <c r="D5862" s="16"/>
      <c r="Q5862" s="16"/>
    </row>
    <row r="5865" spans="4:17" x14ac:dyDescent="0.25">
      <c r="D5865" s="16"/>
      <c r="Q5865" s="16"/>
    </row>
    <row r="5866" spans="4:17" x14ac:dyDescent="0.25">
      <c r="D5866" s="16"/>
      <c r="Q5866" s="16"/>
    </row>
    <row r="5869" spans="4:17" x14ac:dyDescent="0.25">
      <c r="D5869" s="16"/>
      <c r="Q5869" s="16"/>
    </row>
    <row r="5872" spans="4:17" x14ac:dyDescent="0.25">
      <c r="D5872" s="16"/>
      <c r="Q5872" s="16"/>
    </row>
    <row r="5875" spans="4:17" x14ac:dyDescent="0.25">
      <c r="D5875" s="16"/>
      <c r="Q5875" s="16"/>
    </row>
    <row r="5878" spans="4:17" x14ac:dyDescent="0.25">
      <c r="D5878" s="16"/>
      <c r="Q5878" s="16"/>
    </row>
    <row r="5881" spans="4:17" x14ac:dyDescent="0.25">
      <c r="D5881" s="16"/>
      <c r="Q5881" s="16"/>
    </row>
    <row r="5884" spans="4:17" x14ac:dyDescent="0.25">
      <c r="D5884" s="16"/>
      <c r="Q5884" s="16"/>
    </row>
    <row r="5887" spans="4:17" x14ac:dyDescent="0.25">
      <c r="D5887" s="16"/>
      <c r="Q5887" s="16"/>
    </row>
    <row r="5890" spans="4:17" x14ac:dyDescent="0.25">
      <c r="D5890" s="16"/>
      <c r="Q5890" s="16"/>
    </row>
    <row r="5891" spans="4:17" x14ac:dyDescent="0.25">
      <c r="D5891" s="16"/>
      <c r="Q5891" s="16"/>
    </row>
    <row r="5892" spans="4:17" x14ac:dyDescent="0.25">
      <c r="D5892" s="16"/>
      <c r="Q5892" s="16"/>
    </row>
    <row r="5895" spans="4:17" x14ac:dyDescent="0.25">
      <c r="D5895" s="16"/>
      <c r="Q5895" s="16"/>
    </row>
    <row r="5896" spans="4:17" x14ac:dyDescent="0.25">
      <c r="D5896" s="16"/>
      <c r="Q5896" s="16"/>
    </row>
    <row r="5899" spans="4:17" x14ac:dyDescent="0.25">
      <c r="D5899" s="16"/>
      <c r="Q5899" s="16"/>
    </row>
    <row r="5902" spans="4:17" x14ac:dyDescent="0.25">
      <c r="D5902" s="16"/>
      <c r="Q5902" s="16"/>
    </row>
    <row r="5905" spans="4:17" x14ac:dyDescent="0.25">
      <c r="D5905" s="16"/>
      <c r="Q5905" s="16"/>
    </row>
    <row r="5908" spans="4:17" x14ac:dyDescent="0.25">
      <c r="D5908" s="16"/>
      <c r="Q5908" s="16"/>
    </row>
    <row r="5911" spans="4:17" x14ac:dyDescent="0.25">
      <c r="D5911" s="16"/>
      <c r="Q5911" s="16"/>
    </row>
    <row r="5914" spans="4:17" x14ac:dyDescent="0.25">
      <c r="D5914" s="16"/>
      <c r="Q5914" s="16"/>
    </row>
    <row r="5917" spans="4:17" x14ac:dyDescent="0.25">
      <c r="D5917" s="16"/>
      <c r="Q5917" s="16"/>
    </row>
    <row r="5920" spans="4:17" x14ac:dyDescent="0.25">
      <c r="D5920" s="16"/>
      <c r="Q5920" s="16"/>
    </row>
    <row r="5923" spans="4:17" x14ac:dyDescent="0.25">
      <c r="D5923" s="16"/>
      <c r="Q5923" s="16"/>
    </row>
    <row r="5926" spans="4:17" x14ac:dyDescent="0.25">
      <c r="D5926" s="16"/>
      <c r="Q5926" s="16"/>
    </row>
    <row r="5929" spans="4:17" x14ac:dyDescent="0.25">
      <c r="D5929" s="16"/>
      <c r="Q5929" s="16"/>
    </row>
    <row r="5932" spans="4:17" x14ac:dyDescent="0.25">
      <c r="D5932" s="16"/>
      <c r="Q5932" s="16"/>
    </row>
    <row r="5935" spans="4:17" x14ac:dyDescent="0.25">
      <c r="D5935" s="16"/>
      <c r="Q5935" s="16"/>
    </row>
    <row r="5938" spans="4:17" x14ac:dyDescent="0.25">
      <c r="D5938" s="16"/>
      <c r="Q5938" s="16"/>
    </row>
    <row r="5941" spans="4:17" x14ac:dyDescent="0.25">
      <c r="D5941" s="16"/>
      <c r="Q5941" s="16"/>
    </row>
    <row r="5944" spans="4:17" x14ac:dyDescent="0.25">
      <c r="D5944" s="16"/>
      <c r="Q5944" s="16"/>
    </row>
    <row r="5947" spans="4:17" x14ac:dyDescent="0.25">
      <c r="D5947" s="16"/>
      <c r="Q5947" s="16"/>
    </row>
    <row r="5948" spans="4:17" x14ac:dyDescent="0.25">
      <c r="D5948" s="16"/>
      <c r="Q5948" s="16"/>
    </row>
    <row r="5951" spans="4:17" x14ac:dyDescent="0.25">
      <c r="D5951" s="16"/>
      <c r="Q5951" s="16"/>
    </row>
    <row r="5952" spans="4:17" x14ac:dyDescent="0.25">
      <c r="D5952" s="16"/>
      <c r="Q5952" s="16"/>
    </row>
    <row r="5953" spans="4:17" x14ac:dyDescent="0.25">
      <c r="D5953" s="16"/>
      <c r="Q5953" s="16"/>
    </row>
    <row r="5954" spans="4:17" x14ac:dyDescent="0.25">
      <c r="D5954" s="16"/>
      <c r="Q5954" s="16"/>
    </row>
    <row r="5955" spans="4:17" x14ac:dyDescent="0.25">
      <c r="D5955" s="16"/>
      <c r="Q5955" s="16"/>
    </row>
    <row r="5956" spans="4:17" x14ac:dyDescent="0.25">
      <c r="D5956" s="16"/>
      <c r="Q5956" s="16"/>
    </row>
    <row r="5957" spans="4:17" x14ac:dyDescent="0.25">
      <c r="D5957" s="16"/>
      <c r="Q5957" s="16"/>
    </row>
    <row r="5958" spans="4:17" x14ac:dyDescent="0.25">
      <c r="D5958" s="16"/>
      <c r="Q5958" s="16"/>
    </row>
    <row r="5961" spans="4:17" x14ac:dyDescent="0.25">
      <c r="D5961" s="16"/>
      <c r="Q5961" s="16"/>
    </row>
    <row r="5964" spans="4:17" x14ac:dyDescent="0.25">
      <c r="D5964" s="16"/>
      <c r="Q5964" s="16"/>
    </row>
    <row r="5965" spans="4:17" x14ac:dyDescent="0.25">
      <c r="D5965" s="16"/>
      <c r="Q5965" s="16"/>
    </row>
    <row r="5966" spans="4:17" x14ac:dyDescent="0.25">
      <c r="D5966" s="16"/>
      <c r="Q5966" s="16"/>
    </row>
    <row r="5967" spans="4:17" x14ac:dyDescent="0.25">
      <c r="D5967" s="16"/>
      <c r="Q5967" s="16"/>
    </row>
    <row r="5968" spans="4:17" x14ac:dyDescent="0.25">
      <c r="D5968" s="16"/>
      <c r="Q5968" s="16"/>
    </row>
    <row r="5969" spans="4:17" x14ac:dyDescent="0.25">
      <c r="D5969" s="16"/>
      <c r="Q5969" s="16"/>
    </row>
    <row r="5970" spans="4:17" x14ac:dyDescent="0.25">
      <c r="D5970" s="16"/>
      <c r="Q5970" s="16"/>
    </row>
    <row r="5973" spans="4:17" x14ac:dyDescent="0.25">
      <c r="D5973" s="16"/>
      <c r="Q5973" s="16"/>
    </row>
    <row r="5976" spans="4:17" x14ac:dyDescent="0.25">
      <c r="D5976" s="16"/>
      <c r="Q5976" s="16"/>
    </row>
    <row r="5979" spans="4:17" x14ac:dyDescent="0.25">
      <c r="D5979" s="16"/>
      <c r="Q5979" s="16"/>
    </row>
    <row r="5982" spans="4:17" x14ac:dyDescent="0.25">
      <c r="D5982" s="16"/>
      <c r="Q5982" s="16"/>
    </row>
    <row r="5985" spans="4:17" x14ac:dyDescent="0.25">
      <c r="D5985" s="16"/>
      <c r="Q5985" s="16"/>
    </row>
    <row r="5988" spans="4:17" x14ac:dyDescent="0.25">
      <c r="D5988" s="16"/>
      <c r="Q5988" s="16"/>
    </row>
    <row r="5991" spans="4:17" x14ac:dyDescent="0.25">
      <c r="D5991" s="16"/>
      <c r="Q5991" s="16"/>
    </row>
    <row r="5994" spans="4:17" x14ac:dyDescent="0.25">
      <c r="D5994" s="16"/>
      <c r="Q5994" s="16"/>
    </row>
    <row r="5997" spans="4:17" x14ac:dyDescent="0.25">
      <c r="D5997" s="16"/>
      <c r="Q5997" s="16"/>
    </row>
    <row r="6000" spans="4:17" x14ac:dyDescent="0.25">
      <c r="D6000" s="16"/>
      <c r="Q6000" s="16"/>
    </row>
    <row r="6003" spans="4:17" x14ac:dyDescent="0.25">
      <c r="D6003" s="16"/>
      <c r="Q6003" s="16"/>
    </row>
    <row r="6006" spans="4:17" x14ac:dyDescent="0.25">
      <c r="D6006" s="16"/>
      <c r="Q6006" s="16"/>
    </row>
    <row r="6009" spans="4:17" x14ac:dyDescent="0.25">
      <c r="D6009" s="16"/>
      <c r="Q6009" s="16"/>
    </row>
    <row r="6012" spans="4:17" x14ac:dyDescent="0.25">
      <c r="D6012" s="16"/>
      <c r="Q6012" s="16"/>
    </row>
    <row r="6015" spans="4:17" x14ac:dyDescent="0.25">
      <c r="D6015" s="16"/>
      <c r="Q6015" s="16"/>
    </row>
    <row r="6018" spans="4:17" x14ac:dyDescent="0.25">
      <c r="D6018" s="16"/>
      <c r="Q6018" s="16"/>
    </row>
    <row r="6019" spans="4:17" x14ac:dyDescent="0.25">
      <c r="D6019" s="16"/>
      <c r="Q6019" s="16"/>
    </row>
    <row r="6022" spans="4:17" x14ac:dyDescent="0.25">
      <c r="D6022" s="16"/>
      <c r="Q6022" s="16"/>
    </row>
    <row r="6025" spans="4:17" x14ac:dyDescent="0.25">
      <c r="D6025" s="16"/>
      <c r="Q6025" s="16"/>
    </row>
    <row r="6028" spans="4:17" x14ac:dyDescent="0.25">
      <c r="D6028" s="16"/>
      <c r="Q6028" s="16"/>
    </row>
    <row r="6031" spans="4:17" x14ac:dyDescent="0.25">
      <c r="D6031" s="16"/>
      <c r="Q6031" s="16"/>
    </row>
    <row r="6034" spans="4:17" x14ac:dyDescent="0.25">
      <c r="D6034" s="16"/>
      <c r="Q6034" s="16"/>
    </row>
    <row r="6037" spans="4:17" x14ac:dyDescent="0.25">
      <c r="D6037" s="16"/>
      <c r="Q6037" s="16"/>
    </row>
    <row r="6040" spans="4:17" x14ac:dyDescent="0.25">
      <c r="D6040" s="16"/>
      <c r="Q6040" s="16"/>
    </row>
    <row r="6043" spans="4:17" x14ac:dyDescent="0.25">
      <c r="D6043" s="16"/>
      <c r="Q6043" s="16"/>
    </row>
    <row r="6046" spans="4:17" x14ac:dyDescent="0.25">
      <c r="D6046" s="16"/>
      <c r="Q6046" s="16"/>
    </row>
    <row r="6049" spans="4:17" x14ac:dyDescent="0.25">
      <c r="D6049" s="16"/>
      <c r="Q6049" s="16"/>
    </row>
    <row r="6050" spans="4:17" x14ac:dyDescent="0.25">
      <c r="D6050" s="16"/>
      <c r="Q6050" s="16"/>
    </row>
    <row r="6053" spans="4:17" x14ac:dyDescent="0.25">
      <c r="D6053" s="16"/>
      <c r="Q6053" s="16"/>
    </row>
    <row r="6056" spans="4:17" x14ac:dyDescent="0.25">
      <c r="D6056" s="16"/>
      <c r="Q6056" s="16"/>
    </row>
    <row r="6059" spans="4:17" x14ac:dyDescent="0.25">
      <c r="D6059" s="16"/>
      <c r="Q6059" s="16"/>
    </row>
    <row r="6062" spans="4:17" x14ac:dyDescent="0.25">
      <c r="D6062" s="16"/>
      <c r="Q6062" s="16"/>
    </row>
    <row r="6065" spans="4:17" x14ac:dyDescent="0.25">
      <c r="D6065" s="16"/>
      <c r="Q6065" s="16"/>
    </row>
    <row r="6068" spans="4:17" x14ac:dyDescent="0.25">
      <c r="D6068" s="16"/>
      <c r="Q6068" s="16"/>
    </row>
    <row r="6071" spans="4:17" x14ac:dyDescent="0.25">
      <c r="D6071" s="16"/>
      <c r="Q6071" s="16"/>
    </row>
    <row r="6074" spans="4:17" x14ac:dyDescent="0.25">
      <c r="D6074" s="16"/>
      <c r="Q6074" s="16"/>
    </row>
    <row r="6077" spans="4:17" x14ac:dyDescent="0.25">
      <c r="D6077" s="16"/>
      <c r="Q6077" s="16"/>
    </row>
    <row r="6080" spans="4:17" x14ac:dyDescent="0.25">
      <c r="D6080" s="16"/>
      <c r="Q6080" s="16"/>
    </row>
    <row r="6083" spans="4:17" x14ac:dyDescent="0.25">
      <c r="D6083" s="16"/>
      <c r="Q6083" s="16"/>
    </row>
    <row r="6086" spans="4:17" x14ac:dyDescent="0.25">
      <c r="D6086" s="16"/>
      <c r="Q6086" s="16"/>
    </row>
    <row r="6089" spans="4:17" x14ac:dyDescent="0.25">
      <c r="D6089" s="16"/>
      <c r="Q6089" s="16"/>
    </row>
    <row r="6092" spans="4:17" x14ac:dyDescent="0.25">
      <c r="D6092" s="16"/>
      <c r="Q6092" s="16"/>
    </row>
    <row r="6095" spans="4:17" x14ac:dyDescent="0.25">
      <c r="D6095" s="16"/>
      <c r="Q6095" s="16"/>
    </row>
    <row r="6098" spans="4:17" x14ac:dyDescent="0.25">
      <c r="D6098" s="16"/>
      <c r="Q6098" s="16"/>
    </row>
    <row r="6099" spans="4:17" x14ac:dyDescent="0.25">
      <c r="D6099" s="16"/>
      <c r="Q6099" s="16"/>
    </row>
    <row r="6102" spans="4:17" x14ac:dyDescent="0.25">
      <c r="D6102" s="16"/>
      <c r="Q6102" s="16"/>
    </row>
    <row r="6105" spans="4:17" x14ac:dyDescent="0.25">
      <c r="D6105" s="16"/>
      <c r="Q6105" s="16"/>
    </row>
    <row r="6108" spans="4:17" x14ac:dyDescent="0.25">
      <c r="D6108" s="16"/>
      <c r="Q6108" s="16"/>
    </row>
    <row r="6111" spans="4:17" x14ac:dyDescent="0.25">
      <c r="D6111" s="16"/>
      <c r="Q6111" s="16"/>
    </row>
    <row r="6112" spans="4:17" x14ac:dyDescent="0.25">
      <c r="D6112" s="16"/>
      <c r="Q6112" s="16"/>
    </row>
    <row r="6115" spans="4:17" x14ac:dyDescent="0.25">
      <c r="D6115" s="16"/>
      <c r="Q6115" s="16"/>
    </row>
    <row r="6118" spans="4:17" x14ac:dyDescent="0.25">
      <c r="D6118" s="16"/>
      <c r="Q6118" s="16"/>
    </row>
    <row r="6121" spans="4:17" x14ac:dyDescent="0.25">
      <c r="D6121" s="16"/>
      <c r="Q6121" s="16"/>
    </row>
    <row r="6124" spans="4:17" x14ac:dyDescent="0.25">
      <c r="D6124" s="16"/>
      <c r="Q6124" s="16"/>
    </row>
    <row r="6127" spans="4:17" x14ac:dyDescent="0.25">
      <c r="D6127" s="16"/>
      <c r="Q6127" s="16"/>
    </row>
    <row r="6130" spans="4:17" x14ac:dyDescent="0.25">
      <c r="D6130" s="16"/>
      <c r="Q6130" s="16"/>
    </row>
    <row r="6131" spans="4:17" x14ac:dyDescent="0.25">
      <c r="D6131" s="16"/>
      <c r="Q6131" s="16"/>
    </row>
    <row r="6134" spans="4:17" x14ac:dyDescent="0.25">
      <c r="D6134" s="16"/>
      <c r="Q6134" s="16"/>
    </row>
    <row r="6137" spans="4:17" x14ac:dyDescent="0.25">
      <c r="D6137" s="16"/>
      <c r="Q6137" s="16"/>
    </row>
    <row r="6138" spans="4:17" x14ac:dyDescent="0.25">
      <c r="D6138" s="16"/>
      <c r="Q6138" s="16"/>
    </row>
    <row r="6141" spans="4:17" x14ac:dyDescent="0.25">
      <c r="D6141" s="16"/>
      <c r="Q6141" s="16"/>
    </row>
    <row r="6142" spans="4:17" x14ac:dyDescent="0.25">
      <c r="D6142" s="16"/>
      <c r="Q6142" s="16"/>
    </row>
    <row r="6145" spans="4:17" x14ac:dyDescent="0.25">
      <c r="D6145" s="16"/>
      <c r="Q6145" s="16"/>
    </row>
    <row r="6148" spans="4:17" x14ac:dyDescent="0.25">
      <c r="D6148" s="16"/>
      <c r="Q6148" s="16"/>
    </row>
    <row r="6151" spans="4:17" x14ac:dyDescent="0.25">
      <c r="D6151" s="16"/>
      <c r="Q6151" s="16"/>
    </row>
    <row r="6154" spans="4:17" x14ac:dyDescent="0.25">
      <c r="D6154" s="16"/>
      <c r="Q6154" s="16"/>
    </row>
    <row r="6157" spans="4:17" x14ac:dyDescent="0.25">
      <c r="D6157" s="16"/>
      <c r="Q6157" s="16"/>
    </row>
    <row r="6160" spans="4:17" x14ac:dyDescent="0.25">
      <c r="D6160" s="16"/>
      <c r="Q6160" s="16"/>
    </row>
    <row r="6161" spans="4:17" x14ac:dyDescent="0.25">
      <c r="D6161" s="16"/>
      <c r="Q6161" s="16"/>
    </row>
    <row r="6162" spans="4:17" x14ac:dyDescent="0.25">
      <c r="D6162" s="16"/>
      <c r="Q6162" s="16"/>
    </row>
    <row r="6163" spans="4:17" x14ac:dyDescent="0.25">
      <c r="D6163" s="16"/>
      <c r="Q6163" s="16"/>
    </row>
    <row r="6164" spans="4:17" x14ac:dyDescent="0.25">
      <c r="D6164" s="16"/>
      <c r="Q6164" s="16"/>
    </row>
    <row r="6167" spans="4:17" x14ac:dyDescent="0.25">
      <c r="D6167" s="16"/>
      <c r="Q6167" s="16"/>
    </row>
    <row r="6168" spans="4:17" x14ac:dyDescent="0.25">
      <c r="D6168" s="16"/>
      <c r="Q6168" s="16"/>
    </row>
    <row r="6171" spans="4:17" x14ac:dyDescent="0.25">
      <c r="D6171" s="16"/>
      <c r="Q6171" s="16"/>
    </row>
    <row r="6174" spans="4:17" x14ac:dyDescent="0.25">
      <c r="D6174" s="16"/>
      <c r="Q6174" s="16"/>
    </row>
    <row r="6175" spans="4:17" x14ac:dyDescent="0.25">
      <c r="D6175" s="16"/>
      <c r="Q6175" s="16"/>
    </row>
    <row r="6176" spans="4:17" x14ac:dyDescent="0.25">
      <c r="D6176" s="16"/>
      <c r="Q6176" s="16"/>
    </row>
    <row r="6177" spans="4:17" x14ac:dyDescent="0.25">
      <c r="D6177" s="16"/>
      <c r="Q6177" s="16"/>
    </row>
    <row r="6178" spans="4:17" x14ac:dyDescent="0.25">
      <c r="D6178" s="16"/>
      <c r="Q6178" s="16"/>
    </row>
    <row r="6181" spans="4:17" x14ac:dyDescent="0.25">
      <c r="D6181" s="16"/>
      <c r="Q6181" s="16"/>
    </row>
    <row r="6182" spans="4:17" x14ac:dyDescent="0.25">
      <c r="D6182" s="16"/>
      <c r="Q6182" s="16"/>
    </row>
    <row r="6183" spans="4:17" x14ac:dyDescent="0.25">
      <c r="D6183" s="16"/>
      <c r="Q6183" s="16"/>
    </row>
    <row r="6184" spans="4:17" x14ac:dyDescent="0.25">
      <c r="D6184" s="16"/>
      <c r="Q6184" s="16"/>
    </row>
    <row r="6185" spans="4:17" x14ac:dyDescent="0.25">
      <c r="D6185" s="16"/>
      <c r="Q6185" s="16"/>
    </row>
    <row r="6186" spans="4:17" x14ac:dyDescent="0.25">
      <c r="D6186" s="16"/>
      <c r="Q6186" s="16"/>
    </row>
    <row r="6187" spans="4:17" x14ac:dyDescent="0.25">
      <c r="D6187" s="16"/>
      <c r="Q6187" s="16"/>
    </row>
    <row r="6188" spans="4:17" x14ac:dyDescent="0.25">
      <c r="D6188" s="16"/>
      <c r="Q6188" s="16"/>
    </row>
    <row r="6191" spans="4:17" x14ac:dyDescent="0.25">
      <c r="D6191" s="16"/>
      <c r="Q6191" s="16"/>
    </row>
    <row r="6194" spans="4:17" x14ac:dyDescent="0.25">
      <c r="D6194" s="16"/>
      <c r="Q6194" s="16"/>
    </row>
    <row r="6195" spans="4:17" x14ac:dyDescent="0.25">
      <c r="D6195" s="16"/>
      <c r="Q6195" s="16"/>
    </row>
    <row r="6196" spans="4:17" x14ac:dyDescent="0.25">
      <c r="D6196" s="16"/>
      <c r="Q6196" s="16"/>
    </row>
    <row r="6197" spans="4:17" x14ac:dyDescent="0.25">
      <c r="D6197" s="16"/>
      <c r="Q6197" s="16"/>
    </row>
    <row r="6198" spans="4:17" x14ac:dyDescent="0.25">
      <c r="D6198" s="16"/>
      <c r="Q6198" s="16"/>
    </row>
    <row r="6199" spans="4:17" x14ac:dyDescent="0.25">
      <c r="D6199" s="16"/>
      <c r="Q6199" s="16"/>
    </row>
    <row r="6200" spans="4:17" x14ac:dyDescent="0.25">
      <c r="D6200" s="16"/>
      <c r="Q6200" s="16"/>
    </row>
    <row r="6201" spans="4:17" x14ac:dyDescent="0.25">
      <c r="D6201" s="16"/>
      <c r="Q6201" s="16"/>
    </row>
    <row r="6204" spans="4:17" x14ac:dyDescent="0.25">
      <c r="D6204" s="16"/>
      <c r="Q6204" s="16"/>
    </row>
    <row r="6205" spans="4:17" x14ac:dyDescent="0.25">
      <c r="D6205" s="16"/>
      <c r="Q6205" s="16"/>
    </row>
    <row r="6206" spans="4:17" x14ac:dyDescent="0.25">
      <c r="D6206" s="16"/>
      <c r="Q6206" s="16"/>
    </row>
    <row r="6209" spans="4:17" x14ac:dyDescent="0.25">
      <c r="D6209" s="16"/>
      <c r="Q6209" s="16"/>
    </row>
    <row r="6210" spans="4:17" x14ac:dyDescent="0.25">
      <c r="D6210" s="16"/>
      <c r="Q6210" s="16"/>
    </row>
    <row r="6211" spans="4:17" x14ac:dyDescent="0.25">
      <c r="D6211" s="16"/>
      <c r="Q6211" s="16"/>
    </row>
    <row r="6214" spans="4:17" x14ac:dyDescent="0.25">
      <c r="D6214" s="16"/>
      <c r="Q6214" s="16"/>
    </row>
    <row r="6217" spans="4:17" x14ac:dyDescent="0.25">
      <c r="D6217" s="16"/>
      <c r="Q6217" s="16"/>
    </row>
    <row r="6218" spans="4:17" x14ac:dyDescent="0.25">
      <c r="D6218" s="16"/>
      <c r="Q6218" s="16"/>
    </row>
    <row r="6219" spans="4:17" x14ac:dyDescent="0.25">
      <c r="D6219" s="16"/>
      <c r="Q6219" s="16"/>
    </row>
    <row r="6222" spans="4:17" x14ac:dyDescent="0.25">
      <c r="D6222" s="16"/>
      <c r="Q6222" s="16"/>
    </row>
    <row r="6223" spans="4:17" x14ac:dyDescent="0.25">
      <c r="D6223" s="16"/>
      <c r="Q6223" s="16"/>
    </row>
    <row r="6224" spans="4:17" x14ac:dyDescent="0.25">
      <c r="D6224" s="16"/>
      <c r="Q6224" s="16"/>
    </row>
    <row r="6227" spans="4:17" x14ac:dyDescent="0.25">
      <c r="D6227" s="16"/>
      <c r="Q6227" s="16"/>
    </row>
    <row r="6228" spans="4:17" x14ac:dyDescent="0.25">
      <c r="D6228" s="16"/>
      <c r="Q6228" s="16"/>
    </row>
    <row r="6229" spans="4:17" x14ac:dyDescent="0.25">
      <c r="D6229" s="16"/>
      <c r="Q6229" s="16"/>
    </row>
    <row r="6230" spans="4:17" x14ac:dyDescent="0.25">
      <c r="D6230" s="16"/>
      <c r="Q6230" s="16"/>
    </row>
    <row r="6233" spans="4:17" x14ac:dyDescent="0.25">
      <c r="D6233" s="16"/>
      <c r="Q6233" s="16"/>
    </row>
    <row r="6234" spans="4:17" x14ac:dyDescent="0.25">
      <c r="D6234" s="16"/>
      <c r="Q6234" s="16"/>
    </row>
    <row r="6235" spans="4:17" x14ac:dyDescent="0.25">
      <c r="D6235" s="16"/>
      <c r="Q6235" s="16"/>
    </row>
    <row r="6236" spans="4:17" x14ac:dyDescent="0.25">
      <c r="D6236" s="16"/>
      <c r="Q6236" s="16"/>
    </row>
    <row r="6237" spans="4:17" x14ac:dyDescent="0.25">
      <c r="D6237" s="16"/>
      <c r="Q6237" s="16"/>
    </row>
    <row r="6240" spans="4:17" x14ac:dyDescent="0.25">
      <c r="D6240" s="16"/>
      <c r="Q6240" s="16"/>
    </row>
    <row r="6241" spans="4:17" x14ac:dyDescent="0.25">
      <c r="D6241" s="16"/>
      <c r="Q6241" s="16"/>
    </row>
    <row r="6242" spans="4:17" x14ac:dyDescent="0.25">
      <c r="D6242" s="16"/>
      <c r="Q6242" s="16"/>
    </row>
    <row r="6243" spans="4:17" x14ac:dyDescent="0.25">
      <c r="D6243" s="16"/>
      <c r="Q6243" s="16"/>
    </row>
    <row r="6246" spans="4:17" x14ac:dyDescent="0.25">
      <c r="D6246" s="16"/>
      <c r="Q6246" s="16"/>
    </row>
    <row r="6247" spans="4:17" x14ac:dyDescent="0.25">
      <c r="D6247" s="16"/>
      <c r="Q6247" s="16"/>
    </row>
    <row r="6248" spans="4:17" x14ac:dyDescent="0.25">
      <c r="D6248" s="16"/>
      <c r="Q6248" s="16"/>
    </row>
    <row r="6249" spans="4:17" x14ac:dyDescent="0.25">
      <c r="D6249" s="16"/>
      <c r="Q6249" s="16"/>
    </row>
    <row r="6252" spans="4:17" x14ac:dyDescent="0.25">
      <c r="D6252" s="16"/>
      <c r="Q6252" s="16"/>
    </row>
    <row r="6253" spans="4:17" x14ac:dyDescent="0.25">
      <c r="D6253" s="16"/>
      <c r="Q6253" s="16"/>
    </row>
    <row r="6254" spans="4:17" x14ac:dyDescent="0.25">
      <c r="D6254" s="16"/>
      <c r="Q6254" s="16"/>
    </row>
    <row r="6257" spans="4:17" x14ac:dyDescent="0.25">
      <c r="D6257" s="16"/>
      <c r="Q6257" s="16"/>
    </row>
    <row r="6260" spans="4:17" x14ac:dyDescent="0.25">
      <c r="D6260" s="16"/>
      <c r="Q6260" s="16"/>
    </row>
    <row r="6261" spans="4:17" x14ac:dyDescent="0.25">
      <c r="D6261" s="16"/>
      <c r="Q6261" s="16"/>
    </row>
    <row r="6262" spans="4:17" x14ac:dyDescent="0.25">
      <c r="D6262" s="16"/>
      <c r="Q6262" s="16"/>
    </row>
    <row r="6263" spans="4:17" x14ac:dyDescent="0.25">
      <c r="D6263" s="16"/>
      <c r="Q6263" s="16"/>
    </row>
    <row r="6266" spans="4:17" x14ac:dyDescent="0.25">
      <c r="D6266" s="16"/>
      <c r="Q6266" s="16"/>
    </row>
    <row r="6267" spans="4:17" x14ac:dyDescent="0.25">
      <c r="D6267" s="16"/>
      <c r="Q6267" s="16"/>
    </row>
    <row r="6268" spans="4:17" x14ac:dyDescent="0.25">
      <c r="D6268" s="16"/>
      <c r="Q6268" s="16"/>
    </row>
    <row r="6271" spans="4:17" x14ac:dyDescent="0.25">
      <c r="D6271" s="16"/>
      <c r="Q6271" s="16"/>
    </row>
    <row r="6272" spans="4:17" x14ac:dyDescent="0.25">
      <c r="D6272" s="16"/>
      <c r="Q6272" s="16"/>
    </row>
    <row r="6275" spans="4:17" x14ac:dyDescent="0.25">
      <c r="D6275" s="16"/>
      <c r="Q6275" s="16"/>
    </row>
    <row r="6276" spans="4:17" x14ac:dyDescent="0.25">
      <c r="D6276" s="16"/>
      <c r="Q6276" s="16"/>
    </row>
    <row r="6277" spans="4:17" x14ac:dyDescent="0.25">
      <c r="D6277" s="16"/>
      <c r="Q6277" s="16"/>
    </row>
    <row r="6280" spans="4:17" x14ac:dyDescent="0.25">
      <c r="D6280" s="16"/>
      <c r="Q6280" s="16"/>
    </row>
    <row r="6281" spans="4:17" x14ac:dyDescent="0.25">
      <c r="D6281" s="16"/>
      <c r="Q6281" s="16"/>
    </row>
    <row r="6282" spans="4:17" x14ac:dyDescent="0.25">
      <c r="D6282" s="16"/>
      <c r="Q6282" s="16"/>
    </row>
    <row r="6285" spans="4:17" x14ac:dyDescent="0.25">
      <c r="D6285" s="16"/>
      <c r="Q6285" s="16"/>
    </row>
    <row r="6288" spans="4:17" x14ac:dyDescent="0.25">
      <c r="D6288" s="16"/>
      <c r="Q6288" s="16"/>
    </row>
    <row r="6289" spans="4:17" x14ac:dyDescent="0.25">
      <c r="D6289" s="16"/>
      <c r="Q6289" s="16"/>
    </row>
    <row r="6292" spans="4:17" x14ac:dyDescent="0.25">
      <c r="D6292" s="16"/>
      <c r="Q6292" s="16"/>
    </row>
    <row r="6295" spans="4:17" x14ac:dyDescent="0.25">
      <c r="D6295" s="16"/>
      <c r="Q6295" s="16"/>
    </row>
    <row r="6296" spans="4:17" x14ac:dyDescent="0.25">
      <c r="D6296" s="16"/>
      <c r="Q6296" s="16"/>
    </row>
    <row r="6297" spans="4:17" x14ac:dyDescent="0.25">
      <c r="D6297" s="16"/>
      <c r="Q6297" s="16"/>
    </row>
    <row r="6298" spans="4:17" x14ac:dyDescent="0.25">
      <c r="D6298" s="16"/>
      <c r="Q6298" s="16"/>
    </row>
    <row r="6299" spans="4:17" x14ac:dyDescent="0.25">
      <c r="D6299" s="16"/>
      <c r="Q6299" s="16"/>
    </row>
    <row r="6300" spans="4:17" x14ac:dyDescent="0.25">
      <c r="D6300" s="16"/>
      <c r="Q6300" s="16"/>
    </row>
    <row r="6301" spans="4:17" x14ac:dyDescent="0.25">
      <c r="D6301" s="16"/>
      <c r="Q6301" s="16"/>
    </row>
    <row r="6304" spans="4:17" x14ac:dyDescent="0.25">
      <c r="D6304" s="16"/>
      <c r="Q6304" s="16"/>
    </row>
    <row r="6305" spans="4:17" x14ac:dyDescent="0.25">
      <c r="D6305" s="16"/>
      <c r="Q6305" s="16"/>
    </row>
    <row r="6308" spans="4:17" x14ac:dyDescent="0.25">
      <c r="D6308" s="16"/>
      <c r="Q6308" s="16"/>
    </row>
    <row r="6311" spans="4:17" x14ac:dyDescent="0.25">
      <c r="D6311" s="16"/>
      <c r="Q6311" s="16"/>
    </row>
    <row r="6314" spans="4:17" x14ac:dyDescent="0.25">
      <c r="D6314" s="16"/>
      <c r="Q6314" s="16"/>
    </row>
    <row r="6317" spans="4:17" x14ac:dyDescent="0.25">
      <c r="D6317" s="16"/>
      <c r="Q6317" s="16"/>
    </row>
    <row r="6320" spans="4:17" x14ac:dyDescent="0.25">
      <c r="D6320" s="16"/>
      <c r="Q6320" s="16"/>
    </row>
    <row r="6323" spans="4:17" x14ac:dyDescent="0.25">
      <c r="D6323" s="16"/>
      <c r="Q6323" s="16"/>
    </row>
    <row r="6326" spans="4:17" x14ac:dyDescent="0.25">
      <c r="D6326" s="16"/>
      <c r="Q6326" s="16"/>
    </row>
    <row r="6329" spans="4:17" x14ac:dyDescent="0.25">
      <c r="D6329" s="16"/>
      <c r="Q6329" s="16"/>
    </row>
    <row r="6332" spans="4:17" x14ac:dyDescent="0.25">
      <c r="D6332" s="16"/>
      <c r="Q6332" s="16"/>
    </row>
    <row r="6335" spans="4:17" x14ac:dyDescent="0.25">
      <c r="D6335" s="16"/>
      <c r="Q6335" s="16"/>
    </row>
    <row r="6338" spans="4:17" x14ac:dyDescent="0.25">
      <c r="D6338" s="16"/>
      <c r="Q6338" s="16"/>
    </row>
    <row r="6341" spans="4:17" x14ac:dyDescent="0.25">
      <c r="D6341" s="16"/>
      <c r="Q6341" s="16"/>
    </row>
    <row r="6344" spans="4:17" x14ac:dyDescent="0.25">
      <c r="D6344" s="16"/>
      <c r="Q6344" s="16"/>
    </row>
    <row r="6347" spans="4:17" x14ac:dyDescent="0.25">
      <c r="D6347" s="16"/>
      <c r="Q6347" s="16"/>
    </row>
    <row r="6350" spans="4:17" x14ac:dyDescent="0.25">
      <c r="D6350" s="16"/>
      <c r="Q6350" s="16"/>
    </row>
    <row r="6351" spans="4:17" x14ac:dyDescent="0.25">
      <c r="D6351" s="16"/>
      <c r="Q6351" s="16"/>
    </row>
    <row r="6352" spans="4:17" x14ac:dyDescent="0.25">
      <c r="D6352" s="16"/>
      <c r="Q6352" s="16"/>
    </row>
    <row r="6355" spans="4:17" x14ac:dyDescent="0.25">
      <c r="D6355" s="16"/>
      <c r="Q6355" s="16"/>
    </row>
    <row r="6358" spans="4:17" x14ac:dyDescent="0.25">
      <c r="D6358" s="16"/>
      <c r="Q6358" s="16"/>
    </row>
    <row r="6359" spans="4:17" x14ac:dyDescent="0.25">
      <c r="D6359" s="16"/>
      <c r="Q6359" s="16"/>
    </row>
    <row r="6362" spans="4:17" x14ac:dyDescent="0.25">
      <c r="D6362" s="16"/>
      <c r="Q6362" s="16"/>
    </row>
    <row r="6365" spans="4:17" x14ac:dyDescent="0.25">
      <c r="D6365" s="16"/>
      <c r="Q6365" s="16"/>
    </row>
    <row r="6366" spans="4:17" x14ac:dyDescent="0.25">
      <c r="D6366" s="16"/>
      <c r="Q6366" s="16"/>
    </row>
    <row r="6369" spans="4:17" x14ac:dyDescent="0.25">
      <c r="D6369" s="16"/>
      <c r="Q6369" s="16"/>
    </row>
    <row r="6370" spans="4:17" x14ac:dyDescent="0.25">
      <c r="D6370" s="16"/>
      <c r="Q6370" s="16"/>
    </row>
    <row r="6373" spans="4:17" x14ac:dyDescent="0.25">
      <c r="D6373" s="16"/>
      <c r="Q6373" s="16"/>
    </row>
    <row r="6376" spans="4:17" x14ac:dyDescent="0.25">
      <c r="D6376" s="16"/>
      <c r="Q6376" s="16"/>
    </row>
    <row r="6379" spans="4:17" x14ac:dyDescent="0.25">
      <c r="D6379" s="16"/>
      <c r="Q6379" s="16"/>
    </row>
    <row r="6382" spans="4:17" x14ac:dyDescent="0.25">
      <c r="D6382" s="16"/>
      <c r="Q6382" s="16"/>
    </row>
    <row r="6385" spans="4:17" x14ac:dyDescent="0.25">
      <c r="D6385" s="16"/>
      <c r="Q6385" s="16"/>
    </row>
    <row r="6386" spans="4:17" x14ac:dyDescent="0.25">
      <c r="D6386" s="16"/>
      <c r="Q6386" s="16"/>
    </row>
    <row r="6387" spans="4:17" x14ac:dyDescent="0.25">
      <c r="D6387" s="16"/>
      <c r="Q6387" s="16"/>
    </row>
    <row r="6390" spans="4:17" x14ac:dyDescent="0.25">
      <c r="D6390" s="16"/>
      <c r="Q6390" s="16"/>
    </row>
    <row r="6391" spans="4:17" x14ac:dyDescent="0.25">
      <c r="D6391" s="16"/>
      <c r="Q6391" s="16"/>
    </row>
    <row r="6392" spans="4:17" x14ac:dyDescent="0.25">
      <c r="D6392" s="16"/>
      <c r="Q6392" s="16"/>
    </row>
    <row r="6393" spans="4:17" x14ac:dyDescent="0.25">
      <c r="D6393" s="16"/>
      <c r="Q6393" s="16"/>
    </row>
    <row r="6396" spans="4:17" x14ac:dyDescent="0.25">
      <c r="D6396" s="16"/>
      <c r="Q6396" s="16"/>
    </row>
    <row r="6397" spans="4:17" x14ac:dyDescent="0.25">
      <c r="D6397" s="16"/>
      <c r="Q6397" s="16"/>
    </row>
    <row r="6398" spans="4:17" x14ac:dyDescent="0.25">
      <c r="D6398" s="16"/>
      <c r="Q6398" s="16"/>
    </row>
    <row r="6399" spans="4:17" x14ac:dyDescent="0.25">
      <c r="D6399" s="16"/>
      <c r="Q6399" s="16"/>
    </row>
    <row r="6400" spans="4:17" x14ac:dyDescent="0.25">
      <c r="D6400" s="16"/>
      <c r="Q6400" s="16"/>
    </row>
    <row r="6403" spans="4:17" x14ac:dyDescent="0.25">
      <c r="D6403" s="16"/>
      <c r="Q6403" s="16"/>
    </row>
    <row r="6404" spans="4:17" x14ac:dyDescent="0.25">
      <c r="D6404" s="16"/>
      <c r="Q6404" s="16"/>
    </row>
    <row r="6405" spans="4:17" x14ac:dyDescent="0.25">
      <c r="D6405" s="16"/>
      <c r="Q6405" s="16"/>
    </row>
    <row r="6406" spans="4:17" x14ac:dyDescent="0.25">
      <c r="D6406" s="16"/>
      <c r="Q6406" s="16"/>
    </row>
    <row r="6409" spans="4:17" x14ac:dyDescent="0.25">
      <c r="D6409" s="16"/>
      <c r="Q6409" s="16"/>
    </row>
    <row r="6412" spans="4:17" x14ac:dyDescent="0.25">
      <c r="D6412" s="16"/>
      <c r="Q6412" s="16"/>
    </row>
    <row r="6413" spans="4:17" x14ac:dyDescent="0.25">
      <c r="D6413" s="16"/>
      <c r="Q6413" s="16"/>
    </row>
    <row r="6414" spans="4:17" x14ac:dyDescent="0.25">
      <c r="D6414" s="16"/>
      <c r="Q6414" s="16"/>
    </row>
    <row r="6415" spans="4:17" x14ac:dyDescent="0.25">
      <c r="D6415" s="16"/>
      <c r="Q6415" s="16"/>
    </row>
    <row r="6418" spans="4:17" x14ac:dyDescent="0.25">
      <c r="D6418" s="16"/>
      <c r="Q6418" s="16"/>
    </row>
    <row r="6419" spans="4:17" x14ac:dyDescent="0.25">
      <c r="D6419" s="16"/>
      <c r="Q6419" s="16"/>
    </row>
    <row r="6422" spans="4:17" x14ac:dyDescent="0.25">
      <c r="D6422" s="16"/>
      <c r="Q6422" s="16"/>
    </row>
    <row r="6423" spans="4:17" x14ac:dyDescent="0.25">
      <c r="D6423" s="16"/>
      <c r="Q6423" s="16"/>
    </row>
    <row r="6426" spans="4:17" x14ac:dyDescent="0.25">
      <c r="D6426" s="16"/>
      <c r="Q6426" s="16"/>
    </row>
    <row r="6429" spans="4:17" x14ac:dyDescent="0.25">
      <c r="D6429" s="16"/>
      <c r="Q6429" s="16"/>
    </row>
    <row r="6430" spans="4:17" x14ac:dyDescent="0.25">
      <c r="D6430" s="16"/>
      <c r="Q6430" s="16"/>
    </row>
    <row r="6433" spans="4:17" x14ac:dyDescent="0.25">
      <c r="D6433" s="16"/>
      <c r="Q6433" s="16"/>
    </row>
    <row r="6436" spans="4:17" x14ac:dyDescent="0.25">
      <c r="D6436" s="16"/>
      <c r="Q6436" s="16"/>
    </row>
    <row r="6437" spans="4:17" x14ac:dyDescent="0.25">
      <c r="D6437" s="16"/>
      <c r="Q6437" s="16"/>
    </row>
    <row r="6440" spans="4:17" x14ac:dyDescent="0.25">
      <c r="D6440" s="16"/>
      <c r="Q6440" s="16"/>
    </row>
    <row r="6441" spans="4:17" x14ac:dyDescent="0.25">
      <c r="D6441" s="16"/>
      <c r="Q6441" s="16"/>
    </row>
    <row r="6442" spans="4:17" x14ac:dyDescent="0.25">
      <c r="D6442" s="16"/>
      <c r="Q6442" s="16"/>
    </row>
    <row r="6445" spans="4:17" x14ac:dyDescent="0.25">
      <c r="D6445" s="16"/>
      <c r="Q6445" s="16"/>
    </row>
    <row r="6446" spans="4:17" x14ac:dyDescent="0.25">
      <c r="D6446" s="16"/>
      <c r="Q6446" s="16"/>
    </row>
    <row r="6447" spans="4:17" x14ac:dyDescent="0.25">
      <c r="D6447" s="16"/>
      <c r="Q6447" s="16"/>
    </row>
    <row r="6448" spans="4:17" x14ac:dyDescent="0.25">
      <c r="D6448" s="16"/>
      <c r="Q6448" s="16"/>
    </row>
    <row r="6451" spans="4:17" x14ac:dyDescent="0.25">
      <c r="D6451" s="16"/>
      <c r="Q6451" s="16"/>
    </row>
    <row r="6452" spans="4:17" x14ac:dyDescent="0.25">
      <c r="D6452" s="16"/>
      <c r="Q6452" s="16"/>
    </row>
    <row r="6453" spans="4:17" x14ac:dyDescent="0.25">
      <c r="D6453" s="16"/>
      <c r="Q6453" s="16"/>
    </row>
    <row r="6454" spans="4:17" x14ac:dyDescent="0.25">
      <c r="D6454" s="16"/>
      <c r="Q6454" s="16"/>
    </row>
    <row r="6455" spans="4:17" x14ac:dyDescent="0.25">
      <c r="D6455" s="16"/>
      <c r="Q6455" s="16"/>
    </row>
    <row r="6458" spans="4:17" x14ac:dyDescent="0.25">
      <c r="D6458" s="16"/>
      <c r="Q6458" s="16"/>
    </row>
    <row r="6459" spans="4:17" x14ac:dyDescent="0.25">
      <c r="D6459" s="16"/>
      <c r="Q6459" s="16"/>
    </row>
    <row r="6460" spans="4:17" x14ac:dyDescent="0.25">
      <c r="D6460" s="16"/>
      <c r="Q6460" s="16"/>
    </row>
    <row r="6463" spans="4:17" x14ac:dyDescent="0.25">
      <c r="D6463" s="16"/>
      <c r="Q6463" s="16"/>
    </row>
    <row r="6464" spans="4:17" x14ac:dyDescent="0.25">
      <c r="D6464" s="16"/>
      <c r="Q6464" s="16"/>
    </row>
    <row r="6465" spans="4:17" x14ac:dyDescent="0.25">
      <c r="D6465" s="16"/>
      <c r="Q6465" s="16"/>
    </row>
    <row r="6466" spans="4:17" x14ac:dyDescent="0.25">
      <c r="D6466" s="16"/>
      <c r="Q6466" s="16"/>
    </row>
    <row r="6469" spans="4:17" x14ac:dyDescent="0.25">
      <c r="D6469" s="16"/>
      <c r="Q6469" s="16"/>
    </row>
    <row r="6470" spans="4:17" x14ac:dyDescent="0.25">
      <c r="D6470" s="16"/>
      <c r="Q6470" s="16"/>
    </row>
    <row r="6473" spans="4:17" x14ac:dyDescent="0.25">
      <c r="D6473" s="16"/>
      <c r="Q6473" s="16"/>
    </row>
    <row r="6476" spans="4:17" x14ac:dyDescent="0.25">
      <c r="D6476" s="16"/>
      <c r="Q6476" s="16"/>
    </row>
    <row r="6479" spans="4:17" x14ac:dyDescent="0.25">
      <c r="D6479" s="16"/>
      <c r="Q6479" s="16"/>
    </row>
    <row r="6480" spans="4:17" x14ac:dyDescent="0.25">
      <c r="D6480" s="16"/>
      <c r="Q6480" s="16"/>
    </row>
    <row r="6483" spans="4:17" x14ac:dyDescent="0.25">
      <c r="D6483" s="16"/>
      <c r="Q6483" s="16"/>
    </row>
    <row r="6486" spans="4:17" x14ac:dyDescent="0.25">
      <c r="D6486" s="16"/>
      <c r="Q6486" s="16"/>
    </row>
    <row r="6489" spans="4:17" x14ac:dyDescent="0.25">
      <c r="D6489" s="16"/>
      <c r="Q6489" s="16"/>
    </row>
    <row r="6492" spans="4:17" x14ac:dyDescent="0.25">
      <c r="D6492" s="16"/>
      <c r="Q6492" s="16"/>
    </row>
    <row r="6495" spans="4:17" x14ac:dyDescent="0.25">
      <c r="D6495" s="16"/>
      <c r="Q6495" s="16"/>
    </row>
    <row r="6498" spans="4:17" x14ac:dyDescent="0.25">
      <c r="D6498" s="16"/>
      <c r="Q6498" s="16"/>
    </row>
    <row r="6501" spans="4:17" x14ac:dyDescent="0.25">
      <c r="D6501" s="16"/>
      <c r="Q6501" s="16"/>
    </row>
    <row r="6502" spans="4:17" x14ac:dyDescent="0.25">
      <c r="D6502" s="16"/>
      <c r="Q6502" s="16"/>
    </row>
    <row r="6503" spans="4:17" x14ac:dyDescent="0.25">
      <c r="D6503" s="16"/>
      <c r="Q6503" s="16"/>
    </row>
    <row r="6504" spans="4:17" x14ac:dyDescent="0.25">
      <c r="D6504" s="16"/>
      <c r="Q6504" s="16"/>
    </row>
    <row r="6507" spans="4:17" x14ac:dyDescent="0.25">
      <c r="D6507" s="16"/>
      <c r="Q6507" s="16"/>
    </row>
    <row r="6508" spans="4:17" x14ac:dyDescent="0.25">
      <c r="D6508" s="16"/>
      <c r="Q6508" s="16"/>
    </row>
    <row r="6509" spans="4:17" x14ac:dyDescent="0.25">
      <c r="D6509" s="16"/>
      <c r="Q6509" s="16"/>
    </row>
    <row r="6510" spans="4:17" x14ac:dyDescent="0.25">
      <c r="D6510" s="16"/>
      <c r="Q6510" s="16"/>
    </row>
    <row r="6513" spans="4:17" x14ac:dyDescent="0.25">
      <c r="D6513" s="16"/>
      <c r="Q6513" s="16"/>
    </row>
    <row r="6514" spans="4:17" x14ac:dyDescent="0.25">
      <c r="D6514" s="16"/>
      <c r="Q6514" s="16"/>
    </row>
    <row r="6515" spans="4:17" x14ac:dyDescent="0.25">
      <c r="D6515" s="16"/>
      <c r="Q6515" s="16"/>
    </row>
    <row r="6518" spans="4:17" x14ac:dyDescent="0.25">
      <c r="D6518" s="16"/>
      <c r="Q6518" s="16"/>
    </row>
    <row r="6519" spans="4:17" x14ac:dyDescent="0.25">
      <c r="D6519" s="16"/>
      <c r="Q6519" s="16"/>
    </row>
    <row r="6520" spans="4:17" x14ac:dyDescent="0.25">
      <c r="D6520" s="16"/>
      <c r="Q6520" s="16"/>
    </row>
    <row r="6521" spans="4:17" x14ac:dyDescent="0.25">
      <c r="D6521" s="16"/>
      <c r="Q6521" s="16"/>
    </row>
    <row r="6522" spans="4:17" x14ac:dyDescent="0.25">
      <c r="D6522" s="16"/>
      <c r="Q6522" s="16"/>
    </row>
    <row r="6523" spans="4:17" x14ac:dyDescent="0.25">
      <c r="D6523" s="16"/>
      <c r="Q6523" s="16"/>
    </row>
    <row r="6524" spans="4:17" x14ac:dyDescent="0.25">
      <c r="D6524" s="16"/>
      <c r="Q6524" s="16"/>
    </row>
    <row r="6527" spans="4:17" x14ac:dyDescent="0.25">
      <c r="D6527" s="16"/>
      <c r="Q6527" s="16"/>
    </row>
    <row r="6528" spans="4:17" x14ac:dyDescent="0.25">
      <c r="D6528" s="16"/>
      <c r="Q6528" s="16"/>
    </row>
    <row r="6529" spans="4:17" x14ac:dyDescent="0.25">
      <c r="D6529" s="16"/>
      <c r="Q6529" s="16"/>
    </row>
    <row r="6530" spans="4:17" x14ac:dyDescent="0.25">
      <c r="D6530" s="16"/>
      <c r="Q6530" s="16"/>
    </row>
    <row r="6533" spans="4:17" x14ac:dyDescent="0.25">
      <c r="D6533" s="16"/>
      <c r="Q6533" s="16"/>
    </row>
    <row r="6534" spans="4:17" x14ac:dyDescent="0.25">
      <c r="D6534" s="16"/>
      <c r="Q6534" s="16"/>
    </row>
    <row r="6537" spans="4:17" x14ac:dyDescent="0.25">
      <c r="D6537" s="16"/>
      <c r="Q6537" s="16"/>
    </row>
    <row r="6540" spans="4:17" x14ac:dyDescent="0.25">
      <c r="D6540" s="16"/>
      <c r="Q6540" s="16"/>
    </row>
    <row r="6541" spans="4:17" x14ac:dyDescent="0.25">
      <c r="D6541" s="16"/>
      <c r="Q6541" s="16"/>
    </row>
    <row r="6542" spans="4:17" x14ac:dyDescent="0.25">
      <c r="D6542" s="16"/>
      <c r="Q6542" s="16"/>
    </row>
    <row r="6543" spans="4:17" x14ac:dyDescent="0.25">
      <c r="D6543" s="16"/>
      <c r="Q6543" s="16"/>
    </row>
    <row r="6546" spans="4:17" x14ac:dyDescent="0.25">
      <c r="D6546" s="16"/>
      <c r="Q6546" s="16"/>
    </row>
    <row r="6547" spans="4:17" x14ac:dyDescent="0.25">
      <c r="D6547" s="16"/>
      <c r="Q6547" s="16"/>
    </row>
    <row r="6550" spans="4:17" x14ac:dyDescent="0.25">
      <c r="D6550" s="16"/>
      <c r="Q6550" s="16"/>
    </row>
    <row r="6553" spans="4:17" x14ac:dyDescent="0.25">
      <c r="D6553" s="16"/>
      <c r="Q6553" s="16"/>
    </row>
    <row r="6556" spans="4:17" x14ac:dyDescent="0.25">
      <c r="D6556" s="16"/>
      <c r="Q6556" s="16"/>
    </row>
    <row r="6557" spans="4:17" x14ac:dyDescent="0.25">
      <c r="D6557" s="16"/>
      <c r="Q6557" s="16"/>
    </row>
    <row r="6558" spans="4:17" x14ac:dyDescent="0.25">
      <c r="D6558" s="16"/>
      <c r="Q6558" s="16"/>
    </row>
    <row r="6561" spans="4:17" x14ac:dyDescent="0.25">
      <c r="D6561" s="16"/>
      <c r="Q6561" s="16"/>
    </row>
    <row r="6562" spans="4:17" x14ac:dyDescent="0.25">
      <c r="D6562" s="16"/>
      <c r="Q6562" s="16"/>
    </row>
    <row r="6563" spans="4:17" x14ac:dyDescent="0.25">
      <c r="D6563" s="16"/>
      <c r="Q6563" s="16"/>
    </row>
    <row r="6564" spans="4:17" x14ac:dyDescent="0.25">
      <c r="D6564" s="16"/>
      <c r="Q6564" s="16"/>
    </row>
    <row r="6567" spans="4:17" x14ac:dyDescent="0.25">
      <c r="D6567" s="16"/>
      <c r="Q6567" s="16"/>
    </row>
    <row r="6568" spans="4:17" x14ac:dyDescent="0.25">
      <c r="D6568" s="16"/>
      <c r="Q6568" s="16"/>
    </row>
    <row r="6569" spans="4:17" x14ac:dyDescent="0.25">
      <c r="D6569" s="16"/>
      <c r="Q6569" s="16"/>
    </row>
    <row r="6570" spans="4:17" x14ac:dyDescent="0.25">
      <c r="D6570" s="16"/>
      <c r="Q6570" s="16"/>
    </row>
    <row r="6571" spans="4:17" x14ac:dyDescent="0.25">
      <c r="D6571" s="16"/>
      <c r="Q6571" s="16"/>
    </row>
    <row r="6572" spans="4:17" x14ac:dyDescent="0.25">
      <c r="D6572" s="16"/>
      <c r="Q6572" s="16"/>
    </row>
    <row r="6575" spans="4:17" x14ac:dyDescent="0.25">
      <c r="D6575" s="16"/>
      <c r="Q6575" s="16"/>
    </row>
    <row r="6576" spans="4:17" x14ac:dyDescent="0.25">
      <c r="D6576" s="16"/>
      <c r="Q6576" s="16"/>
    </row>
    <row r="6577" spans="4:17" x14ac:dyDescent="0.25">
      <c r="D6577" s="16"/>
      <c r="Q6577" s="16"/>
    </row>
    <row r="6580" spans="4:17" x14ac:dyDescent="0.25">
      <c r="D6580" s="16"/>
      <c r="Q6580" s="16"/>
    </row>
    <row r="6583" spans="4:17" x14ac:dyDescent="0.25">
      <c r="D6583" s="16"/>
      <c r="Q6583" s="16"/>
    </row>
    <row r="6586" spans="4:17" x14ac:dyDescent="0.25">
      <c r="D6586" s="16"/>
      <c r="Q6586" s="16"/>
    </row>
    <row r="6589" spans="4:17" x14ac:dyDescent="0.25">
      <c r="D6589" s="16"/>
      <c r="Q6589" s="16"/>
    </row>
    <row r="6592" spans="4:17" x14ac:dyDescent="0.25">
      <c r="D6592" s="16"/>
      <c r="Q6592" s="16"/>
    </row>
    <row r="6595" spans="4:17" x14ac:dyDescent="0.25">
      <c r="D6595" s="16"/>
      <c r="Q6595" s="16"/>
    </row>
    <row r="6598" spans="4:17" x14ac:dyDescent="0.25">
      <c r="D6598" s="16"/>
      <c r="Q6598" s="16"/>
    </row>
    <row r="6601" spans="4:17" x14ac:dyDescent="0.25">
      <c r="D6601" s="16"/>
      <c r="Q6601" s="16"/>
    </row>
    <row r="6602" spans="4:17" x14ac:dyDescent="0.25">
      <c r="D6602" s="16"/>
      <c r="Q6602" s="16"/>
    </row>
    <row r="6605" spans="4:17" x14ac:dyDescent="0.25">
      <c r="D6605" s="16"/>
      <c r="Q6605" s="16"/>
    </row>
    <row r="6606" spans="4:17" x14ac:dyDescent="0.25">
      <c r="D6606" s="16"/>
      <c r="Q6606" s="16"/>
    </row>
    <row r="6607" spans="4:17" x14ac:dyDescent="0.25">
      <c r="D6607" s="16"/>
      <c r="Q6607" s="16"/>
    </row>
    <row r="6610" spans="4:17" x14ac:dyDescent="0.25">
      <c r="D6610" s="16"/>
      <c r="Q6610" s="16"/>
    </row>
    <row r="6613" spans="4:17" x14ac:dyDescent="0.25">
      <c r="D6613" s="16"/>
      <c r="Q6613" s="16"/>
    </row>
    <row r="6616" spans="4:17" x14ac:dyDescent="0.25">
      <c r="D6616" s="16"/>
      <c r="Q6616" s="16"/>
    </row>
    <row r="6619" spans="4:17" x14ac:dyDescent="0.25">
      <c r="D6619" s="16"/>
      <c r="Q6619" s="16"/>
    </row>
    <row r="6622" spans="4:17" x14ac:dyDescent="0.25">
      <c r="D6622" s="16"/>
      <c r="Q6622" s="16"/>
    </row>
    <row r="6625" spans="4:17" x14ac:dyDescent="0.25">
      <c r="D6625" s="16"/>
      <c r="Q6625" s="16"/>
    </row>
    <row r="6628" spans="4:17" x14ac:dyDescent="0.25">
      <c r="D6628" s="16"/>
      <c r="Q6628" s="16"/>
    </row>
    <row r="6629" spans="4:17" x14ac:dyDescent="0.25">
      <c r="D6629" s="16"/>
      <c r="Q6629" s="16"/>
    </row>
    <row r="6632" spans="4:17" x14ac:dyDescent="0.25">
      <c r="D6632" s="16"/>
      <c r="Q6632" s="16"/>
    </row>
    <row r="6635" spans="4:17" x14ac:dyDescent="0.25">
      <c r="D6635" s="16"/>
      <c r="Q6635" s="16"/>
    </row>
    <row r="6638" spans="4:17" x14ac:dyDescent="0.25">
      <c r="D6638" s="16"/>
      <c r="Q6638" s="16"/>
    </row>
    <row r="6641" spans="4:17" x14ac:dyDescent="0.25">
      <c r="D6641" s="16"/>
      <c r="Q6641" s="16"/>
    </row>
    <row r="6642" spans="4:17" x14ac:dyDescent="0.25">
      <c r="D6642" s="16"/>
      <c r="Q6642" s="16"/>
    </row>
    <row r="6645" spans="4:17" x14ac:dyDescent="0.25">
      <c r="D6645" s="16"/>
      <c r="Q6645" s="16"/>
    </row>
    <row r="6648" spans="4:17" x14ac:dyDescent="0.25">
      <c r="D6648" s="16"/>
      <c r="Q6648" s="16"/>
    </row>
    <row r="6651" spans="4:17" x14ac:dyDescent="0.25">
      <c r="D6651" s="16"/>
      <c r="Q6651" s="16"/>
    </row>
    <row r="6654" spans="4:17" x14ac:dyDescent="0.25">
      <c r="D6654" s="16"/>
      <c r="Q6654" s="16"/>
    </row>
    <row r="6657" spans="4:17" x14ac:dyDescent="0.25">
      <c r="D6657" s="16"/>
      <c r="Q6657" s="16"/>
    </row>
    <row r="6660" spans="4:17" x14ac:dyDescent="0.25">
      <c r="D6660" s="16"/>
      <c r="Q6660" s="16"/>
    </row>
    <row r="6663" spans="4:17" x14ac:dyDescent="0.25">
      <c r="D6663" s="16"/>
      <c r="Q6663" s="16"/>
    </row>
    <row r="6666" spans="4:17" x14ac:dyDescent="0.25">
      <c r="D6666" s="16"/>
      <c r="Q6666" s="16"/>
    </row>
    <row r="6669" spans="4:17" x14ac:dyDescent="0.25">
      <c r="D6669" s="16"/>
      <c r="Q6669" s="16"/>
    </row>
    <row r="6672" spans="4:17" x14ac:dyDescent="0.25">
      <c r="D6672" s="16"/>
      <c r="Q6672" s="16"/>
    </row>
    <row r="6675" spans="4:17" x14ac:dyDescent="0.25">
      <c r="D6675" s="16"/>
      <c r="Q6675" s="16"/>
    </row>
    <row r="6678" spans="4:17" x14ac:dyDescent="0.25">
      <c r="D6678" s="16"/>
      <c r="Q6678" s="16"/>
    </row>
    <row r="6681" spans="4:17" x14ac:dyDescent="0.25">
      <c r="D6681" s="16"/>
      <c r="Q6681" s="16"/>
    </row>
    <row r="6684" spans="4:17" x14ac:dyDescent="0.25">
      <c r="D6684" s="16"/>
      <c r="Q6684" s="16"/>
    </row>
    <row r="6687" spans="4:17" x14ac:dyDescent="0.25">
      <c r="D6687" s="16"/>
      <c r="Q6687" s="16"/>
    </row>
    <row r="6690" spans="4:17" x14ac:dyDescent="0.25">
      <c r="D6690" s="16"/>
      <c r="Q6690" s="16"/>
    </row>
    <row r="6693" spans="4:17" x14ac:dyDescent="0.25">
      <c r="D6693" s="16"/>
      <c r="Q6693" s="16"/>
    </row>
    <row r="6696" spans="4:17" x14ac:dyDescent="0.25">
      <c r="D6696" s="16"/>
      <c r="Q6696" s="16"/>
    </row>
    <row r="6699" spans="4:17" x14ac:dyDescent="0.25">
      <c r="D6699" s="16"/>
      <c r="Q6699" s="16"/>
    </row>
    <row r="6702" spans="4:17" x14ac:dyDescent="0.25">
      <c r="D6702" s="16"/>
      <c r="Q6702" s="16"/>
    </row>
    <row r="6705" spans="4:17" x14ac:dyDescent="0.25">
      <c r="D6705" s="16"/>
      <c r="Q6705" s="16"/>
    </row>
    <row r="6708" spans="4:17" x14ac:dyDescent="0.25">
      <c r="D6708" s="16"/>
      <c r="Q6708" s="16"/>
    </row>
    <row r="6711" spans="4:17" x14ac:dyDescent="0.25">
      <c r="D6711" s="16"/>
      <c r="Q6711" s="16"/>
    </row>
    <row r="6714" spans="4:17" x14ac:dyDescent="0.25">
      <c r="D6714" s="16"/>
      <c r="Q6714" s="16"/>
    </row>
    <row r="6717" spans="4:17" x14ac:dyDescent="0.25">
      <c r="D6717" s="16"/>
      <c r="Q6717" s="16"/>
    </row>
    <row r="6720" spans="4:17" x14ac:dyDescent="0.25">
      <c r="D6720" s="16"/>
      <c r="Q6720" s="16"/>
    </row>
    <row r="6721" spans="4:17" x14ac:dyDescent="0.25">
      <c r="D6721" s="16"/>
      <c r="Q6721" s="16"/>
    </row>
    <row r="6724" spans="4:17" x14ac:dyDescent="0.25">
      <c r="D6724" s="16"/>
      <c r="Q6724" s="16"/>
    </row>
    <row r="6727" spans="4:17" x14ac:dyDescent="0.25">
      <c r="D6727" s="16"/>
      <c r="Q6727" s="16"/>
    </row>
    <row r="6730" spans="4:17" x14ac:dyDescent="0.25">
      <c r="D6730" s="16"/>
      <c r="Q6730" s="16"/>
    </row>
    <row r="6733" spans="4:17" x14ac:dyDescent="0.25">
      <c r="D6733" s="16"/>
      <c r="Q6733" s="16"/>
    </row>
    <row r="6736" spans="4:17" x14ac:dyDescent="0.25">
      <c r="D6736" s="16"/>
      <c r="Q6736" s="16"/>
    </row>
    <row r="6739" spans="4:17" x14ac:dyDescent="0.25">
      <c r="D6739" s="16"/>
      <c r="Q6739" s="16"/>
    </row>
    <row r="6742" spans="4:17" x14ac:dyDescent="0.25">
      <c r="D6742" s="16"/>
      <c r="Q6742" s="16"/>
    </row>
    <row r="6745" spans="4:17" x14ac:dyDescent="0.25">
      <c r="D6745" s="16"/>
      <c r="Q6745" s="16"/>
    </row>
    <row r="6748" spans="4:17" x14ac:dyDescent="0.25">
      <c r="D6748" s="16"/>
      <c r="Q6748" s="16"/>
    </row>
    <row r="6749" spans="4:17" x14ac:dyDescent="0.25">
      <c r="D6749" s="16"/>
      <c r="Q6749" s="16"/>
    </row>
    <row r="6752" spans="4:17" x14ac:dyDescent="0.25">
      <c r="D6752" s="16"/>
      <c r="Q6752" s="16"/>
    </row>
    <row r="6755" spans="4:17" x14ac:dyDescent="0.25">
      <c r="D6755" s="16"/>
      <c r="Q6755" s="16"/>
    </row>
    <row r="6758" spans="4:17" x14ac:dyDescent="0.25">
      <c r="D6758" s="16"/>
      <c r="Q6758" s="16"/>
    </row>
    <row r="6761" spans="4:17" x14ac:dyDescent="0.25">
      <c r="D6761" s="16"/>
      <c r="Q6761" s="16"/>
    </row>
    <row r="6762" spans="4:17" x14ac:dyDescent="0.25">
      <c r="D6762" s="16"/>
      <c r="Q6762" s="16"/>
    </row>
    <row r="6765" spans="4:17" x14ac:dyDescent="0.25">
      <c r="D6765" s="16"/>
      <c r="Q6765" s="16"/>
    </row>
    <row r="6768" spans="4:17" x14ac:dyDescent="0.25">
      <c r="D6768" s="16"/>
      <c r="Q6768" s="16"/>
    </row>
    <row r="6771" spans="4:17" x14ac:dyDescent="0.25">
      <c r="D6771" s="16"/>
      <c r="Q6771" s="16"/>
    </row>
    <row r="6772" spans="4:17" x14ac:dyDescent="0.25">
      <c r="D6772" s="16"/>
      <c r="Q6772" s="16"/>
    </row>
    <row r="6775" spans="4:17" x14ac:dyDescent="0.25">
      <c r="D6775" s="16"/>
      <c r="Q6775" s="16"/>
    </row>
    <row r="6778" spans="4:17" x14ac:dyDescent="0.25">
      <c r="D6778" s="16"/>
      <c r="Q6778" s="16"/>
    </row>
    <row r="6779" spans="4:17" x14ac:dyDescent="0.25">
      <c r="D6779" s="16"/>
      <c r="Q6779" s="16"/>
    </row>
    <row r="6782" spans="4:17" x14ac:dyDescent="0.25">
      <c r="D6782" s="16"/>
      <c r="Q6782" s="16"/>
    </row>
    <row r="6785" spans="4:17" x14ac:dyDescent="0.25">
      <c r="D6785" s="16"/>
      <c r="Q6785" s="16"/>
    </row>
    <row r="6788" spans="4:17" x14ac:dyDescent="0.25">
      <c r="D6788" s="16"/>
      <c r="Q6788" s="16"/>
    </row>
    <row r="6791" spans="4:17" x14ac:dyDescent="0.25">
      <c r="D6791" s="16"/>
      <c r="Q6791" s="16"/>
    </row>
    <row r="6794" spans="4:17" x14ac:dyDescent="0.25">
      <c r="D6794" s="16"/>
      <c r="Q6794" s="16"/>
    </row>
    <row r="6795" spans="4:17" x14ac:dyDescent="0.25">
      <c r="D6795" s="16"/>
      <c r="Q6795" s="16"/>
    </row>
    <row r="6798" spans="4:17" x14ac:dyDescent="0.25">
      <c r="D6798" s="16"/>
      <c r="Q6798" s="16"/>
    </row>
    <row r="6801" spans="4:17" x14ac:dyDescent="0.25">
      <c r="D6801" s="16"/>
      <c r="Q6801" s="16"/>
    </row>
    <row r="6804" spans="4:17" x14ac:dyDescent="0.25">
      <c r="D6804" s="16"/>
      <c r="Q6804" s="16"/>
    </row>
    <row r="6807" spans="4:17" x14ac:dyDescent="0.25">
      <c r="D6807" s="16"/>
      <c r="Q6807" s="16"/>
    </row>
    <row r="6810" spans="4:17" x14ac:dyDescent="0.25">
      <c r="D6810" s="16"/>
      <c r="Q6810" s="16"/>
    </row>
    <row r="6811" spans="4:17" x14ac:dyDescent="0.25">
      <c r="D6811" s="16"/>
      <c r="Q6811" s="16"/>
    </row>
    <row r="6812" spans="4:17" x14ac:dyDescent="0.25">
      <c r="D6812" s="16"/>
      <c r="Q6812" s="16"/>
    </row>
    <row r="6815" spans="4:17" x14ac:dyDescent="0.25">
      <c r="D6815" s="16"/>
      <c r="Q6815" s="16"/>
    </row>
    <row r="6818" spans="4:17" x14ac:dyDescent="0.25">
      <c r="D6818" s="16"/>
      <c r="Q6818" s="16"/>
    </row>
    <row r="6819" spans="4:17" x14ac:dyDescent="0.25">
      <c r="D6819" s="16"/>
      <c r="Q6819" s="16"/>
    </row>
    <row r="6820" spans="4:17" x14ac:dyDescent="0.25">
      <c r="D6820" s="16"/>
      <c r="Q6820" s="16"/>
    </row>
    <row r="6823" spans="4:17" x14ac:dyDescent="0.25">
      <c r="D6823" s="16"/>
      <c r="Q6823" s="16"/>
    </row>
    <row r="6826" spans="4:17" x14ac:dyDescent="0.25">
      <c r="D6826" s="16"/>
      <c r="Q6826" s="16"/>
    </row>
    <row r="6829" spans="4:17" x14ac:dyDescent="0.25">
      <c r="D6829" s="16"/>
      <c r="Q6829" s="16"/>
    </row>
    <row r="6832" spans="4:17" x14ac:dyDescent="0.25">
      <c r="D6832" s="16"/>
      <c r="Q6832" s="16"/>
    </row>
    <row r="6835" spans="4:17" x14ac:dyDescent="0.25">
      <c r="D6835" s="16"/>
      <c r="Q6835" s="16"/>
    </row>
    <row r="6838" spans="4:17" x14ac:dyDescent="0.25">
      <c r="D6838" s="16"/>
      <c r="Q6838" s="16"/>
    </row>
    <row r="6841" spans="4:17" x14ac:dyDescent="0.25">
      <c r="D6841" s="16"/>
      <c r="Q6841" s="16"/>
    </row>
    <row r="6844" spans="4:17" x14ac:dyDescent="0.25">
      <c r="D6844" s="16"/>
      <c r="Q6844" s="16"/>
    </row>
    <row r="6847" spans="4:17" x14ac:dyDescent="0.25">
      <c r="D6847" s="16"/>
      <c r="Q6847" s="16"/>
    </row>
    <row r="6848" spans="4:17" x14ac:dyDescent="0.25">
      <c r="D6848" s="16"/>
      <c r="Q6848" s="16"/>
    </row>
    <row r="6851" spans="4:17" x14ac:dyDescent="0.25">
      <c r="D6851" s="16"/>
      <c r="Q6851" s="16"/>
    </row>
    <row r="6854" spans="4:17" x14ac:dyDescent="0.25">
      <c r="D6854" s="16"/>
      <c r="Q6854" s="16"/>
    </row>
    <row r="6857" spans="4:17" x14ac:dyDescent="0.25">
      <c r="D6857" s="16"/>
      <c r="Q6857" s="16"/>
    </row>
    <row r="6860" spans="4:17" x14ac:dyDescent="0.25">
      <c r="D6860" s="16"/>
      <c r="Q6860" s="16"/>
    </row>
    <row r="6863" spans="4:17" x14ac:dyDescent="0.25">
      <c r="D6863" s="16"/>
      <c r="Q6863" s="16"/>
    </row>
    <row r="6866" spans="4:17" x14ac:dyDescent="0.25">
      <c r="D6866" s="16"/>
      <c r="Q6866" s="16"/>
    </row>
    <row r="6869" spans="4:17" x14ac:dyDescent="0.25">
      <c r="D6869" s="16"/>
      <c r="Q6869" s="16"/>
    </row>
    <row r="6872" spans="4:17" x14ac:dyDescent="0.25">
      <c r="D6872" s="16"/>
      <c r="Q6872" s="16"/>
    </row>
    <row r="6873" spans="4:17" x14ac:dyDescent="0.25">
      <c r="D6873" s="16"/>
      <c r="Q6873" s="16"/>
    </row>
    <row r="6876" spans="4:17" x14ac:dyDescent="0.25">
      <c r="D6876" s="16"/>
      <c r="Q6876" s="16"/>
    </row>
    <row r="6879" spans="4:17" x14ac:dyDescent="0.25">
      <c r="D6879" s="16"/>
      <c r="Q6879" s="16"/>
    </row>
    <row r="6880" spans="4:17" x14ac:dyDescent="0.25">
      <c r="D6880" s="16"/>
      <c r="Q6880" s="16"/>
    </row>
    <row r="6881" spans="4:17" x14ac:dyDescent="0.25">
      <c r="D6881" s="16"/>
      <c r="Q6881" s="16"/>
    </row>
    <row r="6882" spans="4:17" x14ac:dyDescent="0.25">
      <c r="D6882" s="16"/>
      <c r="Q6882" s="16"/>
    </row>
    <row r="6883" spans="4:17" x14ac:dyDescent="0.25">
      <c r="D6883" s="16"/>
      <c r="Q6883" s="16"/>
    </row>
    <row r="6884" spans="4:17" x14ac:dyDescent="0.25">
      <c r="D6884" s="16"/>
      <c r="Q6884" s="16"/>
    </row>
    <row r="6885" spans="4:17" x14ac:dyDescent="0.25">
      <c r="D6885" s="16"/>
      <c r="Q6885" s="16"/>
    </row>
    <row r="6886" spans="4:17" x14ac:dyDescent="0.25">
      <c r="D6886" s="16"/>
      <c r="Q6886" s="16"/>
    </row>
    <row r="6889" spans="4:17" x14ac:dyDescent="0.25">
      <c r="D6889" s="16"/>
      <c r="Q6889" s="16"/>
    </row>
    <row r="6890" spans="4:17" x14ac:dyDescent="0.25">
      <c r="D6890" s="16"/>
      <c r="Q6890" s="16"/>
    </row>
    <row r="6891" spans="4:17" x14ac:dyDescent="0.25">
      <c r="D6891" s="16"/>
      <c r="Q6891" s="16"/>
    </row>
    <row r="6892" spans="4:17" x14ac:dyDescent="0.25">
      <c r="D6892" s="16"/>
      <c r="Q6892" s="16"/>
    </row>
    <row r="6893" spans="4:17" x14ac:dyDescent="0.25">
      <c r="D6893" s="16"/>
      <c r="Q6893" s="16"/>
    </row>
    <row r="6894" spans="4:17" x14ac:dyDescent="0.25">
      <c r="D6894" s="16"/>
      <c r="Q6894" s="16"/>
    </row>
    <row r="6895" spans="4:17" x14ac:dyDescent="0.25">
      <c r="D6895" s="16"/>
      <c r="Q6895" s="16"/>
    </row>
    <row r="6898" spans="4:17" x14ac:dyDescent="0.25">
      <c r="D6898" s="16"/>
      <c r="Q6898" s="16"/>
    </row>
    <row r="6899" spans="4:17" x14ac:dyDescent="0.25">
      <c r="D6899" s="16"/>
      <c r="Q6899" s="16"/>
    </row>
    <row r="6900" spans="4:17" x14ac:dyDescent="0.25">
      <c r="D6900" s="16"/>
      <c r="Q6900" s="16"/>
    </row>
    <row r="6901" spans="4:17" x14ac:dyDescent="0.25">
      <c r="D6901" s="16"/>
      <c r="Q6901" s="16"/>
    </row>
    <row r="6904" spans="4:17" x14ac:dyDescent="0.25">
      <c r="D6904" s="16"/>
      <c r="Q6904" s="16"/>
    </row>
    <row r="6905" spans="4:17" x14ac:dyDescent="0.25">
      <c r="D6905" s="16"/>
      <c r="Q6905" s="16"/>
    </row>
    <row r="6906" spans="4:17" x14ac:dyDescent="0.25">
      <c r="D6906" s="16"/>
      <c r="Q6906" s="16"/>
    </row>
    <row r="6907" spans="4:17" x14ac:dyDescent="0.25">
      <c r="D6907" s="16"/>
      <c r="Q6907" s="16"/>
    </row>
    <row r="6908" spans="4:17" x14ac:dyDescent="0.25">
      <c r="D6908" s="16"/>
      <c r="Q6908" s="16"/>
    </row>
    <row r="6911" spans="4:17" x14ac:dyDescent="0.25">
      <c r="D6911" s="16"/>
      <c r="Q6911" s="16"/>
    </row>
    <row r="6912" spans="4:17" x14ac:dyDescent="0.25">
      <c r="D6912" s="16"/>
      <c r="Q6912" s="16"/>
    </row>
    <row r="6915" spans="4:17" x14ac:dyDescent="0.25">
      <c r="D6915" s="16"/>
      <c r="Q6915" s="16"/>
    </row>
    <row r="6918" spans="4:17" x14ac:dyDescent="0.25">
      <c r="D6918" s="16"/>
      <c r="Q6918" s="16"/>
    </row>
    <row r="6919" spans="4:17" x14ac:dyDescent="0.25">
      <c r="D6919" s="16"/>
      <c r="Q6919" s="16"/>
    </row>
    <row r="6920" spans="4:17" x14ac:dyDescent="0.25">
      <c r="D6920" s="16"/>
      <c r="Q6920" s="16"/>
    </row>
    <row r="6921" spans="4:17" x14ac:dyDescent="0.25">
      <c r="D6921" s="16"/>
      <c r="Q6921" s="16"/>
    </row>
    <row r="6924" spans="4:17" x14ac:dyDescent="0.25">
      <c r="D6924" s="16"/>
      <c r="Q6924" s="16"/>
    </row>
    <row r="6927" spans="4:17" x14ac:dyDescent="0.25">
      <c r="D6927" s="16"/>
      <c r="Q6927" s="16"/>
    </row>
    <row r="6930" spans="4:17" x14ac:dyDescent="0.25">
      <c r="D6930" s="16"/>
      <c r="Q6930" s="16"/>
    </row>
    <row r="6933" spans="4:17" x14ac:dyDescent="0.25">
      <c r="D6933" s="16"/>
      <c r="Q6933" s="16"/>
    </row>
    <row r="6934" spans="4:17" x14ac:dyDescent="0.25">
      <c r="D6934" s="16"/>
      <c r="Q6934" s="16"/>
    </row>
    <row r="6937" spans="4:17" x14ac:dyDescent="0.25">
      <c r="D6937" s="16"/>
      <c r="Q6937" s="16"/>
    </row>
    <row r="6940" spans="4:17" x14ac:dyDescent="0.25">
      <c r="D6940" s="16"/>
      <c r="Q6940" s="16"/>
    </row>
    <row r="6943" spans="4:17" x14ac:dyDescent="0.25">
      <c r="D6943" s="16"/>
      <c r="Q6943" s="16"/>
    </row>
    <row r="6944" spans="4:17" x14ac:dyDescent="0.25">
      <c r="D6944" s="16"/>
      <c r="Q6944" s="16"/>
    </row>
    <row r="6945" spans="4:17" x14ac:dyDescent="0.25">
      <c r="D6945" s="16"/>
      <c r="Q6945" s="16"/>
    </row>
    <row r="6946" spans="4:17" x14ac:dyDescent="0.25">
      <c r="D6946" s="16"/>
      <c r="Q6946" s="16"/>
    </row>
    <row r="6947" spans="4:17" x14ac:dyDescent="0.25">
      <c r="D6947" s="16"/>
      <c r="Q6947" s="16"/>
    </row>
    <row r="6948" spans="4:17" x14ac:dyDescent="0.25">
      <c r="D6948" s="16"/>
      <c r="Q6948" s="16"/>
    </row>
    <row r="6949" spans="4:17" x14ac:dyDescent="0.25">
      <c r="D6949" s="16"/>
      <c r="Q6949" s="16"/>
    </row>
    <row r="6950" spans="4:17" x14ac:dyDescent="0.25">
      <c r="D6950" s="16"/>
      <c r="Q6950" s="16"/>
    </row>
    <row r="6953" spans="4:17" x14ac:dyDescent="0.25">
      <c r="D6953" s="16"/>
      <c r="Q6953" s="16"/>
    </row>
    <row r="6956" spans="4:17" x14ac:dyDescent="0.25">
      <c r="D6956" s="16"/>
      <c r="Q6956" s="16"/>
    </row>
    <row r="6957" spans="4:17" x14ac:dyDescent="0.25">
      <c r="D6957" s="16"/>
      <c r="Q6957" s="16"/>
    </row>
    <row r="6958" spans="4:17" x14ac:dyDescent="0.25">
      <c r="D6958" s="16"/>
      <c r="Q6958" s="16"/>
    </row>
    <row r="6961" spans="4:17" x14ac:dyDescent="0.25">
      <c r="D6961" s="16"/>
      <c r="Q6961" s="16"/>
    </row>
    <row r="6964" spans="4:17" x14ac:dyDescent="0.25">
      <c r="D6964" s="16"/>
      <c r="Q6964" s="16"/>
    </row>
    <row r="6967" spans="4:17" x14ac:dyDescent="0.25">
      <c r="D6967" s="16"/>
      <c r="Q6967" s="16"/>
    </row>
    <row r="6970" spans="4:17" x14ac:dyDescent="0.25">
      <c r="D6970" s="16"/>
      <c r="Q6970" s="16"/>
    </row>
    <row r="6973" spans="4:17" x14ac:dyDescent="0.25">
      <c r="D6973" s="16"/>
      <c r="Q6973" s="16"/>
    </row>
    <row r="6976" spans="4:17" x14ac:dyDescent="0.25">
      <c r="D6976" s="16"/>
      <c r="Q6976" s="16"/>
    </row>
    <row r="6977" spans="4:17" x14ac:dyDescent="0.25">
      <c r="D6977" s="16"/>
      <c r="Q6977" s="16"/>
    </row>
    <row r="6980" spans="4:17" x14ac:dyDescent="0.25">
      <c r="D6980" s="16"/>
      <c r="Q6980" s="16"/>
    </row>
    <row r="6983" spans="4:17" x14ac:dyDescent="0.25">
      <c r="D6983" s="16"/>
      <c r="Q6983" s="16"/>
    </row>
    <row r="6986" spans="4:17" x14ac:dyDescent="0.25">
      <c r="D6986" s="16"/>
      <c r="Q6986" s="16"/>
    </row>
    <row r="6989" spans="4:17" x14ac:dyDescent="0.25">
      <c r="D6989" s="16"/>
      <c r="Q6989" s="16"/>
    </row>
    <row r="6992" spans="4:17" x14ac:dyDescent="0.25">
      <c r="D6992" s="16"/>
      <c r="Q6992" s="16"/>
    </row>
    <row r="6995" spans="4:17" x14ac:dyDescent="0.25">
      <c r="D6995" s="16"/>
      <c r="Q6995" s="16"/>
    </row>
    <row r="6998" spans="4:17" x14ac:dyDescent="0.25">
      <c r="D6998" s="16"/>
      <c r="Q6998" s="16"/>
    </row>
    <row r="7001" spans="4:17" x14ac:dyDescent="0.25">
      <c r="D7001" s="16"/>
      <c r="Q7001" s="16"/>
    </row>
    <row r="7004" spans="4:17" x14ac:dyDescent="0.25">
      <c r="D7004" s="16"/>
      <c r="Q7004" s="16"/>
    </row>
    <row r="7007" spans="4:17" x14ac:dyDescent="0.25">
      <c r="D7007" s="16"/>
      <c r="Q7007" s="16"/>
    </row>
    <row r="7010" spans="4:17" x14ac:dyDescent="0.25">
      <c r="D7010" s="16"/>
      <c r="Q7010" s="16"/>
    </row>
    <row r="7013" spans="4:17" x14ac:dyDescent="0.25">
      <c r="D7013" s="16"/>
      <c r="Q7013" s="16"/>
    </row>
    <row r="7014" spans="4:17" x14ac:dyDescent="0.25">
      <c r="D7014" s="16"/>
      <c r="Q7014" s="16"/>
    </row>
    <row r="7017" spans="4:17" x14ac:dyDescent="0.25">
      <c r="D7017" s="16"/>
      <c r="Q7017" s="16"/>
    </row>
    <row r="7018" spans="4:17" x14ac:dyDescent="0.25">
      <c r="D7018" s="16"/>
      <c r="Q7018" s="16"/>
    </row>
    <row r="7019" spans="4:17" x14ac:dyDescent="0.25">
      <c r="D7019" s="16"/>
      <c r="Q7019" s="16"/>
    </row>
    <row r="7020" spans="4:17" x14ac:dyDescent="0.25">
      <c r="D7020" s="16"/>
      <c r="Q7020" s="16"/>
    </row>
    <row r="7023" spans="4:17" x14ac:dyDescent="0.25">
      <c r="D7023" s="16"/>
      <c r="Q7023" s="16"/>
    </row>
    <row r="7024" spans="4:17" x14ac:dyDescent="0.25">
      <c r="D7024" s="16"/>
      <c r="Q7024" s="16"/>
    </row>
    <row r="7027" spans="4:17" x14ac:dyDescent="0.25">
      <c r="D7027" s="16"/>
      <c r="Q7027" s="16"/>
    </row>
    <row r="7028" spans="4:17" x14ac:dyDescent="0.25">
      <c r="D7028" s="16"/>
      <c r="Q7028" s="16"/>
    </row>
    <row r="7029" spans="4:17" x14ac:dyDescent="0.25">
      <c r="D7029" s="16"/>
      <c r="Q7029" s="16"/>
    </row>
    <row r="7030" spans="4:17" x14ac:dyDescent="0.25">
      <c r="D7030" s="16"/>
      <c r="Q7030" s="16"/>
    </row>
    <row r="7031" spans="4:17" x14ac:dyDescent="0.25">
      <c r="D7031" s="16"/>
      <c r="Q7031" s="16"/>
    </row>
    <row r="7032" spans="4:17" x14ac:dyDescent="0.25">
      <c r="D7032" s="16"/>
      <c r="Q7032" s="16"/>
    </row>
    <row r="7033" spans="4:17" x14ac:dyDescent="0.25">
      <c r="D7033" s="16"/>
      <c r="Q7033" s="16"/>
    </row>
    <row r="7036" spans="4:17" x14ac:dyDescent="0.25">
      <c r="D7036" s="16"/>
      <c r="Q7036" s="16"/>
    </row>
    <row r="7037" spans="4:17" x14ac:dyDescent="0.25">
      <c r="D7037" s="16"/>
      <c r="Q7037" s="16"/>
    </row>
    <row r="7038" spans="4:17" x14ac:dyDescent="0.25">
      <c r="D7038" s="16"/>
      <c r="Q7038" s="16"/>
    </row>
    <row r="7039" spans="4:17" x14ac:dyDescent="0.25">
      <c r="D7039" s="16"/>
      <c r="Q7039" s="16"/>
    </row>
    <row r="7042" spans="4:17" x14ac:dyDescent="0.25">
      <c r="D7042" s="16"/>
      <c r="Q7042" s="16"/>
    </row>
    <row r="7043" spans="4:17" x14ac:dyDescent="0.25">
      <c r="D7043" s="16"/>
      <c r="Q7043" s="16"/>
    </row>
    <row r="7044" spans="4:17" x14ac:dyDescent="0.25">
      <c r="D7044" s="16"/>
      <c r="Q7044" s="16"/>
    </row>
    <row r="7045" spans="4:17" x14ac:dyDescent="0.25">
      <c r="D7045" s="16"/>
      <c r="Q7045" s="16"/>
    </row>
    <row r="7046" spans="4:17" x14ac:dyDescent="0.25">
      <c r="D7046" s="16"/>
      <c r="Q7046" s="16"/>
    </row>
    <row r="7049" spans="4:17" x14ac:dyDescent="0.25">
      <c r="D7049" s="16"/>
      <c r="Q7049" s="16"/>
    </row>
    <row r="7050" spans="4:17" x14ac:dyDescent="0.25">
      <c r="D7050" s="16"/>
      <c r="Q7050" s="16"/>
    </row>
    <row r="7051" spans="4:17" x14ac:dyDescent="0.25">
      <c r="D7051" s="16"/>
      <c r="Q7051" s="16"/>
    </row>
    <row r="7052" spans="4:17" x14ac:dyDescent="0.25">
      <c r="D7052" s="16"/>
      <c r="Q7052" s="16"/>
    </row>
    <row r="7055" spans="4:17" x14ac:dyDescent="0.25">
      <c r="D7055" s="16"/>
      <c r="Q7055" s="16"/>
    </row>
    <row r="7058" spans="4:17" x14ac:dyDescent="0.25">
      <c r="D7058" s="16"/>
      <c r="Q7058" s="16"/>
    </row>
    <row r="7061" spans="4:17" x14ac:dyDescent="0.25">
      <c r="D7061" s="16"/>
      <c r="Q7061" s="16"/>
    </row>
    <row r="7062" spans="4:17" x14ac:dyDescent="0.25">
      <c r="D7062" s="16"/>
      <c r="Q7062" s="16"/>
    </row>
    <row r="7065" spans="4:17" x14ac:dyDescent="0.25">
      <c r="D7065" s="16"/>
      <c r="Q7065" s="16"/>
    </row>
    <row r="7066" spans="4:17" x14ac:dyDescent="0.25">
      <c r="D7066" s="16"/>
      <c r="Q7066" s="16"/>
    </row>
    <row r="7067" spans="4:17" x14ac:dyDescent="0.25">
      <c r="D7067" s="16"/>
      <c r="Q7067" s="16"/>
    </row>
    <row r="7068" spans="4:17" x14ac:dyDescent="0.25">
      <c r="D7068" s="16"/>
      <c r="Q7068" s="16"/>
    </row>
    <row r="7069" spans="4:17" x14ac:dyDescent="0.25">
      <c r="D7069" s="16"/>
      <c r="Q7069" s="16"/>
    </row>
    <row r="7072" spans="4:17" x14ac:dyDescent="0.25">
      <c r="D7072" s="16"/>
      <c r="Q7072" s="16"/>
    </row>
    <row r="7075" spans="4:17" x14ac:dyDescent="0.25">
      <c r="D7075" s="16"/>
      <c r="Q7075" s="16"/>
    </row>
    <row r="7078" spans="4:17" x14ac:dyDescent="0.25">
      <c r="D7078" s="16"/>
      <c r="Q7078" s="16"/>
    </row>
    <row r="7081" spans="4:17" x14ac:dyDescent="0.25">
      <c r="D7081" s="16"/>
      <c r="Q7081" s="16"/>
    </row>
    <row r="7084" spans="4:17" x14ac:dyDescent="0.25">
      <c r="D7084" s="16"/>
      <c r="Q7084" s="16"/>
    </row>
    <row r="7087" spans="4:17" x14ac:dyDescent="0.25">
      <c r="D7087" s="16"/>
      <c r="Q7087" s="16"/>
    </row>
    <row r="7090" spans="4:17" x14ac:dyDescent="0.25">
      <c r="D7090" s="16"/>
      <c r="Q7090" s="16"/>
    </row>
    <row r="7093" spans="4:17" x14ac:dyDescent="0.25">
      <c r="D7093" s="16"/>
      <c r="Q7093" s="16"/>
    </row>
    <row r="7096" spans="4:17" x14ac:dyDescent="0.25">
      <c r="D7096" s="16"/>
      <c r="Q7096" s="16"/>
    </row>
    <row r="7099" spans="4:17" x14ac:dyDescent="0.25">
      <c r="D7099" s="16"/>
      <c r="Q7099" s="16"/>
    </row>
    <row r="7102" spans="4:17" x14ac:dyDescent="0.25">
      <c r="D7102" s="16"/>
      <c r="Q7102" s="16"/>
    </row>
    <row r="7105" spans="4:17" x14ac:dyDescent="0.25">
      <c r="D7105" s="16"/>
      <c r="Q7105" s="16"/>
    </row>
    <row r="7108" spans="4:17" x14ac:dyDescent="0.25">
      <c r="D7108" s="16"/>
      <c r="Q7108" s="16"/>
    </row>
    <row r="7111" spans="4:17" x14ac:dyDescent="0.25">
      <c r="D7111" s="16"/>
      <c r="Q7111" s="16"/>
    </row>
    <row r="7114" spans="4:17" x14ac:dyDescent="0.25">
      <c r="D7114" s="16"/>
      <c r="Q7114" s="16"/>
    </row>
    <row r="7117" spans="4:17" x14ac:dyDescent="0.25">
      <c r="D7117" s="16"/>
      <c r="Q7117" s="16"/>
    </row>
    <row r="7120" spans="4:17" x14ac:dyDescent="0.25">
      <c r="D7120" s="16"/>
      <c r="Q7120" s="16"/>
    </row>
    <row r="7123" spans="4:17" x14ac:dyDescent="0.25">
      <c r="D7123" s="16"/>
      <c r="Q7123" s="16"/>
    </row>
    <row r="7126" spans="4:17" x14ac:dyDescent="0.25">
      <c r="D7126" s="16"/>
      <c r="Q7126" s="16"/>
    </row>
    <row r="7129" spans="4:17" x14ac:dyDescent="0.25">
      <c r="D7129" s="16"/>
      <c r="Q7129" s="16"/>
    </row>
    <row r="7132" spans="4:17" x14ac:dyDescent="0.25">
      <c r="D7132" s="16"/>
      <c r="Q7132" s="16"/>
    </row>
    <row r="7135" spans="4:17" x14ac:dyDescent="0.25">
      <c r="D7135" s="16"/>
      <c r="Q7135" s="16"/>
    </row>
    <row r="7138" spans="4:17" x14ac:dyDescent="0.25">
      <c r="D7138" s="16"/>
      <c r="Q7138" s="16"/>
    </row>
    <row r="7141" spans="4:17" x14ac:dyDescent="0.25">
      <c r="D7141" s="16"/>
      <c r="Q7141" s="16"/>
    </row>
    <row r="7144" spans="4:17" x14ac:dyDescent="0.25">
      <c r="D7144" s="16"/>
      <c r="Q7144" s="16"/>
    </row>
    <row r="7147" spans="4:17" x14ac:dyDescent="0.25">
      <c r="D7147" s="16"/>
      <c r="Q7147" s="16"/>
    </row>
    <row r="7150" spans="4:17" x14ac:dyDescent="0.25">
      <c r="D7150" s="16"/>
      <c r="Q7150" s="16"/>
    </row>
    <row r="7153" spans="4:17" x14ac:dyDescent="0.25">
      <c r="D7153" s="16"/>
      <c r="Q7153" s="16"/>
    </row>
    <row r="7156" spans="4:17" x14ac:dyDescent="0.25">
      <c r="D7156" s="16"/>
      <c r="Q7156" s="16"/>
    </row>
    <row r="7159" spans="4:17" x14ac:dyDescent="0.25">
      <c r="D7159" s="16"/>
      <c r="Q7159" s="16"/>
    </row>
    <row r="7162" spans="4:17" x14ac:dyDescent="0.25">
      <c r="D7162" s="16"/>
      <c r="Q7162" s="16"/>
    </row>
    <row r="7165" spans="4:17" x14ac:dyDescent="0.25">
      <c r="D7165" s="16"/>
      <c r="Q7165" s="16"/>
    </row>
    <row r="7168" spans="4:17" x14ac:dyDescent="0.25">
      <c r="D7168" s="16"/>
      <c r="Q7168" s="16"/>
    </row>
    <row r="7171" spans="4:17" x14ac:dyDescent="0.25">
      <c r="D7171" s="16"/>
      <c r="Q7171" s="16"/>
    </row>
    <row r="7174" spans="4:17" x14ac:dyDescent="0.25">
      <c r="D7174" s="16"/>
      <c r="Q7174" s="16"/>
    </row>
    <row r="7177" spans="4:17" x14ac:dyDescent="0.25">
      <c r="D7177" s="16"/>
      <c r="Q7177" s="16"/>
    </row>
    <row r="7180" spans="4:17" x14ac:dyDescent="0.25">
      <c r="D7180" s="16"/>
      <c r="Q7180" s="16"/>
    </row>
    <row r="7183" spans="4:17" x14ac:dyDescent="0.25">
      <c r="D7183" s="16"/>
      <c r="Q7183" s="16"/>
    </row>
    <row r="7186" spans="4:17" x14ac:dyDescent="0.25">
      <c r="D7186" s="16"/>
      <c r="Q7186" s="16"/>
    </row>
    <row r="7189" spans="4:17" x14ac:dyDescent="0.25">
      <c r="D7189" s="16"/>
      <c r="Q7189" s="16"/>
    </row>
    <row r="7190" spans="4:17" x14ac:dyDescent="0.25">
      <c r="D7190" s="16"/>
      <c r="Q7190" s="16"/>
    </row>
    <row r="7193" spans="4:17" x14ac:dyDescent="0.25">
      <c r="D7193" s="16"/>
      <c r="Q7193" s="16"/>
    </row>
    <row r="7196" spans="4:17" x14ac:dyDescent="0.25">
      <c r="D7196" s="16"/>
      <c r="Q7196" s="16"/>
    </row>
    <row r="7199" spans="4:17" x14ac:dyDescent="0.25">
      <c r="D7199" s="16"/>
      <c r="Q7199" s="16"/>
    </row>
    <row r="7202" spans="4:17" x14ac:dyDescent="0.25">
      <c r="D7202" s="16"/>
      <c r="Q7202" s="16"/>
    </row>
    <row r="7205" spans="4:17" x14ac:dyDescent="0.25">
      <c r="D7205" s="16"/>
      <c r="Q7205" s="16"/>
    </row>
    <row r="7206" spans="4:17" x14ac:dyDescent="0.25">
      <c r="D7206" s="16"/>
      <c r="Q7206" s="16"/>
    </row>
    <row r="7209" spans="4:17" x14ac:dyDescent="0.25">
      <c r="D7209" s="16"/>
      <c r="Q7209" s="16"/>
    </row>
    <row r="7210" spans="4:17" x14ac:dyDescent="0.25">
      <c r="D7210" s="16"/>
      <c r="Q7210" s="16"/>
    </row>
    <row r="7211" spans="4:17" x14ac:dyDescent="0.25">
      <c r="D7211" s="16"/>
      <c r="Q7211" s="16"/>
    </row>
    <row r="7212" spans="4:17" x14ac:dyDescent="0.25">
      <c r="D7212" s="16"/>
      <c r="Q7212" s="16"/>
    </row>
    <row r="7213" spans="4:17" x14ac:dyDescent="0.25">
      <c r="D7213" s="16"/>
      <c r="Q7213" s="16"/>
    </row>
    <row r="7214" spans="4:17" x14ac:dyDescent="0.25">
      <c r="D7214" s="16"/>
      <c r="Q7214" s="16"/>
    </row>
    <row r="7215" spans="4:17" x14ac:dyDescent="0.25">
      <c r="D7215" s="16"/>
      <c r="Q7215" s="16"/>
    </row>
    <row r="7216" spans="4:17" x14ac:dyDescent="0.25">
      <c r="D7216" s="16"/>
      <c r="Q7216" s="16"/>
    </row>
    <row r="7217" spans="4:17" x14ac:dyDescent="0.25">
      <c r="D7217" s="16"/>
      <c r="Q7217" s="16"/>
    </row>
    <row r="7218" spans="4:17" x14ac:dyDescent="0.25">
      <c r="D7218" s="16"/>
      <c r="Q7218" s="16"/>
    </row>
    <row r="7219" spans="4:17" x14ac:dyDescent="0.25">
      <c r="D7219" s="16"/>
      <c r="Q7219" s="16"/>
    </row>
    <row r="7220" spans="4:17" x14ac:dyDescent="0.25">
      <c r="D7220" s="16"/>
      <c r="Q7220" s="16"/>
    </row>
    <row r="7221" spans="4:17" x14ac:dyDescent="0.25">
      <c r="D7221" s="16"/>
      <c r="Q7221" s="16"/>
    </row>
    <row r="7222" spans="4:17" x14ac:dyDescent="0.25">
      <c r="D7222" s="16"/>
      <c r="Q7222" s="16"/>
    </row>
    <row r="7223" spans="4:17" x14ac:dyDescent="0.25">
      <c r="D7223" s="16"/>
      <c r="Q7223" s="16"/>
    </row>
    <row r="7224" spans="4:17" x14ac:dyDescent="0.25">
      <c r="D7224" s="16"/>
      <c r="Q7224" s="16"/>
    </row>
    <row r="7227" spans="4:17" x14ac:dyDescent="0.25">
      <c r="D7227" s="16"/>
      <c r="Q7227" s="16"/>
    </row>
    <row r="7228" spans="4:17" x14ac:dyDescent="0.25">
      <c r="D7228" s="16"/>
      <c r="Q7228" s="16"/>
    </row>
    <row r="7231" spans="4:17" x14ac:dyDescent="0.25">
      <c r="D7231" s="16"/>
      <c r="Q7231" s="16"/>
    </row>
    <row r="7232" spans="4:17" x14ac:dyDescent="0.25">
      <c r="D7232" s="16"/>
      <c r="Q7232" s="16"/>
    </row>
    <row r="7233" spans="4:17" x14ac:dyDescent="0.25">
      <c r="D7233" s="16"/>
      <c r="Q7233" s="16"/>
    </row>
    <row r="7234" spans="4:17" x14ac:dyDescent="0.25">
      <c r="D7234" s="16"/>
      <c r="Q7234" s="16"/>
    </row>
    <row r="7235" spans="4:17" x14ac:dyDescent="0.25">
      <c r="D7235" s="16"/>
      <c r="Q7235" s="16"/>
    </row>
    <row r="7238" spans="4:17" x14ac:dyDescent="0.25">
      <c r="D7238" s="16"/>
      <c r="Q7238" s="16"/>
    </row>
    <row r="7241" spans="4:17" x14ac:dyDescent="0.25">
      <c r="D7241" s="16"/>
      <c r="Q7241" s="16"/>
    </row>
    <row r="7242" spans="4:17" x14ac:dyDescent="0.25">
      <c r="D7242" s="16"/>
      <c r="Q7242" s="16"/>
    </row>
    <row r="7243" spans="4:17" x14ac:dyDescent="0.25">
      <c r="D7243" s="16"/>
      <c r="Q7243" s="16"/>
    </row>
    <row r="7244" spans="4:17" x14ac:dyDescent="0.25">
      <c r="D7244" s="16"/>
      <c r="Q7244" s="16"/>
    </row>
    <row r="7245" spans="4:17" x14ac:dyDescent="0.25">
      <c r="D7245" s="16"/>
      <c r="Q7245" s="16"/>
    </row>
    <row r="7246" spans="4:17" x14ac:dyDescent="0.25">
      <c r="D7246" s="16"/>
      <c r="Q7246" s="16"/>
    </row>
    <row r="7247" spans="4:17" x14ac:dyDescent="0.25">
      <c r="D7247" s="16"/>
      <c r="Q7247" s="16"/>
    </row>
    <row r="7248" spans="4:17" x14ac:dyDescent="0.25">
      <c r="D7248" s="16"/>
      <c r="Q7248" s="16"/>
    </row>
    <row r="7251" spans="4:17" x14ac:dyDescent="0.25">
      <c r="D7251" s="16"/>
      <c r="Q7251" s="16"/>
    </row>
    <row r="7254" spans="4:17" x14ac:dyDescent="0.25">
      <c r="D7254" s="16"/>
      <c r="Q7254" s="16"/>
    </row>
    <row r="7255" spans="4:17" x14ac:dyDescent="0.25">
      <c r="D7255" s="16"/>
      <c r="Q7255" s="16"/>
    </row>
    <row r="7256" spans="4:17" x14ac:dyDescent="0.25">
      <c r="D7256" s="16"/>
      <c r="Q7256" s="16"/>
    </row>
    <row r="7257" spans="4:17" x14ac:dyDescent="0.25">
      <c r="D7257" s="16"/>
      <c r="Q7257" s="16"/>
    </row>
    <row r="7258" spans="4:17" x14ac:dyDescent="0.25">
      <c r="D7258" s="16"/>
      <c r="Q7258" s="16"/>
    </row>
    <row r="7259" spans="4:17" x14ac:dyDescent="0.25">
      <c r="D7259" s="16"/>
      <c r="Q7259" s="16"/>
    </row>
    <row r="7260" spans="4:17" x14ac:dyDescent="0.25">
      <c r="D7260" s="16"/>
      <c r="Q7260" s="16"/>
    </row>
    <row r="7261" spans="4:17" x14ac:dyDescent="0.25">
      <c r="D7261" s="16"/>
      <c r="Q7261" s="16"/>
    </row>
    <row r="7264" spans="4:17" x14ac:dyDescent="0.25">
      <c r="D7264" s="16"/>
      <c r="Q7264" s="16"/>
    </row>
    <row r="7265" spans="4:17" x14ac:dyDescent="0.25">
      <c r="D7265" s="16"/>
      <c r="Q7265" s="16"/>
    </row>
    <row r="7266" spans="4:17" x14ac:dyDescent="0.25">
      <c r="D7266" s="16"/>
      <c r="Q7266" s="16"/>
    </row>
    <row r="7267" spans="4:17" x14ac:dyDescent="0.25">
      <c r="D7267" s="16"/>
      <c r="Q7267" s="16"/>
    </row>
    <row r="7268" spans="4:17" x14ac:dyDescent="0.25">
      <c r="D7268" s="16"/>
      <c r="Q7268" s="16"/>
    </row>
    <row r="7269" spans="4:17" x14ac:dyDescent="0.25">
      <c r="D7269" s="16"/>
      <c r="Q7269" s="16"/>
    </row>
    <row r="7270" spans="4:17" x14ac:dyDescent="0.25">
      <c r="D7270" s="16"/>
      <c r="Q7270" s="16"/>
    </row>
    <row r="7271" spans="4:17" x14ac:dyDescent="0.25">
      <c r="D7271" s="16"/>
      <c r="Q7271" s="16"/>
    </row>
    <row r="7272" spans="4:17" x14ac:dyDescent="0.25">
      <c r="D7272" s="16"/>
      <c r="Q7272" s="16"/>
    </row>
    <row r="7273" spans="4:17" x14ac:dyDescent="0.25">
      <c r="D7273" s="16"/>
      <c r="Q7273" s="16"/>
    </row>
    <row r="7274" spans="4:17" x14ac:dyDescent="0.25">
      <c r="D7274" s="16"/>
      <c r="Q7274" s="16"/>
    </row>
    <row r="7275" spans="4:17" x14ac:dyDescent="0.25">
      <c r="D7275" s="16"/>
      <c r="Q7275" s="16"/>
    </row>
    <row r="7276" spans="4:17" x14ac:dyDescent="0.25">
      <c r="D7276" s="16"/>
      <c r="Q7276" s="16"/>
    </row>
    <row r="7277" spans="4:17" x14ac:dyDescent="0.25">
      <c r="D7277" s="16"/>
      <c r="Q7277" s="16"/>
    </row>
    <row r="7278" spans="4:17" x14ac:dyDescent="0.25">
      <c r="D7278" s="16"/>
      <c r="Q7278" s="16"/>
    </row>
    <row r="7279" spans="4:17" x14ac:dyDescent="0.25">
      <c r="D7279" s="16"/>
      <c r="Q7279" s="16"/>
    </row>
    <row r="7280" spans="4:17" x14ac:dyDescent="0.25">
      <c r="D7280" s="16"/>
      <c r="Q7280" s="16"/>
    </row>
    <row r="7283" spans="4:17" x14ac:dyDescent="0.25">
      <c r="D7283" s="16"/>
      <c r="Q7283" s="16"/>
    </row>
    <row r="7286" spans="4:17" x14ac:dyDescent="0.25">
      <c r="D7286" s="16"/>
      <c r="Q7286" s="16"/>
    </row>
    <row r="7287" spans="4:17" x14ac:dyDescent="0.25">
      <c r="D7287" s="16"/>
      <c r="Q7287" s="16"/>
    </row>
    <row r="7288" spans="4:17" x14ac:dyDescent="0.25">
      <c r="D7288" s="16"/>
      <c r="Q7288" s="16"/>
    </row>
    <row r="7289" spans="4:17" x14ac:dyDescent="0.25">
      <c r="D7289" s="16"/>
      <c r="Q7289" s="16"/>
    </row>
    <row r="7290" spans="4:17" x14ac:dyDescent="0.25">
      <c r="D7290" s="16"/>
      <c r="Q7290" s="16"/>
    </row>
    <row r="7291" spans="4:17" x14ac:dyDescent="0.25">
      <c r="D7291" s="16"/>
      <c r="Q7291" s="16"/>
    </row>
    <row r="7292" spans="4:17" x14ac:dyDescent="0.25">
      <c r="D7292" s="16"/>
      <c r="Q7292" s="16"/>
    </row>
    <row r="7293" spans="4:17" x14ac:dyDescent="0.25">
      <c r="D7293" s="16"/>
      <c r="Q7293" s="16"/>
    </row>
    <row r="7294" spans="4:17" x14ac:dyDescent="0.25">
      <c r="D7294" s="16"/>
      <c r="Q7294" s="16"/>
    </row>
    <row r="7295" spans="4:17" x14ac:dyDescent="0.25">
      <c r="D7295" s="16"/>
      <c r="Q7295" s="16"/>
    </row>
    <row r="7296" spans="4:17" x14ac:dyDescent="0.25">
      <c r="D7296" s="16"/>
      <c r="Q7296" s="16"/>
    </row>
    <row r="7297" spans="4:17" x14ac:dyDescent="0.25">
      <c r="D7297" s="16"/>
      <c r="Q7297" s="16"/>
    </row>
    <row r="7298" spans="4:17" x14ac:dyDescent="0.25">
      <c r="D7298" s="16"/>
      <c r="Q7298" s="16"/>
    </row>
    <row r="7299" spans="4:17" x14ac:dyDescent="0.25">
      <c r="D7299" s="16"/>
      <c r="Q7299" s="16"/>
    </row>
    <row r="7300" spans="4:17" x14ac:dyDescent="0.25">
      <c r="D7300" s="16"/>
      <c r="Q7300" s="16"/>
    </row>
    <row r="7301" spans="4:17" x14ac:dyDescent="0.25">
      <c r="D7301" s="16"/>
      <c r="Q7301" s="16"/>
    </row>
    <row r="7302" spans="4:17" x14ac:dyDescent="0.25">
      <c r="D7302" s="16"/>
      <c r="Q7302" s="16"/>
    </row>
    <row r="7303" spans="4:17" x14ac:dyDescent="0.25">
      <c r="D7303" s="16"/>
      <c r="Q7303" s="16"/>
    </row>
    <row r="7306" spans="4:17" x14ac:dyDescent="0.25">
      <c r="D7306" s="16"/>
      <c r="Q7306" s="16"/>
    </row>
    <row r="7309" spans="4:17" x14ac:dyDescent="0.25">
      <c r="D7309" s="16"/>
      <c r="Q7309" s="16"/>
    </row>
    <row r="7310" spans="4:17" x14ac:dyDescent="0.25">
      <c r="D7310" s="16"/>
      <c r="Q7310" s="16"/>
    </row>
    <row r="7311" spans="4:17" x14ac:dyDescent="0.25">
      <c r="D7311" s="16"/>
      <c r="Q7311" s="16"/>
    </row>
    <row r="7312" spans="4:17" x14ac:dyDescent="0.25">
      <c r="D7312" s="16"/>
      <c r="Q7312" s="16"/>
    </row>
    <row r="7313" spans="4:17" x14ac:dyDescent="0.25">
      <c r="D7313" s="16"/>
      <c r="Q7313" s="16"/>
    </row>
    <row r="7314" spans="4:17" x14ac:dyDescent="0.25">
      <c r="D7314" s="16"/>
      <c r="Q7314" s="16"/>
    </row>
    <row r="7315" spans="4:17" x14ac:dyDescent="0.25">
      <c r="D7315" s="16"/>
      <c r="Q7315" s="16"/>
    </row>
    <row r="7318" spans="4:17" x14ac:dyDescent="0.25">
      <c r="D7318" s="16"/>
      <c r="Q7318" s="16"/>
    </row>
    <row r="7319" spans="4:17" x14ac:dyDescent="0.25">
      <c r="D7319" s="16"/>
      <c r="Q7319" s="16"/>
    </row>
    <row r="7322" spans="4:17" x14ac:dyDescent="0.25">
      <c r="D7322" s="16"/>
      <c r="Q7322" s="16"/>
    </row>
    <row r="7323" spans="4:17" x14ac:dyDescent="0.25">
      <c r="D7323" s="16"/>
      <c r="Q7323" s="16"/>
    </row>
    <row r="7326" spans="4:17" x14ac:dyDescent="0.25">
      <c r="D7326" s="16"/>
      <c r="Q7326" s="16"/>
    </row>
    <row r="7327" spans="4:17" x14ac:dyDescent="0.25">
      <c r="D7327" s="16"/>
      <c r="Q7327" s="16"/>
    </row>
    <row r="7328" spans="4:17" x14ac:dyDescent="0.25">
      <c r="D7328" s="16"/>
      <c r="Q7328" s="16"/>
    </row>
    <row r="7329" spans="4:17" x14ac:dyDescent="0.25">
      <c r="D7329" s="16"/>
      <c r="Q7329" s="16"/>
    </row>
    <row r="7330" spans="4:17" x14ac:dyDescent="0.25">
      <c r="D7330" s="16"/>
      <c r="Q7330" s="16"/>
    </row>
    <row r="7333" spans="4:17" x14ac:dyDescent="0.25">
      <c r="D7333" s="16"/>
      <c r="Q7333" s="16"/>
    </row>
    <row r="7334" spans="4:17" x14ac:dyDescent="0.25">
      <c r="D7334" s="16"/>
      <c r="Q7334" s="16"/>
    </row>
    <row r="7335" spans="4:17" x14ac:dyDescent="0.25">
      <c r="D7335" s="16"/>
      <c r="Q7335" s="16"/>
    </row>
    <row r="7336" spans="4:17" x14ac:dyDescent="0.25">
      <c r="D7336" s="16"/>
      <c r="Q7336" s="16"/>
    </row>
    <row r="7337" spans="4:17" x14ac:dyDescent="0.25">
      <c r="D7337" s="16"/>
      <c r="Q7337" s="16"/>
    </row>
    <row r="7340" spans="4:17" x14ac:dyDescent="0.25">
      <c r="D7340" s="16"/>
      <c r="Q7340" s="16"/>
    </row>
    <row r="7343" spans="4:17" x14ac:dyDescent="0.25">
      <c r="D7343" s="16"/>
      <c r="Q7343" s="16"/>
    </row>
    <row r="7344" spans="4:17" x14ac:dyDescent="0.25">
      <c r="D7344" s="16"/>
      <c r="Q7344" s="16"/>
    </row>
    <row r="7345" spans="4:17" x14ac:dyDescent="0.25">
      <c r="D7345" s="16"/>
      <c r="Q7345" s="16"/>
    </row>
    <row r="7346" spans="4:17" x14ac:dyDescent="0.25">
      <c r="D7346" s="16"/>
      <c r="Q7346" s="16"/>
    </row>
    <row r="7347" spans="4:17" x14ac:dyDescent="0.25">
      <c r="D7347" s="16"/>
      <c r="Q7347" s="16"/>
    </row>
    <row r="7348" spans="4:17" x14ac:dyDescent="0.25">
      <c r="D7348" s="16"/>
      <c r="Q7348" s="16"/>
    </row>
    <row r="7349" spans="4:17" x14ac:dyDescent="0.25">
      <c r="D7349" s="16"/>
      <c r="Q7349" s="16"/>
    </row>
    <row r="7350" spans="4:17" x14ac:dyDescent="0.25">
      <c r="D7350" s="16"/>
      <c r="Q7350" s="16"/>
    </row>
    <row r="7351" spans="4:17" x14ac:dyDescent="0.25">
      <c r="D7351" s="16"/>
      <c r="Q7351" s="16"/>
    </row>
    <row r="7352" spans="4:17" x14ac:dyDescent="0.25">
      <c r="D7352" s="16"/>
      <c r="Q7352" s="16"/>
    </row>
    <row r="7353" spans="4:17" x14ac:dyDescent="0.25">
      <c r="D7353" s="16"/>
      <c r="Q7353" s="16"/>
    </row>
    <row r="7354" spans="4:17" x14ac:dyDescent="0.25">
      <c r="D7354" s="16"/>
      <c r="Q7354" s="16"/>
    </row>
    <row r="7355" spans="4:17" x14ac:dyDescent="0.25">
      <c r="D7355" s="16"/>
      <c r="Q7355" s="16"/>
    </row>
    <row r="7356" spans="4:17" x14ac:dyDescent="0.25">
      <c r="D7356" s="16"/>
      <c r="Q7356" s="16"/>
    </row>
    <row r="7357" spans="4:17" x14ac:dyDescent="0.25">
      <c r="D7357" s="16"/>
      <c r="Q7357" s="16"/>
    </row>
    <row r="7358" spans="4:17" x14ac:dyDescent="0.25">
      <c r="D7358" s="16"/>
      <c r="Q7358" s="16"/>
    </row>
    <row r="7361" spans="4:17" x14ac:dyDescent="0.25">
      <c r="D7361" s="16"/>
      <c r="Q7361" s="16"/>
    </row>
    <row r="7362" spans="4:17" x14ac:dyDescent="0.25">
      <c r="D7362" s="16"/>
      <c r="Q7362" s="16"/>
    </row>
    <row r="7363" spans="4:17" x14ac:dyDescent="0.25">
      <c r="D7363" s="16"/>
      <c r="Q7363" s="16"/>
    </row>
    <row r="7364" spans="4:17" x14ac:dyDescent="0.25">
      <c r="D7364" s="16"/>
      <c r="Q7364" s="16"/>
    </row>
    <row r="7365" spans="4:17" x14ac:dyDescent="0.25">
      <c r="D7365" s="16"/>
      <c r="Q7365" s="16"/>
    </row>
    <row r="7366" spans="4:17" x14ac:dyDescent="0.25">
      <c r="D7366" s="16"/>
      <c r="Q7366" s="16"/>
    </row>
    <row r="7367" spans="4:17" x14ac:dyDescent="0.25">
      <c r="D7367" s="16"/>
      <c r="Q7367" s="16"/>
    </row>
    <row r="7370" spans="4:17" x14ac:dyDescent="0.25">
      <c r="D7370" s="16"/>
      <c r="Q7370" s="16"/>
    </row>
    <row r="7373" spans="4:17" x14ac:dyDescent="0.25">
      <c r="D7373" s="16"/>
      <c r="Q7373" s="16"/>
    </row>
    <row r="7374" spans="4:17" x14ac:dyDescent="0.25">
      <c r="D7374" s="16"/>
      <c r="Q7374" s="16"/>
    </row>
    <row r="7375" spans="4:17" x14ac:dyDescent="0.25">
      <c r="D7375" s="16"/>
      <c r="Q7375" s="16"/>
    </row>
    <row r="7376" spans="4:17" x14ac:dyDescent="0.25">
      <c r="D7376" s="16"/>
      <c r="Q7376" s="16"/>
    </row>
    <row r="7377" spans="4:17" x14ac:dyDescent="0.25">
      <c r="D7377" s="16"/>
      <c r="Q7377" s="16"/>
    </row>
    <row r="7378" spans="4:17" x14ac:dyDescent="0.25">
      <c r="D7378" s="16"/>
      <c r="Q7378" s="16"/>
    </row>
    <row r="7379" spans="4:17" x14ac:dyDescent="0.25">
      <c r="D7379" s="16"/>
      <c r="Q7379" s="16"/>
    </row>
    <row r="7380" spans="4:17" x14ac:dyDescent="0.25">
      <c r="D7380" s="16"/>
      <c r="Q7380" s="16"/>
    </row>
    <row r="7381" spans="4:17" x14ac:dyDescent="0.25">
      <c r="D7381" s="16"/>
      <c r="Q7381" s="16"/>
    </row>
    <row r="7382" spans="4:17" x14ac:dyDescent="0.25">
      <c r="D7382" s="16"/>
      <c r="Q7382" s="16"/>
    </row>
    <row r="7385" spans="4:17" x14ac:dyDescent="0.25">
      <c r="D7385" s="16"/>
      <c r="Q7385" s="16"/>
    </row>
    <row r="7386" spans="4:17" x14ac:dyDescent="0.25">
      <c r="D7386" s="16"/>
      <c r="Q7386" s="16"/>
    </row>
    <row r="7387" spans="4:17" x14ac:dyDescent="0.25">
      <c r="D7387" s="16"/>
      <c r="Q7387" s="16"/>
    </row>
    <row r="7388" spans="4:17" x14ac:dyDescent="0.25">
      <c r="D7388" s="16"/>
      <c r="Q7388" s="16"/>
    </row>
    <row r="7389" spans="4:17" x14ac:dyDescent="0.25">
      <c r="D7389" s="16"/>
      <c r="Q7389" s="16"/>
    </row>
    <row r="7390" spans="4:17" x14ac:dyDescent="0.25">
      <c r="D7390" s="16"/>
      <c r="Q7390" s="16"/>
    </row>
    <row r="7393" spans="4:17" x14ac:dyDescent="0.25">
      <c r="D7393" s="16"/>
      <c r="Q7393" s="16"/>
    </row>
    <row r="7394" spans="4:17" x14ac:dyDescent="0.25">
      <c r="D7394" s="16"/>
      <c r="Q7394" s="16"/>
    </row>
    <row r="7395" spans="4:17" x14ac:dyDescent="0.25">
      <c r="D7395" s="16"/>
      <c r="Q7395" s="16"/>
    </row>
    <row r="7396" spans="4:17" x14ac:dyDescent="0.25">
      <c r="D7396" s="16"/>
      <c r="Q7396" s="16"/>
    </row>
    <row r="7399" spans="4:17" x14ac:dyDescent="0.25">
      <c r="D7399" s="16"/>
      <c r="Q7399" s="16"/>
    </row>
    <row r="7400" spans="4:17" x14ac:dyDescent="0.25">
      <c r="D7400" s="16"/>
      <c r="Q7400" s="16"/>
    </row>
    <row r="7401" spans="4:17" x14ac:dyDescent="0.25">
      <c r="D7401" s="16"/>
      <c r="Q7401" s="16"/>
    </row>
    <row r="7402" spans="4:17" x14ac:dyDescent="0.25">
      <c r="D7402" s="16"/>
      <c r="Q7402" s="16"/>
    </row>
    <row r="7403" spans="4:17" x14ac:dyDescent="0.25">
      <c r="D7403" s="16"/>
      <c r="Q7403" s="16"/>
    </row>
    <row r="7406" spans="4:17" x14ac:dyDescent="0.25">
      <c r="D7406" s="16"/>
      <c r="Q7406" s="16"/>
    </row>
    <row r="7407" spans="4:17" x14ac:dyDescent="0.25">
      <c r="D7407" s="16"/>
      <c r="Q7407" s="16"/>
    </row>
    <row r="7408" spans="4:17" x14ac:dyDescent="0.25">
      <c r="D7408" s="16"/>
      <c r="Q7408" s="16"/>
    </row>
    <row r="7409" spans="4:17" x14ac:dyDescent="0.25">
      <c r="D7409" s="16"/>
      <c r="Q7409" s="16"/>
    </row>
    <row r="7410" spans="4:17" x14ac:dyDescent="0.25">
      <c r="D7410" s="16"/>
      <c r="Q7410" s="16"/>
    </row>
    <row r="7411" spans="4:17" x14ac:dyDescent="0.25">
      <c r="D7411" s="16"/>
      <c r="Q7411" s="16"/>
    </row>
    <row r="7414" spans="4:17" x14ac:dyDescent="0.25">
      <c r="D7414" s="16"/>
      <c r="Q7414" s="16"/>
    </row>
    <row r="7415" spans="4:17" x14ac:dyDescent="0.25">
      <c r="D7415" s="16"/>
      <c r="Q7415" s="16"/>
    </row>
    <row r="7416" spans="4:17" x14ac:dyDescent="0.25">
      <c r="D7416" s="16"/>
      <c r="Q7416" s="16"/>
    </row>
    <row r="7419" spans="4:17" x14ac:dyDescent="0.25">
      <c r="D7419" s="16"/>
      <c r="Q7419" s="16"/>
    </row>
    <row r="7422" spans="4:17" x14ac:dyDescent="0.25">
      <c r="D7422" s="16"/>
      <c r="Q7422" s="16"/>
    </row>
    <row r="7423" spans="4:17" x14ac:dyDescent="0.25">
      <c r="D7423" s="16"/>
      <c r="Q7423" s="16"/>
    </row>
    <row r="7424" spans="4:17" x14ac:dyDescent="0.25">
      <c r="D7424" s="16"/>
      <c r="Q7424" s="16"/>
    </row>
    <row r="7425" spans="4:17" x14ac:dyDescent="0.25">
      <c r="D7425" s="16"/>
      <c r="Q7425" s="16"/>
    </row>
    <row r="7426" spans="4:17" x14ac:dyDescent="0.25">
      <c r="D7426" s="16"/>
      <c r="Q7426" s="16"/>
    </row>
    <row r="7427" spans="4:17" x14ac:dyDescent="0.25">
      <c r="D7427" s="16"/>
      <c r="Q7427" s="16"/>
    </row>
    <row r="7428" spans="4:17" x14ac:dyDescent="0.25">
      <c r="D7428" s="16"/>
      <c r="Q7428" s="16"/>
    </row>
    <row r="7429" spans="4:17" x14ac:dyDescent="0.25">
      <c r="D7429" s="16"/>
      <c r="Q7429" s="16"/>
    </row>
    <row r="7430" spans="4:17" x14ac:dyDescent="0.25">
      <c r="D7430" s="16"/>
      <c r="Q7430" s="16"/>
    </row>
    <row r="7433" spans="4:17" x14ac:dyDescent="0.25">
      <c r="D7433" s="16"/>
      <c r="Q7433" s="16"/>
    </row>
    <row r="7434" spans="4:17" x14ac:dyDescent="0.25">
      <c r="D7434" s="16"/>
      <c r="Q7434" s="16"/>
    </row>
    <row r="7435" spans="4:17" x14ac:dyDescent="0.25">
      <c r="D7435" s="16"/>
      <c r="Q7435" s="16"/>
    </row>
    <row r="7436" spans="4:17" x14ac:dyDescent="0.25">
      <c r="D7436" s="16"/>
      <c r="Q7436" s="16"/>
    </row>
    <row r="7439" spans="4:17" x14ac:dyDescent="0.25">
      <c r="D7439" s="16"/>
      <c r="Q7439" s="16"/>
    </row>
    <row r="7442" spans="4:17" x14ac:dyDescent="0.25">
      <c r="D7442" s="16"/>
      <c r="Q7442" s="16"/>
    </row>
    <row r="7443" spans="4:17" x14ac:dyDescent="0.25">
      <c r="D7443" s="16"/>
      <c r="Q7443" s="16"/>
    </row>
    <row r="7444" spans="4:17" x14ac:dyDescent="0.25">
      <c r="D7444" s="16"/>
      <c r="Q7444" s="16"/>
    </row>
    <row r="7447" spans="4:17" x14ac:dyDescent="0.25">
      <c r="D7447" s="16"/>
      <c r="Q7447" s="16"/>
    </row>
    <row r="7450" spans="4:17" x14ac:dyDescent="0.25">
      <c r="D7450" s="16"/>
      <c r="Q7450" s="16"/>
    </row>
    <row r="7451" spans="4:17" x14ac:dyDescent="0.25">
      <c r="D7451" s="16"/>
      <c r="Q7451" s="16"/>
    </row>
    <row r="7452" spans="4:17" x14ac:dyDescent="0.25">
      <c r="D7452" s="16"/>
      <c r="Q7452" s="16"/>
    </row>
    <row r="7455" spans="4:17" x14ac:dyDescent="0.25">
      <c r="D7455" s="16"/>
      <c r="Q7455" s="16"/>
    </row>
    <row r="7456" spans="4:17" x14ac:dyDescent="0.25">
      <c r="D7456" s="16"/>
      <c r="Q7456" s="16"/>
    </row>
    <row r="7457" spans="4:17" x14ac:dyDescent="0.25">
      <c r="D7457" s="16"/>
      <c r="Q7457" s="16"/>
    </row>
    <row r="7458" spans="4:17" x14ac:dyDescent="0.25">
      <c r="D7458" s="16"/>
      <c r="Q7458" s="16"/>
    </row>
    <row r="7459" spans="4:17" x14ac:dyDescent="0.25">
      <c r="D7459" s="16"/>
      <c r="Q7459" s="16"/>
    </row>
    <row r="7460" spans="4:17" x14ac:dyDescent="0.25">
      <c r="D7460" s="16"/>
      <c r="Q7460" s="16"/>
    </row>
    <row r="7461" spans="4:17" x14ac:dyDescent="0.25">
      <c r="D7461" s="16"/>
      <c r="Q7461" s="16"/>
    </row>
    <row r="7462" spans="4:17" x14ac:dyDescent="0.25">
      <c r="D7462" s="16"/>
      <c r="Q7462" s="16"/>
    </row>
    <row r="7463" spans="4:17" x14ac:dyDescent="0.25">
      <c r="D7463" s="16"/>
      <c r="Q7463" s="16"/>
    </row>
    <row r="7464" spans="4:17" x14ac:dyDescent="0.25">
      <c r="D7464" s="16"/>
      <c r="Q7464" s="16"/>
    </row>
    <row r="7465" spans="4:17" x14ac:dyDescent="0.25">
      <c r="D7465" s="16"/>
      <c r="Q7465" s="16"/>
    </row>
    <row r="7466" spans="4:17" x14ac:dyDescent="0.25">
      <c r="D7466" s="16"/>
      <c r="Q7466" s="16"/>
    </row>
    <row r="7467" spans="4:17" x14ac:dyDescent="0.25">
      <c r="D7467" s="16"/>
      <c r="Q7467" s="16"/>
    </row>
    <row r="7468" spans="4:17" x14ac:dyDescent="0.25">
      <c r="D7468" s="16"/>
      <c r="Q7468" s="16"/>
    </row>
    <row r="7469" spans="4:17" x14ac:dyDescent="0.25">
      <c r="D7469" s="16"/>
      <c r="Q7469" s="16"/>
    </row>
    <row r="7470" spans="4:17" x14ac:dyDescent="0.25">
      <c r="D7470" s="16"/>
      <c r="Q7470" s="16"/>
    </row>
    <row r="7471" spans="4:17" x14ac:dyDescent="0.25">
      <c r="D7471" s="16"/>
      <c r="Q7471" s="16"/>
    </row>
    <row r="7474" spans="4:17" x14ac:dyDescent="0.25">
      <c r="D7474" s="16"/>
      <c r="Q7474" s="16"/>
    </row>
    <row r="7477" spans="4:17" x14ac:dyDescent="0.25">
      <c r="D7477" s="16"/>
      <c r="Q7477" s="16"/>
    </row>
    <row r="7480" spans="4:17" x14ac:dyDescent="0.25">
      <c r="D7480" s="16"/>
      <c r="Q7480" s="16"/>
    </row>
    <row r="7483" spans="4:17" x14ac:dyDescent="0.25">
      <c r="D7483" s="16"/>
      <c r="Q7483" s="16"/>
    </row>
    <row r="7486" spans="4:17" x14ac:dyDescent="0.25">
      <c r="D7486" s="16"/>
      <c r="Q7486" s="16"/>
    </row>
    <row r="7489" spans="4:17" x14ac:dyDescent="0.25">
      <c r="D7489" s="16"/>
      <c r="Q7489" s="16"/>
    </row>
    <row r="7492" spans="4:17" x14ac:dyDescent="0.25">
      <c r="D7492" s="16"/>
      <c r="Q7492" s="16"/>
    </row>
    <row r="7495" spans="4:17" x14ac:dyDescent="0.25">
      <c r="D7495" s="16"/>
      <c r="Q7495" s="16"/>
    </row>
    <row r="7498" spans="4:17" x14ac:dyDescent="0.25">
      <c r="D7498" s="16"/>
      <c r="Q7498" s="16"/>
    </row>
    <row r="7501" spans="4:17" x14ac:dyDescent="0.25">
      <c r="D7501" s="16"/>
      <c r="Q7501" s="16"/>
    </row>
    <row r="7504" spans="4:17" x14ac:dyDescent="0.25">
      <c r="D7504" s="16"/>
      <c r="Q7504" s="16"/>
    </row>
    <row r="7505" spans="4:17" x14ac:dyDescent="0.25">
      <c r="D7505" s="16"/>
      <c r="Q7505" s="16"/>
    </row>
    <row r="7508" spans="4:17" x14ac:dyDescent="0.25">
      <c r="D7508" s="16"/>
      <c r="Q7508" s="16"/>
    </row>
    <row r="7511" spans="4:17" x14ac:dyDescent="0.25">
      <c r="D7511" s="16"/>
      <c r="Q7511" s="16"/>
    </row>
    <row r="7514" spans="4:17" x14ac:dyDescent="0.25">
      <c r="D7514" s="16"/>
      <c r="Q7514" s="16"/>
    </row>
    <row r="7517" spans="4:17" x14ac:dyDescent="0.25">
      <c r="D7517" s="16"/>
      <c r="Q7517" s="16"/>
    </row>
    <row r="7520" spans="4:17" x14ac:dyDescent="0.25">
      <c r="D7520" s="16"/>
      <c r="Q7520" s="16"/>
    </row>
    <row r="7523" spans="4:17" x14ac:dyDescent="0.25">
      <c r="D7523" s="16"/>
      <c r="Q7523" s="16"/>
    </row>
    <row r="7526" spans="4:17" x14ac:dyDescent="0.25">
      <c r="D7526" s="16"/>
      <c r="Q7526" s="16"/>
    </row>
    <row r="7529" spans="4:17" x14ac:dyDescent="0.25">
      <c r="D7529" s="16"/>
      <c r="Q7529" s="16"/>
    </row>
    <row r="7532" spans="4:17" x14ac:dyDescent="0.25">
      <c r="D7532" s="16"/>
      <c r="Q7532" s="16"/>
    </row>
    <row r="7535" spans="4:17" x14ac:dyDescent="0.25">
      <c r="D7535" s="16"/>
      <c r="Q7535" s="16"/>
    </row>
    <row r="7538" spans="4:17" x14ac:dyDescent="0.25">
      <c r="D7538" s="16"/>
      <c r="Q7538" s="16"/>
    </row>
    <row r="7541" spans="4:17" x14ac:dyDescent="0.25">
      <c r="D7541" s="16"/>
      <c r="Q7541" s="16"/>
    </row>
    <row r="7544" spans="4:17" x14ac:dyDescent="0.25">
      <c r="D7544" s="16"/>
      <c r="Q7544" s="16"/>
    </row>
    <row r="7547" spans="4:17" x14ac:dyDescent="0.25">
      <c r="D7547" s="16"/>
      <c r="Q7547" s="16"/>
    </row>
    <row r="7550" spans="4:17" x14ac:dyDescent="0.25">
      <c r="D7550" s="16"/>
      <c r="Q7550" s="16"/>
    </row>
    <row r="7553" spans="4:17" x14ac:dyDescent="0.25">
      <c r="D7553" s="16"/>
      <c r="Q7553" s="16"/>
    </row>
    <row r="7556" spans="4:17" x14ac:dyDescent="0.25">
      <c r="D7556" s="16"/>
      <c r="Q7556" s="16"/>
    </row>
    <row r="7559" spans="4:17" x14ac:dyDescent="0.25">
      <c r="D7559" s="16"/>
      <c r="Q7559" s="16"/>
    </row>
    <row r="7562" spans="4:17" x14ac:dyDescent="0.25">
      <c r="D7562" s="16"/>
      <c r="Q7562" s="16"/>
    </row>
    <row r="7565" spans="4:17" x14ac:dyDescent="0.25">
      <c r="D7565" s="16"/>
      <c r="Q7565" s="16"/>
    </row>
    <row r="7568" spans="4:17" x14ac:dyDescent="0.25">
      <c r="D7568" s="16"/>
      <c r="Q7568" s="16"/>
    </row>
    <row r="7571" spans="4:17" x14ac:dyDescent="0.25">
      <c r="D7571" s="16"/>
      <c r="Q7571" s="16"/>
    </row>
    <row r="7574" spans="4:17" x14ac:dyDescent="0.25">
      <c r="D7574" s="16"/>
      <c r="Q7574" s="16"/>
    </row>
    <row r="7577" spans="4:17" x14ac:dyDescent="0.25">
      <c r="D7577" s="16"/>
      <c r="Q7577" s="16"/>
    </row>
    <row r="7580" spans="4:17" x14ac:dyDescent="0.25">
      <c r="D7580" s="16"/>
      <c r="Q7580" s="16"/>
    </row>
    <row r="7583" spans="4:17" x14ac:dyDescent="0.25">
      <c r="D7583" s="16"/>
      <c r="Q7583" s="16"/>
    </row>
    <row r="7586" spans="4:17" x14ac:dyDescent="0.25">
      <c r="D7586" s="16"/>
      <c r="Q7586" s="16"/>
    </row>
    <row r="7589" spans="4:17" x14ac:dyDescent="0.25">
      <c r="D7589" s="16"/>
      <c r="Q7589" s="16"/>
    </row>
    <row r="7592" spans="4:17" x14ac:dyDescent="0.25">
      <c r="D7592" s="16"/>
      <c r="Q7592" s="16"/>
    </row>
    <row r="7595" spans="4:17" x14ac:dyDescent="0.25">
      <c r="D7595" s="16"/>
      <c r="Q7595" s="16"/>
    </row>
    <row r="7598" spans="4:17" x14ac:dyDescent="0.25">
      <c r="D7598" s="16"/>
      <c r="Q7598" s="16"/>
    </row>
    <row r="7601" spans="4:17" x14ac:dyDescent="0.25">
      <c r="D7601" s="16"/>
      <c r="Q7601" s="16"/>
    </row>
    <row r="7604" spans="4:17" x14ac:dyDescent="0.25">
      <c r="D7604" s="16"/>
      <c r="Q7604" s="16"/>
    </row>
    <row r="7607" spans="4:17" x14ac:dyDescent="0.25">
      <c r="D7607" s="16"/>
      <c r="Q7607" s="16"/>
    </row>
    <row r="7610" spans="4:17" x14ac:dyDescent="0.25">
      <c r="D7610" s="16"/>
      <c r="Q7610" s="16"/>
    </row>
    <row r="7613" spans="4:17" x14ac:dyDescent="0.25">
      <c r="D7613" s="16"/>
      <c r="Q7613" s="16"/>
    </row>
    <row r="7616" spans="4:17" x14ac:dyDescent="0.25">
      <c r="D7616" s="16"/>
      <c r="Q7616" s="16"/>
    </row>
    <row r="7619" spans="4:17" x14ac:dyDescent="0.25">
      <c r="D7619" s="16"/>
      <c r="Q7619" s="16"/>
    </row>
    <row r="7622" spans="4:17" x14ac:dyDescent="0.25">
      <c r="D7622" s="16"/>
      <c r="Q7622" s="16"/>
    </row>
    <row r="7625" spans="4:17" x14ac:dyDescent="0.25">
      <c r="D7625" s="16"/>
      <c r="Q7625" s="16"/>
    </row>
    <row r="7628" spans="4:17" x14ac:dyDescent="0.25">
      <c r="D7628" s="16"/>
      <c r="Q7628" s="16"/>
    </row>
    <row r="7631" spans="4:17" x14ac:dyDescent="0.25">
      <c r="D7631" s="16"/>
      <c r="Q7631" s="16"/>
    </row>
    <row r="7634" spans="4:17" x14ac:dyDescent="0.25">
      <c r="D7634" s="16"/>
      <c r="Q7634" s="16"/>
    </row>
    <row r="7637" spans="4:17" x14ac:dyDescent="0.25">
      <c r="D7637" s="16"/>
      <c r="Q7637" s="16"/>
    </row>
    <row r="7640" spans="4:17" x14ac:dyDescent="0.25">
      <c r="D7640" s="16"/>
      <c r="Q7640" s="16"/>
    </row>
    <row r="7643" spans="4:17" x14ac:dyDescent="0.25">
      <c r="D7643" s="16"/>
      <c r="Q7643" s="16"/>
    </row>
    <row r="7646" spans="4:17" x14ac:dyDescent="0.25">
      <c r="D7646" s="16"/>
      <c r="Q7646" s="16"/>
    </row>
    <row r="7649" spans="4:17" x14ac:dyDescent="0.25">
      <c r="D7649" s="16"/>
      <c r="Q7649" s="16"/>
    </row>
    <row r="7652" spans="4:17" x14ac:dyDescent="0.25">
      <c r="D7652" s="16"/>
      <c r="Q7652" s="16"/>
    </row>
    <row r="7655" spans="4:17" x14ac:dyDescent="0.25">
      <c r="D7655" s="16"/>
      <c r="Q7655" s="16"/>
    </row>
    <row r="7658" spans="4:17" x14ac:dyDescent="0.25">
      <c r="D7658" s="16"/>
      <c r="Q7658" s="16"/>
    </row>
    <row r="7661" spans="4:17" x14ac:dyDescent="0.25">
      <c r="D7661" s="16"/>
      <c r="Q7661" s="16"/>
    </row>
    <row r="7664" spans="4:17" x14ac:dyDescent="0.25">
      <c r="D7664" s="16"/>
      <c r="Q7664" s="16"/>
    </row>
    <row r="7667" spans="4:17" x14ac:dyDescent="0.25">
      <c r="D7667" s="16"/>
      <c r="Q7667" s="16"/>
    </row>
    <row r="7670" spans="4:17" x14ac:dyDescent="0.25">
      <c r="D7670" s="16"/>
      <c r="Q7670" s="16"/>
    </row>
    <row r="7673" spans="4:17" x14ac:dyDescent="0.25">
      <c r="D7673" s="16"/>
      <c r="Q7673" s="16"/>
    </row>
    <row r="7676" spans="4:17" x14ac:dyDescent="0.25">
      <c r="D7676" s="16"/>
      <c r="Q7676" s="16"/>
    </row>
    <row r="7679" spans="4:17" x14ac:dyDescent="0.25">
      <c r="D7679" s="16"/>
      <c r="Q7679" s="16"/>
    </row>
    <row r="7682" spans="4:17" x14ac:dyDescent="0.25">
      <c r="D7682" s="16"/>
      <c r="Q7682" s="16"/>
    </row>
    <row r="7685" spans="4:17" x14ac:dyDescent="0.25">
      <c r="D7685" s="16"/>
      <c r="Q7685" s="16"/>
    </row>
    <row r="7688" spans="4:17" x14ac:dyDescent="0.25">
      <c r="D7688" s="16"/>
      <c r="Q7688" s="16"/>
    </row>
    <row r="7691" spans="4:17" x14ac:dyDescent="0.25">
      <c r="D7691" s="16"/>
      <c r="Q7691" s="16"/>
    </row>
    <row r="7694" spans="4:17" x14ac:dyDescent="0.25">
      <c r="D7694" s="16"/>
      <c r="Q7694" s="16"/>
    </row>
    <row r="7697" spans="4:17" x14ac:dyDescent="0.25">
      <c r="D7697" s="16"/>
      <c r="Q7697" s="16"/>
    </row>
    <row r="7700" spans="4:17" x14ac:dyDescent="0.25">
      <c r="D7700" s="16"/>
      <c r="Q7700" s="16"/>
    </row>
    <row r="7703" spans="4:17" x14ac:dyDescent="0.25">
      <c r="D7703" s="16"/>
      <c r="Q7703" s="16"/>
    </row>
    <row r="7706" spans="4:17" x14ac:dyDescent="0.25">
      <c r="D7706" s="16"/>
      <c r="Q7706" s="16"/>
    </row>
    <row r="7709" spans="4:17" x14ac:dyDescent="0.25">
      <c r="D7709" s="16"/>
      <c r="Q7709" s="16"/>
    </row>
    <row r="7712" spans="4:17" x14ac:dyDescent="0.25">
      <c r="D7712" s="16"/>
      <c r="Q7712" s="16"/>
    </row>
    <row r="7715" spans="4:17" x14ac:dyDescent="0.25">
      <c r="D7715" s="16"/>
      <c r="Q7715" s="16"/>
    </row>
    <row r="7718" spans="4:17" x14ac:dyDescent="0.25">
      <c r="D7718" s="16"/>
      <c r="Q7718" s="16"/>
    </row>
    <row r="7721" spans="4:17" x14ac:dyDescent="0.25">
      <c r="D7721" s="16"/>
      <c r="Q7721" s="16"/>
    </row>
    <row r="7724" spans="4:17" x14ac:dyDescent="0.25">
      <c r="D7724" s="16"/>
      <c r="Q7724" s="16"/>
    </row>
    <row r="7727" spans="4:17" x14ac:dyDescent="0.25">
      <c r="D7727" s="16"/>
      <c r="Q7727" s="16"/>
    </row>
    <row r="7730" spans="4:17" x14ac:dyDescent="0.25">
      <c r="D7730" s="16"/>
      <c r="Q7730" s="16"/>
    </row>
    <row r="7733" spans="4:17" x14ac:dyDescent="0.25">
      <c r="D7733" s="16"/>
      <c r="Q7733" s="16"/>
    </row>
    <row r="7736" spans="4:17" x14ac:dyDescent="0.25">
      <c r="D7736" s="16"/>
      <c r="Q7736" s="16"/>
    </row>
    <row r="7739" spans="4:17" x14ac:dyDescent="0.25">
      <c r="D7739" s="16"/>
      <c r="Q7739" s="16"/>
    </row>
    <row r="7742" spans="4:17" x14ac:dyDescent="0.25">
      <c r="D7742" s="16"/>
      <c r="Q7742" s="16"/>
    </row>
    <row r="7745" spans="4:17" x14ac:dyDescent="0.25">
      <c r="D7745" s="16"/>
      <c r="Q7745" s="16"/>
    </row>
    <row r="7748" spans="4:17" x14ac:dyDescent="0.25">
      <c r="D7748" s="16"/>
      <c r="Q7748" s="16"/>
    </row>
    <row r="7751" spans="4:17" x14ac:dyDescent="0.25">
      <c r="D7751" s="16"/>
      <c r="Q7751" s="16"/>
    </row>
    <row r="7754" spans="4:17" x14ac:dyDescent="0.25">
      <c r="D7754" s="16"/>
      <c r="Q7754" s="16"/>
    </row>
    <row r="7757" spans="4:17" x14ac:dyDescent="0.25">
      <c r="D7757" s="16"/>
      <c r="Q7757" s="16"/>
    </row>
    <row r="7760" spans="4:17" x14ac:dyDescent="0.25">
      <c r="D7760" s="16"/>
      <c r="Q7760" s="16"/>
    </row>
    <row r="7763" spans="4:17" x14ac:dyDescent="0.25">
      <c r="D7763" s="16"/>
      <c r="Q7763" s="16"/>
    </row>
    <row r="7766" spans="4:17" x14ac:dyDescent="0.25">
      <c r="D7766" s="16"/>
      <c r="Q7766" s="16"/>
    </row>
    <row r="7769" spans="4:17" x14ac:dyDescent="0.25">
      <c r="D7769" s="16"/>
      <c r="Q7769" s="16"/>
    </row>
    <row r="7772" spans="4:17" x14ac:dyDescent="0.25">
      <c r="D7772" s="16"/>
      <c r="Q7772" s="16"/>
    </row>
    <row r="7775" spans="4:17" x14ac:dyDescent="0.25">
      <c r="D7775" s="16"/>
      <c r="Q7775" s="16"/>
    </row>
    <row r="7778" spans="4:17" x14ac:dyDescent="0.25">
      <c r="D7778" s="16"/>
      <c r="Q7778" s="16"/>
    </row>
    <row r="7781" spans="4:17" x14ac:dyDescent="0.25">
      <c r="D7781" s="16"/>
      <c r="Q7781" s="16"/>
    </row>
    <row r="7784" spans="4:17" x14ac:dyDescent="0.25">
      <c r="D7784" s="16"/>
      <c r="Q7784" s="16"/>
    </row>
    <row r="7787" spans="4:17" x14ac:dyDescent="0.25">
      <c r="D7787" s="16"/>
      <c r="Q7787" s="16"/>
    </row>
    <row r="7790" spans="4:17" x14ac:dyDescent="0.25">
      <c r="D7790" s="16"/>
      <c r="Q7790" s="16"/>
    </row>
    <row r="7793" spans="4:17" x14ac:dyDescent="0.25">
      <c r="D7793" s="16"/>
      <c r="Q7793" s="16"/>
    </row>
    <row r="7796" spans="4:17" x14ac:dyDescent="0.25">
      <c r="D7796" s="16"/>
      <c r="Q7796" s="16"/>
    </row>
    <row r="7799" spans="4:17" x14ac:dyDescent="0.25">
      <c r="D7799" s="16"/>
      <c r="Q7799" s="16"/>
    </row>
    <row r="7802" spans="4:17" x14ac:dyDescent="0.25">
      <c r="D7802" s="16"/>
      <c r="Q7802" s="16"/>
    </row>
    <row r="7805" spans="4:17" x14ac:dyDescent="0.25">
      <c r="D7805" s="16"/>
      <c r="Q7805" s="16"/>
    </row>
    <row r="7808" spans="4:17" x14ac:dyDescent="0.25">
      <c r="D7808" s="16"/>
      <c r="Q7808" s="16"/>
    </row>
    <row r="7811" spans="4:17" x14ac:dyDescent="0.25">
      <c r="D7811" s="16"/>
      <c r="Q7811" s="16"/>
    </row>
    <row r="7814" spans="4:17" x14ac:dyDescent="0.25">
      <c r="D7814" s="16"/>
      <c r="Q7814" s="16"/>
    </row>
    <row r="7817" spans="4:17" x14ac:dyDescent="0.25">
      <c r="D7817" s="16"/>
      <c r="Q7817" s="16"/>
    </row>
    <row r="7820" spans="4:17" x14ac:dyDescent="0.25">
      <c r="D7820" s="16"/>
      <c r="Q7820" s="16"/>
    </row>
    <row r="7823" spans="4:17" x14ac:dyDescent="0.25">
      <c r="D7823" s="16"/>
      <c r="Q7823" s="16"/>
    </row>
    <row r="7826" spans="4:17" x14ac:dyDescent="0.25">
      <c r="D7826" s="16"/>
      <c r="Q7826" s="16"/>
    </row>
    <row r="7829" spans="4:17" x14ac:dyDescent="0.25">
      <c r="D7829" s="16"/>
      <c r="Q7829" s="16"/>
    </row>
    <row r="7832" spans="4:17" x14ac:dyDescent="0.25">
      <c r="D7832" s="16"/>
      <c r="Q7832" s="16"/>
    </row>
    <row r="7835" spans="4:17" x14ac:dyDescent="0.25">
      <c r="D7835" s="16"/>
      <c r="Q7835" s="16"/>
    </row>
    <row r="7838" spans="4:17" x14ac:dyDescent="0.25">
      <c r="D7838" s="16"/>
      <c r="Q7838" s="16"/>
    </row>
    <row r="7841" spans="4:17" x14ac:dyDescent="0.25">
      <c r="D7841" s="16"/>
      <c r="Q7841" s="16"/>
    </row>
    <row r="7844" spans="4:17" x14ac:dyDescent="0.25">
      <c r="D7844" s="16"/>
      <c r="Q7844" s="16"/>
    </row>
    <row r="7847" spans="4:17" x14ac:dyDescent="0.25">
      <c r="D7847" s="16"/>
      <c r="Q7847" s="16"/>
    </row>
    <row r="7850" spans="4:17" x14ac:dyDescent="0.25">
      <c r="D7850" s="16"/>
      <c r="Q7850" s="16"/>
    </row>
    <row r="7853" spans="4:17" x14ac:dyDescent="0.25">
      <c r="D7853" s="16"/>
      <c r="Q7853" s="16"/>
    </row>
    <row r="7856" spans="4:17" x14ac:dyDescent="0.25">
      <c r="D7856" s="16"/>
      <c r="Q7856" s="16"/>
    </row>
    <row r="7859" spans="4:17" x14ac:dyDescent="0.25">
      <c r="D7859" s="16"/>
      <c r="Q7859" s="16"/>
    </row>
    <row r="7862" spans="4:17" x14ac:dyDescent="0.25">
      <c r="D7862" s="16"/>
      <c r="Q7862" s="16"/>
    </row>
    <row r="7865" spans="4:17" x14ac:dyDescent="0.25">
      <c r="D7865" s="16"/>
      <c r="Q7865" s="16"/>
    </row>
    <row r="7868" spans="4:17" x14ac:dyDescent="0.25">
      <c r="D7868" s="16"/>
      <c r="Q7868" s="16"/>
    </row>
    <row r="7871" spans="4:17" x14ac:dyDescent="0.25">
      <c r="D7871" s="16"/>
      <c r="Q7871" s="16"/>
    </row>
    <row r="7874" spans="4:17" x14ac:dyDescent="0.25">
      <c r="D7874" s="16"/>
      <c r="Q7874" s="16"/>
    </row>
    <row r="7877" spans="4:17" x14ac:dyDescent="0.25">
      <c r="D7877" s="16"/>
      <c r="Q7877" s="16"/>
    </row>
    <row r="7880" spans="4:17" x14ac:dyDescent="0.25">
      <c r="D7880" s="16"/>
      <c r="Q7880" s="16"/>
    </row>
    <row r="7883" spans="4:17" x14ac:dyDescent="0.25">
      <c r="D7883" s="16"/>
      <c r="Q7883" s="16"/>
    </row>
    <row r="7886" spans="4:17" x14ac:dyDescent="0.25">
      <c r="D7886" s="16"/>
      <c r="Q7886" s="16"/>
    </row>
    <row r="7889" spans="4:17" x14ac:dyDescent="0.25">
      <c r="D7889" s="16"/>
      <c r="Q7889" s="16"/>
    </row>
    <row r="7892" spans="4:17" x14ac:dyDescent="0.25">
      <c r="D7892" s="16"/>
      <c r="Q7892" s="16"/>
    </row>
    <row r="7895" spans="4:17" x14ac:dyDescent="0.25">
      <c r="D7895" s="16"/>
      <c r="Q7895" s="16"/>
    </row>
    <row r="7898" spans="4:17" x14ac:dyDescent="0.25">
      <c r="D7898" s="16"/>
      <c r="Q7898" s="16"/>
    </row>
    <row r="7901" spans="4:17" x14ac:dyDescent="0.25">
      <c r="D7901" s="16"/>
      <c r="Q7901" s="16"/>
    </row>
    <row r="7904" spans="4:17" x14ac:dyDescent="0.25">
      <c r="D7904" s="16"/>
      <c r="Q7904" s="16"/>
    </row>
    <row r="7907" spans="4:17" x14ac:dyDescent="0.25">
      <c r="D7907" s="16"/>
      <c r="Q7907" s="16"/>
    </row>
    <row r="7910" spans="4:17" x14ac:dyDescent="0.25">
      <c r="D7910" s="16"/>
      <c r="Q7910" s="16"/>
    </row>
    <row r="7913" spans="4:17" x14ac:dyDescent="0.25">
      <c r="D7913" s="16"/>
      <c r="Q7913" s="16"/>
    </row>
    <row r="7916" spans="4:17" x14ac:dyDescent="0.25">
      <c r="D7916" s="16"/>
      <c r="Q7916" s="16"/>
    </row>
    <row r="7919" spans="4:17" x14ac:dyDescent="0.25">
      <c r="D7919" s="16"/>
      <c r="Q7919" s="16"/>
    </row>
    <row r="7922" spans="4:17" x14ac:dyDescent="0.25">
      <c r="D7922" s="16"/>
      <c r="Q7922" s="16"/>
    </row>
    <row r="7925" spans="4:17" x14ac:dyDescent="0.25">
      <c r="D7925" s="16"/>
      <c r="Q7925" s="16"/>
    </row>
    <row r="7928" spans="4:17" x14ac:dyDescent="0.25">
      <c r="D7928" s="16"/>
      <c r="Q7928" s="16"/>
    </row>
    <row r="7931" spans="4:17" x14ac:dyDescent="0.25">
      <c r="D7931" s="16"/>
      <c r="Q7931" s="16"/>
    </row>
    <row r="7934" spans="4:17" x14ac:dyDescent="0.25">
      <c r="D7934" s="16"/>
      <c r="Q7934" s="16"/>
    </row>
    <row r="7937" spans="4:17" x14ac:dyDescent="0.25">
      <c r="D7937" s="16"/>
      <c r="Q7937" s="16"/>
    </row>
    <row r="7940" spans="4:17" x14ac:dyDescent="0.25">
      <c r="D7940" s="16"/>
      <c r="Q7940" s="16"/>
    </row>
    <row r="7943" spans="4:17" x14ac:dyDescent="0.25">
      <c r="D7943" s="16"/>
      <c r="Q7943" s="16"/>
    </row>
    <row r="7944" spans="4:17" x14ac:dyDescent="0.25">
      <c r="D7944" s="16"/>
      <c r="Q7944" s="16"/>
    </row>
    <row r="7947" spans="4:17" x14ac:dyDescent="0.25">
      <c r="D7947" s="16"/>
      <c r="Q7947" s="16"/>
    </row>
    <row r="7948" spans="4:17" x14ac:dyDescent="0.25">
      <c r="D7948" s="16"/>
      <c r="Q7948" s="16"/>
    </row>
    <row r="7949" spans="4:17" x14ac:dyDescent="0.25">
      <c r="D7949" s="16"/>
      <c r="Q7949" s="16"/>
    </row>
    <row r="7950" spans="4:17" x14ac:dyDescent="0.25">
      <c r="D7950" s="16"/>
      <c r="Q7950" s="16"/>
    </row>
    <row r="7951" spans="4:17" x14ac:dyDescent="0.25">
      <c r="D7951" s="16"/>
      <c r="Q7951" s="16"/>
    </row>
    <row r="7952" spans="4:17" x14ac:dyDescent="0.25">
      <c r="D7952" s="16"/>
      <c r="Q7952" s="16"/>
    </row>
    <row r="7953" spans="4:17" x14ac:dyDescent="0.25">
      <c r="D7953" s="16"/>
      <c r="Q7953" s="16"/>
    </row>
    <row r="7954" spans="4:17" x14ac:dyDescent="0.25">
      <c r="D7954" s="16"/>
      <c r="Q7954" s="16"/>
    </row>
    <row r="7957" spans="4:17" x14ac:dyDescent="0.25">
      <c r="D7957" s="16"/>
      <c r="Q7957" s="16"/>
    </row>
    <row r="7960" spans="4:17" x14ac:dyDescent="0.25">
      <c r="D7960" s="16"/>
      <c r="Q7960" s="16"/>
    </row>
    <row r="7961" spans="4:17" x14ac:dyDescent="0.25">
      <c r="D7961" s="16"/>
      <c r="Q7961" s="16"/>
    </row>
    <row r="7962" spans="4:17" x14ac:dyDescent="0.25">
      <c r="D7962" s="16"/>
      <c r="Q7962" s="16"/>
    </row>
    <row r="7963" spans="4:17" x14ac:dyDescent="0.25">
      <c r="D7963" s="16"/>
      <c r="Q7963" s="16"/>
    </row>
    <row r="7966" spans="4:17" x14ac:dyDescent="0.25">
      <c r="D7966" s="16"/>
      <c r="Q7966" s="16"/>
    </row>
    <row r="7967" spans="4:17" x14ac:dyDescent="0.25">
      <c r="D7967" s="16"/>
      <c r="Q7967" s="16"/>
    </row>
    <row r="7970" spans="4:17" x14ac:dyDescent="0.25">
      <c r="D7970" s="16"/>
      <c r="Q7970" s="16"/>
    </row>
    <row r="7971" spans="4:17" x14ac:dyDescent="0.25">
      <c r="D7971" s="16"/>
      <c r="Q7971" s="16"/>
    </row>
    <row r="7972" spans="4:17" x14ac:dyDescent="0.25">
      <c r="D7972" s="16"/>
      <c r="Q7972" s="16"/>
    </row>
    <row r="7973" spans="4:17" x14ac:dyDescent="0.25">
      <c r="D7973" s="16"/>
      <c r="Q7973" s="16"/>
    </row>
    <row r="7976" spans="4:17" x14ac:dyDescent="0.25">
      <c r="D7976" s="16"/>
      <c r="Q7976" s="16"/>
    </row>
    <row r="7979" spans="4:17" x14ac:dyDescent="0.25">
      <c r="D7979" s="16"/>
      <c r="Q7979" s="16"/>
    </row>
    <row r="7982" spans="4:17" x14ac:dyDescent="0.25">
      <c r="D7982" s="16"/>
      <c r="Q7982" s="16"/>
    </row>
    <row r="7985" spans="4:17" x14ac:dyDescent="0.25">
      <c r="D7985" s="16"/>
      <c r="Q7985" s="16"/>
    </row>
    <row r="7988" spans="4:17" x14ac:dyDescent="0.25">
      <c r="D7988" s="16"/>
      <c r="Q7988" s="16"/>
    </row>
    <row r="7991" spans="4:17" x14ac:dyDescent="0.25">
      <c r="D7991" s="16"/>
      <c r="Q7991" s="16"/>
    </row>
    <row r="7994" spans="4:17" x14ac:dyDescent="0.25">
      <c r="D7994" s="16"/>
      <c r="Q7994" s="16"/>
    </row>
    <row r="7997" spans="4:17" x14ac:dyDescent="0.25">
      <c r="D7997" s="16"/>
      <c r="Q7997" s="16"/>
    </row>
    <row r="8000" spans="4:17" x14ac:dyDescent="0.25">
      <c r="D8000" s="16"/>
      <c r="Q8000" s="16"/>
    </row>
    <row r="8003" spans="4:17" x14ac:dyDescent="0.25">
      <c r="D8003" s="16"/>
      <c r="Q8003" s="16"/>
    </row>
    <row r="8006" spans="4:17" x14ac:dyDescent="0.25">
      <c r="D8006" s="16"/>
      <c r="Q8006" s="16"/>
    </row>
    <row r="8009" spans="4:17" x14ac:dyDescent="0.25">
      <c r="D8009" s="16"/>
      <c r="Q8009" s="16"/>
    </row>
    <row r="8012" spans="4:17" x14ac:dyDescent="0.25">
      <c r="D8012" s="16"/>
      <c r="Q8012" s="16"/>
    </row>
    <row r="8015" spans="4:17" x14ac:dyDescent="0.25">
      <c r="D8015" s="16"/>
      <c r="Q8015" s="16"/>
    </row>
    <row r="8018" spans="4:17" x14ac:dyDescent="0.25">
      <c r="D8018" s="16"/>
      <c r="Q8018" s="16"/>
    </row>
    <row r="8021" spans="4:17" x14ac:dyDescent="0.25">
      <c r="D8021" s="16"/>
      <c r="Q8021" s="16"/>
    </row>
    <row r="8024" spans="4:17" x14ac:dyDescent="0.25">
      <c r="D8024" s="16"/>
      <c r="Q8024" s="16"/>
    </row>
    <row r="8027" spans="4:17" x14ac:dyDescent="0.25">
      <c r="D8027" s="16"/>
      <c r="Q8027" s="16"/>
    </row>
    <row r="8030" spans="4:17" x14ac:dyDescent="0.25">
      <c r="D8030" s="16"/>
      <c r="Q8030" s="16"/>
    </row>
    <row r="8033" spans="4:17" x14ac:dyDescent="0.25">
      <c r="D8033" s="16"/>
      <c r="Q8033" s="16"/>
    </row>
    <row r="8036" spans="4:17" x14ac:dyDescent="0.25">
      <c r="D8036" s="16"/>
      <c r="Q8036" s="16"/>
    </row>
    <row r="8037" spans="4:17" x14ac:dyDescent="0.25">
      <c r="D8037" s="16"/>
      <c r="Q8037" s="16"/>
    </row>
    <row r="8040" spans="4:17" x14ac:dyDescent="0.25">
      <c r="D8040" s="16"/>
      <c r="Q8040" s="16"/>
    </row>
    <row r="8041" spans="4:17" x14ac:dyDescent="0.25">
      <c r="D8041" s="16"/>
      <c r="Q8041" s="16"/>
    </row>
    <row r="8042" spans="4:17" x14ac:dyDescent="0.25">
      <c r="D8042" s="16"/>
      <c r="Q8042" s="16"/>
    </row>
    <row r="8045" spans="4:17" x14ac:dyDescent="0.25">
      <c r="D8045" s="16"/>
      <c r="Q8045" s="16"/>
    </row>
    <row r="8048" spans="4:17" x14ac:dyDescent="0.25">
      <c r="D8048" s="16"/>
      <c r="Q8048" s="16"/>
    </row>
    <row r="8051" spans="4:17" x14ac:dyDescent="0.25">
      <c r="D8051" s="16"/>
      <c r="Q8051" s="16"/>
    </row>
    <row r="8052" spans="4:17" x14ac:dyDescent="0.25">
      <c r="D8052" s="16"/>
      <c r="Q8052" s="16"/>
    </row>
    <row r="8055" spans="4:17" x14ac:dyDescent="0.25">
      <c r="D8055" s="16"/>
      <c r="Q8055" s="16"/>
    </row>
    <row r="8058" spans="4:17" x14ac:dyDescent="0.25">
      <c r="D8058" s="16"/>
      <c r="Q8058" s="16"/>
    </row>
    <row r="8059" spans="4:17" x14ac:dyDescent="0.25">
      <c r="D8059" s="16"/>
      <c r="Q8059" s="16"/>
    </row>
    <row r="8062" spans="4:17" x14ac:dyDescent="0.25">
      <c r="D8062" s="16"/>
      <c r="Q8062" s="16"/>
    </row>
    <row r="8065" spans="4:17" x14ac:dyDescent="0.25">
      <c r="D8065" s="16"/>
      <c r="Q8065" s="16"/>
    </row>
    <row r="8068" spans="4:17" x14ac:dyDescent="0.25">
      <c r="D8068" s="16"/>
      <c r="Q8068" s="16"/>
    </row>
    <row r="8071" spans="4:17" x14ac:dyDescent="0.25">
      <c r="D8071" s="16"/>
      <c r="Q8071" s="16"/>
    </row>
    <row r="8072" spans="4:17" x14ac:dyDescent="0.25">
      <c r="D8072" s="16"/>
      <c r="Q8072" s="16"/>
    </row>
    <row r="8073" spans="4:17" x14ac:dyDescent="0.25">
      <c r="D8073" s="16"/>
      <c r="Q8073" s="16"/>
    </row>
    <row r="8076" spans="4:17" x14ac:dyDescent="0.25">
      <c r="D8076" s="16"/>
      <c r="Q8076" s="16"/>
    </row>
    <row r="8077" spans="4:17" x14ac:dyDescent="0.25">
      <c r="D8077" s="16"/>
      <c r="Q8077" s="16"/>
    </row>
    <row r="8080" spans="4:17" x14ac:dyDescent="0.25">
      <c r="D8080" s="16"/>
      <c r="Q8080" s="16"/>
    </row>
    <row r="8083" spans="4:17" x14ac:dyDescent="0.25">
      <c r="D8083" s="16"/>
      <c r="Q8083" s="16"/>
    </row>
    <row r="8084" spans="4:17" x14ac:dyDescent="0.25">
      <c r="D8084" s="16"/>
      <c r="Q8084" s="16"/>
    </row>
    <row r="8085" spans="4:17" x14ac:dyDescent="0.25">
      <c r="D8085" s="16"/>
      <c r="Q8085" s="16"/>
    </row>
    <row r="8086" spans="4:17" x14ac:dyDescent="0.25">
      <c r="D8086" s="16"/>
      <c r="Q8086" s="16"/>
    </row>
    <row r="8089" spans="4:17" x14ac:dyDescent="0.25">
      <c r="D8089" s="16"/>
      <c r="Q8089" s="16"/>
    </row>
    <row r="8090" spans="4:17" x14ac:dyDescent="0.25">
      <c r="D8090" s="16"/>
      <c r="Q8090" s="16"/>
    </row>
    <row r="8091" spans="4:17" x14ac:dyDescent="0.25">
      <c r="D8091" s="16"/>
      <c r="Q8091" s="16"/>
    </row>
    <row r="8094" spans="4:17" x14ac:dyDescent="0.25">
      <c r="D8094" s="16"/>
      <c r="Q8094" s="16"/>
    </row>
    <row r="8097" spans="4:17" x14ac:dyDescent="0.25">
      <c r="D8097" s="16"/>
      <c r="Q8097" s="16"/>
    </row>
    <row r="8100" spans="4:17" x14ac:dyDescent="0.25">
      <c r="D8100" s="16"/>
      <c r="Q8100" s="16"/>
    </row>
    <row r="8103" spans="4:17" x14ac:dyDescent="0.25">
      <c r="D8103" s="16"/>
      <c r="Q8103" s="16"/>
    </row>
    <row r="8106" spans="4:17" x14ac:dyDescent="0.25">
      <c r="D8106" s="16"/>
      <c r="Q8106" s="16"/>
    </row>
    <row r="8109" spans="4:17" x14ac:dyDescent="0.25">
      <c r="D8109" s="16"/>
      <c r="Q8109" s="16"/>
    </row>
    <row r="8110" spans="4:17" x14ac:dyDescent="0.25">
      <c r="D8110" s="16"/>
      <c r="Q8110" s="16"/>
    </row>
    <row r="8113" spans="4:17" x14ac:dyDescent="0.25">
      <c r="D8113" s="16"/>
      <c r="Q8113" s="16"/>
    </row>
    <row r="8116" spans="4:17" x14ac:dyDescent="0.25">
      <c r="D8116" s="16"/>
      <c r="Q8116" s="16"/>
    </row>
    <row r="8119" spans="4:17" x14ac:dyDescent="0.25">
      <c r="D8119" s="16"/>
      <c r="Q8119" s="16"/>
    </row>
    <row r="8122" spans="4:17" x14ac:dyDescent="0.25">
      <c r="D8122" s="16"/>
      <c r="Q8122" s="16"/>
    </row>
    <row r="8125" spans="4:17" x14ac:dyDescent="0.25">
      <c r="D8125" s="16"/>
      <c r="Q8125" s="16"/>
    </row>
    <row r="8128" spans="4:17" x14ac:dyDescent="0.25">
      <c r="D8128" s="16"/>
      <c r="Q8128" s="16"/>
    </row>
    <row r="8129" spans="4:17" x14ac:dyDescent="0.25">
      <c r="D8129" s="16"/>
      <c r="Q8129" s="16"/>
    </row>
    <row r="8132" spans="4:17" x14ac:dyDescent="0.25">
      <c r="D8132" s="16"/>
      <c r="Q8132" s="16"/>
    </row>
    <row r="8133" spans="4:17" x14ac:dyDescent="0.25">
      <c r="D8133" s="16"/>
      <c r="Q8133" s="16"/>
    </row>
    <row r="8136" spans="4:17" x14ac:dyDescent="0.25">
      <c r="D8136" s="16"/>
      <c r="Q8136" s="16"/>
    </row>
    <row r="8139" spans="4:17" x14ac:dyDescent="0.25">
      <c r="D8139" s="16"/>
      <c r="Q8139" s="16"/>
    </row>
    <row r="8142" spans="4:17" x14ac:dyDescent="0.25">
      <c r="D8142" s="16"/>
      <c r="Q8142" s="16"/>
    </row>
    <row r="8143" spans="4:17" x14ac:dyDescent="0.25">
      <c r="D8143" s="16"/>
      <c r="Q8143" s="16"/>
    </row>
    <row r="8144" spans="4:17" x14ac:dyDescent="0.25">
      <c r="D8144" s="16"/>
      <c r="Q8144" s="16"/>
    </row>
    <row r="8147" spans="4:17" x14ac:dyDescent="0.25">
      <c r="D8147" s="16"/>
      <c r="Q8147" s="16"/>
    </row>
    <row r="8150" spans="4:17" x14ac:dyDescent="0.25">
      <c r="D8150" s="16"/>
      <c r="Q8150" s="16"/>
    </row>
    <row r="8153" spans="4:17" x14ac:dyDescent="0.25">
      <c r="D8153" s="16"/>
      <c r="Q8153" s="16"/>
    </row>
    <row r="8154" spans="4:17" x14ac:dyDescent="0.25">
      <c r="D8154" s="16"/>
      <c r="Q8154" s="16"/>
    </row>
    <row r="8155" spans="4:17" x14ac:dyDescent="0.25">
      <c r="D8155" s="16"/>
      <c r="Q8155" s="16"/>
    </row>
    <row r="8158" spans="4:17" x14ac:dyDescent="0.25">
      <c r="D8158" s="16"/>
      <c r="Q8158" s="16"/>
    </row>
    <row r="8159" spans="4:17" x14ac:dyDescent="0.25">
      <c r="D8159" s="16"/>
      <c r="Q8159" s="16"/>
    </row>
    <row r="8162" spans="4:17" x14ac:dyDescent="0.25">
      <c r="D8162" s="16"/>
      <c r="Q8162" s="16"/>
    </row>
    <row r="8165" spans="4:17" x14ac:dyDescent="0.25">
      <c r="D8165" s="16"/>
      <c r="Q8165" s="16"/>
    </row>
    <row r="8168" spans="4:17" x14ac:dyDescent="0.25">
      <c r="D8168" s="16"/>
      <c r="Q8168" s="16"/>
    </row>
    <row r="8171" spans="4:17" x14ac:dyDescent="0.25">
      <c r="D8171" s="16"/>
      <c r="Q8171" s="16"/>
    </row>
    <row r="8172" spans="4:17" x14ac:dyDescent="0.25">
      <c r="D8172" s="16"/>
      <c r="Q8172" s="16"/>
    </row>
    <row r="8175" spans="4:17" x14ac:dyDescent="0.25">
      <c r="D8175" s="16"/>
      <c r="Q8175" s="16"/>
    </row>
    <row r="8178" spans="4:17" x14ac:dyDescent="0.25">
      <c r="D8178" s="16"/>
      <c r="Q8178" s="16"/>
    </row>
    <row r="8179" spans="4:17" x14ac:dyDescent="0.25">
      <c r="D8179" s="16"/>
      <c r="Q8179" s="16"/>
    </row>
    <row r="8180" spans="4:17" x14ac:dyDescent="0.25">
      <c r="D8180" s="16"/>
      <c r="Q8180" s="16"/>
    </row>
    <row r="8183" spans="4:17" x14ac:dyDescent="0.25">
      <c r="D8183" s="16"/>
      <c r="Q8183" s="16"/>
    </row>
    <row r="8184" spans="4:17" x14ac:dyDescent="0.25">
      <c r="D8184" s="16"/>
      <c r="Q8184" s="16"/>
    </row>
    <row r="8185" spans="4:17" x14ac:dyDescent="0.25">
      <c r="D8185" s="16"/>
      <c r="Q8185" s="16"/>
    </row>
    <row r="8188" spans="4:17" x14ac:dyDescent="0.25">
      <c r="D8188" s="16"/>
      <c r="Q8188" s="16"/>
    </row>
    <row r="8189" spans="4:17" x14ac:dyDescent="0.25">
      <c r="D8189" s="16"/>
      <c r="Q8189" s="16"/>
    </row>
    <row r="8192" spans="4:17" x14ac:dyDescent="0.25">
      <c r="D8192" s="16"/>
      <c r="Q8192" s="16"/>
    </row>
    <row r="8195" spans="4:17" x14ac:dyDescent="0.25">
      <c r="D8195" s="16"/>
      <c r="Q8195" s="16"/>
    </row>
    <row r="8198" spans="4:17" x14ac:dyDescent="0.25">
      <c r="D8198" s="16"/>
      <c r="Q8198" s="16"/>
    </row>
    <row r="8201" spans="4:17" x14ac:dyDescent="0.25">
      <c r="D8201" s="16"/>
      <c r="Q8201" s="16"/>
    </row>
    <row r="8204" spans="4:17" x14ac:dyDescent="0.25">
      <c r="D8204" s="16"/>
      <c r="Q8204" s="16"/>
    </row>
    <row r="8207" spans="4:17" x14ac:dyDescent="0.25">
      <c r="D8207" s="16"/>
      <c r="Q8207" s="16"/>
    </row>
    <row r="8210" spans="4:17" x14ac:dyDescent="0.25">
      <c r="D8210" s="16"/>
      <c r="Q8210" s="16"/>
    </row>
    <row r="8213" spans="4:17" x14ac:dyDescent="0.25">
      <c r="D8213" s="16"/>
      <c r="Q8213" s="16"/>
    </row>
    <row r="8216" spans="4:17" x14ac:dyDescent="0.25">
      <c r="D8216" s="16"/>
      <c r="Q8216" s="16"/>
    </row>
    <row r="8217" spans="4:17" x14ac:dyDescent="0.25">
      <c r="D8217" s="16"/>
      <c r="Q8217" s="16"/>
    </row>
    <row r="8218" spans="4:17" x14ac:dyDescent="0.25">
      <c r="D8218" s="16"/>
      <c r="Q8218" s="16"/>
    </row>
    <row r="8219" spans="4:17" x14ac:dyDescent="0.25">
      <c r="D8219" s="16"/>
      <c r="Q8219" s="16"/>
    </row>
    <row r="8222" spans="4:17" x14ac:dyDescent="0.25">
      <c r="D8222" s="16"/>
      <c r="Q8222" s="16"/>
    </row>
    <row r="8225" spans="4:17" x14ac:dyDescent="0.25">
      <c r="D8225" s="16"/>
      <c r="Q8225" s="16"/>
    </row>
    <row r="8226" spans="4:17" x14ac:dyDescent="0.25">
      <c r="D8226" s="16"/>
      <c r="Q8226" s="16"/>
    </row>
    <row r="8227" spans="4:17" x14ac:dyDescent="0.25">
      <c r="D8227" s="16"/>
      <c r="Q8227" s="16"/>
    </row>
    <row r="8230" spans="4:17" x14ac:dyDescent="0.25">
      <c r="D8230" s="16"/>
      <c r="Q8230" s="16"/>
    </row>
    <row r="8233" spans="4:17" x14ac:dyDescent="0.25">
      <c r="D8233" s="16"/>
      <c r="Q8233" s="16"/>
    </row>
    <row r="8234" spans="4:17" x14ac:dyDescent="0.25">
      <c r="D8234" s="16"/>
      <c r="Q8234" s="16"/>
    </row>
    <row r="8237" spans="4:17" x14ac:dyDescent="0.25">
      <c r="D8237" s="16"/>
      <c r="Q8237" s="16"/>
    </row>
    <row r="8238" spans="4:17" x14ac:dyDescent="0.25">
      <c r="D8238" s="16"/>
      <c r="Q8238" s="16"/>
    </row>
    <row r="8239" spans="4:17" x14ac:dyDescent="0.25">
      <c r="D8239" s="16"/>
      <c r="Q8239" s="16"/>
    </row>
    <row r="8242" spans="4:17" x14ac:dyDescent="0.25">
      <c r="D8242" s="16"/>
      <c r="Q8242" s="16"/>
    </row>
    <row r="8245" spans="4:17" x14ac:dyDescent="0.25">
      <c r="D8245" s="16"/>
      <c r="Q8245" s="16"/>
    </row>
    <row r="8246" spans="4:17" x14ac:dyDescent="0.25">
      <c r="D8246" s="16"/>
      <c r="Q8246" s="16"/>
    </row>
    <row r="8249" spans="4:17" x14ac:dyDescent="0.25">
      <c r="D8249" s="16"/>
      <c r="Q8249" s="16"/>
    </row>
    <row r="8252" spans="4:17" x14ac:dyDescent="0.25">
      <c r="D8252" s="16"/>
      <c r="Q8252" s="16"/>
    </row>
    <row r="8255" spans="4:17" x14ac:dyDescent="0.25">
      <c r="D8255" s="16"/>
      <c r="Q8255" s="16"/>
    </row>
    <row r="8258" spans="4:17" x14ac:dyDescent="0.25">
      <c r="D8258" s="16"/>
      <c r="Q8258" s="16"/>
    </row>
    <row r="8259" spans="4:17" x14ac:dyDescent="0.25">
      <c r="D8259" s="16"/>
      <c r="Q8259" s="16"/>
    </row>
    <row r="8260" spans="4:17" x14ac:dyDescent="0.25">
      <c r="D8260" s="16"/>
      <c r="Q8260" s="16"/>
    </row>
    <row r="8263" spans="4:17" x14ac:dyDescent="0.25">
      <c r="D8263" s="16"/>
      <c r="Q8263" s="16"/>
    </row>
    <row r="8266" spans="4:17" x14ac:dyDescent="0.25">
      <c r="D8266" s="16"/>
      <c r="Q8266" s="16"/>
    </row>
    <row r="8269" spans="4:17" x14ac:dyDescent="0.25">
      <c r="D8269" s="16"/>
      <c r="Q8269" s="16"/>
    </row>
    <row r="8272" spans="4:17" x14ac:dyDescent="0.25">
      <c r="D8272" s="16"/>
      <c r="Q8272" s="16"/>
    </row>
    <row r="8273" spans="4:17" x14ac:dyDescent="0.25">
      <c r="D8273" s="16"/>
      <c r="Q8273" s="16"/>
    </row>
    <row r="8274" spans="4:17" x14ac:dyDescent="0.25">
      <c r="D8274" s="16"/>
      <c r="Q8274" s="16"/>
    </row>
    <row r="8275" spans="4:17" x14ac:dyDescent="0.25">
      <c r="D8275" s="16"/>
      <c r="Q8275" s="16"/>
    </row>
    <row r="8276" spans="4:17" x14ac:dyDescent="0.25">
      <c r="D8276" s="16"/>
      <c r="Q8276" s="16"/>
    </row>
    <row r="8279" spans="4:17" x14ac:dyDescent="0.25">
      <c r="D8279" s="16"/>
      <c r="Q8279" s="16"/>
    </row>
    <row r="8282" spans="4:17" x14ac:dyDescent="0.25">
      <c r="D8282" s="16"/>
      <c r="Q8282" s="16"/>
    </row>
    <row r="8283" spans="4:17" x14ac:dyDescent="0.25">
      <c r="D8283" s="16"/>
      <c r="Q8283" s="16"/>
    </row>
    <row r="8286" spans="4:17" x14ac:dyDescent="0.25">
      <c r="D8286" s="16"/>
      <c r="Q8286" s="16"/>
    </row>
    <row r="8287" spans="4:17" x14ac:dyDescent="0.25">
      <c r="D8287" s="16"/>
      <c r="Q8287" s="16"/>
    </row>
    <row r="8288" spans="4:17" x14ac:dyDescent="0.25">
      <c r="D8288" s="16"/>
      <c r="Q8288" s="16"/>
    </row>
    <row r="8291" spans="4:17" x14ac:dyDescent="0.25">
      <c r="D8291" s="16"/>
      <c r="Q8291" s="16"/>
    </row>
    <row r="8294" spans="4:17" x14ac:dyDescent="0.25">
      <c r="D8294" s="16"/>
      <c r="Q8294" s="16"/>
    </row>
    <row r="8295" spans="4:17" x14ac:dyDescent="0.25">
      <c r="D8295" s="16"/>
      <c r="Q8295" s="16"/>
    </row>
    <row r="8296" spans="4:17" x14ac:dyDescent="0.25">
      <c r="D8296" s="16"/>
      <c r="Q8296" s="16"/>
    </row>
    <row r="8299" spans="4:17" x14ac:dyDescent="0.25">
      <c r="D8299" s="16"/>
      <c r="Q8299" s="16"/>
    </row>
    <row r="8302" spans="4:17" x14ac:dyDescent="0.25">
      <c r="D8302" s="16"/>
      <c r="Q8302" s="16"/>
    </row>
    <row r="8303" spans="4:17" x14ac:dyDescent="0.25">
      <c r="D8303" s="16"/>
      <c r="Q8303" s="16"/>
    </row>
    <row r="8306" spans="4:17" x14ac:dyDescent="0.25">
      <c r="D8306" s="16"/>
      <c r="Q8306" s="16"/>
    </row>
    <row r="8309" spans="4:17" x14ac:dyDescent="0.25">
      <c r="D8309" s="16"/>
      <c r="Q8309" s="16"/>
    </row>
    <row r="8310" spans="4:17" x14ac:dyDescent="0.25">
      <c r="D8310" s="16"/>
      <c r="Q8310" s="16"/>
    </row>
    <row r="8313" spans="4:17" x14ac:dyDescent="0.25">
      <c r="D8313" s="16"/>
      <c r="Q8313" s="16"/>
    </row>
    <row r="8316" spans="4:17" x14ac:dyDescent="0.25">
      <c r="D8316" s="16"/>
      <c r="Q8316" s="16"/>
    </row>
    <row r="8319" spans="4:17" x14ac:dyDescent="0.25">
      <c r="D8319" s="16"/>
      <c r="Q8319" s="16"/>
    </row>
    <row r="8322" spans="4:17" x14ac:dyDescent="0.25">
      <c r="D8322" s="16"/>
      <c r="Q8322" s="16"/>
    </row>
    <row r="8325" spans="4:17" x14ac:dyDescent="0.25">
      <c r="D8325" s="16"/>
      <c r="Q8325" s="16"/>
    </row>
    <row r="8326" spans="4:17" x14ac:dyDescent="0.25">
      <c r="D8326" s="16"/>
      <c r="Q8326" s="16"/>
    </row>
    <row r="8329" spans="4:17" x14ac:dyDescent="0.25">
      <c r="D8329" s="16"/>
      <c r="Q8329" s="16"/>
    </row>
    <row r="8332" spans="4:17" x14ac:dyDescent="0.25">
      <c r="D8332" s="16"/>
      <c r="Q8332" s="16"/>
    </row>
    <row r="8335" spans="4:17" x14ac:dyDescent="0.25">
      <c r="D8335" s="16"/>
      <c r="Q8335" s="16"/>
    </row>
    <row r="8338" spans="4:17" x14ac:dyDescent="0.25">
      <c r="D8338" s="16"/>
      <c r="Q8338" s="16"/>
    </row>
    <row r="8339" spans="4:17" x14ac:dyDescent="0.25">
      <c r="D8339" s="16"/>
      <c r="Q8339" s="16"/>
    </row>
    <row r="8340" spans="4:17" x14ac:dyDescent="0.25">
      <c r="D8340" s="16"/>
      <c r="Q8340" s="16"/>
    </row>
    <row r="8341" spans="4:17" x14ac:dyDescent="0.25">
      <c r="D8341" s="16"/>
      <c r="Q8341" s="16"/>
    </row>
    <row r="8342" spans="4:17" x14ac:dyDescent="0.25">
      <c r="D8342" s="16"/>
      <c r="Q8342" s="16"/>
    </row>
    <row r="8343" spans="4:17" x14ac:dyDescent="0.25">
      <c r="D8343" s="16"/>
      <c r="Q8343" s="16"/>
    </row>
    <row r="8344" spans="4:17" x14ac:dyDescent="0.25">
      <c r="D8344" s="16"/>
      <c r="Q8344" s="16"/>
    </row>
    <row r="8345" spans="4:17" x14ac:dyDescent="0.25">
      <c r="D8345" s="16"/>
      <c r="Q8345" s="16"/>
    </row>
    <row r="8346" spans="4:17" x14ac:dyDescent="0.25">
      <c r="D8346" s="16"/>
      <c r="Q8346" s="16"/>
    </row>
    <row r="8347" spans="4:17" x14ac:dyDescent="0.25">
      <c r="D8347" s="16"/>
      <c r="Q8347" s="16"/>
    </row>
    <row r="8348" spans="4:17" x14ac:dyDescent="0.25">
      <c r="D8348" s="16"/>
      <c r="Q8348" s="16"/>
    </row>
    <row r="8349" spans="4:17" x14ac:dyDescent="0.25">
      <c r="D8349" s="16"/>
      <c r="Q8349" s="16"/>
    </row>
    <row r="8350" spans="4:17" x14ac:dyDescent="0.25">
      <c r="D8350" s="16"/>
      <c r="Q8350" s="16"/>
    </row>
    <row r="8351" spans="4:17" x14ac:dyDescent="0.25">
      <c r="D8351" s="16"/>
      <c r="Q8351" s="16"/>
    </row>
    <row r="8352" spans="4:17" x14ac:dyDescent="0.25">
      <c r="D8352" s="16"/>
      <c r="Q8352" s="16"/>
    </row>
    <row r="8353" spans="4:17" x14ac:dyDescent="0.25">
      <c r="D8353" s="16"/>
      <c r="Q8353" s="16"/>
    </row>
    <row r="8356" spans="4:17" x14ac:dyDescent="0.25">
      <c r="D8356" s="16"/>
      <c r="Q8356" s="16"/>
    </row>
    <row r="8357" spans="4:17" x14ac:dyDescent="0.25">
      <c r="D8357" s="16"/>
      <c r="Q8357" s="16"/>
    </row>
    <row r="8360" spans="4:17" x14ac:dyDescent="0.25">
      <c r="D8360" s="16"/>
      <c r="Q8360" s="16"/>
    </row>
    <row r="8361" spans="4:17" x14ac:dyDescent="0.25">
      <c r="D8361" s="16"/>
      <c r="Q8361" s="16"/>
    </row>
    <row r="8362" spans="4:17" x14ac:dyDescent="0.25">
      <c r="D8362" s="16"/>
      <c r="Q8362" s="16"/>
    </row>
    <row r="8363" spans="4:17" x14ac:dyDescent="0.25">
      <c r="D8363" s="16"/>
      <c r="Q8363" s="16"/>
    </row>
    <row r="8364" spans="4:17" x14ac:dyDescent="0.25">
      <c r="D8364" s="16"/>
      <c r="Q8364" s="16"/>
    </row>
    <row r="8365" spans="4:17" x14ac:dyDescent="0.25">
      <c r="D8365" s="16"/>
      <c r="Q8365" s="16"/>
    </row>
    <row r="8366" spans="4:17" x14ac:dyDescent="0.25">
      <c r="D8366" s="16"/>
      <c r="Q8366" s="16"/>
    </row>
    <row r="8369" spans="4:17" x14ac:dyDescent="0.25">
      <c r="D8369" s="16"/>
      <c r="Q8369" s="16"/>
    </row>
    <row r="8370" spans="4:17" x14ac:dyDescent="0.25">
      <c r="D8370" s="16"/>
      <c r="Q8370" s="16"/>
    </row>
    <row r="8373" spans="4:17" x14ac:dyDescent="0.25">
      <c r="D8373" s="16"/>
      <c r="Q8373" s="16"/>
    </row>
    <row r="8374" spans="4:17" x14ac:dyDescent="0.25">
      <c r="D8374" s="16"/>
      <c r="Q8374" s="16"/>
    </row>
    <row r="8375" spans="4:17" x14ac:dyDescent="0.25">
      <c r="D8375" s="16"/>
      <c r="Q8375" s="16"/>
    </row>
    <row r="8376" spans="4:17" x14ac:dyDescent="0.25">
      <c r="D8376" s="16"/>
      <c r="Q8376" s="16"/>
    </row>
    <row r="8377" spans="4:17" x14ac:dyDescent="0.25">
      <c r="D8377" s="16"/>
      <c r="Q8377" s="16"/>
    </row>
    <row r="8378" spans="4:17" x14ac:dyDescent="0.25">
      <c r="D8378" s="16"/>
      <c r="Q8378" s="16"/>
    </row>
    <row r="8379" spans="4:17" x14ac:dyDescent="0.25">
      <c r="D8379" s="16"/>
      <c r="Q8379" s="16"/>
    </row>
    <row r="8380" spans="4:17" x14ac:dyDescent="0.25">
      <c r="D8380" s="16"/>
      <c r="Q8380" s="16"/>
    </row>
    <row r="8381" spans="4:17" x14ac:dyDescent="0.25">
      <c r="D8381" s="16"/>
      <c r="Q8381" s="16"/>
    </row>
    <row r="8382" spans="4:17" x14ac:dyDescent="0.25">
      <c r="D8382" s="16"/>
      <c r="Q8382" s="16"/>
    </row>
    <row r="8383" spans="4:17" x14ac:dyDescent="0.25">
      <c r="D8383" s="16"/>
      <c r="Q8383" s="16"/>
    </row>
    <row r="8384" spans="4:17" x14ac:dyDescent="0.25">
      <c r="D8384" s="16"/>
      <c r="Q8384" s="16"/>
    </row>
    <row r="8385" spans="4:17" x14ac:dyDescent="0.25">
      <c r="D8385" s="16"/>
      <c r="Q8385" s="16"/>
    </row>
    <row r="8386" spans="4:17" x14ac:dyDescent="0.25">
      <c r="D8386" s="16"/>
      <c r="Q8386" s="16"/>
    </row>
    <row r="8387" spans="4:17" x14ac:dyDescent="0.25">
      <c r="D8387" s="16"/>
      <c r="Q8387" s="16"/>
    </row>
    <row r="8388" spans="4:17" x14ac:dyDescent="0.25">
      <c r="D8388" s="16"/>
      <c r="Q8388" s="16"/>
    </row>
    <row r="8389" spans="4:17" x14ac:dyDescent="0.25">
      <c r="D8389" s="16"/>
      <c r="Q8389" s="16"/>
    </row>
    <row r="8392" spans="4:17" x14ac:dyDescent="0.25">
      <c r="D8392" s="16"/>
      <c r="Q8392" s="16"/>
    </row>
    <row r="8393" spans="4:17" x14ac:dyDescent="0.25">
      <c r="D8393" s="16"/>
      <c r="Q8393" s="16"/>
    </row>
    <row r="8394" spans="4:17" x14ac:dyDescent="0.25">
      <c r="D8394" s="16"/>
      <c r="Q8394" s="16"/>
    </row>
    <row r="8395" spans="4:17" x14ac:dyDescent="0.25">
      <c r="D8395" s="16"/>
      <c r="Q8395" s="16"/>
    </row>
    <row r="8396" spans="4:17" x14ac:dyDescent="0.25">
      <c r="D8396" s="16"/>
      <c r="Q8396" s="16"/>
    </row>
    <row r="8397" spans="4:17" x14ac:dyDescent="0.25">
      <c r="D8397" s="16"/>
      <c r="Q8397" s="16"/>
    </row>
    <row r="8398" spans="4:17" x14ac:dyDescent="0.25">
      <c r="D8398" s="16"/>
      <c r="Q8398" s="16"/>
    </row>
    <row r="8401" spans="4:17" x14ac:dyDescent="0.25">
      <c r="D8401" s="16"/>
      <c r="Q8401" s="16"/>
    </row>
    <row r="8404" spans="4:17" x14ac:dyDescent="0.25">
      <c r="D8404" s="16"/>
      <c r="Q8404" s="16"/>
    </row>
    <row r="8405" spans="4:17" x14ac:dyDescent="0.25">
      <c r="D8405" s="16"/>
      <c r="Q8405" s="16"/>
    </row>
    <row r="8406" spans="4:17" x14ac:dyDescent="0.25">
      <c r="D8406" s="16"/>
      <c r="Q8406" s="16"/>
    </row>
    <row r="8407" spans="4:17" x14ac:dyDescent="0.25">
      <c r="D8407" s="16"/>
      <c r="Q8407" s="16"/>
    </row>
    <row r="8408" spans="4:17" x14ac:dyDescent="0.25">
      <c r="D8408" s="16"/>
      <c r="Q8408" s="16"/>
    </row>
    <row r="8409" spans="4:17" x14ac:dyDescent="0.25">
      <c r="D8409" s="16"/>
      <c r="Q8409" s="16"/>
    </row>
    <row r="8410" spans="4:17" x14ac:dyDescent="0.25">
      <c r="D8410" s="16"/>
      <c r="Q8410" s="16"/>
    </row>
    <row r="8413" spans="4:17" x14ac:dyDescent="0.25">
      <c r="D8413" s="16"/>
      <c r="Q8413" s="16"/>
    </row>
    <row r="8414" spans="4:17" x14ac:dyDescent="0.25">
      <c r="D8414" s="16"/>
      <c r="Q8414" s="16"/>
    </row>
    <row r="8415" spans="4:17" x14ac:dyDescent="0.25">
      <c r="D8415" s="16"/>
      <c r="Q8415" s="16"/>
    </row>
    <row r="8416" spans="4:17" x14ac:dyDescent="0.25">
      <c r="D8416" s="16"/>
      <c r="Q8416" s="16"/>
    </row>
    <row r="8417" spans="4:17" x14ac:dyDescent="0.25">
      <c r="D8417" s="16"/>
      <c r="Q8417" s="16"/>
    </row>
    <row r="8420" spans="4:17" x14ac:dyDescent="0.25">
      <c r="D8420" s="16"/>
      <c r="Q8420" s="16"/>
    </row>
    <row r="8421" spans="4:17" x14ac:dyDescent="0.25">
      <c r="D8421" s="16"/>
      <c r="Q8421" s="16"/>
    </row>
    <row r="8422" spans="4:17" x14ac:dyDescent="0.25">
      <c r="D8422" s="16"/>
      <c r="Q8422" s="16"/>
    </row>
    <row r="8423" spans="4:17" x14ac:dyDescent="0.25">
      <c r="D8423" s="16"/>
      <c r="Q8423" s="16"/>
    </row>
    <row r="8424" spans="4:17" x14ac:dyDescent="0.25">
      <c r="D8424" s="16"/>
      <c r="Q8424" s="16"/>
    </row>
    <row r="8425" spans="4:17" x14ac:dyDescent="0.25">
      <c r="D8425" s="16"/>
      <c r="Q8425" s="16"/>
    </row>
    <row r="8426" spans="4:17" x14ac:dyDescent="0.25">
      <c r="D8426" s="16"/>
      <c r="Q8426" s="16"/>
    </row>
    <row r="8427" spans="4:17" x14ac:dyDescent="0.25">
      <c r="D8427" s="16"/>
      <c r="Q8427" s="16"/>
    </row>
    <row r="8428" spans="4:17" x14ac:dyDescent="0.25">
      <c r="D8428" s="16"/>
      <c r="Q8428" s="16"/>
    </row>
    <row r="8429" spans="4:17" x14ac:dyDescent="0.25">
      <c r="D8429" s="16"/>
      <c r="Q8429" s="16"/>
    </row>
    <row r="8430" spans="4:17" x14ac:dyDescent="0.25">
      <c r="D8430" s="16"/>
      <c r="Q8430" s="16"/>
    </row>
    <row r="8431" spans="4:17" x14ac:dyDescent="0.25">
      <c r="D8431" s="16"/>
      <c r="Q8431" s="16"/>
    </row>
    <row r="8434" spans="4:17" x14ac:dyDescent="0.25">
      <c r="D8434" s="16"/>
      <c r="Q8434" s="16"/>
    </row>
    <row r="8435" spans="4:17" x14ac:dyDescent="0.25">
      <c r="D8435" s="16"/>
      <c r="Q8435" s="16"/>
    </row>
    <row r="8438" spans="4:17" x14ac:dyDescent="0.25">
      <c r="D8438" s="16"/>
      <c r="Q8438" s="16"/>
    </row>
    <row r="8441" spans="4:17" x14ac:dyDescent="0.25">
      <c r="D8441" s="16"/>
      <c r="Q8441" s="16"/>
    </row>
    <row r="8442" spans="4:17" x14ac:dyDescent="0.25">
      <c r="D8442" s="16"/>
      <c r="Q8442" s="16"/>
    </row>
    <row r="8443" spans="4:17" x14ac:dyDescent="0.25">
      <c r="D8443" s="16"/>
      <c r="Q8443" s="16"/>
    </row>
    <row r="8444" spans="4:17" x14ac:dyDescent="0.25">
      <c r="D8444" s="16"/>
      <c r="Q8444" s="16"/>
    </row>
    <row r="8445" spans="4:17" x14ac:dyDescent="0.25">
      <c r="D8445" s="16"/>
      <c r="Q8445" s="16"/>
    </row>
    <row r="8446" spans="4:17" x14ac:dyDescent="0.25">
      <c r="D8446" s="16"/>
      <c r="Q8446" s="16"/>
    </row>
    <row r="8447" spans="4:17" x14ac:dyDescent="0.25">
      <c r="D8447" s="16"/>
      <c r="Q8447" s="16"/>
    </row>
    <row r="8448" spans="4:17" x14ac:dyDescent="0.25">
      <c r="D8448" s="16"/>
      <c r="Q8448" s="16"/>
    </row>
    <row r="8449" spans="4:17" x14ac:dyDescent="0.25">
      <c r="D8449" s="16"/>
      <c r="Q8449" s="16"/>
    </row>
    <row r="8450" spans="4:17" x14ac:dyDescent="0.25">
      <c r="D8450" s="16"/>
      <c r="Q8450" s="16"/>
    </row>
    <row r="8451" spans="4:17" x14ac:dyDescent="0.25">
      <c r="D8451" s="16"/>
      <c r="Q8451" s="16"/>
    </row>
    <row r="8452" spans="4:17" x14ac:dyDescent="0.25">
      <c r="D8452" s="16"/>
      <c r="Q8452" s="16"/>
    </row>
    <row r="8453" spans="4:17" x14ac:dyDescent="0.25">
      <c r="D8453" s="16"/>
      <c r="Q8453" s="16"/>
    </row>
    <row r="8454" spans="4:17" x14ac:dyDescent="0.25">
      <c r="D8454" s="16"/>
      <c r="Q8454" s="16"/>
    </row>
    <row r="8457" spans="4:17" x14ac:dyDescent="0.25">
      <c r="D8457" s="16"/>
      <c r="Q8457" s="16"/>
    </row>
    <row r="8458" spans="4:17" x14ac:dyDescent="0.25">
      <c r="D8458" s="16"/>
      <c r="Q8458" s="16"/>
    </row>
    <row r="8461" spans="4:17" x14ac:dyDescent="0.25">
      <c r="D8461" s="16"/>
      <c r="Q8461" s="16"/>
    </row>
    <row r="8462" spans="4:17" x14ac:dyDescent="0.25">
      <c r="D8462" s="16"/>
      <c r="Q8462" s="16"/>
    </row>
    <row r="8463" spans="4:17" x14ac:dyDescent="0.25">
      <c r="D8463" s="16"/>
      <c r="Q8463" s="16"/>
    </row>
    <row r="8464" spans="4:17" x14ac:dyDescent="0.25">
      <c r="D8464" s="16"/>
      <c r="Q8464" s="16"/>
    </row>
    <row r="8465" spans="4:17" x14ac:dyDescent="0.25">
      <c r="D8465" s="16"/>
      <c r="Q8465" s="16"/>
    </row>
    <row r="8466" spans="4:17" x14ac:dyDescent="0.25">
      <c r="D8466" s="16"/>
      <c r="Q8466" s="16"/>
    </row>
    <row r="8467" spans="4:17" x14ac:dyDescent="0.25">
      <c r="D8467" s="16"/>
      <c r="Q8467" s="16"/>
    </row>
    <row r="8468" spans="4:17" x14ac:dyDescent="0.25">
      <c r="D8468" s="16"/>
      <c r="Q8468" s="16"/>
    </row>
    <row r="8469" spans="4:17" x14ac:dyDescent="0.25">
      <c r="D8469" s="16"/>
      <c r="Q8469" s="16"/>
    </row>
    <row r="8470" spans="4:17" x14ac:dyDescent="0.25">
      <c r="D8470" s="16"/>
      <c r="Q8470" s="16"/>
    </row>
    <row r="8473" spans="4:17" x14ac:dyDescent="0.25">
      <c r="D8473" s="16"/>
      <c r="Q8473" s="16"/>
    </row>
    <row r="8476" spans="4:17" x14ac:dyDescent="0.25">
      <c r="D8476" s="16"/>
      <c r="Q8476" s="16"/>
    </row>
    <row r="8479" spans="4:17" x14ac:dyDescent="0.25">
      <c r="D8479" s="16"/>
      <c r="Q8479" s="16"/>
    </row>
    <row r="8480" spans="4:17" x14ac:dyDescent="0.25">
      <c r="D8480" s="16"/>
      <c r="Q8480" s="16"/>
    </row>
    <row r="8481" spans="4:17" x14ac:dyDescent="0.25">
      <c r="D8481" s="16"/>
      <c r="Q8481" s="16"/>
    </row>
    <row r="8484" spans="4:17" x14ac:dyDescent="0.25">
      <c r="D8484" s="16"/>
      <c r="Q8484" s="16"/>
    </row>
    <row r="8487" spans="4:17" x14ac:dyDescent="0.25">
      <c r="D8487" s="16"/>
      <c r="Q8487" s="16"/>
    </row>
    <row r="8488" spans="4:17" x14ac:dyDescent="0.25">
      <c r="D8488" s="16"/>
      <c r="Q8488" s="16"/>
    </row>
    <row r="8489" spans="4:17" x14ac:dyDescent="0.25">
      <c r="D8489" s="16"/>
      <c r="Q8489" s="16"/>
    </row>
    <row r="8490" spans="4:17" x14ac:dyDescent="0.25">
      <c r="D8490" s="16"/>
      <c r="Q8490" s="16"/>
    </row>
    <row r="8491" spans="4:17" x14ac:dyDescent="0.25">
      <c r="D8491" s="16"/>
      <c r="Q8491" s="16"/>
    </row>
    <row r="8492" spans="4:17" x14ac:dyDescent="0.25">
      <c r="D8492" s="16"/>
      <c r="Q8492" s="16"/>
    </row>
    <row r="8493" spans="4:17" x14ac:dyDescent="0.25">
      <c r="D8493" s="16"/>
      <c r="Q8493" s="16"/>
    </row>
    <row r="8494" spans="4:17" x14ac:dyDescent="0.25">
      <c r="D8494" s="16"/>
      <c r="Q8494" s="16"/>
    </row>
    <row r="8495" spans="4:17" x14ac:dyDescent="0.25">
      <c r="D8495" s="16"/>
      <c r="Q8495" s="16"/>
    </row>
    <row r="8496" spans="4:17" x14ac:dyDescent="0.25">
      <c r="D8496" s="16"/>
      <c r="Q8496" s="16"/>
    </row>
    <row r="8497" spans="4:17" x14ac:dyDescent="0.25">
      <c r="D8497" s="16"/>
      <c r="Q8497" s="16"/>
    </row>
    <row r="8498" spans="4:17" x14ac:dyDescent="0.25">
      <c r="D8498" s="16"/>
      <c r="Q8498" s="16"/>
    </row>
    <row r="8499" spans="4:17" x14ac:dyDescent="0.25">
      <c r="D8499" s="16"/>
      <c r="Q8499" s="16"/>
    </row>
    <row r="8500" spans="4:17" x14ac:dyDescent="0.25">
      <c r="D8500" s="16"/>
      <c r="Q8500" s="16"/>
    </row>
    <row r="8501" spans="4:17" x14ac:dyDescent="0.25">
      <c r="D8501" s="16"/>
      <c r="Q8501" s="16"/>
    </row>
    <row r="8504" spans="4:17" x14ac:dyDescent="0.25">
      <c r="D8504" s="16"/>
      <c r="Q8504" s="16"/>
    </row>
    <row r="8507" spans="4:17" x14ac:dyDescent="0.25">
      <c r="D8507" s="16"/>
      <c r="Q8507" s="16"/>
    </row>
    <row r="8510" spans="4:17" x14ac:dyDescent="0.25">
      <c r="D8510" s="16"/>
      <c r="Q8510" s="16"/>
    </row>
    <row r="8511" spans="4:17" x14ac:dyDescent="0.25">
      <c r="D8511" s="16"/>
      <c r="Q8511" s="16"/>
    </row>
    <row r="8512" spans="4:17" x14ac:dyDescent="0.25">
      <c r="D8512" s="16"/>
      <c r="Q8512" s="16"/>
    </row>
    <row r="8513" spans="4:17" x14ac:dyDescent="0.25">
      <c r="D8513" s="16"/>
      <c r="Q8513" s="16"/>
    </row>
    <row r="8514" spans="4:17" x14ac:dyDescent="0.25">
      <c r="D8514" s="16"/>
      <c r="Q8514" s="16"/>
    </row>
    <row r="8515" spans="4:17" x14ac:dyDescent="0.25">
      <c r="D8515" s="16"/>
      <c r="Q8515" s="16"/>
    </row>
    <row r="8516" spans="4:17" x14ac:dyDescent="0.25">
      <c r="D8516" s="16"/>
      <c r="Q8516" s="16"/>
    </row>
    <row r="8517" spans="4:17" x14ac:dyDescent="0.25">
      <c r="D8517" s="16"/>
      <c r="Q8517" s="16"/>
    </row>
    <row r="8518" spans="4:17" x14ac:dyDescent="0.25">
      <c r="D8518" s="16"/>
      <c r="Q8518" s="16"/>
    </row>
    <row r="8519" spans="4:17" x14ac:dyDescent="0.25">
      <c r="D8519" s="16"/>
      <c r="Q8519" s="16"/>
    </row>
    <row r="8520" spans="4:17" x14ac:dyDescent="0.25">
      <c r="D8520" s="16"/>
      <c r="Q8520" s="16"/>
    </row>
    <row r="8521" spans="4:17" x14ac:dyDescent="0.25">
      <c r="D8521" s="16"/>
      <c r="Q8521" s="16"/>
    </row>
    <row r="8524" spans="4:17" x14ac:dyDescent="0.25">
      <c r="D8524" s="16"/>
      <c r="Q8524" s="16"/>
    </row>
    <row r="8525" spans="4:17" x14ac:dyDescent="0.25">
      <c r="D8525" s="16"/>
      <c r="Q8525" s="16"/>
    </row>
    <row r="8528" spans="4:17" x14ac:dyDescent="0.25">
      <c r="D8528" s="16"/>
      <c r="Q8528" s="16"/>
    </row>
    <row r="8529" spans="4:17" x14ac:dyDescent="0.25">
      <c r="D8529" s="16"/>
      <c r="Q8529" s="16"/>
    </row>
    <row r="8530" spans="4:17" x14ac:dyDescent="0.25">
      <c r="D8530" s="16"/>
      <c r="Q8530" s="16"/>
    </row>
    <row r="8533" spans="4:17" x14ac:dyDescent="0.25">
      <c r="D8533" s="16"/>
      <c r="Q8533" s="16"/>
    </row>
    <row r="8534" spans="4:17" x14ac:dyDescent="0.25">
      <c r="D8534" s="16"/>
      <c r="Q8534" s="16"/>
    </row>
    <row r="8535" spans="4:17" x14ac:dyDescent="0.25">
      <c r="D8535" s="16"/>
      <c r="Q8535" s="16"/>
    </row>
    <row r="8536" spans="4:17" x14ac:dyDescent="0.25">
      <c r="D8536" s="16"/>
      <c r="Q8536" s="16"/>
    </row>
    <row r="8537" spans="4:17" x14ac:dyDescent="0.25">
      <c r="D8537" s="16"/>
      <c r="Q8537" s="16"/>
    </row>
    <row r="8538" spans="4:17" x14ac:dyDescent="0.25">
      <c r="D8538" s="16"/>
      <c r="Q8538" s="16"/>
    </row>
    <row r="8541" spans="4:17" x14ac:dyDescent="0.25">
      <c r="D8541" s="16"/>
      <c r="Q8541" s="16"/>
    </row>
    <row r="8544" spans="4:17" x14ac:dyDescent="0.25">
      <c r="D8544" s="16"/>
      <c r="Q8544" s="16"/>
    </row>
    <row r="8545" spans="4:17" x14ac:dyDescent="0.25">
      <c r="D8545" s="16"/>
      <c r="Q8545" s="16"/>
    </row>
    <row r="8548" spans="4:17" x14ac:dyDescent="0.25">
      <c r="D8548" s="16"/>
      <c r="Q8548" s="16"/>
    </row>
    <row r="8549" spans="4:17" x14ac:dyDescent="0.25">
      <c r="D8549" s="16"/>
      <c r="Q8549" s="16"/>
    </row>
    <row r="8552" spans="4:17" x14ac:dyDescent="0.25">
      <c r="D8552" s="16"/>
      <c r="Q8552" s="16"/>
    </row>
    <row r="8555" spans="4:17" x14ac:dyDescent="0.25">
      <c r="D8555" s="16"/>
      <c r="Q8555" s="16"/>
    </row>
    <row r="8556" spans="4:17" x14ac:dyDescent="0.25">
      <c r="D8556" s="16"/>
      <c r="Q8556" s="16"/>
    </row>
    <row r="8557" spans="4:17" x14ac:dyDescent="0.25">
      <c r="D8557" s="16"/>
      <c r="Q8557" s="16"/>
    </row>
    <row r="8560" spans="4:17" x14ac:dyDescent="0.25">
      <c r="D8560" s="16"/>
      <c r="Q8560" s="16"/>
    </row>
    <row r="8561" spans="4:17" x14ac:dyDescent="0.25">
      <c r="D8561" s="16"/>
      <c r="Q8561" s="16"/>
    </row>
    <row r="8564" spans="4:17" x14ac:dyDescent="0.25">
      <c r="D8564" s="16"/>
      <c r="Q8564" s="16"/>
    </row>
    <row r="8565" spans="4:17" x14ac:dyDescent="0.25">
      <c r="D8565" s="16"/>
      <c r="Q8565" s="16"/>
    </row>
    <row r="8568" spans="4:17" x14ac:dyDescent="0.25">
      <c r="D8568" s="16"/>
      <c r="Q8568" s="16"/>
    </row>
    <row r="8571" spans="4:17" x14ac:dyDescent="0.25">
      <c r="D8571" s="16"/>
      <c r="Q8571" s="16"/>
    </row>
    <row r="8574" spans="4:17" x14ac:dyDescent="0.25">
      <c r="D8574" s="16"/>
      <c r="Q8574" s="16"/>
    </row>
    <row r="8577" spans="4:17" x14ac:dyDescent="0.25">
      <c r="D8577" s="16"/>
      <c r="Q8577" s="16"/>
    </row>
    <row r="8578" spans="4:17" x14ac:dyDescent="0.25">
      <c r="D8578" s="16"/>
      <c r="Q8578" s="16"/>
    </row>
    <row r="8579" spans="4:17" x14ac:dyDescent="0.25">
      <c r="D8579" s="16"/>
      <c r="Q8579" s="16"/>
    </row>
    <row r="8580" spans="4:17" x14ac:dyDescent="0.25">
      <c r="D8580" s="16"/>
      <c r="Q8580" s="16"/>
    </row>
    <row r="8583" spans="4:17" x14ac:dyDescent="0.25">
      <c r="D8583" s="16"/>
      <c r="Q8583" s="16"/>
    </row>
    <row r="8586" spans="4:17" x14ac:dyDescent="0.25">
      <c r="D8586" s="16"/>
      <c r="Q8586" s="16"/>
    </row>
    <row r="8589" spans="4:17" x14ac:dyDescent="0.25">
      <c r="D8589" s="16"/>
      <c r="Q8589" s="16"/>
    </row>
    <row r="8592" spans="4:17" x14ac:dyDescent="0.25">
      <c r="D8592" s="16"/>
      <c r="Q8592" s="16"/>
    </row>
    <row r="8595" spans="4:17" x14ac:dyDescent="0.25">
      <c r="D8595" s="16"/>
      <c r="Q8595" s="16"/>
    </row>
    <row r="8598" spans="4:17" x14ac:dyDescent="0.25">
      <c r="D8598" s="16"/>
      <c r="Q8598" s="16"/>
    </row>
    <row r="8599" spans="4:17" x14ac:dyDescent="0.25">
      <c r="D8599" s="16"/>
      <c r="Q8599" s="16"/>
    </row>
    <row r="8600" spans="4:17" x14ac:dyDescent="0.25">
      <c r="D8600" s="16"/>
      <c r="Q8600" s="16"/>
    </row>
    <row r="8603" spans="4:17" x14ac:dyDescent="0.25">
      <c r="D8603" s="16"/>
      <c r="Q8603" s="16"/>
    </row>
    <row r="8604" spans="4:17" x14ac:dyDescent="0.25">
      <c r="D8604" s="16"/>
      <c r="Q8604" s="16"/>
    </row>
    <row r="8607" spans="4:17" x14ac:dyDescent="0.25">
      <c r="D8607" s="16"/>
      <c r="Q8607" s="16"/>
    </row>
    <row r="8610" spans="4:17" x14ac:dyDescent="0.25">
      <c r="D8610" s="16"/>
      <c r="Q8610" s="16"/>
    </row>
    <row r="8611" spans="4:17" x14ac:dyDescent="0.25">
      <c r="D8611" s="16"/>
      <c r="Q8611" s="16"/>
    </row>
    <row r="8614" spans="4:17" x14ac:dyDescent="0.25">
      <c r="D8614" s="16"/>
      <c r="Q8614" s="16"/>
    </row>
    <row r="8617" spans="4:17" x14ac:dyDescent="0.25">
      <c r="D8617" s="16"/>
      <c r="Q8617" s="16"/>
    </row>
    <row r="8620" spans="4:17" x14ac:dyDescent="0.25">
      <c r="D8620" s="16"/>
      <c r="Q8620" s="16"/>
    </row>
    <row r="8623" spans="4:17" x14ac:dyDescent="0.25">
      <c r="D8623" s="16"/>
      <c r="Q8623" s="16"/>
    </row>
    <row r="8624" spans="4:17" x14ac:dyDescent="0.25">
      <c r="D8624" s="16"/>
      <c r="Q8624" s="16"/>
    </row>
    <row r="8627" spans="4:17" x14ac:dyDescent="0.25">
      <c r="D8627" s="16"/>
      <c r="Q8627" s="16"/>
    </row>
    <row r="8628" spans="4:17" x14ac:dyDescent="0.25">
      <c r="D8628" s="16"/>
      <c r="Q8628" s="16"/>
    </row>
    <row r="8629" spans="4:17" x14ac:dyDescent="0.25">
      <c r="D8629" s="16"/>
      <c r="Q8629" s="16"/>
    </row>
    <row r="8632" spans="4:17" x14ac:dyDescent="0.25">
      <c r="D8632" s="16"/>
      <c r="Q8632" s="16"/>
    </row>
    <row r="8635" spans="4:17" x14ac:dyDescent="0.25">
      <c r="D8635" s="16"/>
      <c r="Q8635" s="16"/>
    </row>
    <row r="8636" spans="4:17" x14ac:dyDescent="0.25">
      <c r="D8636" s="16"/>
      <c r="Q8636" s="16"/>
    </row>
    <row r="8639" spans="4:17" x14ac:dyDescent="0.25">
      <c r="D8639" s="16"/>
      <c r="Q8639" s="16"/>
    </row>
    <row r="8642" spans="4:17" x14ac:dyDescent="0.25">
      <c r="D8642" s="16"/>
      <c r="Q8642" s="16"/>
    </row>
    <row r="8645" spans="4:17" x14ac:dyDescent="0.25">
      <c r="D8645" s="16"/>
      <c r="Q8645" s="16"/>
    </row>
    <row r="8648" spans="4:17" x14ac:dyDescent="0.25">
      <c r="D8648" s="16"/>
      <c r="Q8648" s="16"/>
    </row>
    <row r="8651" spans="4:17" x14ac:dyDescent="0.25">
      <c r="D8651" s="16"/>
      <c r="Q8651" s="16"/>
    </row>
    <row r="8652" spans="4:17" x14ac:dyDescent="0.25">
      <c r="D8652" s="16"/>
      <c r="Q8652" s="16"/>
    </row>
    <row r="8655" spans="4:17" x14ac:dyDescent="0.25">
      <c r="D8655" s="16"/>
      <c r="Q8655" s="16"/>
    </row>
    <row r="8658" spans="4:17" x14ac:dyDescent="0.25">
      <c r="D8658" s="16"/>
      <c r="Q8658" s="16"/>
    </row>
    <row r="8661" spans="4:17" x14ac:dyDescent="0.25">
      <c r="D8661" s="16"/>
      <c r="Q8661" s="16"/>
    </row>
    <row r="8664" spans="4:17" x14ac:dyDescent="0.25">
      <c r="D8664" s="16"/>
      <c r="Q8664" s="16"/>
    </row>
    <row r="8667" spans="4:17" x14ac:dyDescent="0.25">
      <c r="D8667" s="16"/>
      <c r="Q8667" s="16"/>
    </row>
    <row r="8670" spans="4:17" x14ac:dyDescent="0.25">
      <c r="D8670" s="16"/>
      <c r="Q8670" s="16"/>
    </row>
    <row r="8673" spans="4:17" x14ac:dyDescent="0.25">
      <c r="D8673" s="16"/>
      <c r="Q8673" s="16"/>
    </row>
    <row r="8676" spans="4:17" x14ac:dyDescent="0.25">
      <c r="D8676" s="16"/>
      <c r="Q8676" s="16"/>
    </row>
    <row r="8679" spans="4:17" x14ac:dyDescent="0.25">
      <c r="D8679" s="16"/>
      <c r="Q8679" s="16"/>
    </row>
    <row r="8682" spans="4:17" x14ac:dyDescent="0.25">
      <c r="D8682" s="16"/>
      <c r="Q8682" s="16"/>
    </row>
    <row r="8685" spans="4:17" x14ac:dyDescent="0.25">
      <c r="D8685" s="16"/>
      <c r="Q8685" s="16"/>
    </row>
    <row r="8688" spans="4:17" x14ac:dyDescent="0.25">
      <c r="D8688" s="16"/>
      <c r="Q8688" s="16"/>
    </row>
    <row r="8689" spans="4:17" x14ac:dyDescent="0.25">
      <c r="D8689" s="16"/>
      <c r="Q8689" s="16"/>
    </row>
    <row r="8692" spans="4:17" x14ac:dyDescent="0.25">
      <c r="D8692" s="16"/>
      <c r="Q8692" s="16"/>
    </row>
    <row r="8695" spans="4:17" x14ac:dyDescent="0.25">
      <c r="D8695" s="16"/>
      <c r="Q8695" s="16"/>
    </row>
    <row r="8698" spans="4:17" x14ac:dyDescent="0.25">
      <c r="D8698" s="16"/>
      <c r="Q8698" s="16"/>
    </row>
    <row r="8701" spans="4:17" x14ac:dyDescent="0.25">
      <c r="D8701" s="16"/>
      <c r="Q8701" s="16"/>
    </row>
    <row r="8704" spans="4:17" x14ac:dyDescent="0.25">
      <c r="D8704" s="16"/>
      <c r="Q8704" s="16"/>
    </row>
    <row r="8707" spans="4:17" x14ac:dyDescent="0.25">
      <c r="D8707" s="16"/>
      <c r="Q8707" s="16"/>
    </row>
    <row r="8710" spans="4:17" x14ac:dyDescent="0.25">
      <c r="D8710" s="16"/>
      <c r="Q8710" s="16"/>
    </row>
    <row r="8713" spans="4:17" x14ac:dyDescent="0.25">
      <c r="D8713" s="16"/>
      <c r="Q8713" s="16"/>
    </row>
    <row r="8716" spans="4:17" x14ac:dyDescent="0.25">
      <c r="D8716" s="16"/>
      <c r="Q8716" s="16"/>
    </row>
    <row r="8719" spans="4:17" x14ac:dyDescent="0.25">
      <c r="D8719" s="16"/>
      <c r="Q8719" s="16"/>
    </row>
    <row r="8722" spans="4:17" x14ac:dyDescent="0.25">
      <c r="D8722" s="16"/>
      <c r="Q8722" s="16"/>
    </row>
    <row r="8725" spans="4:17" x14ac:dyDescent="0.25">
      <c r="D8725" s="16"/>
      <c r="Q8725" s="16"/>
    </row>
    <row r="8728" spans="4:17" x14ac:dyDescent="0.25">
      <c r="D8728" s="16"/>
      <c r="Q8728" s="16"/>
    </row>
    <row r="8731" spans="4:17" x14ac:dyDescent="0.25">
      <c r="D8731" s="16"/>
      <c r="Q8731" s="16"/>
    </row>
    <row r="8734" spans="4:17" x14ac:dyDescent="0.25">
      <c r="D8734" s="16"/>
      <c r="Q8734" s="16"/>
    </row>
    <row r="8735" spans="4:17" x14ac:dyDescent="0.25">
      <c r="D8735" s="16"/>
      <c r="Q8735" s="16"/>
    </row>
    <row r="8738" spans="4:17" x14ac:dyDescent="0.25">
      <c r="D8738" s="16"/>
      <c r="Q8738" s="16"/>
    </row>
    <row r="8741" spans="4:17" x14ac:dyDescent="0.25">
      <c r="D8741" s="16"/>
      <c r="Q8741" s="16"/>
    </row>
    <row r="8744" spans="4:17" x14ac:dyDescent="0.25">
      <c r="D8744" s="16"/>
      <c r="Q8744" s="16"/>
    </row>
    <row r="8747" spans="4:17" x14ac:dyDescent="0.25">
      <c r="D8747" s="16"/>
      <c r="Q8747" s="16"/>
    </row>
    <row r="8750" spans="4:17" x14ac:dyDescent="0.25">
      <c r="D8750" s="16"/>
      <c r="Q8750" s="16"/>
    </row>
    <row r="8751" spans="4:17" x14ac:dyDescent="0.25">
      <c r="D8751" s="16"/>
      <c r="Q8751" s="16"/>
    </row>
    <row r="8754" spans="4:17" x14ac:dyDescent="0.25">
      <c r="D8754" s="16"/>
      <c r="Q8754" s="16"/>
    </row>
    <row r="8755" spans="4:17" x14ac:dyDescent="0.25">
      <c r="D8755" s="16"/>
      <c r="Q8755" s="16"/>
    </row>
    <row r="8758" spans="4:17" x14ac:dyDescent="0.25">
      <c r="D8758" s="16"/>
      <c r="Q8758" s="16"/>
    </row>
    <row r="8761" spans="4:17" x14ac:dyDescent="0.25">
      <c r="D8761" s="16"/>
      <c r="Q8761" s="16"/>
    </row>
    <row r="8764" spans="4:17" x14ac:dyDescent="0.25">
      <c r="D8764" s="16"/>
      <c r="Q8764" s="16"/>
    </row>
    <row r="8767" spans="4:17" x14ac:dyDescent="0.25">
      <c r="D8767" s="16"/>
      <c r="Q8767" s="16"/>
    </row>
    <row r="8770" spans="4:17" x14ac:dyDescent="0.25">
      <c r="D8770" s="16"/>
      <c r="Q8770" s="16"/>
    </row>
    <row r="8773" spans="4:17" x14ac:dyDescent="0.25">
      <c r="D8773" s="16"/>
      <c r="Q8773" s="16"/>
    </row>
    <row r="8774" spans="4:17" x14ac:dyDescent="0.25">
      <c r="D8774" s="16"/>
      <c r="Q8774" s="16"/>
    </row>
    <row r="8777" spans="4:17" x14ac:dyDescent="0.25">
      <c r="D8777" s="16"/>
      <c r="Q8777" s="16"/>
    </row>
    <row r="8780" spans="4:17" x14ac:dyDescent="0.25">
      <c r="D8780" s="16"/>
      <c r="Q8780" s="16"/>
    </row>
    <row r="8783" spans="4:17" x14ac:dyDescent="0.25">
      <c r="D8783" s="16"/>
      <c r="Q8783" s="16"/>
    </row>
    <row r="8786" spans="4:17" x14ac:dyDescent="0.25">
      <c r="D8786" s="16"/>
      <c r="Q8786" s="16"/>
    </row>
    <row r="8789" spans="4:17" x14ac:dyDescent="0.25">
      <c r="D8789" s="16"/>
      <c r="Q8789" s="16"/>
    </row>
    <row r="8792" spans="4:17" x14ac:dyDescent="0.25">
      <c r="D8792" s="16"/>
      <c r="Q8792" s="16"/>
    </row>
    <row r="8795" spans="4:17" x14ac:dyDescent="0.25">
      <c r="D8795" s="16"/>
      <c r="Q8795" s="16"/>
    </row>
    <row r="8798" spans="4:17" x14ac:dyDescent="0.25">
      <c r="D8798" s="16"/>
      <c r="Q8798" s="16"/>
    </row>
    <row r="8801" spans="4:17" x14ac:dyDescent="0.25">
      <c r="D8801" s="16"/>
      <c r="Q8801" s="16"/>
    </row>
    <row r="8804" spans="4:17" x14ac:dyDescent="0.25">
      <c r="D8804" s="16"/>
      <c r="Q8804" s="16"/>
    </row>
    <row r="8805" spans="4:17" x14ac:dyDescent="0.25">
      <c r="D8805" s="16"/>
      <c r="Q8805" s="16"/>
    </row>
    <row r="8808" spans="4:17" x14ac:dyDescent="0.25">
      <c r="D8808" s="16"/>
      <c r="Q8808" s="16"/>
    </row>
    <row r="8811" spans="4:17" x14ac:dyDescent="0.25">
      <c r="D8811" s="16"/>
      <c r="Q8811" s="16"/>
    </row>
    <row r="8812" spans="4:17" x14ac:dyDescent="0.25">
      <c r="D8812" s="16"/>
      <c r="Q8812" s="16"/>
    </row>
    <row r="8815" spans="4:17" x14ac:dyDescent="0.25">
      <c r="D8815" s="16"/>
      <c r="Q8815" s="16"/>
    </row>
    <row r="8818" spans="4:17" x14ac:dyDescent="0.25">
      <c r="D8818" s="16"/>
      <c r="Q8818" s="16"/>
    </row>
    <row r="8819" spans="4:17" x14ac:dyDescent="0.25">
      <c r="D8819" s="16"/>
      <c r="Q8819" s="16"/>
    </row>
    <row r="8822" spans="4:17" x14ac:dyDescent="0.25">
      <c r="D8822" s="16"/>
      <c r="Q8822" s="16"/>
    </row>
    <row r="8825" spans="4:17" x14ac:dyDescent="0.25">
      <c r="D8825" s="16"/>
      <c r="Q8825" s="16"/>
    </row>
    <row r="8828" spans="4:17" x14ac:dyDescent="0.25">
      <c r="D8828" s="16"/>
      <c r="Q8828" s="16"/>
    </row>
    <row r="8831" spans="4:17" x14ac:dyDescent="0.25">
      <c r="D8831" s="16"/>
      <c r="Q8831" s="16"/>
    </row>
    <row r="8834" spans="4:17" x14ac:dyDescent="0.25">
      <c r="D8834" s="16"/>
      <c r="Q8834" s="16"/>
    </row>
    <row r="8837" spans="4:17" x14ac:dyDescent="0.25">
      <c r="D8837" s="16"/>
      <c r="Q8837" s="16"/>
    </row>
    <row r="8840" spans="4:17" x14ac:dyDescent="0.25">
      <c r="D8840" s="16"/>
      <c r="Q8840" s="16"/>
    </row>
    <row r="8843" spans="4:17" x14ac:dyDescent="0.25">
      <c r="D8843" s="16"/>
      <c r="Q8843" s="16"/>
    </row>
    <row r="8846" spans="4:17" x14ac:dyDescent="0.25">
      <c r="D8846" s="16"/>
      <c r="Q8846" s="16"/>
    </row>
    <row r="8849" spans="4:17" x14ac:dyDescent="0.25">
      <c r="D8849" s="16"/>
      <c r="Q8849" s="16"/>
    </row>
    <row r="8852" spans="4:17" x14ac:dyDescent="0.25">
      <c r="D8852" s="16"/>
      <c r="Q8852" s="16"/>
    </row>
    <row r="8855" spans="4:17" x14ac:dyDescent="0.25">
      <c r="D8855" s="16"/>
      <c r="Q8855" s="16"/>
    </row>
    <row r="8858" spans="4:17" x14ac:dyDescent="0.25">
      <c r="D8858" s="16"/>
      <c r="Q8858" s="16"/>
    </row>
    <row r="8861" spans="4:17" x14ac:dyDescent="0.25">
      <c r="D8861" s="16"/>
      <c r="Q8861" s="16"/>
    </row>
    <row r="8864" spans="4:17" x14ac:dyDescent="0.25">
      <c r="D8864" s="16"/>
      <c r="Q8864" s="16"/>
    </row>
    <row r="8867" spans="4:17" x14ac:dyDescent="0.25">
      <c r="D8867" s="16"/>
      <c r="Q8867" s="16"/>
    </row>
    <row r="8870" spans="4:17" x14ac:dyDescent="0.25">
      <c r="D8870" s="16"/>
      <c r="Q8870" s="16"/>
    </row>
    <row r="8871" spans="4:17" x14ac:dyDescent="0.25">
      <c r="D8871" s="16"/>
      <c r="Q8871" s="16"/>
    </row>
    <row r="8874" spans="4:17" x14ac:dyDescent="0.25">
      <c r="D8874" s="16"/>
      <c r="Q8874" s="16"/>
    </row>
    <row r="8877" spans="4:17" x14ac:dyDescent="0.25">
      <c r="D8877" s="16"/>
      <c r="Q8877" s="16"/>
    </row>
    <row r="8880" spans="4:17" x14ac:dyDescent="0.25">
      <c r="D8880" s="16"/>
      <c r="Q8880" s="16"/>
    </row>
    <row r="8883" spans="4:17" x14ac:dyDescent="0.25">
      <c r="D8883" s="16"/>
      <c r="Q8883" s="16"/>
    </row>
    <row r="8886" spans="4:17" x14ac:dyDescent="0.25">
      <c r="D8886" s="16"/>
      <c r="Q8886" s="16"/>
    </row>
    <row r="8887" spans="4:17" x14ac:dyDescent="0.25">
      <c r="D8887" s="16"/>
      <c r="Q8887" s="16"/>
    </row>
    <row r="8890" spans="4:17" x14ac:dyDescent="0.25">
      <c r="D8890" s="16"/>
      <c r="Q8890" s="16"/>
    </row>
    <row r="8893" spans="4:17" x14ac:dyDescent="0.25">
      <c r="D8893" s="16"/>
      <c r="Q8893" s="16"/>
    </row>
    <row r="8896" spans="4:17" x14ac:dyDescent="0.25">
      <c r="D8896" s="16"/>
      <c r="Q8896" s="16"/>
    </row>
    <row r="8899" spans="4:17" x14ac:dyDescent="0.25">
      <c r="D8899" s="16"/>
      <c r="Q8899" s="16"/>
    </row>
    <row r="8900" spans="4:17" x14ac:dyDescent="0.25">
      <c r="D8900" s="16"/>
      <c r="Q8900" s="16"/>
    </row>
    <row r="8901" spans="4:17" x14ac:dyDescent="0.25">
      <c r="D8901" s="16"/>
      <c r="Q8901" s="16"/>
    </row>
    <row r="8904" spans="4:17" x14ac:dyDescent="0.25">
      <c r="D8904" s="16"/>
      <c r="Q8904" s="16"/>
    </row>
    <row r="8907" spans="4:17" x14ac:dyDescent="0.25">
      <c r="D8907" s="16"/>
      <c r="Q8907" s="16"/>
    </row>
    <row r="8908" spans="4:17" x14ac:dyDescent="0.25">
      <c r="D8908" s="16"/>
      <c r="Q8908" s="16"/>
    </row>
    <row r="8911" spans="4:17" x14ac:dyDescent="0.25">
      <c r="D8911" s="16"/>
      <c r="Q8911" s="16"/>
    </row>
    <row r="8912" spans="4:17" x14ac:dyDescent="0.25">
      <c r="D8912" s="16"/>
      <c r="Q8912" s="16"/>
    </row>
    <row r="8915" spans="4:17" x14ac:dyDescent="0.25">
      <c r="D8915" s="16"/>
      <c r="Q8915" s="16"/>
    </row>
    <row r="8918" spans="4:17" x14ac:dyDescent="0.25">
      <c r="D8918" s="16"/>
      <c r="Q8918" s="16"/>
    </row>
    <row r="8921" spans="4:17" x14ac:dyDescent="0.25">
      <c r="D8921" s="16"/>
      <c r="Q8921" s="16"/>
    </row>
    <row r="8922" spans="4:17" x14ac:dyDescent="0.25">
      <c r="D8922" s="16"/>
      <c r="Q8922" s="16"/>
    </row>
    <row r="8925" spans="4:17" x14ac:dyDescent="0.25">
      <c r="D8925" s="16"/>
      <c r="Q8925" s="16"/>
    </row>
    <row r="8928" spans="4:17" x14ac:dyDescent="0.25">
      <c r="D8928" s="16"/>
      <c r="Q8928" s="16"/>
    </row>
    <row r="8929" spans="4:17" x14ac:dyDescent="0.25">
      <c r="D8929" s="16"/>
      <c r="Q8929" s="16"/>
    </row>
    <row r="8932" spans="4:17" x14ac:dyDescent="0.25">
      <c r="D8932" s="16"/>
      <c r="Q8932" s="16"/>
    </row>
    <row r="8935" spans="4:17" x14ac:dyDescent="0.25">
      <c r="D8935" s="16"/>
      <c r="Q8935" s="16"/>
    </row>
    <row r="8938" spans="4:17" x14ac:dyDescent="0.25">
      <c r="D8938" s="16"/>
      <c r="Q8938" s="16"/>
    </row>
    <row r="8941" spans="4:17" x14ac:dyDescent="0.25">
      <c r="D8941" s="16"/>
      <c r="Q8941" s="16"/>
    </row>
    <row r="8944" spans="4:17" x14ac:dyDescent="0.25">
      <c r="D8944" s="16"/>
      <c r="Q8944" s="16"/>
    </row>
    <row r="8947" spans="4:17" x14ac:dyDescent="0.25">
      <c r="D8947" s="16"/>
      <c r="Q8947" s="16"/>
    </row>
    <row r="8950" spans="4:17" x14ac:dyDescent="0.25">
      <c r="D8950" s="16"/>
      <c r="Q8950" s="16"/>
    </row>
    <row r="8953" spans="4:17" x14ac:dyDescent="0.25">
      <c r="D8953" s="16"/>
      <c r="Q8953" s="16"/>
    </row>
    <row r="8956" spans="4:17" x14ac:dyDescent="0.25">
      <c r="D8956" s="16"/>
      <c r="Q8956" s="16"/>
    </row>
    <row r="8957" spans="4:17" x14ac:dyDescent="0.25">
      <c r="D8957" s="16"/>
      <c r="Q8957" s="16"/>
    </row>
    <row r="8960" spans="4:17" x14ac:dyDescent="0.25">
      <c r="D8960" s="16"/>
      <c r="Q8960" s="16"/>
    </row>
    <row r="8963" spans="4:17" x14ac:dyDescent="0.25">
      <c r="D8963" s="16"/>
      <c r="Q8963" s="16"/>
    </row>
    <row r="8964" spans="4:17" x14ac:dyDescent="0.25">
      <c r="D8964" s="16"/>
      <c r="Q8964" s="16"/>
    </row>
    <row r="8967" spans="4:17" x14ac:dyDescent="0.25">
      <c r="D8967" s="16"/>
      <c r="Q8967" s="16"/>
    </row>
    <row r="8970" spans="4:17" x14ac:dyDescent="0.25">
      <c r="D8970" s="16"/>
      <c r="Q8970" s="16"/>
    </row>
    <row r="8973" spans="4:17" x14ac:dyDescent="0.25">
      <c r="D8973" s="16"/>
      <c r="Q8973" s="16"/>
    </row>
    <row r="8976" spans="4:17" x14ac:dyDescent="0.25">
      <c r="D8976" s="16"/>
      <c r="Q8976" s="16"/>
    </row>
    <row r="8979" spans="4:17" x14ac:dyDescent="0.25">
      <c r="D8979" s="16"/>
      <c r="Q8979" s="16"/>
    </row>
    <row r="8980" spans="4:17" x14ac:dyDescent="0.25">
      <c r="D8980" s="16"/>
      <c r="Q8980" s="16"/>
    </row>
    <row r="8981" spans="4:17" x14ac:dyDescent="0.25">
      <c r="D8981" s="16"/>
      <c r="Q8981" s="16"/>
    </row>
    <row r="8984" spans="4:17" x14ac:dyDescent="0.25">
      <c r="D8984" s="16"/>
      <c r="Q8984" s="16"/>
    </row>
    <row r="8987" spans="4:17" x14ac:dyDescent="0.25">
      <c r="D8987" s="16"/>
      <c r="Q8987" s="16"/>
    </row>
    <row r="8988" spans="4:17" x14ac:dyDescent="0.25">
      <c r="D8988" s="16"/>
      <c r="Q8988" s="16"/>
    </row>
    <row r="8991" spans="4:17" x14ac:dyDescent="0.25">
      <c r="D8991" s="16"/>
      <c r="Q8991" s="16"/>
    </row>
    <row r="8994" spans="4:17" x14ac:dyDescent="0.25">
      <c r="D8994" s="16"/>
      <c r="Q8994" s="16"/>
    </row>
    <row r="8997" spans="4:17" x14ac:dyDescent="0.25">
      <c r="D8997" s="16"/>
      <c r="Q8997" s="16"/>
    </row>
    <row r="8998" spans="4:17" x14ac:dyDescent="0.25">
      <c r="D8998" s="16"/>
      <c r="Q8998" s="16"/>
    </row>
    <row r="9001" spans="4:17" x14ac:dyDescent="0.25">
      <c r="D9001" s="16"/>
      <c r="Q9001" s="16"/>
    </row>
    <row r="9004" spans="4:17" x14ac:dyDescent="0.25">
      <c r="D9004" s="16"/>
      <c r="Q9004" s="16"/>
    </row>
    <row r="9007" spans="4:17" x14ac:dyDescent="0.25">
      <c r="D9007" s="16"/>
      <c r="Q9007" s="16"/>
    </row>
    <row r="9008" spans="4:17" x14ac:dyDescent="0.25">
      <c r="D9008" s="16"/>
      <c r="Q9008" s="16"/>
    </row>
    <row r="9011" spans="4:17" x14ac:dyDescent="0.25">
      <c r="D9011" s="16"/>
      <c r="Q9011" s="16"/>
    </row>
    <row r="9014" spans="4:17" x14ac:dyDescent="0.25">
      <c r="D9014" s="16"/>
      <c r="Q9014" s="16"/>
    </row>
    <row r="9015" spans="4:17" x14ac:dyDescent="0.25">
      <c r="D9015" s="16"/>
      <c r="Q9015" s="16"/>
    </row>
    <row r="9018" spans="4:17" x14ac:dyDescent="0.25">
      <c r="D9018" s="16"/>
      <c r="Q9018" s="16"/>
    </row>
    <row r="9021" spans="4:17" x14ac:dyDescent="0.25">
      <c r="D9021" s="16"/>
      <c r="Q9021" s="16"/>
    </row>
    <row r="9022" spans="4:17" x14ac:dyDescent="0.25">
      <c r="D9022" s="16"/>
      <c r="Q9022" s="16"/>
    </row>
    <row r="9025" spans="4:17" x14ac:dyDescent="0.25">
      <c r="D9025" s="16"/>
      <c r="Q9025" s="16"/>
    </row>
    <row r="9028" spans="4:17" x14ac:dyDescent="0.25">
      <c r="D9028" s="16"/>
      <c r="Q9028" s="16"/>
    </row>
    <row r="9029" spans="4:17" x14ac:dyDescent="0.25">
      <c r="D9029" s="16"/>
      <c r="Q9029" s="16"/>
    </row>
    <row r="9032" spans="4:17" x14ac:dyDescent="0.25">
      <c r="D9032" s="16"/>
      <c r="Q9032" s="16"/>
    </row>
    <row r="9033" spans="4:17" x14ac:dyDescent="0.25">
      <c r="D9033" s="16"/>
      <c r="Q9033" s="16"/>
    </row>
    <row r="9036" spans="4:17" x14ac:dyDescent="0.25">
      <c r="D9036" s="16"/>
      <c r="Q9036" s="16"/>
    </row>
    <row r="9039" spans="4:17" x14ac:dyDescent="0.25">
      <c r="D9039" s="16"/>
      <c r="Q9039" s="16"/>
    </row>
    <row r="9042" spans="4:17" x14ac:dyDescent="0.25">
      <c r="D9042" s="16"/>
      <c r="Q9042" s="16"/>
    </row>
    <row r="9045" spans="4:17" x14ac:dyDescent="0.25">
      <c r="D9045" s="16"/>
      <c r="Q9045" s="16"/>
    </row>
    <row r="9048" spans="4:17" x14ac:dyDescent="0.25">
      <c r="D9048" s="16"/>
      <c r="Q9048" s="16"/>
    </row>
    <row r="9049" spans="4:17" x14ac:dyDescent="0.25">
      <c r="D9049" s="16"/>
      <c r="Q9049" s="16"/>
    </row>
    <row r="9052" spans="4:17" x14ac:dyDescent="0.25">
      <c r="D9052" s="16"/>
      <c r="Q9052" s="16"/>
    </row>
    <row r="9055" spans="4:17" x14ac:dyDescent="0.25">
      <c r="D9055" s="16"/>
      <c r="Q9055" s="16"/>
    </row>
    <row r="9058" spans="4:17" x14ac:dyDescent="0.25">
      <c r="D9058" s="16"/>
      <c r="Q9058" s="16"/>
    </row>
    <row r="9061" spans="4:17" x14ac:dyDescent="0.25">
      <c r="D9061" s="16"/>
      <c r="Q9061" s="16"/>
    </row>
    <row r="9062" spans="4:17" x14ac:dyDescent="0.25">
      <c r="D9062" s="16"/>
      <c r="Q9062" s="16"/>
    </row>
    <row r="9065" spans="4:17" x14ac:dyDescent="0.25">
      <c r="D9065" s="16"/>
      <c r="Q9065" s="16"/>
    </row>
    <row r="9068" spans="4:17" x14ac:dyDescent="0.25">
      <c r="D9068" s="16"/>
      <c r="Q9068" s="16"/>
    </row>
    <row r="9071" spans="4:17" x14ac:dyDescent="0.25">
      <c r="D9071" s="16"/>
      <c r="Q9071" s="16"/>
    </row>
    <row r="9074" spans="4:17" x14ac:dyDescent="0.25">
      <c r="D9074" s="16"/>
      <c r="Q9074" s="16"/>
    </row>
    <row r="9077" spans="4:17" x14ac:dyDescent="0.25">
      <c r="D9077" s="16"/>
      <c r="Q9077" s="16"/>
    </row>
    <row r="9080" spans="4:17" x14ac:dyDescent="0.25">
      <c r="D9080" s="16"/>
      <c r="Q9080" s="16"/>
    </row>
    <row r="9083" spans="4:17" x14ac:dyDescent="0.25">
      <c r="D9083" s="16"/>
      <c r="Q9083" s="16"/>
    </row>
    <row r="9086" spans="4:17" x14ac:dyDescent="0.25">
      <c r="D9086" s="16"/>
      <c r="Q9086" s="16"/>
    </row>
    <row r="9089" spans="4:17" x14ac:dyDescent="0.25">
      <c r="D9089" s="16"/>
      <c r="Q9089" s="16"/>
    </row>
    <row r="9092" spans="4:17" x14ac:dyDescent="0.25">
      <c r="D9092" s="16"/>
      <c r="Q9092" s="16"/>
    </row>
    <row r="9093" spans="4:17" x14ac:dyDescent="0.25">
      <c r="D9093" s="16"/>
      <c r="Q9093" s="16"/>
    </row>
    <row r="9096" spans="4:17" x14ac:dyDescent="0.25">
      <c r="D9096" s="16"/>
      <c r="Q9096" s="16"/>
    </row>
    <row r="9099" spans="4:17" x14ac:dyDescent="0.25">
      <c r="D9099" s="16"/>
      <c r="Q9099" s="16"/>
    </row>
    <row r="9102" spans="4:17" x14ac:dyDescent="0.25">
      <c r="D9102" s="16"/>
      <c r="Q9102" s="16"/>
    </row>
    <row r="9105" spans="4:17" x14ac:dyDescent="0.25">
      <c r="D9105" s="16"/>
      <c r="Q9105" s="16"/>
    </row>
    <row r="9108" spans="4:17" x14ac:dyDescent="0.25">
      <c r="D9108" s="16"/>
      <c r="Q9108" s="16"/>
    </row>
    <row r="9111" spans="4:17" x14ac:dyDescent="0.25">
      <c r="D9111" s="16"/>
      <c r="Q9111" s="16"/>
    </row>
    <row r="9112" spans="4:17" x14ac:dyDescent="0.25">
      <c r="D9112" s="16"/>
      <c r="Q9112" s="16"/>
    </row>
    <row r="9115" spans="4:17" x14ac:dyDescent="0.25">
      <c r="D9115" s="16"/>
      <c r="Q9115" s="16"/>
    </row>
    <row r="9118" spans="4:17" x14ac:dyDescent="0.25">
      <c r="D9118" s="16"/>
      <c r="Q9118" s="16"/>
    </row>
    <row r="9121" spans="4:17" x14ac:dyDescent="0.25">
      <c r="D9121" s="16"/>
      <c r="Q9121" s="16"/>
    </row>
    <row r="9124" spans="4:17" x14ac:dyDescent="0.25">
      <c r="D9124" s="16"/>
      <c r="Q9124" s="16"/>
    </row>
    <row r="9127" spans="4:17" x14ac:dyDescent="0.25">
      <c r="D9127" s="16"/>
      <c r="Q9127" s="16"/>
    </row>
    <row r="9128" spans="4:17" x14ac:dyDescent="0.25">
      <c r="D9128" s="16"/>
      <c r="Q9128" s="16"/>
    </row>
    <row r="9131" spans="4:17" x14ac:dyDescent="0.25">
      <c r="D9131" s="16"/>
      <c r="Q9131" s="16"/>
    </row>
    <row r="9134" spans="4:17" x14ac:dyDescent="0.25">
      <c r="D9134" s="16"/>
      <c r="Q9134" s="16"/>
    </row>
    <row r="9137" spans="4:17" x14ac:dyDescent="0.25">
      <c r="D9137" s="16"/>
      <c r="Q9137" s="16"/>
    </row>
    <row r="9140" spans="4:17" x14ac:dyDescent="0.25">
      <c r="D9140" s="16"/>
      <c r="Q9140" s="16"/>
    </row>
    <row r="9143" spans="4:17" x14ac:dyDescent="0.25">
      <c r="D9143" s="16"/>
      <c r="Q9143" s="16"/>
    </row>
    <row r="9146" spans="4:17" x14ac:dyDescent="0.25">
      <c r="D9146" s="16"/>
      <c r="Q9146" s="16"/>
    </row>
    <row r="9149" spans="4:17" x14ac:dyDescent="0.25">
      <c r="D9149" s="16"/>
      <c r="Q9149" s="16"/>
    </row>
    <row r="9150" spans="4:17" x14ac:dyDescent="0.25">
      <c r="D9150" s="16"/>
      <c r="Q9150" s="16"/>
    </row>
    <row r="9153" spans="4:17" x14ac:dyDescent="0.25">
      <c r="D9153" s="16"/>
      <c r="Q9153" s="16"/>
    </row>
    <row r="9156" spans="4:17" x14ac:dyDescent="0.25">
      <c r="D9156" s="16"/>
      <c r="Q9156" s="16"/>
    </row>
    <row r="9157" spans="4:17" x14ac:dyDescent="0.25">
      <c r="D9157" s="16"/>
      <c r="Q9157" s="16"/>
    </row>
    <row r="9160" spans="4:17" x14ac:dyDescent="0.25">
      <c r="D9160" s="16"/>
      <c r="Q9160" s="16"/>
    </row>
    <row r="9161" spans="4:17" x14ac:dyDescent="0.25">
      <c r="D9161" s="16"/>
      <c r="Q9161" s="16"/>
    </row>
    <row r="9164" spans="4:17" x14ac:dyDescent="0.25">
      <c r="D9164" s="16"/>
      <c r="Q9164" s="16"/>
    </row>
    <row r="9167" spans="4:17" x14ac:dyDescent="0.25">
      <c r="D9167" s="16"/>
      <c r="Q9167" s="16"/>
    </row>
    <row r="9170" spans="4:17" x14ac:dyDescent="0.25">
      <c r="D9170" s="16"/>
      <c r="Q9170" s="16"/>
    </row>
    <row r="9173" spans="4:17" x14ac:dyDescent="0.25">
      <c r="D9173" s="16"/>
      <c r="Q9173" s="16"/>
    </row>
    <row r="9176" spans="4:17" x14ac:dyDescent="0.25">
      <c r="D9176" s="16"/>
      <c r="Q9176" s="16"/>
    </row>
    <row r="9179" spans="4:17" x14ac:dyDescent="0.25">
      <c r="D9179" s="16"/>
      <c r="Q9179" s="16"/>
    </row>
    <row r="9182" spans="4:17" x14ac:dyDescent="0.25">
      <c r="D9182" s="16"/>
      <c r="Q9182" s="16"/>
    </row>
    <row r="9185" spans="4:17" x14ac:dyDescent="0.25">
      <c r="D9185" s="16"/>
      <c r="Q9185" s="16"/>
    </row>
    <row r="9186" spans="4:17" x14ac:dyDescent="0.25">
      <c r="D9186" s="16"/>
      <c r="Q9186" s="16"/>
    </row>
    <row r="9189" spans="4:17" x14ac:dyDescent="0.25">
      <c r="D9189" s="16"/>
      <c r="Q9189" s="16"/>
    </row>
    <row r="9192" spans="4:17" x14ac:dyDescent="0.25">
      <c r="D9192" s="16"/>
      <c r="Q9192" s="16"/>
    </row>
    <row r="9195" spans="4:17" x14ac:dyDescent="0.25">
      <c r="D9195" s="16"/>
      <c r="Q9195" s="16"/>
    </row>
    <row r="9198" spans="4:17" x14ac:dyDescent="0.25">
      <c r="D9198" s="16"/>
      <c r="Q9198" s="16"/>
    </row>
    <row r="9199" spans="4:17" x14ac:dyDescent="0.25">
      <c r="D9199" s="16"/>
      <c r="Q9199" s="16"/>
    </row>
    <row r="9202" spans="4:17" x14ac:dyDescent="0.25">
      <c r="D9202" s="16"/>
      <c r="Q9202" s="16"/>
    </row>
    <row r="9205" spans="4:17" x14ac:dyDescent="0.25">
      <c r="D9205" s="16"/>
      <c r="Q9205" s="16"/>
    </row>
    <row r="9208" spans="4:17" x14ac:dyDescent="0.25">
      <c r="D9208" s="16"/>
      <c r="Q9208" s="16"/>
    </row>
    <row r="9211" spans="4:17" x14ac:dyDescent="0.25">
      <c r="D9211" s="16"/>
      <c r="Q9211" s="16"/>
    </row>
    <row r="9214" spans="4:17" x14ac:dyDescent="0.25">
      <c r="D9214" s="16"/>
      <c r="Q9214" s="16"/>
    </row>
    <row r="9215" spans="4:17" x14ac:dyDescent="0.25">
      <c r="D9215" s="16"/>
      <c r="Q9215" s="16"/>
    </row>
    <row r="9218" spans="4:17" x14ac:dyDescent="0.25">
      <c r="D9218" s="16"/>
      <c r="Q9218" s="16"/>
    </row>
    <row r="9219" spans="4:17" x14ac:dyDescent="0.25">
      <c r="D9219" s="16"/>
      <c r="Q9219" s="16"/>
    </row>
    <row r="9222" spans="4:17" x14ac:dyDescent="0.25">
      <c r="D9222" s="16"/>
      <c r="Q9222" s="16"/>
    </row>
    <row r="9223" spans="4:17" x14ac:dyDescent="0.25">
      <c r="D9223" s="16"/>
      <c r="Q9223" s="16"/>
    </row>
    <row r="9226" spans="4:17" x14ac:dyDescent="0.25">
      <c r="D9226" s="16"/>
      <c r="Q9226" s="16"/>
    </row>
    <row r="9229" spans="4:17" x14ac:dyDescent="0.25">
      <c r="D9229" s="16"/>
      <c r="Q9229" s="16"/>
    </row>
    <row r="9232" spans="4:17" x14ac:dyDescent="0.25">
      <c r="D9232" s="16"/>
      <c r="Q9232" s="16"/>
    </row>
    <row r="9233" spans="4:17" x14ac:dyDescent="0.25">
      <c r="D9233" s="16"/>
      <c r="Q9233" s="16"/>
    </row>
    <row r="9236" spans="4:17" x14ac:dyDescent="0.25">
      <c r="D9236" s="16"/>
      <c r="Q9236" s="16"/>
    </row>
    <row r="9237" spans="4:17" x14ac:dyDescent="0.25">
      <c r="D9237" s="16"/>
      <c r="Q9237" s="16"/>
    </row>
    <row r="9240" spans="4:17" x14ac:dyDescent="0.25">
      <c r="D9240" s="16"/>
      <c r="Q9240" s="16"/>
    </row>
    <row r="9243" spans="4:17" x14ac:dyDescent="0.25">
      <c r="D9243" s="16"/>
      <c r="Q9243" s="16"/>
    </row>
    <row r="9244" spans="4:17" x14ac:dyDescent="0.25">
      <c r="D9244" s="16"/>
      <c r="Q9244" s="16"/>
    </row>
    <row r="9245" spans="4:17" x14ac:dyDescent="0.25">
      <c r="D9245" s="16"/>
      <c r="Q9245" s="16"/>
    </row>
    <row r="9248" spans="4:17" x14ac:dyDescent="0.25">
      <c r="D9248" s="16"/>
      <c r="Q9248" s="16"/>
    </row>
    <row r="9251" spans="4:17" x14ac:dyDescent="0.25">
      <c r="D9251" s="16"/>
      <c r="Q9251" s="16"/>
    </row>
    <row r="9252" spans="4:17" x14ac:dyDescent="0.25">
      <c r="D9252" s="16"/>
      <c r="Q9252" s="16"/>
    </row>
    <row r="9255" spans="4:17" x14ac:dyDescent="0.25">
      <c r="D9255" s="16"/>
      <c r="Q9255" s="16"/>
    </row>
    <row r="9256" spans="4:17" x14ac:dyDescent="0.25">
      <c r="D9256" s="16"/>
      <c r="Q9256" s="16"/>
    </row>
    <row r="9259" spans="4:17" x14ac:dyDescent="0.25">
      <c r="D9259" s="16"/>
      <c r="Q9259" s="16"/>
    </row>
    <row r="9260" spans="4:17" x14ac:dyDescent="0.25">
      <c r="D9260" s="16"/>
      <c r="Q9260" s="16"/>
    </row>
    <row r="9263" spans="4:17" x14ac:dyDescent="0.25">
      <c r="D9263" s="16"/>
      <c r="Q9263" s="16"/>
    </row>
    <row r="9266" spans="4:17" x14ac:dyDescent="0.25">
      <c r="D9266" s="16"/>
      <c r="Q9266" s="16"/>
    </row>
    <row r="9269" spans="4:17" x14ac:dyDescent="0.25">
      <c r="D9269" s="16"/>
      <c r="Q9269" s="16"/>
    </row>
    <row r="9272" spans="4:17" x14ac:dyDescent="0.25">
      <c r="D9272" s="16"/>
      <c r="Q9272" s="16"/>
    </row>
    <row r="9273" spans="4:17" x14ac:dyDescent="0.25">
      <c r="D9273" s="16"/>
      <c r="Q9273" s="16"/>
    </row>
    <row r="9274" spans="4:17" x14ac:dyDescent="0.25">
      <c r="D9274" s="16"/>
      <c r="Q9274" s="16"/>
    </row>
    <row r="9277" spans="4:17" x14ac:dyDescent="0.25">
      <c r="D9277" s="16"/>
      <c r="Q9277" s="16"/>
    </row>
    <row r="9280" spans="4:17" x14ac:dyDescent="0.25">
      <c r="D9280" s="16"/>
      <c r="Q9280" s="16"/>
    </row>
    <row r="9283" spans="4:17" x14ac:dyDescent="0.25">
      <c r="D9283" s="16"/>
      <c r="Q9283" s="16"/>
    </row>
    <row r="9286" spans="4:17" x14ac:dyDescent="0.25">
      <c r="D9286" s="16"/>
      <c r="Q9286" s="16"/>
    </row>
    <row r="9289" spans="4:17" x14ac:dyDescent="0.25">
      <c r="D9289" s="16"/>
      <c r="Q9289" s="16"/>
    </row>
    <row r="9292" spans="4:17" x14ac:dyDescent="0.25">
      <c r="D9292" s="16"/>
      <c r="Q9292" s="16"/>
    </row>
    <row r="9295" spans="4:17" x14ac:dyDescent="0.25">
      <c r="D9295" s="16"/>
      <c r="Q9295" s="16"/>
    </row>
    <row r="9298" spans="4:17" x14ac:dyDescent="0.25">
      <c r="D9298" s="16"/>
      <c r="Q9298" s="16"/>
    </row>
    <row r="9299" spans="4:17" x14ac:dyDescent="0.25">
      <c r="D9299" s="16"/>
      <c r="Q9299" s="16"/>
    </row>
    <row r="9302" spans="4:17" x14ac:dyDescent="0.25">
      <c r="D9302" s="16"/>
      <c r="Q9302" s="16"/>
    </row>
    <row r="9305" spans="4:17" x14ac:dyDescent="0.25">
      <c r="D9305" s="16"/>
      <c r="Q9305" s="16"/>
    </row>
    <row r="9308" spans="4:17" x14ac:dyDescent="0.25">
      <c r="D9308" s="16"/>
      <c r="Q9308" s="16"/>
    </row>
    <row r="9311" spans="4:17" x14ac:dyDescent="0.25">
      <c r="D9311" s="16"/>
      <c r="Q9311" s="16"/>
    </row>
    <row r="9314" spans="4:17" x14ac:dyDescent="0.25">
      <c r="D9314" s="16"/>
      <c r="Q9314" s="16"/>
    </row>
    <row r="9317" spans="4:17" x14ac:dyDescent="0.25">
      <c r="D9317" s="16"/>
      <c r="Q9317" s="16"/>
    </row>
    <row r="9318" spans="4:17" x14ac:dyDescent="0.25">
      <c r="D9318" s="16"/>
      <c r="Q9318" s="16"/>
    </row>
    <row r="9321" spans="4:17" x14ac:dyDescent="0.25">
      <c r="D9321" s="16"/>
      <c r="Q9321" s="16"/>
    </row>
    <row r="9322" spans="4:17" x14ac:dyDescent="0.25">
      <c r="D9322" s="16"/>
      <c r="Q9322" s="16"/>
    </row>
    <row r="9325" spans="4:17" x14ac:dyDescent="0.25">
      <c r="D9325" s="16"/>
      <c r="Q9325" s="16"/>
    </row>
    <row r="9328" spans="4:17" x14ac:dyDescent="0.25">
      <c r="D9328" s="16"/>
      <c r="Q9328" s="16"/>
    </row>
    <row r="9331" spans="4:17" x14ac:dyDescent="0.25">
      <c r="D9331" s="16"/>
      <c r="Q9331" s="16"/>
    </row>
    <row r="9334" spans="4:17" x14ac:dyDescent="0.25">
      <c r="D9334" s="16"/>
      <c r="Q9334" s="16"/>
    </row>
    <row r="9335" spans="4:17" x14ac:dyDescent="0.25">
      <c r="D9335" s="16"/>
      <c r="Q9335" s="16"/>
    </row>
    <row r="9338" spans="4:17" x14ac:dyDescent="0.25">
      <c r="D9338" s="16"/>
      <c r="Q9338" s="16"/>
    </row>
    <row r="9339" spans="4:17" x14ac:dyDescent="0.25">
      <c r="D9339" s="16"/>
      <c r="Q9339" s="16"/>
    </row>
    <row r="9342" spans="4:17" x14ac:dyDescent="0.25">
      <c r="D9342" s="16"/>
      <c r="Q9342" s="16"/>
    </row>
    <row r="9345" spans="4:17" x14ac:dyDescent="0.25">
      <c r="D9345" s="16"/>
      <c r="Q9345" s="16"/>
    </row>
    <row r="9346" spans="4:17" x14ac:dyDescent="0.25">
      <c r="D9346" s="16"/>
      <c r="Q9346" s="16"/>
    </row>
    <row r="9349" spans="4:17" x14ac:dyDescent="0.25">
      <c r="D9349" s="16"/>
      <c r="Q9349" s="16"/>
    </row>
    <row r="9350" spans="4:17" x14ac:dyDescent="0.25">
      <c r="D9350" s="16"/>
      <c r="Q9350" s="16"/>
    </row>
    <row r="9353" spans="4:17" x14ac:dyDescent="0.25">
      <c r="D9353" s="16"/>
      <c r="Q9353" s="16"/>
    </row>
    <row r="9356" spans="4:17" x14ac:dyDescent="0.25">
      <c r="D9356" s="16"/>
      <c r="Q9356" s="16"/>
    </row>
    <row r="9359" spans="4:17" x14ac:dyDescent="0.25">
      <c r="D9359" s="16"/>
      <c r="Q9359" s="16"/>
    </row>
    <row r="9362" spans="4:17" x14ac:dyDescent="0.25">
      <c r="D9362" s="16"/>
      <c r="Q9362" s="16"/>
    </row>
    <row r="9365" spans="4:17" x14ac:dyDescent="0.25">
      <c r="D9365" s="16"/>
      <c r="Q9365" s="16"/>
    </row>
    <row r="9368" spans="4:17" x14ac:dyDescent="0.25">
      <c r="D9368" s="16"/>
      <c r="Q9368" s="16"/>
    </row>
    <row r="9371" spans="4:17" x14ac:dyDescent="0.25">
      <c r="D9371" s="16"/>
      <c r="Q9371" s="16"/>
    </row>
    <row r="9372" spans="4:17" x14ac:dyDescent="0.25">
      <c r="D9372" s="16"/>
      <c r="Q9372" s="16"/>
    </row>
    <row r="9375" spans="4:17" x14ac:dyDescent="0.25">
      <c r="D9375" s="16"/>
      <c r="Q9375" s="16"/>
    </row>
    <row r="9378" spans="4:17" x14ac:dyDescent="0.25">
      <c r="D9378" s="16"/>
      <c r="Q9378" s="16"/>
    </row>
    <row r="9379" spans="4:17" x14ac:dyDescent="0.25">
      <c r="D9379" s="16"/>
      <c r="Q9379" s="16"/>
    </row>
    <row r="9382" spans="4:17" x14ac:dyDescent="0.25">
      <c r="D9382" s="16"/>
      <c r="Q9382" s="16"/>
    </row>
    <row r="9385" spans="4:17" x14ac:dyDescent="0.25">
      <c r="D9385" s="16"/>
      <c r="Q9385" s="16"/>
    </row>
    <row r="9388" spans="4:17" x14ac:dyDescent="0.25">
      <c r="D9388" s="16"/>
      <c r="Q9388" s="16"/>
    </row>
    <row r="9389" spans="4:17" x14ac:dyDescent="0.25">
      <c r="D9389" s="16"/>
      <c r="Q9389" s="16"/>
    </row>
    <row r="9392" spans="4:17" x14ac:dyDescent="0.25">
      <c r="D9392" s="16"/>
      <c r="Q9392" s="16"/>
    </row>
    <row r="9395" spans="4:17" x14ac:dyDescent="0.25">
      <c r="D9395" s="16"/>
      <c r="Q9395" s="16"/>
    </row>
    <row r="9398" spans="4:17" x14ac:dyDescent="0.25">
      <c r="D9398" s="16"/>
      <c r="Q9398" s="16"/>
    </row>
    <row r="9401" spans="4:17" x14ac:dyDescent="0.25">
      <c r="D9401" s="16"/>
      <c r="Q9401" s="16"/>
    </row>
    <row r="9404" spans="4:17" x14ac:dyDescent="0.25">
      <c r="D9404" s="16"/>
      <c r="Q9404" s="16"/>
    </row>
    <row r="9405" spans="4:17" x14ac:dyDescent="0.25">
      <c r="D9405" s="16"/>
      <c r="Q9405" s="16"/>
    </row>
    <row r="9408" spans="4:17" x14ac:dyDescent="0.25">
      <c r="D9408" s="16"/>
      <c r="Q9408" s="16"/>
    </row>
    <row r="9411" spans="4:17" x14ac:dyDescent="0.25">
      <c r="D9411" s="16"/>
      <c r="Q9411" s="16"/>
    </row>
    <row r="9414" spans="4:17" x14ac:dyDescent="0.25">
      <c r="D9414" s="16"/>
      <c r="Q9414" s="16"/>
    </row>
    <row r="9417" spans="4:17" x14ac:dyDescent="0.25">
      <c r="D9417" s="16"/>
      <c r="Q9417" s="16"/>
    </row>
    <row r="9420" spans="4:17" x14ac:dyDescent="0.25">
      <c r="D9420" s="16"/>
      <c r="Q9420" s="16"/>
    </row>
    <row r="9421" spans="4:17" x14ac:dyDescent="0.25">
      <c r="D9421" s="16"/>
      <c r="Q9421" s="16"/>
    </row>
    <row r="9422" spans="4:17" x14ac:dyDescent="0.25">
      <c r="D9422" s="16"/>
      <c r="Q9422" s="16"/>
    </row>
    <row r="9425" spans="4:17" x14ac:dyDescent="0.25">
      <c r="D9425" s="16"/>
      <c r="Q9425" s="16"/>
    </row>
    <row r="9426" spans="4:17" x14ac:dyDescent="0.25">
      <c r="D9426" s="16"/>
      <c r="Q9426" s="16"/>
    </row>
    <row r="9429" spans="4:17" x14ac:dyDescent="0.25">
      <c r="D9429" s="16"/>
      <c r="Q9429" s="16"/>
    </row>
    <row r="9432" spans="4:17" x14ac:dyDescent="0.25">
      <c r="D9432" s="16"/>
      <c r="Q9432" s="16"/>
    </row>
    <row r="9435" spans="4:17" x14ac:dyDescent="0.25">
      <c r="D9435" s="16"/>
      <c r="Q9435" s="16"/>
    </row>
    <row r="9438" spans="4:17" x14ac:dyDescent="0.25">
      <c r="D9438" s="16"/>
      <c r="Q9438" s="16"/>
    </row>
    <row r="9441" spans="4:17" x14ac:dyDescent="0.25">
      <c r="D9441" s="16"/>
      <c r="Q9441" s="16"/>
    </row>
    <row r="9444" spans="4:17" x14ac:dyDescent="0.25">
      <c r="D9444" s="16"/>
      <c r="Q9444" s="16"/>
    </row>
    <row r="9447" spans="4:17" x14ac:dyDescent="0.25">
      <c r="D9447" s="16"/>
      <c r="Q9447" s="16"/>
    </row>
    <row r="9448" spans="4:17" x14ac:dyDescent="0.25">
      <c r="D9448" s="16"/>
      <c r="Q9448" s="16"/>
    </row>
    <row r="9451" spans="4:17" x14ac:dyDescent="0.25">
      <c r="D9451" s="16"/>
      <c r="Q9451" s="16"/>
    </row>
    <row r="9454" spans="4:17" x14ac:dyDescent="0.25">
      <c r="D9454" s="16"/>
      <c r="Q9454" s="16"/>
    </row>
    <row r="9457" spans="4:17" x14ac:dyDescent="0.25">
      <c r="D9457" s="16"/>
      <c r="Q9457" s="16"/>
    </row>
    <row r="9458" spans="4:17" x14ac:dyDescent="0.25">
      <c r="D9458" s="16"/>
      <c r="Q9458" s="16"/>
    </row>
    <row r="9461" spans="4:17" x14ac:dyDescent="0.25">
      <c r="D9461" s="16"/>
      <c r="Q9461" s="16"/>
    </row>
    <row r="9464" spans="4:17" x14ac:dyDescent="0.25">
      <c r="D9464" s="16"/>
      <c r="Q9464" s="16"/>
    </row>
    <row r="9467" spans="4:17" x14ac:dyDescent="0.25">
      <c r="D9467" s="16"/>
      <c r="Q9467" s="16"/>
    </row>
    <row r="9470" spans="4:17" x14ac:dyDescent="0.25">
      <c r="D9470" s="16"/>
      <c r="Q9470" s="16"/>
    </row>
    <row r="9473" spans="4:17" x14ac:dyDescent="0.25">
      <c r="D9473" s="16"/>
      <c r="Q9473" s="16"/>
    </row>
    <row r="9476" spans="4:17" x14ac:dyDescent="0.25">
      <c r="D9476" s="16"/>
      <c r="Q9476" s="16"/>
    </row>
    <row r="9479" spans="4:17" x14ac:dyDescent="0.25">
      <c r="D9479" s="16"/>
      <c r="Q9479" s="16"/>
    </row>
    <row r="9482" spans="4:17" x14ac:dyDescent="0.25">
      <c r="D9482" s="16"/>
      <c r="Q9482" s="16"/>
    </row>
    <row r="9483" spans="4:17" x14ac:dyDescent="0.25">
      <c r="D9483" s="16"/>
      <c r="Q9483" s="16"/>
    </row>
    <row r="9486" spans="4:17" x14ac:dyDescent="0.25">
      <c r="D9486" s="16"/>
      <c r="Q9486" s="16"/>
    </row>
    <row r="9487" spans="4:17" x14ac:dyDescent="0.25">
      <c r="D9487" s="16"/>
      <c r="Q9487" s="16"/>
    </row>
    <row r="9490" spans="4:17" x14ac:dyDescent="0.25">
      <c r="D9490" s="16"/>
      <c r="Q9490" s="16"/>
    </row>
    <row r="9493" spans="4:17" x14ac:dyDescent="0.25">
      <c r="D9493" s="16"/>
      <c r="Q9493" s="16"/>
    </row>
    <row r="9496" spans="4:17" x14ac:dyDescent="0.25">
      <c r="D9496" s="16"/>
      <c r="Q9496" s="16"/>
    </row>
    <row r="9499" spans="4:17" x14ac:dyDescent="0.25">
      <c r="D9499" s="16"/>
      <c r="Q9499" s="16"/>
    </row>
    <row r="9500" spans="4:17" x14ac:dyDescent="0.25">
      <c r="D9500" s="16"/>
      <c r="Q9500" s="16"/>
    </row>
    <row r="9501" spans="4:17" x14ac:dyDescent="0.25">
      <c r="D9501" s="16"/>
      <c r="Q9501" s="16"/>
    </row>
    <row r="9504" spans="4:17" x14ac:dyDescent="0.25">
      <c r="D9504" s="16"/>
      <c r="Q9504" s="16"/>
    </row>
    <row r="9507" spans="4:17" x14ac:dyDescent="0.25">
      <c r="D9507" s="16"/>
      <c r="Q9507" s="16"/>
    </row>
    <row r="9510" spans="4:17" x14ac:dyDescent="0.25">
      <c r="D9510" s="16"/>
      <c r="Q9510" s="16"/>
    </row>
    <row r="9513" spans="4:17" x14ac:dyDescent="0.25">
      <c r="D9513" s="16"/>
      <c r="Q9513" s="16"/>
    </row>
    <row r="9516" spans="4:17" x14ac:dyDescent="0.25">
      <c r="D9516" s="16"/>
      <c r="Q9516" s="16"/>
    </row>
    <row r="9519" spans="4:17" x14ac:dyDescent="0.25">
      <c r="D9519" s="16"/>
      <c r="Q9519" s="16"/>
    </row>
    <row r="9522" spans="4:17" x14ac:dyDescent="0.25">
      <c r="D9522" s="16"/>
      <c r="Q9522" s="16"/>
    </row>
    <row r="9525" spans="4:17" x14ac:dyDescent="0.25">
      <c r="D9525" s="16"/>
      <c r="Q9525" s="16"/>
    </row>
    <row r="9528" spans="4:17" x14ac:dyDescent="0.25">
      <c r="D9528" s="16"/>
      <c r="Q9528" s="16"/>
    </row>
    <row r="9531" spans="4:17" x14ac:dyDescent="0.25">
      <c r="D9531" s="16"/>
      <c r="Q9531" s="16"/>
    </row>
    <row r="9534" spans="4:17" x14ac:dyDescent="0.25">
      <c r="D9534" s="16"/>
      <c r="Q9534" s="16"/>
    </row>
    <row r="9537" spans="4:17" x14ac:dyDescent="0.25">
      <c r="D9537" s="16"/>
      <c r="Q9537" s="16"/>
    </row>
    <row r="9540" spans="4:17" x14ac:dyDescent="0.25">
      <c r="D9540" s="16"/>
      <c r="Q9540" s="16"/>
    </row>
    <row r="9543" spans="4:17" x14ac:dyDescent="0.25">
      <c r="D9543" s="16"/>
      <c r="Q9543" s="16"/>
    </row>
    <row r="9544" spans="4:17" x14ac:dyDescent="0.25">
      <c r="D9544" s="16"/>
      <c r="Q9544" s="16"/>
    </row>
    <row r="9547" spans="4:17" x14ac:dyDescent="0.25">
      <c r="D9547" s="16"/>
      <c r="Q9547" s="16"/>
    </row>
    <row r="9548" spans="4:17" x14ac:dyDescent="0.25">
      <c r="D9548" s="16"/>
      <c r="Q9548" s="16"/>
    </row>
    <row r="9551" spans="4:17" x14ac:dyDescent="0.25">
      <c r="D9551" s="16"/>
      <c r="Q9551" s="16"/>
    </row>
    <row r="9554" spans="4:17" x14ac:dyDescent="0.25">
      <c r="D9554" s="16"/>
      <c r="Q9554" s="16"/>
    </row>
    <row r="9557" spans="4:17" x14ac:dyDescent="0.25">
      <c r="D9557" s="16"/>
      <c r="Q9557" s="16"/>
    </row>
    <row r="9560" spans="4:17" x14ac:dyDescent="0.25">
      <c r="D9560" s="16"/>
      <c r="Q9560" s="16"/>
    </row>
    <row r="9561" spans="4:17" x14ac:dyDescent="0.25">
      <c r="D9561" s="16"/>
      <c r="Q9561" s="16"/>
    </row>
    <row r="9564" spans="4:17" x14ac:dyDescent="0.25">
      <c r="D9564" s="16"/>
      <c r="Q9564" s="16"/>
    </row>
    <row r="9567" spans="4:17" x14ac:dyDescent="0.25">
      <c r="D9567" s="16"/>
      <c r="Q9567" s="16"/>
    </row>
    <row r="9568" spans="4:17" x14ac:dyDescent="0.25">
      <c r="D9568" s="16"/>
      <c r="Q9568" s="16"/>
    </row>
    <row r="9571" spans="4:17" x14ac:dyDescent="0.25">
      <c r="D9571" s="16"/>
      <c r="Q9571" s="16"/>
    </row>
    <row r="9574" spans="4:17" x14ac:dyDescent="0.25">
      <c r="D9574" s="16"/>
      <c r="Q9574" s="16"/>
    </row>
    <row r="9577" spans="4:17" x14ac:dyDescent="0.25">
      <c r="D9577" s="16"/>
      <c r="Q9577" s="16"/>
    </row>
    <row r="9578" spans="4:17" x14ac:dyDescent="0.25">
      <c r="D9578" s="16"/>
      <c r="Q9578" s="16"/>
    </row>
    <row r="9579" spans="4:17" x14ac:dyDescent="0.25">
      <c r="D9579" s="16"/>
      <c r="Q9579" s="16"/>
    </row>
    <row r="9582" spans="4:17" x14ac:dyDescent="0.25">
      <c r="D9582" s="16"/>
      <c r="Q9582" s="16"/>
    </row>
    <row r="9585" spans="4:17" x14ac:dyDescent="0.25">
      <c r="D9585" s="16"/>
      <c r="Q9585" s="16"/>
    </row>
    <row r="9588" spans="4:17" x14ac:dyDescent="0.25">
      <c r="D9588" s="16"/>
      <c r="Q9588" s="16"/>
    </row>
    <row r="9591" spans="4:17" x14ac:dyDescent="0.25">
      <c r="D9591" s="16"/>
      <c r="Q9591" s="16"/>
    </row>
    <row r="9594" spans="4:17" x14ac:dyDescent="0.25">
      <c r="D9594" s="16"/>
      <c r="Q9594" s="16"/>
    </row>
    <row r="9597" spans="4:17" x14ac:dyDescent="0.25">
      <c r="D9597" s="16"/>
      <c r="Q9597" s="16"/>
    </row>
    <row r="9598" spans="4:17" x14ac:dyDescent="0.25">
      <c r="D9598" s="16"/>
      <c r="Q9598" s="16"/>
    </row>
    <row r="9599" spans="4:17" x14ac:dyDescent="0.25">
      <c r="D9599" s="16"/>
      <c r="Q9599" s="16"/>
    </row>
    <row r="9602" spans="4:17" x14ac:dyDescent="0.25">
      <c r="D9602" s="16"/>
      <c r="Q9602" s="16"/>
    </row>
    <row r="9605" spans="4:17" x14ac:dyDescent="0.25">
      <c r="D9605" s="16"/>
      <c r="Q9605" s="16"/>
    </row>
    <row r="9608" spans="4:17" x14ac:dyDescent="0.25">
      <c r="D9608" s="16"/>
      <c r="Q9608" s="16"/>
    </row>
    <row r="9611" spans="4:17" x14ac:dyDescent="0.25">
      <c r="D9611" s="16"/>
      <c r="Q9611" s="16"/>
    </row>
    <row r="9612" spans="4:17" x14ac:dyDescent="0.25">
      <c r="D9612" s="16"/>
      <c r="Q9612" s="16"/>
    </row>
    <row r="9615" spans="4:17" x14ac:dyDescent="0.25">
      <c r="D9615" s="16"/>
      <c r="Q9615" s="16"/>
    </row>
    <row r="9618" spans="4:17" x14ac:dyDescent="0.25">
      <c r="D9618" s="16"/>
      <c r="Q9618" s="16"/>
    </row>
    <row r="9621" spans="4:17" x14ac:dyDescent="0.25">
      <c r="D9621" s="16"/>
      <c r="Q9621" s="16"/>
    </row>
    <row r="9624" spans="4:17" x14ac:dyDescent="0.25">
      <c r="D9624" s="16"/>
      <c r="Q9624" s="16"/>
    </row>
    <row r="9625" spans="4:17" x14ac:dyDescent="0.25">
      <c r="D9625" s="16"/>
      <c r="Q9625" s="16"/>
    </row>
    <row r="9628" spans="4:17" x14ac:dyDescent="0.25">
      <c r="D9628" s="16"/>
      <c r="Q9628" s="16"/>
    </row>
    <row r="9629" spans="4:17" x14ac:dyDescent="0.25">
      <c r="D9629" s="16"/>
      <c r="Q9629" s="16"/>
    </row>
    <row r="9632" spans="4:17" x14ac:dyDescent="0.25">
      <c r="D9632" s="16"/>
      <c r="Q9632" s="16"/>
    </row>
    <row r="9635" spans="4:17" x14ac:dyDescent="0.25">
      <c r="D9635" s="16"/>
      <c r="Q9635" s="16"/>
    </row>
    <row r="9638" spans="4:17" x14ac:dyDescent="0.25">
      <c r="D9638" s="16"/>
      <c r="Q9638" s="16"/>
    </row>
    <row r="9641" spans="4:17" x14ac:dyDescent="0.25">
      <c r="D9641" s="16"/>
      <c r="Q9641" s="16"/>
    </row>
    <row r="9644" spans="4:17" x14ac:dyDescent="0.25">
      <c r="D9644" s="16"/>
      <c r="Q9644" s="16"/>
    </row>
    <row r="9647" spans="4:17" x14ac:dyDescent="0.25">
      <c r="D9647" s="16"/>
      <c r="Q9647" s="16"/>
    </row>
    <row r="9650" spans="4:17" x14ac:dyDescent="0.25">
      <c r="D9650" s="16"/>
      <c r="Q9650" s="16"/>
    </row>
    <row r="9653" spans="4:17" x14ac:dyDescent="0.25">
      <c r="D9653" s="16"/>
      <c r="Q9653" s="16"/>
    </row>
    <row r="9656" spans="4:17" x14ac:dyDescent="0.25">
      <c r="D9656" s="16"/>
      <c r="Q9656" s="16"/>
    </row>
    <row r="9659" spans="4:17" x14ac:dyDescent="0.25">
      <c r="D9659" s="16"/>
      <c r="Q9659" s="16"/>
    </row>
    <row r="9660" spans="4:17" x14ac:dyDescent="0.25">
      <c r="D9660" s="16"/>
      <c r="Q9660" s="16"/>
    </row>
    <row r="9663" spans="4:17" x14ac:dyDescent="0.25">
      <c r="D9663" s="16"/>
      <c r="Q9663" s="16"/>
    </row>
    <row r="9664" spans="4:17" x14ac:dyDescent="0.25">
      <c r="D9664" s="16"/>
      <c r="Q9664" s="16"/>
    </row>
    <row r="9667" spans="4:17" x14ac:dyDescent="0.25">
      <c r="D9667" s="16"/>
      <c r="Q9667" s="16"/>
    </row>
    <row r="9670" spans="4:17" x14ac:dyDescent="0.25">
      <c r="D9670" s="16"/>
      <c r="Q9670" s="16"/>
    </row>
    <row r="9673" spans="4:17" x14ac:dyDescent="0.25">
      <c r="D9673" s="16"/>
      <c r="Q9673" s="16"/>
    </row>
    <row r="9676" spans="4:17" x14ac:dyDescent="0.25">
      <c r="D9676" s="16"/>
      <c r="Q9676" s="16"/>
    </row>
    <row r="9679" spans="4:17" x14ac:dyDescent="0.25">
      <c r="D9679" s="16"/>
      <c r="Q9679" s="16"/>
    </row>
    <row r="9682" spans="4:17" x14ac:dyDescent="0.25">
      <c r="D9682" s="16"/>
      <c r="Q9682" s="16"/>
    </row>
    <row r="9685" spans="4:17" x14ac:dyDescent="0.25">
      <c r="D9685" s="16"/>
      <c r="Q9685" s="16"/>
    </row>
    <row r="9688" spans="4:17" x14ac:dyDescent="0.25">
      <c r="D9688" s="16"/>
      <c r="Q9688" s="16"/>
    </row>
    <row r="9691" spans="4:17" x14ac:dyDescent="0.25">
      <c r="D9691" s="16"/>
      <c r="Q9691" s="16"/>
    </row>
    <row r="9694" spans="4:17" x14ac:dyDescent="0.25">
      <c r="D9694" s="16"/>
      <c r="Q9694" s="16"/>
    </row>
    <row r="9697" spans="4:17" x14ac:dyDescent="0.25">
      <c r="D9697" s="16"/>
      <c r="Q9697" s="16"/>
    </row>
    <row r="9700" spans="4:17" x14ac:dyDescent="0.25">
      <c r="D9700" s="16"/>
      <c r="Q9700" s="16"/>
    </row>
    <row r="9703" spans="4:17" x14ac:dyDescent="0.25">
      <c r="D9703" s="16"/>
      <c r="Q9703" s="16"/>
    </row>
    <row r="9704" spans="4:17" x14ac:dyDescent="0.25">
      <c r="D9704" s="16"/>
      <c r="Q9704" s="16"/>
    </row>
    <row r="9707" spans="4:17" x14ac:dyDescent="0.25">
      <c r="D9707" s="16"/>
      <c r="Q9707" s="16"/>
    </row>
    <row r="9708" spans="4:17" x14ac:dyDescent="0.25">
      <c r="D9708" s="16"/>
      <c r="Q9708" s="16"/>
    </row>
    <row r="9711" spans="4:17" x14ac:dyDescent="0.25">
      <c r="D9711" s="16"/>
      <c r="Q9711" s="16"/>
    </row>
    <row r="9712" spans="4:17" x14ac:dyDescent="0.25">
      <c r="D9712" s="16"/>
      <c r="Q9712" s="16"/>
    </row>
    <row r="9715" spans="4:17" x14ac:dyDescent="0.25">
      <c r="D9715" s="16"/>
      <c r="Q9715" s="16"/>
    </row>
    <row r="9718" spans="4:17" x14ac:dyDescent="0.25">
      <c r="D9718" s="16"/>
      <c r="Q9718" s="16"/>
    </row>
    <row r="9719" spans="4:17" x14ac:dyDescent="0.25">
      <c r="D9719" s="16"/>
      <c r="Q9719" s="16"/>
    </row>
    <row r="9720" spans="4:17" x14ac:dyDescent="0.25">
      <c r="D9720" s="16"/>
      <c r="Q9720" s="16"/>
    </row>
    <row r="9723" spans="4:17" x14ac:dyDescent="0.25">
      <c r="D9723" s="16"/>
      <c r="Q9723" s="16"/>
    </row>
    <row r="9726" spans="4:17" x14ac:dyDescent="0.25">
      <c r="D9726" s="16"/>
      <c r="Q9726" s="16"/>
    </row>
    <row r="9727" spans="4:17" x14ac:dyDescent="0.25">
      <c r="D9727" s="16"/>
      <c r="Q9727" s="16"/>
    </row>
    <row r="9730" spans="4:17" x14ac:dyDescent="0.25">
      <c r="D9730" s="16"/>
      <c r="Q9730" s="16"/>
    </row>
    <row r="9733" spans="4:17" x14ac:dyDescent="0.25">
      <c r="D9733" s="16"/>
      <c r="Q9733" s="16"/>
    </row>
    <row r="9734" spans="4:17" x14ac:dyDescent="0.25">
      <c r="D9734" s="16"/>
      <c r="Q9734" s="16"/>
    </row>
    <row r="9737" spans="4:17" x14ac:dyDescent="0.25">
      <c r="D9737" s="16"/>
      <c r="Q9737" s="16"/>
    </row>
    <row r="9740" spans="4:17" x14ac:dyDescent="0.25">
      <c r="D9740" s="16"/>
      <c r="Q9740" s="16"/>
    </row>
    <row r="9743" spans="4:17" x14ac:dyDescent="0.25">
      <c r="D9743" s="16"/>
      <c r="Q9743" s="16"/>
    </row>
    <row r="9746" spans="4:17" x14ac:dyDescent="0.25">
      <c r="D9746" s="16"/>
      <c r="Q9746" s="16"/>
    </row>
    <row r="9749" spans="4:17" x14ac:dyDescent="0.25">
      <c r="D9749" s="16"/>
      <c r="Q9749" s="16"/>
    </row>
    <row r="9752" spans="4:17" x14ac:dyDescent="0.25">
      <c r="D9752" s="16"/>
      <c r="Q9752" s="16"/>
    </row>
    <row r="9755" spans="4:17" x14ac:dyDescent="0.25">
      <c r="D9755" s="16"/>
      <c r="Q9755" s="16"/>
    </row>
    <row r="9756" spans="4:17" x14ac:dyDescent="0.25">
      <c r="D9756" s="16"/>
      <c r="Q9756" s="16"/>
    </row>
    <row r="9759" spans="4:17" x14ac:dyDescent="0.25">
      <c r="D9759" s="16"/>
      <c r="Q9759" s="16"/>
    </row>
    <row r="9760" spans="4:17" x14ac:dyDescent="0.25">
      <c r="D9760" s="16"/>
      <c r="Q9760" s="16"/>
    </row>
    <row r="9763" spans="4:17" x14ac:dyDescent="0.25">
      <c r="D9763" s="16"/>
      <c r="Q9763" s="16"/>
    </row>
    <row r="9766" spans="4:17" x14ac:dyDescent="0.25">
      <c r="D9766" s="16"/>
      <c r="Q9766" s="16"/>
    </row>
    <row r="9767" spans="4:17" x14ac:dyDescent="0.25">
      <c r="D9767" s="16"/>
      <c r="Q9767" s="16"/>
    </row>
    <row r="9768" spans="4:17" x14ac:dyDescent="0.25">
      <c r="D9768" s="16"/>
      <c r="Q9768" s="16"/>
    </row>
    <row r="9771" spans="4:17" x14ac:dyDescent="0.25">
      <c r="D9771" s="16"/>
      <c r="Q9771" s="16"/>
    </row>
    <row r="9774" spans="4:17" x14ac:dyDescent="0.25">
      <c r="D9774" s="16"/>
      <c r="Q9774" s="16"/>
    </row>
    <row r="9777" spans="4:17" x14ac:dyDescent="0.25">
      <c r="D9777" s="16"/>
      <c r="Q9777" s="16"/>
    </row>
    <row r="9778" spans="4:17" x14ac:dyDescent="0.25">
      <c r="D9778" s="16"/>
      <c r="Q9778" s="16"/>
    </row>
    <row r="9781" spans="4:17" x14ac:dyDescent="0.25">
      <c r="D9781" s="16"/>
      <c r="Q9781" s="16"/>
    </row>
    <row r="9784" spans="4:17" x14ac:dyDescent="0.25">
      <c r="D9784" s="16"/>
      <c r="Q9784" s="16"/>
    </row>
    <row r="9787" spans="4:17" x14ac:dyDescent="0.25">
      <c r="D9787" s="16"/>
      <c r="Q9787" s="16"/>
    </row>
    <row r="9790" spans="4:17" x14ac:dyDescent="0.25">
      <c r="D9790" s="16"/>
      <c r="Q9790" s="16"/>
    </row>
    <row r="9793" spans="4:17" x14ac:dyDescent="0.25">
      <c r="D9793" s="16"/>
      <c r="Q9793" s="16"/>
    </row>
    <row r="9796" spans="4:17" x14ac:dyDescent="0.25">
      <c r="D9796" s="16"/>
      <c r="Q9796" s="16"/>
    </row>
    <row r="9799" spans="4:17" x14ac:dyDescent="0.25">
      <c r="D9799" s="16"/>
      <c r="Q9799" s="16"/>
    </row>
    <row r="9802" spans="4:17" x14ac:dyDescent="0.25">
      <c r="D9802" s="16"/>
      <c r="Q9802" s="16"/>
    </row>
    <row r="9805" spans="4:17" x14ac:dyDescent="0.25">
      <c r="D9805" s="16"/>
      <c r="Q9805" s="16"/>
    </row>
    <row r="9808" spans="4:17" x14ac:dyDescent="0.25">
      <c r="D9808" s="16"/>
      <c r="Q9808" s="16"/>
    </row>
    <row r="9811" spans="4:17" x14ac:dyDescent="0.25">
      <c r="D9811" s="16"/>
      <c r="Q9811" s="16"/>
    </row>
    <row r="9814" spans="4:17" x14ac:dyDescent="0.25">
      <c r="D9814" s="16"/>
      <c r="Q9814" s="16"/>
    </row>
    <row r="9817" spans="4:17" x14ac:dyDescent="0.25">
      <c r="D9817" s="16"/>
      <c r="Q9817" s="16"/>
    </row>
    <row r="9820" spans="4:17" x14ac:dyDescent="0.25">
      <c r="D9820" s="16"/>
      <c r="Q9820" s="16"/>
    </row>
    <row r="9821" spans="4:17" x14ac:dyDescent="0.25">
      <c r="D9821" s="16"/>
      <c r="Q9821" s="16"/>
    </row>
    <row r="9822" spans="4:17" x14ac:dyDescent="0.25">
      <c r="D9822" s="16"/>
      <c r="Q9822" s="16"/>
    </row>
    <row r="9823" spans="4:17" x14ac:dyDescent="0.25">
      <c r="D9823" s="16"/>
      <c r="Q9823" s="16"/>
    </row>
    <row r="9824" spans="4:17" x14ac:dyDescent="0.25">
      <c r="D9824" s="16"/>
      <c r="Q9824" s="16"/>
    </row>
    <row r="9825" spans="4:17" x14ac:dyDescent="0.25">
      <c r="D9825" s="16"/>
      <c r="Q9825" s="16"/>
    </row>
    <row r="9826" spans="4:17" x14ac:dyDescent="0.25">
      <c r="D9826" s="16"/>
      <c r="Q9826" s="16"/>
    </row>
    <row r="9829" spans="4:17" x14ac:dyDescent="0.25">
      <c r="D9829" s="16"/>
      <c r="Q9829" s="16"/>
    </row>
    <row r="9830" spans="4:17" x14ac:dyDescent="0.25">
      <c r="D9830" s="16"/>
      <c r="Q9830" s="16"/>
    </row>
    <row r="9831" spans="4:17" x14ac:dyDescent="0.25">
      <c r="D9831" s="16"/>
      <c r="Q9831" s="16"/>
    </row>
    <row r="9832" spans="4:17" x14ac:dyDescent="0.25">
      <c r="D9832" s="16"/>
      <c r="Q9832" s="16"/>
    </row>
    <row r="9833" spans="4:17" x14ac:dyDescent="0.25">
      <c r="D9833" s="16"/>
      <c r="Q9833" s="16"/>
    </row>
    <row r="9834" spans="4:17" x14ac:dyDescent="0.25">
      <c r="D9834" s="16"/>
      <c r="Q9834" s="16"/>
    </row>
    <row r="9835" spans="4:17" x14ac:dyDescent="0.25">
      <c r="D9835" s="16"/>
      <c r="Q9835" s="16"/>
    </row>
    <row r="9836" spans="4:17" x14ac:dyDescent="0.25">
      <c r="D9836" s="16"/>
      <c r="Q9836" s="16"/>
    </row>
    <row r="9837" spans="4:17" x14ac:dyDescent="0.25">
      <c r="D9837" s="16"/>
      <c r="Q9837" s="16"/>
    </row>
    <row r="9838" spans="4:17" x14ac:dyDescent="0.25">
      <c r="D9838" s="16"/>
      <c r="Q9838" s="16"/>
    </row>
    <row r="9839" spans="4:17" x14ac:dyDescent="0.25">
      <c r="D9839" s="16"/>
      <c r="Q9839" s="16"/>
    </row>
    <row r="9842" spans="4:17" x14ac:dyDescent="0.25">
      <c r="D9842" s="16"/>
      <c r="Q9842" s="16"/>
    </row>
    <row r="9843" spans="4:17" x14ac:dyDescent="0.25">
      <c r="D9843" s="16"/>
      <c r="Q9843" s="16"/>
    </row>
    <row r="9844" spans="4:17" x14ac:dyDescent="0.25">
      <c r="D9844" s="16"/>
      <c r="Q9844" s="16"/>
    </row>
    <row r="9847" spans="4:17" x14ac:dyDescent="0.25">
      <c r="D9847" s="16"/>
      <c r="Q9847" s="16"/>
    </row>
    <row r="9848" spans="4:17" x14ac:dyDescent="0.25">
      <c r="D9848" s="16"/>
      <c r="Q9848" s="16"/>
    </row>
    <row r="9849" spans="4:17" x14ac:dyDescent="0.25">
      <c r="D9849" s="16"/>
      <c r="Q9849" s="16"/>
    </row>
    <row r="9852" spans="4:17" x14ac:dyDescent="0.25">
      <c r="D9852" s="16"/>
      <c r="Q9852" s="16"/>
    </row>
    <row r="9853" spans="4:17" x14ac:dyDescent="0.25">
      <c r="D9853" s="16"/>
      <c r="Q9853" s="16"/>
    </row>
    <row r="9854" spans="4:17" x14ac:dyDescent="0.25">
      <c r="D9854" s="16"/>
      <c r="Q9854" s="16"/>
    </row>
    <row r="9855" spans="4:17" x14ac:dyDescent="0.25">
      <c r="D9855" s="16"/>
      <c r="Q9855" s="16"/>
    </row>
    <row r="9856" spans="4:17" x14ac:dyDescent="0.25">
      <c r="D9856" s="16"/>
      <c r="Q9856" s="16"/>
    </row>
    <row r="9859" spans="4:17" x14ac:dyDescent="0.25">
      <c r="D9859" s="16"/>
      <c r="Q9859" s="16"/>
    </row>
    <row r="9860" spans="4:17" x14ac:dyDescent="0.25">
      <c r="D9860" s="16"/>
      <c r="Q9860" s="16"/>
    </row>
    <row r="9861" spans="4:17" x14ac:dyDescent="0.25">
      <c r="D9861" s="16"/>
      <c r="Q9861" s="16"/>
    </row>
    <row r="9862" spans="4:17" x14ac:dyDescent="0.25">
      <c r="D9862" s="16"/>
      <c r="Q9862" s="16"/>
    </row>
    <row r="9863" spans="4:17" x14ac:dyDescent="0.25">
      <c r="D9863" s="16"/>
      <c r="Q9863" s="16"/>
    </row>
    <row r="9864" spans="4:17" x14ac:dyDescent="0.25">
      <c r="D9864" s="16"/>
      <c r="Q9864" s="16"/>
    </row>
    <row r="9865" spans="4:17" x14ac:dyDescent="0.25">
      <c r="D9865" s="16"/>
      <c r="Q9865" s="16"/>
    </row>
    <row r="9866" spans="4:17" x14ac:dyDescent="0.25">
      <c r="D9866" s="16"/>
      <c r="Q9866" s="16"/>
    </row>
    <row r="9869" spans="4:17" x14ac:dyDescent="0.25">
      <c r="D9869" s="16"/>
      <c r="Q9869" s="16"/>
    </row>
    <row r="9870" spans="4:17" x14ac:dyDescent="0.25">
      <c r="D9870" s="16"/>
      <c r="Q9870" s="16"/>
    </row>
    <row r="9873" spans="4:17" x14ac:dyDescent="0.25">
      <c r="D9873" s="16"/>
      <c r="Q9873" s="16"/>
    </row>
    <row r="9874" spans="4:17" x14ac:dyDescent="0.25">
      <c r="D9874" s="16"/>
      <c r="Q9874" s="16"/>
    </row>
    <row r="9875" spans="4:17" x14ac:dyDescent="0.25">
      <c r="D9875" s="16"/>
      <c r="Q9875" s="16"/>
    </row>
    <row r="9876" spans="4:17" x14ac:dyDescent="0.25">
      <c r="D9876" s="16"/>
      <c r="Q9876" s="16"/>
    </row>
    <row r="9877" spans="4:17" x14ac:dyDescent="0.25">
      <c r="D9877" s="16"/>
      <c r="Q9877" s="16"/>
    </row>
    <row r="9880" spans="4:17" x14ac:dyDescent="0.25">
      <c r="D9880" s="16"/>
      <c r="Q9880" s="16"/>
    </row>
    <row r="9881" spans="4:17" x14ac:dyDescent="0.25">
      <c r="D9881" s="16"/>
      <c r="Q9881" s="16"/>
    </row>
    <row r="9882" spans="4:17" x14ac:dyDescent="0.25">
      <c r="D9882" s="16"/>
      <c r="Q9882" s="16"/>
    </row>
    <row r="9883" spans="4:17" x14ac:dyDescent="0.25">
      <c r="D9883" s="16"/>
      <c r="Q9883" s="16"/>
    </row>
    <row r="9886" spans="4:17" x14ac:dyDescent="0.25">
      <c r="D9886" s="16"/>
      <c r="Q9886" s="16"/>
    </row>
    <row r="9887" spans="4:17" x14ac:dyDescent="0.25">
      <c r="D9887" s="16"/>
      <c r="Q9887" s="16"/>
    </row>
    <row r="9888" spans="4:17" x14ac:dyDescent="0.25">
      <c r="D9888" s="16"/>
      <c r="Q9888" s="16"/>
    </row>
    <row r="9889" spans="4:17" x14ac:dyDescent="0.25">
      <c r="D9889" s="16"/>
      <c r="Q9889" s="16"/>
    </row>
    <row r="9892" spans="4:17" x14ac:dyDescent="0.25">
      <c r="D9892" s="16"/>
      <c r="Q9892" s="16"/>
    </row>
    <row r="9893" spans="4:17" x14ac:dyDescent="0.25">
      <c r="D9893" s="16"/>
      <c r="Q9893" s="16"/>
    </row>
    <row r="9894" spans="4:17" x14ac:dyDescent="0.25">
      <c r="D9894" s="16"/>
      <c r="Q9894" s="16"/>
    </row>
    <row r="9897" spans="4:17" x14ac:dyDescent="0.25">
      <c r="D9897" s="16"/>
      <c r="Q9897" s="16"/>
    </row>
    <row r="9898" spans="4:17" x14ac:dyDescent="0.25">
      <c r="Q9898" s="16"/>
    </row>
    <row r="9899" spans="4:17" x14ac:dyDescent="0.25">
      <c r="Q9899" s="16"/>
    </row>
    <row r="9900" spans="4:17" x14ac:dyDescent="0.25">
      <c r="Q9900" s="16"/>
    </row>
    <row r="9901" spans="4:17" x14ac:dyDescent="0.25">
      <c r="Q9901" s="16"/>
    </row>
    <row r="9904" spans="4:17" x14ac:dyDescent="0.25">
      <c r="D9904" s="16"/>
      <c r="Q9904" s="16"/>
    </row>
    <row r="9905" spans="4:17" x14ac:dyDescent="0.25">
      <c r="Q9905" s="16"/>
    </row>
    <row r="9908" spans="4:17" x14ac:dyDescent="0.25">
      <c r="D9908" s="16"/>
      <c r="Q9908" s="16"/>
    </row>
    <row r="9909" spans="4:17" x14ac:dyDescent="0.25">
      <c r="Q9909" s="16"/>
    </row>
    <row r="9912" spans="4:17" x14ac:dyDescent="0.25">
      <c r="D9912" s="16"/>
      <c r="Q9912" s="16"/>
    </row>
    <row r="9915" spans="4:17" x14ac:dyDescent="0.25">
      <c r="D9915" s="16"/>
      <c r="Q9915" s="16"/>
    </row>
    <row r="9918" spans="4:17" x14ac:dyDescent="0.25">
      <c r="D9918" s="16"/>
      <c r="Q9918" s="16"/>
    </row>
    <row r="9919" spans="4:17" x14ac:dyDescent="0.25">
      <c r="Q9919" s="16"/>
    </row>
    <row r="9922" spans="4:17" x14ac:dyDescent="0.25">
      <c r="D9922" s="16"/>
      <c r="Q9922" s="16"/>
    </row>
    <row r="9923" spans="4:17" x14ac:dyDescent="0.25">
      <c r="Q9923" s="16"/>
    </row>
    <row r="9926" spans="4:17" x14ac:dyDescent="0.25">
      <c r="D9926" s="16"/>
      <c r="Q9926" s="16"/>
    </row>
    <row r="9927" spans="4:17" x14ac:dyDescent="0.25">
      <c r="Q9927" s="16"/>
    </row>
    <row r="9930" spans="4:17" x14ac:dyDescent="0.25">
      <c r="D9930" s="16"/>
      <c r="Q9930" s="16"/>
    </row>
    <row r="9933" spans="4:17" x14ac:dyDescent="0.25">
      <c r="D9933" s="16"/>
      <c r="Q9933" s="16"/>
    </row>
    <row r="9934" spans="4:17" x14ac:dyDescent="0.25">
      <c r="Q9934" s="16"/>
    </row>
    <row r="9935" spans="4:17" x14ac:dyDescent="0.25">
      <c r="Q9935" s="16"/>
    </row>
    <row r="9936" spans="4:17" x14ac:dyDescent="0.25">
      <c r="Q9936" s="16"/>
    </row>
    <row r="9939" spans="4:17" x14ac:dyDescent="0.25">
      <c r="D9939" s="16"/>
      <c r="Q9939" s="16"/>
    </row>
    <row r="9940" spans="4:17" x14ac:dyDescent="0.25">
      <c r="Q9940" s="16"/>
    </row>
    <row r="9943" spans="4:17" x14ac:dyDescent="0.25">
      <c r="D9943" s="16"/>
      <c r="Q9943" s="16"/>
    </row>
    <row r="9944" spans="4:17" x14ac:dyDescent="0.25">
      <c r="Q9944" s="16"/>
    </row>
    <row r="9945" spans="4:17" x14ac:dyDescent="0.25">
      <c r="Q9945" s="16"/>
    </row>
    <row r="9946" spans="4:17" x14ac:dyDescent="0.25">
      <c r="Q9946" s="16"/>
    </row>
    <row r="9949" spans="4:17" x14ac:dyDescent="0.25">
      <c r="D9949" s="16"/>
      <c r="Q9949" s="16"/>
    </row>
    <row r="9950" spans="4:17" x14ac:dyDescent="0.25">
      <c r="Q9950" s="16"/>
    </row>
    <row r="9953" spans="4:17" x14ac:dyDescent="0.25">
      <c r="D9953" s="16"/>
      <c r="Q9953" s="16"/>
    </row>
    <row r="9954" spans="4:17" x14ac:dyDescent="0.25">
      <c r="Q9954" s="16"/>
    </row>
    <row r="9957" spans="4:17" x14ac:dyDescent="0.25">
      <c r="D9957" s="16"/>
      <c r="Q9957" s="16"/>
    </row>
    <row r="9958" spans="4:17" x14ac:dyDescent="0.25">
      <c r="Q9958" s="16"/>
    </row>
    <row r="9959" spans="4:17" x14ac:dyDescent="0.25">
      <c r="Q9959" s="16"/>
    </row>
    <row r="9962" spans="4:17" x14ac:dyDescent="0.25">
      <c r="D9962" s="16"/>
      <c r="Q9962" s="16"/>
    </row>
    <row r="9965" spans="4:17" x14ac:dyDescent="0.25">
      <c r="D9965" s="16"/>
      <c r="Q9965" s="16"/>
    </row>
    <row r="9968" spans="4:17" x14ac:dyDescent="0.25">
      <c r="D9968" s="16"/>
      <c r="Q9968" s="16"/>
    </row>
    <row r="9971" spans="4:17" x14ac:dyDescent="0.25">
      <c r="D9971" s="16"/>
      <c r="Q9971" s="16"/>
    </row>
    <row r="9974" spans="4:17" x14ac:dyDescent="0.25">
      <c r="D9974" s="16"/>
      <c r="Q9974" s="16"/>
    </row>
    <row r="9975" spans="4:17" x14ac:dyDescent="0.25">
      <c r="Q9975" s="16"/>
    </row>
    <row r="9976" spans="4:17" x14ac:dyDescent="0.25">
      <c r="Q9976" s="16"/>
    </row>
    <row r="9979" spans="4:17" x14ac:dyDescent="0.25">
      <c r="D9979" s="16"/>
      <c r="Q9979" s="16"/>
    </row>
    <row r="9982" spans="4:17" x14ac:dyDescent="0.25">
      <c r="D9982" s="16"/>
      <c r="Q9982" s="16"/>
    </row>
    <row r="9985" spans="4:17" x14ac:dyDescent="0.25">
      <c r="D9985" s="16"/>
      <c r="Q9985" s="16"/>
    </row>
    <row r="9988" spans="4:17" x14ac:dyDescent="0.25">
      <c r="D9988" s="16"/>
      <c r="Q9988" s="16"/>
    </row>
    <row r="9989" spans="4:17" x14ac:dyDescent="0.25">
      <c r="Q9989" s="16"/>
    </row>
    <row r="9992" spans="4:17" x14ac:dyDescent="0.25">
      <c r="D9992" s="16"/>
      <c r="Q9992" s="16"/>
    </row>
    <row r="9995" spans="4:17" x14ac:dyDescent="0.25">
      <c r="D9995" s="16"/>
      <c r="Q9995" s="16"/>
    </row>
    <row r="9996" spans="4:17" x14ac:dyDescent="0.25">
      <c r="Q9996" s="16"/>
    </row>
    <row r="9999" spans="4:17" x14ac:dyDescent="0.25">
      <c r="D9999" s="16"/>
      <c r="Q9999" s="16"/>
    </row>
    <row r="10002" spans="4:17" x14ac:dyDescent="0.25">
      <c r="D10002" s="16"/>
      <c r="Q10002" s="16"/>
    </row>
    <row r="10003" spans="4:17" x14ac:dyDescent="0.25">
      <c r="Q10003" s="16"/>
    </row>
    <row r="10006" spans="4:17" x14ac:dyDescent="0.25">
      <c r="D10006" s="16"/>
      <c r="Q10006" s="16"/>
    </row>
    <row r="10009" spans="4:17" x14ac:dyDescent="0.25">
      <c r="D10009" s="16"/>
      <c r="Q10009" s="16"/>
    </row>
    <row r="10012" spans="4:17" x14ac:dyDescent="0.25">
      <c r="D10012" s="16"/>
      <c r="Q10012" s="16"/>
    </row>
    <row r="10013" spans="4:17" x14ac:dyDescent="0.25">
      <c r="Q10013" s="16"/>
    </row>
    <row r="10016" spans="4:17" x14ac:dyDescent="0.25">
      <c r="D10016" s="16"/>
      <c r="Q10016" s="16"/>
    </row>
    <row r="10019" spans="4:17" x14ac:dyDescent="0.25">
      <c r="D10019" s="16"/>
      <c r="Q10019" s="16"/>
    </row>
    <row r="10022" spans="4:17" x14ac:dyDescent="0.25">
      <c r="D10022" s="16"/>
      <c r="Q10022" s="16"/>
    </row>
    <row r="10025" spans="4:17" x14ac:dyDescent="0.25">
      <c r="D10025" s="16"/>
      <c r="Q10025" s="16"/>
    </row>
    <row r="10026" spans="4:17" x14ac:dyDescent="0.25">
      <c r="Q10026" s="16"/>
    </row>
    <row r="10027" spans="4:17" x14ac:dyDescent="0.25">
      <c r="Q10027" s="16"/>
    </row>
    <row r="10030" spans="4:17" x14ac:dyDescent="0.25">
      <c r="D10030" s="16"/>
      <c r="Q10030" s="16"/>
    </row>
    <row r="10033" spans="4:17" x14ac:dyDescent="0.25">
      <c r="D10033" s="16"/>
      <c r="Q10033" s="16"/>
    </row>
    <row r="10034" spans="4:17" x14ac:dyDescent="0.25">
      <c r="Q10034" s="16"/>
    </row>
    <row r="10035" spans="4:17" x14ac:dyDescent="0.25">
      <c r="Q10035" s="16"/>
    </row>
    <row r="10038" spans="4:17" x14ac:dyDescent="0.25">
      <c r="D10038" s="16"/>
      <c r="Q10038" s="16"/>
    </row>
    <row r="10041" spans="4:17" x14ac:dyDescent="0.25">
      <c r="D10041" s="16"/>
      <c r="Q10041" s="16"/>
    </row>
    <row r="10042" spans="4:17" x14ac:dyDescent="0.25">
      <c r="Q10042" s="16"/>
    </row>
    <row r="10045" spans="4:17" x14ac:dyDescent="0.25">
      <c r="D10045" s="16"/>
      <c r="Q10045" s="16"/>
    </row>
    <row r="10048" spans="4:17" x14ac:dyDescent="0.25">
      <c r="D10048" s="16"/>
      <c r="Q10048" s="16"/>
    </row>
    <row r="10051" spans="4:17" x14ac:dyDescent="0.25">
      <c r="D10051" s="16"/>
      <c r="Q10051" s="16"/>
    </row>
    <row r="10054" spans="4:17" x14ac:dyDescent="0.25">
      <c r="D10054" s="16"/>
      <c r="Q10054" s="16"/>
    </row>
    <row r="10057" spans="4:17" x14ac:dyDescent="0.25">
      <c r="D10057" s="16"/>
      <c r="Q10057" s="16"/>
    </row>
    <row r="10060" spans="4:17" x14ac:dyDescent="0.25">
      <c r="D10060" s="16"/>
      <c r="Q10060" s="16"/>
    </row>
    <row r="10063" spans="4:17" x14ac:dyDescent="0.25">
      <c r="D10063" s="16"/>
      <c r="Q10063" s="16"/>
    </row>
    <row r="10064" spans="4:17" x14ac:dyDescent="0.25">
      <c r="Q10064" s="16"/>
    </row>
    <row r="10067" spans="4:17" x14ac:dyDescent="0.25">
      <c r="D10067" s="16"/>
      <c r="Q10067" s="16"/>
    </row>
    <row r="10070" spans="4:17" x14ac:dyDescent="0.25">
      <c r="D10070" s="16"/>
      <c r="Q10070" s="16"/>
    </row>
    <row r="10071" spans="4:17" x14ac:dyDescent="0.25">
      <c r="Q10071" s="16"/>
    </row>
    <row r="10074" spans="4:17" x14ac:dyDescent="0.25">
      <c r="D10074" s="16"/>
      <c r="Q10074" s="16"/>
    </row>
    <row r="10077" spans="4:17" x14ac:dyDescent="0.25">
      <c r="D10077" s="16"/>
      <c r="Q10077" s="16"/>
    </row>
    <row r="10080" spans="4:17" x14ac:dyDescent="0.25">
      <c r="D10080" s="16"/>
      <c r="Q10080" s="16"/>
    </row>
    <row r="10083" spans="4:17" x14ac:dyDescent="0.25">
      <c r="D10083" s="16"/>
      <c r="Q10083" s="16"/>
    </row>
    <row r="10086" spans="4:17" x14ac:dyDescent="0.25">
      <c r="D10086" s="16"/>
      <c r="Q10086" s="16"/>
    </row>
    <row r="10089" spans="4:17" x14ac:dyDescent="0.25">
      <c r="D10089" s="16"/>
      <c r="Q10089" s="16"/>
    </row>
    <row r="10092" spans="4:17" x14ac:dyDescent="0.25">
      <c r="D10092" s="16"/>
      <c r="Q10092" s="16"/>
    </row>
    <row r="10095" spans="4:17" x14ac:dyDescent="0.25">
      <c r="D10095" s="16"/>
      <c r="Q10095" s="16"/>
    </row>
    <row r="10098" spans="4:17" x14ac:dyDescent="0.25">
      <c r="D10098" s="16"/>
      <c r="Q10098" s="16"/>
    </row>
    <row r="10101" spans="4:17" x14ac:dyDescent="0.25">
      <c r="D10101" s="16"/>
      <c r="Q10101" s="16"/>
    </row>
    <row r="10104" spans="4:17" x14ac:dyDescent="0.25">
      <c r="D10104" s="16"/>
      <c r="Q10104" s="16"/>
    </row>
    <row r="10107" spans="4:17" x14ac:dyDescent="0.25">
      <c r="D10107" s="16"/>
      <c r="Q10107" s="16"/>
    </row>
    <row r="10110" spans="4:17" x14ac:dyDescent="0.25">
      <c r="D10110" s="16"/>
      <c r="Q10110" s="16"/>
    </row>
    <row r="10111" spans="4:17" x14ac:dyDescent="0.25">
      <c r="Q10111" s="16"/>
    </row>
    <row r="10114" spans="4:17" x14ac:dyDescent="0.25">
      <c r="D10114" s="16"/>
      <c r="Q10114" s="16"/>
    </row>
    <row r="10117" spans="4:17" x14ac:dyDescent="0.25">
      <c r="D10117" s="16"/>
      <c r="Q10117" s="16"/>
    </row>
    <row r="10120" spans="4:17" x14ac:dyDescent="0.25">
      <c r="D10120" s="16"/>
      <c r="Q10120" s="16"/>
    </row>
    <row r="10121" spans="4:17" x14ac:dyDescent="0.25">
      <c r="Q10121" s="16"/>
    </row>
    <row r="10122" spans="4:17" x14ac:dyDescent="0.25">
      <c r="Q10122" s="16"/>
    </row>
    <row r="10125" spans="4:17" x14ac:dyDescent="0.25">
      <c r="D10125" s="16"/>
      <c r="Q10125" s="16"/>
    </row>
    <row r="10126" spans="4:17" x14ac:dyDescent="0.25">
      <c r="Q10126" s="16"/>
    </row>
    <row r="10127" spans="4:17" x14ac:dyDescent="0.25">
      <c r="Q10127" s="16"/>
    </row>
    <row r="10130" spans="4:17" x14ac:dyDescent="0.25">
      <c r="D10130" s="16"/>
      <c r="Q10130" s="16"/>
    </row>
    <row r="10133" spans="4:17" x14ac:dyDescent="0.25">
      <c r="D10133" s="16"/>
      <c r="Q10133" s="16"/>
    </row>
    <row r="10136" spans="4:17" x14ac:dyDescent="0.25">
      <c r="D10136" s="16"/>
      <c r="Q10136" s="16"/>
    </row>
    <row r="10139" spans="4:17" x14ac:dyDescent="0.25">
      <c r="D10139" s="16"/>
      <c r="Q10139" s="16"/>
    </row>
    <row r="10142" spans="4:17" x14ac:dyDescent="0.25">
      <c r="D10142" s="16"/>
      <c r="Q10142" s="16"/>
    </row>
    <row r="10145" spans="4:17" x14ac:dyDescent="0.25">
      <c r="D10145" s="16"/>
      <c r="Q10145" s="16"/>
    </row>
    <row r="10148" spans="4:17" x14ac:dyDescent="0.25">
      <c r="D10148" s="16"/>
      <c r="Q10148" s="16"/>
    </row>
    <row r="10151" spans="4:17" x14ac:dyDescent="0.25">
      <c r="D10151" s="16"/>
      <c r="Q10151" s="16"/>
    </row>
    <row r="10152" spans="4:17" x14ac:dyDescent="0.25">
      <c r="Q10152" s="16"/>
    </row>
    <row r="10155" spans="4:17" x14ac:dyDescent="0.25">
      <c r="D10155" s="16"/>
      <c r="Q10155" s="16"/>
    </row>
    <row r="10156" spans="4:17" x14ac:dyDescent="0.25">
      <c r="Q10156" s="16"/>
    </row>
    <row r="10159" spans="4:17" x14ac:dyDescent="0.25">
      <c r="D10159" s="16"/>
      <c r="Q10159" s="16"/>
    </row>
    <row r="10162" spans="4:17" x14ac:dyDescent="0.25">
      <c r="D10162" s="16"/>
      <c r="Q10162" s="16"/>
    </row>
    <row r="10165" spans="4:17" x14ac:dyDescent="0.25">
      <c r="D10165" s="16"/>
      <c r="Q10165" s="16"/>
    </row>
    <row r="10168" spans="4:17" x14ac:dyDescent="0.25">
      <c r="D10168" s="16"/>
      <c r="Q10168" s="16"/>
    </row>
    <row r="10171" spans="4:17" x14ac:dyDescent="0.25">
      <c r="D10171" s="16"/>
      <c r="Q10171" s="16"/>
    </row>
    <row r="10174" spans="4:17" x14ac:dyDescent="0.25">
      <c r="D10174" s="16"/>
      <c r="Q10174" s="16"/>
    </row>
    <row r="10177" spans="4:17" x14ac:dyDescent="0.25">
      <c r="D10177" s="16"/>
      <c r="Q10177" s="16"/>
    </row>
    <row r="10180" spans="4:17" x14ac:dyDescent="0.25">
      <c r="D10180" s="16"/>
      <c r="Q10180" s="16"/>
    </row>
    <row r="10181" spans="4:17" x14ac:dyDescent="0.25">
      <c r="Q10181" s="16"/>
    </row>
    <row r="10182" spans="4:17" x14ac:dyDescent="0.25">
      <c r="Q10182" s="16"/>
    </row>
    <row r="10185" spans="4:17" x14ac:dyDescent="0.25">
      <c r="D10185" s="16"/>
      <c r="Q10185" s="16"/>
    </row>
    <row r="10186" spans="4:17" x14ac:dyDescent="0.25">
      <c r="Q10186" s="16"/>
    </row>
    <row r="10189" spans="4:17" x14ac:dyDescent="0.25">
      <c r="D10189" s="16"/>
      <c r="Q10189" s="16"/>
    </row>
    <row r="10192" spans="4:17" x14ac:dyDescent="0.25">
      <c r="D10192" s="16"/>
      <c r="Q10192" s="16"/>
    </row>
    <row r="10193" spans="4:17" x14ac:dyDescent="0.25">
      <c r="Q10193" s="16"/>
    </row>
    <row r="10196" spans="4:17" x14ac:dyDescent="0.25">
      <c r="D10196" s="16"/>
      <c r="Q10196" s="16"/>
    </row>
    <row r="10199" spans="4:17" x14ac:dyDescent="0.25">
      <c r="D10199" s="16"/>
      <c r="Q10199" s="16"/>
    </row>
    <row r="10202" spans="4:17" x14ac:dyDescent="0.25">
      <c r="D10202" s="16"/>
      <c r="Q10202" s="16"/>
    </row>
    <row r="10205" spans="4:17" x14ac:dyDescent="0.25">
      <c r="D10205" s="16"/>
      <c r="Q10205" s="16"/>
    </row>
    <row r="10206" spans="4:17" x14ac:dyDescent="0.25">
      <c r="Q10206" s="16"/>
    </row>
    <row r="10207" spans="4:17" x14ac:dyDescent="0.25">
      <c r="Q10207" s="16"/>
    </row>
    <row r="10210" spans="4:17" x14ac:dyDescent="0.25">
      <c r="D10210" s="16"/>
      <c r="Q10210" s="16"/>
    </row>
    <row r="10213" spans="4:17" x14ac:dyDescent="0.25">
      <c r="D10213" s="16"/>
      <c r="Q10213" s="16"/>
    </row>
    <row r="10214" spans="4:17" x14ac:dyDescent="0.25">
      <c r="Q10214" s="16"/>
    </row>
    <row r="10217" spans="4:17" x14ac:dyDescent="0.25">
      <c r="D10217" s="16"/>
      <c r="Q10217" s="16"/>
    </row>
    <row r="10220" spans="4:17" x14ac:dyDescent="0.25">
      <c r="D10220" s="16"/>
      <c r="Q10220" s="16"/>
    </row>
    <row r="10221" spans="4:17" x14ac:dyDescent="0.25">
      <c r="Q10221" s="16"/>
    </row>
    <row r="10222" spans="4:17" x14ac:dyDescent="0.25">
      <c r="Q10222" s="16"/>
    </row>
    <row r="10223" spans="4:17" x14ac:dyDescent="0.25">
      <c r="Q10223" s="16"/>
    </row>
    <row r="10226" spans="4:17" x14ac:dyDescent="0.25">
      <c r="D10226" s="16"/>
      <c r="Q10226" s="16"/>
    </row>
    <row r="10229" spans="4:17" x14ac:dyDescent="0.25">
      <c r="D10229" s="16"/>
      <c r="Q10229" s="16"/>
    </row>
    <row r="10230" spans="4:17" x14ac:dyDescent="0.25">
      <c r="Q10230" s="16"/>
    </row>
    <row r="10231" spans="4:17" x14ac:dyDescent="0.25">
      <c r="Q10231" s="16"/>
    </row>
    <row r="10234" spans="4:17" x14ac:dyDescent="0.25">
      <c r="D10234" s="16"/>
      <c r="Q10234" s="16"/>
    </row>
    <row r="10237" spans="4:17" x14ac:dyDescent="0.25">
      <c r="D10237" s="16"/>
      <c r="Q10237" s="16"/>
    </row>
    <row r="10240" spans="4:17" x14ac:dyDescent="0.25">
      <c r="D10240" s="16"/>
      <c r="Q10240" s="16"/>
    </row>
    <row r="10243" spans="4:17" x14ac:dyDescent="0.25">
      <c r="D10243" s="16"/>
      <c r="Q10243" s="16"/>
    </row>
    <row r="10246" spans="4:17" x14ac:dyDescent="0.25">
      <c r="D10246" s="16"/>
      <c r="Q10246" s="16"/>
    </row>
    <row r="10249" spans="4:17" x14ac:dyDescent="0.25">
      <c r="D10249" s="16"/>
      <c r="Q10249" s="16"/>
    </row>
    <row r="10252" spans="4:17" x14ac:dyDescent="0.25">
      <c r="D10252" s="16"/>
      <c r="Q10252" s="16"/>
    </row>
    <row r="10253" spans="4:17" x14ac:dyDescent="0.25">
      <c r="Q10253" s="16"/>
    </row>
    <row r="10256" spans="4:17" x14ac:dyDescent="0.25">
      <c r="D10256" s="16"/>
      <c r="Q10256" s="16"/>
    </row>
    <row r="10259" spans="4:17" x14ac:dyDescent="0.25">
      <c r="D10259" s="16"/>
      <c r="Q10259" s="16"/>
    </row>
    <row r="10260" spans="4:17" x14ac:dyDescent="0.25">
      <c r="Q10260" s="16"/>
    </row>
    <row r="10263" spans="4:17" x14ac:dyDescent="0.25">
      <c r="D10263" s="16"/>
      <c r="Q10263" s="16"/>
    </row>
    <row r="10264" spans="4:17" x14ac:dyDescent="0.25">
      <c r="Q10264" s="16"/>
    </row>
    <row r="10267" spans="4:17" x14ac:dyDescent="0.25">
      <c r="D10267" s="16"/>
      <c r="Q10267" s="16"/>
    </row>
    <row r="10270" spans="4:17" x14ac:dyDescent="0.25">
      <c r="D10270" s="16"/>
      <c r="Q10270" s="16"/>
    </row>
    <row r="10273" spans="4:17" x14ac:dyDescent="0.25">
      <c r="D10273" s="16"/>
      <c r="Q10273" s="16"/>
    </row>
    <row r="10276" spans="4:17" x14ac:dyDescent="0.25">
      <c r="D10276" s="16"/>
      <c r="Q10276" s="16"/>
    </row>
    <row r="10277" spans="4:17" x14ac:dyDescent="0.25">
      <c r="Q10277" s="16"/>
    </row>
    <row r="10280" spans="4:17" x14ac:dyDescent="0.25">
      <c r="D10280" s="16"/>
      <c r="Q10280" s="16"/>
    </row>
    <row r="10283" spans="4:17" x14ac:dyDescent="0.25">
      <c r="D10283" s="16"/>
      <c r="Q10283" s="16"/>
    </row>
    <row r="10284" spans="4:17" x14ac:dyDescent="0.25">
      <c r="Q10284" s="16"/>
    </row>
    <row r="10287" spans="4:17" x14ac:dyDescent="0.25">
      <c r="D10287" s="16"/>
      <c r="Q10287" s="16"/>
    </row>
    <row r="10288" spans="4:17" x14ac:dyDescent="0.25">
      <c r="Q10288" s="16"/>
    </row>
    <row r="10291" spans="4:17" x14ac:dyDescent="0.25">
      <c r="D10291" s="16"/>
      <c r="Q10291" s="16"/>
    </row>
    <row r="10292" spans="4:17" x14ac:dyDescent="0.25">
      <c r="Q10292" s="16"/>
    </row>
    <row r="10295" spans="4:17" x14ac:dyDescent="0.25">
      <c r="D10295" s="16"/>
      <c r="Q10295" s="16"/>
    </row>
    <row r="10296" spans="4:17" x14ac:dyDescent="0.25">
      <c r="Q10296" s="16"/>
    </row>
    <row r="10299" spans="4:17" x14ac:dyDescent="0.25">
      <c r="D10299" s="16"/>
      <c r="Q10299" s="16"/>
    </row>
    <row r="10302" spans="4:17" x14ac:dyDescent="0.25">
      <c r="D10302" s="16"/>
      <c r="Q10302" s="16"/>
    </row>
    <row r="10305" spans="4:17" x14ac:dyDescent="0.25">
      <c r="D10305" s="16"/>
      <c r="Q10305" s="16"/>
    </row>
    <row r="10308" spans="4:17" x14ac:dyDescent="0.25">
      <c r="D10308" s="16"/>
      <c r="Q10308" s="16"/>
    </row>
    <row r="10311" spans="4:17" x14ac:dyDescent="0.25">
      <c r="D10311" s="16"/>
      <c r="Q10311" s="16"/>
    </row>
    <row r="10314" spans="4:17" x14ac:dyDescent="0.25">
      <c r="D10314" s="16"/>
      <c r="Q10314" s="16"/>
    </row>
    <row r="10315" spans="4:17" x14ac:dyDescent="0.25">
      <c r="Q10315" s="16"/>
    </row>
    <row r="10318" spans="4:17" x14ac:dyDescent="0.25">
      <c r="D10318" s="16"/>
      <c r="Q10318" s="16"/>
    </row>
    <row r="10321" spans="4:17" x14ac:dyDescent="0.25">
      <c r="D10321" s="16"/>
      <c r="Q10321" s="16"/>
    </row>
    <row r="10324" spans="4:17" x14ac:dyDescent="0.25">
      <c r="D10324" s="16"/>
      <c r="Q10324" s="16"/>
    </row>
    <row r="10327" spans="4:17" x14ac:dyDescent="0.25">
      <c r="D10327" s="16"/>
      <c r="Q10327" s="16"/>
    </row>
    <row r="10330" spans="4:17" x14ac:dyDescent="0.25">
      <c r="D10330" s="16"/>
      <c r="Q10330" s="16"/>
    </row>
    <row r="10333" spans="4:17" x14ac:dyDescent="0.25">
      <c r="D10333" s="16"/>
      <c r="Q10333" s="16"/>
    </row>
    <row r="10336" spans="4:17" x14ac:dyDescent="0.25">
      <c r="D10336" s="16"/>
      <c r="Q10336" s="16"/>
    </row>
    <row r="10339" spans="4:17" x14ac:dyDescent="0.25">
      <c r="D10339" s="16"/>
      <c r="Q10339" s="16"/>
    </row>
    <row r="10340" spans="4:17" x14ac:dyDescent="0.25">
      <c r="Q10340" s="16"/>
    </row>
    <row r="10343" spans="4:17" x14ac:dyDescent="0.25">
      <c r="D10343" s="16"/>
      <c r="Q10343" s="16"/>
    </row>
    <row r="10346" spans="4:17" x14ac:dyDescent="0.25">
      <c r="D10346" s="16"/>
      <c r="Q10346" s="16"/>
    </row>
    <row r="10349" spans="4:17" x14ac:dyDescent="0.25">
      <c r="D10349" s="16"/>
      <c r="Q10349" s="16"/>
    </row>
    <row r="10352" spans="4:17" x14ac:dyDescent="0.25">
      <c r="D10352" s="16"/>
      <c r="Q10352" s="16"/>
    </row>
    <row r="10355" spans="4:17" x14ac:dyDescent="0.25">
      <c r="D10355" s="16"/>
      <c r="Q10355" s="16"/>
    </row>
    <row r="10356" spans="4:17" x14ac:dyDescent="0.25">
      <c r="Q10356" s="16"/>
    </row>
    <row r="10359" spans="4:17" x14ac:dyDescent="0.25">
      <c r="D10359" s="16"/>
      <c r="Q10359" s="16"/>
    </row>
    <row r="10362" spans="4:17" x14ac:dyDescent="0.25">
      <c r="D10362" s="16"/>
      <c r="Q10362" s="16"/>
    </row>
    <row r="10365" spans="4:17" x14ac:dyDescent="0.25">
      <c r="D10365" s="16"/>
      <c r="Q10365" s="16"/>
    </row>
    <row r="10368" spans="4:17" x14ac:dyDescent="0.25">
      <c r="D10368" s="16"/>
      <c r="Q10368" s="16"/>
    </row>
    <row r="10371" spans="4:17" x14ac:dyDescent="0.25">
      <c r="D10371" s="16"/>
      <c r="Q10371" s="16"/>
    </row>
    <row r="10374" spans="4:17" x14ac:dyDescent="0.25">
      <c r="D10374" s="16"/>
      <c r="Q10374" s="16"/>
    </row>
    <row r="10375" spans="4:17" x14ac:dyDescent="0.25">
      <c r="Q10375" s="16"/>
    </row>
    <row r="10378" spans="4:17" x14ac:dyDescent="0.25">
      <c r="D10378" s="16"/>
      <c r="Q10378" s="16"/>
    </row>
    <row r="10381" spans="4:17" x14ac:dyDescent="0.25">
      <c r="D10381" s="16"/>
      <c r="Q10381" s="16"/>
    </row>
    <row r="10384" spans="4:17" x14ac:dyDescent="0.25">
      <c r="D10384" s="16"/>
      <c r="Q10384" s="16"/>
    </row>
    <row r="10387" spans="4:17" x14ac:dyDescent="0.25">
      <c r="D10387" s="16"/>
      <c r="Q10387" s="16"/>
    </row>
    <row r="10390" spans="4:17" x14ac:dyDescent="0.25">
      <c r="D10390" s="16"/>
      <c r="Q10390" s="16"/>
    </row>
    <row r="10393" spans="4:17" x14ac:dyDescent="0.25">
      <c r="D10393" s="16"/>
      <c r="Q10393" s="16"/>
    </row>
    <row r="10394" spans="4:17" x14ac:dyDescent="0.25">
      <c r="Q10394" s="16"/>
    </row>
    <row r="10397" spans="4:17" x14ac:dyDescent="0.25">
      <c r="D10397" s="16"/>
      <c r="Q10397" s="16"/>
    </row>
    <row r="10400" spans="4:17" x14ac:dyDescent="0.25">
      <c r="D10400" s="16"/>
      <c r="Q10400" s="16"/>
    </row>
    <row r="10403" spans="4:17" x14ac:dyDescent="0.25">
      <c r="D10403" s="16"/>
      <c r="Q10403" s="16"/>
    </row>
    <row r="10406" spans="4:17" x14ac:dyDescent="0.25">
      <c r="D10406" s="16"/>
      <c r="Q10406" s="16"/>
    </row>
    <row r="10409" spans="4:17" x14ac:dyDescent="0.25">
      <c r="D10409" s="16"/>
      <c r="Q10409" s="16"/>
    </row>
    <row r="10410" spans="4:17" x14ac:dyDescent="0.25">
      <c r="Q10410" s="16"/>
    </row>
    <row r="10413" spans="4:17" x14ac:dyDescent="0.25">
      <c r="D10413" s="16"/>
      <c r="Q10413" s="16"/>
    </row>
    <row r="10416" spans="4:17" x14ac:dyDescent="0.25">
      <c r="D10416" s="16"/>
      <c r="Q10416" s="16"/>
    </row>
    <row r="10419" spans="4:17" x14ac:dyDescent="0.25">
      <c r="D10419" s="16"/>
      <c r="Q10419" s="16"/>
    </row>
    <row r="10422" spans="4:17" x14ac:dyDescent="0.25">
      <c r="D10422" s="16"/>
      <c r="Q10422" s="16"/>
    </row>
    <row r="10425" spans="4:17" x14ac:dyDescent="0.25">
      <c r="D10425" s="16"/>
      <c r="Q10425" s="16"/>
    </row>
    <row r="10428" spans="4:17" x14ac:dyDescent="0.25">
      <c r="D10428" s="16"/>
      <c r="Q10428" s="16"/>
    </row>
    <row r="10431" spans="4:17" x14ac:dyDescent="0.25">
      <c r="D10431" s="16"/>
      <c r="Q10431" s="16"/>
    </row>
    <row r="10434" spans="4:17" x14ac:dyDescent="0.25">
      <c r="D10434" s="16"/>
      <c r="Q10434" s="16"/>
    </row>
    <row r="10437" spans="4:17" x14ac:dyDescent="0.25">
      <c r="D10437" s="16"/>
      <c r="Q10437" s="16"/>
    </row>
    <row r="10438" spans="4:17" x14ac:dyDescent="0.25">
      <c r="Q10438" s="16"/>
    </row>
    <row r="10441" spans="4:17" x14ac:dyDescent="0.25">
      <c r="D10441" s="16"/>
      <c r="Q10441" s="16"/>
    </row>
    <row r="10442" spans="4:17" x14ac:dyDescent="0.25">
      <c r="Q10442" s="16"/>
    </row>
    <row r="10445" spans="4:17" x14ac:dyDescent="0.25">
      <c r="D10445" s="16"/>
      <c r="Q10445" s="16"/>
    </row>
    <row r="10448" spans="4:17" x14ac:dyDescent="0.25">
      <c r="D10448" s="16"/>
      <c r="Q10448" s="16"/>
    </row>
    <row r="10451" spans="4:17" x14ac:dyDescent="0.25">
      <c r="D10451" s="16"/>
      <c r="Q10451" s="16"/>
    </row>
    <row r="10452" spans="4:17" x14ac:dyDescent="0.25">
      <c r="Q10452" s="16"/>
    </row>
    <row r="10455" spans="4:17" x14ac:dyDescent="0.25">
      <c r="D10455" s="16"/>
      <c r="Q10455" s="16"/>
    </row>
    <row r="10458" spans="4:17" x14ac:dyDescent="0.25">
      <c r="D10458" s="16"/>
      <c r="Q10458" s="16"/>
    </row>
    <row r="10459" spans="4:17" x14ac:dyDescent="0.25">
      <c r="Q10459" s="16"/>
    </row>
    <row r="10462" spans="4:17" x14ac:dyDescent="0.25">
      <c r="D10462" s="16"/>
      <c r="Q10462" s="16"/>
    </row>
    <row r="10465" spans="4:17" x14ac:dyDescent="0.25">
      <c r="D10465" s="16"/>
      <c r="Q10465" s="16"/>
    </row>
    <row r="10468" spans="4:17" x14ac:dyDescent="0.25">
      <c r="D10468" s="16"/>
      <c r="Q10468" s="16"/>
    </row>
    <row r="10469" spans="4:17" x14ac:dyDescent="0.25">
      <c r="Q10469" s="16"/>
    </row>
    <row r="10472" spans="4:17" x14ac:dyDescent="0.25">
      <c r="D10472" s="16"/>
      <c r="Q10472" s="16"/>
    </row>
    <row r="10475" spans="4:17" x14ac:dyDescent="0.25">
      <c r="D10475" s="16"/>
      <c r="Q10475" s="16"/>
    </row>
    <row r="10478" spans="4:17" x14ac:dyDescent="0.25">
      <c r="D10478" s="16"/>
      <c r="Q10478" s="16"/>
    </row>
    <row r="10481" spans="4:17" x14ac:dyDescent="0.25">
      <c r="D10481" s="16"/>
      <c r="Q10481" s="16"/>
    </row>
    <row r="10482" spans="4:17" x14ac:dyDescent="0.25">
      <c r="Q10482" s="16"/>
    </row>
    <row r="10485" spans="4:17" x14ac:dyDescent="0.25">
      <c r="D10485" s="16"/>
      <c r="Q10485" s="16"/>
    </row>
    <row r="10488" spans="4:17" x14ac:dyDescent="0.25">
      <c r="D10488" s="16"/>
      <c r="Q10488" s="16"/>
    </row>
    <row r="10491" spans="4:17" x14ac:dyDescent="0.25">
      <c r="D10491" s="16"/>
      <c r="Q10491" s="16"/>
    </row>
    <row r="10494" spans="4:17" x14ac:dyDescent="0.25">
      <c r="D10494" s="16"/>
      <c r="Q10494" s="16"/>
    </row>
    <row r="10497" spans="4:17" x14ac:dyDescent="0.25">
      <c r="D10497" s="16"/>
      <c r="Q10497" s="16"/>
    </row>
    <row r="10500" spans="4:17" x14ac:dyDescent="0.25">
      <c r="D10500" s="16"/>
      <c r="Q10500" s="16"/>
    </row>
    <row r="10503" spans="4:17" x14ac:dyDescent="0.25">
      <c r="D10503" s="16"/>
      <c r="Q10503" s="16"/>
    </row>
    <row r="10506" spans="4:17" x14ac:dyDescent="0.25">
      <c r="D10506" s="16"/>
      <c r="Q10506" s="16"/>
    </row>
    <row r="10509" spans="4:17" x14ac:dyDescent="0.25">
      <c r="D10509" s="16"/>
      <c r="Q10509" s="16"/>
    </row>
    <row r="10512" spans="4:17" x14ac:dyDescent="0.25">
      <c r="D10512" s="16"/>
      <c r="Q10512" s="16"/>
    </row>
    <row r="10513" spans="4:17" x14ac:dyDescent="0.25">
      <c r="Q10513" s="16"/>
    </row>
    <row r="10516" spans="4:17" x14ac:dyDescent="0.25">
      <c r="D10516" s="16"/>
      <c r="Q10516" s="16"/>
    </row>
    <row r="10519" spans="4:17" x14ac:dyDescent="0.25">
      <c r="D10519" s="16"/>
      <c r="Q10519" s="16"/>
    </row>
    <row r="10522" spans="4:17" x14ac:dyDescent="0.25">
      <c r="D10522" s="16"/>
      <c r="Q10522" s="16"/>
    </row>
    <row r="10525" spans="4:17" x14ac:dyDescent="0.25">
      <c r="D10525" s="16"/>
      <c r="Q10525" s="16"/>
    </row>
    <row r="10528" spans="4:17" x14ac:dyDescent="0.25">
      <c r="D10528" s="16"/>
      <c r="Q10528" s="16"/>
    </row>
    <row r="10529" spans="4:17" x14ac:dyDescent="0.25">
      <c r="Q10529" s="16"/>
    </row>
    <row r="10530" spans="4:17" x14ac:dyDescent="0.25">
      <c r="Q10530" s="16"/>
    </row>
    <row r="10533" spans="4:17" x14ac:dyDescent="0.25">
      <c r="D10533" s="16"/>
      <c r="Q10533" s="16"/>
    </row>
    <row r="10534" spans="4:17" x14ac:dyDescent="0.25">
      <c r="Q10534" s="16"/>
    </row>
    <row r="10535" spans="4:17" x14ac:dyDescent="0.25">
      <c r="Q10535" s="16"/>
    </row>
    <row r="10536" spans="4:17" x14ac:dyDescent="0.25">
      <c r="Q10536" s="16"/>
    </row>
    <row r="10539" spans="4:17" x14ac:dyDescent="0.25">
      <c r="D10539" s="16"/>
      <c r="Q10539" s="16"/>
    </row>
    <row r="10540" spans="4:17" x14ac:dyDescent="0.25">
      <c r="Q10540" s="16"/>
    </row>
    <row r="10543" spans="4:17" x14ac:dyDescent="0.25">
      <c r="D10543" s="16"/>
      <c r="Q10543" s="16"/>
    </row>
    <row r="10544" spans="4:17" x14ac:dyDescent="0.25">
      <c r="Q10544" s="16"/>
    </row>
    <row r="10545" spans="4:17" x14ac:dyDescent="0.25">
      <c r="Q10545" s="16"/>
    </row>
    <row r="10546" spans="4:17" x14ac:dyDescent="0.25">
      <c r="Q10546" s="16"/>
    </row>
    <row r="10547" spans="4:17" x14ac:dyDescent="0.25">
      <c r="Q10547" s="16"/>
    </row>
    <row r="10548" spans="4:17" x14ac:dyDescent="0.25">
      <c r="Q10548" s="16"/>
    </row>
    <row r="10549" spans="4:17" x14ac:dyDescent="0.25">
      <c r="Q10549" s="16"/>
    </row>
    <row r="10552" spans="4:17" x14ac:dyDescent="0.25">
      <c r="D10552" s="16"/>
      <c r="Q10552" s="16"/>
    </row>
    <row r="10553" spans="4:17" x14ac:dyDescent="0.25">
      <c r="Q10553" s="16"/>
    </row>
    <row r="10554" spans="4:17" x14ac:dyDescent="0.25">
      <c r="Q10554" s="16"/>
    </row>
    <row r="10555" spans="4:17" x14ac:dyDescent="0.25">
      <c r="Q10555" s="16"/>
    </row>
    <row r="10556" spans="4:17" x14ac:dyDescent="0.25">
      <c r="Q10556" s="16"/>
    </row>
    <row r="10557" spans="4:17" x14ac:dyDescent="0.25">
      <c r="Q10557" s="16"/>
    </row>
    <row r="10560" spans="4:17" x14ac:dyDescent="0.25">
      <c r="D10560" s="16"/>
      <c r="Q10560" s="16"/>
    </row>
    <row r="10561" spans="4:17" x14ac:dyDescent="0.25">
      <c r="Q10561" s="16"/>
    </row>
    <row r="10564" spans="4:17" x14ac:dyDescent="0.25">
      <c r="D10564" s="16"/>
      <c r="Q10564" s="16"/>
    </row>
    <row r="10565" spans="4:17" x14ac:dyDescent="0.25">
      <c r="Q10565" s="16"/>
    </row>
    <row r="10568" spans="4:17" x14ac:dyDescent="0.25">
      <c r="D10568" s="16"/>
      <c r="Q10568" s="16"/>
    </row>
    <row r="10571" spans="4:17" x14ac:dyDescent="0.25">
      <c r="D10571" s="16"/>
      <c r="Q10571" s="16"/>
    </row>
    <row r="10574" spans="4:17" x14ac:dyDescent="0.25">
      <c r="D10574" s="16"/>
      <c r="Q10574" s="16"/>
    </row>
    <row r="10575" spans="4:17" x14ac:dyDescent="0.25">
      <c r="Q10575" s="16"/>
    </row>
    <row r="10576" spans="4:17" x14ac:dyDescent="0.25">
      <c r="Q10576" s="16"/>
    </row>
    <row r="10577" spans="4:17" x14ac:dyDescent="0.25">
      <c r="Q10577" s="16"/>
    </row>
    <row r="10580" spans="4:17" x14ac:dyDescent="0.25">
      <c r="D10580" s="16"/>
      <c r="Q10580" s="16"/>
    </row>
    <row r="10581" spans="4:17" x14ac:dyDescent="0.25">
      <c r="Q10581" s="16"/>
    </row>
    <row r="10582" spans="4:17" x14ac:dyDescent="0.25">
      <c r="Q10582" s="16"/>
    </row>
    <row r="10583" spans="4:17" x14ac:dyDescent="0.25">
      <c r="Q10583" s="16"/>
    </row>
    <row r="10584" spans="4:17" x14ac:dyDescent="0.25">
      <c r="Q10584" s="16"/>
    </row>
    <row r="10587" spans="4:17" x14ac:dyDescent="0.25">
      <c r="D10587" s="16"/>
      <c r="Q10587" s="16"/>
    </row>
    <row r="10590" spans="4:17" x14ac:dyDescent="0.25">
      <c r="D10590" s="16"/>
      <c r="Q10590" s="16"/>
    </row>
    <row r="10593" spans="4:17" x14ac:dyDescent="0.25">
      <c r="D10593" s="16"/>
      <c r="Q10593" s="16"/>
    </row>
    <row r="10594" spans="4:17" x14ac:dyDescent="0.25">
      <c r="Q10594" s="16"/>
    </row>
    <row r="10597" spans="4:17" x14ac:dyDescent="0.25">
      <c r="D10597" s="16"/>
      <c r="Q10597" s="16"/>
    </row>
    <row r="10598" spans="4:17" x14ac:dyDescent="0.25">
      <c r="Q10598" s="16"/>
    </row>
    <row r="10601" spans="4:17" x14ac:dyDescent="0.25">
      <c r="D10601" s="16"/>
      <c r="Q10601" s="16"/>
    </row>
    <row r="10604" spans="4:17" x14ac:dyDescent="0.25">
      <c r="D10604" s="16"/>
      <c r="Q10604" s="16"/>
    </row>
    <row r="10605" spans="4:17" x14ac:dyDescent="0.25">
      <c r="Q10605" s="16"/>
    </row>
    <row r="10608" spans="4:17" x14ac:dyDescent="0.25">
      <c r="D10608" s="16"/>
      <c r="Q10608" s="16"/>
    </row>
    <row r="10611" spans="4:17" x14ac:dyDescent="0.25">
      <c r="D10611" s="16"/>
      <c r="Q10611" s="16"/>
    </row>
    <row r="10614" spans="4:17" x14ac:dyDescent="0.25">
      <c r="D10614" s="16"/>
      <c r="Q10614" s="16"/>
    </row>
    <row r="10617" spans="4:17" x14ac:dyDescent="0.25">
      <c r="D10617" s="16"/>
      <c r="Q10617" s="16"/>
    </row>
    <row r="10620" spans="4:17" x14ac:dyDescent="0.25">
      <c r="D10620" s="16"/>
      <c r="Q10620" s="16"/>
    </row>
    <row r="10623" spans="4:17" x14ac:dyDescent="0.25">
      <c r="D10623" s="16"/>
      <c r="Q10623" s="16"/>
    </row>
    <row r="10626" spans="4:17" x14ac:dyDescent="0.25">
      <c r="D10626" s="16"/>
      <c r="Q10626" s="16"/>
    </row>
    <row r="10629" spans="4:17" x14ac:dyDescent="0.25">
      <c r="D10629" s="16"/>
      <c r="Q10629" s="16"/>
    </row>
    <row r="10632" spans="4:17" x14ac:dyDescent="0.25">
      <c r="D10632" s="16"/>
      <c r="Q10632" s="16"/>
    </row>
    <row r="10633" spans="4:17" x14ac:dyDescent="0.25">
      <c r="Q10633" s="16"/>
    </row>
    <row r="10636" spans="4:17" x14ac:dyDescent="0.25">
      <c r="D10636" s="16"/>
      <c r="Q10636" s="16"/>
    </row>
    <row r="10639" spans="4:17" x14ac:dyDescent="0.25">
      <c r="D10639" s="16"/>
      <c r="Q10639" s="16"/>
    </row>
    <row r="10640" spans="4:17" x14ac:dyDescent="0.25">
      <c r="Q10640" s="16"/>
    </row>
    <row r="10641" spans="4:17" x14ac:dyDescent="0.25">
      <c r="Q10641" s="16"/>
    </row>
    <row r="10644" spans="4:17" x14ac:dyDescent="0.25">
      <c r="D10644" s="16"/>
      <c r="Q10644" s="16"/>
    </row>
    <row r="10647" spans="4:17" x14ac:dyDescent="0.25">
      <c r="D10647" s="16"/>
      <c r="Q10647" s="16"/>
    </row>
    <row r="10648" spans="4:17" x14ac:dyDescent="0.25">
      <c r="Q10648" s="16"/>
    </row>
    <row r="10651" spans="4:17" x14ac:dyDescent="0.25">
      <c r="D10651" s="16"/>
      <c r="Q10651" s="16"/>
    </row>
    <row r="10652" spans="4:17" x14ac:dyDescent="0.25">
      <c r="Q10652" s="16"/>
    </row>
    <row r="10655" spans="4:17" x14ac:dyDescent="0.25">
      <c r="D10655" s="16"/>
      <c r="Q10655" s="16"/>
    </row>
    <row r="10656" spans="4:17" x14ac:dyDescent="0.25">
      <c r="Q10656" s="16"/>
    </row>
    <row r="10659" spans="4:17" x14ac:dyDescent="0.25">
      <c r="D10659" s="16"/>
      <c r="Q10659" s="16"/>
    </row>
    <row r="10662" spans="4:17" x14ac:dyDescent="0.25">
      <c r="D10662" s="16"/>
      <c r="Q10662" s="16"/>
    </row>
    <row r="10663" spans="4:17" x14ac:dyDescent="0.25">
      <c r="Q10663" s="16"/>
    </row>
    <row r="10666" spans="4:17" x14ac:dyDescent="0.25">
      <c r="D10666" s="16"/>
      <c r="Q10666" s="16"/>
    </row>
    <row r="10667" spans="4:17" x14ac:dyDescent="0.25">
      <c r="Q10667" s="16"/>
    </row>
    <row r="10668" spans="4:17" x14ac:dyDescent="0.25">
      <c r="Q10668" s="16"/>
    </row>
    <row r="10669" spans="4:17" x14ac:dyDescent="0.25">
      <c r="Q10669" s="16"/>
    </row>
    <row r="10672" spans="4:17" x14ac:dyDescent="0.25">
      <c r="D10672" s="16"/>
      <c r="Q10672" s="16"/>
    </row>
    <row r="10675" spans="4:17" x14ac:dyDescent="0.25">
      <c r="D10675" s="16"/>
      <c r="Q10675" s="16"/>
    </row>
    <row r="10678" spans="4:17" x14ac:dyDescent="0.25">
      <c r="D10678" s="16"/>
      <c r="Q10678" s="16"/>
    </row>
    <row r="10681" spans="4:17" x14ac:dyDescent="0.25">
      <c r="D10681" s="16"/>
      <c r="Q10681" s="16"/>
    </row>
    <row r="10684" spans="4:17" x14ac:dyDescent="0.25">
      <c r="D10684" s="16"/>
      <c r="Q10684" s="16"/>
    </row>
    <row r="10687" spans="4:17" x14ac:dyDescent="0.25">
      <c r="D10687" s="16"/>
      <c r="Q10687" s="16"/>
    </row>
    <row r="10690" spans="4:17" x14ac:dyDescent="0.25">
      <c r="D10690" s="16"/>
      <c r="Q10690" s="16"/>
    </row>
    <row r="10693" spans="4:17" x14ac:dyDescent="0.25">
      <c r="D10693" s="16"/>
      <c r="Q10693" s="16"/>
    </row>
    <row r="10696" spans="4:17" x14ac:dyDescent="0.25">
      <c r="D10696" s="16"/>
      <c r="Q10696" s="16"/>
    </row>
    <row r="10699" spans="4:17" x14ac:dyDescent="0.25">
      <c r="D10699" s="16"/>
      <c r="Q10699" s="16"/>
    </row>
    <row r="10702" spans="4:17" x14ac:dyDescent="0.25">
      <c r="D10702" s="16"/>
      <c r="Q10702" s="16"/>
    </row>
    <row r="10705" spans="4:17" x14ac:dyDescent="0.25">
      <c r="D10705" s="16"/>
      <c r="Q10705" s="16"/>
    </row>
    <row r="10706" spans="4:17" x14ac:dyDescent="0.25">
      <c r="Q10706" s="16"/>
    </row>
    <row r="10707" spans="4:17" x14ac:dyDescent="0.25">
      <c r="Q10707" s="16"/>
    </row>
    <row r="10710" spans="4:17" x14ac:dyDescent="0.25">
      <c r="D10710" s="16"/>
      <c r="Q10710" s="16"/>
    </row>
    <row r="10711" spans="4:17" x14ac:dyDescent="0.25">
      <c r="Q10711" s="16"/>
    </row>
    <row r="10712" spans="4:17" x14ac:dyDescent="0.25">
      <c r="Q10712" s="16"/>
    </row>
    <row r="10713" spans="4:17" x14ac:dyDescent="0.25">
      <c r="Q10713" s="16"/>
    </row>
    <row r="10716" spans="4:17" x14ac:dyDescent="0.25">
      <c r="D10716" s="16"/>
      <c r="Q10716" s="16"/>
    </row>
    <row r="10719" spans="4:17" x14ac:dyDescent="0.25">
      <c r="D10719" s="16"/>
      <c r="Q10719" s="16"/>
    </row>
    <row r="10722" spans="4:17" x14ac:dyDescent="0.25">
      <c r="D10722" s="16"/>
      <c r="Q10722" s="16"/>
    </row>
    <row r="10723" spans="4:17" x14ac:dyDescent="0.25">
      <c r="Q10723" s="16"/>
    </row>
    <row r="10726" spans="4:17" x14ac:dyDescent="0.25">
      <c r="D10726" s="16"/>
      <c r="Q10726" s="16"/>
    </row>
    <row r="10729" spans="4:17" x14ac:dyDescent="0.25">
      <c r="D10729" s="16"/>
      <c r="Q10729" s="16"/>
    </row>
    <row r="10732" spans="4:17" x14ac:dyDescent="0.25">
      <c r="D10732" s="16"/>
      <c r="Q10732" s="16"/>
    </row>
    <row r="10735" spans="4:17" x14ac:dyDescent="0.25">
      <c r="D10735" s="16"/>
      <c r="Q10735" s="16"/>
    </row>
    <row r="10738" spans="4:17" x14ac:dyDescent="0.25">
      <c r="D10738" s="16"/>
      <c r="Q10738" s="16"/>
    </row>
    <row r="10741" spans="4:17" x14ac:dyDescent="0.25">
      <c r="D10741" s="16"/>
      <c r="Q10741" s="16"/>
    </row>
    <row r="10742" spans="4:17" x14ac:dyDescent="0.25">
      <c r="Q10742" s="16"/>
    </row>
    <row r="10745" spans="4:17" x14ac:dyDescent="0.25">
      <c r="D10745" s="16"/>
      <c r="Q10745" s="16"/>
    </row>
    <row r="10748" spans="4:17" x14ac:dyDescent="0.25">
      <c r="D10748" s="16"/>
      <c r="Q10748" s="16"/>
    </row>
    <row r="10751" spans="4:17" x14ac:dyDescent="0.25">
      <c r="D10751" s="16"/>
      <c r="Q10751" s="16"/>
    </row>
    <row r="10752" spans="4:17" x14ac:dyDescent="0.25">
      <c r="Q10752" s="16"/>
    </row>
    <row r="10755" spans="4:17" x14ac:dyDescent="0.25">
      <c r="D10755" s="16"/>
      <c r="Q10755" s="16"/>
    </row>
    <row r="10758" spans="4:17" x14ac:dyDescent="0.25">
      <c r="D10758" s="16"/>
      <c r="Q10758" s="16"/>
    </row>
    <row r="10761" spans="4:17" x14ac:dyDescent="0.25">
      <c r="D10761" s="16"/>
      <c r="Q10761" s="16"/>
    </row>
    <row r="10762" spans="4:17" x14ac:dyDescent="0.25">
      <c r="Q10762" s="16"/>
    </row>
    <row r="10765" spans="4:17" x14ac:dyDescent="0.25">
      <c r="D10765" s="16"/>
      <c r="Q10765" s="16"/>
    </row>
    <row r="10768" spans="4:17" x14ac:dyDescent="0.25">
      <c r="D10768" s="16"/>
      <c r="Q10768" s="16"/>
    </row>
    <row r="10771" spans="4:17" x14ac:dyDescent="0.25">
      <c r="D10771" s="16"/>
      <c r="Q10771" s="16"/>
    </row>
    <row r="10772" spans="4:17" x14ac:dyDescent="0.25">
      <c r="Q10772" s="16"/>
    </row>
    <row r="10775" spans="4:17" x14ac:dyDescent="0.25">
      <c r="D10775" s="16"/>
      <c r="Q10775" s="16"/>
    </row>
    <row r="10778" spans="4:17" x14ac:dyDescent="0.25">
      <c r="D10778" s="16"/>
      <c r="Q10778" s="16"/>
    </row>
    <row r="10779" spans="4:17" x14ac:dyDescent="0.25">
      <c r="Q10779" s="16"/>
    </row>
    <row r="10782" spans="4:17" x14ac:dyDescent="0.25">
      <c r="D10782" s="16"/>
      <c r="Q10782" s="16"/>
    </row>
    <row r="10785" spans="4:17" x14ac:dyDescent="0.25">
      <c r="D10785" s="16"/>
      <c r="Q10785" s="16"/>
    </row>
    <row r="10786" spans="4:17" x14ac:dyDescent="0.25">
      <c r="Q10786" s="16"/>
    </row>
    <row r="10789" spans="4:17" x14ac:dyDescent="0.25">
      <c r="D10789" s="16"/>
      <c r="Q10789" s="16"/>
    </row>
    <row r="10790" spans="4:17" x14ac:dyDescent="0.25">
      <c r="Q10790" s="16"/>
    </row>
    <row r="10793" spans="4:17" x14ac:dyDescent="0.25">
      <c r="D10793" s="16"/>
      <c r="Q10793" s="16"/>
    </row>
    <row r="10796" spans="4:17" x14ac:dyDescent="0.25">
      <c r="D10796" s="16"/>
      <c r="Q10796" s="16"/>
    </row>
    <row r="10799" spans="4:17" x14ac:dyDescent="0.25">
      <c r="D10799" s="16"/>
      <c r="Q10799" s="16"/>
    </row>
    <row r="10800" spans="4:17" x14ac:dyDescent="0.25">
      <c r="Q10800" s="16"/>
    </row>
    <row r="10803" spans="4:17" x14ac:dyDescent="0.25">
      <c r="D10803" s="16"/>
      <c r="Q10803" s="16"/>
    </row>
    <row r="10806" spans="4:17" x14ac:dyDescent="0.25">
      <c r="D10806" s="16"/>
      <c r="Q10806" s="16"/>
    </row>
    <row r="10809" spans="4:17" x14ac:dyDescent="0.25">
      <c r="D10809" s="16"/>
      <c r="Q10809" s="16"/>
    </row>
    <row r="10812" spans="4:17" x14ac:dyDescent="0.25">
      <c r="D10812" s="16"/>
      <c r="Q10812" s="16"/>
    </row>
    <row r="10813" spans="4:17" x14ac:dyDescent="0.25">
      <c r="Q10813" s="16"/>
    </row>
    <row r="10816" spans="4:17" x14ac:dyDescent="0.25">
      <c r="D10816" s="16"/>
      <c r="Q10816" s="16"/>
    </row>
    <row r="10819" spans="4:17" x14ac:dyDescent="0.25">
      <c r="D10819" s="16"/>
      <c r="Q10819" s="16"/>
    </row>
    <row r="10822" spans="4:17" x14ac:dyDescent="0.25">
      <c r="D10822" s="16"/>
      <c r="Q10822" s="16"/>
    </row>
    <row r="10823" spans="4:17" x14ac:dyDescent="0.25">
      <c r="Q10823" s="16"/>
    </row>
    <row r="10824" spans="4:17" x14ac:dyDescent="0.25">
      <c r="Q10824" s="16"/>
    </row>
    <row r="10825" spans="4:17" x14ac:dyDescent="0.25">
      <c r="Q10825" s="16"/>
    </row>
    <row r="10828" spans="4:17" x14ac:dyDescent="0.25">
      <c r="D10828" s="16"/>
      <c r="Q10828" s="16"/>
    </row>
    <row r="10831" spans="4:17" x14ac:dyDescent="0.25">
      <c r="D10831" s="16"/>
      <c r="Q10831" s="16"/>
    </row>
    <row r="10834" spans="4:17" x14ac:dyDescent="0.25">
      <c r="D10834" s="16"/>
      <c r="Q10834" s="16"/>
    </row>
    <row r="10837" spans="4:17" x14ac:dyDescent="0.25">
      <c r="D10837" s="16"/>
      <c r="Q10837" s="16"/>
    </row>
    <row r="10840" spans="4:17" x14ac:dyDescent="0.25">
      <c r="D10840" s="16"/>
      <c r="Q10840" s="16"/>
    </row>
    <row r="10843" spans="4:17" x14ac:dyDescent="0.25">
      <c r="D10843" s="16"/>
      <c r="Q10843" s="16"/>
    </row>
    <row r="10844" spans="4:17" x14ac:dyDescent="0.25">
      <c r="Q10844" s="16"/>
    </row>
    <row r="10845" spans="4:17" x14ac:dyDescent="0.25">
      <c r="Q10845" s="16"/>
    </row>
    <row r="10846" spans="4:17" x14ac:dyDescent="0.25">
      <c r="Q10846" s="16"/>
    </row>
    <row r="10849" spans="4:17" x14ac:dyDescent="0.25">
      <c r="D10849" s="16"/>
      <c r="Q10849" s="16"/>
    </row>
    <row r="10850" spans="4:17" x14ac:dyDescent="0.25">
      <c r="Q10850" s="16"/>
    </row>
    <row r="10851" spans="4:17" x14ac:dyDescent="0.25">
      <c r="Q10851" s="16"/>
    </row>
    <row r="10854" spans="4:17" x14ac:dyDescent="0.25">
      <c r="D10854" s="16"/>
      <c r="Q10854" s="16"/>
    </row>
    <row r="10857" spans="4:17" x14ac:dyDescent="0.25">
      <c r="D10857" s="16"/>
      <c r="Q10857" s="16"/>
    </row>
    <row r="10858" spans="4:17" x14ac:dyDescent="0.25">
      <c r="Q10858" s="16"/>
    </row>
    <row r="10859" spans="4:17" x14ac:dyDescent="0.25">
      <c r="Q10859" s="16"/>
    </row>
    <row r="10862" spans="4:17" x14ac:dyDescent="0.25">
      <c r="D10862" s="16"/>
      <c r="Q10862" s="16"/>
    </row>
    <row r="10865" spans="4:17" x14ac:dyDescent="0.25">
      <c r="D10865" s="16"/>
      <c r="Q10865" s="16"/>
    </row>
    <row r="10868" spans="4:17" x14ac:dyDescent="0.25">
      <c r="D10868" s="16"/>
      <c r="Q10868" s="16"/>
    </row>
    <row r="10871" spans="4:17" x14ac:dyDescent="0.25">
      <c r="D10871" s="16"/>
      <c r="Q10871" s="16"/>
    </row>
    <row r="10874" spans="4:17" x14ac:dyDescent="0.25">
      <c r="D10874" s="16"/>
      <c r="Q10874" s="16"/>
    </row>
    <row r="10877" spans="4:17" x14ac:dyDescent="0.25">
      <c r="D10877" s="16"/>
      <c r="Q10877" s="16"/>
    </row>
    <row r="10880" spans="4:17" x14ac:dyDescent="0.25">
      <c r="D10880" s="16"/>
      <c r="Q10880" s="16"/>
    </row>
    <row r="10883" spans="4:17" x14ac:dyDescent="0.25">
      <c r="D10883" s="16"/>
      <c r="Q10883" s="16"/>
    </row>
    <row r="10886" spans="4:17" x14ac:dyDescent="0.25">
      <c r="D10886" s="16"/>
      <c r="Q10886" s="16"/>
    </row>
    <row r="10889" spans="4:17" x14ac:dyDescent="0.25">
      <c r="D10889" s="16"/>
      <c r="Q10889" s="16"/>
    </row>
    <row r="10892" spans="4:17" x14ac:dyDescent="0.25">
      <c r="D10892" s="16"/>
      <c r="Q10892" s="16"/>
    </row>
    <row r="10893" spans="4:17" x14ac:dyDescent="0.25">
      <c r="Q10893" s="16"/>
    </row>
    <row r="10896" spans="4:17" x14ac:dyDescent="0.25">
      <c r="D10896" s="16"/>
      <c r="Q10896" s="16"/>
    </row>
    <row r="10899" spans="4:17" x14ac:dyDescent="0.25">
      <c r="D10899" s="16"/>
      <c r="Q10899" s="16"/>
    </row>
    <row r="10902" spans="4:17" x14ac:dyDescent="0.25">
      <c r="D10902" s="16"/>
      <c r="Q10902" s="16"/>
    </row>
    <row r="10905" spans="4:17" x14ac:dyDescent="0.25">
      <c r="D10905" s="16"/>
      <c r="Q10905" s="16"/>
    </row>
    <row r="10908" spans="4:17" x14ac:dyDescent="0.25">
      <c r="D10908" s="16"/>
      <c r="Q10908" s="16"/>
    </row>
    <row r="10911" spans="4:17" x14ac:dyDescent="0.25">
      <c r="D10911" s="16"/>
      <c r="Q10911" s="16"/>
    </row>
    <row r="10914" spans="4:17" x14ac:dyDescent="0.25">
      <c r="D10914" s="16"/>
      <c r="Q10914" s="16"/>
    </row>
    <row r="10915" spans="4:17" x14ac:dyDescent="0.25">
      <c r="Q10915" s="16"/>
    </row>
    <row r="10918" spans="4:17" x14ac:dyDescent="0.25">
      <c r="D10918" s="16"/>
      <c r="Q10918" s="16"/>
    </row>
    <row r="10921" spans="4:17" x14ac:dyDescent="0.25">
      <c r="D10921" s="16"/>
      <c r="Q10921" s="16"/>
    </row>
    <row r="10924" spans="4:17" x14ac:dyDescent="0.25">
      <c r="D10924" s="16"/>
      <c r="Q10924" s="16"/>
    </row>
    <row r="10927" spans="4:17" x14ac:dyDescent="0.25">
      <c r="D10927" s="16"/>
      <c r="Q10927" s="16"/>
    </row>
    <row r="10930" spans="4:17" x14ac:dyDescent="0.25">
      <c r="D10930" s="16"/>
      <c r="Q10930" s="16"/>
    </row>
    <row r="10931" spans="4:17" x14ac:dyDescent="0.25">
      <c r="Q10931" s="16"/>
    </row>
    <row r="10932" spans="4:17" x14ac:dyDescent="0.25">
      <c r="Q10932" s="16"/>
    </row>
    <row r="10933" spans="4:17" x14ac:dyDescent="0.25">
      <c r="Q10933" s="16"/>
    </row>
    <row r="10936" spans="4:17" x14ac:dyDescent="0.25">
      <c r="D10936" s="16"/>
      <c r="Q10936" s="16"/>
    </row>
    <row r="10939" spans="4:17" x14ac:dyDescent="0.25">
      <c r="D10939" s="16"/>
      <c r="Q10939" s="16"/>
    </row>
    <row r="10942" spans="4:17" x14ac:dyDescent="0.25">
      <c r="D10942" s="16"/>
      <c r="Q10942" s="16"/>
    </row>
    <row r="10943" spans="4:17" x14ac:dyDescent="0.25">
      <c r="Q10943" s="16"/>
    </row>
    <row r="10946" spans="4:17" x14ac:dyDescent="0.25">
      <c r="D10946" s="16"/>
      <c r="Q10946" s="16"/>
    </row>
    <row r="10949" spans="4:17" x14ac:dyDescent="0.25">
      <c r="D10949" s="16"/>
      <c r="Q10949" s="16"/>
    </row>
    <row r="10952" spans="4:17" x14ac:dyDescent="0.25">
      <c r="D10952" s="16"/>
      <c r="Q10952" s="16"/>
    </row>
    <row r="10955" spans="4:17" x14ac:dyDescent="0.25">
      <c r="D10955" s="16"/>
      <c r="Q10955" s="16"/>
    </row>
    <row r="10958" spans="4:17" x14ac:dyDescent="0.25">
      <c r="D10958" s="16"/>
      <c r="Q10958" s="16"/>
    </row>
    <row r="10961" spans="4:17" x14ac:dyDescent="0.25">
      <c r="D10961" s="16"/>
      <c r="Q10961" s="16"/>
    </row>
    <row r="10962" spans="4:17" x14ac:dyDescent="0.25">
      <c r="Q10962" s="16"/>
    </row>
    <row r="10965" spans="4:17" x14ac:dyDescent="0.25">
      <c r="D10965" s="16"/>
      <c r="Q10965" s="16"/>
    </row>
    <row r="10968" spans="4:17" x14ac:dyDescent="0.25">
      <c r="D10968" s="16"/>
      <c r="Q10968" s="16"/>
    </row>
    <row r="10971" spans="4:17" x14ac:dyDescent="0.25">
      <c r="D10971" s="16"/>
      <c r="Q10971" s="16"/>
    </row>
    <row r="10974" spans="4:17" x14ac:dyDescent="0.25">
      <c r="D10974" s="16"/>
      <c r="Q10974" s="16"/>
    </row>
    <row r="10977" spans="4:17" x14ac:dyDescent="0.25">
      <c r="D10977" s="16"/>
      <c r="Q10977" s="16"/>
    </row>
    <row r="10980" spans="4:17" x14ac:dyDescent="0.25">
      <c r="D10980" s="16"/>
      <c r="Q10980" s="16"/>
    </row>
    <row r="10983" spans="4:17" x14ac:dyDescent="0.25">
      <c r="D10983" s="16"/>
      <c r="Q10983" s="16"/>
    </row>
    <row r="10986" spans="4:17" x14ac:dyDescent="0.25">
      <c r="D10986" s="16"/>
      <c r="Q10986" s="1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AD6"/>
  <sheetViews>
    <sheetView workbookViewId="0">
      <selection activeCell="V4" sqref="V4"/>
    </sheetView>
  </sheetViews>
  <sheetFormatPr defaultRowHeight="15" x14ac:dyDescent="0.25"/>
  <sheetData>
    <row r="1" spans="3:30" x14ac:dyDescent="0.25">
      <c r="V1" s="1">
        <f>COUNTA(Y:Y)+2</f>
        <v>2</v>
      </c>
    </row>
    <row r="2" spans="3:30" x14ac:dyDescent="0.25">
      <c r="V2" s="1">
        <f>COUNTA(SPEC!A:A)+1</f>
        <v>1</v>
      </c>
    </row>
    <row r="3" spans="3:30" x14ac:dyDescent="0.25">
      <c r="C3" s="1"/>
      <c r="V3" s="1">
        <f>COUNTA(Final!O:O)</f>
        <v>1</v>
      </c>
      <c r="Y3" s="1"/>
      <c r="Z3" s="1"/>
      <c r="AC3" s="1"/>
    </row>
    <row r="4" spans="3:30" x14ac:dyDescent="0.25">
      <c r="C4" s="1"/>
      <c r="V4" s="1">
        <f>COUNTA('Incoming Material Report'!K:K)+4000</f>
        <v>4000</v>
      </c>
      <c r="Y4" s="1"/>
      <c r="Z4" s="1"/>
      <c r="AC4" s="1"/>
    </row>
    <row r="5" spans="3:30" x14ac:dyDescent="0.25">
      <c r="C5" s="1"/>
      <c r="D5" s="1"/>
      <c r="U5" s="1"/>
      <c r="V5" s="1">
        <f>COUNTA(Data!A:A)</f>
        <v>1</v>
      </c>
      <c r="Y5" s="1"/>
      <c r="Z5" s="1"/>
      <c r="AA5" s="1"/>
      <c r="AC5" s="1"/>
      <c r="AD5" s="1"/>
    </row>
    <row r="6" spans="3:30" x14ac:dyDescent="0.25">
      <c r="V6">
        <f>COUNTA(SPEC!Y:Y)+3</f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"/>
  <sheetViews>
    <sheetView workbookViewId="0">
      <selection activeCell="AC1" sqref="AC1:AD1048576"/>
    </sheetView>
  </sheetViews>
  <sheetFormatPr defaultRowHeight="15" x14ac:dyDescent="0.25"/>
  <cols>
    <col min="1" max="1" width="9.140625" style="1" customWidth="1"/>
    <col min="29" max="29" width="13.42578125" bestFit="1" customWidth="1"/>
  </cols>
  <sheetData>
    <row r="1" spans="2:10" x14ac:dyDescent="0.25">
      <c r="B1" s="1"/>
      <c r="C1" s="1"/>
      <c r="D1" s="1"/>
      <c r="E1" s="1"/>
      <c r="H1" s="1"/>
      <c r="I1" s="1"/>
      <c r="J1" s="1"/>
    </row>
    <row r="2" spans="2:10" x14ac:dyDescent="0.25">
      <c r="B2" s="1"/>
      <c r="C2" s="1"/>
      <c r="D2" s="1"/>
      <c r="E2" s="1"/>
      <c r="H2" s="1"/>
      <c r="I2" s="1"/>
      <c r="J2" s="1"/>
    </row>
    <row r="3" spans="2:10" x14ac:dyDescent="0.25">
      <c r="B3" s="1"/>
      <c r="C3" s="1"/>
      <c r="D3" s="1"/>
      <c r="E3" s="1"/>
      <c r="H3" s="1"/>
      <c r="I3" s="1"/>
      <c r="J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0"/>
  <sheetViews>
    <sheetView workbookViewId="0">
      <selection sqref="A1:XFD1048576"/>
    </sheetView>
  </sheetViews>
  <sheetFormatPr defaultRowHeight="15" x14ac:dyDescent="0.25"/>
  <cols>
    <col min="1" max="1" width="45.85546875" style="1" customWidth="1"/>
  </cols>
  <sheetData>
    <row r="1" spans="2:2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C2" s="1"/>
    </row>
    <row r="3" spans="2:24" x14ac:dyDescent="0.25">
      <c r="B3" s="1"/>
      <c r="C3" s="1"/>
    </row>
    <row r="4" spans="2:24" x14ac:dyDescent="0.25">
      <c r="B4" s="1"/>
      <c r="C4" s="1"/>
    </row>
    <row r="5" spans="2:24" x14ac:dyDescent="0.25">
      <c r="B5" s="1"/>
      <c r="C5" s="1"/>
    </row>
    <row r="6" spans="2:24" x14ac:dyDescent="0.25">
      <c r="B6" s="1"/>
      <c r="C6" s="1"/>
      <c r="D6" s="1"/>
      <c r="E6" s="1"/>
    </row>
    <row r="7" spans="2:24" x14ac:dyDescent="0.25">
      <c r="B7" s="1"/>
      <c r="C7" s="1"/>
      <c r="D7" s="1"/>
      <c r="E7" s="1"/>
      <c r="F7" s="1"/>
      <c r="G7" s="1"/>
      <c r="H7" s="1"/>
      <c r="I7" s="1"/>
      <c r="J7" s="1"/>
    </row>
    <row r="8" spans="2:24" x14ac:dyDescent="0.25">
      <c r="B8" s="1"/>
      <c r="C8" s="1"/>
      <c r="D8" s="1"/>
      <c r="E8" s="1"/>
      <c r="F8" s="1"/>
      <c r="G8" s="1"/>
      <c r="H8" s="1"/>
    </row>
    <row r="9" spans="2:24" x14ac:dyDescent="0.25">
      <c r="B9" s="1"/>
      <c r="C9" s="1"/>
      <c r="D9" s="1"/>
      <c r="E9" s="1"/>
      <c r="F9" s="1"/>
    </row>
    <row r="10" spans="2:24" x14ac:dyDescent="0.25">
      <c r="B10" s="1"/>
    </row>
    <row r="11" spans="2:24" x14ac:dyDescent="0.25">
      <c r="B11" s="1"/>
      <c r="C11" s="1"/>
    </row>
    <row r="12" spans="2:24" x14ac:dyDescent="0.25">
      <c r="B12" s="1"/>
      <c r="C12" s="1"/>
      <c r="D12" s="1"/>
      <c r="E12" s="1"/>
    </row>
    <row r="13" spans="2:24" x14ac:dyDescent="0.25">
      <c r="B13" s="1"/>
      <c r="C13" s="1"/>
      <c r="D13" s="1"/>
    </row>
    <row r="14" spans="2:24" x14ac:dyDescent="0.25">
      <c r="B14" s="1"/>
      <c r="C14" s="1"/>
      <c r="D14" s="1"/>
      <c r="E14" s="1"/>
      <c r="F14" s="1"/>
      <c r="G14" s="1"/>
      <c r="H14" s="1"/>
    </row>
    <row r="15" spans="2:2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2:14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2:14" x14ac:dyDescent="0.25">
      <c r="B18" s="1"/>
      <c r="C18" s="1"/>
    </row>
    <row r="19" spans="2:14" x14ac:dyDescent="0.25">
      <c r="B19" s="1"/>
      <c r="C19" s="1"/>
    </row>
    <row r="20" spans="2:14" x14ac:dyDescent="0.25">
      <c r="B20" s="1"/>
      <c r="C20" s="1"/>
      <c r="D20" s="1"/>
      <c r="E20" s="1"/>
      <c r="F20" s="1"/>
      <c r="G20" s="1"/>
    </row>
    <row r="21" spans="2:14" x14ac:dyDescent="0.25">
      <c r="B21" s="1"/>
      <c r="C21" s="1"/>
      <c r="D21" s="1"/>
      <c r="E21" s="1"/>
      <c r="F21" s="1"/>
    </row>
    <row r="22" spans="2:14" x14ac:dyDescent="0.25">
      <c r="B22" s="1"/>
      <c r="C22" s="1"/>
      <c r="D22" s="1"/>
    </row>
    <row r="24" spans="2:14" x14ac:dyDescent="0.25">
      <c r="B24" s="1"/>
      <c r="C24" s="1"/>
      <c r="D24" s="1"/>
    </row>
    <row r="25" spans="2:14" x14ac:dyDescent="0.25">
      <c r="B25" s="1"/>
      <c r="C25" s="1"/>
      <c r="D25" s="1"/>
      <c r="E25" s="1"/>
      <c r="F25" s="1"/>
      <c r="G25" s="1"/>
      <c r="H25" s="1"/>
    </row>
    <row r="26" spans="2:14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8" spans="2:14" x14ac:dyDescent="0.25">
      <c r="B28" s="1"/>
      <c r="C28" s="1"/>
      <c r="D28" s="1"/>
    </row>
    <row r="29" spans="2:14" x14ac:dyDescent="0.25">
      <c r="B29" s="1"/>
      <c r="C29" s="1"/>
      <c r="D29" s="1"/>
      <c r="E29" s="1"/>
      <c r="F29" s="1"/>
      <c r="G29" s="1"/>
      <c r="H29" s="1"/>
    </row>
    <row r="30" spans="2:14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4" x14ac:dyDescent="0.25">
      <c r="B31" s="1"/>
      <c r="C31" s="1"/>
    </row>
    <row r="32" spans="2:14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8" x14ac:dyDescent="0.25">
      <c r="B33" s="1"/>
      <c r="C33" s="1"/>
      <c r="D33" s="1"/>
      <c r="E33" s="1"/>
      <c r="F33" s="1"/>
      <c r="G33" s="1"/>
    </row>
    <row r="34" spans="2:8" x14ac:dyDescent="0.25">
      <c r="B34" s="1"/>
      <c r="C34" s="1"/>
    </row>
    <row r="35" spans="2:8" x14ac:dyDescent="0.25">
      <c r="B35" s="1"/>
      <c r="C35" s="1"/>
      <c r="D35" s="1"/>
      <c r="E35" s="1"/>
      <c r="F35" s="1"/>
    </row>
    <row r="36" spans="2:8" x14ac:dyDescent="0.25">
      <c r="B36" s="1"/>
      <c r="C36" s="1"/>
    </row>
    <row r="37" spans="2:8" x14ac:dyDescent="0.25">
      <c r="B37" s="1"/>
      <c r="C37" s="1"/>
      <c r="D37" s="1"/>
    </row>
    <row r="39" spans="2:8" x14ac:dyDescent="0.25">
      <c r="B39" s="1"/>
      <c r="C39" s="1"/>
    </row>
    <row r="40" spans="2:8" x14ac:dyDescent="0.25">
      <c r="B40" s="1"/>
      <c r="C40" s="1"/>
      <c r="D40" s="1"/>
      <c r="E40" s="1"/>
      <c r="F40" s="1"/>
      <c r="G40" s="1"/>
      <c r="H40" s="1"/>
    </row>
    <row r="41" spans="2:8" x14ac:dyDescent="0.25">
      <c r="B41" s="1"/>
      <c r="C41" s="1"/>
      <c r="D41" s="1"/>
      <c r="E41" s="1"/>
      <c r="F41" s="1"/>
      <c r="G41" s="1"/>
      <c r="H41" s="1"/>
    </row>
    <row r="42" spans="2:8" x14ac:dyDescent="0.25">
      <c r="B42" s="1"/>
      <c r="C42" s="1"/>
      <c r="D42" s="1"/>
      <c r="E42" s="1"/>
      <c r="F42" s="1"/>
      <c r="G42" s="1"/>
    </row>
    <row r="43" spans="2:8" x14ac:dyDescent="0.25">
      <c r="B43" s="1"/>
      <c r="C43" s="1"/>
      <c r="D43" s="1"/>
      <c r="E43" s="1"/>
      <c r="F43" s="1"/>
      <c r="G43" s="1"/>
    </row>
    <row r="44" spans="2:8" x14ac:dyDescent="0.25">
      <c r="B44" s="1"/>
      <c r="C44" s="1"/>
      <c r="D44" s="1"/>
      <c r="E44" s="1"/>
      <c r="F44" s="1"/>
    </row>
    <row r="46" spans="2:8" x14ac:dyDescent="0.25">
      <c r="B46" s="1"/>
      <c r="C46" s="1"/>
      <c r="D46" s="1"/>
      <c r="E46" s="1"/>
      <c r="F46" s="1"/>
      <c r="G46" s="1"/>
    </row>
    <row r="47" spans="2:8" x14ac:dyDescent="0.25">
      <c r="B47" s="1"/>
      <c r="C47" s="1"/>
      <c r="D47" s="1"/>
    </row>
    <row r="48" spans="2:8" x14ac:dyDescent="0.25">
      <c r="B48" s="1"/>
      <c r="C48" s="1"/>
      <c r="D48" s="1"/>
    </row>
    <row r="49" spans="2:24" x14ac:dyDescent="0.25">
      <c r="B49" s="1"/>
      <c r="C49" s="1"/>
      <c r="D49" s="1"/>
    </row>
    <row r="50" spans="2:24" x14ac:dyDescent="0.25">
      <c r="B50" s="1"/>
      <c r="C50" s="1"/>
    </row>
    <row r="51" spans="2:24" x14ac:dyDescent="0.25">
      <c r="B51" s="1"/>
      <c r="C51" s="1"/>
      <c r="D51" s="1"/>
      <c r="E51" s="1"/>
      <c r="F51" s="1"/>
      <c r="G51" s="1"/>
      <c r="H51" s="1"/>
    </row>
    <row r="52" spans="2:24" x14ac:dyDescent="0.25">
      <c r="B52" s="1"/>
    </row>
    <row r="53" spans="2:24" x14ac:dyDescent="0.25">
      <c r="B53" s="1"/>
    </row>
    <row r="56" spans="2:24" x14ac:dyDescent="0.25">
      <c r="B56" s="1"/>
      <c r="C56" s="1"/>
      <c r="D56" s="1"/>
    </row>
    <row r="57" spans="2:24" x14ac:dyDescent="0.25">
      <c r="B57" s="1"/>
    </row>
    <row r="58" spans="2:24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24" x14ac:dyDescent="0.25">
      <c r="B60" s="1"/>
      <c r="C60" s="1"/>
      <c r="D60" s="1"/>
      <c r="E60" s="1"/>
      <c r="F6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S2" sqref="S2:S184"/>
    </sheetView>
  </sheetViews>
  <sheetFormatPr defaultRowHeight="15" x14ac:dyDescent="0.25"/>
  <sheetData>
    <row r="1" spans="1:19" x14ac:dyDescent="0.25">
      <c r="N1" s="1">
        <f>COUNTA(A:A)+2</f>
        <v>2</v>
      </c>
    </row>
    <row r="2" spans="1:19" x14ac:dyDescent="0.25">
      <c r="A2" s="1"/>
      <c r="B2" s="1"/>
      <c r="C2" s="1"/>
      <c r="D2" s="1"/>
      <c r="E2" s="1"/>
      <c r="F2" s="1"/>
      <c r="O2" s="1" t="str">
        <f t="shared" ref="O2:O33" si="0">D2&amp;E2</f>
        <v/>
      </c>
      <c r="P2" s="1" t="str">
        <f t="shared" ref="P2:P33" si="1">IF(C2="","",C2)</f>
        <v/>
      </c>
      <c r="Q2" s="1" t="str">
        <f>IF(O2="","",IF(OR(ISNA(VLOOKUP(O2,Final!T:T,1,FALSE)),R2="Duplicate"),"NA",VLOOKUP(O2,Final!T:T,1,FALSE)))</f>
        <v/>
      </c>
      <c r="R2" t="str">
        <f>IF(AND(COUNTIF($S$2:$S2, $S2)&gt;1,S2&lt;&gt;""), "Duplicate", "")</f>
        <v/>
      </c>
      <c r="S2" t="str">
        <f>D2&amp;E2</f>
        <v/>
      </c>
    </row>
    <row r="3" spans="1:19" x14ac:dyDescent="0.25">
      <c r="A3" s="1"/>
      <c r="B3" s="1"/>
      <c r="C3" s="1"/>
      <c r="D3" s="1"/>
      <c r="E3" s="1"/>
      <c r="F3" s="1"/>
      <c r="O3" s="1" t="str">
        <f t="shared" si="0"/>
        <v/>
      </c>
      <c r="P3" s="1" t="str">
        <f t="shared" si="1"/>
        <v/>
      </c>
      <c r="Q3" s="1" t="str">
        <f>IF(O3="","",IF(OR(ISNA(VLOOKUP(O3,Final!T:T,1,FALSE)),R3="Duplicate"),"NA",VLOOKUP(O3,Final!T:T,1,FALSE)))</f>
        <v/>
      </c>
      <c r="R3" t="str">
        <f>IF(AND(COUNTIF($S$2:$S3, $S3)&gt;1,S3&lt;&gt;""), "Duplicate", "")</f>
        <v/>
      </c>
      <c r="S3" t="str">
        <f t="shared" ref="S3:S66" si="2">D3&amp;E3</f>
        <v/>
      </c>
    </row>
    <row r="4" spans="1:19" x14ac:dyDescent="0.25">
      <c r="A4" s="1"/>
      <c r="B4" s="1"/>
      <c r="C4" s="1"/>
      <c r="D4" s="1"/>
      <c r="E4" s="1"/>
      <c r="F4" s="1"/>
      <c r="O4" s="1" t="str">
        <f t="shared" si="0"/>
        <v/>
      </c>
      <c r="P4" s="1" t="str">
        <f t="shared" si="1"/>
        <v/>
      </c>
      <c r="Q4" s="1" t="str">
        <f>IF(O4="","",IF(OR(ISNA(VLOOKUP(O4,Final!T:T,1,FALSE)),R4="Duplicate"),"NA",VLOOKUP(O4,Final!T:T,1,FALSE)))</f>
        <v/>
      </c>
      <c r="R4" t="str">
        <f>IF(AND(COUNTIF($S$2:$S4, $S4)&gt;1,S4&lt;&gt;""), "Duplicate", "")</f>
        <v/>
      </c>
      <c r="S4" t="str">
        <f t="shared" si="2"/>
        <v/>
      </c>
    </row>
    <row r="5" spans="1:19" x14ac:dyDescent="0.25">
      <c r="O5" s="1" t="str">
        <f t="shared" si="0"/>
        <v/>
      </c>
      <c r="P5" s="1" t="str">
        <f t="shared" si="1"/>
        <v/>
      </c>
      <c r="Q5" s="1" t="str">
        <f>IF(O5="","",IF(OR(ISNA(VLOOKUP(O5,Final!T:T,1,FALSE)),R5="Duplicate"),"NA",VLOOKUP(O5,Final!T:T,1,FALSE)))</f>
        <v/>
      </c>
      <c r="R5" t="str">
        <f>IF(AND(COUNTIF($S$2:$S5, $S5)&gt;1,S5&lt;&gt;""), "Duplicate", "")</f>
        <v/>
      </c>
      <c r="S5" t="str">
        <f t="shared" si="2"/>
        <v/>
      </c>
    </row>
    <row r="6" spans="1:19" x14ac:dyDescent="0.25">
      <c r="O6" s="1" t="str">
        <f t="shared" si="0"/>
        <v/>
      </c>
      <c r="P6" s="1" t="str">
        <f t="shared" si="1"/>
        <v/>
      </c>
      <c r="Q6" s="1" t="str">
        <f>IF(O6="","",IF(OR(ISNA(VLOOKUP(O6,Final!T:T,1,FALSE)),R6="Duplicate"),"NA",VLOOKUP(O6,Final!T:T,1,FALSE)))</f>
        <v/>
      </c>
      <c r="R6" t="str">
        <f>IF(AND(COUNTIF($S$2:$S6, $S6)&gt;1,S6&lt;&gt;""), "Duplicate", "")</f>
        <v/>
      </c>
      <c r="S6" t="str">
        <f t="shared" si="2"/>
        <v/>
      </c>
    </row>
    <row r="7" spans="1:19" x14ac:dyDescent="0.25">
      <c r="O7" s="1" t="str">
        <f t="shared" si="0"/>
        <v/>
      </c>
      <c r="P7" s="1" t="str">
        <f t="shared" si="1"/>
        <v/>
      </c>
      <c r="Q7" s="1" t="str">
        <f>IF(O7="","",IF(OR(ISNA(VLOOKUP(O7,Final!T:T,1,FALSE)),R7="Duplicate"),"NA",VLOOKUP(O7,Final!T:T,1,FALSE)))</f>
        <v/>
      </c>
      <c r="R7" t="str">
        <f>IF(AND(COUNTIF($S$2:$S7, $S7)&gt;1,S7&lt;&gt;""), "Duplicate", "")</f>
        <v/>
      </c>
      <c r="S7" t="str">
        <f t="shared" si="2"/>
        <v/>
      </c>
    </row>
    <row r="8" spans="1:19" x14ac:dyDescent="0.25">
      <c r="O8" s="1" t="str">
        <f t="shared" si="0"/>
        <v/>
      </c>
      <c r="P8" s="1" t="str">
        <f t="shared" si="1"/>
        <v/>
      </c>
      <c r="Q8" s="1" t="str">
        <f>IF(O8="","",IF(OR(ISNA(VLOOKUP(O8,Final!T:T,1,FALSE)),R8="Duplicate"),"NA",VLOOKUP(O8,Final!T:T,1,FALSE)))</f>
        <v/>
      </c>
      <c r="R8" t="str">
        <f>IF(AND(COUNTIF($S$2:$S8, $S8)&gt;1,S8&lt;&gt;""), "Duplicate", "")</f>
        <v/>
      </c>
      <c r="S8" t="str">
        <f t="shared" si="2"/>
        <v/>
      </c>
    </row>
    <row r="9" spans="1:19" x14ac:dyDescent="0.25">
      <c r="O9" s="1" t="str">
        <f t="shared" si="0"/>
        <v/>
      </c>
      <c r="P9" s="1" t="str">
        <f t="shared" si="1"/>
        <v/>
      </c>
      <c r="Q9" s="1" t="str">
        <f>IF(O9="","",IF(OR(ISNA(VLOOKUP(O9,Final!T:T,1,FALSE)),R9="Duplicate"),"NA",VLOOKUP(O9,Final!T:T,1,FALSE)))</f>
        <v/>
      </c>
      <c r="R9" t="str">
        <f>IF(AND(COUNTIF($S$2:$S9, $S9)&gt;1,S9&lt;&gt;""), "Duplicate", "")</f>
        <v/>
      </c>
      <c r="S9" t="str">
        <f t="shared" si="2"/>
        <v/>
      </c>
    </row>
    <row r="10" spans="1:19" x14ac:dyDescent="0.25">
      <c r="O10" s="1" t="str">
        <f t="shared" si="0"/>
        <v/>
      </c>
      <c r="P10" s="1" t="str">
        <f t="shared" si="1"/>
        <v/>
      </c>
      <c r="Q10" s="1" t="str">
        <f>IF(O10="","",IF(OR(ISNA(VLOOKUP(O10,Final!T:T,1,FALSE)),R10="Duplicate"),"NA",VLOOKUP(O10,Final!T:T,1,FALSE)))</f>
        <v/>
      </c>
      <c r="R10" t="str">
        <f>IF(AND(COUNTIF($S$2:$S10, $S10)&gt;1,S10&lt;&gt;""), "Duplicate", "")</f>
        <v/>
      </c>
      <c r="S10" t="str">
        <f t="shared" si="2"/>
        <v/>
      </c>
    </row>
    <row r="11" spans="1:19" x14ac:dyDescent="0.25">
      <c r="O11" s="1" t="str">
        <f t="shared" si="0"/>
        <v/>
      </c>
      <c r="P11" s="1" t="str">
        <f t="shared" si="1"/>
        <v/>
      </c>
      <c r="Q11" s="1" t="str">
        <f>IF(O11="","",IF(OR(ISNA(VLOOKUP(O11,Final!T:T,1,FALSE)),R11="Duplicate"),"NA",VLOOKUP(O11,Final!T:T,1,FALSE)))</f>
        <v/>
      </c>
      <c r="R11" t="str">
        <f>IF(AND(COUNTIF($S$2:$S11, $S11)&gt;1,S11&lt;&gt;""), "Duplicate", "")</f>
        <v/>
      </c>
      <c r="S11" t="str">
        <f t="shared" si="2"/>
        <v/>
      </c>
    </row>
    <row r="12" spans="1:19" x14ac:dyDescent="0.25">
      <c r="O12" s="1" t="str">
        <f t="shared" si="0"/>
        <v/>
      </c>
      <c r="P12" s="1" t="str">
        <f t="shared" si="1"/>
        <v/>
      </c>
      <c r="Q12" s="1" t="str">
        <f>IF(O12="","",IF(OR(ISNA(VLOOKUP(O12,Final!T:T,1,FALSE)),R12="Duplicate"),"NA",VLOOKUP(O12,Final!T:T,1,FALSE)))</f>
        <v/>
      </c>
      <c r="R12" t="str">
        <f>IF(AND(COUNTIF($S$2:$S12, $S12)&gt;1,S12&lt;&gt;""), "Duplicate", "")</f>
        <v/>
      </c>
      <c r="S12" t="str">
        <f t="shared" si="2"/>
        <v/>
      </c>
    </row>
    <row r="13" spans="1:19" x14ac:dyDescent="0.25">
      <c r="O13" s="1" t="str">
        <f t="shared" si="0"/>
        <v/>
      </c>
      <c r="P13" s="1" t="str">
        <f t="shared" si="1"/>
        <v/>
      </c>
      <c r="Q13" s="1" t="str">
        <f>IF(O13="","",IF(OR(ISNA(VLOOKUP(O13,Final!T:T,1,FALSE)),R13="Duplicate"),"NA",VLOOKUP(O13,Final!T:T,1,FALSE)))</f>
        <v/>
      </c>
      <c r="R13" t="str">
        <f>IF(AND(COUNTIF($S$2:$S13, $S13)&gt;1,S13&lt;&gt;""), "Duplicate", "")</f>
        <v/>
      </c>
      <c r="S13" t="str">
        <f t="shared" si="2"/>
        <v/>
      </c>
    </row>
    <row r="14" spans="1:19" x14ac:dyDescent="0.25">
      <c r="O14" s="1" t="str">
        <f t="shared" si="0"/>
        <v/>
      </c>
      <c r="P14" s="1" t="str">
        <f t="shared" si="1"/>
        <v/>
      </c>
      <c r="Q14" s="1" t="str">
        <f>IF(O14="","",IF(OR(ISNA(VLOOKUP(O14,Final!T:T,1,FALSE)),R14="Duplicate"),"NA",VLOOKUP(O14,Final!T:T,1,FALSE)))</f>
        <v/>
      </c>
      <c r="R14" t="str">
        <f>IF(AND(COUNTIF($S$2:$S14, $S14)&gt;1,S14&lt;&gt;""), "Duplicate", "")</f>
        <v/>
      </c>
      <c r="S14" t="str">
        <f t="shared" si="2"/>
        <v/>
      </c>
    </row>
    <row r="15" spans="1:19" x14ac:dyDescent="0.25">
      <c r="O15" s="1" t="str">
        <f t="shared" si="0"/>
        <v/>
      </c>
      <c r="P15" s="1" t="str">
        <f t="shared" si="1"/>
        <v/>
      </c>
      <c r="Q15" s="1" t="str">
        <f>IF(O15="","",IF(OR(ISNA(VLOOKUP(O15,Final!T:T,1,FALSE)),R15="Duplicate"),"NA",VLOOKUP(O15,Final!T:T,1,FALSE)))</f>
        <v/>
      </c>
      <c r="R15" t="str">
        <f>IF(AND(COUNTIF($S$2:$S15, $S15)&gt;1,S15&lt;&gt;""), "Duplicate", "")</f>
        <v/>
      </c>
      <c r="S15" t="str">
        <f t="shared" si="2"/>
        <v/>
      </c>
    </row>
    <row r="16" spans="1:19" x14ac:dyDescent="0.25">
      <c r="O16" s="1" t="str">
        <f t="shared" si="0"/>
        <v/>
      </c>
      <c r="P16" s="1" t="str">
        <f t="shared" si="1"/>
        <v/>
      </c>
      <c r="Q16" s="1" t="str">
        <f>IF(O16="","",IF(OR(ISNA(VLOOKUP(O16,Final!T:T,1,FALSE)),R16="Duplicate"),"NA",VLOOKUP(O16,Final!T:T,1,FALSE)))</f>
        <v/>
      </c>
      <c r="R16" t="str">
        <f>IF(AND(COUNTIF($S$2:$S16, $S16)&gt;1,S16&lt;&gt;""), "Duplicate", "")</f>
        <v/>
      </c>
      <c r="S16" t="str">
        <f t="shared" si="2"/>
        <v/>
      </c>
    </row>
    <row r="17" spans="15:19" x14ac:dyDescent="0.25">
      <c r="O17" s="1" t="str">
        <f t="shared" si="0"/>
        <v/>
      </c>
      <c r="P17" s="1" t="str">
        <f t="shared" si="1"/>
        <v/>
      </c>
      <c r="Q17" s="1" t="str">
        <f>IF(O17="","",IF(OR(ISNA(VLOOKUP(O17,Final!T:T,1,FALSE)),R17="Duplicate"),"NA",VLOOKUP(O17,Final!T:T,1,FALSE)))</f>
        <v/>
      </c>
      <c r="R17" t="str">
        <f>IF(AND(COUNTIF($S$2:$S17, $S17)&gt;1,S17&lt;&gt;""), "Duplicate", "")</f>
        <v/>
      </c>
      <c r="S17" t="str">
        <f t="shared" si="2"/>
        <v/>
      </c>
    </row>
    <row r="18" spans="15:19" x14ac:dyDescent="0.25">
      <c r="O18" s="1" t="str">
        <f t="shared" si="0"/>
        <v/>
      </c>
      <c r="P18" s="1" t="str">
        <f t="shared" si="1"/>
        <v/>
      </c>
      <c r="Q18" s="1" t="str">
        <f>IF(O18="","",IF(OR(ISNA(VLOOKUP(O18,Final!T:T,1,FALSE)),R18="Duplicate"),"NA",VLOOKUP(O18,Final!T:T,1,FALSE)))</f>
        <v/>
      </c>
      <c r="R18" t="str">
        <f>IF(AND(COUNTIF($S$2:$S18, $S18)&gt;1,S18&lt;&gt;""), "Duplicate", "")</f>
        <v/>
      </c>
      <c r="S18" t="str">
        <f t="shared" si="2"/>
        <v/>
      </c>
    </row>
    <row r="19" spans="15:19" x14ac:dyDescent="0.25">
      <c r="O19" s="1" t="str">
        <f t="shared" si="0"/>
        <v/>
      </c>
      <c r="P19" s="1" t="str">
        <f t="shared" si="1"/>
        <v/>
      </c>
      <c r="Q19" s="1" t="str">
        <f>IF(O19="","",IF(OR(ISNA(VLOOKUP(O19,Final!T:T,1,FALSE)),R19="Duplicate"),"NA",VLOOKUP(O19,Final!T:T,1,FALSE)))</f>
        <v/>
      </c>
      <c r="R19" t="str">
        <f>IF(AND(COUNTIF($S$2:$S19, $S19)&gt;1,S19&lt;&gt;""), "Duplicate", "")</f>
        <v/>
      </c>
      <c r="S19" t="str">
        <f t="shared" si="2"/>
        <v/>
      </c>
    </row>
    <row r="20" spans="15:19" x14ac:dyDescent="0.25">
      <c r="O20" s="1" t="str">
        <f t="shared" si="0"/>
        <v/>
      </c>
      <c r="P20" s="1" t="str">
        <f t="shared" si="1"/>
        <v/>
      </c>
      <c r="Q20" s="1" t="str">
        <f>IF(O20="","",IF(OR(ISNA(VLOOKUP(O20,Final!T:T,1,FALSE)),R20="Duplicate"),"NA",VLOOKUP(O20,Final!T:T,1,FALSE)))</f>
        <v/>
      </c>
      <c r="R20" t="str">
        <f>IF(AND(COUNTIF($S$2:$S20, $S20)&gt;1,S20&lt;&gt;""), "Duplicate", "")</f>
        <v/>
      </c>
      <c r="S20" t="str">
        <f t="shared" si="2"/>
        <v/>
      </c>
    </row>
    <row r="21" spans="15:19" x14ac:dyDescent="0.25">
      <c r="O21" s="1" t="str">
        <f t="shared" si="0"/>
        <v/>
      </c>
      <c r="P21" s="1" t="str">
        <f t="shared" si="1"/>
        <v/>
      </c>
      <c r="Q21" s="1" t="str">
        <f>IF(O21="","",IF(OR(ISNA(VLOOKUP(O21,Final!T:T,1,FALSE)),R21="Duplicate"),"NA",VLOOKUP(O21,Final!T:T,1,FALSE)))</f>
        <v/>
      </c>
      <c r="R21" t="str">
        <f>IF(AND(COUNTIF($S$2:$S21, $S21)&gt;1,S21&lt;&gt;""), "Duplicate", "")</f>
        <v/>
      </c>
      <c r="S21" t="str">
        <f t="shared" si="2"/>
        <v/>
      </c>
    </row>
    <row r="22" spans="15:19" x14ac:dyDescent="0.25">
      <c r="O22" s="1" t="str">
        <f t="shared" si="0"/>
        <v/>
      </c>
      <c r="P22" s="1" t="str">
        <f t="shared" si="1"/>
        <v/>
      </c>
      <c r="Q22" s="1" t="str">
        <f>IF(O22="","",IF(OR(ISNA(VLOOKUP(O22,Final!T:T,1,FALSE)),R22="Duplicate"),"NA",VLOOKUP(O22,Final!T:T,1,FALSE)))</f>
        <v/>
      </c>
      <c r="R22" t="str">
        <f>IF(AND(COUNTIF($S$2:$S22, $S22)&gt;1,S22&lt;&gt;""), "Duplicate", "")</f>
        <v/>
      </c>
      <c r="S22" t="str">
        <f t="shared" si="2"/>
        <v/>
      </c>
    </row>
    <row r="23" spans="15:19" x14ac:dyDescent="0.25">
      <c r="O23" s="1" t="str">
        <f t="shared" si="0"/>
        <v/>
      </c>
      <c r="P23" s="1" t="str">
        <f t="shared" si="1"/>
        <v/>
      </c>
      <c r="Q23" s="1" t="str">
        <f>IF(O23="","",IF(OR(ISNA(VLOOKUP(O23,Final!T:T,1,FALSE)),R23="Duplicate"),"NA",VLOOKUP(O23,Final!T:T,1,FALSE)))</f>
        <v/>
      </c>
      <c r="R23" t="str">
        <f>IF(AND(COUNTIF($S$2:$S23, $S23)&gt;1,S23&lt;&gt;""), "Duplicate", "")</f>
        <v/>
      </c>
      <c r="S23" t="str">
        <f t="shared" si="2"/>
        <v/>
      </c>
    </row>
    <row r="24" spans="15:19" x14ac:dyDescent="0.25">
      <c r="O24" s="1" t="str">
        <f t="shared" si="0"/>
        <v/>
      </c>
      <c r="P24" s="1" t="str">
        <f t="shared" si="1"/>
        <v/>
      </c>
      <c r="Q24" s="1" t="str">
        <f>IF(O24="","",IF(OR(ISNA(VLOOKUP(O24,Final!T:T,1,FALSE)),R24="Duplicate"),"NA",VLOOKUP(O24,Final!T:T,1,FALSE)))</f>
        <v/>
      </c>
      <c r="R24" t="str">
        <f>IF(AND(COUNTIF($S$2:$S24, $S24)&gt;1,S24&lt;&gt;""), "Duplicate", "")</f>
        <v/>
      </c>
      <c r="S24" t="str">
        <f t="shared" si="2"/>
        <v/>
      </c>
    </row>
    <row r="25" spans="15:19" x14ac:dyDescent="0.25">
      <c r="O25" s="1" t="str">
        <f t="shared" si="0"/>
        <v/>
      </c>
      <c r="P25" s="1" t="str">
        <f t="shared" si="1"/>
        <v/>
      </c>
      <c r="Q25" s="1" t="str">
        <f>IF(O25="","",IF(OR(ISNA(VLOOKUP(O25,Final!T:T,1,FALSE)),R25="Duplicate"),"NA",VLOOKUP(O25,Final!T:T,1,FALSE)))</f>
        <v/>
      </c>
      <c r="R25" t="str">
        <f>IF(AND(COUNTIF($S$2:$S25, $S25)&gt;1,S25&lt;&gt;""), "Duplicate", "")</f>
        <v/>
      </c>
      <c r="S25" t="str">
        <f t="shared" si="2"/>
        <v/>
      </c>
    </row>
    <row r="26" spans="15:19" x14ac:dyDescent="0.25">
      <c r="O26" s="1" t="str">
        <f t="shared" si="0"/>
        <v/>
      </c>
      <c r="P26" s="1" t="str">
        <f t="shared" si="1"/>
        <v/>
      </c>
      <c r="Q26" s="1" t="str">
        <f>IF(O26="","",IF(OR(ISNA(VLOOKUP(O26,Final!T:T,1,FALSE)),R26="Duplicate"),"NA",VLOOKUP(O26,Final!T:T,1,FALSE)))</f>
        <v/>
      </c>
      <c r="R26" t="str">
        <f>IF(AND(COUNTIF($S$2:$S26, $S26)&gt;1,S26&lt;&gt;""), "Duplicate", "")</f>
        <v/>
      </c>
      <c r="S26" t="str">
        <f t="shared" si="2"/>
        <v/>
      </c>
    </row>
    <row r="27" spans="15:19" x14ac:dyDescent="0.25">
      <c r="O27" s="1" t="str">
        <f t="shared" si="0"/>
        <v/>
      </c>
      <c r="P27" s="1" t="str">
        <f t="shared" si="1"/>
        <v/>
      </c>
      <c r="Q27" s="1" t="str">
        <f>IF(O27="","",IF(OR(ISNA(VLOOKUP(O27,Final!T:T,1,FALSE)),R27="Duplicate"),"NA",VLOOKUP(O27,Final!T:T,1,FALSE)))</f>
        <v/>
      </c>
      <c r="R27" t="str">
        <f>IF(AND(COUNTIF($S$2:$S27, $S27)&gt;1,S27&lt;&gt;""), "Duplicate", "")</f>
        <v/>
      </c>
      <c r="S27" t="str">
        <f t="shared" si="2"/>
        <v/>
      </c>
    </row>
    <row r="28" spans="15:19" x14ac:dyDescent="0.25">
      <c r="O28" s="1" t="str">
        <f t="shared" si="0"/>
        <v/>
      </c>
      <c r="P28" s="1" t="str">
        <f t="shared" si="1"/>
        <v/>
      </c>
      <c r="Q28" s="1" t="str">
        <f>IF(O28="","",IF(OR(ISNA(VLOOKUP(O28,Final!T:T,1,FALSE)),R28="Duplicate"),"NA",VLOOKUP(O28,Final!T:T,1,FALSE)))</f>
        <v/>
      </c>
      <c r="R28" t="str">
        <f>IF(AND(COUNTIF($S$2:$S28, $S28)&gt;1,S28&lt;&gt;""), "Duplicate", "")</f>
        <v/>
      </c>
      <c r="S28" t="str">
        <f t="shared" si="2"/>
        <v/>
      </c>
    </row>
    <row r="29" spans="15:19" x14ac:dyDescent="0.25">
      <c r="O29" s="1" t="str">
        <f t="shared" si="0"/>
        <v/>
      </c>
      <c r="P29" s="1" t="str">
        <f t="shared" si="1"/>
        <v/>
      </c>
      <c r="Q29" s="1" t="str">
        <f>IF(O29="","",IF(OR(ISNA(VLOOKUP(O29,Final!T:T,1,FALSE)),R29="Duplicate"),"NA",VLOOKUP(O29,Final!T:T,1,FALSE)))</f>
        <v/>
      </c>
      <c r="R29" t="str">
        <f>IF(AND(COUNTIF($S$2:$S29, $S29)&gt;1,S29&lt;&gt;""), "Duplicate", "")</f>
        <v/>
      </c>
      <c r="S29" t="str">
        <f t="shared" si="2"/>
        <v/>
      </c>
    </row>
    <row r="30" spans="15:19" x14ac:dyDescent="0.25">
      <c r="O30" s="1" t="str">
        <f t="shared" si="0"/>
        <v/>
      </c>
      <c r="P30" s="1" t="str">
        <f t="shared" si="1"/>
        <v/>
      </c>
      <c r="Q30" s="1" t="str">
        <f>IF(O30="","",IF(OR(ISNA(VLOOKUP(O30,Final!T:T,1,FALSE)),R30="Duplicate"),"NA",VLOOKUP(O30,Final!T:T,1,FALSE)))</f>
        <v/>
      </c>
      <c r="R30" t="str">
        <f>IF(AND(COUNTIF($S$2:$S30, $S30)&gt;1,S30&lt;&gt;""), "Duplicate", "")</f>
        <v/>
      </c>
      <c r="S30" t="str">
        <f t="shared" si="2"/>
        <v/>
      </c>
    </row>
    <row r="31" spans="15:19" x14ac:dyDescent="0.25">
      <c r="O31" s="1" t="str">
        <f t="shared" si="0"/>
        <v/>
      </c>
      <c r="P31" s="1" t="str">
        <f t="shared" si="1"/>
        <v/>
      </c>
      <c r="Q31" s="1" t="str">
        <f>IF(O31="","",IF(OR(ISNA(VLOOKUP(O31,Final!T:T,1,FALSE)),R31="Duplicate"),"NA",VLOOKUP(O31,Final!T:T,1,FALSE)))</f>
        <v/>
      </c>
      <c r="R31" t="str">
        <f>IF(AND(COUNTIF($S$2:$S31, $S31)&gt;1,S31&lt;&gt;""), "Duplicate", "")</f>
        <v/>
      </c>
      <c r="S31" t="str">
        <f t="shared" si="2"/>
        <v/>
      </c>
    </row>
    <row r="32" spans="15:19" x14ac:dyDescent="0.25">
      <c r="O32" s="1" t="str">
        <f t="shared" si="0"/>
        <v/>
      </c>
      <c r="P32" s="1" t="str">
        <f t="shared" si="1"/>
        <v/>
      </c>
      <c r="Q32" s="1" t="str">
        <f>IF(O32="","",IF(OR(ISNA(VLOOKUP(O32,Final!T:T,1,FALSE)),R32="Duplicate"),"NA",VLOOKUP(O32,Final!T:T,1,FALSE)))</f>
        <v/>
      </c>
      <c r="R32" t="str">
        <f>IF(AND(COUNTIF($S$2:$S32, $S32)&gt;1,S32&lt;&gt;""), "Duplicate", "")</f>
        <v/>
      </c>
      <c r="S32" t="str">
        <f t="shared" si="2"/>
        <v/>
      </c>
    </row>
    <row r="33" spans="15:19" x14ac:dyDescent="0.25">
      <c r="O33" s="1" t="str">
        <f t="shared" si="0"/>
        <v/>
      </c>
      <c r="P33" s="1" t="str">
        <f t="shared" si="1"/>
        <v/>
      </c>
      <c r="Q33" s="1" t="str">
        <f>IF(O33="","",IF(OR(ISNA(VLOOKUP(O33,Final!T:T,1,FALSE)),R33="Duplicate"),"NA",VLOOKUP(O33,Final!T:T,1,FALSE)))</f>
        <v/>
      </c>
      <c r="R33" t="str">
        <f>IF(AND(COUNTIF($S$2:$S33, $S33)&gt;1,S33&lt;&gt;""), "Duplicate", "")</f>
        <v/>
      </c>
      <c r="S33" t="str">
        <f t="shared" si="2"/>
        <v/>
      </c>
    </row>
    <row r="34" spans="15:19" x14ac:dyDescent="0.25">
      <c r="O34" s="1" t="str">
        <f t="shared" ref="O34:O65" si="3">D34&amp;E34</f>
        <v/>
      </c>
      <c r="P34" s="1" t="str">
        <f t="shared" ref="P34:P65" si="4">IF(C34="","",C34)</f>
        <v/>
      </c>
      <c r="Q34" s="1" t="str">
        <f>IF(O34="","",IF(OR(ISNA(VLOOKUP(O34,Final!T:T,1,FALSE)),R34="Duplicate"),"NA",VLOOKUP(O34,Final!T:T,1,FALSE)))</f>
        <v/>
      </c>
      <c r="R34" t="str">
        <f>IF(AND(COUNTIF($S$2:$S34, $S34)&gt;1,S34&lt;&gt;""), "Duplicate", "")</f>
        <v/>
      </c>
      <c r="S34" t="str">
        <f t="shared" si="2"/>
        <v/>
      </c>
    </row>
    <row r="35" spans="15:19" x14ac:dyDescent="0.25">
      <c r="O35" s="1" t="str">
        <f t="shared" si="3"/>
        <v/>
      </c>
      <c r="P35" s="1" t="str">
        <f t="shared" si="4"/>
        <v/>
      </c>
      <c r="Q35" s="1" t="str">
        <f>IF(O35="","",IF(OR(ISNA(VLOOKUP(O35,Final!T:T,1,FALSE)),R35="Duplicate"),"NA",VLOOKUP(O35,Final!T:T,1,FALSE)))</f>
        <v/>
      </c>
      <c r="R35" t="str">
        <f>IF(AND(COUNTIF($S$2:$S35, $S35)&gt;1,S35&lt;&gt;""), "Duplicate", "")</f>
        <v/>
      </c>
      <c r="S35" t="str">
        <f t="shared" si="2"/>
        <v/>
      </c>
    </row>
    <row r="36" spans="15:19" x14ac:dyDescent="0.25">
      <c r="O36" s="1" t="str">
        <f t="shared" si="3"/>
        <v/>
      </c>
      <c r="P36" s="1" t="str">
        <f t="shared" si="4"/>
        <v/>
      </c>
      <c r="Q36" s="1" t="str">
        <f>IF(O36="","",IF(OR(ISNA(VLOOKUP(O36,Final!T:T,1,FALSE)),R36="Duplicate"),"NA",VLOOKUP(O36,Final!T:T,1,FALSE)))</f>
        <v/>
      </c>
      <c r="R36" t="str">
        <f>IF(AND(COUNTIF($S$2:$S36, $S36)&gt;1,S36&lt;&gt;""), "Duplicate", "")</f>
        <v/>
      </c>
      <c r="S36" t="str">
        <f t="shared" si="2"/>
        <v/>
      </c>
    </row>
    <row r="37" spans="15:19" x14ac:dyDescent="0.25">
      <c r="O37" s="1" t="str">
        <f t="shared" si="3"/>
        <v/>
      </c>
      <c r="P37" s="1" t="str">
        <f t="shared" si="4"/>
        <v/>
      </c>
      <c r="Q37" s="1" t="str">
        <f>IF(O37="","",IF(OR(ISNA(VLOOKUP(O37,Final!T:T,1,FALSE)),R37="Duplicate"),"NA",VLOOKUP(O37,Final!T:T,1,FALSE)))</f>
        <v/>
      </c>
      <c r="R37" t="str">
        <f>IF(AND(COUNTIF($S$2:$S37, $S37)&gt;1,S37&lt;&gt;""), "Duplicate", "")</f>
        <v/>
      </c>
      <c r="S37" t="str">
        <f t="shared" si="2"/>
        <v/>
      </c>
    </row>
    <row r="38" spans="15:19" x14ac:dyDescent="0.25">
      <c r="O38" s="1" t="str">
        <f t="shared" si="3"/>
        <v/>
      </c>
      <c r="P38" s="1" t="str">
        <f t="shared" si="4"/>
        <v/>
      </c>
      <c r="Q38" s="1" t="str">
        <f>IF(O38="","",IF(OR(ISNA(VLOOKUP(O38,Final!T:T,1,FALSE)),R38="Duplicate"),"NA",VLOOKUP(O38,Final!T:T,1,FALSE)))</f>
        <v/>
      </c>
      <c r="R38" t="str">
        <f>IF(AND(COUNTIF($S$2:$S38, $S38)&gt;1,S38&lt;&gt;""), "Duplicate", "")</f>
        <v/>
      </c>
      <c r="S38" t="str">
        <f t="shared" si="2"/>
        <v/>
      </c>
    </row>
    <row r="39" spans="15:19" x14ac:dyDescent="0.25">
      <c r="O39" s="1" t="str">
        <f t="shared" si="3"/>
        <v/>
      </c>
      <c r="P39" s="1" t="str">
        <f t="shared" si="4"/>
        <v/>
      </c>
      <c r="Q39" s="1" t="str">
        <f>IF(O39="","",IF(OR(ISNA(VLOOKUP(O39,Final!T:T,1,FALSE)),R39="Duplicate"),"NA",VLOOKUP(O39,Final!T:T,1,FALSE)))</f>
        <v/>
      </c>
      <c r="R39" t="str">
        <f>IF(AND(COUNTIF($S$2:$S39, $S39)&gt;1,S39&lt;&gt;""), "Duplicate", "")</f>
        <v/>
      </c>
      <c r="S39" t="str">
        <f t="shared" si="2"/>
        <v/>
      </c>
    </row>
    <row r="40" spans="15:19" x14ac:dyDescent="0.25">
      <c r="O40" s="1" t="str">
        <f t="shared" si="3"/>
        <v/>
      </c>
      <c r="P40" s="1" t="str">
        <f t="shared" si="4"/>
        <v/>
      </c>
      <c r="Q40" s="1" t="str">
        <f>IF(O40="","",IF(OR(ISNA(VLOOKUP(O40,Final!T:T,1,FALSE)),R40="Duplicate"),"NA",VLOOKUP(O40,Final!T:T,1,FALSE)))</f>
        <v/>
      </c>
      <c r="R40" t="str">
        <f>IF(AND(COUNTIF($S$2:$S40, $S40)&gt;1,S40&lt;&gt;""), "Duplicate", "")</f>
        <v/>
      </c>
      <c r="S40" t="str">
        <f t="shared" si="2"/>
        <v/>
      </c>
    </row>
    <row r="41" spans="15:19" x14ac:dyDescent="0.25">
      <c r="O41" s="1" t="str">
        <f t="shared" si="3"/>
        <v/>
      </c>
      <c r="P41" s="1" t="str">
        <f t="shared" si="4"/>
        <v/>
      </c>
      <c r="Q41" s="1" t="str">
        <f>IF(O41="","",IF(OR(ISNA(VLOOKUP(O41,Final!T:T,1,FALSE)),R41="Duplicate"),"NA",VLOOKUP(O41,Final!T:T,1,FALSE)))</f>
        <v/>
      </c>
      <c r="R41" t="str">
        <f>IF(AND(COUNTIF($S$2:$S41, $S41)&gt;1,S41&lt;&gt;""), "Duplicate", "")</f>
        <v/>
      </c>
      <c r="S41" t="str">
        <f t="shared" si="2"/>
        <v/>
      </c>
    </row>
    <row r="42" spans="15:19" x14ac:dyDescent="0.25">
      <c r="O42" s="1" t="str">
        <f t="shared" si="3"/>
        <v/>
      </c>
      <c r="P42" s="1" t="str">
        <f t="shared" si="4"/>
        <v/>
      </c>
      <c r="Q42" s="1" t="str">
        <f>IF(O42="","",IF(OR(ISNA(VLOOKUP(O42,Final!T:T,1,FALSE)),R42="Duplicate"),"NA",VLOOKUP(O42,Final!T:T,1,FALSE)))</f>
        <v/>
      </c>
      <c r="R42" t="str">
        <f>IF(AND(COUNTIF($S$2:$S42, $S42)&gt;1,S42&lt;&gt;""), "Duplicate", "")</f>
        <v/>
      </c>
      <c r="S42" t="str">
        <f t="shared" si="2"/>
        <v/>
      </c>
    </row>
    <row r="43" spans="15:19" x14ac:dyDescent="0.25">
      <c r="O43" s="1" t="str">
        <f t="shared" si="3"/>
        <v/>
      </c>
      <c r="P43" s="1" t="str">
        <f t="shared" si="4"/>
        <v/>
      </c>
      <c r="Q43" s="1" t="str">
        <f>IF(O43="","",IF(OR(ISNA(VLOOKUP(O43,Final!T:T,1,FALSE)),R43="Duplicate"),"NA",VLOOKUP(O43,Final!T:T,1,FALSE)))</f>
        <v/>
      </c>
      <c r="R43" t="str">
        <f>IF(AND(COUNTIF($S$2:$S43, $S43)&gt;1,S43&lt;&gt;""), "Duplicate", "")</f>
        <v/>
      </c>
      <c r="S43" t="str">
        <f t="shared" si="2"/>
        <v/>
      </c>
    </row>
    <row r="44" spans="15:19" x14ac:dyDescent="0.25">
      <c r="O44" s="1" t="str">
        <f t="shared" si="3"/>
        <v/>
      </c>
      <c r="P44" s="1" t="str">
        <f t="shared" si="4"/>
        <v/>
      </c>
      <c r="Q44" s="1" t="str">
        <f>IF(O44="","",IF(OR(ISNA(VLOOKUP(O44,Final!T:T,1,FALSE)),R44="Duplicate"),"NA",VLOOKUP(O44,Final!T:T,1,FALSE)))</f>
        <v/>
      </c>
      <c r="R44" t="str">
        <f>IF(AND(COUNTIF($S$2:$S44, $S44)&gt;1,S44&lt;&gt;""), "Duplicate", "")</f>
        <v/>
      </c>
      <c r="S44" t="str">
        <f t="shared" si="2"/>
        <v/>
      </c>
    </row>
    <row r="45" spans="15:19" x14ac:dyDescent="0.25">
      <c r="O45" s="1" t="str">
        <f t="shared" si="3"/>
        <v/>
      </c>
      <c r="P45" s="1" t="str">
        <f t="shared" si="4"/>
        <v/>
      </c>
      <c r="Q45" s="1" t="str">
        <f>IF(O45="","",IF(OR(ISNA(VLOOKUP(O45,Final!T:T,1,FALSE)),R45="Duplicate"),"NA",VLOOKUP(O45,Final!T:T,1,FALSE)))</f>
        <v/>
      </c>
      <c r="R45" t="str">
        <f>IF(AND(COUNTIF($S$2:$S45, $S45)&gt;1,S45&lt;&gt;""), "Duplicate", "")</f>
        <v/>
      </c>
      <c r="S45" t="str">
        <f t="shared" si="2"/>
        <v/>
      </c>
    </row>
    <row r="46" spans="15:19" x14ac:dyDescent="0.25">
      <c r="O46" s="1" t="str">
        <f t="shared" si="3"/>
        <v/>
      </c>
      <c r="P46" s="1" t="str">
        <f t="shared" si="4"/>
        <v/>
      </c>
      <c r="Q46" s="1" t="str">
        <f>IF(O46="","",IF(OR(ISNA(VLOOKUP(O46,Final!T:T,1,FALSE)),R46="Duplicate"),"NA",VLOOKUP(O46,Final!T:T,1,FALSE)))</f>
        <v/>
      </c>
      <c r="R46" t="str">
        <f>IF(AND(COUNTIF($S$2:$S46, $S46)&gt;1,S46&lt;&gt;""), "Duplicate", "")</f>
        <v/>
      </c>
      <c r="S46" t="str">
        <f t="shared" si="2"/>
        <v/>
      </c>
    </row>
    <row r="47" spans="15:19" x14ac:dyDescent="0.25">
      <c r="O47" s="1" t="str">
        <f t="shared" si="3"/>
        <v/>
      </c>
      <c r="P47" s="1" t="str">
        <f t="shared" si="4"/>
        <v/>
      </c>
      <c r="Q47" s="1" t="str">
        <f>IF(O47="","",IF(OR(ISNA(VLOOKUP(O47,Final!T:T,1,FALSE)),R47="Duplicate"),"NA",VLOOKUP(O47,Final!T:T,1,FALSE)))</f>
        <v/>
      </c>
      <c r="R47" t="str">
        <f>IF(AND(COUNTIF($S$2:$S47, $S47)&gt;1,S47&lt;&gt;""), "Duplicate", "")</f>
        <v/>
      </c>
      <c r="S47" t="str">
        <f t="shared" si="2"/>
        <v/>
      </c>
    </row>
    <row r="48" spans="15:19" x14ac:dyDescent="0.25">
      <c r="O48" s="1" t="str">
        <f t="shared" si="3"/>
        <v/>
      </c>
      <c r="P48" s="1" t="str">
        <f t="shared" si="4"/>
        <v/>
      </c>
      <c r="Q48" s="1" t="str">
        <f>IF(O48="","",IF(OR(ISNA(VLOOKUP(O48,Final!T:T,1,FALSE)),R48="Duplicate"),"NA",VLOOKUP(O48,Final!T:T,1,FALSE)))</f>
        <v/>
      </c>
      <c r="R48" t="str">
        <f>IF(AND(COUNTIF($S$2:$S48, $S48)&gt;1,S48&lt;&gt;""), "Duplicate", "")</f>
        <v/>
      </c>
      <c r="S48" t="str">
        <f t="shared" si="2"/>
        <v/>
      </c>
    </row>
    <row r="49" spans="15:19" x14ac:dyDescent="0.25">
      <c r="O49" s="1" t="str">
        <f t="shared" si="3"/>
        <v/>
      </c>
      <c r="P49" s="1" t="str">
        <f t="shared" si="4"/>
        <v/>
      </c>
      <c r="Q49" s="1" t="str">
        <f>IF(O49="","",IF(OR(ISNA(VLOOKUP(O49,Final!T:T,1,FALSE)),R49="Duplicate"),"NA",VLOOKUP(O49,Final!T:T,1,FALSE)))</f>
        <v/>
      </c>
      <c r="R49" t="str">
        <f>IF(AND(COUNTIF($S$2:$S49, $S49)&gt;1,S49&lt;&gt;""), "Duplicate", "")</f>
        <v/>
      </c>
      <c r="S49" t="str">
        <f t="shared" si="2"/>
        <v/>
      </c>
    </row>
    <row r="50" spans="15:19" x14ac:dyDescent="0.25">
      <c r="O50" s="1" t="str">
        <f t="shared" si="3"/>
        <v/>
      </c>
      <c r="P50" s="1" t="str">
        <f t="shared" si="4"/>
        <v/>
      </c>
      <c r="Q50" s="1" t="str">
        <f>IF(O50="","",IF(OR(ISNA(VLOOKUP(O50,Final!T:T,1,FALSE)),R50="Duplicate"),"NA",VLOOKUP(O50,Final!T:T,1,FALSE)))</f>
        <v/>
      </c>
      <c r="R50" t="str">
        <f>IF(AND(COUNTIF($S$2:$S50, $S50)&gt;1,S50&lt;&gt;""), "Duplicate", "")</f>
        <v/>
      </c>
      <c r="S50" t="str">
        <f t="shared" si="2"/>
        <v/>
      </c>
    </row>
    <row r="51" spans="15:19" x14ac:dyDescent="0.25">
      <c r="O51" s="1" t="str">
        <f t="shared" si="3"/>
        <v/>
      </c>
      <c r="P51" s="1" t="str">
        <f t="shared" si="4"/>
        <v/>
      </c>
      <c r="Q51" s="1" t="str">
        <f>IF(O51="","",IF(OR(ISNA(VLOOKUP(O51,Final!T:T,1,FALSE)),R51="Duplicate"),"NA",VLOOKUP(O51,Final!T:T,1,FALSE)))</f>
        <v/>
      </c>
      <c r="R51" t="str">
        <f>IF(AND(COUNTIF($S$2:$S51, $S51)&gt;1,S51&lt;&gt;""), "Duplicate", "")</f>
        <v/>
      </c>
      <c r="S51" t="str">
        <f t="shared" si="2"/>
        <v/>
      </c>
    </row>
    <row r="52" spans="15:19" x14ac:dyDescent="0.25">
      <c r="O52" s="1" t="str">
        <f t="shared" si="3"/>
        <v/>
      </c>
      <c r="P52" s="1" t="str">
        <f t="shared" si="4"/>
        <v/>
      </c>
      <c r="Q52" s="1" t="str">
        <f>IF(O52="","",IF(OR(ISNA(VLOOKUP(O52,Final!T:T,1,FALSE)),R52="Duplicate"),"NA",VLOOKUP(O52,Final!T:T,1,FALSE)))</f>
        <v/>
      </c>
      <c r="R52" t="str">
        <f>IF(AND(COUNTIF($S$2:$S52, $S52)&gt;1,S52&lt;&gt;""), "Duplicate", "")</f>
        <v/>
      </c>
      <c r="S52" t="str">
        <f t="shared" si="2"/>
        <v/>
      </c>
    </row>
    <row r="53" spans="15:19" x14ac:dyDescent="0.25">
      <c r="O53" s="1" t="str">
        <f t="shared" si="3"/>
        <v/>
      </c>
      <c r="P53" s="1" t="str">
        <f t="shared" si="4"/>
        <v/>
      </c>
      <c r="Q53" s="1" t="str">
        <f>IF(O53="","",IF(OR(ISNA(VLOOKUP(O53,Final!T:T,1,FALSE)),R53="Duplicate"),"NA",VLOOKUP(O53,Final!T:T,1,FALSE)))</f>
        <v/>
      </c>
      <c r="R53" t="str">
        <f>IF(AND(COUNTIF($S$2:$S53, $S53)&gt;1,S53&lt;&gt;""), "Duplicate", "")</f>
        <v/>
      </c>
      <c r="S53" t="str">
        <f t="shared" si="2"/>
        <v/>
      </c>
    </row>
    <row r="54" spans="15:19" x14ac:dyDescent="0.25">
      <c r="O54" s="1" t="str">
        <f t="shared" si="3"/>
        <v/>
      </c>
      <c r="P54" s="1" t="str">
        <f t="shared" si="4"/>
        <v/>
      </c>
      <c r="Q54" s="1" t="str">
        <f>IF(O54="","",IF(OR(ISNA(VLOOKUP(O54,Final!T:T,1,FALSE)),R54="Duplicate"),"NA",VLOOKUP(O54,Final!T:T,1,FALSE)))</f>
        <v/>
      </c>
      <c r="R54" t="str">
        <f>IF(AND(COUNTIF($S$2:$S54, $S54)&gt;1,S54&lt;&gt;""), "Duplicate", "")</f>
        <v/>
      </c>
      <c r="S54" t="str">
        <f t="shared" si="2"/>
        <v/>
      </c>
    </row>
    <row r="55" spans="15:19" x14ac:dyDescent="0.25">
      <c r="O55" s="1" t="str">
        <f t="shared" si="3"/>
        <v/>
      </c>
      <c r="P55" s="1" t="str">
        <f t="shared" si="4"/>
        <v/>
      </c>
      <c r="Q55" s="1" t="str">
        <f>IF(O55="","",IF(OR(ISNA(VLOOKUP(O55,Final!T:T,1,FALSE)),R55="Duplicate"),"NA",VLOOKUP(O55,Final!T:T,1,FALSE)))</f>
        <v/>
      </c>
      <c r="R55" t="str">
        <f>IF(AND(COUNTIF($S$2:$S55, $S55)&gt;1,S55&lt;&gt;""), "Duplicate", "")</f>
        <v/>
      </c>
      <c r="S55" t="str">
        <f t="shared" si="2"/>
        <v/>
      </c>
    </row>
    <row r="56" spans="15:19" x14ac:dyDescent="0.25">
      <c r="O56" s="1" t="str">
        <f t="shared" si="3"/>
        <v/>
      </c>
      <c r="P56" s="1" t="str">
        <f t="shared" si="4"/>
        <v/>
      </c>
      <c r="Q56" s="1" t="str">
        <f>IF(O56="","",IF(OR(ISNA(VLOOKUP(O56,Final!T:T,1,FALSE)),R56="Duplicate"),"NA",VLOOKUP(O56,Final!T:T,1,FALSE)))</f>
        <v/>
      </c>
      <c r="R56" t="str">
        <f>IF(AND(COUNTIF($S$2:$S56, $S56)&gt;1,S56&lt;&gt;""), "Duplicate", "")</f>
        <v/>
      </c>
      <c r="S56" t="str">
        <f t="shared" si="2"/>
        <v/>
      </c>
    </row>
    <row r="57" spans="15:19" x14ac:dyDescent="0.25">
      <c r="O57" s="1" t="str">
        <f t="shared" si="3"/>
        <v/>
      </c>
      <c r="P57" s="1" t="str">
        <f t="shared" si="4"/>
        <v/>
      </c>
      <c r="Q57" s="1" t="str">
        <f>IF(O57="","",IF(OR(ISNA(VLOOKUP(O57,Final!T:T,1,FALSE)),R57="Duplicate"),"NA",VLOOKUP(O57,Final!T:T,1,FALSE)))</f>
        <v/>
      </c>
      <c r="R57" t="str">
        <f>IF(AND(COUNTIF($S$2:$S57, $S57)&gt;1,S57&lt;&gt;""), "Duplicate", "")</f>
        <v/>
      </c>
      <c r="S57" t="str">
        <f t="shared" si="2"/>
        <v/>
      </c>
    </row>
    <row r="58" spans="15:19" x14ac:dyDescent="0.25">
      <c r="O58" s="1" t="str">
        <f t="shared" si="3"/>
        <v/>
      </c>
      <c r="P58" s="1" t="str">
        <f t="shared" si="4"/>
        <v/>
      </c>
      <c r="Q58" s="1" t="str">
        <f>IF(O58="","",IF(OR(ISNA(VLOOKUP(O58,Final!T:T,1,FALSE)),R58="Duplicate"),"NA",VLOOKUP(O58,Final!T:T,1,FALSE)))</f>
        <v/>
      </c>
      <c r="R58" t="str">
        <f>IF(AND(COUNTIF($S$2:$S58, $S58)&gt;1,S58&lt;&gt;""), "Duplicate", "")</f>
        <v/>
      </c>
      <c r="S58" t="str">
        <f t="shared" si="2"/>
        <v/>
      </c>
    </row>
    <row r="59" spans="15:19" x14ac:dyDescent="0.25">
      <c r="O59" s="1" t="str">
        <f t="shared" si="3"/>
        <v/>
      </c>
      <c r="P59" s="1" t="str">
        <f t="shared" si="4"/>
        <v/>
      </c>
      <c r="Q59" s="1" t="str">
        <f>IF(O59="","",IF(OR(ISNA(VLOOKUP(O59,Final!T:T,1,FALSE)),R59="Duplicate"),"NA",VLOOKUP(O59,Final!T:T,1,FALSE)))</f>
        <v/>
      </c>
      <c r="R59" t="str">
        <f>IF(AND(COUNTIF($S$2:$S59, $S59)&gt;1,S59&lt;&gt;""), "Duplicate", "")</f>
        <v/>
      </c>
      <c r="S59" t="str">
        <f t="shared" si="2"/>
        <v/>
      </c>
    </row>
    <row r="60" spans="15:19" x14ac:dyDescent="0.25">
      <c r="O60" s="1" t="str">
        <f t="shared" si="3"/>
        <v/>
      </c>
      <c r="P60" s="1" t="str">
        <f t="shared" si="4"/>
        <v/>
      </c>
      <c r="Q60" s="1" t="str">
        <f>IF(O60="","",IF(OR(ISNA(VLOOKUP(O60,Final!T:T,1,FALSE)),R60="Duplicate"),"NA",VLOOKUP(O60,Final!T:T,1,FALSE)))</f>
        <v/>
      </c>
      <c r="R60" t="str">
        <f>IF(AND(COUNTIF($S$2:$S60, $S60)&gt;1,S60&lt;&gt;""), "Duplicate", "")</f>
        <v/>
      </c>
      <c r="S60" t="str">
        <f t="shared" si="2"/>
        <v/>
      </c>
    </row>
    <row r="61" spans="15:19" x14ac:dyDescent="0.25">
      <c r="O61" s="1" t="str">
        <f t="shared" si="3"/>
        <v/>
      </c>
      <c r="P61" s="1" t="str">
        <f t="shared" si="4"/>
        <v/>
      </c>
      <c r="Q61" s="1" t="str">
        <f>IF(O61="","",IF(OR(ISNA(VLOOKUP(O61,Final!T:T,1,FALSE)),R61="Duplicate"),"NA",VLOOKUP(O61,Final!T:T,1,FALSE)))</f>
        <v/>
      </c>
      <c r="R61" t="str">
        <f>IF(AND(COUNTIF($S$2:$S61, $S61)&gt;1,S61&lt;&gt;""), "Duplicate", "")</f>
        <v/>
      </c>
      <c r="S61" t="str">
        <f t="shared" si="2"/>
        <v/>
      </c>
    </row>
    <row r="62" spans="15:19" x14ac:dyDescent="0.25">
      <c r="O62" s="1" t="str">
        <f t="shared" si="3"/>
        <v/>
      </c>
      <c r="P62" s="1" t="str">
        <f t="shared" si="4"/>
        <v/>
      </c>
      <c r="Q62" s="1" t="str">
        <f>IF(O62="","",IF(OR(ISNA(VLOOKUP(O62,Final!T:T,1,FALSE)),R62="Duplicate"),"NA",VLOOKUP(O62,Final!T:T,1,FALSE)))</f>
        <v/>
      </c>
      <c r="R62" t="str">
        <f>IF(AND(COUNTIF($S$2:$S62, $S62)&gt;1,S62&lt;&gt;""), "Duplicate", "")</f>
        <v/>
      </c>
      <c r="S62" t="str">
        <f t="shared" si="2"/>
        <v/>
      </c>
    </row>
    <row r="63" spans="15:19" x14ac:dyDescent="0.25">
      <c r="O63" s="1" t="str">
        <f t="shared" si="3"/>
        <v/>
      </c>
      <c r="P63" s="1" t="str">
        <f t="shared" si="4"/>
        <v/>
      </c>
      <c r="Q63" s="1" t="str">
        <f>IF(O63="","",IF(OR(ISNA(VLOOKUP(O63,Final!T:T,1,FALSE)),R63="Duplicate"),"NA",VLOOKUP(O63,Final!T:T,1,FALSE)))</f>
        <v/>
      </c>
      <c r="R63" t="str">
        <f>IF(AND(COUNTIF($S$2:$S63, $S63)&gt;1,S63&lt;&gt;""), "Duplicate", "")</f>
        <v/>
      </c>
      <c r="S63" t="str">
        <f t="shared" si="2"/>
        <v/>
      </c>
    </row>
    <row r="64" spans="15:19" x14ac:dyDescent="0.25">
      <c r="O64" s="1" t="str">
        <f t="shared" si="3"/>
        <v/>
      </c>
      <c r="P64" s="1" t="str">
        <f t="shared" si="4"/>
        <v/>
      </c>
      <c r="Q64" s="1" t="str">
        <f>IF(O64="","",IF(OR(ISNA(VLOOKUP(O64,Final!T:T,1,FALSE)),R64="Duplicate"),"NA",VLOOKUP(O64,Final!T:T,1,FALSE)))</f>
        <v/>
      </c>
      <c r="R64" t="str">
        <f>IF(AND(COUNTIF($S$2:$S64, $S64)&gt;1,S64&lt;&gt;""), "Duplicate", "")</f>
        <v/>
      </c>
      <c r="S64" t="str">
        <f t="shared" si="2"/>
        <v/>
      </c>
    </row>
    <row r="65" spans="15:19" x14ac:dyDescent="0.25">
      <c r="O65" s="1" t="str">
        <f t="shared" si="3"/>
        <v/>
      </c>
      <c r="P65" s="1" t="str">
        <f t="shared" si="4"/>
        <v/>
      </c>
      <c r="Q65" s="1" t="str">
        <f>IF(O65="","",IF(OR(ISNA(VLOOKUP(O65,Final!T:T,1,FALSE)),R65="Duplicate"),"NA",VLOOKUP(O65,Final!T:T,1,FALSE)))</f>
        <v/>
      </c>
      <c r="R65" t="str">
        <f>IF(AND(COUNTIF($S$2:$S65, $S65)&gt;1,S65&lt;&gt;""), "Duplicate", "")</f>
        <v/>
      </c>
      <c r="S65" t="str">
        <f t="shared" si="2"/>
        <v/>
      </c>
    </row>
    <row r="66" spans="15:19" x14ac:dyDescent="0.25">
      <c r="O66" s="1" t="str">
        <f t="shared" ref="O66:O97" si="5">D66&amp;E66</f>
        <v/>
      </c>
      <c r="P66" s="1" t="str">
        <f t="shared" ref="P66:P97" si="6">IF(C66="","",C66)</f>
        <v/>
      </c>
      <c r="Q66" s="1" t="str">
        <f>IF(O66="","",IF(OR(ISNA(VLOOKUP(O66,Final!T:T,1,FALSE)),R66="Duplicate"),"NA",VLOOKUP(O66,Final!T:T,1,FALSE)))</f>
        <v/>
      </c>
      <c r="R66" t="str">
        <f>IF(AND(COUNTIF($S$2:$S66, $S66)&gt;1,S66&lt;&gt;""), "Duplicate", "")</f>
        <v/>
      </c>
      <c r="S66" t="str">
        <f t="shared" si="2"/>
        <v/>
      </c>
    </row>
    <row r="67" spans="15:19" x14ac:dyDescent="0.25">
      <c r="O67" s="1" t="str">
        <f t="shared" si="5"/>
        <v/>
      </c>
      <c r="P67" s="1" t="str">
        <f t="shared" si="6"/>
        <v/>
      </c>
      <c r="Q67" s="1" t="str">
        <f>IF(O67="","",IF(OR(ISNA(VLOOKUP(O67,Final!T:T,1,FALSE)),R67="Duplicate"),"NA",VLOOKUP(O67,Final!T:T,1,FALSE)))</f>
        <v/>
      </c>
      <c r="R67" t="str">
        <f>IF(AND(COUNTIF($S$2:$S67, $S67)&gt;1,S67&lt;&gt;""), "Duplicate", "")</f>
        <v/>
      </c>
      <c r="S67" t="str">
        <f t="shared" ref="S67:S130" si="7">D67&amp;E67</f>
        <v/>
      </c>
    </row>
    <row r="68" spans="15:19" x14ac:dyDescent="0.25">
      <c r="O68" s="1" t="str">
        <f t="shared" si="5"/>
        <v/>
      </c>
      <c r="P68" s="1" t="str">
        <f t="shared" si="6"/>
        <v/>
      </c>
      <c r="Q68" s="1" t="str">
        <f>IF(O68="","",IF(OR(ISNA(VLOOKUP(O68,Final!T:T,1,FALSE)),R68="Duplicate"),"NA",VLOOKUP(O68,Final!T:T,1,FALSE)))</f>
        <v/>
      </c>
      <c r="R68" t="str">
        <f>IF(AND(COUNTIF($S$2:$S68, $S68)&gt;1,S68&lt;&gt;""), "Duplicate", "")</f>
        <v/>
      </c>
      <c r="S68" t="str">
        <f t="shared" si="7"/>
        <v/>
      </c>
    </row>
    <row r="69" spans="15:19" x14ac:dyDescent="0.25">
      <c r="O69" s="1" t="str">
        <f t="shared" si="5"/>
        <v/>
      </c>
      <c r="P69" s="1" t="str">
        <f t="shared" si="6"/>
        <v/>
      </c>
      <c r="Q69" s="1" t="str">
        <f>IF(O69="","",IF(OR(ISNA(VLOOKUP(O69,Final!T:T,1,FALSE)),R69="Duplicate"),"NA",VLOOKUP(O69,Final!T:T,1,FALSE)))</f>
        <v/>
      </c>
      <c r="R69" t="str">
        <f>IF(AND(COUNTIF($S$2:$S69, $S69)&gt;1,S69&lt;&gt;""), "Duplicate", "")</f>
        <v/>
      </c>
      <c r="S69" t="str">
        <f t="shared" si="7"/>
        <v/>
      </c>
    </row>
    <row r="70" spans="15:19" x14ac:dyDescent="0.25">
      <c r="O70" s="1" t="str">
        <f t="shared" si="5"/>
        <v/>
      </c>
      <c r="P70" s="1" t="str">
        <f t="shared" si="6"/>
        <v/>
      </c>
      <c r="Q70" s="1" t="str">
        <f>IF(O70="","",IF(OR(ISNA(VLOOKUP(O70,Final!T:T,1,FALSE)),R70="Duplicate"),"NA",VLOOKUP(O70,Final!T:T,1,FALSE)))</f>
        <v/>
      </c>
      <c r="R70" t="str">
        <f>IF(AND(COUNTIF($S$2:$S70, $S70)&gt;1,S70&lt;&gt;""), "Duplicate", "")</f>
        <v/>
      </c>
      <c r="S70" t="str">
        <f t="shared" si="7"/>
        <v/>
      </c>
    </row>
    <row r="71" spans="15:19" x14ac:dyDescent="0.25">
      <c r="O71" s="1" t="str">
        <f t="shared" si="5"/>
        <v/>
      </c>
      <c r="P71" s="1" t="str">
        <f t="shared" si="6"/>
        <v/>
      </c>
      <c r="Q71" s="1" t="str">
        <f>IF(O71="","",IF(OR(ISNA(VLOOKUP(O71,Final!T:T,1,FALSE)),R71="Duplicate"),"NA",VLOOKUP(O71,Final!T:T,1,FALSE)))</f>
        <v/>
      </c>
      <c r="R71" t="str">
        <f>IF(AND(COUNTIF($S$2:$S71, $S71)&gt;1,S71&lt;&gt;""), "Duplicate", "")</f>
        <v/>
      </c>
      <c r="S71" t="str">
        <f t="shared" si="7"/>
        <v/>
      </c>
    </row>
    <row r="72" spans="15:19" x14ac:dyDescent="0.25">
      <c r="O72" s="1" t="str">
        <f t="shared" si="5"/>
        <v/>
      </c>
      <c r="P72" s="1" t="str">
        <f t="shared" si="6"/>
        <v/>
      </c>
      <c r="Q72" s="1" t="str">
        <f>IF(O72="","",IF(OR(ISNA(VLOOKUP(O72,Final!T:T,1,FALSE)),R72="Duplicate"),"NA",VLOOKUP(O72,Final!T:T,1,FALSE)))</f>
        <v/>
      </c>
      <c r="R72" t="str">
        <f>IF(AND(COUNTIF($S$2:$S72, $S72)&gt;1,S72&lt;&gt;""), "Duplicate", "")</f>
        <v/>
      </c>
      <c r="S72" t="str">
        <f t="shared" si="7"/>
        <v/>
      </c>
    </row>
    <row r="73" spans="15:19" x14ac:dyDescent="0.25">
      <c r="O73" s="1" t="str">
        <f t="shared" si="5"/>
        <v/>
      </c>
      <c r="P73" s="1" t="str">
        <f t="shared" si="6"/>
        <v/>
      </c>
      <c r="Q73" s="1" t="str">
        <f>IF(O73="","",IF(OR(ISNA(VLOOKUP(O73,Final!T:T,1,FALSE)),R73="Duplicate"),"NA",VLOOKUP(O73,Final!T:T,1,FALSE)))</f>
        <v/>
      </c>
      <c r="R73" t="str">
        <f>IF(AND(COUNTIF($S$2:$S73, $S73)&gt;1,S73&lt;&gt;""), "Duplicate", "")</f>
        <v/>
      </c>
      <c r="S73" t="str">
        <f t="shared" si="7"/>
        <v/>
      </c>
    </row>
    <row r="74" spans="15:19" x14ac:dyDescent="0.25">
      <c r="O74" s="1" t="str">
        <f t="shared" si="5"/>
        <v/>
      </c>
      <c r="P74" s="1" t="str">
        <f t="shared" si="6"/>
        <v/>
      </c>
      <c r="Q74" s="1" t="str">
        <f>IF(O74="","",IF(OR(ISNA(VLOOKUP(O74,Final!T:T,1,FALSE)),R74="Duplicate"),"NA",VLOOKUP(O74,Final!T:T,1,FALSE)))</f>
        <v/>
      </c>
      <c r="R74" t="str">
        <f>IF(AND(COUNTIF($S$2:$S74, $S74)&gt;1,S74&lt;&gt;""), "Duplicate", "")</f>
        <v/>
      </c>
      <c r="S74" t="str">
        <f t="shared" si="7"/>
        <v/>
      </c>
    </row>
    <row r="75" spans="15:19" x14ac:dyDescent="0.25">
      <c r="O75" s="1" t="str">
        <f t="shared" si="5"/>
        <v/>
      </c>
      <c r="P75" s="1" t="str">
        <f t="shared" si="6"/>
        <v/>
      </c>
      <c r="Q75" s="1" t="str">
        <f>IF(O75="","",IF(OR(ISNA(VLOOKUP(O75,Final!T:T,1,FALSE)),R75="Duplicate"),"NA",VLOOKUP(O75,Final!T:T,1,FALSE)))</f>
        <v/>
      </c>
      <c r="R75" t="str">
        <f>IF(AND(COUNTIF($S$2:$S75, $S75)&gt;1,S75&lt;&gt;""), "Duplicate", "")</f>
        <v/>
      </c>
      <c r="S75" t="str">
        <f t="shared" si="7"/>
        <v/>
      </c>
    </row>
    <row r="76" spans="15:19" x14ac:dyDescent="0.25">
      <c r="O76" s="1" t="str">
        <f t="shared" si="5"/>
        <v/>
      </c>
      <c r="P76" s="1" t="str">
        <f t="shared" si="6"/>
        <v/>
      </c>
      <c r="Q76" s="1" t="str">
        <f>IF(O76="","",IF(OR(ISNA(VLOOKUP(O76,Final!T:T,1,FALSE)),R76="Duplicate"),"NA",VLOOKUP(O76,Final!T:T,1,FALSE)))</f>
        <v/>
      </c>
      <c r="R76" t="str">
        <f>IF(AND(COUNTIF($S$2:$S76, $S76)&gt;1,S76&lt;&gt;""), "Duplicate", "")</f>
        <v/>
      </c>
      <c r="S76" t="str">
        <f t="shared" si="7"/>
        <v/>
      </c>
    </row>
    <row r="77" spans="15:19" x14ac:dyDescent="0.25">
      <c r="O77" s="1" t="str">
        <f t="shared" si="5"/>
        <v/>
      </c>
      <c r="P77" s="1" t="str">
        <f t="shared" si="6"/>
        <v/>
      </c>
      <c r="Q77" s="1" t="str">
        <f>IF(O77="","",IF(OR(ISNA(VLOOKUP(O77,Final!T:T,1,FALSE)),R77="Duplicate"),"NA",VLOOKUP(O77,Final!T:T,1,FALSE)))</f>
        <v/>
      </c>
      <c r="R77" t="str">
        <f>IF(AND(COUNTIF($S$2:$S77, $S77)&gt;1,S77&lt;&gt;""), "Duplicate", "")</f>
        <v/>
      </c>
      <c r="S77" t="str">
        <f t="shared" si="7"/>
        <v/>
      </c>
    </row>
    <row r="78" spans="15:19" x14ac:dyDescent="0.25">
      <c r="O78" s="1" t="str">
        <f t="shared" si="5"/>
        <v/>
      </c>
      <c r="P78" s="1" t="str">
        <f t="shared" si="6"/>
        <v/>
      </c>
      <c r="Q78" s="1" t="str">
        <f>IF(O78="","",IF(OR(ISNA(VLOOKUP(O78,Final!T:T,1,FALSE)),R78="Duplicate"),"NA",VLOOKUP(O78,Final!T:T,1,FALSE)))</f>
        <v/>
      </c>
      <c r="R78" t="str">
        <f>IF(AND(COUNTIF($S$2:$S78, $S78)&gt;1,S78&lt;&gt;""), "Duplicate", "")</f>
        <v/>
      </c>
      <c r="S78" t="str">
        <f t="shared" si="7"/>
        <v/>
      </c>
    </row>
    <row r="79" spans="15:19" x14ac:dyDescent="0.25">
      <c r="O79" s="1" t="str">
        <f t="shared" si="5"/>
        <v/>
      </c>
      <c r="P79" s="1" t="str">
        <f t="shared" si="6"/>
        <v/>
      </c>
      <c r="Q79" s="1" t="str">
        <f>IF(O79="","",IF(OR(ISNA(VLOOKUP(O79,Final!T:T,1,FALSE)),R79="Duplicate"),"NA",VLOOKUP(O79,Final!T:T,1,FALSE)))</f>
        <v/>
      </c>
      <c r="R79" t="str">
        <f>IF(AND(COUNTIF($S$2:$S79, $S79)&gt;1,S79&lt;&gt;""), "Duplicate", "")</f>
        <v/>
      </c>
      <c r="S79" t="str">
        <f t="shared" si="7"/>
        <v/>
      </c>
    </row>
    <row r="80" spans="15:19" x14ac:dyDescent="0.25">
      <c r="O80" s="1" t="str">
        <f t="shared" si="5"/>
        <v/>
      </c>
      <c r="P80" s="1" t="str">
        <f t="shared" si="6"/>
        <v/>
      </c>
      <c r="Q80" s="1" t="str">
        <f>IF(O80="","",IF(OR(ISNA(VLOOKUP(O80,Final!T:T,1,FALSE)),R80="Duplicate"),"NA",VLOOKUP(O80,Final!T:T,1,FALSE)))</f>
        <v/>
      </c>
      <c r="R80" t="str">
        <f>IF(AND(COUNTIF($S$2:$S80, $S80)&gt;1,S80&lt;&gt;""), "Duplicate", "")</f>
        <v/>
      </c>
      <c r="S80" t="str">
        <f t="shared" si="7"/>
        <v/>
      </c>
    </row>
    <row r="81" spans="15:19" x14ac:dyDescent="0.25">
      <c r="O81" s="1" t="str">
        <f t="shared" si="5"/>
        <v/>
      </c>
      <c r="P81" s="1" t="str">
        <f t="shared" si="6"/>
        <v/>
      </c>
      <c r="Q81" s="1" t="str">
        <f>IF(O81="","",IF(OR(ISNA(VLOOKUP(O81,Final!T:T,1,FALSE)),R81="Duplicate"),"NA",VLOOKUP(O81,Final!T:T,1,FALSE)))</f>
        <v/>
      </c>
      <c r="R81" t="str">
        <f>IF(AND(COUNTIF($S$2:$S81, $S81)&gt;1,S81&lt;&gt;""), "Duplicate", "")</f>
        <v/>
      </c>
      <c r="S81" t="str">
        <f t="shared" si="7"/>
        <v/>
      </c>
    </row>
    <row r="82" spans="15:19" x14ac:dyDescent="0.25">
      <c r="O82" s="1" t="str">
        <f t="shared" si="5"/>
        <v/>
      </c>
      <c r="P82" s="1" t="str">
        <f t="shared" si="6"/>
        <v/>
      </c>
      <c r="Q82" s="1" t="str">
        <f>IF(O82="","",IF(OR(ISNA(VLOOKUP(O82,Final!T:T,1,FALSE)),R82="Duplicate"),"NA",VLOOKUP(O82,Final!T:T,1,FALSE)))</f>
        <v/>
      </c>
      <c r="R82" t="str">
        <f>IF(AND(COUNTIF($S$2:$S82, $S82)&gt;1,S82&lt;&gt;""), "Duplicate", "")</f>
        <v/>
      </c>
      <c r="S82" t="str">
        <f t="shared" si="7"/>
        <v/>
      </c>
    </row>
    <row r="83" spans="15:19" x14ac:dyDescent="0.25">
      <c r="O83" s="1" t="str">
        <f t="shared" si="5"/>
        <v/>
      </c>
      <c r="P83" s="1" t="str">
        <f t="shared" si="6"/>
        <v/>
      </c>
      <c r="Q83" s="1" t="str">
        <f>IF(O83="","",IF(OR(ISNA(VLOOKUP(O83,Final!T:T,1,FALSE)),R83="Duplicate"),"NA",VLOOKUP(O83,Final!T:T,1,FALSE)))</f>
        <v/>
      </c>
      <c r="R83" t="str">
        <f>IF(AND(COUNTIF($S$2:$S83, $S83)&gt;1,S83&lt;&gt;""), "Duplicate", "")</f>
        <v/>
      </c>
      <c r="S83" t="str">
        <f t="shared" si="7"/>
        <v/>
      </c>
    </row>
    <row r="84" spans="15:19" x14ac:dyDescent="0.25">
      <c r="O84" s="1" t="str">
        <f t="shared" si="5"/>
        <v/>
      </c>
      <c r="P84" s="1" t="str">
        <f t="shared" si="6"/>
        <v/>
      </c>
      <c r="Q84" s="1" t="str">
        <f>IF(O84="","",IF(OR(ISNA(VLOOKUP(O84,Final!T:T,1,FALSE)),R84="Duplicate"),"NA",VLOOKUP(O84,Final!T:T,1,FALSE)))</f>
        <v/>
      </c>
      <c r="R84" t="str">
        <f>IF(AND(COUNTIF($S$2:$S84, $S84)&gt;1,S84&lt;&gt;""), "Duplicate", "")</f>
        <v/>
      </c>
      <c r="S84" t="str">
        <f t="shared" si="7"/>
        <v/>
      </c>
    </row>
    <row r="85" spans="15:19" x14ac:dyDescent="0.25">
      <c r="O85" s="1" t="str">
        <f t="shared" si="5"/>
        <v/>
      </c>
      <c r="P85" s="1" t="str">
        <f t="shared" si="6"/>
        <v/>
      </c>
      <c r="Q85" s="1" t="str">
        <f>IF(O85="","",IF(OR(ISNA(VLOOKUP(O85,Final!T:T,1,FALSE)),R85="Duplicate"),"NA",VLOOKUP(O85,Final!T:T,1,FALSE)))</f>
        <v/>
      </c>
      <c r="R85" t="str">
        <f>IF(AND(COUNTIF($S$2:$S85, $S85)&gt;1,S85&lt;&gt;""), "Duplicate", "")</f>
        <v/>
      </c>
      <c r="S85" t="str">
        <f t="shared" si="7"/>
        <v/>
      </c>
    </row>
    <row r="86" spans="15:19" x14ac:dyDescent="0.25">
      <c r="O86" s="1" t="str">
        <f t="shared" si="5"/>
        <v/>
      </c>
      <c r="P86" s="1" t="str">
        <f t="shared" si="6"/>
        <v/>
      </c>
      <c r="Q86" s="1" t="str">
        <f>IF(O86="","",IF(OR(ISNA(VLOOKUP(O86,Final!T:T,1,FALSE)),R86="Duplicate"),"NA",VLOOKUP(O86,Final!T:T,1,FALSE)))</f>
        <v/>
      </c>
      <c r="R86" t="str">
        <f>IF(AND(COUNTIF($S$2:$S86, $S86)&gt;1,S86&lt;&gt;""), "Duplicate", "")</f>
        <v/>
      </c>
      <c r="S86" t="str">
        <f t="shared" si="7"/>
        <v/>
      </c>
    </row>
    <row r="87" spans="15:19" x14ac:dyDescent="0.25">
      <c r="O87" s="1" t="str">
        <f t="shared" si="5"/>
        <v/>
      </c>
      <c r="P87" s="1" t="str">
        <f t="shared" si="6"/>
        <v/>
      </c>
      <c r="Q87" s="1" t="str">
        <f>IF(O87="","",IF(OR(ISNA(VLOOKUP(O87,Final!T:T,1,FALSE)),R87="Duplicate"),"NA",VLOOKUP(O87,Final!T:T,1,FALSE)))</f>
        <v/>
      </c>
      <c r="R87" t="str">
        <f>IF(AND(COUNTIF($S$2:$S87, $S87)&gt;1,S87&lt;&gt;""), "Duplicate", "")</f>
        <v/>
      </c>
      <c r="S87" t="str">
        <f t="shared" si="7"/>
        <v/>
      </c>
    </row>
    <row r="88" spans="15:19" x14ac:dyDescent="0.25">
      <c r="O88" s="1" t="str">
        <f t="shared" si="5"/>
        <v/>
      </c>
      <c r="P88" s="1" t="str">
        <f t="shared" si="6"/>
        <v/>
      </c>
      <c r="Q88" s="1" t="str">
        <f>IF(O88="","",IF(OR(ISNA(VLOOKUP(O88,Final!T:T,1,FALSE)),R88="Duplicate"),"NA",VLOOKUP(O88,Final!T:T,1,FALSE)))</f>
        <v/>
      </c>
      <c r="R88" t="str">
        <f>IF(AND(COUNTIF($S$2:$S88, $S88)&gt;1,S88&lt;&gt;""), "Duplicate", "")</f>
        <v/>
      </c>
      <c r="S88" t="str">
        <f t="shared" si="7"/>
        <v/>
      </c>
    </row>
    <row r="89" spans="15:19" x14ac:dyDescent="0.25">
      <c r="O89" s="1" t="str">
        <f t="shared" si="5"/>
        <v/>
      </c>
      <c r="P89" s="1" t="str">
        <f t="shared" si="6"/>
        <v/>
      </c>
      <c r="Q89" s="1" t="str">
        <f>IF(O89="","",IF(OR(ISNA(VLOOKUP(O89,Final!T:T,1,FALSE)),R89="Duplicate"),"NA",VLOOKUP(O89,Final!T:T,1,FALSE)))</f>
        <v/>
      </c>
      <c r="R89" t="str">
        <f>IF(AND(COUNTIF($S$2:$S89, $S89)&gt;1,S89&lt;&gt;""), "Duplicate", "")</f>
        <v/>
      </c>
      <c r="S89" t="str">
        <f t="shared" si="7"/>
        <v/>
      </c>
    </row>
    <row r="90" spans="15:19" x14ac:dyDescent="0.25">
      <c r="O90" s="1" t="str">
        <f t="shared" si="5"/>
        <v/>
      </c>
      <c r="P90" s="1" t="str">
        <f t="shared" si="6"/>
        <v/>
      </c>
      <c r="Q90" s="1" t="str">
        <f>IF(O90="","",IF(OR(ISNA(VLOOKUP(O90,Final!T:T,1,FALSE)),R90="Duplicate"),"NA",VLOOKUP(O90,Final!T:T,1,FALSE)))</f>
        <v/>
      </c>
      <c r="R90" t="str">
        <f>IF(AND(COUNTIF($S$2:$S90, $S90)&gt;1,S90&lt;&gt;""), "Duplicate", "")</f>
        <v/>
      </c>
      <c r="S90" t="str">
        <f t="shared" si="7"/>
        <v/>
      </c>
    </row>
    <row r="91" spans="15:19" x14ac:dyDescent="0.25">
      <c r="O91" s="1" t="str">
        <f t="shared" si="5"/>
        <v/>
      </c>
      <c r="P91" s="1" t="str">
        <f t="shared" si="6"/>
        <v/>
      </c>
      <c r="Q91" s="1" t="str">
        <f>IF(O91="","",IF(OR(ISNA(VLOOKUP(O91,Final!T:T,1,FALSE)),R91="Duplicate"),"NA",VLOOKUP(O91,Final!T:T,1,FALSE)))</f>
        <v/>
      </c>
      <c r="R91" t="str">
        <f>IF(AND(COUNTIF($S$2:$S91, $S91)&gt;1,S91&lt;&gt;""), "Duplicate", "")</f>
        <v/>
      </c>
      <c r="S91" t="str">
        <f t="shared" si="7"/>
        <v/>
      </c>
    </row>
    <row r="92" spans="15:19" x14ac:dyDescent="0.25">
      <c r="O92" s="1" t="str">
        <f t="shared" si="5"/>
        <v/>
      </c>
      <c r="P92" s="1" t="str">
        <f t="shared" si="6"/>
        <v/>
      </c>
      <c r="Q92" s="1" t="str">
        <f>IF(O92="","",IF(OR(ISNA(VLOOKUP(O92,Final!T:T,1,FALSE)),R92="Duplicate"),"NA",VLOOKUP(O92,Final!T:T,1,FALSE)))</f>
        <v/>
      </c>
      <c r="R92" t="str">
        <f>IF(AND(COUNTIF($S$2:$S92, $S92)&gt;1,S92&lt;&gt;""), "Duplicate", "")</f>
        <v/>
      </c>
      <c r="S92" t="str">
        <f t="shared" si="7"/>
        <v/>
      </c>
    </row>
    <row r="93" spans="15:19" x14ac:dyDescent="0.25">
      <c r="O93" s="1" t="str">
        <f t="shared" si="5"/>
        <v/>
      </c>
      <c r="P93" s="1" t="str">
        <f t="shared" si="6"/>
        <v/>
      </c>
      <c r="Q93" s="1" t="str">
        <f>IF(O93="","",IF(OR(ISNA(VLOOKUP(O93,Final!T:T,1,FALSE)),R93="Duplicate"),"NA",VLOOKUP(O93,Final!T:T,1,FALSE)))</f>
        <v/>
      </c>
      <c r="R93" t="str">
        <f>IF(AND(COUNTIF($S$2:$S93, $S93)&gt;1,S93&lt;&gt;""), "Duplicate", "")</f>
        <v/>
      </c>
      <c r="S93" t="str">
        <f t="shared" si="7"/>
        <v/>
      </c>
    </row>
    <row r="94" spans="15:19" x14ac:dyDescent="0.25">
      <c r="O94" s="1" t="str">
        <f t="shared" si="5"/>
        <v/>
      </c>
      <c r="P94" s="1" t="str">
        <f t="shared" si="6"/>
        <v/>
      </c>
      <c r="Q94" s="1" t="str">
        <f>IF(O94="","",IF(OR(ISNA(VLOOKUP(O94,Final!T:T,1,FALSE)),R94="Duplicate"),"NA",VLOOKUP(O94,Final!T:T,1,FALSE)))</f>
        <v/>
      </c>
      <c r="R94" t="str">
        <f>IF(AND(COUNTIF($S$2:$S94, $S94)&gt;1,S94&lt;&gt;""), "Duplicate", "")</f>
        <v/>
      </c>
      <c r="S94" t="str">
        <f t="shared" si="7"/>
        <v/>
      </c>
    </row>
    <row r="95" spans="15:19" x14ac:dyDescent="0.25">
      <c r="O95" s="1" t="str">
        <f t="shared" si="5"/>
        <v/>
      </c>
      <c r="P95" s="1" t="str">
        <f t="shared" si="6"/>
        <v/>
      </c>
      <c r="Q95" s="1" t="str">
        <f>IF(O95="","",IF(OR(ISNA(VLOOKUP(O95,Final!T:T,1,FALSE)),R95="Duplicate"),"NA",VLOOKUP(O95,Final!T:T,1,FALSE)))</f>
        <v/>
      </c>
      <c r="R95" t="str">
        <f>IF(AND(COUNTIF($S$2:$S95, $S95)&gt;1,S95&lt;&gt;""), "Duplicate", "")</f>
        <v/>
      </c>
      <c r="S95" t="str">
        <f t="shared" si="7"/>
        <v/>
      </c>
    </row>
    <row r="96" spans="15:19" x14ac:dyDescent="0.25">
      <c r="O96" s="1" t="str">
        <f t="shared" si="5"/>
        <v/>
      </c>
      <c r="P96" s="1" t="str">
        <f t="shared" si="6"/>
        <v/>
      </c>
      <c r="Q96" s="1" t="str">
        <f>IF(O96="","",IF(OR(ISNA(VLOOKUP(O96,Final!T:T,1,FALSE)),R96="Duplicate"),"NA",VLOOKUP(O96,Final!T:T,1,FALSE)))</f>
        <v/>
      </c>
      <c r="R96" t="str">
        <f>IF(AND(COUNTIF($S$2:$S96, $S96)&gt;1,S96&lt;&gt;""), "Duplicate", "")</f>
        <v/>
      </c>
      <c r="S96" t="str">
        <f t="shared" si="7"/>
        <v/>
      </c>
    </row>
    <row r="97" spans="15:19" x14ac:dyDescent="0.25">
      <c r="O97" s="1" t="str">
        <f t="shared" si="5"/>
        <v/>
      </c>
      <c r="P97" s="1" t="str">
        <f t="shared" si="6"/>
        <v/>
      </c>
      <c r="Q97" s="1" t="str">
        <f>IF(O97="","",IF(OR(ISNA(VLOOKUP(O97,Final!T:T,1,FALSE)),R97="Duplicate"),"NA",VLOOKUP(O97,Final!T:T,1,FALSE)))</f>
        <v/>
      </c>
      <c r="R97" t="str">
        <f>IF(AND(COUNTIF($S$2:$S97, $S97)&gt;1,S97&lt;&gt;""), "Duplicate", "")</f>
        <v/>
      </c>
      <c r="S97" t="str">
        <f t="shared" si="7"/>
        <v/>
      </c>
    </row>
    <row r="98" spans="15:19" x14ac:dyDescent="0.25">
      <c r="O98" s="1" t="str">
        <f t="shared" ref="O98:O129" si="8">D98&amp;E98</f>
        <v/>
      </c>
      <c r="P98" s="1" t="str">
        <f t="shared" ref="P98:P129" si="9">IF(C98="","",C98)</f>
        <v/>
      </c>
      <c r="Q98" s="1" t="str">
        <f>IF(O98="","",IF(OR(ISNA(VLOOKUP(O98,Final!T:T,1,FALSE)),R98="Duplicate"),"NA",VLOOKUP(O98,Final!T:T,1,FALSE)))</f>
        <v/>
      </c>
      <c r="R98" t="str">
        <f>IF(AND(COUNTIF($S$2:$S98, $S98)&gt;1,S98&lt;&gt;""), "Duplicate", "")</f>
        <v/>
      </c>
      <c r="S98" t="str">
        <f t="shared" si="7"/>
        <v/>
      </c>
    </row>
    <row r="99" spans="15:19" x14ac:dyDescent="0.25">
      <c r="O99" s="1" t="str">
        <f t="shared" si="8"/>
        <v/>
      </c>
      <c r="P99" s="1" t="str">
        <f t="shared" si="9"/>
        <v/>
      </c>
      <c r="Q99" s="1" t="str">
        <f>IF(O99="","",IF(OR(ISNA(VLOOKUP(O99,Final!T:T,1,FALSE)),R99="Duplicate"),"NA",VLOOKUP(O99,Final!T:T,1,FALSE)))</f>
        <v/>
      </c>
      <c r="R99" t="str">
        <f>IF(AND(COUNTIF($S$2:$S99, $S99)&gt;1,S99&lt;&gt;""), "Duplicate", "")</f>
        <v/>
      </c>
      <c r="S99" t="str">
        <f t="shared" si="7"/>
        <v/>
      </c>
    </row>
    <row r="100" spans="15:19" x14ac:dyDescent="0.25">
      <c r="O100" s="1" t="str">
        <f t="shared" si="8"/>
        <v/>
      </c>
      <c r="P100" s="1" t="str">
        <f t="shared" si="9"/>
        <v/>
      </c>
      <c r="Q100" s="1" t="str">
        <f>IF(O100="","",IF(OR(ISNA(VLOOKUP(O100,Final!T:T,1,FALSE)),R100="Duplicate"),"NA",VLOOKUP(O100,Final!T:T,1,FALSE)))</f>
        <v/>
      </c>
      <c r="R100" t="str">
        <f>IF(AND(COUNTIF($S$2:$S100, $S100)&gt;1,S100&lt;&gt;""), "Duplicate", "")</f>
        <v/>
      </c>
      <c r="S100" t="str">
        <f t="shared" si="7"/>
        <v/>
      </c>
    </row>
    <row r="101" spans="15:19" x14ac:dyDescent="0.25">
      <c r="O101" s="1" t="str">
        <f t="shared" si="8"/>
        <v/>
      </c>
      <c r="P101" s="1" t="str">
        <f t="shared" si="9"/>
        <v/>
      </c>
      <c r="Q101" s="1" t="str">
        <f>IF(O101="","",IF(OR(ISNA(VLOOKUP(O101,Final!T:T,1,FALSE)),R101="Duplicate"),"NA",VLOOKUP(O101,Final!T:T,1,FALSE)))</f>
        <v/>
      </c>
      <c r="R101" t="str">
        <f>IF(AND(COUNTIF($S$2:$S101, $S101)&gt;1,S101&lt;&gt;""), "Duplicate", "")</f>
        <v/>
      </c>
      <c r="S101" t="str">
        <f t="shared" si="7"/>
        <v/>
      </c>
    </row>
    <row r="102" spans="15:19" x14ac:dyDescent="0.25">
      <c r="O102" s="1" t="str">
        <f t="shared" si="8"/>
        <v/>
      </c>
      <c r="P102" s="1" t="str">
        <f t="shared" si="9"/>
        <v/>
      </c>
      <c r="Q102" s="1" t="str">
        <f>IF(O102="","",IF(OR(ISNA(VLOOKUP(O102,Final!T:T,1,FALSE)),R102="Duplicate"),"NA",VLOOKUP(O102,Final!T:T,1,FALSE)))</f>
        <v/>
      </c>
      <c r="R102" t="str">
        <f>IF(AND(COUNTIF($S$2:$S102, $S102)&gt;1,S102&lt;&gt;""), "Duplicate", "")</f>
        <v/>
      </c>
      <c r="S102" t="str">
        <f t="shared" si="7"/>
        <v/>
      </c>
    </row>
    <row r="103" spans="15:19" x14ac:dyDescent="0.25">
      <c r="O103" s="1" t="str">
        <f t="shared" si="8"/>
        <v/>
      </c>
      <c r="P103" s="1" t="str">
        <f t="shared" si="9"/>
        <v/>
      </c>
      <c r="Q103" s="1" t="str">
        <f>IF(O103="","",IF(OR(ISNA(VLOOKUP(O103,Final!T:T,1,FALSE)),R103="Duplicate"),"NA",VLOOKUP(O103,Final!T:T,1,FALSE)))</f>
        <v/>
      </c>
      <c r="R103" t="str">
        <f>IF(AND(COUNTIF($S$2:$S103, $S103)&gt;1,S103&lt;&gt;""), "Duplicate", "")</f>
        <v/>
      </c>
      <c r="S103" t="str">
        <f t="shared" si="7"/>
        <v/>
      </c>
    </row>
    <row r="104" spans="15:19" x14ac:dyDescent="0.25">
      <c r="O104" s="1" t="str">
        <f t="shared" si="8"/>
        <v/>
      </c>
      <c r="P104" s="1" t="str">
        <f t="shared" si="9"/>
        <v/>
      </c>
      <c r="Q104" s="1" t="str">
        <f>IF(O104="","",IF(OR(ISNA(VLOOKUP(O104,Final!T:T,1,FALSE)),R104="Duplicate"),"NA",VLOOKUP(O104,Final!T:T,1,FALSE)))</f>
        <v/>
      </c>
      <c r="R104" t="str">
        <f>IF(AND(COUNTIF($S$2:$S104, $S104)&gt;1,S104&lt;&gt;""), "Duplicate", "")</f>
        <v/>
      </c>
      <c r="S104" t="str">
        <f t="shared" si="7"/>
        <v/>
      </c>
    </row>
    <row r="105" spans="15:19" x14ac:dyDescent="0.25">
      <c r="O105" s="1" t="str">
        <f t="shared" si="8"/>
        <v/>
      </c>
      <c r="P105" s="1" t="str">
        <f t="shared" si="9"/>
        <v/>
      </c>
      <c r="Q105" s="1" t="str">
        <f>IF(O105="","",IF(OR(ISNA(VLOOKUP(O105,Final!T:T,1,FALSE)),R105="Duplicate"),"NA",VLOOKUP(O105,Final!T:T,1,FALSE)))</f>
        <v/>
      </c>
      <c r="R105" t="str">
        <f>IF(AND(COUNTIF($S$2:$S105, $S105)&gt;1,S105&lt;&gt;""), "Duplicate", "")</f>
        <v/>
      </c>
      <c r="S105" t="str">
        <f t="shared" si="7"/>
        <v/>
      </c>
    </row>
    <row r="106" spans="15:19" x14ac:dyDescent="0.25">
      <c r="O106" s="1" t="str">
        <f t="shared" si="8"/>
        <v/>
      </c>
      <c r="P106" s="1" t="str">
        <f t="shared" si="9"/>
        <v/>
      </c>
      <c r="Q106" s="1" t="str">
        <f>IF(O106="","",IF(OR(ISNA(VLOOKUP(O106,Final!T:T,1,FALSE)),R106="Duplicate"),"NA",VLOOKUP(O106,Final!T:T,1,FALSE)))</f>
        <v/>
      </c>
      <c r="R106" t="str">
        <f>IF(AND(COUNTIF($S$2:$S106, $S106)&gt;1,S106&lt;&gt;""), "Duplicate", "")</f>
        <v/>
      </c>
      <c r="S106" t="str">
        <f t="shared" si="7"/>
        <v/>
      </c>
    </row>
    <row r="107" spans="15:19" x14ac:dyDescent="0.25">
      <c r="O107" s="1" t="str">
        <f t="shared" si="8"/>
        <v/>
      </c>
      <c r="P107" s="1" t="str">
        <f t="shared" si="9"/>
        <v/>
      </c>
      <c r="Q107" s="1" t="str">
        <f>IF(O107="","",IF(OR(ISNA(VLOOKUP(O107,Final!T:T,1,FALSE)),R107="Duplicate"),"NA",VLOOKUP(O107,Final!T:T,1,FALSE)))</f>
        <v/>
      </c>
      <c r="R107" t="str">
        <f>IF(AND(COUNTIF($S$2:$S107, $S107)&gt;1,S107&lt;&gt;""), "Duplicate", "")</f>
        <v/>
      </c>
      <c r="S107" t="str">
        <f t="shared" si="7"/>
        <v/>
      </c>
    </row>
    <row r="108" spans="15:19" x14ac:dyDescent="0.25">
      <c r="O108" s="1" t="str">
        <f t="shared" si="8"/>
        <v/>
      </c>
      <c r="P108" s="1" t="str">
        <f t="shared" si="9"/>
        <v/>
      </c>
      <c r="Q108" s="1" t="str">
        <f>IF(O108="","",IF(OR(ISNA(VLOOKUP(O108,Final!T:T,1,FALSE)),R108="Duplicate"),"NA",VLOOKUP(O108,Final!T:T,1,FALSE)))</f>
        <v/>
      </c>
      <c r="R108" t="str">
        <f>IF(AND(COUNTIF($S$2:$S108, $S108)&gt;1,S108&lt;&gt;""), "Duplicate", "")</f>
        <v/>
      </c>
      <c r="S108" t="str">
        <f t="shared" si="7"/>
        <v/>
      </c>
    </row>
    <row r="109" spans="15:19" x14ac:dyDescent="0.25">
      <c r="O109" s="1" t="str">
        <f t="shared" si="8"/>
        <v/>
      </c>
      <c r="P109" s="1" t="str">
        <f t="shared" si="9"/>
        <v/>
      </c>
      <c r="Q109" s="1" t="str">
        <f>IF(O109="","",IF(OR(ISNA(VLOOKUP(O109,Final!T:T,1,FALSE)),R109="Duplicate"),"NA",VLOOKUP(O109,Final!T:T,1,FALSE)))</f>
        <v/>
      </c>
      <c r="R109" t="str">
        <f>IF(AND(COUNTIF($S$2:$S109, $S109)&gt;1,S109&lt;&gt;""), "Duplicate", "")</f>
        <v/>
      </c>
      <c r="S109" t="str">
        <f t="shared" si="7"/>
        <v/>
      </c>
    </row>
    <row r="110" spans="15:19" x14ac:dyDescent="0.25">
      <c r="O110" s="1" t="str">
        <f t="shared" si="8"/>
        <v/>
      </c>
      <c r="P110" s="1" t="str">
        <f t="shared" si="9"/>
        <v/>
      </c>
      <c r="Q110" s="1" t="str">
        <f>IF(O110="","",IF(OR(ISNA(VLOOKUP(O110,Final!T:T,1,FALSE)),R110="Duplicate"),"NA",VLOOKUP(O110,Final!T:T,1,FALSE)))</f>
        <v/>
      </c>
      <c r="R110" t="str">
        <f>IF(AND(COUNTIF($S$2:$S110, $S110)&gt;1,S110&lt;&gt;""), "Duplicate", "")</f>
        <v/>
      </c>
      <c r="S110" t="str">
        <f t="shared" si="7"/>
        <v/>
      </c>
    </row>
    <row r="111" spans="15:19" x14ac:dyDescent="0.25">
      <c r="O111" s="1" t="str">
        <f t="shared" si="8"/>
        <v/>
      </c>
      <c r="P111" s="1" t="str">
        <f t="shared" si="9"/>
        <v/>
      </c>
      <c r="Q111" s="1" t="str">
        <f>IF(O111="","",IF(OR(ISNA(VLOOKUP(O111,Final!T:T,1,FALSE)),R111="Duplicate"),"NA",VLOOKUP(O111,Final!T:T,1,FALSE)))</f>
        <v/>
      </c>
      <c r="R111" t="str">
        <f>IF(AND(COUNTIF($S$2:$S111, $S111)&gt;1,S111&lt;&gt;""), "Duplicate", "")</f>
        <v/>
      </c>
      <c r="S111" t="str">
        <f t="shared" si="7"/>
        <v/>
      </c>
    </row>
    <row r="112" spans="15:19" x14ac:dyDescent="0.25">
      <c r="O112" s="1" t="str">
        <f t="shared" si="8"/>
        <v/>
      </c>
      <c r="P112" s="1" t="str">
        <f t="shared" si="9"/>
        <v/>
      </c>
      <c r="Q112" s="1" t="str">
        <f>IF(O112="","",IF(OR(ISNA(VLOOKUP(O112,Final!T:T,1,FALSE)),R112="Duplicate"),"NA",VLOOKUP(O112,Final!T:T,1,FALSE)))</f>
        <v/>
      </c>
      <c r="R112" t="str">
        <f>IF(AND(COUNTIF($S$2:$S112, $S112)&gt;1,S112&lt;&gt;""), "Duplicate", "")</f>
        <v/>
      </c>
      <c r="S112" t="str">
        <f t="shared" si="7"/>
        <v/>
      </c>
    </row>
    <row r="113" spans="15:19" x14ac:dyDescent="0.25">
      <c r="O113" s="1" t="str">
        <f t="shared" si="8"/>
        <v/>
      </c>
      <c r="P113" s="1" t="str">
        <f t="shared" si="9"/>
        <v/>
      </c>
      <c r="Q113" s="1" t="str">
        <f>IF(O113="","",IF(OR(ISNA(VLOOKUP(O113,Final!T:T,1,FALSE)),R113="Duplicate"),"NA",VLOOKUP(O113,Final!T:T,1,FALSE)))</f>
        <v/>
      </c>
      <c r="R113" t="str">
        <f>IF(AND(COUNTIF($S$2:$S113, $S113)&gt;1,S113&lt;&gt;""), "Duplicate", "")</f>
        <v/>
      </c>
      <c r="S113" t="str">
        <f t="shared" si="7"/>
        <v/>
      </c>
    </row>
    <row r="114" spans="15:19" x14ac:dyDescent="0.25">
      <c r="O114" s="1" t="str">
        <f t="shared" si="8"/>
        <v/>
      </c>
      <c r="P114" s="1" t="str">
        <f t="shared" si="9"/>
        <v/>
      </c>
      <c r="Q114" s="1" t="str">
        <f>IF(O114="","",IF(OR(ISNA(VLOOKUP(O114,Final!T:T,1,FALSE)),R114="Duplicate"),"NA",VLOOKUP(O114,Final!T:T,1,FALSE)))</f>
        <v/>
      </c>
      <c r="R114" t="str">
        <f>IF(AND(COUNTIF($S$2:$S114, $S114)&gt;1,S114&lt;&gt;""), "Duplicate", "")</f>
        <v/>
      </c>
      <c r="S114" t="str">
        <f t="shared" si="7"/>
        <v/>
      </c>
    </row>
    <row r="115" spans="15:19" x14ac:dyDescent="0.25">
      <c r="O115" s="1" t="str">
        <f t="shared" si="8"/>
        <v/>
      </c>
      <c r="P115" s="1" t="str">
        <f t="shared" si="9"/>
        <v/>
      </c>
      <c r="Q115" s="1" t="str">
        <f>IF(O115="","",IF(OR(ISNA(VLOOKUP(O115,Final!T:T,1,FALSE)),R115="Duplicate"),"NA",VLOOKUP(O115,Final!T:T,1,FALSE)))</f>
        <v/>
      </c>
      <c r="R115" t="str">
        <f>IF(AND(COUNTIF($S$2:$S115, $S115)&gt;1,S115&lt;&gt;""), "Duplicate", "")</f>
        <v/>
      </c>
      <c r="S115" t="str">
        <f t="shared" si="7"/>
        <v/>
      </c>
    </row>
    <row r="116" spans="15:19" x14ac:dyDescent="0.25">
      <c r="O116" s="1" t="str">
        <f t="shared" si="8"/>
        <v/>
      </c>
      <c r="P116" s="1" t="str">
        <f t="shared" si="9"/>
        <v/>
      </c>
      <c r="Q116" s="1" t="str">
        <f>IF(O116="","",IF(OR(ISNA(VLOOKUP(O116,Final!T:T,1,FALSE)),R116="Duplicate"),"NA",VLOOKUP(O116,Final!T:T,1,FALSE)))</f>
        <v/>
      </c>
      <c r="R116" t="str">
        <f>IF(AND(COUNTIF($S$2:$S116, $S116)&gt;1,S116&lt;&gt;""), "Duplicate", "")</f>
        <v/>
      </c>
      <c r="S116" t="str">
        <f t="shared" si="7"/>
        <v/>
      </c>
    </row>
    <row r="117" spans="15:19" x14ac:dyDescent="0.25">
      <c r="O117" s="1" t="str">
        <f t="shared" si="8"/>
        <v/>
      </c>
      <c r="P117" s="1" t="str">
        <f t="shared" si="9"/>
        <v/>
      </c>
      <c r="Q117" s="1" t="str">
        <f>IF(O117="","",IF(OR(ISNA(VLOOKUP(O117,Final!T:T,1,FALSE)),R117="Duplicate"),"NA",VLOOKUP(O117,Final!T:T,1,FALSE)))</f>
        <v/>
      </c>
      <c r="R117" t="str">
        <f>IF(AND(COUNTIF($S$2:$S117, $S117)&gt;1,S117&lt;&gt;""), "Duplicate", "")</f>
        <v/>
      </c>
      <c r="S117" t="str">
        <f t="shared" si="7"/>
        <v/>
      </c>
    </row>
    <row r="118" spans="15:19" x14ac:dyDescent="0.25">
      <c r="O118" s="1" t="str">
        <f t="shared" si="8"/>
        <v/>
      </c>
      <c r="P118" s="1" t="str">
        <f t="shared" si="9"/>
        <v/>
      </c>
      <c r="Q118" s="1" t="str">
        <f>IF(O118="","",IF(OR(ISNA(VLOOKUP(O118,Final!T:T,1,FALSE)),R118="Duplicate"),"NA",VLOOKUP(O118,Final!T:T,1,FALSE)))</f>
        <v/>
      </c>
      <c r="R118" t="str">
        <f>IF(AND(COUNTIF($S$2:$S118, $S118)&gt;1,S118&lt;&gt;""), "Duplicate", "")</f>
        <v/>
      </c>
      <c r="S118" t="str">
        <f t="shared" si="7"/>
        <v/>
      </c>
    </row>
    <row r="119" spans="15:19" x14ac:dyDescent="0.25">
      <c r="O119" s="1" t="str">
        <f t="shared" si="8"/>
        <v/>
      </c>
      <c r="P119" s="1" t="str">
        <f t="shared" si="9"/>
        <v/>
      </c>
      <c r="Q119" s="1" t="str">
        <f>IF(O119="","",IF(OR(ISNA(VLOOKUP(O119,Final!T:T,1,FALSE)),R119="Duplicate"),"NA",VLOOKUP(O119,Final!T:T,1,FALSE)))</f>
        <v/>
      </c>
      <c r="R119" t="str">
        <f>IF(AND(COUNTIF($S$2:$S119, $S119)&gt;1,S119&lt;&gt;""), "Duplicate", "")</f>
        <v/>
      </c>
      <c r="S119" t="str">
        <f t="shared" si="7"/>
        <v/>
      </c>
    </row>
    <row r="120" spans="15:19" x14ac:dyDescent="0.25">
      <c r="O120" s="1" t="str">
        <f t="shared" si="8"/>
        <v/>
      </c>
      <c r="P120" s="1" t="str">
        <f t="shared" si="9"/>
        <v/>
      </c>
      <c r="Q120" s="1" t="str">
        <f>IF(O120="","",IF(OR(ISNA(VLOOKUP(O120,Final!T:T,1,FALSE)),R120="Duplicate"),"NA",VLOOKUP(O120,Final!T:T,1,FALSE)))</f>
        <v/>
      </c>
      <c r="R120" t="str">
        <f>IF(AND(COUNTIF($S$2:$S120, $S120)&gt;1,S120&lt;&gt;""), "Duplicate", "")</f>
        <v/>
      </c>
      <c r="S120" t="str">
        <f t="shared" si="7"/>
        <v/>
      </c>
    </row>
    <row r="121" spans="15:19" x14ac:dyDescent="0.25">
      <c r="O121" s="1" t="str">
        <f t="shared" si="8"/>
        <v/>
      </c>
      <c r="P121" s="1" t="str">
        <f t="shared" si="9"/>
        <v/>
      </c>
      <c r="Q121" s="1" t="str">
        <f>IF(O121="","",IF(OR(ISNA(VLOOKUP(O121,Final!T:T,1,FALSE)),R121="Duplicate"),"NA",VLOOKUP(O121,Final!T:T,1,FALSE)))</f>
        <v/>
      </c>
      <c r="R121" t="str">
        <f>IF(AND(COUNTIF($S$2:$S121, $S121)&gt;1,S121&lt;&gt;""), "Duplicate", "")</f>
        <v/>
      </c>
      <c r="S121" t="str">
        <f t="shared" si="7"/>
        <v/>
      </c>
    </row>
    <row r="122" spans="15:19" x14ac:dyDescent="0.25">
      <c r="O122" s="1" t="str">
        <f t="shared" si="8"/>
        <v/>
      </c>
      <c r="P122" s="1" t="str">
        <f t="shared" si="9"/>
        <v/>
      </c>
      <c r="Q122" s="1" t="str">
        <f>IF(O122="","",IF(OR(ISNA(VLOOKUP(O122,Final!T:T,1,FALSE)),R122="Duplicate"),"NA",VLOOKUP(O122,Final!T:T,1,FALSE)))</f>
        <v/>
      </c>
      <c r="R122" t="str">
        <f>IF(AND(COUNTIF($S$2:$S122, $S122)&gt;1,S122&lt;&gt;""), "Duplicate", "")</f>
        <v/>
      </c>
      <c r="S122" t="str">
        <f t="shared" si="7"/>
        <v/>
      </c>
    </row>
    <row r="123" spans="15:19" x14ac:dyDescent="0.25">
      <c r="O123" s="1" t="str">
        <f t="shared" si="8"/>
        <v/>
      </c>
      <c r="P123" s="1" t="str">
        <f t="shared" si="9"/>
        <v/>
      </c>
      <c r="Q123" s="1" t="str">
        <f>IF(O123="","",IF(OR(ISNA(VLOOKUP(O123,Final!T:T,1,FALSE)),R123="Duplicate"),"NA",VLOOKUP(O123,Final!T:T,1,FALSE)))</f>
        <v/>
      </c>
      <c r="R123" t="str">
        <f>IF(AND(COUNTIF($S$2:$S123, $S123)&gt;1,S123&lt;&gt;""), "Duplicate", "")</f>
        <v/>
      </c>
      <c r="S123" t="str">
        <f t="shared" si="7"/>
        <v/>
      </c>
    </row>
    <row r="124" spans="15:19" x14ac:dyDescent="0.25">
      <c r="O124" s="1" t="str">
        <f t="shared" si="8"/>
        <v/>
      </c>
      <c r="P124" s="1" t="str">
        <f t="shared" si="9"/>
        <v/>
      </c>
      <c r="Q124" s="1" t="str">
        <f>IF(O124="","",IF(OR(ISNA(VLOOKUP(O124,Final!T:T,1,FALSE)),R124="Duplicate"),"NA",VLOOKUP(O124,Final!T:T,1,FALSE)))</f>
        <v/>
      </c>
      <c r="R124" t="str">
        <f>IF(AND(COUNTIF($S$2:$S124, $S124)&gt;1,S124&lt;&gt;""), "Duplicate", "")</f>
        <v/>
      </c>
      <c r="S124" t="str">
        <f t="shared" si="7"/>
        <v/>
      </c>
    </row>
    <row r="125" spans="15:19" x14ac:dyDescent="0.25">
      <c r="O125" s="1" t="str">
        <f t="shared" si="8"/>
        <v/>
      </c>
      <c r="P125" s="1" t="str">
        <f t="shared" si="9"/>
        <v/>
      </c>
      <c r="Q125" s="1" t="str">
        <f>IF(O125="","",IF(OR(ISNA(VLOOKUP(O125,Final!T:T,1,FALSE)),R125="Duplicate"),"NA",VLOOKUP(O125,Final!T:T,1,FALSE)))</f>
        <v/>
      </c>
      <c r="R125" t="str">
        <f>IF(AND(COUNTIF($S$2:$S125, $S125)&gt;1,S125&lt;&gt;""), "Duplicate", "")</f>
        <v/>
      </c>
      <c r="S125" t="str">
        <f t="shared" si="7"/>
        <v/>
      </c>
    </row>
    <row r="126" spans="15:19" x14ac:dyDescent="0.25">
      <c r="O126" s="1" t="str">
        <f t="shared" si="8"/>
        <v/>
      </c>
      <c r="P126" s="1" t="str">
        <f t="shared" si="9"/>
        <v/>
      </c>
      <c r="Q126" s="1" t="str">
        <f>IF(O126="","",IF(OR(ISNA(VLOOKUP(O126,Final!T:T,1,FALSE)),R126="Duplicate"),"NA",VLOOKUP(O126,Final!T:T,1,FALSE)))</f>
        <v/>
      </c>
      <c r="R126" t="str">
        <f>IF(AND(COUNTIF($S$2:$S126, $S126)&gt;1,S126&lt;&gt;""), "Duplicate", "")</f>
        <v/>
      </c>
      <c r="S126" t="str">
        <f t="shared" si="7"/>
        <v/>
      </c>
    </row>
    <row r="127" spans="15:19" x14ac:dyDescent="0.25">
      <c r="O127" s="1" t="str">
        <f t="shared" si="8"/>
        <v/>
      </c>
      <c r="P127" s="1" t="str">
        <f t="shared" si="9"/>
        <v/>
      </c>
      <c r="Q127" s="1" t="str">
        <f>IF(O127="","",IF(OR(ISNA(VLOOKUP(O127,Final!T:T,1,FALSE)),R127="Duplicate"),"NA",VLOOKUP(O127,Final!T:T,1,FALSE)))</f>
        <v/>
      </c>
      <c r="R127" t="str">
        <f>IF(AND(COUNTIF($S$2:$S127, $S127)&gt;1,S127&lt;&gt;""), "Duplicate", "")</f>
        <v/>
      </c>
      <c r="S127" t="str">
        <f t="shared" si="7"/>
        <v/>
      </c>
    </row>
    <row r="128" spans="15:19" x14ac:dyDescent="0.25">
      <c r="O128" s="1" t="str">
        <f t="shared" si="8"/>
        <v/>
      </c>
      <c r="P128" s="1" t="str">
        <f t="shared" si="9"/>
        <v/>
      </c>
      <c r="Q128" s="1" t="str">
        <f>IF(O128="","",IF(OR(ISNA(VLOOKUP(O128,Final!T:T,1,FALSE)),R128="Duplicate"),"NA",VLOOKUP(O128,Final!T:T,1,FALSE)))</f>
        <v/>
      </c>
      <c r="R128" t="str">
        <f>IF(AND(COUNTIF($S$2:$S128, $S128)&gt;1,S128&lt;&gt;""), "Duplicate", "")</f>
        <v/>
      </c>
      <c r="S128" t="str">
        <f t="shared" si="7"/>
        <v/>
      </c>
    </row>
    <row r="129" spans="15:19" x14ac:dyDescent="0.25">
      <c r="O129" s="1" t="str">
        <f t="shared" si="8"/>
        <v/>
      </c>
      <c r="P129" s="1" t="str">
        <f t="shared" si="9"/>
        <v/>
      </c>
      <c r="Q129" s="1" t="str">
        <f>IF(O129="","",IF(OR(ISNA(VLOOKUP(O129,Final!T:T,1,FALSE)),R129="Duplicate"),"NA",VLOOKUP(O129,Final!T:T,1,FALSE)))</f>
        <v/>
      </c>
      <c r="R129" t="str">
        <f>IF(AND(COUNTIF($S$2:$S129, $S129)&gt;1,S129&lt;&gt;""), "Duplicate", "")</f>
        <v/>
      </c>
      <c r="S129" t="str">
        <f t="shared" si="7"/>
        <v/>
      </c>
    </row>
    <row r="130" spans="15:19" x14ac:dyDescent="0.25">
      <c r="O130" s="1" t="str">
        <f t="shared" ref="O130:O161" si="10">D130&amp;E130</f>
        <v/>
      </c>
      <c r="P130" s="1" t="str">
        <f t="shared" ref="P130:P161" si="11">IF(C130="","",C130)</f>
        <v/>
      </c>
      <c r="Q130" s="1" t="str">
        <f>IF(O130="","",IF(OR(ISNA(VLOOKUP(O130,Final!T:T,1,FALSE)),R130="Duplicate"),"NA",VLOOKUP(O130,Final!T:T,1,FALSE)))</f>
        <v/>
      </c>
      <c r="R130" t="str">
        <f>IF(AND(COUNTIF($S$2:$S130, $S130)&gt;1,S130&lt;&gt;""), "Duplicate", "")</f>
        <v/>
      </c>
      <c r="S130" t="str">
        <f t="shared" si="7"/>
        <v/>
      </c>
    </row>
    <row r="131" spans="15:19" x14ac:dyDescent="0.25">
      <c r="O131" s="1" t="str">
        <f t="shared" si="10"/>
        <v/>
      </c>
      <c r="P131" s="1" t="str">
        <f t="shared" si="11"/>
        <v/>
      </c>
      <c r="Q131" s="1" t="str">
        <f>IF(O131="","",IF(OR(ISNA(VLOOKUP(O131,Final!T:T,1,FALSE)),R131="Duplicate"),"NA",VLOOKUP(O131,Final!T:T,1,FALSE)))</f>
        <v/>
      </c>
      <c r="R131" t="str">
        <f>IF(AND(COUNTIF($S$2:$S131, $S131)&gt;1,S131&lt;&gt;""), "Duplicate", "")</f>
        <v/>
      </c>
      <c r="S131" t="str">
        <f t="shared" ref="S131:S184" si="12">D131&amp;E131</f>
        <v/>
      </c>
    </row>
    <row r="132" spans="15:19" x14ac:dyDescent="0.25">
      <c r="O132" s="1" t="str">
        <f t="shared" si="10"/>
        <v/>
      </c>
      <c r="P132" s="1" t="str">
        <f t="shared" si="11"/>
        <v/>
      </c>
      <c r="Q132" s="1" t="str">
        <f>IF(O132="","",IF(OR(ISNA(VLOOKUP(O132,Final!T:T,1,FALSE)),R132="Duplicate"),"NA",VLOOKUP(O132,Final!T:T,1,FALSE)))</f>
        <v/>
      </c>
      <c r="R132" t="str">
        <f>IF(AND(COUNTIF($S$2:$S132, $S132)&gt;1,S132&lt;&gt;""), "Duplicate", "")</f>
        <v/>
      </c>
      <c r="S132" t="str">
        <f t="shared" si="12"/>
        <v/>
      </c>
    </row>
    <row r="133" spans="15:19" x14ac:dyDescent="0.25">
      <c r="O133" s="1" t="str">
        <f t="shared" si="10"/>
        <v/>
      </c>
      <c r="P133" s="1" t="str">
        <f t="shared" si="11"/>
        <v/>
      </c>
      <c r="Q133" s="1" t="str">
        <f>IF(O133="","",IF(OR(ISNA(VLOOKUP(O133,Final!T:T,1,FALSE)),R133="Duplicate"),"NA",VLOOKUP(O133,Final!T:T,1,FALSE)))</f>
        <v/>
      </c>
      <c r="R133" t="str">
        <f>IF(AND(COUNTIF($S$2:$S133, $S133)&gt;1,S133&lt;&gt;""), "Duplicate", "")</f>
        <v/>
      </c>
      <c r="S133" t="str">
        <f t="shared" si="12"/>
        <v/>
      </c>
    </row>
    <row r="134" spans="15:19" x14ac:dyDescent="0.25">
      <c r="O134" s="1" t="str">
        <f t="shared" si="10"/>
        <v/>
      </c>
      <c r="P134" s="1" t="str">
        <f t="shared" si="11"/>
        <v/>
      </c>
      <c r="Q134" s="1" t="str">
        <f>IF(O134="","",IF(OR(ISNA(VLOOKUP(O134,Final!T:T,1,FALSE)),R134="Duplicate"),"NA",VLOOKUP(O134,Final!T:T,1,FALSE)))</f>
        <v/>
      </c>
      <c r="R134" t="str">
        <f>IF(AND(COUNTIF($S$2:$S134, $S134)&gt;1,S134&lt;&gt;""), "Duplicate", "")</f>
        <v/>
      </c>
      <c r="S134" t="str">
        <f t="shared" si="12"/>
        <v/>
      </c>
    </row>
    <row r="135" spans="15:19" x14ac:dyDescent="0.25">
      <c r="O135" s="1" t="str">
        <f t="shared" si="10"/>
        <v/>
      </c>
      <c r="P135" s="1" t="str">
        <f t="shared" si="11"/>
        <v/>
      </c>
      <c r="Q135" s="1" t="str">
        <f>IF(O135="","",IF(OR(ISNA(VLOOKUP(O135,Final!T:T,1,FALSE)),R135="Duplicate"),"NA",VLOOKUP(O135,Final!T:T,1,FALSE)))</f>
        <v/>
      </c>
      <c r="R135" t="str">
        <f>IF(AND(COUNTIF($S$2:$S135, $S135)&gt;1,S135&lt;&gt;""), "Duplicate", "")</f>
        <v/>
      </c>
      <c r="S135" t="str">
        <f t="shared" si="12"/>
        <v/>
      </c>
    </row>
    <row r="136" spans="15:19" x14ac:dyDescent="0.25">
      <c r="O136" s="1" t="str">
        <f t="shared" si="10"/>
        <v/>
      </c>
      <c r="P136" s="1" t="str">
        <f t="shared" si="11"/>
        <v/>
      </c>
      <c r="Q136" s="1" t="str">
        <f>IF(O136="","",IF(OR(ISNA(VLOOKUP(O136,Final!T:T,1,FALSE)),R136="Duplicate"),"NA",VLOOKUP(O136,Final!T:T,1,FALSE)))</f>
        <v/>
      </c>
      <c r="R136" t="str">
        <f>IF(AND(COUNTIF($S$2:$S136, $S136)&gt;1,S136&lt;&gt;""), "Duplicate", "")</f>
        <v/>
      </c>
      <c r="S136" t="str">
        <f t="shared" si="12"/>
        <v/>
      </c>
    </row>
    <row r="137" spans="15:19" x14ac:dyDescent="0.25">
      <c r="O137" s="1" t="str">
        <f t="shared" si="10"/>
        <v/>
      </c>
      <c r="P137" s="1" t="str">
        <f t="shared" si="11"/>
        <v/>
      </c>
      <c r="Q137" s="1" t="str">
        <f>IF(O137="","",IF(OR(ISNA(VLOOKUP(O137,Final!T:T,1,FALSE)),R137="Duplicate"),"NA",VLOOKUP(O137,Final!T:T,1,FALSE)))</f>
        <v/>
      </c>
      <c r="R137" t="str">
        <f>IF(AND(COUNTIF($S$2:$S137, $S137)&gt;1,S137&lt;&gt;""), "Duplicate", "")</f>
        <v/>
      </c>
      <c r="S137" t="str">
        <f t="shared" si="12"/>
        <v/>
      </c>
    </row>
    <row r="138" spans="15:19" x14ac:dyDescent="0.25">
      <c r="O138" s="1" t="str">
        <f t="shared" si="10"/>
        <v/>
      </c>
      <c r="P138" s="1" t="str">
        <f t="shared" si="11"/>
        <v/>
      </c>
      <c r="Q138" s="1" t="str">
        <f>IF(O138="","",IF(OR(ISNA(VLOOKUP(O138,Final!T:T,1,FALSE)),R138="Duplicate"),"NA",VLOOKUP(O138,Final!T:T,1,FALSE)))</f>
        <v/>
      </c>
      <c r="R138" t="str">
        <f>IF(AND(COUNTIF($S$2:$S138, $S138)&gt;1,S138&lt;&gt;""), "Duplicate", "")</f>
        <v/>
      </c>
      <c r="S138" t="str">
        <f t="shared" si="12"/>
        <v/>
      </c>
    </row>
    <row r="139" spans="15:19" x14ac:dyDescent="0.25">
      <c r="O139" s="1" t="str">
        <f t="shared" si="10"/>
        <v/>
      </c>
      <c r="P139" s="1" t="str">
        <f t="shared" si="11"/>
        <v/>
      </c>
      <c r="Q139" s="1" t="str">
        <f>IF(O139="","",IF(OR(ISNA(VLOOKUP(O139,Final!T:T,1,FALSE)),R139="Duplicate"),"NA",VLOOKUP(O139,Final!T:T,1,FALSE)))</f>
        <v/>
      </c>
      <c r="R139" t="str">
        <f>IF(AND(COUNTIF($S$2:$S139, $S139)&gt;1,S139&lt;&gt;""), "Duplicate", "")</f>
        <v/>
      </c>
      <c r="S139" t="str">
        <f t="shared" si="12"/>
        <v/>
      </c>
    </row>
    <row r="140" spans="15:19" x14ac:dyDescent="0.25">
      <c r="O140" s="1" t="str">
        <f t="shared" si="10"/>
        <v/>
      </c>
      <c r="P140" s="1" t="str">
        <f t="shared" si="11"/>
        <v/>
      </c>
      <c r="Q140" s="1" t="str">
        <f>IF(O140="","",IF(OR(ISNA(VLOOKUP(O140,Final!T:T,1,FALSE)),R140="Duplicate"),"NA",VLOOKUP(O140,Final!T:T,1,FALSE)))</f>
        <v/>
      </c>
      <c r="R140" t="str">
        <f>IF(AND(COUNTIF($S$2:$S140, $S140)&gt;1,S140&lt;&gt;""), "Duplicate", "")</f>
        <v/>
      </c>
      <c r="S140" t="str">
        <f t="shared" si="12"/>
        <v/>
      </c>
    </row>
    <row r="141" spans="15:19" x14ac:dyDescent="0.25">
      <c r="O141" s="1" t="str">
        <f t="shared" si="10"/>
        <v/>
      </c>
      <c r="P141" s="1" t="str">
        <f t="shared" si="11"/>
        <v/>
      </c>
      <c r="Q141" s="1" t="str">
        <f>IF(O141="","",IF(OR(ISNA(VLOOKUP(O141,Final!T:T,1,FALSE)),R141="Duplicate"),"NA",VLOOKUP(O141,Final!T:T,1,FALSE)))</f>
        <v/>
      </c>
      <c r="R141" t="str">
        <f>IF(AND(COUNTIF($S$2:$S141, $S141)&gt;1,S141&lt;&gt;""), "Duplicate", "")</f>
        <v/>
      </c>
      <c r="S141" t="str">
        <f t="shared" si="12"/>
        <v/>
      </c>
    </row>
    <row r="142" spans="15:19" x14ac:dyDescent="0.25">
      <c r="O142" s="1" t="str">
        <f t="shared" si="10"/>
        <v/>
      </c>
      <c r="P142" s="1" t="str">
        <f t="shared" si="11"/>
        <v/>
      </c>
      <c r="Q142" s="1" t="str">
        <f>IF(O142="","",IF(OR(ISNA(VLOOKUP(O142,Final!T:T,1,FALSE)),R142="Duplicate"),"NA",VLOOKUP(O142,Final!T:T,1,FALSE)))</f>
        <v/>
      </c>
      <c r="R142" t="str">
        <f>IF(AND(COUNTIF($S$2:$S142, $S142)&gt;1,S142&lt;&gt;""), "Duplicate", "")</f>
        <v/>
      </c>
      <c r="S142" t="str">
        <f t="shared" si="12"/>
        <v/>
      </c>
    </row>
    <row r="143" spans="15:19" x14ac:dyDescent="0.25">
      <c r="O143" s="1" t="str">
        <f t="shared" si="10"/>
        <v/>
      </c>
      <c r="P143" s="1" t="str">
        <f t="shared" si="11"/>
        <v/>
      </c>
      <c r="Q143" s="1" t="str">
        <f>IF(O143="","",IF(OR(ISNA(VLOOKUP(O143,Final!T:T,1,FALSE)),R143="Duplicate"),"NA",VLOOKUP(O143,Final!T:T,1,FALSE)))</f>
        <v/>
      </c>
      <c r="R143" t="str">
        <f>IF(AND(COUNTIF($S$2:$S143, $S143)&gt;1,S143&lt;&gt;""), "Duplicate", "")</f>
        <v/>
      </c>
      <c r="S143" t="str">
        <f t="shared" si="12"/>
        <v/>
      </c>
    </row>
    <row r="144" spans="15:19" x14ac:dyDescent="0.25">
      <c r="O144" s="1" t="str">
        <f t="shared" si="10"/>
        <v/>
      </c>
      <c r="P144" s="1" t="str">
        <f t="shared" si="11"/>
        <v/>
      </c>
      <c r="Q144" s="1" t="str">
        <f>IF(O144="","",IF(OR(ISNA(VLOOKUP(O144,Final!T:T,1,FALSE)),R144="Duplicate"),"NA",VLOOKUP(O144,Final!T:T,1,FALSE)))</f>
        <v/>
      </c>
      <c r="R144" t="str">
        <f>IF(AND(COUNTIF($S$2:$S144, $S144)&gt;1,S144&lt;&gt;""), "Duplicate", "")</f>
        <v/>
      </c>
      <c r="S144" t="str">
        <f t="shared" si="12"/>
        <v/>
      </c>
    </row>
    <row r="145" spans="15:19" x14ac:dyDescent="0.25">
      <c r="O145" s="1" t="str">
        <f t="shared" si="10"/>
        <v/>
      </c>
      <c r="P145" s="1" t="str">
        <f t="shared" si="11"/>
        <v/>
      </c>
      <c r="Q145" s="1" t="str">
        <f>IF(O145="","",IF(OR(ISNA(VLOOKUP(O145,Final!T:T,1,FALSE)),R145="Duplicate"),"NA",VLOOKUP(O145,Final!T:T,1,FALSE)))</f>
        <v/>
      </c>
      <c r="R145" t="str">
        <f>IF(AND(COUNTIF($S$2:$S145, $S145)&gt;1,S145&lt;&gt;""), "Duplicate", "")</f>
        <v/>
      </c>
      <c r="S145" t="str">
        <f t="shared" si="12"/>
        <v/>
      </c>
    </row>
    <row r="146" spans="15:19" x14ac:dyDescent="0.25">
      <c r="O146" s="1" t="str">
        <f t="shared" si="10"/>
        <v/>
      </c>
      <c r="P146" s="1" t="str">
        <f t="shared" si="11"/>
        <v/>
      </c>
      <c r="Q146" s="1" t="str">
        <f>IF(O146="","",IF(OR(ISNA(VLOOKUP(O146,Final!T:T,1,FALSE)),R146="Duplicate"),"NA",VLOOKUP(O146,Final!T:T,1,FALSE)))</f>
        <v/>
      </c>
      <c r="R146" t="str">
        <f>IF(AND(COUNTIF($S$2:$S146, $S146)&gt;1,S146&lt;&gt;""), "Duplicate", "")</f>
        <v/>
      </c>
      <c r="S146" t="str">
        <f t="shared" si="12"/>
        <v/>
      </c>
    </row>
    <row r="147" spans="15:19" x14ac:dyDescent="0.25">
      <c r="O147" s="1" t="str">
        <f t="shared" si="10"/>
        <v/>
      </c>
      <c r="P147" s="1" t="str">
        <f t="shared" si="11"/>
        <v/>
      </c>
      <c r="Q147" s="1" t="str">
        <f>IF(O147="","",IF(OR(ISNA(VLOOKUP(O147,Final!T:T,1,FALSE)),R147="Duplicate"),"NA",VLOOKUP(O147,Final!T:T,1,FALSE)))</f>
        <v/>
      </c>
      <c r="R147" t="str">
        <f>IF(AND(COUNTIF($S$2:$S147, $S147)&gt;1,S147&lt;&gt;""), "Duplicate", "")</f>
        <v/>
      </c>
      <c r="S147" t="str">
        <f t="shared" si="12"/>
        <v/>
      </c>
    </row>
    <row r="148" spans="15:19" x14ac:dyDescent="0.25">
      <c r="O148" s="1" t="str">
        <f t="shared" si="10"/>
        <v/>
      </c>
      <c r="P148" s="1" t="str">
        <f t="shared" si="11"/>
        <v/>
      </c>
      <c r="Q148" s="1" t="str">
        <f>IF(O148="","",IF(OR(ISNA(VLOOKUP(O148,Final!T:T,1,FALSE)),R148="Duplicate"),"NA",VLOOKUP(O148,Final!T:T,1,FALSE)))</f>
        <v/>
      </c>
      <c r="R148" t="str">
        <f>IF(AND(COUNTIF($S$2:$S148, $S148)&gt;1,S148&lt;&gt;""), "Duplicate", "")</f>
        <v/>
      </c>
      <c r="S148" t="str">
        <f t="shared" si="12"/>
        <v/>
      </c>
    </row>
    <row r="149" spans="15:19" x14ac:dyDescent="0.25">
      <c r="O149" s="1" t="str">
        <f t="shared" si="10"/>
        <v/>
      </c>
      <c r="P149" s="1" t="str">
        <f t="shared" si="11"/>
        <v/>
      </c>
      <c r="Q149" s="1" t="str">
        <f>IF(O149="","",IF(OR(ISNA(VLOOKUP(O149,Final!T:T,1,FALSE)),R149="Duplicate"),"NA",VLOOKUP(O149,Final!T:T,1,FALSE)))</f>
        <v/>
      </c>
      <c r="R149" t="str">
        <f>IF(AND(COUNTIF($S$2:$S149, $S149)&gt;1,S149&lt;&gt;""), "Duplicate", "")</f>
        <v/>
      </c>
      <c r="S149" t="str">
        <f t="shared" si="12"/>
        <v/>
      </c>
    </row>
    <row r="150" spans="15:19" x14ac:dyDescent="0.25">
      <c r="O150" s="1" t="str">
        <f t="shared" si="10"/>
        <v/>
      </c>
      <c r="P150" s="1" t="str">
        <f t="shared" si="11"/>
        <v/>
      </c>
      <c r="Q150" s="1" t="str">
        <f>IF(O150="","",IF(OR(ISNA(VLOOKUP(O150,Final!T:T,1,FALSE)),R150="Duplicate"),"NA",VLOOKUP(O150,Final!T:T,1,FALSE)))</f>
        <v/>
      </c>
      <c r="R150" t="str">
        <f>IF(AND(COUNTIF($S$2:$S150, $S150)&gt;1,S150&lt;&gt;""), "Duplicate", "")</f>
        <v/>
      </c>
      <c r="S150" t="str">
        <f t="shared" si="12"/>
        <v/>
      </c>
    </row>
    <row r="151" spans="15:19" x14ac:dyDescent="0.25">
      <c r="O151" s="1" t="str">
        <f t="shared" si="10"/>
        <v/>
      </c>
      <c r="P151" s="1" t="str">
        <f t="shared" si="11"/>
        <v/>
      </c>
      <c r="Q151" s="1" t="str">
        <f>IF(O151="","",IF(OR(ISNA(VLOOKUP(O151,Final!T:T,1,FALSE)),R151="Duplicate"),"NA",VLOOKUP(O151,Final!T:T,1,FALSE)))</f>
        <v/>
      </c>
      <c r="R151" t="str">
        <f>IF(AND(COUNTIF($S$2:$S151, $S151)&gt;1,S151&lt;&gt;""), "Duplicate", "")</f>
        <v/>
      </c>
      <c r="S151" t="str">
        <f t="shared" si="12"/>
        <v/>
      </c>
    </row>
    <row r="152" spans="15:19" x14ac:dyDescent="0.25">
      <c r="O152" s="1" t="str">
        <f t="shared" si="10"/>
        <v/>
      </c>
      <c r="P152" s="1" t="str">
        <f t="shared" si="11"/>
        <v/>
      </c>
      <c r="Q152" s="1" t="str">
        <f>IF(O152="","",IF(OR(ISNA(VLOOKUP(O152,Final!T:T,1,FALSE)),R152="Duplicate"),"NA",VLOOKUP(O152,Final!T:T,1,FALSE)))</f>
        <v/>
      </c>
      <c r="R152" t="str">
        <f>IF(AND(COUNTIF($S$2:$S152, $S152)&gt;1,S152&lt;&gt;""), "Duplicate", "")</f>
        <v/>
      </c>
      <c r="S152" t="str">
        <f t="shared" si="12"/>
        <v/>
      </c>
    </row>
    <row r="153" spans="15:19" x14ac:dyDescent="0.25">
      <c r="O153" s="1" t="str">
        <f t="shared" si="10"/>
        <v/>
      </c>
      <c r="P153" s="1" t="str">
        <f t="shared" si="11"/>
        <v/>
      </c>
      <c r="Q153" s="1" t="str">
        <f>IF(O153="","",IF(OR(ISNA(VLOOKUP(O153,Final!T:T,1,FALSE)),R153="Duplicate"),"NA",VLOOKUP(O153,Final!T:T,1,FALSE)))</f>
        <v/>
      </c>
      <c r="R153" t="str">
        <f>IF(AND(COUNTIF($S$2:$S153, $S153)&gt;1,S153&lt;&gt;""), "Duplicate", "")</f>
        <v/>
      </c>
      <c r="S153" t="str">
        <f t="shared" si="12"/>
        <v/>
      </c>
    </row>
    <row r="154" spans="15:19" x14ac:dyDescent="0.25">
      <c r="O154" s="1" t="str">
        <f t="shared" si="10"/>
        <v/>
      </c>
      <c r="P154" s="1" t="str">
        <f t="shared" si="11"/>
        <v/>
      </c>
      <c r="Q154" s="1" t="str">
        <f>IF(O154="","",IF(OR(ISNA(VLOOKUP(O154,Final!T:T,1,FALSE)),R154="Duplicate"),"NA",VLOOKUP(O154,Final!T:T,1,FALSE)))</f>
        <v/>
      </c>
      <c r="R154" t="str">
        <f>IF(AND(COUNTIF($S$2:$S154, $S154)&gt;1,S154&lt;&gt;""), "Duplicate", "")</f>
        <v/>
      </c>
      <c r="S154" t="str">
        <f t="shared" si="12"/>
        <v/>
      </c>
    </row>
    <row r="155" spans="15:19" x14ac:dyDescent="0.25">
      <c r="O155" s="1" t="str">
        <f t="shared" si="10"/>
        <v/>
      </c>
      <c r="P155" s="1" t="str">
        <f t="shared" si="11"/>
        <v/>
      </c>
      <c r="Q155" s="1" t="str">
        <f>IF(O155="","",IF(OR(ISNA(VLOOKUP(O155,Final!T:T,1,FALSE)),R155="Duplicate"),"NA",VLOOKUP(O155,Final!T:T,1,FALSE)))</f>
        <v/>
      </c>
      <c r="R155" t="str">
        <f>IF(AND(COUNTIF($S$2:$S155, $S155)&gt;1,S155&lt;&gt;""), "Duplicate", "")</f>
        <v/>
      </c>
      <c r="S155" t="str">
        <f t="shared" si="12"/>
        <v/>
      </c>
    </row>
    <row r="156" spans="15:19" x14ac:dyDescent="0.25">
      <c r="O156" s="1" t="str">
        <f t="shared" si="10"/>
        <v/>
      </c>
      <c r="P156" s="1" t="str">
        <f t="shared" si="11"/>
        <v/>
      </c>
      <c r="Q156" s="1" t="str">
        <f>IF(O156="","",IF(OR(ISNA(VLOOKUP(O156,Final!T:T,1,FALSE)),R156="Duplicate"),"NA",VLOOKUP(O156,Final!T:T,1,FALSE)))</f>
        <v/>
      </c>
      <c r="R156" t="str">
        <f>IF(AND(COUNTIF($S$2:$S156, $S156)&gt;1,S156&lt;&gt;""), "Duplicate", "")</f>
        <v/>
      </c>
      <c r="S156" t="str">
        <f t="shared" si="12"/>
        <v/>
      </c>
    </row>
    <row r="157" spans="15:19" x14ac:dyDescent="0.25">
      <c r="O157" s="1" t="str">
        <f t="shared" si="10"/>
        <v/>
      </c>
      <c r="P157" s="1" t="str">
        <f t="shared" si="11"/>
        <v/>
      </c>
      <c r="Q157" s="1" t="str">
        <f>IF(O157="","",IF(OR(ISNA(VLOOKUP(O157,Final!T:T,1,FALSE)),R157="Duplicate"),"NA",VLOOKUP(O157,Final!T:T,1,FALSE)))</f>
        <v/>
      </c>
      <c r="R157" t="str">
        <f>IF(AND(COUNTIF($S$2:$S157, $S157)&gt;1,S157&lt;&gt;""), "Duplicate", "")</f>
        <v/>
      </c>
      <c r="S157" t="str">
        <f t="shared" si="12"/>
        <v/>
      </c>
    </row>
    <row r="158" spans="15:19" x14ac:dyDescent="0.25">
      <c r="O158" s="1" t="str">
        <f t="shared" si="10"/>
        <v/>
      </c>
      <c r="P158" s="1" t="str">
        <f t="shared" si="11"/>
        <v/>
      </c>
      <c r="Q158" s="1" t="str">
        <f>IF(O158="","",IF(OR(ISNA(VLOOKUP(O158,Final!T:T,1,FALSE)),R158="Duplicate"),"NA",VLOOKUP(O158,Final!T:T,1,FALSE)))</f>
        <v/>
      </c>
      <c r="R158" t="str">
        <f>IF(AND(COUNTIF($S$2:$S158, $S158)&gt;1,S158&lt;&gt;""), "Duplicate", "")</f>
        <v/>
      </c>
      <c r="S158" t="str">
        <f t="shared" si="12"/>
        <v/>
      </c>
    </row>
    <row r="159" spans="15:19" x14ac:dyDescent="0.25">
      <c r="O159" s="1" t="str">
        <f t="shared" si="10"/>
        <v/>
      </c>
      <c r="P159" s="1" t="str">
        <f t="shared" si="11"/>
        <v/>
      </c>
      <c r="Q159" s="1" t="str">
        <f>IF(O159="","",IF(OR(ISNA(VLOOKUP(O159,Final!T:T,1,FALSE)),R159="Duplicate"),"NA",VLOOKUP(O159,Final!T:T,1,FALSE)))</f>
        <v/>
      </c>
      <c r="R159" t="str">
        <f>IF(AND(COUNTIF($S$2:$S159, $S159)&gt;1,S159&lt;&gt;""), "Duplicate", "")</f>
        <v/>
      </c>
      <c r="S159" t="str">
        <f t="shared" si="12"/>
        <v/>
      </c>
    </row>
    <row r="160" spans="15:19" x14ac:dyDescent="0.25">
      <c r="O160" s="1" t="str">
        <f t="shared" si="10"/>
        <v/>
      </c>
      <c r="P160" s="1" t="str">
        <f t="shared" si="11"/>
        <v/>
      </c>
      <c r="Q160" s="1" t="str">
        <f>IF(O160="","",IF(OR(ISNA(VLOOKUP(O160,Final!T:T,1,FALSE)),R160="Duplicate"),"NA",VLOOKUP(O160,Final!T:T,1,FALSE)))</f>
        <v/>
      </c>
      <c r="R160" t="str">
        <f>IF(AND(COUNTIF($S$2:$S160, $S160)&gt;1,S160&lt;&gt;""), "Duplicate", "")</f>
        <v/>
      </c>
      <c r="S160" t="str">
        <f t="shared" si="12"/>
        <v/>
      </c>
    </row>
    <row r="161" spans="15:19" x14ac:dyDescent="0.25">
      <c r="O161" s="1" t="str">
        <f t="shared" si="10"/>
        <v/>
      </c>
      <c r="P161" s="1" t="str">
        <f t="shared" si="11"/>
        <v/>
      </c>
      <c r="Q161" s="1" t="str">
        <f>IF(O161="","",IF(OR(ISNA(VLOOKUP(O161,Final!T:T,1,FALSE)),R161="Duplicate"),"NA",VLOOKUP(O161,Final!T:T,1,FALSE)))</f>
        <v/>
      </c>
      <c r="R161" t="str">
        <f>IF(AND(COUNTIF($S$2:$S161, $S161)&gt;1,S161&lt;&gt;""), "Duplicate", "")</f>
        <v/>
      </c>
      <c r="S161" t="str">
        <f t="shared" si="12"/>
        <v/>
      </c>
    </row>
    <row r="162" spans="15:19" x14ac:dyDescent="0.25">
      <c r="O162" s="1" t="str">
        <f t="shared" ref="O162:O184" si="13">D162&amp;E162</f>
        <v/>
      </c>
      <c r="P162" s="1" t="str">
        <f t="shared" ref="P162:P184" si="14">IF(C162="","",C162)</f>
        <v/>
      </c>
      <c r="Q162" s="1" t="str">
        <f>IF(O162="","",IF(OR(ISNA(VLOOKUP(O162,Final!T:T,1,FALSE)),R162="Duplicate"),"NA",VLOOKUP(O162,Final!T:T,1,FALSE)))</f>
        <v/>
      </c>
      <c r="R162" t="str">
        <f>IF(AND(COUNTIF($S$2:$S162, $S162)&gt;1,S162&lt;&gt;""), "Duplicate", "")</f>
        <v/>
      </c>
      <c r="S162" t="str">
        <f t="shared" si="12"/>
        <v/>
      </c>
    </row>
    <row r="163" spans="15:19" x14ac:dyDescent="0.25">
      <c r="O163" s="1" t="str">
        <f t="shared" si="13"/>
        <v/>
      </c>
      <c r="P163" s="1" t="str">
        <f t="shared" si="14"/>
        <v/>
      </c>
      <c r="Q163" s="1" t="str">
        <f>IF(O163="","",IF(OR(ISNA(VLOOKUP(O163,Final!T:T,1,FALSE)),R163="Duplicate"),"NA",VLOOKUP(O163,Final!T:T,1,FALSE)))</f>
        <v/>
      </c>
      <c r="R163" t="str">
        <f>IF(AND(COUNTIF($S$2:$S163, $S163)&gt;1,S163&lt;&gt;""), "Duplicate", "")</f>
        <v/>
      </c>
      <c r="S163" t="str">
        <f t="shared" si="12"/>
        <v/>
      </c>
    </row>
    <row r="164" spans="15:19" x14ac:dyDescent="0.25">
      <c r="O164" s="1" t="str">
        <f t="shared" si="13"/>
        <v/>
      </c>
      <c r="P164" s="1" t="str">
        <f t="shared" si="14"/>
        <v/>
      </c>
      <c r="Q164" s="1" t="str">
        <f>IF(O164="","",IF(OR(ISNA(VLOOKUP(O164,Final!T:T,1,FALSE)),R164="Duplicate"),"NA",VLOOKUP(O164,Final!T:T,1,FALSE)))</f>
        <v/>
      </c>
      <c r="R164" t="str">
        <f>IF(AND(COUNTIF($S$2:$S164, $S164)&gt;1,S164&lt;&gt;""), "Duplicate", "")</f>
        <v/>
      </c>
      <c r="S164" t="str">
        <f t="shared" si="12"/>
        <v/>
      </c>
    </row>
    <row r="165" spans="15:19" x14ac:dyDescent="0.25">
      <c r="O165" s="1" t="str">
        <f t="shared" si="13"/>
        <v/>
      </c>
      <c r="P165" s="1" t="str">
        <f t="shared" si="14"/>
        <v/>
      </c>
      <c r="Q165" s="1" t="str">
        <f>IF(O165="","",IF(OR(ISNA(VLOOKUP(O165,Final!T:T,1,FALSE)),R165="Duplicate"),"NA",VLOOKUP(O165,Final!T:T,1,FALSE)))</f>
        <v/>
      </c>
      <c r="R165" t="str">
        <f>IF(AND(COUNTIF($S$2:$S165, $S165)&gt;1,S165&lt;&gt;""), "Duplicate", "")</f>
        <v/>
      </c>
      <c r="S165" t="str">
        <f t="shared" si="12"/>
        <v/>
      </c>
    </row>
    <row r="166" spans="15:19" x14ac:dyDescent="0.25">
      <c r="O166" s="1" t="str">
        <f t="shared" si="13"/>
        <v/>
      </c>
      <c r="P166" s="1" t="str">
        <f t="shared" si="14"/>
        <v/>
      </c>
      <c r="Q166" s="1" t="str">
        <f>IF(O166="","",IF(OR(ISNA(VLOOKUP(O166,Final!T:T,1,FALSE)),R166="Duplicate"),"NA",VLOOKUP(O166,Final!T:T,1,FALSE)))</f>
        <v/>
      </c>
      <c r="R166" t="str">
        <f>IF(AND(COUNTIF($S$2:$S166, $S166)&gt;1,S166&lt;&gt;""), "Duplicate", "")</f>
        <v/>
      </c>
      <c r="S166" t="str">
        <f t="shared" si="12"/>
        <v/>
      </c>
    </row>
    <row r="167" spans="15:19" x14ac:dyDescent="0.25">
      <c r="O167" s="1" t="str">
        <f t="shared" si="13"/>
        <v/>
      </c>
      <c r="P167" s="1" t="str">
        <f t="shared" si="14"/>
        <v/>
      </c>
      <c r="Q167" s="1" t="str">
        <f>IF(O167="","",IF(OR(ISNA(VLOOKUP(O167,Final!T:T,1,FALSE)),R167="Duplicate"),"NA",VLOOKUP(O167,Final!T:T,1,FALSE)))</f>
        <v/>
      </c>
      <c r="R167" t="str">
        <f>IF(AND(COUNTIF($S$2:$S167, $S167)&gt;1,S167&lt;&gt;""), "Duplicate", "")</f>
        <v/>
      </c>
      <c r="S167" t="str">
        <f t="shared" si="12"/>
        <v/>
      </c>
    </row>
    <row r="168" spans="15:19" x14ac:dyDescent="0.25">
      <c r="O168" s="1" t="str">
        <f t="shared" si="13"/>
        <v/>
      </c>
      <c r="P168" s="1" t="str">
        <f t="shared" si="14"/>
        <v/>
      </c>
      <c r="Q168" s="1" t="str">
        <f>IF(O168="","",IF(OR(ISNA(VLOOKUP(O168,Final!T:T,1,FALSE)),R168="Duplicate"),"NA",VLOOKUP(O168,Final!T:T,1,FALSE)))</f>
        <v/>
      </c>
      <c r="R168" t="str">
        <f>IF(AND(COUNTIF($S$2:$S168, $S168)&gt;1,S168&lt;&gt;""), "Duplicate", "")</f>
        <v/>
      </c>
      <c r="S168" t="str">
        <f t="shared" si="12"/>
        <v/>
      </c>
    </row>
    <row r="169" spans="15:19" x14ac:dyDescent="0.25">
      <c r="O169" s="1" t="str">
        <f t="shared" si="13"/>
        <v/>
      </c>
      <c r="P169" s="1" t="str">
        <f t="shared" si="14"/>
        <v/>
      </c>
      <c r="Q169" s="1" t="str">
        <f>IF(O169="","",IF(OR(ISNA(VLOOKUP(O169,Final!T:T,1,FALSE)),R169="Duplicate"),"NA",VLOOKUP(O169,Final!T:T,1,FALSE)))</f>
        <v/>
      </c>
      <c r="R169" t="str">
        <f>IF(AND(COUNTIF($S$2:$S169, $S169)&gt;1,S169&lt;&gt;""), "Duplicate", "")</f>
        <v/>
      </c>
      <c r="S169" t="str">
        <f t="shared" si="12"/>
        <v/>
      </c>
    </row>
    <row r="170" spans="15:19" x14ac:dyDescent="0.25">
      <c r="O170" s="1" t="str">
        <f t="shared" si="13"/>
        <v/>
      </c>
      <c r="P170" s="1" t="str">
        <f t="shared" si="14"/>
        <v/>
      </c>
      <c r="Q170" s="1" t="str">
        <f>IF(O170="","",IF(OR(ISNA(VLOOKUP(O170,Final!T:T,1,FALSE)),R170="Duplicate"),"NA",VLOOKUP(O170,Final!T:T,1,FALSE)))</f>
        <v/>
      </c>
      <c r="R170" t="str">
        <f>IF(AND(COUNTIF($S$2:$S170, $S170)&gt;1,S170&lt;&gt;""), "Duplicate", "")</f>
        <v/>
      </c>
      <c r="S170" t="str">
        <f t="shared" si="12"/>
        <v/>
      </c>
    </row>
    <row r="171" spans="15:19" x14ac:dyDescent="0.25">
      <c r="O171" s="1" t="str">
        <f t="shared" si="13"/>
        <v/>
      </c>
      <c r="P171" s="1" t="str">
        <f t="shared" si="14"/>
        <v/>
      </c>
      <c r="Q171" s="1" t="str">
        <f>IF(O171="","",IF(OR(ISNA(VLOOKUP(O171,Final!T:T,1,FALSE)),R171="Duplicate"),"NA",VLOOKUP(O171,Final!T:T,1,FALSE)))</f>
        <v/>
      </c>
      <c r="R171" t="str">
        <f>IF(AND(COUNTIF($S$2:$S171, $S171)&gt;1,S171&lt;&gt;""), "Duplicate", "")</f>
        <v/>
      </c>
      <c r="S171" t="str">
        <f t="shared" si="12"/>
        <v/>
      </c>
    </row>
    <row r="172" spans="15:19" x14ac:dyDescent="0.25">
      <c r="O172" s="1" t="str">
        <f t="shared" si="13"/>
        <v/>
      </c>
      <c r="P172" s="1" t="str">
        <f t="shared" si="14"/>
        <v/>
      </c>
      <c r="Q172" s="1" t="str">
        <f>IF(O172="","",IF(OR(ISNA(VLOOKUP(O172,Final!T:T,1,FALSE)),R172="Duplicate"),"NA",VLOOKUP(O172,Final!T:T,1,FALSE)))</f>
        <v/>
      </c>
      <c r="R172" t="str">
        <f>IF(AND(COUNTIF($S$2:$S172, $S172)&gt;1,S172&lt;&gt;""), "Duplicate", "")</f>
        <v/>
      </c>
      <c r="S172" t="str">
        <f t="shared" si="12"/>
        <v/>
      </c>
    </row>
    <row r="173" spans="15:19" x14ac:dyDescent="0.25">
      <c r="O173" s="1" t="str">
        <f t="shared" si="13"/>
        <v/>
      </c>
      <c r="P173" s="1" t="str">
        <f t="shared" si="14"/>
        <v/>
      </c>
      <c r="Q173" s="1" t="str">
        <f>IF(O173="","",IF(OR(ISNA(VLOOKUP(O173,Final!T:T,1,FALSE)),R173="Duplicate"),"NA",VLOOKUP(O173,Final!T:T,1,FALSE)))</f>
        <v/>
      </c>
      <c r="R173" t="str">
        <f>IF(AND(COUNTIF($S$2:$S173, $S173)&gt;1,S173&lt;&gt;""), "Duplicate", "")</f>
        <v/>
      </c>
      <c r="S173" t="str">
        <f t="shared" si="12"/>
        <v/>
      </c>
    </row>
    <row r="174" spans="15:19" x14ac:dyDescent="0.25">
      <c r="O174" s="1" t="str">
        <f t="shared" si="13"/>
        <v/>
      </c>
      <c r="P174" s="1" t="str">
        <f t="shared" si="14"/>
        <v/>
      </c>
      <c r="Q174" s="1" t="str">
        <f>IF(O174="","",IF(OR(ISNA(VLOOKUP(O174,Final!T:T,1,FALSE)),R174="Duplicate"),"NA",VLOOKUP(O174,Final!T:T,1,FALSE)))</f>
        <v/>
      </c>
      <c r="R174" t="str">
        <f>IF(AND(COUNTIF($S$2:$S174, $S174)&gt;1,S174&lt;&gt;""), "Duplicate", "")</f>
        <v/>
      </c>
      <c r="S174" t="str">
        <f t="shared" si="12"/>
        <v/>
      </c>
    </row>
    <row r="175" spans="15:19" x14ac:dyDescent="0.25">
      <c r="O175" s="1" t="str">
        <f t="shared" si="13"/>
        <v/>
      </c>
      <c r="P175" s="1" t="str">
        <f t="shared" si="14"/>
        <v/>
      </c>
      <c r="Q175" s="1" t="str">
        <f>IF(O175="","",IF(OR(ISNA(VLOOKUP(O175,Final!T:T,1,FALSE)),R175="Duplicate"),"NA",VLOOKUP(O175,Final!T:T,1,FALSE)))</f>
        <v/>
      </c>
      <c r="R175" t="str">
        <f>IF(AND(COUNTIF($S$2:$S175, $S175)&gt;1,S175&lt;&gt;""), "Duplicate", "")</f>
        <v/>
      </c>
      <c r="S175" t="str">
        <f t="shared" si="12"/>
        <v/>
      </c>
    </row>
    <row r="176" spans="15:19" x14ac:dyDescent="0.25">
      <c r="O176" s="1" t="str">
        <f t="shared" si="13"/>
        <v/>
      </c>
      <c r="P176" s="1" t="str">
        <f t="shared" si="14"/>
        <v/>
      </c>
      <c r="Q176" s="1" t="str">
        <f>IF(O176="","",IF(OR(ISNA(VLOOKUP(O176,Final!T:T,1,FALSE)),R176="Duplicate"),"NA",VLOOKUP(O176,Final!T:T,1,FALSE)))</f>
        <v/>
      </c>
      <c r="R176" t="str">
        <f>IF(AND(COUNTIF($S$2:$S176, $S176)&gt;1,S176&lt;&gt;""), "Duplicate", "")</f>
        <v/>
      </c>
      <c r="S176" t="str">
        <f t="shared" si="12"/>
        <v/>
      </c>
    </row>
    <row r="177" spans="15:19" x14ac:dyDescent="0.25">
      <c r="O177" s="1" t="str">
        <f t="shared" si="13"/>
        <v/>
      </c>
      <c r="P177" s="1" t="str">
        <f t="shared" si="14"/>
        <v/>
      </c>
      <c r="Q177" s="1" t="str">
        <f>IF(O177="","",IF(OR(ISNA(VLOOKUP(O177,Final!T:T,1,FALSE)),R177="Duplicate"),"NA",VLOOKUP(O177,Final!T:T,1,FALSE)))</f>
        <v/>
      </c>
      <c r="R177" t="str">
        <f>IF(AND(COUNTIF($S$2:$S177, $S177)&gt;1,S177&lt;&gt;""), "Duplicate", "")</f>
        <v/>
      </c>
      <c r="S177" t="str">
        <f t="shared" si="12"/>
        <v/>
      </c>
    </row>
    <row r="178" spans="15:19" x14ac:dyDescent="0.25">
      <c r="O178" s="1" t="str">
        <f t="shared" si="13"/>
        <v/>
      </c>
      <c r="P178" s="1" t="str">
        <f t="shared" si="14"/>
        <v/>
      </c>
      <c r="Q178" s="1" t="str">
        <f>IF(O178="","",IF(OR(ISNA(VLOOKUP(O178,Final!T:T,1,FALSE)),R178="Duplicate"),"NA",VLOOKUP(O178,Final!T:T,1,FALSE)))</f>
        <v/>
      </c>
      <c r="R178" t="str">
        <f>IF(AND(COUNTIF($S$2:$S178, $S178)&gt;1,S178&lt;&gt;""), "Duplicate", "")</f>
        <v/>
      </c>
      <c r="S178" t="str">
        <f t="shared" si="12"/>
        <v/>
      </c>
    </row>
    <row r="179" spans="15:19" x14ac:dyDescent="0.25">
      <c r="O179" s="1" t="str">
        <f t="shared" si="13"/>
        <v/>
      </c>
      <c r="P179" s="1" t="str">
        <f t="shared" si="14"/>
        <v/>
      </c>
      <c r="Q179" s="1" t="str">
        <f>IF(O179="","",IF(OR(ISNA(VLOOKUP(O179,Final!T:T,1,FALSE)),R179="Duplicate"),"NA",VLOOKUP(O179,Final!T:T,1,FALSE)))</f>
        <v/>
      </c>
      <c r="R179" t="str">
        <f>IF(AND(COUNTIF($S$2:$S179, $S179)&gt;1,S179&lt;&gt;""), "Duplicate", "")</f>
        <v/>
      </c>
      <c r="S179" t="str">
        <f t="shared" si="12"/>
        <v/>
      </c>
    </row>
    <row r="180" spans="15:19" x14ac:dyDescent="0.25">
      <c r="O180" s="1" t="str">
        <f t="shared" si="13"/>
        <v/>
      </c>
      <c r="P180" s="1" t="str">
        <f t="shared" si="14"/>
        <v/>
      </c>
      <c r="Q180" s="1" t="str">
        <f>IF(O180="","",IF(OR(ISNA(VLOOKUP(O180,Final!T:T,1,FALSE)),R180="Duplicate"),"NA",VLOOKUP(O180,Final!T:T,1,FALSE)))</f>
        <v/>
      </c>
      <c r="R180" t="str">
        <f>IF(AND(COUNTIF($S$2:$S180, $S180)&gt;1,S180&lt;&gt;""), "Duplicate", "")</f>
        <v/>
      </c>
      <c r="S180" t="str">
        <f t="shared" si="12"/>
        <v/>
      </c>
    </row>
    <row r="181" spans="15:19" x14ac:dyDescent="0.25">
      <c r="O181" s="1" t="str">
        <f t="shared" si="13"/>
        <v/>
      </c>
      <c r="P181" s="1" t="str">
        <f t="shared" si="14"/>
        <v/>
      </c>
      <c r="Q181" s="1" t="str">
        <f>IF(O181="","",IF(OR(ISNA(VLOOKUP(O181,Final!T:T,1,FALSE)),R181="Duplicate"),"NA",VLOOKUP(O181,Final!T:T,1,FALSE)))</f>
        <v/>
      </c>
      <c r="R181" t="str">
        <f>IF(AND(COUNTIF($S$2:$S181, $S181)&gt;1,S181&lt;&gt;""), "Duplicate", "")</f>
        <v/>
      </c>
      <c r="S181" t="str">
        <f t="shared" si="12"/>
        <v/>
      </c>
    </row>
    <row r="182" spans="15:19" x14ac:dyDescent="0.25">
      <c r="O182" s="1" t="str">
        <f t="shared" si="13"/>
        <v/>
      </c>
      <c r="P182" s="1" t="str">
        <f t="shared" si="14"/>
        <v/>
      </c>
      <c r="Q182" s="1" t="str">
        <f>IF(O182="","",IF(OR(ISNA(VLOOKUP(O182,Final!T:T,1,FALSE)),R182="Duplicate"),"NA",VLOOKUP(O182,Final!T:T,1,FALSE)))</f>
        <v/>
      </c>
      <c r="R182" t="str">
        <f>IF(AND(COUNTIF($S$2:$S182, $S182)&gt;1,S182&lt;&gt;""), "Duplicate", "")</f>
        <v/>
      </c>
      <c r="S182" t="str">
        <f t="shared" si="12"/>
        <v/>
      </c>
    </row>
    <row r="183" spans="15:19" x14ac:dyDescent="0.25">
      <c r="O183" s="1" t="str">
        <f t="shared" si="13"/>
        <v/>
      </c>
      <c r="P183" s="1" t="str">
        <f t="shared" si="14"/>
        <v/>
      </c>
      <c r="Q183" s="1" t="str">
        <f>IF(O183="","",IF(OR(ISNA(VLOOKUP(O183,Final!T:T,1,FALSE)),R183="Duplicate"),"NA",VLOOKUP(O183,Final!T:T,1,FALSE)))</f>
        <v/>
      </c>
      <c r="R183" t="str">
        <f>IF(AND(COUNTIF($S$2:$S183, $S183)&gt;1,S183&lt;&gt;""), "Duplicate", "")</f>
        <v/>
      </c>
      <c r="S183" t="str">
        <f t="shared" si="12"/>
        <v/>
      </c>
    </row>
    <row r="184" spans="15:19" x14ac:dyDescent="0.25">
      <c r="O184" s="1" t="str">
        <f t="shared" si="13"/>
        <v/>
      </c>
      <c r="P184" s="1" t="str">
        <f t="shared" si="14"/>
        <v/>
      </c>
      <c r="Q184" s="1" t="str">
        <f>IF(O184="","",IF(OR(ISNA(VLOOKUP(O184,Final!T:T,1,FALSE)),R184="Duplicate"),"NA",VLOOKUP(O184,Final!T:T,1,FALSE)))</f>
        <v/>
      </c>
      <c r="R184" t="str">
        <f>IF(AND(COUNTIF($S$2:$S184, $S184)&gt;1,S184&lt;&gt;""), "Duplicate", "")</f>
        <v/>
      </c>
      <c r="S184" t="str">
        <f t="shared" si="12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2:C176"/>
  <sheetViews>
    <sheetView topLeftCell="A130" workbookViewId="0">
      <selection activeCell="C15" sqref="C15:C176"/>
    </sheetView>
  </sheetViews>
  <sheetFormatPr defaultRowHeight="15" x14ac:dyDescent="0.25"/>
  <sheetData>
    <row r="2" spans="3:3" x14ac:dyDescent="0.25">
      <c r="C2">
        <f>COUNTIF(A:A,A:A)</f>
        <v>0</v>
      </c>
    </row>
    <row r="3" spans="3:3" x14ac:dyDescent="0.25">
      <c r="C3">
        <f t="shared" ref="C3:C66" si="0">COUNTIF(A:A,A:A)</f>
        <v>0</v>
      </c>
    </row>
    <row r="4" spans="3:3" x14ac:dyDescent="0.25">
      <c r="C4">
        <f t="shared" si="0"/>
        <v>0</v>
      </c>
    </row>
    <row r="5" spans="3:3" x14ac:dyDescent="0.25">
      <c r="C5">
        <f t="shared" si="0"/>
        <v>0</v>
      </c>
    </row>
    <row r="6" spans="3:3" x14ac:dyDescent="0.25">
      <c r="C6">
        <f t="shared" si="0"/>
        <v>0</v>
      </c>
    </row>
    <row r="7" spans="3:3" x14ac:dyDescent="0.25">
      <c r="C7">
        <f t="shared" si="0"/>
        <v>0</v>
      </c>
    </row>
    <row r="8" spans="3:3" x14ac:dyDescent="0.25">
      <c r="C8">
        <f t="shared" si="0"/>
        <v>0</v>
      </c>
    </row>
    <row r="9" spans="3:3" x14ac:dyDescent="0.25">
      <c r="C9">
        <f t="shared" si="0"/>
        <v>0</v>
      </c>
    </row>
    <row r="10" spans="3:3" x14ac:dyDescent="0.25">
      <c r="C10">
        <f t="shared" si="0"/>
        <v>0</v>
      </c>
    </row>
    <row r="11" spans="3:3" x14ac:dyDescent="0.25">
      <c r="C11">
        <f t="shared" si="0"/>
        <v>0</v>
      </c>
    </row>
    <row r="12" spans="3:3" x14ac:dyDescent="0.25">
      <c r="C12">
        <f t="shared" si="0"/>
        <v>0</v>
      </c>
    </row>
    <row r="13" spans="3:3" x14ac:dyDescent="0.25">
      <c r="C13">
        <f t="shared" si="0"/>
        <v>0</v>
      </c>
    </row>
    <row r="14" spans="3:3" x14ac:dyDescent="0.25">
      <c r="C14">
        <f t="shared" si="0"/>
        <v>0</v>
      </c>
    </row>
    <row r="15" spans="3:3" x14ac:dyDescent="0.25">
      <c r="C15">
        <f t="shared" si="0"/>
        <v>0</v>
      </c>
    </row>
    <row r="16" spans="3:3" x14ac:dyDescent="0.25">
      <c r="C16">
        <f t="shared" si="0"/>
        <v>0</v>
      </c>
    </row>
    <row r="17" spans="3:3" x14ac:dyDescent="0.25">
      <c r="C17">
        <f t="shared" si="0"/>
        <v>0</v>
      </c>
    </row>
    <row r="18" spans="3:3" x14ac:dyDescent="0.25">
      <c r="C18">
        <f t="shared" si="0"/>
        <v>0</v>
      </c>
    </row>
    <row r="19" spans="3:3" x14ac:dyDescent="0.25">
      <c r="C19">
        <f t="shared" si="0"/>
        <v>0</v>
      </c>
    </row>
    <row r="20" spans="3:3" x14ac:dyDescent="0.25">
      <c r="C20">
        <f t="shared" si="0"/>
        <v>0</v>
      </c>
    </row>
    <row r="21" spans="3:3" x14ac:dyDescent="0.25">
      <c r="C21">
        <f t="shared" si="0"/>
        <v>0</v>
      </c>
    </row>
    <row r="22" spans="3:3" x14ac:dyDescent="0.25">
      <c r="C22">
        <f t="shared" si="0"/>
        <v>0</v>
      </c>
    </row>
    <row r="23" spans="3:3" x14ac:dyDescent="0.25">
      <c r="C23">
        <f t="shared" si="0"/>
        <v>0</v>
      </c>
    </row>
    <row r="24" spans="3:3" x14ac:dyDescent="0.25">
      <c r="C24">
        <f t="shared" si="0"/>
        <v>0</v>
      </c>
    </row>
    <row r="25" spans="3:3" x14ac:dyDescent="0.25">
      <c r="C25">
        <f t="shared" si="0"/>
        <v>0</v>
      </c>
    </row>
    <row r="26" spans="3:3" x14ac:dyDescent="0.25">
      <c r="C26">
        <f t="shared" si="0"/>
        <v>0</v>
      </c>
    </row>
    <row r="27" spans="3:3" x14ac:dyDescent="0.25">
      <c r="C27">
        <f t="shared" si="0"/>
        <v>0</v>
      </c>
    </row>
    <row r="28" spans="3:3" x14ac:dyDescent="0.25">
      <c r="C28">
        <f t="shared" si="0"/>
        <v>0</v>
      </c>
    </row>
    <row r="29" spans="3:3" x14ac:dyDescent="0.25">
      <c r="C29">
        <f t="shared" si="0"/>
        <v>0</v>
      </c>
    </row>
    <row r="30" spans="3:3" x14ac:dyDescent="0.25">
      <c r="C30">
        <f t="shared" si="0"/>
        <v>0</v>
      </c>
    </row>
    <row r="31" spans="3:3" x14ac:dyDescent="0.25">
      <c r="C31">
        <f t="shared" si="0"/>
        <v>0</v>
      </c>
    </row>
    <row r="32" spans="3:3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COUNTIF(A:A,A:A)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76" si="2">COUNTIF(A:A,A:A)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activeCell="B21" sqref="B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Data</vt:lpstr>
      <vt:lpstr>Config</vt:lpstr>
      <vt:lpstr>Logs</vt:lpstr>
      <vt:lpstr>Validation</vt:lpstr>
      <vt:lpstr>Split_WO_Size</vt:lpstr>
      <vt:lpstr>Final</vt:lpstr>
      <vt:lpstr>Split_W_Size</vt:lpstr>
      <vt:lpstr>Split_W_OnlySize</vt:lpstr>
      <vt:lpstr>Split_W_OnlyMatvalue</vt:lpstr>
      <vt:lpstr>AP</vt:lpstr>
      <vt:lpstr>Tax</vt:lpstr>
      <vt:lpstr>GRPO Wiz</vt:lpstr>
      <vt:lpstr>Incoming Material Report</vt:lpstr>
      <vt:lpstr>MASTER</vt:lpstr>
      <vt:lpstr>SPEC</vt:lpstr>
      <vt:lpstr>Details</vt:lpstr>
      <vt:lpstr>CoilNo</vt:lpstr>
      <vt:lpstr>count</vt:lpstr>
      <vt:lpstr>HSN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2020-12-15T18:23:26Z</dcterms:created>
  <dcterms:modified xsi:type="dcterms:W3CDTF">2022-01-18T05:40:31Z</dcterms:modified>
</cp:coreProperties>
</file>