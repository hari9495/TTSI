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92.168.1.25\Steel_Operation\RPA\Accounts Payable Booking\Data\Template\Incoming Material Report\"/>
    </mc:Choice>
  </mc:AlternateContent>
  <bookViews>
    <workbookView xWindow="0" yWindow="0" windowWidth="20490" windowHeight="7770" tabRatio="763" firstSheet="7" activeTab="7"/>
  </bookViews>
  <sheets>
    <sheet name="Data" sheetId="1" state="hidden" r:id="rId1"/>
    <sheet name="Config" sheetId="5" state="hidden" r:id="rId2"/>
    <sheet name="Split_WO_Size" sheetId="2" state="hidden" r:id="rId3"/>
    <sheet name="Split_W_Size" sheetId="3" state="hidden" r:id="rId4"/>
    <sheet name="Split_W_OnlySize" sheetId="10" state="hidden" r:id="rId5"/>
    <sheet name="Final" sheetId="4" state="hidden" r:id="rId6"/>
    <sheet name="GRPO Wiz" sheetId="12" state="hidden" r:id="rId7"/>
    <sheet name="Incoming Material Report" sheetId="11" r:id="rId8"/>
    <sheet name="MASTER" sheetId="7" r:id="rId9"/>
    <sheet name="SPEC" sheetId="8" state="hidden" r:id="rId10"/>
    <sheet name="Details" sheetId="6" state="hidden" r:id="rId11"/>
    <sheet name="CoilNo" sheetId="9" state="hidden" r:id="rId12"/>
    <sheet name="Final1" sheetId="13" state="hidden" r:id="rId13"/>
    <sheet name="CoilNo1" sheetId="14" state="hidden" r:id="rId14"/>
  </sheets>
  <definedNames>
    <definedName name="_xlnm._FilterDatabase" localSheetId="6" hidden="1">'GRPO Wiz'!$A$1:$AX$88</definedName>
    <definedName name="_xlnm._FilterDatabase" localSheetId="7" hidden="1">'Incoming Material Report'!$A$1:$Z$2835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V185" i="12" l="1"/>
  <c r="BU185" i="12"/>
  <c r="BT185" i="12"/>
  <c r="BS185" i="12"/>
  <c r="BR185" i="12"/>
  <c r="BQ185" i="12"/>
  <c r="BP185" i="12"/>
  <c r="BO185" i="12"/>
  <c r="BN185" i="12"/>
  <c r="BM185" i="12"/>
  <c r="BL185" i="12"/>
  <c r="BK185" i="12"/>
  <c r="BJ185" i="12"/>
  <c r="BI185" i="12"/>
  <c r="BH185" i="12"/>
  <c r="BG185" i="12"/>
  <c r="BF185" i="12"/>
  <c r="BV184" i="12"/>
  <c r="BU184" i="12"/>
  <c r="BT184" i="12"/>
  <c r="BS184" i="12"/>
  <c r="BR184" i="12"/>
  <c r="BQ184" i="12"/>
  <c r="BP184" i="12"/>
  <c r="BO184" i="12"/>
  <c r="BN184" i="12"/>
  <c r="BM184" i="12"/>
  <c r="BL184" i="12"/>
  <c r="BK184" i="12"/>
  <c r="BJ184" i="12"/>
  <c r="BI184" i="12"/>
  <c r="BH184" i="12"/>
  <c r="BG184" i="12"/>
  <c r="BF184" i="12"/>
  <c r="BV183" i="12"/>
  <c r="BU183" i="12"/>
  <c r="BT183" i="12"/>
  <c r="BS183" i="12"/>
  <c r="BR183" i="12"/>
  <c r="BQ183" i="12"/>
  <c r="BP183" i="12"/>
  <c r="BO183" i="12"/>
  <c r="BN183" i="12"/>
  <c r="BM183" i="12"/>
  <c r="BL183" i="12"/>
  <c r="BK183" i="12"/>
  <c r="BJ183" i="12"/>
  <c r="BI183" i="12"/>
  <c r="BH183" i="12"/>
  <c r="BG183" i="12"/>
  <c r="BF183" i="12"/>
  <c r="BU182" i="12"/>
  <c r="BV182" i="12" s="1"/>
  <c r="BT182" i="12"/>
  <c r="BS182" i="12"/>
  <c r="BR182" i="12"/>
  <c r="BQ182" i="12"/>
  <c r="BP182" i="12"/>
  <c r="BO182" i="12"/>
  <c r="BN182" i="12"/>
  <c r="BM182" i="12"/>
  <c r="BL182" i="12"/>
  <c r="BK182" i="12"/>
  <c r="BJ182" i="12"/>
  <c r="BI182" i="12"/>
  <c r="BH182" i="12"/>
  <c r="BG182" i="12"/>
  <c r="BF182" i="12"/>
  <c r="BV181" i="12"/>
  <c r="BU181" i="12"/>
  <c r="BT181" i="12"/>
  <c r="BS181" i="12"/>
  <c r="BR181" i="12"/>
  <c r="BQ181" i="12"/>
  <c r="BP181" i="12"/>
  <c r="BO181" i="12"/>
  <c r="BN181" i="12"/>
  <c r="BM181" i="12"/>
  <c r="BL181" i="12"/>
  <c r="BK181" i="12"/>
  <c r="BJ181" i="12"/>
  <c r="BI181" i="12"/>
  <c r="BH181" i="12"/>
  <c r="BG181" i="12"/>
  <c r="BF181" i="12"/>
  <c r="BU180" i="12"/>
  <c r="BV180" i="12" s="1"/>
  <c r="BT180" i="12"/>
  <c r="BS180" i="12"/>
  <c r="BR180" i="12"/>
  <c r="BQ180" i="12"/>
  <c r="BP180" i="12"/>
  <c r="BO180" i="12"/>
  <c r="BN180" i="12"/>
  <c r="BM180" i="12"/>
  <c r="BL180" i="12"/>
  <c r="BK180" i="12"/>
  <c r="BJ180" i="12"/>
  <c r="BI180" i="12"/>
  <c r="BH180" i="12"/>
  <c r="BG180" i="12"/>
  <c r="BF180" i="12"/>
  <c r="BU179" i="12"/>
  <c r="BV179" i="12" s="1"/>
  <c r="BT179" i="12"/>
  <c r="BS179" i="12"/>
  <c r="BR179" i="12"/>
  <c r="BQ179" i="12"/>
  <c r="BP179" i="12"/>
  <c r="BO179" i="12"/>
  <c r="BN179" i="12"/>
  <c r="BM179" i="12"/>
  <c r="BL179" i="12"/>
  <c r="BK179" i="12"/>
  <c r="BJ179" i="12"/>
  <c r="BI179" i="12"/>
  <c r="BH179" i="12"/>
  <c r="BG179" i="12"/>
  <c r="BF179" i="12"/>
  <c r="BV178" i="12"/>
  <c r="BU178" i="12"/>
  <c r="BT178" i="12"/>
  <c r="BS178" i="12"/>
  <c r="BR178" i="12"/>
  <c r="BQ178" i="12"/>
  <c r="BP178" i="12"/>
  <c r="BO178" i="12"/>
  <c r="BN178" i="12"/>
  <c r="BM178" i="12"/>
  <c r="BL178" i="12"/>
  <c r="BK178" i="12"/>
  <c r="BJ178" i="12"/>
  <c r="BI178" i="12"/>
  <c r="BH178" i="12"/>
  <c r="BG178" i="12"/>
  <c r="BF178" i="12"/>
  <c r="BV177" i="12"/>
  <c r="BU177" i="12"/>
  <c r="BT177" i="12"/>
  <c r="BS177" i="12"/>
  <c r="BR177" i="12"/>
  <c r="BQ177" i="12"/>
  <c r="BP177" i="12"/>
  <c r="BO177" i="12"/>
  <c r="BN177" i="12"/>
  <c r="BM177" i="12"/>
  <c r="BL177" i="12"/>
  <c r="BK177" i="12"/>
  <c r="BJ177" i="12"/>
  <c r="BI177" i="12"/>
  <c r="BH177" i="12"/>
  <c r="BG177" i="12"/>
  <c r="BF177" i="12"/>
  <c r="BV176" i="12"/>
  <c r="BU176" i="12"/>
  <c r="BT176" i="12"/>
  <c r="BS176" i="12"/>
  <c r="BR176" i="12"/>
  <c r="BQ176" i="12"/>
  <c r="BP176" i="12"/>
  <c r="BO176" i="12"/>
  <c r="BN176" i="12"/>
  <c r="BM176" i="12"/>
  <c r="BL176" i="12"/>
  <c r="BK176" i="12"/>
  <c r="BJ176" i="12"/>
  <c r="BI176" i="12"/>
  <c r="BH176" i="12"/>
  <c r="BG176" i="12"/>
  <c r="BF176" i="12"/>
  <c r="BV175" i="12"/>
  <c r="BU175" i="12"/>
  <c r="BT175" i="12"/>
  <c r="BS175" i="12"/>
  <c r="BR175" i="12"/>
  <c r="BQ175" i="12"/>
  <c r="BP175" i="12"/>
  <c r="BO175" i="12"/>
  <c r="BN175" i="12"/>
  <c r="BM175" i="12"/>
  <c r="BL175" i="12"/>
  <c r="BK175" i="12"/>
  <c r="BJ175" i="12"/>
  <c r="BI175" i="12"/>
  <c r="BH175" i="12"/>
  <c r="BG175" i="12"/>
  <c r="BF175" i="12"/>
  <c r="BU174" i="12"/>
  <c r="BV174" i="12" s="1"/>
  <c r="BT174" i="12"/>
  <c r="BS174" i="12"/>
  <c r="BR174" i="12"/>
  <c r="BQ174" i="12"/>
  <c r="BP174" i="12"/>
  <c r="BO174" i="12"/>
  <c r="BN174" i="12"/>
  <c r="BM174" i="12"/>
  <c r="BL174" i="12"/>
  <c r="BK174" i="12"/>
  <c r="BJ174" i="12"/>
  <c r="BI174" i="12"/>
  <c r="BH174" i="12"/>
  <c r="BG174" i="12"/>
  <c r="BF174" i="12"/>
  <c r="BV173" i="12"/>
  <c r="BU173" i="12"/>
  <c r="BT173" i="12"/>
  <c r="BS173" i="12"/>
  <c r="BR173" i="12"/>
  <c r="BQ173" i="12"/>
  <c r="BP173" i="12"/>
  <c r="BO173" i="12"/>
  <c r="BN173" i="12"/>
  <c r="BM173" i="12"/>
  <c r="BL173" i="12"/>
  <c r="BK173" i="12"/>
  <c r="BJ173" i="12"/>
  <c r="BI173" i="12"/>
  <c r="BH173" i="12"/>
  <c r="BG173" i="12"/>
  <c r="BF173" i="12"/>
  <c r="BU172" i="12"/>
  <c r="BV172" i="12" s="1"/>
  <c r="BT172" i="12"/>
  <c r="BS172" i="12"/>
  <c r="BR172" i="12"/>
  <c r="BQ172" i="12"/>
  <c r="BP172" i="12"/>
  <c r="BO172" i="12"/>
  <c r="BN172" i="12"/>
  <c r="BM172" i="12"/>
  <c r="BL172" i="12"/>
  <c r="BK172" i="12"/>
  <c r="BJ172" i="12"/>
  <c r="BI172" i="12"/>
  <c r="BH172" i="12"/>
  <c r="BG172" i="12"/>
  <c r="BF172" i="12"/>
  <c r="BU171" i="12"/>
  <c r="BV171" i="12" s="1"/>
  <c r="BT171" i="12"/>
  <c r="BS171" i="12"/>
  <c r="BR171" i="12"/>
  <c r="BQ171" i="12"/>
  <c r="BP171" i="12"/>
  <c r="BO171" i="12"/>
  <c r="BN171" i="12"/>
  <c r="BM171" i="12"/>
  <c r="BL171" i="12"/>
  <c r="BK171" i="12"/>
  <c r="BJ171" i="12"/>
  <c r="BI171" i="12"/>
  <c r="BH171" i="12"/>
  <c r="BG171" i="12"/>
  <c r="BF171" i="12"/>
  <c r="BV170" i="12"/>
  <c r="BU170" i="12"/>
  <c r="BT170" i="12"/>
  <c r="BS170" i="12"/>
  <c r="BR170" i="12"/>
  <c r="BQ170" i="12"/>
  <c r="BP170" i="12"/>
  <c r="BO170" i="12"/>
  <c r="BN170" i="12"/>
  <c r="BM170" i="12"/>
  <c r="BL170" i="12"/>
  <c r="BK170" i="12"/>
  <c r="BJ170" i="12"/>
  <c r="BI170" i="12"/>
  <c r="BH170" i="12"/>
  <c r="BG170" i="12"/>
  <c r="BF170" i="12"/>
  <c r="BV169" i="12"/>
  <c r="BU169" i="12"/>
  <c r="BT169" i="12"/>
  <c r="BS169" i="12"/>
  <c r="BR169" i="12"/>
  <c r="BQ169" i="12"/>
  <c r="BP169" i="12"/>
  <c r="BO169" i="12"/>
  <c r="BN169" i="12"/>
  <c r="BM169" i="12"/>
  <c r="BL169" i="12"/>
  <c r="BK169" i="12"/>
  <c r="BJ169" i="12"/>
  <c r="BI169" i="12"/>
  <c r="BH169" i="12"/>
  <c r="BG169" i="12"/>
  <c r="BF169" i="12"/>
  <c r="BV168" i="12"/>
  <c r="BU168" i="12"/>
  <c r="BT168" i="12"/>
  <c r="BS168" i="12"/>
  <c r="BR168" i="12"/>
  <c r="BQ168" i="12"/>
  <c r="BP168" i="12"/>
  <c r="BO168" i="12"/>
  <c r="BN168" i="12"/>
  <c r="BM168" i="12"/>
  <c r="BL168" i="12"/>
  <c r="BK168" i="12"/>
  <c r="BJ168" i="12"/>
  <c r="BI168" i="12"/>
  <c r="BH168" i="12"/>
  <c r="BG168" i="12"/>
  <c r="BF168" i="12"/>
  <c r="BV167" i="12"/>
  <c r="BU167" i="12"/>
  <c r="BT167" i="12"/>
  <c r="BS167" i="12"/>
  <c r="BR167" i="12"/>
  <c r="BQ167" i="12"/>
  <c r="BP167" i="12"/>
  <c r="BO167" i="12"/>
  <c r="BN167" i="12"/>
  <c r="BM167" i="12"/>
  <c r="BL167" i="12"/>
  <c r="BK167" i="12"/>
  <c r="BJ167" i="12"/>
  <c r="BI167" i="12"/>
  <c r="BH167" i="12"/>
  <c r="BG167" i="12"/>
  <c r="BF167" i="12"/>
  <c r="BU166" i="12"/>
  <c r="BV166" i="12" s="1"/>
  <c r="BT166" i="12"/>
  <c r="BS166" i="12"/>
  <c r="BR166" i="12"/>
  <c r="BQ166" i="12"/>
  <c r="BP166" i="12"/>
  <c r="BO166" i="12"/>
  <c r="BN166" i="12"/>
  <c r="BM166" i="12"/>
  <c r="BL166" i="12"/>
  <c r="BK166" i="12"/>
  <c r="BJ166" i="12"/>
  <c r="BI166" i="12"/>
  <c r="BH166" i="12"/>
  <c r="BG166" i="12"/>
  <c r="BF166" i="12"/>
  <c r="BV165" i="12"/>
  <c r="BU165" i="12"/>
  <c r="BT165" i="12"/>
  <c r="BS165" i="12"/>
  <c r="BR165" i="12"/>
  <c r="BQ165" i="12"/>
  <c r="BP165" i="12"/>
  <c r="BO165" i="12"/>
  <c r="BN165" i="12"/>
  <c r="BM165" i="12"/>
  <c r="BL165" i="12"/>
  <c r="BK165" i="12"/>
  <c r="BJ165" i="12"/>
  <c r="BI165" i="12"/>
  <c r="BH165" i="12"/>
  <c r="BG165" i="12"/>
  <c r="BF165" i="12"/>
  <c r="BV164" i="12"/>
  <c r="BU164" i="12"/>
  <c r="BT164" i="12"/>
  <c r="BS164" i="12"/>
  <c r="BR164" i="12"/>
  <c r="BQ164" i="12"/>
  <c r="BP164" i="12"/>
  <c r="BO164" i="12"/>
  <c r="BN164" i="12"/>
  <c r="BM164" i="12"/>
  <c r="BL164" i="12"/>
  <c r="BK164" i="12"/>
  <c r="BJ164" i="12"/>
  <c r="BI164" i="12"/>
  <c r="BH164" i="12"/>
  <c r="BG164" i="12"/>
  <c r="BF164" i="12"/>
  <c r="BU163" i="12"/>
  <c r="BV163" i="12" s="1"/>
  <c r="BT163" i="12"/>
  <c r="BS163" i="12"/>
  <c r="BR163" i="12"/>
  <c r="BQ163" i="12"/>
  <c r="BP163" i="12"/>
  <c r="BO163" i="12"/>
  <c r="BN163" i="12"/>
  <c r="BM163" i="12"/>
  <c r="BL163" i="12"/>
  <c r="BK163" i="12"/>
  <c r="BJ163" i="12"/>
  <c r="BI163" i="12"/>
  <c r="BH163" i="12"/>
  <c r="BG163" i="12"/>
  <c r="BF163" i="12"/>
  <c r="BV162" i="12"/>
  <c r="BU162" i="12"/>
  <c r="BT162" i="12"/>
  <c r="BS162" i="12"/>
  <c r="BR162" i="12"/>
  <c r="BQ162" i="12"/>
  <c r="BP162" i="12"/>
  <c r="BO162" i="12"/>
  <c r="BN162" i="12"/>
  <c r="BM162" i="12"/>
  <c r="BL162" i="12"/>
  <c r="BK162" i="12"/>
  <c r="BJ162" i="12"/>
  <c r="BI162" i="12"/>
  <c r="BH162" i="12"/>
  <c r="BG162" i="12"/>
  <c r="BF162" i="12"/>
  <c r="BV161" i="12"/>
  <c r="BU161" i="12"/>
  <c r="BT161" i="12"/>
  <c r="BS161" i="12"/>
  <c r="BR161" i="12"/>
  <c r="BQ161" i="12"/>
  <c r="BP161" i="12"/>
  <c r="BO161" i="12"/>
  <c r="BN161" i="12"/>
  <c r="BM161" i="12"/>
  <c r="BL161" i="12"/>
  <c r="BK161" i="12"/>
  <c r="BJ161" i="12"/>
  <c r="BI161" i="12"/>
  <c r="BH161" i="12"/>
  <c r="BG161" i="12"/>
  <c r="BF161" i="12"/>
  <c r="BV160" i="12"/>
  <c r="BU160" i="12"/>
  <c r="BT160" i="12"/>
  <c r="BS160" i="12"/>
  <c r="BR160" i="12"/>
  <c r="BQ160" i="12"/>
  <c r="BP160" i="12"/>
  <c r="BO160" i="12"/>
  <c r="BN160" i="12"/>
  <c r="BM160" i="12"/>
  <c r="BL160" i="12"/>
  <c r="BK160" i="12"/>
  <c r="BJ160" i="12"/>
  <c r="BI160" i="12"/>
  <c r="BH160" i="12"/>
  <c r="BG160" i="12"/>
  <c r="BF160" i="12"/>
  <c r="BV159" i="12"/>
  <c r="BU159" i="12"/>
  <c r="BT159" i="12"/>
  <c r="BS159" i="12"/>
  <c r="BR159" i="12"/>
  <c r="BQ159" i="12"/>
  <c r="BP159" i="12"/>
  <c r="BO159" i="12"/>
  <c r="BN159" i="12"/>
  <c r="BM159" i="12"/>
  <c r="BL159" i="12"/>
  <c r="BK159" i="12"/>
  <c r="BJ159" i="12"/>
  <c r="BI159" i="12"/>
  <c r="BH159" i="12"/>
  <c r="BG159" i="12"/>
  <c r="BF159" i="12"/>
  <c r="BU158" i="12"/>
  <c r="BV158" i="12" s="1"/>
  <c r="BT158" i="12"/>
  <c r="BS158" i="12"/>
  <c r="BR158" i="12"/>
  <c r="BQ158" i="12"/>
  <c r="BP158" i="12"/>
  <c r="BO158" i="12"/>
  <c r="BN158" i="12"/>
  <c r="BM158" i="12"/>
  <c r="BL158" i="12"/>
  <c r="BK158" i="12"/>
  <c r="BJ158" i="12"/>
  <c r="BI158" i="12"/>
  <c r="BH158" i="12"/>
  <c r="BG158" i="12"/>
  <c r="BF158" i="12"/>
  <c r="BV157" i="12"/>
  <c r="BU157" i="12"/>
  <c r="BT157" i="12"/>
  <c r="BS157" i="12"/>
  <c r="BR157" i="12"/>
  <c r="BQ157" i="12"/>
  <c r="BP157" i="12"/>
  <c r="BO157" i="12"/>
  <c r="BN157" i="12"/>
  <c r="BM157" i="12"/>
  <c r="BL157" i="12"/>
  <c r="BK157" i="12"/>
  <c r="BJ157" i="12"/>
  <c r="BI157" i="12"/>
  <c r="BH157" i="12"/>
  <c r="BG157" i="12"/>
  <c r="BF157" i="12"/>
  <c r="BV156" i="12"/>
  <c r="BU156" i="12"/>
  <c r="BT156" i="12"/>
  <c r="BS156" i="12"/>
  <c r="BR156" i="12"/>
  <c r="BQ156" i="12"/>
  <c r="BP156" i="12"/>
  <c r="BO156" i="12"/>
  <c r="BN156" i="12"/>
  <c r="BM156" i="12"/>
  <c r="BL156" i="12"/>
  <c r="BK156" i="12"/>
  <c r="BJ156" i="12"/>
  <c r="BI156" i="12"/>
  <c r="BH156" i="12"/>
  <c r="BG156" i="12"/>
  <c r="BF156" i="12"/>
  <c r="BU155" i="12"/>
  <c r="BV155" i="12" s="1"/>
  <c r="BT155" i="12"/>
  <c r="BS155" i="12"/>
  <c r="BR155" i="12"/>
  <c r="BQ155" i="12"/>
  <c r="BP155" i="12"/>
  <c r="BO155" i="12"/>
  <c r="BN155" i="12"/>
  <c r="BM155" i="12"/>
  <c r="BL155" i="12"/>
  <c r="BK155" i="12"/>
  <c r="BJ155" i="12"/>
  <c r="BI155" i="12"/>
  <c r="BH155" i="12"/>
  <c r="BG155" i="12"/>
  <c r="BF155" i="12"/>
  <c r="BV154" i="12"/>
  <c r="BU154" i="12"/>
  <c r="BT154" i="12"/>
  <c r="BS154" i="12"/>
  <c r="BR154" i="12"/>
  <c r="BQ154" i="12"/>
  <c r="BP154" i="12"/>
  <c r="BO154" i="12"/>
  <c r="BN154" i="12"/>
  <c r="BM154" i="12"/>
  <c r="BL154" i="12"/>
  <c r="BK154" i="12"/>
  <c r="BJ154" i="12"/>
  <c r="BI154" i="12"/>
  <c r="BH154" i="12"/>
  <c r="BG154" i="12"/>
  <c r="BF154" i="12"/>
  <c r="BV153" i="12"/>
  <c r="BU153" i="12"/>
  <c r="BT153" i="12"/>
  <c r="BS153" i="12"/>
  <c r="BR153" i="12"/>
  <c r="BQ153" i="12"/>
  <c r="BP153" i="12"/>
  <c r="BO153" i="12"/>
  <c r="BN153" i="12"/>
  <c r="BM153" i="12"/>
  <c r="BL153" i="12"/>
  <c r="BK153" i="12"/>
  <c r="BJ153" i="12"/>
  <c r="BI153" i="12"/>
  <c r="BH153" i="12"/>
  <c r="BG153" i="12"/>
  <c r="BF153" i="12"/>
  <c r="BV152" i="12"/>
  <c r="BU152" i="12"/>
  <c r="BT152" i="12"/>
  <c r="BS152" i="12"/>
  <c r="BR152" i="12"/>
  <c r="BQ152" i="12"/>
  <c r="BP152" i="12"/>
  <c r="BO152" i="12"/>
  <c r="BN152" i="12"/>
  <c r="BM152" i="12"/>
  <c r="BL152" i="12"/>
  <c r="BK152" i="12"/>
  <c r="BJ152" i="12"/>
  <c r="BI152" i="12"/>
  <c r="BH152" i="12"/>
  <c r="BG152" i="12"/>
  <c r="BF152" i="12"/>
  <c r="BV151" i="12"/>
  <c r="BU151" i="12"/>
  <c r="BT151" i="12"/>
  <c r="BS151" i="12"/>
  <c r="BR151" i="12"/>
  <c r="BQ151" i="12"/>
  <c r="BP151" i="12"/>
  <c r="BO151" i="12"/>
  <c r="BN151" i="12"/>
  <c r="BM151" i="12"/>
  <c r="BL151" i="12"/>
  <c r="BK151" i="12"/>
  <c r="BJ151" i="12"/>
  <c r="BI151" i="12"/>
  <c r="BH151" i="12"/>
  <c r="BG151" i="12"/>
  <c r="BF151" i="12"/>
  <c r="BU150" i="12"/>
  <c r="BV150" i="12" s="1"/>
  <c r="BT150" i="12"/>
  <c r="BS150" i="12"/>
  <c r="BR150" i="12"/>
  <c r="BQ150" i="12"/>
  <c r="BP150" i="12"/>
  <c r="BO150" i="12"/>
  <c r="BN150" i="12"/>
  <c r="BM150" i="12"/>
  <c r="BL150" i="12"/>
  <c r="BK150" i="12"/>
  <c r="BJ150" i="12"/>
  <c r="BI150" i="12"/>
  <c r="BH150" i="12"/>
  <c r="BG150" i="12"/>
  <c r="BF150" i="12"/>
  <c r="BV149" i="12"/>
  <c r="BU149" i="12"/>
  <c r="BT149" i="12"/>
  <c r="BS149" i="12"/>
  <c r="BR149" i="12"/>
  <c r="BQ149" i="12"/>
  <c r="BP149" i="12"/>
  <c r="BO149" i="12"/>
  <c r="BN149" i="12"/>
  <c r="BM149" i="12"/>
  <c r="BL149" i="12"/>
  <c r="BK149" i="12"/>
  <c r="BJ149" i="12"/>
  <c r="BI149" i="12"/>
  <c r="BH149" i="12"/>
  <c r="BG149" i="12"/>
  <c r="BF149" i="12"/>
  <c r="BV148" i="12"/>
  <c r="BU148" i="12"/>
  <c r="BT148" i="12"/>
  <c r="BS148" i="12"/>
  <c r="BR148" i="12"/>
  <c r="BQ148" i="12"/>
  <c r="BP148" i="12"/>
  <c r="BO148" i="12"/>
  <c r="BN148" i="12"/>
  <c r="BM148" i="12"/>
  <c r="BL148" i="12"/>
  <c r="BK148" i="12"/>
  <c r="BJ148" i="12"/>
  <c r="BI148" i="12"/>
  <c r="BH148" i="12"/>
  <c r="BG148" i="12"/>
  <c r="BF148" i="12"/>
  <c r="BU147" i="12"/>
  <c r="BV147" i="12" s="1"/>
  <c r="BT147" i="12"/>
  <c r="BS147" i="12"/>
  <c r="BR147" i="12"/>
  <c r="BQ147" i="12"/>
  <c r="BP147" i="12"/>
  <c r="BO147" i="12"/>
  <c r="BN147" i="12"/>
  <c r="BM147" i="12"/>
  <c r="BL147" i="12"/>
  <c r="BK147" i="12"/>
  <c r="BJ147" i="12"/>
  <c r="BI147" i="12"/>
  <c r="BH147" i="12"/>
  <c r="BG147" i="12"/>
  <c r="BF147" i="12"/>
  <c r="BV146" i="12"/>
  <c r="BU146" i="12"/>
  <c r="BT146" i="12"/>
  <c r="BS146" i="12"/>
  <c r="BR146" i="12"/>
  <c r="BQ146" i="12"/>
  <c r="BP146" i="12"/>
  <c r="BO146" i="12"/>
  <c r="BN146" i="12"/>
  <c r="BM146" i="12"/>
  <c r="BL146" i="12"/>
  <c r="BK146" i="12"/>
  <c r="BJ146" i="12"/>
  <c r="BI146" i="12"/>
  <c r="BH146" i="12"/>
  <c r="BG146" i="12"/>
  <c r="BF146" i="12"/>
  <c r="BV145" i="12"/>
  <c r="BU145" i="12"/>
  <c r="BT145" i="12"/>
  <c r="BS145" i="12"/>
  <c r="BR145" i="12"/>
  <c r="BQ145" i="12"/>
  <c r="BP145" i="12"/>
  <c r="BO145" i="12"/>
  <c r="BN145" i="12"/>
  <c r="BM145" i="12"/>
  <c r="BL145" i="12"/>
  <c r="BK145" i="12"/>
  <c r="BJ145" i="12"/>
  <c r="BI145" i="12"/>
  <c r="BH145" i="12"/>
  <c r="BG145" i="12"/>
  <c r="BF145" i="12"/>
  <c r="BV144" i="12"/>
  <c r="BU144" i="12"/>
  <c r="BT144" i="12"/>
  <c r="BS144" i="12"/>
  <c r="BR144" i="12"/>
  <c r="BQ144" i="12"/>
  <c r="BP144" i="12"/>
  <c r="BO144" i="12"/>
  <c r="BN144" i="12"/>
  <c r="BM144" i="12"/>
  <c r="BL144" i="12"/>
  <c r="BK144" i="12"/>
  <c r="BJ144" i="12"/>
  <c r="BI144" i="12"/>
  <c r="BH144" i="12"/>
  <c r="BG144" i="12"/>
  <c r="BF144" i="12"/>
  <c r="BV143" i="12"/>
  <c r="BU143" i="12"/>
  <c r="BT143" i="12"/>
  <c r="BS143" i="12"/>
  <c r="BR143" i="12"/>
  <c r="BQ143" i="12"/>
  <c r="BP143" i="12"/>
  <c r="BO143" i="12"/>
  <c r="BN143" i="12"/>
  <c r="BM143" i="12"/>
  <c r="BL143" i="12"/>
  <c r="BK143" i="12"/>
  <c r="BJ143" i="12"/>
  <c r="BI143" i="12"/>
  <c r="BH143" i="12"/>
  <c r="BG143" i="12"/>
  <c r="BF143" i="12"/>
  <c r="BU142" i="12"/>
  <c r="BV142" i="12" s="1"/>
  <c r="BT142" i="12"/>
  <c r="BS142" i="12"/>
  <c r="BR142" i="12"/>
  <c r="BQ142" i="12"/>
  <c r="BP142" i="12"/>
  <c r="BO142" i="12"/>
  <c r="BN142" i="12"/>
  <c r="BM142" i="12"/>
  <c r="BL142" i="12"/>
  <c r="BK142" i="12"/>
  <c r="BJ142" i="12"/>
  <c r="BI142" i="12"/>
  <c r="BH142" i="12"/>
  <c r="BG142" i="12"/>
  <c r="BF142" i="12"/>
  <c r="BV141" i="12"/>
  <c r="BU141" i="12"/>
  <c r="BT141" i="12"/>
  <c r="BS141" i="12"/>
  <c r="BR141" i="12"/>
  <c r="BQ141" i="12"/>
  <c r="BP141" i="12"/>
  <c r="BO141" i="12"/>
  <c r="BN141" i="12"/>
  <c r="BM141" i="12"/>
  <c r="BL141" i="12"/>
  <c r="BK141" i="12"/>
  <c r="BJ141" i="12"/>
  <c r="BI141" i="12"/>
  <c r="BH141" i="12"/>
  <c r="BG141" i="12"/>
  <c r="BF141" i="12"/>
  <c r="BV140" i="12"/>
  <c r="BU140" i="12"/>
  <c r="BT140" i="12"/>
  <c r="BS140" i="12"/>
  <c r="BR140" i="12"/>
  <c r="BQ140" i="12"/>
  <c r="BP140" i="12"/>
  <c r="BO140" i="12"/>
  <c r="BN140" i="12"/>
  <c r="BM140" i="12"/>
  <c r="BL140" i="12"/>
  <c r="BK140" i="12"/>
  <c r="BJ140" i="12"/>
  <c r="BI140" i="12"/>
  <c r="BH140" i="12"/>
  <c r="BG140" i="12"/>
  <c r="BF140" i="12"/>
  <c r="BU139" i="12"/>
  <c r="BV139" i="12" s="1"/>
  <c r="BT139" i="12"/>
  <c r="BS139" i="12"/>
  <c r="BR139" i="12"/>
  <c r="BQ139" i="12"/>
  <c r="BP139" i="12"/>
  <c r="BO139" i="12"/>
  <c r="BN139" i="12"/>
  <c r="BM139" i="12"/>
  <c r="BL139" i="12"/>
  <c r="BK139" i="12"/>
  <c r="BJ139" i="12"/>
  <c r="BI139" i="12"/>
  <c r="BH139" i="12"/>
  <c r="BG139" i="12"/>
  <c r="BF139" i="12"/>
  <c r="BV138" i="12"/>
  <c r="BU138" i="12"/>
  <c r="BT138" i="12"/>
  <c r="BS138" i="12"/>
  <c r="BR138" i="12"/>
  <c r="BQ138" i="12"/>
  <c r="BP138" i="12"/>
  <c r="BO138" i="12"/>
  <c r="BN138" i="12"/>
  <c r="BM138" i="12"/>
  <c r="BL138" i="12"/>
  <c r="BK138" i="12"/>
  <c r="BJ138" i="12"/>
  <c r="BI138" i="12"/>
  <c r="BH138" i="12"/>
  <c r="BG138" i="12"/>
  <c r="BF138" i="12"/>
  <c r="BV137" i="12"/>
  <c r="BU137" i="12"/>
  <c r="BT137" i="12"/>
  <c r="BS137" i="12"/>
  <c r="BR137" i="12"/>
  <c r="BQ137" i="12"/>
  <c r="BP137" i="12"/>
  <c r="BO137" i="12"/>
  <c r="BN137" i="12"/>
  <c r="BM137" i="12"/>
  <c r="BL137" i="12"/>
  <c r="BK137" i="12"/>
  <c r="BJ137" i="12"/>
  <c r="BI137" i="12"/>
  <c r="BH137" i="12"/>
  <c r="BG137" i="12"/>
  <c r="BF137" i="12"/>
  <c r="BV136" i="12"/>
  <c r="BU136" i="12"/>
  <c r="BT136" i="12"/>
  <c r="BS136" i="12"/>
  <c r="BR136" i="12"/>
  <c r="BQ136" i="12"/>
  <c r="BP136" i="12"/>
  <c r="BO136" i="12"/>
  <c r="BN136" i="12"/>
  <c r="BM136" i="12"/>
  <c r="BL136" i="12"/>
  <c r="BK136" i="12"/>
  <c r="BJ136" i="12"/>
  <c r="BI136" i="12"/>
  <c r="BH136" i="12"/>
  <c r="BG136" i="12"/>
  <c r="BF136" i="12"/>
  <c r="BV135" i="12"/>
  <c r="BU135" i="12"/>
  <c r="BT135" i="12"/>
  <c r="BS135" i="12"/>
  <c r="BR135" i="12"/>
  <c r="BQ135" i="12"/>
  <c r="BP135" i="12"/>
  <c r="BO135" i="12"/>
  <c r="BN135" i="12"/>
  <c r="BM135" i="12"/>
  <c r="BL135" i="12"/>
  <c r="BK135" i="12"/>
  <c r="BJ135" i="12"/>
  <c r="BI135" i="12"/>
  <c r="BH135" i="12"/>
  <c r="BG135" i="12"/>
  <c r="BF135" i="12"/>
  <c r="BU134" i="12"/>
  <c r="BV134" i="12" s="1"/>
  <c r="BT134" i="12"/>
  <c r="BS134" i="12"/>
  <c r="BR134" i="12"/>
  <c r="BQ134" i="12"/>
  <c r="BP134" i="12"/>
  <c r="BO134" i="12"/>
  <c r="BN134" i="12"/>
  <c r="BM134" i="12"/>
  <c r="BL134" i="12"/>
  <c r="BK134" i="12"/>
  <c r="BJ134" i="12"/>
  <c r="BI134" i="12"/>
  <c r="BH134" i="12"/>
  <c r="BG134" i="12"/>
  <c r="BF134" i="12"/>
  <c r="BV133" i="12"/>
  <c r="BU133" i="12"/>
  <c r="BT133" i="12"/>
  <c r="BS133" i="12"/>
  <c r="BR133" i="12"/>
  <c r="BQ133" i="12"/>
  <c r="BP133" i="12"/>
  <c r="BO133" i="12"/>
  <c r="BN133" i="12"/>
  <c r="BM133" i="12"/>
  <c r="BL133" i="12"/>
  <c r="BK133" i="12"/>
  <c r="BJ133" i="12"/>
  <c r="BI133" i="12"/>
  <c r="BH133" i="12"/>
  <c r="BG133" i="12"/>
  <c r="BF133" i="12"/>
  <c r="BV132" i="12"/>
  <c r="BU132" i="12"/>
  <c r="BT132" i="12"/>
  <c r="BS132" i="12"/>
  <c r="BR132" i="12"/>
  <c r="BQ132" i="12"/>
  <c r="BP132" i="12"/>
  <c r="BO132" i="12"/>
  <c r="BN132" i="12"/>
  <c r="BM132" i="12"/>
  <c r="BL132" i="12"/>
  <c r="BK132" i="12"/>
  <c r="BJ132" i="12"/>
  <c r="BI132" i="12"/>
  <c r="BH132" i="12"/>
  <c r="BG132" i="12"/>
  <c r="BF132" i="12"/>
  <c r="BU131" i="12"/>
  <c r="BV131" i="12" s="1"/>
  <c r="BT131" i="12"/>
  <c r="BS131" i="12"/>
  <c r="BR131" i="12"/>
  <c r="BQ131" i="12"/>
  <c r="BP131" i="12"/>
  <c r="BO131" i="12"/>
  <c r="BN131" i="12"/>
  <c r="BM131" i="12"/>
  <c r="BL131" i="12"/>
  <c r="BK131" i="12"/>
  <c r="BJ131" i="12"/>
  <c r="BI131" i="12"/>
  <c r="BH131" i="12"/>
  <c r="BG131" i="12"/>
  <c r="BF131" i="12"/>
  <c r="BV130" i="12"/>
  <c r="BU130" i="12"/>
  <c r="BT130" i="12"/>
  <c r="BS130" i="12"/>
  <c r="BR130" i="12"/>
  <c r="BQ130" i="12"/>
  <c r="BP130" i="12"/>
  <c r="BO130" i="12"/>
  <c r="BN130" i="12"/>
  <c r="BM130" i="12"/>
  <c r="BL130" i="12"/>
  <c r="BK130" i="12"/>
  <c r="BJ130" i="12"/>
  <c r="BI130" i="12"/>
  <c r="BH130" i="12"/>
  <c r="BG130" i="12"/>
  <c r="BF130" i="12"/>
  <c r="BV129" i="12"/>
  <c r="BU129" i="12"/>
  <c r="BT129" i="12"/>
  <c r="BS129" i="12"/>
  <c r="BR129" i="12"/>
  <c r="BQ129" i="12"/>
  <c r="BP129" i="12"/>
  <c r="BO129" i="12"/>
  <c r="BN129" i="12"/>
  <c r="BM129" i="12"/>
  <c r="BL129" i="12"/>
  <c r="BK129" i="12"/>
  <c r="BJ129" i="12"/>
  <c r="BI129" i="12"/>
  <c r="BH129" i="12"/>
  <c r="BG129" i="12"/>
  <c r="BF129" i="12"/>
  <c r="BV128" i="12"/>
  <c r="BU128" i="12"/>
  <c r="BT128" i="12"/>
  <c r="BS128" i="12"/>
  <c r="BR128" i="12"/>
  <c r="BQ128" i="12"/>
  <c r="BP128" i="12"/>
  <c r="BO128" i="12"/>
  <c r="BN128" i="12"/>
  <c r="BM128" i="12"/>
  <c r="BL128" i="12"/>
  <c r="BK128" i="12"/>
  <c r="BJ128" i="12"/>
  <c r="BI128" i="12"/>
  <c r="BH128" i="12"/>
  <c r="BG128" i="12"/>
  <c r="BF128" i="12"/>
  <c r="BV127" i="12"/>
  <c r="BU127" i="12"/>
  <c r="BT127" i="12"/>
  <c r="BS127" i="12"/>
  <c r="BR127" i="12"/>
  <c r="BQ127" i="12"/>
  <c r="BP127" i="12"/>
  <c r="BO127" i="12"/>
  <c r="BN127" i="12"/>
  <c r="BM127" i="12"/>
  <c r="BL127" i="12"/>
  <c r="BK127" i="12"/>
  <c r="BJ127" i="12"/>
  <c r="BI127" i="12"/>
  <c r="BH127" i="12"/>
  <c r="BG127" i="12"/>
  <c r="BF127" i="12"/>
  <c r="BU126" i="12"/>
  <c r="BV126" i="12" s="1"/>
  <c r="BT126" i="12"/>
  <c r="BS126" i="12"/>
  <c r="BR126" i="12"/>
  <c r="BQ126" i="12"/>
  <c r="BP126" i="12"/>
  <c r="BO126" i="12"/>
  <c r="BN126" i="12"/>
  <c r="BM126" i="12"/>
  <c r="BL126" i="12"/>
  <c r="BK126" i="12"/>
  <c r="BJ126" i="12"/>
  <c r="BI126" i="12"/>
  <c r="BH126" i="12"/>
  <c r="BG126" i="12"/>
  <c r="BF126" i="12"/>
  <c r="BV125" i="12"/>
  <c r="BU125" i="12"/>
  <c r="BT125" i="12"/>
  <c r="BS125" i="12"/>
  <c r="BR125" i="12"/>
  <c r="BQ125" i="12"/>
  <c r="BP125" i="12"/>
  <c r="BO125" i="12"/>
  <c r="BN125" i="12"/>
  <c r="BM125" i="12"/>
  <c r="BL125" i="12"/>
  <c r="BK125" i="12"/>
  <c r="BJ125" i="12"/>
  <c r="BI125" i="12"/>
  <c r="BH125" i="12"/>
  <c r="BG125" i="12"/>
  <c r="BF125" i="12"/>
  <c r="BV124" i="12"/>
  <c r="BU124" i="12"/>
  <c r="BT124" i="12"/>
  <c r="BS124" i="12"/>
  <c r="BR124" i="12"/>
  <c r="BQ124" i="12"/>
  <c r="BP124" i="12"/>
  <c r="BO124" i="12"/>
  <c r="BN124" i="12"/>
  <c r="BM124" i="12"/>
  <c r="BL124" i="12"/>
  <c r="BK124" i="12"/>
  <c r="BJ124" i="12"/>
  <c r="BI124" i="12"/>
  <c r="BH124" i="12"/>
  <c r="BG124" i="12"/>
  <c r="BF124" i="12"/>
  <c r="BU123" i="12"/>
  <c r="BV123" i="12" s="1"/>
  <c r="BT123" i="12"/>
  <c r="BS123" i="12"/>
  <c r="BR123" i="12"/>
  <c r="BQ123" i="12"/>
  <c r="BP123" i="12"/>
  <c r="BO123" i="12"/>
  <c r="BN123" i="12"/>
  <c r="BM123" i="12"/>
  <c r="BL123" i="12"/>
  <c r="BK123" i="12"/>
  <c r="BJ123" i="12"/>
  <c r="BI123" i="12"/>
  <c r="BH123" i="12"/>
  <c r="BG123" i="12"/>
  <c r="BF123" i="12"/>
  <c r="BV122" i="12"/>
  <c r="BU122" i="12"/>
  <c r="BT122" i="12"/>
  <c r="BS122" i="12"/>
  <c r="BR122" i="12"/>
  <c r="BQ122" i="12"/>
  <c r="BP122" i="12"/>
  <c r="BO122" i="12"/>
  <c r="BN122" i="12"/>
  <c r="BM122" i="12"/>
  <c r="BL122" i="12"/>
  <c r="BK122" i="12"/>
  <c r="BJ122" i="12"/>
  <c r="BI122" i="12"/>
  <c r="BH122" i="12"/>
  <c r="BG122" i="12"/>
  <c r="BF122" i="12"/>
  <c r="BV121" i="12"/>
  <c r="BU121" i="12"/>
  <c r="BT121" i="12"/>
  <c r="BS121" i="12"/>
  <c r="BR121" i="12"/>
  <c r="BQ121" i="12"/>
  <c r="BP121" i="12"/>
  <c r="BO121" i="12"/>
  <c r="BN121" i="12"/>
  <c r="BM121" i="12"/>
  <c r="BL121" i="12"/>
  <c r="BK121" i="12"/>
  <c r="BJ121" i="12"/>
  <c r="BI121" i="12"/>
  <c r="BH121" i="12"/>
  <c r="BG121" i="12"/>
  <c r="BF121" i="12"/>
  <c r="BV120" i="12"/>
  <c r="BU120" i="12"/>
  <c r="BT120" i="12"/>
  <c r="BS120" i="12"/>
  <c r="BR120" i="12"/>
  <c r="BQ120" i="12"/>
  <c r="BP120" i="12"/>
  <c r="BO120" i="12"/>
  <c r="BN120" i="12"/>
  <c r="BM120" i="12"/>
  <c r="BL120" i="12"/>
  <c r="BK120" i="12"/>
  <c r="BJ120" i="12"/>
  <c r="BI120" i="12"/>
  <c r="BH120" i="12"/>
  <c r="BG120" i="12"/>
  <c r="BF120" i="12"/>
  <c r="BV119" i="12"/>
  <c r="BU119" i="12"/>
  <c r="BT119" i="12"/>
  <c r="BS119" i="12"/>
  <c r="BR119" i="12"/>
  <c r="BQ119" i="12"/>
  <c r="BP119" i="12"/>
  <c r="BO119" i="12"/>
  <c r="BN119" i="12"/>
  <c r="BM119" i="12"/>
  <c r="BL119" i="12"/>
  <c r="BK119" i="12"/>
  <c r="BJ119" i="12"/>
  <c r="BI119" i="12"/>
  <c r="BH119" i="12"/>
  <c r="BG119" i="12"/>
  <c r="BF119" i="12"/>
  <c r="BU118" i="12"/>
  <c r="BV118" i="12" s="1"/>
  <c r="BT118" i="12"/>
  <c r="BS118" i="12"/>
  <c r="BR118" i="12"/>
  <c r="BQ118" i="12"/>
  <c r="BP118" i="12"/>
  <c r="BO118" i="12"/>
  <c r="BN118" i="12"/>
  <c r="BM118" i="12"/>
  <c r="BL118" i="12"/>
  <c r="BK118" i="12"/>
  <c r="BJ118" i="12"/>
  <c r="BI118" i="12"/>
  <c r="BH118" i="12"/>
  <c r="BG118" i="12"/>
  <c r="BF118" i="12"/>
  <c r="BV117" i="12"/>
  <c r="BU117" i="12"/>
  <c r="BT117" i="12"/>
  <c r="BS117" i="12"/>
  <c r="BR117" i="12"/>
  <c r="BQ117" i="12"/>
  <c r="BP117" i="12"/>
  <c r="BO117" i="12"/>
  <c r="BN117" i="12"/>
  <c r="BM117" i="12"/>
  <c r="BL117" i="12"/>
  <c r="BK117" i="12"/>
  <c r="BJ117" i="12"/>
  <c r="BI117" i="12"/>
  <c r="BH117" i="12"/>
  <c r="BG117" i="12"/>
  <c r="BF117" i="12"/>
  <c r="BV116" i="12"/>
  <c r="BU116" i="12"/>
  <c r="BT116" i="12"/>
  <c r="BS116" i="12"/>
  <c r="BR116" i="12"/>
  <c r="BQ116" i="12"/>
  <c r="BP116" i="12"/>
  <c r="BO116" i="12"/>
  <c r="BN116" i="12"/>
  <c r="BM116" i="12"/>
  <c r="BL116" i="12"/>
  <c r="BK116" i="12"/>
  <c r="BJ116" i="12"/>
  <c r="BI116" i="12"/>
  <c r="BH116" i="12"/>
  <c r="BG116" i="12"/>
  <c r="BF116" i="12"/>
  <c r="BU115" i="12"/>
  <c r="BV115" i="12" s="1"/>
  <c r="BT115" i="12"/>
  <c r="BS115" i="12"/>
  <c r="BR115" i="12"/>
  <c r="BQ115" i="12"/>
  <c r="BP115" i="12"/>
  <c r="BO115" i="12"/>
  <c r="BN115" i="12"/>
  <c r="BM115" i="12"/>
  <c r="BL115" i="12"/>
  <c r="BK115" i="12"/>
  <c r="BJ115" i="12"/>
  <c r="BI115" i="12"/>
  <c r="BH115" i="12"/>
  <c r="BG115" i="12"/>
  <c r="BF115" i="12"/>
  <c r="BV114" i="12"/>
  <c r="BU114" i="12"/>
  <c r="BT114" i="12"/>
  <c r="BS114" i="12"/>
  <c r="BR114" i="12"/>
  <c r="BQ114" i="12"/>
  <c r="BP114" i="12"/>
  <c r="BO114" i="12"/>
  <c r="BN114" i="12"/>
  <c r="BM114" i="12"/>
  <c r="BL114" i="12"/>
  <c r="BK114" i="12"/>
  <c r="BJ114" i="12"/>
  <c r="BI114" i="12"/>
  <c r="BH114" i="12"/>
  <c r="BG114" i="12"/>
  <c r="BF114" i="12"/>
  <c r="BV113" i="12"/>
  <c r="BU113" i="12"/>
  <c r="BT113" i="12"/>
  <c r="BS113" i="12"/>
  <c r="BR113" i="12"/>
  <c r="BQ113" i="12"/>
  <c r="BP113" i="12"/>
  <c r="BO113" i="12"/>
  <c r="BN113" i="12"/>
  <c r="BM113" i="12"/>
  <c r="BL113" i="12"/>
  <c r="BK113" i="12"/>
  <c r="BJ113" i="12"/>
  <c r="BI113" i="12"/>
  <c r="BH113" i="12"/>
  <c r="BG113" i="12"/>
  <c r="BF113" i="12"/>
  <c r="BV112" i="12"/>
  <c r="BU112" i="12"/>
  <c r="BT112" i="12"/>
  <c r="BS112" i="12"/>
  <c r="BR112" i="12"/>
  <c r="BQ112" i="12"/>
  <c r="BP112" i="12"/>
  <c r="BO112" i="12"/>
  <c r="BN112" i="12"/>
  <c r="BM112" i="12"/>
  <c r="BL112" i="12"/>
  <c r="BK112" i="12"/>
  <c r="BJ112" i="12"/>
  <c r="BI112" i="12"/>
  <c r="BH112" i="12"/>
  <c r="BG112" i="12"/>
  <c r="BF112" i="12"/>
  <c r="BV111" i="12"/>
  <c r="BU111" i="12"/>
  <c r="BT111" i="12"/>
  <c r="BS111" i="12"/>
  <c r="BR111" i="12"/>
  <c r="BQ111" i="12"/>
  <c r="BP111" i="12"/>
  <c r="BO111" i="12"/>
  <c r="BN111" i="12"/>
  <c r="BM111" i="12"/>
  <c r="BL111" i="12"/>
  <c r="BK111" i="12"/>
  <c r="BJ111" i="12"/>
  <c r="BI111" i="12"/>
  <c r="BH111" i="12"/>
  <c r="BG111" i="12"/>
  <c r="BF111" i="12"/>
  <c r="BU110" i="12"/>
  <c r="BV110" i="12" s="1"/>
  <c r="BT110" i="12"/>
  <c r="BS110" i="12"/>
  <c r="BR110" i="12"/>
  <c r="BQ110" i="12"/>
  <c r="BP110" i="12"/>
  <c r="BO110" i="12"/>
  <c r="BN110" i="12"/>
  <c r="BM110" i="12"/>
  <c r="BL110" i="12"/>
  <c r="BK110" i="12"/>
  <c r="BJ110" i="12"/>
  <c r="BI110" i="12"/>
  <c r="BH110" i="12"/>
  <c r="BG110" i="12"/>
  <c r="BF110" i="12"/>
  <c r="BV109" i="12"/>
  <c r="BU109" i="12"/>
  <c r="BT109" i="12"/>
  <c r="BS109" i="12"/>
  <c r="BR109" i="12"/>
  <c r="BQ109" i="12"/>
  <c r="BP109" i="12"/>
  <c r="BO109" i="12"/>
  <c r="BN109" i="12"/>
  <c r="BM109" i="12"/>
  <c r="BL109" i="12"/>
  <c r="BK109" i="12"/>
  <c r="BJ109" i="12"/>
  <c r="BI109" i="12"/>
  <c r="BH109" i="12"/>
  <c r="BG109" i="12"/>
  <c r="BF109" i="12"/>
  <c r="BV108" i="12"/>
  <c r="BU108" i="12"/>
  <c r="BT108" i="12"/>
  <c r="BS108" i="12"/>
  <c r="BR108" i="12"/>
  <c r="BQ108" i="12"/>
  <c r="BP108" i="12"/>
  <c r="BO108" i="12"/>
  <c r="BN108" i="12"/>
  <c r="BM108" i="12"/>
  <c r="BL108" i="12"/>
  <c r="BK108" i="12"/>
  <c r="BJ108" i="12"/>
  <c r="BI108" i="12"/>
  <c r="BH108" i="12"/>
  <c r="BG108" i="12"/>
  <c r="BF108" i="12"/>
  <c r="BU107" i="12"/>
  <c r="BV107" i="12" s="1"/>
  <c r="BT107" i="12"/>
  <c r="BS107" i="12"/>
  <c r="BR107" i="12"/>
  <c r="BQ107" i="12"/>
  <c r="BP107" i="12"/>
  <c r="BO107" i="12"/>
  <c r="BN107" i="12"/>
  <c r="BM107" i="12"/>
  <c r="BL107" i="12"/>
  <c r="BK107" i="12"/>
  <c r="BJ107" i="12"/>
  <c r="BI107" i="12"/>
  <c r="BH107" i="12"/>
  <c r="BG107" i="12"/>
  <c r="BF107" i="12"/>
  <c r="BV106" i="12"/>
  <c r="BU106" i="12"/>
  <c r="BT106" i="12"/>
  <c r="BS106" i="12"/>
  <c r="BR106" i="12"/>
  <c r="BQ106" i="12"/>
  <c r="BP106" i="12"/>
  <c r="BO106" i="12"/>
  <c r="BN106" i="12"/>
  <c r="BM106" i="12"/>
  <c r="BL106" i="12"/>
  <c r="BK106" i="12"/>
  <c r="BJ106" i="12"/>
  <c r="BI106" i="12"/>
  <c r="BH106" i="12"/>
  <c r="BG106" i="12"/>
  <c r="BF106" i="12"/>
  <c r="BV105" i="12"/>
  <c r="BU105" i="12"/>
  <c r="BT105" i="12"/>
  <c r="BS105" i="12"/>
  <c r="BR105" i="12"/>
  <c r="BQ105" i="12"/>
  <c r="BP105" i="12"/>
  <c r="BO105" i="12"/>
  <c r="BN105" i="12"/>
  <c r="BM105" i="12"/>
  <c r="BL105" i="12"/>
  <c r="BK105" i="12"/>
  <c r="BJ105" i="12"/>
  <c r="BI105" i="12"/>
  <c r="BH105" i="12"/>
  <c r="BG105" i="12"/>
  <c r="BF105" i="12"/>
  <c r="BV104" i="12"/>
  <c r="BU104" i="12"/>
  <c r="BT104" i="12"/>
  <c r="BS104" i="12"/>
  <c r="BR104" i="12"/>
  <c r="BQ104" i="12"/>
  <c r="BP104" i="12"/>
  <c r="BO104" i="12"/>
  <c r="BN104" i="12"/>
  <c r="BM104" i="12"/>
  <c r="BL104" i="12"/>
  <c r="BK104" i="12"/>
  <c r="BJ104" i="12"/>
  <c r="BI104" i="12"/>
  <c r="BH104" i="12"/>
  <c r="BG104" i="12"/>
  <c r="BF104" i="12"/>
  <c r="BV103" i="12"/>
  <c r="BU103" i="12"/>
  <c r="BT103" i="12"/>
  <c r="BS103" i="12"/>
  <c r="BR103" i="12"/>
  <c r="BQ103" i="12"/>
  <c r="BP103" i="12"/>
  <c r="BO103" i="12"/>
  <c r="BN103" i="12"/>
  <c r="BM103" i="12"/>
  <c r="BL103" i="12"/>
  <c r="BK103" i="12"/>
  <c r="BJ103" i="12"/>
  <c r="BI103" i="12"/>
  <c r="BH103" i="12"/>
  <c r="BG103" i="12"/>
  <c r="BF103" i="12"/>
  <c r="BU102" i="12"/>
  <c r="BV102" i="12" s="1"/>
  <c r="BT102" i="12"/>
  <c r="BS102" i="12"/>
  <c r="BR102" i="12"/>
  <c r="BQ102" i="12"/>
  <c r="BP102" i="12"/>
  <c r="BO102" i="12"/>
  <c r="BN102" i="12"/>
  <c r="BM102" i="12"/>
  <c r="BL102" i="12"/>
  <c r="BK102" i="12"/>
  <c r="BJ102" i="12"/>
  <c r="BI102" i="12"/>
  <c r="BH102" i="12"/>
  <c r="BG102" i="12"/>
  <c r="BF102" i="12"/>
  <c r="BV101" i="12"/>
  <c r="BU101" i="12"/>
  <c r="BT101" i="12"/>
  <c r="BS101" i="12"/>
  <c r="BR101" i="12"/>
  <c r="BQ101" i="12"/>
  <c r="BP101" i="12"/>
  <c r="BO101" i="12"/>
  <c r="BN101" i="12"/>
  <c r="BM101" i="12"/>
  <c r="BL101" i="12"/>
  <c r="BK101" i="12"/>
  <c r="BJ101" i="12"/>
  <c r="BI101" i="12"/>
  <c r="BH101" i="12"/>
  <c r="BG101" i="12"/>
  <c r="BF101" i="12"/>
  <c r="BV100" i="12"/>
  <c r="BU100" i="12"/>
  <c r="BT100" i="12"/>
  <c r="BS100" i="12"/>
  <c r="BR100" i="12"/>
  <c r="BQ100" i="12"/>
  <c r="BP100" i="12"/>
  <c r="BO100" i="12"/>
  <c r="BN100" i="12"/>
  <c r="BM100" i="12"/>
  <c r="BL100" i="12"/>
  <c r="BK100" i="12"/>
  <c r="BJ100" i="12"/>
  <c r="BI100" i="12"/>
  <c r="BH100" i="12"/>
  <c r="BG100" i="12"/>
  <c r="BF100" i="12"/>
  <c r="BU99" i="12"/>
  <c r="BV99" i="12" s="1"/>
  <c r="BT99" i="12"/>
  <c r="BS99" i="12"/>
  <c r="BR99" i="12"/>
  <c r="BQ99" i="12"/>
  <c r="BP99" i="12"/>
  <c r="BO99" i="12"/>
  <c r="BN99" i="12"/>
  <c r="BM99" i="12"/>
  <c r="BL99" i="12"/>
  <c r="BK99" i="12"/>
  <c r="BJ99" i="12"/>
  <c r="BI99" i="12"/>
  <c r="BH99" i="12"/>
  <c r="BG99" i="12"/>
  <c r="BF99" i="12"/>
  <c r="BV98" i="12"/>
  <c r="BU98" i="12"/>
  <c r="BT98" i="12"/>
  <c r="BS98" i="12"/>
  <c r="BR98" i="12"/>
  <c r="BQ98" i="12"/>
  <c r="BP98" i="12"/>
  <c r="BO98" i="12"/>
  <c r="BN98" i="12"/>
  <c r="BM98" i="12"/>
  <c r="BL98" i="12"/>
  <c r="BK98" i="12"/>
  <c r="BJ98" i="12"/>
  <c r="BI98" i="12"/>
  <c r="BH98" i="12"/>
  <c r="BG98" i="12"/>
  <c r="BF98" i="12"/>
  <c r="BV97" i="12"/>
  <c r="BU97" i="12"/>
  <c r="BT97" i="12"/>
  <c r="BS97" i="12"/>
  <c r="BR97" i="12"/>
  <c r="BQ97" i="12"/>
  <c r="BP97" i="12"/>
  <c r="BO97" i="12"/>
  <c r="BN97" i="12"/>
  <c r="BM97" i="12"/>
  <c r="BL97" i="12"/>
  <c r="BK97" i="12"/>
  <c r="BJ97" i="12"/>
  <c r="BI97" i="12"/>
  <c r="BH97" i="12"/>
  <c r="BG97" i="12"/>
  <c r="BF97" i="12"/>
  <c r="BV96" i="12"/>
  <c r="BU96" i="12"/>
  <c r="BT96" i="12"/>
  <c r="BS96" i="12"/>
  <c r="BR96" i="12"/>
  <c r="BQ96" i="12"/>
  <c r="BP96" i="12"/>
  <c r="BO96" i="12"/>
  <c r="BN96" i="12"/>
  <c r="BM96" i="12"/>
  <c r="BL96" i="12"/>
  <c r="BK96" i="12"/>
  <c r="BJ96" i="12"/>
  <c r="BI96" i="12"/>
  <c r="BH96" i="12"/>
  <c r="BG96" i="12"/>
  <c r="BF96" i="12"/>
  <c r="BV95" i="12"/>
  <c r="BU95" i="12"/>
  <c r="BT95" i="12"/>
  <c r="BS95" i="12"/>
  <c r="BR95" i="12"/>
  <c r="BQ95" i="12"/>
  <c r="BP95" i="12"/>
  <c r="BO95" i="12"/>
  <c r="BN95" i="12"/>
  <c r="BM95" i="12"/>
  <c r="BL95" i="12"/>
  <c r="BK95" i="12"/>
  <c r="BJ95" i="12"/>
  <c r="BI95" i="12"/>
  <c r="BH95" i="12"/>
  <c r="BG95" i="12"/>
  <c r="BF95" i="12"/>
  <c r="BU94" i="12"/>
  <c r="BV94" i="12" s="1"/>
  <c r="BT94" i="12"/>
  <c r="BS94" i="12"/>
  <c r="BR94" i="12"/>
  <c r="BQ94" i="12"/>
  <c r="BP94" i="12"/>
  <c r="BO94" i="12"/>
  <c r="BN94" i="12"/>
  <c r="BM94" i="12"/>
  <c r="BL94" i="12"/>
  <c r="BK94" i="12"/>
  <c r="BJ94" i="12"/>
  <c r="BI94" i="12"/>
  <c r="BH94" i="12"/>
  <c r="BG94" i="12"/>
  <c r="BF94" i="12"/>
  <c r="BV93" i="12"/>
  <c r="BU93" i="12"/>
  <c r="BT93" i="12"/>
  <c r="BS93" i="12"/>
  <c r="BR93" i="12"/>
  <c r="BQ93" i="12"/>
  <c r="BP93" i="12"/>
  <c r="BO93" i="12"/>
  <c r="BN93" i="12"/>
  <c r="BM93" i="12"/>
  <c r="BL93" i="12"/>
  <c r="BK93" i="12"/>
  <c r="BJ93" i="12"/>
  <c r="BI93" i="12"/>
  <c r="BH93" i="12"/>
  <c r="BG93" i="12"/>
  <c r="BF93" i="12"/>
  <c r="BV92" i="12"/>
  <c r="BU92" i="12"/>
  <c r="BT92" i="12"/>
  <c r="BS92" i="12"/>
  <c r="BR92" i="12"/>
  <c r="BQ92" i="12"/>
  <c r="BP92" i="12"/>
  <c r="BO92" i="12"/>
  <c r="BN92" i="12"/>
  <c r="BM92" i="12"/>
  <c r="BL92" i="12"/>
  <c r="BK92" i="12"/>
  <c r="BJ92" i="12"/>
  <c r="BI92" i="12"/>
  <c r="BH92" i="12"/>
  <c r="BG92" i="12"/>
  <c r="BF92" i="12"/>
  <c r="BU91" i="12"/>
  <c r="BV91" i="12" s="1"/>
  <c r="BT91" i="12"/>
  <c r="BS91" i="12"/>
  <c r="BR91" i="12"/>
  <c r="BQ91" i="12"/>
  <c r="BP91" i="12"/>
  <c r="BO91" i="12"/>
  <c r="BN91" i="12"/>
  <c r="BM91" i="12"/>
  <c r="BL91" i="12"/>
  <c r="BK91" i="12"/>
  <c r="BJ91" i="12"/>
  <c r="BI91" i="12"/>
  <c r="BH91" i="12"/>
  <c r="BG91" i="12"/>
  <c r="BF91" i="12"/>
  <c r="BV90" i="12"/>
  <c r="BU90" i="12"/>
  <c r="BT90" i="12"/>
  <c r="BS90" i="12"/>
  <c r="BR90" i="12"/>
  <c r="BQ90" i="12"/>
  <c r="BP90" i="12"/>
  <c r="BO90" i="12"/>
  <c r="BN90" i="12"/>
  <c r="BM90" i="12"/>
  <c r="BL90" i="12"/>
  <c r="BK90" i="12"/>
  <c r="BJ90" i="12"/>
  <c r="BI90" i="12"/>
  <c r="BH90" i="12"/>
  <c r="BG90" i="12"/>
  <c r="BF90" i="12"/>
  <c r="BV89" i="12"/>
  <c r="BU89" i="12"/>
  <c r="BT89" i="12"/>
  <c r="BS89" i="12"/>
  <c r="BR89" i="12"/>
  <c r="BQ89" i="12"/>
  <c r="BP89" i="12"/>
  <c r="BO89" i="12"/>
  <c r="BN89" i="12"/>
  <c r="BM89" i="12"/>
  <c r="BL89" i="12"/>
  <c r="BK89" i="12"/>
  <c r="BJ89" i="12"/>
  <c r="BI89" i="12"/>
  <c r="BH89" i="12"/>
  <c r="BG89" i="12"/>
  <c r="BF89" i="12"/>
  <c r="T3" i="4"/>
  <c r="T4" i="4"/>
  <c r="T5" i="4"/>
  <c r="T6" i="4"/>
  <c r="T7" i="4"/>
  <c r="T8" i="4"/>
  <c r="T9" i="4"/>
  <c r="U9" i="4" s="1"/>
  <c r="T10" i="4"/>
  <c r="T11" i="4"/>
  <c r="U11" i="4" s="1"/>
  <c r="T12" i="4"/>
  <c r="T13" i="4"/>
  <c r="T14" i="4"/>
  <c r="T15" i="4"/>
  <c r="U15" i="4" s="1"/>
  <c r="T16" i="4"/>
  <c r="U16" i="4" s="1"/>
  <c r="T17" i="4"/>
  <c r="U17" i="4" s="1"/>
  <c r="T18" i="4"/>
  <c r="U18" i="4" s="1"/>
  <c r="T19" i="4"/>
  <c r="U19" i="4" s="1"/>
  <c r="T20" i="4"/>
  <c r="U20" i="4" s="1"/>
  <c r="T21" i="4"/>
  <c r="T22" i="4"/>
  <c r="T23" i="4"/>
  <c r="T24" i="4"/>
  <c r="T2" i="4"/>
  <c r="U7" i="4"/>
  <c r="U10" i="4"/>
  <c r="U23" i="4"/>
  <c r="U25" i="4"/>
  <c r="U26" i="4"/>
  <c r="U27" i="4"/>
  <c r="U28" i="4"/>
  <c r="U29" i="4"/>
  <c r="U30" i="4"/>
  <c r="U31" i="4"/>
  <c r="U32" i="4"/>
  <c r="U33" i="4"/>
  <c r="U34" i="4"/>
  <c r="U35" i="4"/>
  <c r="U14" i="4"/>
  <c r="U21" i="4"/>
  <c r="U22" i="4"/>
  <c r="U24" i="4"/>
  <c r="U3" i="4"/>
  <c r="U4" i="4"/>
  <c r="U5" i="4"/>
  <c r="U6" i="4"/>
  <c r="U8" i="4"/>
  <c r="U12" i="4"/>
  <c r="U13" i="4"/>
  <c r="U36" i="4"/>
  <c r="U3" i="13"/>
  <c r="U4" i="13"/>
  <c r="U5" i="13"/>
  <c r="U6" i="13"/>
  <c r="U7" i="13"/>
  <c r="U8" i="13"/>
  <c r="U9" i="13"/>
  <c r="U10" i="13"/>
  <c r="U11" i="13"/>
  <c r="U12" i="13"/>
  <c r="U13" i="13"/>
  <c r="U14" i="13"/>
  <c r="U15" i="13"/>
  <c r="U16" i="13"/>
  <c r="U17" i="13"/>
  <c r="U18" i="13"/>
  <c r="U19" i="13"/>
  <c r="U20" i="13"/>
  <c r="U21" i="13"/>
  <c r="U22" i="13"/>
  <c r="U23" i="13"/>
  <c r="U24" i="13"/>
  <c r="U25" i="13"/>
  <c r="U26" i="13"/>
  <c r="U27" i="13"/>
  <c r="U28" i="13"/>
  <c r="U29" i="13"/>
  <c r="U30" i="13"/>
  <c r="U31" i="13"/>
  <c r="U32" i="13"/>
  <c r="U33" i="13"/>
  <c r="U34" i="13"/>
  <c r="U35" i="13"/>
  <c r="U36" i="13"/>
  <c r="AF37" i="4"/>
  <c r="AG37" i="4"/>
  <c r="AH37" i="4"/>
  <c r="AI37" i="4"/>
  <c r="AJ37" i="4"/>
  <c r="AK37" i="4"/>
  <c r="AL37" i="4"/>
  <c r="AN37" i="4"/>
  <c r="AP37" i="4"/>
  <c r="AF38" i="4"/>
  <c r="AG38" i="4"/>
  <c r="AH38" i="4"/>
  <c r="AI38" i="4"/>
  <c r="AJ38" i="4"/>
  <c r="AK38" i="4"/>
  <c r="AL38" i="4"/>
  <c r="AN38" i="4"/>
  <c r="AP38" i="4"/>
  <c r="AF39" i="4"/>
  <c r="AG39" i="4"/>
  <c r="AH39" i="4"/>
  <c r="AI39" i="4"/>
  <c r="AJ39" i="4"/>
  <c r="AK39" i="4"/>
  <c r="AL39" i="4"/>
  <c r="AN39" i="4"/>
  <c r="AP39" i="4"/>
  <c r="AF40" i="4"/>
  <c r="AG40" i="4"/>
  <c r="AH40" i="4"/>
  <c r="AI40" i="4"/>
  <c r="AJ40" i="4"/>
  <c r="AK40" i="4"/>
  <c r="AL40" i="4"/>
  <c r="AN40" i="4"/>
  <c r="AP40" i="4"/>
  <c r="AF41" i="4"/>
  <c r="AG41" i="4"/>
  <c r="AH41" i="4"/>
  <c r="AI41" i="4"/>
  <c r="AJ41" i="4"/>
  <c r="AK41" i="4"/>
  <c r="AL41" i="4"/>
  <c r="AN41" i="4"/>
  <c r="AP41" i="4"/>
  <c r="AF42" i="4"/>
  <c r="AG42" i="4"/>
  <c r="AH42" i="4"/>
  <c r="AI42" i="4"/>
  <c r="AJ42" i="4"/>
  <c r="AK42" i="4"/>
  <c r="AL42" i="4"/>
  <c r="AN42" i="4"/>
  <c r="AP42" i="4"/>
  <c r="AF43" i="4"/>
  <c r="AG43" i="4"/>
  <c r="AH43" i="4"/>
  <c r="AI43" i="4"/>
  <c r="AJ43" i="4"/>
  <c r="AK43" i="4"/>
  <c r="AL43" i="4"/>
  <c r="AN43" i="4"/>
  <c r="AP43" i="4"/>
  <c r="AF44" i="4"/>
  <c r="AG44" i="4"/>
  <c r="AH44" i="4"/>
  <c r="AI44" i="4"/>
  <c r="AJ44" i="4"/>
  <c r="AK44" i="4"/>
  <c r="AL44" i="4"/>
  <c r="AN44" i="4"/>
  <c r="AP44" i="4"/>
  <c r="AF45" i="4"/>
  <c r="AG45" i="4"/>
  <c r="AH45" i="4"/>
  <c r="AI45" i="4"/>
  <c r="AJ45" i="4"/>
  <c r="AK45" i="4"/>
  <c r="AL45" i="4"/>
  <c r="AN45" i="4"/>
  <c r="AP45" i="4"/>
  <c r="AF46" i="4"/>
  <c r="AG46" i="4"/>
  <c r="AH46" i="4"/>
  <c r="AI46" i="4"/>
  <c r="AJ46" i="4"/>
  <c r="AK46" i="4"/>
  <c r="AL46" i="4"/>
  <c r="AN46" i="4"/>
  <c r="AP46" i="4"/>
  <c r="AF47" i="4"/>
  <c r="AG47" i="4"/>
  <c r="AH47" i="4"/>
  <c r="AI47" i="4"/>
  <c r="AJ47" i="4"/>
  <c r="AK47" i="4"/>
  <c r="AL47" i="4"/>
  <c r="AN47" i="4"/>
  <c r="AP47" i="4"/>
  <c r="AF48" i="4"/>
  <c r="AG48" i="4"/>
  <c r="AH48" i="4"/>
  <c r="AI48" i="4"/>
  <c r="AJ48" i="4"/>
  <c r="AK48" i="4"/>
  <c r="AL48" i="4"/>
  <c r="AN48" i="4"/>
  <c r="AP48" i="4"/>
  <c r="AF49" i="4"/>
  <c r="AG49" i="4"/>
  <c r="AH49" i="4"/>
  <c r="AI49" i="4"/>
  <c r="AJ49" i="4"/>
  <c r="AK49" i="4"/>
  <c r="AL49" i="4"/>
  <c r="AN49" i="4"/>
  <c r="AP49" i="4"/>
  <c r="AF50" i="4"/>
  <c r="AG50" i="4"/>
  <c r="AH50" i="4"/>
  <c r="AI50" i="4"/>
  <c r="AJ50" i="4"/>
  <c r="AK50" i="4"/>
  <c r="AL50" i="4"/>
  <c r="AN50" i="4"/>
  <c r="AP50" i="4"/>
  <c r="AF51" i="4"/>
  <c r="AG51" i="4"/>
  <c r="AH51" i="4"/>
  <c r="AI51" i="4"/>
  <c r="AJ51" i="4"/>
  <c r="AK51" i="4"/>
  <c r="AL51" i="4"/>
  <c r="AN51" i="4"/>
  <c r="AP51" i="4"/>
  <c r="AF52" i="4"/>
  <c r="AG52" i="4"/>
  <c r="AH52" i="4"/>
  <c r="AI52" i="4"/>
  <c r="AJ52" i="4"/>
  <c r="AK52" i="4"/>
  <c r="AL52" i="4"/>
  <c r="AN52" i="4"/>
  <c r="AP52" i="4"/>
  <c r="AF53" i="4"/>
  <c r="AG53" i="4"/>
  <c r="AH53" i="4"/>
  <c r="AI53" i="4"/>
  <c r="AJ53" i="4"/>
  <c r="AK53" i="4"/>
  <c r="AL53" i="4"/>
  <c r="AN53" i="4"/>
  <c r="AP53" i="4"/>
  <c r="AF54" i="4"/>
  <c r="AG54" i="4"/>
  <c r="AH54" i="4"/>
  <c r="AI54" i="4"/>
  <c r="AJ54" i="4"/>
  <c r="AK54" i="4"/>
  <c r="AL54" i="4"/>
  <c r="AN54" i="4"/>
  <c r="AP54" i="4"/>
  <c r="AF55" i="4"/>
  <c r="AG55" i="4"/>
  <c r="AH55" i="4"/>
  <c r="AI55" i="4"/>
  <c r="AJ55" i="4"/>
  <c r="AK55" i="4"/>
  <c r="AL55" i="4"/>
  <c r="AN55" i="4"/>
  <c r="AP55" i="4"/>
  <c r="AF56" i="4"/>
  <c r="AG56" i="4"/>
  <c r="AH56" i="4"/>
  <c r="AI56" i="4"/>
  <c r="AJ56" i="4"/>
  <c r="AK56" i="4"/>
  <c r="AL56" i="4"/>
  <c r="AN56" i="4"/>
  <c r="AP56" i="4"/>
  <c r="AF57" i="4"/>
  <c r="AG57" i="4"/>
  <c r="AH57" i="4"/>
  <c r="AI57" i="4"/>
  <c r="AJ57" i="4"/>
  <c r="AK57" i="4"/>
  <c r="AL57" i="4"/>
  <c r="AN57" i="4"/>
  <c r="AP57" i="4"/>
  <c r="AF58" i="4"/>
  <c r="AG58" i="4"/>
  <c r="AH58" i="4"/>
  <c r="AI58" i="4"/>
  <c r="AJ58" i="4"/>
  <c r="AK58" i="4"/>
  <c r="AL58" i="4"/>
  <c r="AN58" i="4"/>
  <c r="AP58" i="4"/>
  <c r="AF59" i="4"/>
  <c r="AG59" i="4"/>
  <c r="AH59" i="4"/>
  <c r="AI59" i="4"/>
  <c r="AJ59" i="4"/>
  <c r="AK59" i="4"/>
  <c r="AL59" i="4"/>
  <c r="AN59" i="4"/>
  <c r="AP59" i="4"/>
  <c r="AF60" i="4"/>
  <c r="AG60" i="4"/>
  <c r="AH60" i="4"/>
  <c r="AI60" i="4"/>
  <c r="AJ60" i="4"/>
  <c r="AK60" i="4"/>
  <c r="AL60" i="4"/>
  <c r="AN60" i="4"/>
  <c r="AP60" i="4"/>
  <c r="AF61" i="4"/>
  <c r="AG61" i="4"/>
  <c r="AH61" i="4"/>
  <c r="AI61" i="4"/>
  <c r="AJ61" i="4"/>
  <c r="AK61" i="4"/>
  <c r="AL61" i="4"/>
  <c r="AN61" i="4"/>
  <c r="AP61" i="4"/>
  <c r="AF62" i="4"/>
  <c r="AG62" i="4"/>
  <c r="AH62" i="4"/>
  <c r="AI62" i="4"/>
  <c r="AJ62" i="4"/>
  <c r="AK62" i="4"/>
  <c r="AL62" i="4"/>
  <c r="AN62" i="4"/>
  <c r="AP62" i="4"/>
  <c r="AF63" i="4"/>
  <c r="AG63" i="4"/>
  <c r="AH63" i="4"/>
  <c r="AI63" i="4"/>
  <c r="AJ63" i="4"/>
  <c r="AK63" i="4"/>
  <c r="AL63" i="4"/>
  <c r="AN63" i="4"/>
  <c r="AP63" i="4"/>
  <c r="AF64" i="4"/>
  <c r="AG64" i="4"/>
  <c r="AH64" i="4"/>
  <c r="AI64" i="4"/>
  <c r="AJ64" i="4"/>
  <c r="AK64" i="4"/>
  <c r="AL64" i="4"/>
  <c r="AN64" i="4"/>
  <c r="AP64" i="4"/>
  <c r="AF65" i="4"/>
  <c r="AG65" i="4"/>
  <c r="AH65" i="4"/>
  <c r="AI65" i="4"/>
  <c r="AJ65" i="4"/>
  <c r="AK65" i="4"/>
  <c r="AL65" i="4"/>
  <c r="AN65" i="4"/>
  <c r="AP65" i="4"/>
  <c r="AF66" i="4"/>
  <c r="AG66" i="4"/>
  <c r="AH66" i="4"/>
  <c r="AI66" i="4"/>
  <c r="AJ66" i="4"/>
  <c r="AK66" i="4"/>
  <c r="AL66" i="4"/>
  <c r="AN66" i="4"/>
  <c r="AP66" i="4"/>
  <c r="AF67" i="4"/>
  <c r="AG67" i="4"/>
  <c r="AH67" i="4"/>
  <c r="AI67" i="4"/>
  <c r="AJ67" i="4"/>
  <c r="AK67" i="4"/>
  <c r="AL67" i="4"/>
  <c r="AN67" i="4"/>
  <c r="AP67" i="4"/>
  <c r="AF68" i="4"/>
  <c r="AG68" i="4"/>
  <c r="AH68" i="4"/>
  <c r="AI68" i="4"/>
  <c r="AJ68" i="4"/>
  <c r="AK68" i="4"/>
  <c r="AL68" i="4"/>
  <c r="AN68" i="4"/>
  <c r="AP68" i="4"/>
  <c r="AF69" i="4"/>
  <c r="AG69" i="4"/>
  <c r="AH69" i="4"/>
  <c r="AI69" i="4"/>
  <c r="AJ69" i="4"/>
  <c r="AK69" i="4"/>
  <c r="AL69" i="4"/>
  <c r="AN69" i="4"/>
  <c r="AP69" i="4"/>
  <c r="AF70" i="4"/>
  <c r="AG70" i="4"/>
  <c r="AH70" i="4"/>
  <c r="AI70" i="4"/>
  <c r="AJ70" i="4"/>
  <c r="AK70" i="4"/>
  <c r="AL70" i="4"/>
  <c r="AN70" i="4"/>
  <c r="AP70" i="4"/>
  <c r="AF71" i="4"/>
  <c r="AG71" i="4"/>
  <c r="AH71" i="4"/>
  <c r="AI71" i="4"/>
  <c r="AJ71" i="4"/>
  <c r="AK71" i="4"/>
  <c r="AL71" i="4"/>
  <c r="AN71" i="4"/>
  <c r="AP71" i="4"/>
  <c r="AF72" i="4"/>
  <c r="AG72" i="4"/>
  <c r="AH72" i="4"/>
  <c r="AI72" i="4"/>
  <c r="AJ72" i="4"/>
  <c r="AK72" i="4"/>
  <c r="AL72" i="4"/>
  <c r="AN72" i="4"/>
  <c r="AP72" i="4"/>
  <c r="AF73" i="4"/>
  <c r="AG73" i="4"/>
  <c r="AH73" i="4"/>
  <c r="AI73" i="4"/>
  <c r="AJ73" i="4"/>
  <c r="AK73" i="4"/>
  <c r="AL73" i="4"/>
  <c r="AN73" i="4"/>
  <c r="AP73" i="4"/>
  <c r="AF74" i="4"/>
  <c r="AG74" i="4"/>
  <c r="AH74" i="4"/>
  <c r="AI74" i="4"/>
  <c r="AJ74" i="4"/>
  <c r="AK74" i="4"/>
  <c r="AL74" i="4"/>
  <c r="AN74" i="4"/>
  <c r="AP74" i="4"/>
  <c r="AF75" i="4"/>
  <c r="AG75" i="4"/>
  <c r="AH75" i="4"/>
  <c r="AI75" i="4"/>
  <c r="AJ75" i="4"/>
  <c r="AK75" i="4"/>
  <c r="AL75" i="4"/>
  <c r="AN75" i="4"/>
  <c r="AP75" i="4"/>
  <c r="AF76" i="4"/>
  <c r="AG76" i="4"/>
  <c r="AH76" i="4"/>
  <c r="AI76" i="4"/>
  <c r="AJ76" i="4"/>
  <c r="AK76" i="4"/>
  <c r="AL76" i="4"/>
  <c r="AN76" i="4"/>
  <c r="AP76" i="4"/>
  <c r="AF77" i="4"/>
  <c r="AG77" i="4"/>
  <c r="AH77" i="4"/>
  <c r="AI77" i="4"/>
  <c r="AJ77" i="4"/>
  <c r="AK77" i="4"/>
  <c r="AL77" i="4"/>
  <c r="AN77" i="4"/>
  <c r="AP77" i="4"/>
  <c r="AF78" i="4"/>
  <c r="AG78" i="4"/>
  <c r="AH78" i="4"/>
  <c r="AI78" i="4"/>
  <c r="AJ78" i="4"/>
  <c r="AK78" i="4"/>
  <c r="AL78" i="4"/>
  <c r="AN78" i="4"/>
  <c r="AP78" i="4"/>
  <c r="AF79" i="4"/>
  <c r="AG79" i="4"/>
  <c r="AH79" i="4"/>
  <c r="AI79" i="4"/>
  <c r="AJ79" i="4"/>
  <c r="AK79" i="4"/>
  <c r="AL79" i="4"/>
  <c r="AN79" i="4"/>
  <c r="AP79" i="4"/>
  <c r="AF80" i="4"/>
  <c r="AG80" i="4"/>
  <c r="AH80" i="4"/>
  <c r="AI80" i="4"/>
  <c r="AJ80" i="4"/>
  <c r="AK80" i="4"/>
  <c r="AL80" i="4"/>
  <c r="AN80" i="4"/>
  <c r="AP80" i="4"/>
  <c r="AF81" i="4"/>
  <c r="AG81" i="4"/>
  <c r="AH81" i="4"/>
  <c r="AI81" i="4"/>
  <c r="AJ81" i="4"/>
  <c r="AK81" i="4"/>
  <c r="AL81" i="4"/>
  <c r="AN81" i="4"/>
  <c r="AP81" i="4"/>
  <c r="AF82" i="4"/>
  <c r="AG82" i="4"/>
  <c r="AH82" i="4"/>
  <c r="AI82" i="4"/>
  <c r="AJ82" i="4"/>
  <c r="AK82" i="4"/>
  <c r="AL82" i="4"/>
  <c r="AN82" i="4"/>
  <c r="AP82" i="4"/>
  <c r="AF83" i="4"/>
  <c r="AG83" i="4"/>
  <c r="AH83" i="4"/>
  <c r="AI83" i="4"/>
  <c r="AJ83" i="4"/>
  <c r="AK83" i="4"/>
  <c r="AL83" i="4"/>
  <c r="AN83" i="4"/>
  <c r="AP83" i="4"/>
  <c r="AF84" i="4"/>
  <c r="AG84" i="4"/>
  <c r="AH84" i="4"/>
  <c r="AI84" i="4"/>
  <c r="AJ84" i="4"/>
  <c r="AK84" i="4"/>
  <c r="AL84" i="4"/>
  <c r="AN84" i="4"/>
  <c r="AP84" i="4"/>
  <c r="AF85" i="4"/>
  <c r="AG85" i="4"/>
  <c r="AH85" i="4"/>
  <c r="AI85" i="4"/>
  <c r="AJ85" i="4"/>
  <c r="AK85" i="4"/>
  <c r="AL85" i="4"/>
  <c r="AN85" i="4"/>
  <c r="AP85" i="4"/>
  <c r="AF86" i="4"/>
  <c r="AG86" i="4"/>
  <c r="AH86" i="4"/>
  <c r="AI86" i="4"/>
  <c r="AJ86" i="4"/>
  <c r="AK86" i="4"/>
  <c r="AL86" i="4"/>
  <c r="AN86" i="4"/>
  <c r="AP86" i="4"/>
  <c r="AF87" i="4"/>
  <c r="AG87" i="4"/>
  <c r="AH87" i="4"/>
  <c r="AI87" i="4"/>
  <c r="AJ87" i="4"/>
  <c r="AK87" i="4"/>
  <c r="AL87" i="4"/>
  <c r="AN87" i="4"/>
  <c r="AP87" i="4"/>
  <c r="AF88" i="4"/>
  <c r="AG88" i="4"/>
  <c r="AH88" i="4"/>
  <c r="AI88" i="4"/>
  <c r="AJ88" i="4"/>
  <c r="AK88" i="4"/>
  <c r="AL88" i="4"/>
  <c r="AN88" i="4"/>
  <c r="AP88" i="4"/>
  <c r="AF89" i="4"/>
  <c r="AG89" i="4"/>
  <c r="AH89" i="4"/>
  <c r="AI89" i="4"/>
  <c r="AJ89" i="4"/>
  <c r="AK89" i="4"/>
  <c r="AL89" i="4"/>
  <c r="AN89" i="4"/>
  <c r="AP89" i="4"/>
  <c r="AF90" i="4"/>
  <c r="AG90" i="4"/>
  <c r="AH90" i="4"/>
  <c r="AI90" i="4"/>
  <c r="AJ90" i="4"/>
  <c r="AK90" i="4"/>
  <c r="AL90" i="4"/>
  <c r="AN90" i="4"/>
  <c r="AP90" i="4"/>
  <c r="AF91" i="4"/>
  <c r="AG91" i="4"/>
  <c r="AH91" i="4"/>
  <c r="AI91" i="4"/>
  <c r="AJ91" i="4"/>
  <c r="AK91" i="4"/>
  <c r="AL91" i="4"/>
  <c r="AN91" i="4"/>
  <c r="AP91" i="4"/>
  <c r="AF92" i="4"/>
  <c r="AG92" i="4"/>
  <c r="AH92" i="4"/>
  <c r="AI92" i="4"/>
  <c r="AJ92" i="4"/>
  <c r="AK92" i="4"/>
  <c r="AL92" i="4"/>
  <c r="AN92" i="4"/>
  <c r="AP92" i="4"/>
  <c r="AF93" i="4"/>
  <c r="AG93" i="4"/>
  <c r="AH93" i="4"/>
  <c r="AI93" i="4"/>
  <c r="AJ93" i="4"/>
  <c r="AK93" i="4"/>
  <c r="AL93" i="4"/>
  <c r="AN93" i="4"/>
  <c r="AP93" i="4"/>
  <c r="AF94" i="4"/>
  <c r="AG94" i="4"/>
  <c r="AH94" i="4"/>
  <c r="AI94" i="4"/>
  <c r="AJ94" i="4"/>
  <c r="AK94" i="4"/>
  <c r="AL94" i="4"/>
  <c r="AN94" i="4"/>
  <c r="AP94" i="4"/>
  <c r="AF95" i="4"/>
  <c r="AG95" i="4"/>
  <c r="AH95" i="4"/>
  <c r="AI95" i="4"/>
  <c r="AJ95" i="4"/>
  <c r="AK95" i="4"/>
  <c r="AL95" i="4"/>
  <c r="AN95" i="4"/>
  <c r="AP95" i="4"/>
  <c r="AF96" i="4"/>
  <c r="AG96" i="4"/>
  <c r="AH96" i="4"/>
  <c r="AI96" i="4"/>
  <c r="AJ96" i="4"/>
  <c r="AK96" i="4"/>
  <c r="AL96" i="4"/>
  <c r="AN96" i="4"/>
  <c r="AP96" i="4"/>
  <c r="AF97" i="4"/>
  <c r="AG97" i="4"/>
  <c r="AH97" i="4"/>
  <c r="AI97" i="4"/>
  <c r="AJ97" i="4"/>
  <c r="AK97" i="4"/>
  <c r="AL97" i="4"/>
  <c r="AN97" i="4"/>
  <c r="AP97" i="4"/>
  <c r="AF98" i="4"/>
  <c r="AG98" i="4"/>
  <c r="AH98" i="4"/>
  <c r="AI98" i="4"/>
  <c r="AJ98" i="4"/>
  <c r="AK98" i="4"/>
  <c r="AL98" i="4"/>
  <c r="AN98" i="4"/>
  <c r="AP98" i="4"/>
  <c r="AF99" i="4"/>
  <c r="AG99" i="4"/>
  <c r="AH99" i="4"/>
  <c r="AI99" i="4"/>
  <c r="AJ99" i="4"/>
  <c r="AK99" i="4"/>
  <c r="AL99" i="4"/>
  <c r="AN99" i="4"/>
  <c r="AP99" i="4"/>
  <c r="AF100" i="4"/>
  <c r="AG100" i="4"/>
  <c r="AH100" i="4"/>
  <c r="AI100" i="4"/>
  <c r="AJ100" i="4"/>
  <c r="AK100" i="4"/>
  <c r="AL100" i="4"/>
  <c r="AN100" i="4"/>
  <c r="AP100" i="4"/>
  <c r="AF101" i="4"/>
  <c r="AG101" i="4"/>
  <c r="AH101" i="4"/>
  <c r="AI101" i="4"/>
  <c r="AJ101" i="4"/>
  <c r="AK101" i="4"/>
  <c r="AL101" i="4"/>
  <c r="AN101" i="4"/>
  <c r="AP101" i="4"/>
  <c r="AF102" i="4"/>
  <c r="AG102" i="4"/>
  <c r="AH102" i="4"/>
  <c r="AI102" i="4"/>
  <c r="AJ102" i="4"/>
  <c r="AK102" i="4"/>
  <c r="AL102" i="4"/>
  <c r="AN102" i="4"/>
  <c r="AP102" i="4"/>
  <c r="AF103" i="4"/>
  <c r="AG103" i="4"/>
  <c r="AH103" i="4"/>
  <c r="AI103" i="4"/>
  <c r="AJ103" i="4"/>
  <c r="AK103" i="4"/>
  <c r="AL103" i="4"/>
  <c r="AN103" i="4"/>
  <c r="AP103" i="4"/>
  <c r="AF104" i="4"/>
  <c r="AG104" i="4"/>
  <c r="AH104" i="4"/>
  <c r="AI104" i="4"/>
  <c r="AJ104" i="4"/>
  <c r="AK104" i="4"/>
  <c r="AL104" i="4"/>
  <c r="AN104" i="4"/>
  <c r="AP104" i="4"/>
  <c r="AF105" i="4"/>
  <c r="AG105" i="4"/>
  <c r="AH105" i="4"/>
  <c r="AI105" i="4"/>
  <c r="AJ105" i="4"/>
  <c r="AK105" i="4"/>
  <c r="AL105" i="4"/>
  <c r="AN105" i="4"/>
  <c r="AP105" i="4"/>
  <c r="AF106" i="4"/>
  <c r="AG106" i="4"/>
  <c r="AH106" i="4"/>
  <c r="AI106" i="4"/>
  <c r="AJ106" i="4"/>
  <c r="AK106" i="4"/>
  <c r="AL106" i="4"/>
  <c r="AN106" i="4"/>
  <c r="AP106" i="4"/>
  <c r="AF107" i="4"/>
  <c r="AG107" i="4"/>
  <c r="AH107" i="4"/>
  <c r="AI107" i="4"/>
  <c r="AJ107" i="4"/>
  <c r="AK107" i="4"/>
  <c r="AL107" i="4"/>
  <c r="AN107" i="4"/>
  <c r="AP107" i="4"/>
  <c r="AF108" i="4"/>
  <c r="AG108" i="4"/>
  <c r="AH108" i="4"/>
  <c r="AI108" i="4"/>
  <c r="AJ108" i="4"/>
  <c r="AK108" i="4"/>
  <c r="AL108" i="4"/>
  <c r="AN108" i="4"/>
  <c r="AP108" i="4"/>
  <c r="AF109" i="4"/>
  <c r="AG109" i="4"/>
  <c r="AH109" i="4"/>
  <c r="AI109" i="4"/>
  <c r="AJ109" i="4"/>
  <c r="AK109" i="4"/>
  <c r="AL109" i="4"/>
  <c r="AN109" i="4"/>
  <c r="AP109" i="4"/>
  <c r="AF110" i="4"/>
  <c r="AG110" i="4"/>
  <c r="AH110" i="4"/>
  <c r="AI110" i="4"/>
  <c r="AJ110" i="4"/>
  <c r="AK110" i="4"/>
  <c r="AL110" i="4"/>
  <c r="AN110" i="4"/>
  <c r="AP110" i="4"/>
  <c r="AF111" i="4"/>
  <c r="AG111" i="4"/>
  <c r="AH111" i="4"/>
  <c r="AI111" i="4"/>
  <c r="AJ111" i="4"/>
  <c r="AK111" i="4"/>
  <c r="AL111" i="4"/>
  <c r="AN111" i="4"/>
  <c r="AP111" i="4"/>
  <c r="AF112" i="4"/>
  <c r="AG112" i="4"/>
  <c r="AH112" i="4"/>
  <c r="AI112" i="4"/>
  <c r="AJ112" i="4"/>
  <c r="AK112" i="4"/>
  <c r="AL112" i="4"/>
  <c r="AN112" i="4"/>
  <c r="AP112" i="4"/>
  <c r="BU88" i="12"/>
  <c r="BV88" i="12" s="1"/>
  <c r="BT88" i="12"/>
  <c r="BS88" i="12"/>
  <c r="BR88" i="12"/>
  <c r="BQ88" i="12"/>
  <c r="BP88" i="12"/>
  <c r="BO88" i="12"/>
  <c r="BN88" i="12"/>
  <c r="BM88" i="12"/>
  <c r="BL88" i="12"/>
  <c r="BK88" i="12"/>
  <c r="BJ88" i="12"/>
  <c r="BI88" i="12"/>
  <c r="BH88" i="12"/>
  <c r="BG88" i="12"/>
  <c r="BF88" i="12"/>
  <c r="BU87" i="12"/>
  <c r="BV87" i="12" s="1"/>
  <c r="BT87" i="12"/>
  <c r="BS87" i="12"/>
  <c r="BR87" i="12"/>
  <c r="BQ87" i="12"/>
  <c r="BP87" i="12"/>
  <c r="BO87" i="12"/>
  <c r="BN87" i="12"/>
  <c r="BM87" i="12"/>
  <c r="BL87" i="12"/>
  <c r="BK87" i="12"/>
  <c r="BJ87" i="12"/>
  <c r="BI87" i="12"/>
  <c r="BH87" i="12"/>
  <c r="BG87" i="12"/>
  <c r="BF87" i="12"/>
  <c r="BU86" i="12"/>
  <c r="BV86" i="12" s="1"/>
  <c r="BT86" i="12"/>
  <c r="BS86" i="12"/>
  <c r="BR86" i="12"/>
  <c r="BQ86" i="12"/>
  <c r="BP86" i="12"/>
  <c r="BO86" i="12"/>
  <c r="BN86" i="12"/>
  <c r="BM86" i="12"/>
  <c r="BL86" i="12"/>
  <c r="BK86" i="12"/>
  <c r="BJ86" i="12"/>
  <c r="BI86" i="12"/>
  <c r="BH86" i="12"/>
  <c r="BG86" i="12"/>
  <c r="BF86" i="12"/>
  <c r="BU85" i="12"/>
  <c r="BV85" i="12" s="1"/>
  <c r="BT85" i="12"/>
  <c r="BS85" i="12"/>
  <c r="BR85" i="12"/>
  <c r="BQ85" i="12"/>
  <c r="BP85" i="12"/>
  <c r="BO85" i="12"/>
  <c r="BN85" i="12"/>
  <c r="BM85" i="12"/>
  <c r="BL85" i="12"/>
  <c r="BK85" i="12"/>
  <c r="BJ85" i="12"/>
  <c r="BI85" i="12"/>
  <c r="BH85" i="12"/>
  <c r="BG85" i="12"/>
  <c r="BF85" i="12"/>
  <c r="BU84" i="12"/>
  <c r="BV84" i="12" s="1"/>
  <c r="BT84" i="12"/>
  <c r="BS84" i="12"/>
  <c r="BR84" i="12"/>
  <c r="BQ84" i="12"/>
  <c r="BP84" i="12"/>
  <c r="BO84" i="12"/>
  <c r="BN84" i="12"/>
  <c r="BM84" i="12"/>
  <c r="BL84" i="12"/>
  <c r="BK84" i="12"/>
  <c r="BJ84" i="12"/>
  <c r="BI84" i="12"/>
  <c r="BH84" i="12"/>
  <c r="BG84" i="12"/>
  <c r="BF84" i="12"/>
  <c r="BU83" i="12"/>
  <c r="BV83" i="12" s="1"/>
  <c r="BT83" i="12"/>
  <c r="BS83" i="12"/>
  <c r="BR83" i="12"/>
  <c r="BQ83" i="12"/>
  <c r="BP83" i="12"/>
  <c r="BO83" i="12"/>
  <c r="BN83" i="12"/>
  <c r="BM83" i="12"/>
  <c r="BL83" i="12"/>
  <c r="BK83" i="12"/>
  <c r="BJ83" i="12"/>
  <c r="BI83" i="12"/>
  <c r="BH83" i="12"/>
  <c r="BG83" i="12"/>
  <c r="BF83" i="12"/>
  <c r="BU82" i="12"/>
  <c r="BV82" i="12" s="1"/>
  <c r="BT82" i="12"/>
  <c r="BS82" i="12"/>
  <c r="BR82" i="12"/>
  <c r="BQ82" i="12"/>
  <c r="BP82" i="12"/>
  <c r="BO82" i="12"/>
  <c r="BN82" i="12"/>
  <c r="BM82" i="12"/>
  <c r="BL82" i="12"/>
  <c r="BK82" i="12"/>
  <c r="BJ82" i="12"/>
  <c r="BI82" i="12"/>
  <c r="BH82" i="12"/>
  <c r="BG82" i="12"/>
  <c r="BF82" i="12"/>
  <c r="BU81" i="12"/>
  <c r="BV81" i="12" s="1"/>
  <c r="BT81" i="12"/>
  <c r="BS81" i="12"/>
  <c r="BR81" i="12"/>
  <c r="BQ81" i="12"/>
  <c r="BP81" i="12"/>
  <c r="BO81" i="12"/>
  <c r="BN81" i="12"/>
  <c r="BM81" i="12"/>
  <c r="BL81" i="12"/>
  <c r="BK81" i="12"/>
  <c r="BJ81" i="12"/>
  <c r="BI81" i="12"/>
  <c r="BH81" i="12"/>
  <c r="BG81" i="12"/>
  <c r="BF81" i="12"/>
  <c r="BU80" i="12"/>
  <c r="BV80" i="12" s="1"/>
  <c r="BT80" i="12"/>
  <c r="BS80" i="12"/>
  <c r="BR80" i="12"/>
  <c r="BQ80" i="12"/>
  <c r="BP80" i="12"/>
  <c r="BO80" i="12"/>
  <c r="BN80" i="12"/>
  <c r="BM80" i="12"/>
  <c r="BL80" i="12"/>
  <c r="BK80" i="12"/>
  <c r="BJ80" i="12"/>
  <c r="BI80" i="12"/>
  <c r="BH80" i="12"/>
  <c r="BG80" i="12"/>
  <c r="BF80" i="12"/>
  <c r="BU79" i="12"/>
  <c r="BV79" i="12" s="1"/>
  <c r="BT79" i="12"/>
  <c r="BS79" i="12"/>
  <c r="BR79" i="12"/>
  <c r="BQ79" i="12"/>
  <c r="BP79" i="12"/>
  <c r="BO79" i="12"/>
  <c r="BN79" i="12"/>
  <c r="BM79" i="12"/>
  <c r="BL79" i="12"/>
  <c r="BK79" i="12"/>
  <c r="BJ79" i="12"/>
  <c r="BI79" i="12"/>
  <c r="BH79" i="12"/>
  <c r="BG79" i="12"/>
  <c r="BF79" i="12"/>
  <c r="BU78" i="12"/>
  <c r="BV78" i="12" s="1"/>
  <c r="BT78" i="12"/>
  <c r="BS78" i="12"/>
  <c r="BR78" i="12"/>
  <c r="BQ78" i="12"/>
  <c r="BP78" i="12"/>
  <c r="BO78" i="12"/>
  <c r="BN78" i="12"/>
  <c r="BM78" i="12"/>
  <c r="BL78" i="12"/>
  <c r="BK78" i="12"/>
  <c r="BJ78" i="12"/>
  <c r="BI78" i="12"/>
  <c r="BH78" i="12"/>
  <c r="BG78" i="12"/>
  <c r="BF78" i="12"/>
  <c r="BU77" i="12"/>
  <c r="BV77" i="12" s="1"/>
  <c r="BT77" i="12"/>
  <c r="BS77" i="12"/>
  <c r="BR77" i="12"/>
  <c r="BQ77" i="12"/>
  <c r="BP77" i="12"/>
  <c r="BO77" i="12"/>
  <c r="BN77" i="12"/>
  <c r="BM77" i="12"/>
  <c r="BL77" i="12"/>
  <c r="BK77" i="12"/>
  <c r="BJ77" i="12"/>
  <c r="BI77" i="12"/>
  <c r="BH77" i="12"/>
  <c r="BG77" i="12"/>
  <c r="BF77" i="12"/>
  <c r="BU76" i="12"/>
  <c r="BV76" i="12" s="1"/>
  <c r="BT76" i="12"/>
  <c r="BS76" i="12"/>
  <c r="BR76" i="12"/>
  <c r="BQ76" i="12"/>
  <c r="BP76" i="12"/>
  <c r="BO76" i="12"/>
  <c r="BN76" i="12"/>
  <c r="BM76" i="12"/>
  <c r="BL76" i="12"/>
  <c r="BK76" i="12"/>
  <c r="BJ76" i="12"/>
  <c r="BI76" i="12"/>
  <c r="BH76" i="12"/>
  <c r="BG76" i="12"/>
  <c r="BF76" i="12"/>
  <c r="BU75" i="12"/>
  <c r="BV75" i="12" s="1"/>
  <c r="BT75" i="12"/>
  <c r="BS75" i="12"/>
  <c r="BR75" i="12"/>
  <c r="BQ75" i="12"/>
  <c r="BP75" i="12"/>
  <c r="BO75" i="12"/>
  <c r="BN75" i="12"/>
  <c r="BM75" i="12"/>
  <c r="BL75" i="12"/>
  <c r="BK75" i="12"/>
  <c r="BJ75" i="12"/>
  <c r="BI75" i="12"/>
  <c r="BH75" i="12"/>
  <c r="BG75" i="12"/>
  <c r="BF75" i="12"/>
  <c r="BU74" i="12"/>
  <c r="BV74" i="12" s="1"/>
  <c r="BT74" i="12"/>
  <c r="BS74" i="12"/>
  <c r="BR74" i="12"/>
  <c r="BQ74" i="12"/>
  <c r="BP74" i="12"/>
  <c r="BO74" i="12"/>
  <c r="BN74" i="12"/>
  <c r="BM74" i="12"/>
  <c r="BL74" i="12"/>
  <c r="BK74" i="12"/>
  <c r="BJ74" i="12"/>
  <c r="BI74" i="12"/>
  <c r="BH74" i="12"/>
  <c r="BG74" i="12"/>
  <c r="BF74" i="12"/>
  <c r="BU73" i="12"/>
  <c r="BV73" i="12" s="1"/>
  <c r="BT73" i="12"/>
  <c r="BS73" i="12"/>
  <c r="BR73" i="12"/>
  <c r="BQ73" i="12"/>
  <c r="BP73" i="12"/>
  <c r="BO73" i="12"/>
  <c r="BN73" i="12"/>
  <c r="BM73" i="12"/>
  <c r="BL73" i="12"/>
  <c r="BK73" i="12"/>
  <c r="BJ73" i="12"/>
  <c r="BI73" i="12"/>
  <c r="BH73" i="12"/>
  <c r="BG73" i="12"/>
  <c r="BF73" i="12"/>
  <c r="BU72" i="12"/>
  <c r="BV72" i="12" s="1"/>
  <c r="BT72" i="12"/>
  <c r="BS72" i="12"/>
  <c r="BR72" i="12"/>
  <c r="BQ72" i="12"/>
  <c r="BP72" i="12"/>
  <c r="BO72" i="12"/>
  <c r="BN72" i="12"/>
  <c r="BM72" i="12"/>
  <c r="BL72" i="12"/>
  <c r="BK72" i="12"/>
  <c r="BJ72" i="12"/>
  <c r="BI72" i="12"/>
  <c r="BH72" i="12"/>
  <c r="BG72" i="12"/>
  <c r="BF72" i="12"/>
  <c r="BU71" i="12"/>
  <c r="BV71" i="12" s="1"/>
  <c r="BT71" i="12"/>
  <c r="BS71" i="12"/>
  <c r="BR71" i="12"/>
  <c r="BQ71" i="12"/>
  <c r="BP71" i="12"/>
  <c r="BO71" i="12"/>
  <c r="BN71" i="12"/>
  <c r="BM71" i="12"/>
  <c r="BL71" i="12"/>
  <c r="BK71" i="12"/>
  <c r="BJ71" i="12"/>
  <c r="BI71" i="12"/>
  <c r="BH71" i="12"/>
  <c r="BG71" i="12"/>
  <c r="BF71" i="12"/>
  <c r="BU70" i="12"/>
  <c r="BV70" i="12" s="1"/>
  <c r="BT70" i="12"/>
  <c r="BS70" i="12"/>
  <c r="BR70" i="12"/>
  <c r="BQ70" i="12"/>
  <c r="BP70" i="12"/>
  <c r="BO70" i="12"/>
  <c r="BN70" i="12"/>
  <c r="BM70" i="12"/>
  <c r="BL70" i="12"/>
  <c r="BK70" i="12"/>
  <c r="BJ70" i="12"/>
  <c r="BI70" i="12"/>
  <c r="BH70" i="12"/>
  <c r="BG70" i="12"/>
  <c r="BF70" i="12"/>
  <c r="BU69" i="12"/>
  <c r="BV69" i="12" s="1"/>
  <c r="BT69" i="12"/>
  <c r="BS69" i="12"/>
  <c r="BR69" i="12"/>
  <c r="BQ69" i="12"/>
  <c r="BP69" i="12"/>
  <c r="BO69" i="12"/>
  <c r="BN69" i="12"/>
  <c r="BM69" i="12"/>
  <c r="BL69" i="12"/>
  <c r="BK69" i="12"/>
  <c r="BJ69" i="12"/>
  <c r="BI69" i="12"/>
  <c r="BH69" i="12"/>
  <c r="BG69" i="12"/>
  <c r="BF69" i="12"/>
  <c r="BU68" i="12"/>
  <c r="BV68" i="12" s="1"/>
  <c r="BT68" i="12"/>
  <c r="BS68" i="12"/>
  <c r="BR68" i="12"/>
  <c r="BQ68" i="12"/>
  <c r="BP68" i="12"/>
  <c r="BO68" i="12"/>
  <c r="BN68" i="12"/>
  <c r="BM68" i="12"/>
  <c r="BL68" i="12"/>
  <c r="BK68" i="12"/>
  <c r="BJ68" i="12"/>
  <c r="BI68" i="12"/>
  <c r="BH68" i="12"/>
  <c r="BG68" i="12"/>
  <c r="BF68" i="12"/>
  <c r="BU67" i="12"/>
  <c r="BV67" i="12" s="1"/>
  <c r="BT67" i="12"/>
  <c r="BS67" i="12"/>
  <c r="BR67" i="12"/>
  <c r="BQ67" i="12"/>
  <c r="BP67" i="12"/>
  <c r="BO67" i="12"/>
  <c r="BN67" i="12"/>
  <c r="BM67" i="12"/>
  <c r="BL67" i="12"/>
  <c r="BK67" i="12"/>
  <c r="BJ67" i="12"/>
  <c r="BI67" i="12"/>
  <c r="BH67" i="12"/>
  <c r="BG67" i="12"/>
  <c r="BF67" i="12"/>
  <c r="BU66" i="12"/>
  <c r="BV66" i="12" s="1"/>
  <c r="BT66" i="12"/>
  <c r="BS66" i="12"/>
  <c r="BR66" i="12"/>
  <c r="BQ66" i="12"/>
  <c r="BP66" i="12"/>
  <c r="BO66" i="12"/>
  <c r="BN66" i="12"/>
  <c r="BM66" i="12"/>
  <c r="BL66" i="12"/>
  <c r="BK66" i="12"/>
  <c r="BJ66" i="12"/>
  <c r="BI66" i="12"/>
  <c r="BH66" i="12"/>
  <c r="BG66" i="12"/>
  <c r="BF66" i="12"/>
  <c r="BU65" i="12"/>
  <c r="BV65" i="12" s="1"/>
  <c r="BT65" i="12"/>
  <c r="BS65" i="12"/>
  <c r="BR65" i="12"/>
  <c r="BQ65" i="12"/>
  <c r="BP65" i="12"/>
  <c r="BO65" i="12"/>
  <c r="BN65" i="12"/>
  <c r="BM65" i="12"/>
  <c r="BL65" i="12"/>
  <c r="BK65" i="12"/>
  <c r="BJ65" i="12"/>
  <c r="BI65" i="12"/>
  <c r="BH65" i="12"/>
  <c r="BG65" i="12"/>
  <c r="BF65" i="12"/>
  <c r="BU64" i="12"/>
  <c r="BV64" i="12" s="1"/>
  <c r="BT64" i="12"/>
  <c r="BS64" i="12"/>
  <c r="BR64" i="12"/>
  <c r="BQ64" i="12"/>
  <c r="BP64" i="12"/>
  <c r="BO64" i="12"/>
  <c r="BN64" i="12"/>
  <c r="BM64" i="12"/>
  <c r="BL64" i="12"/>
  <c r="BK64" i="12"/>
  <c r="BJ64" i="12"/>
  <c r="BI64" i="12"/>
  <c r="BH64" i="12"/>
  <c r="BG64" i="12"/>
  <c r="BF64" i="12"/>
  <c r="BU63" i="12"/>
  <c r="BV63" i="12" s="1"/>
  <c r="BT63" i="12"/>
  <c r="BS63" i="12"/>
  <c r="BR63" i="12"/>
  <c r="BQ63" i="12"/>
  <c r="BP63" i="12"/>
  <c r="BO63" i="12"/>
  <c r="BN63" i="12"/>
  <c r="BM63" i="12"/>
  <c r="BL63" i="12"/>
  <c r="BK63" i="12"/>
  <c r="BJ63" i="12"/>
  <c r="BI63" i="12"/>
  <c r="BH63" i="12"/>
  <c r="BG63" i="12"/>
  <c r="BF63" i="12"/>
  <c r="BU62" i="12"/>
  <c r="BV62" i="12" s="1"/>
  <c r="BT62" i="12"/>
  <c r="BS62" i="12"/>
  <c r="BR62" i="12"/>
  <c r="BQ62" i="12"/>
  <c r="BP62" i="12"/>
  <c r="BO62" i="12"/>
  <c r="BN62" i="12"/>
  <c r="BM62" i="12"/>
  <c r="BL62" i="12"/>
  <c r="BK62" i="12"/>
  <c r="BJ62" i="12"/>
  <c r="BI62" i="12"/>
  <c r="BH62" i="12"/>
  <c r="BG62" i="12"/>
  <c r="BF62" i="12"/>
  <c r="BU61" i="12"/>
  <c r="BV61" i="12" s="1"/>
  <c r="BT61" i="12"/>
  <c r="BS61" i="12"/>
  <c r="BR61" i="12"/>
  <c r="BQ61" i="12"/>
  <c r="BP61" i="12"/>
  <c r="BO61" i="12"/>
  <c r="BN61" i="12"/>
  <c r="BM61" i="12"/>
  <c r="BL61" i="12"/>
  <c r="BK61" i="12"/>
  <c r="BJ61" i="12"/>
  <c r="BI61" i="12"/>
  <c r="BH61" i="12"/>
  <c r="BG61" i="12"/>
  <c r="BF61" i="12"/>
  <c r="BU60" i="12"/>
  <c r="BV60" i="12" s="1"/>
  <c r="BT60" i="12"/>
  <c r="BS60" i="12"/>
  <c r="BR60" i="12"/>
  <c r="BQ60" i="12"/>
  <c r="BP60" i="12"/>
  <c r="BO60" i="12"/>
  <c r="BN60" i="12"/>
  <c r="BM60" i="12"/>
  <c r="BL60" i="12"/>
  <c r="BK60" i="12"/>
  <c r="BJ60" i="12"/>
  <c r="BI60" i="12"/>
  <c r="BH60" i="12"/>
  <c r="BG60" i="12"/>
  <c r="BF60" i="12"/>
  <c r="BU59" i="12"/>
  <c r="BV59" i="12" s="1"/>
  <c r="BT59" i="12"/>
  <c r="BS59" i="12"/>
  <c r="BR59" i="12"/>
  <c r="BQ59" i="12"/>
  <c r="BP59" i="12"/>
  <c r="BO59" i="12"/>
  <c r="BN59" i="12"/>
  <c r="BM59" i="12"/>
  <c r="BL59" i="12"/>
  <c r="BK59" i="12"/>
  <c r="BJ59" i="12"/>
  <c r="BI59" i="12"/>
  <c r="BH59" i="12"/>
  <c r="BG59" i="12"/>
  <c r="BF59" i="12"/>
  <c r="BU58" i="12"/>
  <c r="BV58" i="12" s="1"/>
  <c r="BT58" i="12"/>
  <c r="BS58" i="12"/>
  <c r="BR58" i="12"/>
  <c r="BQ58" i="12"/>
  <c r="BP58" i="12"/>
  <c r="BO58" i="12"/>
  <c r="BN58" i="12"/>
  <c r="BM58" i="12"/>
  <c r="BL58" i="12"/>
  <c r="BK58" i="12"/>
  <c r="BJ58" i="12"/>
  <c r="BI58" i="12"/>
  <c r="BH58" i="12"/>
  <c r="BG58" i="12"/>
  <c r="BF58" i="12"/>
  <c r="BU57" i="12"/>
  <c r="BV57" i="12" s="1"/>
  <c r="BT57" i="12"/>
  <c r="BS57" i="12"/>
  <c r="BR57" i="12"/>
  <c r="BQ57" i="12"/>
  <c r="BP57" i="12"/>
  <c r="BO57" i="12"/>
  <c r="BN57" i="12"/>
  <c r="BM57" i="12"/>
  <c r="BL57" i="12"/>
  <c r="BK57" i="12"/>
  <c r="BJ57" i="12"/>
  <c r="BI57" i="12"/>
  <c r="BH57" i="12"/>
  <c r="BG57" i="12"/>
  <c r="BF57" i="12"/>
  <c r="BU56" i="12"/>
  <c r="BV56" i="12" s="1"/>
  <c r="BT56" i="12"/>
  <c r="BS56" i="12"/>
  <c r="BR56" i="12"/>
  <c r="BQ56" i="12"/>
  <c r="BP56" i="12"/>
  <c r="BO56" i="12"/>
  <c r="BN56" i="12"/>
  <c r="BM56" i="12"/>
  <c r="BL56" i="12"/>
  <c r="BK56" i="12"/>
  <c r="BJ56" i="12"/>
  <c r="BI56" i="12"/>
  <c r="BH56" i="12"/>
  <c r="BG56" i="12"/>
  <c r="BF56" i="12"/>
  <c r="BU55" i="12"/>
  <c r="BV55" i="12" s="1"/>
  <c r="BT55" i="12"/>
  <c r="BS55" i="12"/>
  <c r="BR55" i="12"/>
  <c r="BQ55" i="12"/>
  <c r="BP55" i="12"/>
  <c r="BO55" i="12"/>
  <c r="BN55" i="12"/>
  <c r="BM55" i="12"/>
  <c r="BL55" i="12"/>
  <c r="BK55" i="12"/>
  <c r="BJ55" i="12"/>
  <c r="BI55" i="12"/>
  <c r="BH55" i="12"/>
  <c r="BG55" i="12"/>
  <c r="BF55" i="12"/>
  <c r="BU54" i="12"/>
  <c r="BV54" i="12" s="1"/>
  <c r="BT54" i="12"/>
  <c r="BS54" i="12"/>
  <c r="BR54" i="12"/>
  <c r="BQ54" i="12"/>
  <c r="BP54" i="12"/>
  <c r="BO54" i="12"/>
  <c r="BN54" i="12"/>
  <c r="BM54" i="12"/>
  <c r="BL54" i="12"/>
  <c r="BK54" i="12"/>
  <c r="BJ54" i="12"/>
  <c r="BI54" i="12"/>
  <c r="BH54" i="12"/>
  <c r="BG54" i="12"/>
  <c r="BF54" i="12"/>
  <c r="BU53" i="12"/>
  <c r="BV53" i="12" s="1"/>
  <c r="BT53" i="12"/>
  <c r="BS53" i="12"/>
  <c r="BR53" i="12"/>
  <c r="BQ53" i="12"/>
  <c r="BP53" i="12"/>
  <c r="BO53" i="12"/>
  <c r="BN53" i="12"/>
  <c r="BM53" i="12"/>
  <c r="BL53" i="12"/>
  <c r="BK53" i="12"/>
  <c r="BJ53" i="12"/>
  <c r="BI53" i="12"/>
  <c r="BH53" i="12"/>
  <c r="BG53" i="12"/>
  <c r="BF53" i="12"/>
  <c r="BU52" i="12"/>
  <c r="BV52" i="12" s="1"/>
  <c r="BT52" i="12"/>
  <c r="BS52" i="12"/>
  <c r="BR52" i="12"/>
  <c r="BQ52" i="12"/>
  <c r="BP52" i="12"/>
  <c r="BO52" i="12"/>
  <c r="BN52" i="12"/>
  <c r="BM52" i="12"/>
  <c r="BL52" i="12"/>
  <c r="BK52" i="12"/>
  <c r="BJ52" i="12"/>
  <c r="BI52" i="12"/>
  <c r="BH52" i="12"/>
  <c r="BG52" i="12"/>
  <c r="BF52" i="12"/>
  <c r="BU51" i="12"/>
  <c r="BV51" i="12" s="1"/>
  <c r="BT51" i="12"/>
  <c r="BS51" i="12"/>
  <c r="BR51" i="12"/>
  <c r="BQ51" i="12"/>
  <c r="BP51" i="12"/>
  <c r="BO51" i="12"/>
  <c r="BN51" i="12"/>
  <c r="BM51" i="12"/>
  <c r="BL51" i="12"/>
  <c r="BK51" i="12"/>
  <c r="BJ51" i="12"/>
  <c r="BI51" i="12"/>
  <c r="BH51" i="12"/>
  <c r="BG51" i="12"/>
  <c r="BF51" i="12"/>
  <c r="BU50" i="12"/>
  <c r="BV50" i="12" s="1"/>
  <c r="BT50" i="12"/>
  <c r="BS50" i="12"/>
  <c r="BR50" i="12"/>
  <c r="BQ50" i="12"/>
  <c r="BP50" i="12"/>
  <c r="BO50" i="12"/>
  <c r="BN50" i="12"/>
  <c r="BM50" i="12"/>
  <c r="BL50" i="12"/>
  <c r="BK50" i="12"/>
  <c r="BJ50" i="12"/>
  <c r="BI50" i="12"/>
  <c r="BH50" i="12"/>
  <c r="BG50" i="12"/>
  <c r="BF50" i="12"/>
  <c r="BU49" i="12"/>
  <c r="BV49" i="12" s="1"/>
  <c r="BT49" i="12"/>
  <c r="BS49" i="12"/>
  <c r="BR49" i="12"/>
  <c r="BQ49" i="12"/>
  <c r="BP49" i="12"/>
  <c r="BO49" i="12"/>
  <c r="BN49" i="12"/>
  <c r="BM49" i="12"/>
  <c r="BL49" i="12"/>
  <c r="BK49" i="12"/>
  <c r="BJ49" i="12"/>
  <c r="BI49" i="12"/>
  <c r="BH49" i="12"/>
  <c r="BG49" i="12"/>
  <c r="BF49" i="12"/>
  <c r="BU48" i="12"/>
  <c r="BV48" i="12" s="1"/>
  <c r="BT48" i="12"/>
  <c r="BS48" i="12"/>
  <c r="BR48" i="12"/>
  <c r="BQ48" i="12"/>
  <c r="BP48" i="12"/>
  <c r="BO48" i="12"/>
  <c r="BN48" i="12"/>
  <c r="BM48" i="12"/>
  <c r="BL48" i="12"/>
  <c r="BK48" i="12"/>
  <c r="BJ48" i="12"/>
  <c r="BI48" i="12"/>
  <c r="BH48" i="12"/>
  <c r="BG48" i="12"/>
  <c r="BF48" i="12"/>
  <c r="BU47" i="12"/>
  <c r="BV47" i="12" s="1"/>
  <c r="BT47" i="12"/>
  <c r="BS47" i="12"/>
  <c r="BR47" i="12"/>
  <c r="BQ47" i="12"/>
  <c r="BP47" i="12"/>
  <c r="BO47" i="12"/>
  <c r="BN47" i="12"/>
  <c r="BM47" i="12"/>
  <c r="BL47" i="12"/>
  <c r="BK47" i="12"/>
  <c r="BJ47" i="12"/>
  <c r="BI47" i="12"/>
  <c r="BH47" i="12"/>
  <c r="BG47" i="12"/>
  <c r="BF47" i="12"/>
  <c r="BU46" i="12"/>
  <c r="BV46" i="12" s="1"/>
  <c r="BT46" i="12"/>
  <c r="BS46" i="12"/>
  <c r="BR46" i="12"/>
  <c r="BQ46" i="12"/>
  <c r="BP46" i="12"/>
  <c r="BO46" i="12"/>
  <c r="BN46" i="12"/>
  <c r="BM46" i="12"/>
  <c r="BL46" i="12"/>
  <c r="BK46" i="12"/>
  <c r="BJ46" i="12"/>
  <c r="BI46" i="12"/>
  <c r="BH46" i="12"/>
  <c r="BG46" i="12"/>
  <c r="BF46" i="12"/>
  <c r="BU45" i="12"/>
  <c r="BV45" i="12" s="1"/>
  <c r="BT45" i="12"/>
  <c r="BS45" i="12"/>
  <c r="BR45" i="12"/>
  <c r="BQ45" i="12"/>
  <c r="BP45" i="12"/>
  <c r="BO45" i="12"/>
  <c r="BN45" i="12"/>
  <c r="BM45" i="12"/>
  <c r="BL45" i="12"/>
  <c r="BK45" i="12"/>
  <c r="BJ45" i="12"/>
  <c r="BI45" i="12"/>
  <c r="BH45" i="12"/>
  <c r="BG45" i="12"/>
  <c r="BF45" i="12"/>
  <c r="BU44" i="12"/>
  <c r="BV44" i="12" s="1"/>
  <c r="BT44" i="12"/>
  <c r="BS44" i="12"/>
  <c r="BR44" i="12"/>
  <c r="BQ44" i="12"/>
  <c r="BP44" i="12"/>
  <c r="BO44" i="12"/>
  <c r="BN44" i="12"/>
  <c r="BM44" i="12"/>
  <c r="BL44" i="12"/>
  <c r="BK44" i="12"/>
  <c r="BJ44" i="12"/>
  <c r="BI44" i="12"/>
  <c r="BH44" i="12"/>
  <c r="BG44" i="12"/>
  <c r="BF44" i="12"/>
  <c r="BU43" i="12"/>
  <c r="BV43" i="12" s="1"/>
  <c r="BT43" i="12"/>
  <c r="BS43" i="12"/>
  <c r="BR43" i="12"/>
  <c r="BQ43" i="12"/>
  <c r="BP43" i="12"/>
  <c r="BO43" i="12"/>
  <c r="BN43" i="12"/>
  <c r="BM43" i="12"/>
  <c r="BL43" i="12"/>
  <c r="BK43" i="12"/>
  <c r="BJ43" i="12"/>
  <c r="BI43" i="12"/>
  <c r="BH43" i="12"/>
  <c r="BG43" i="12"/>
  <c r="BF43" i="12"/>
  <c r="BU42" i="12"/>
  <c r="BV42" i="12" s="1"/>
  <c r="BT42" i="12"/>
  <c r="BS42" i="12"/>
  <c r="BR42" i="12"/>
  <c r="BQ42" i="12"/>
  <c r="BP42" i="12"/>
  <c r="BO42" i="12"/>
  <c r="BN42" i="12"/>
  <c r="BM42" i="12"/>
  <c r="BL42" i="12"/>
  <c r="BK42" i="12"/>
  <c r="BJ42" i="12"/>
  <c r="BI42" i="12"/>
  <c r="BH42" i="12"/>
  <c r="BG42" i="12"/>
  <c r="BF42" i="12"/>
  <c r="BU41" i="12"/>
  <c r="BV41" i="12" s="1"/>
  <c r="BT41" i="12"/>
  <c r="BS41" i="12"/>
  <c r="BR41" i="12"/>
  <c r="BQ41" i="12"/>
  <c r="BP41" i="12"/>
  <c r="BO41" i="12"/>
  <c r="BN41" i="12"/>
  <c r="BM41" i="12"/>
  <c r="BL41" i="12"/>
  <c r="BK41" i="12"/>
  <c r="BJ41" i="12"/>
  <c r="BI41" i="12"/>
  <c r="BH41" i="12"/>
  <c r="BG41" i="12"/>
  <c r="BF41" i="12"/>
  <c r="BU40" i="12"/>
  <c r="BV40" i="12" s="1"/>
  <c r="BT40" i="12"/>
  <c r="BS40" i="12"/>
  <c r="BR40" i="12"/>
  <c r="BQ40" i="12"/>
  <c r="BP40" i="12"/>
  <c r="BO40" i="12"/>
  <c r="BN40" i="12"/>
  <c r="BM40" i="12"/>
  <c r="BL40" i="12"/>
  <c r="BK40" i="12"/>
  <c r="BJ40" i="12"/>
  <c r="BI40" i="12"/>
  <c r="BH40" i="12"/>
  <c r="BG40" i="12"/>
  <c r="BF40" i="12"/>
  <c r="BU39" i="12"/>
  <c r="BV39" i="12" s="1"/>
  <c r="BT39" i="12"/>
  <c r="BS39" i="12"/>
  <c r="BR39" i="12"/>
  <c r="BQ39" i="12"/>
  <c r="BP39" i="12"/>
  <c r="BO39" i="12"/>
  <c r="BN39" i="12"/>
  <c r="BM39" i="12"/>
  <c r="BL39" i="12"/>
  <c r="BK39" i="12"/>
  <c r="BJ39" i="12"/>
  <c r="BI39" i="12"/>
  <c r="BH39" i="12"/>
  <c r="BG39" i="12"/>
  <c r="BF39" i="12"/>
  <c r="BU38" i="12"/>
  <c r="BV38" i="12" s="1"/>
  <c r="BT38" i="12"/>
  <c r="BS38" i="12"/>
  <c r="BR38" i="12"/>
  <c r="BQ38" i="12"/>
  <c r="BP38" i="12"/>
  <c r="BO38" i="12"/>
  <c r="BN38" i="12"/>
  <c r="BM38" i="12"/>
  <c r="BL38" i="12"/>
  <c r="BK38" i="12"/>
  <c r="BJ38" i="12"/>
  <c r="BI38" i="12"/>
  <c r="BH38" i="12"/>
  <c r="BG38" i="12"/>
  <c r="BF38" i="12"/>
  <c r="BU37" i="12"/>
  <c r="BV37" i="12" s="1"/>
  <c r="BT37" i="12"/>
  <c r="BS37" i="12"/>
  <c r="BR37" i="12"/>
  <c r="BQ37" i="12"/>
  <c r="BP37" i="12"/>
  <c r="BO37" i="12"/>
  <c r="BN37" i="12"/>
  <c r="BM37" i="12"/>
  <c r="BL37" i="12"/>
  <c r="BK37" i="12"/>
  <c r="BJ37" i="12"/>
  <c r="BI37" i="12"/>
  <c r="BH37" i="12"/>
  <c r="BG37" i="12"/>
  <c r="BF37" i="12"/>
  <c r="BU36" i="12"/>
  <c r="BV36" i="12" s="1"/>
  <c r="BT36" i="12"/>
  <c r="BS36" i="12"/>
  <c r="BR36" i="12"/>
  <c r="BQ36" i="12"/>
  <c r="BP36" i="12"/>
  <c r="BO36" i="12"/>
  <c r="BN36" i="12"/>
  <c r="BM36" i="12"/>
  <c r="BL36" i="12"/>
  <c r="BK36" i="12"/>
  <c r="BJ36" i="12"/>
  <c r="BI36" i="12"/>
  <c r="BH36" i="12"/>
  <c r="BG36" i="12"/>
  <c r="BF36" i="12"/>
  <c r="BU34" i="12"/>
  <c r="BV34" i="12" s="1"/>
  <c r="BT34" i="12"/>
  <c r="BS34" i="12"/>
  <c r="BR34" i="12"/>
  <c r="BQ34" i="12"/>
  <c r="BP34" i="12"/>
  <c r="BO34" i="12"/>
  <c r="BN34" i="12"/>
  <c r="BM34" i="12"/>
  <c r="BL34" i="12"/>
  <c r="BK34" i="12"/>
  <c r="BJ34" i="12"/>
  <c r="BI34" i="12"/>
  <c r="BH34" i="12"/>
  <c r="BG34" i="12"/>
  <c r="BF34" i="12"/>
  <c r="BU33" i="12"/>
  <c r="BV33" i="12" s="1"/>
  <c r="BT33" i="12"/>
  <c r="BS33" i="12"/>
  <c r="BR33" i="12"/>
  <c r="BQ33" i="12"/>
  <c r="BP33" i="12"/>
  <c r="BO33" i="12"/>
  <c r="BN33" i="12"/>
  <c r="BM33" i="12"/>
  <c r="BL33" i="12"/>
  <c r="BK33" i="12"/>
  <c r="BJ33" i="12"/>
  <c r="BI33" i="12"/>
  <c r="BH33" i="12"/>
  <c r="BG33" i="12"/>
  <c r="BF33" i="12"/>
  <c r="BU32" i="12"/>
  <c r="BV32" i="12" s="1"/>
  <c r="BT32" i="12"/>
  <c r="BS32" i="12"/>
  <c r="BR32" i="12"/>
  <c r="BQ32" i="12"/>
  <c r="BP32" i="12"/>
  <c r="BO32" i="12"/>
  <c r="BN32" i="12"/>
  <c r="BM32" i="12"/>
  <c r="BL32" i="12"/>
  <c r="BK32" i="12"/>
  <c r="BJ32" i="12"/>
  <c r="BI32" i="12"/>
  <c r="BH32" i="12"/>
  <c r="BG32" i="12"/>
  <c r="BF32" i="12"/>
  <c r="BU31" i="12"/>
  <c r="BV31" i="12" s="1"/>
  <c r="BT31" i="12"/>
  <c r="BS31" i="12"/>
  <c r="BR31" i="12"/>
  <c r="BQ31" i="12"/>
  <c r="BP31" i="12"/>
  <c r="BO31" i="12"/>
  <c r="BN31" i="12"/>
  <c r="BM31" i="12"/>
  <c r="BL31" i="12"/>
  <c r="BK31" i="12"/>
  <c r="BJ31" i="12"/>
  <c r="BI31" i="12"/>
  <c r="BH31" i="12"/>
  <c r="BG31" i="12"/>
  <c r="BF31" i="12"/>
  <c r="BU30" i="12"/>
  <c r="BV30" i="12" s="1"/>
  <c r="BT30" i="12"/>
  <c r="BS30" i="12"/>
  <c r="BR30" i="12"/>
  <c r="BQ30" i="12"/>
  <c r="BP30" i="12"/>
  <c r="BO30" i="12"/>
  <c r="BN30" i="12"/>
  <c r="BM30" i="12"/>
  <c r="BL30" i="12"/>
  <c r="BK30" i="12"/>
  <c r="BJ30" i="12"/>
  <c r="BI30" i="12"/>
  <c r="BH30" i="12"/>
  <c r="BG30" i="12"/>
  <c r="BF30" i="12"/>
  <c r="BU29" i="12"/>
  <c r="BV29" i="12" s="1"/>
  <c r="BT29" i="12"/>
  <c r="BS29" i="12"/>
  <c r="BR29" i="12"/>
  <c r="BQ29" i="12"/>
  <c r="BP29" i="12"/>
  <c r="BO29" i="12"/>
  <c r="BN29" i="12"/>
  <c r="BM29" i="12"/>
  <c r="BL29" i="12"/>
  <c r="BK29" i="12"/>
  <c r="BJ29" i="12"/>
  <c r="BI29" i="12"/>
  <c r="BH29" i="12"/>
  <c r="BG29" i="12"/>
  <c r="BF29" i="12"/>
  <c r="BU28" i="12"/>
  <c r="BV28" i="12" s="1"/>
  <c r="BT28" i="12"/>
  <c r="BS28" i="12"/>
  <c r="BR28" i="12"/>
  <c r="BQ28" i="12"/>
  <c r="BP28" i="12"/>
  <c r="BO28" i="12"/>
  <c r="BN28" i="12"/>
  <c r="BM28" i="12"/>
  <c r="BL28" i="12"/>
  <c r="BK28" i="12"/>
  <c r="BJ28" i="12"/>
  <c r="BI28" i="12"/>
  <c r="BH28" i="12"/>
  <c r="BG28" i="12"/>
  <c r="BF28" i="12"/>
  <c r="BU27" i="12"/>
  <c r="BV27" i="12" s="1"/>
  <c r="BT27" i="12"/>
  <c r="BS27" i="12"/>
  <c r="BR27" i="12"/>
  <c r="BQ27" i="12"/>
  <c r="BP27" i="12"/>
  <c r="BO27" i="12"/>
  <c r="BN27" i="12"/>
  <c r="BM27" i="12"/>
  <c r="BL27" i="12"/>
  <c r="BK27" i="12"/>
  <c r="BJ27" i="12"/>
  <c r="BI27" i="12"/>
  <c r="BH27" i="12"/>
  <c r="BG27" i="12"/>
  <c r="BF27" i="12"/>
  <c r="BU26" i="12"/>
  <c r="BV26" i="12" s="1"/>
  <c r="BT26" i="12"/>
  <c r="BS26" i="12"/>
  <c r="BR26" i="12"/>
  <c r="BQ26" i="12"/>
  <c r="BP26" i="12"/>
  <c r="BO26" i="12"/>
  <c r="BN26" i="12"/>
  <c r="BM26" i="12"/>
  <c r="BL26" i="12"/>
  <c r="BK26" i="12"/>
  <c r="BJ26" i="12"/>
  <c r="BI26" i="12"/>
  <c r="BH26" i="12"/>
  <c r="BG26" i="12"/>
  <c r="BF26" i="12"/>
  <c r="BU25" i="12"/>
  <c r="BV25" i="12" s="1"/>
  <c r="BT25" i="12"/>
  <c r="BS25" i="12"/>
  <c r="BR25" i="12"/>
  <c r="BQ25" i="12"/>
  <c r="BP25" i="12"/>
  <c r="BO25" i="12"/>
  <c r="BN25" i="12"/>
  <c r="BM25" i="12"/>
  <c r="BL25" i="12"/>
  <c r="BK25" i="12"/>
  <c r="BJ25" i="12"/>
  <c r="BI25" i="12"/>
  <c r="BH25" i="12"/>
  <c r="BG25" i="12"/>
  <c r="BF25" i="12"/>
  <c r="BU24" i="12"/>
  <c r="BV24" i="12" s="1"/>
  <c r="BT24" i="12"/>
  <c r="BS24" i="12"/>
  <c r="BR24" i="12"/>
  <c r="BQ24" i="12"/>
  <c r="BP24" i="12"/>
  <c r="BO24" i="12"/>
  <c r="BN24" i="12"/>
  <c r="BM24" i="12"/>
  <c r="BL24" i="12"/>
  <c r="BK24" i="12"/>
  <c r="BJ24" i="12"/>
  <c r="BI24" i="12"/>
  <c r="BH24" i="12"/>
  <c r="BG24" i="12"/>
  <c r="BF24" i="12"/>
  <c r="BU23" i="12"/>
  <c r="BV23" i="12" s="1"/>
  <c r="BT23" i="12"/>
  <c r="BS23" i="12"/>
  <c r="BR23" i="12"/>
  <c r="BQ23" i="12"/>
  <c r="BP23" i="12"/>
  <c r="BO23" i="12"/>
  <c r="BN23" i="12"/>
  <c r="BM23" i="12"/>
  <c r="BL23" i="12"/>
  <c r="BK23" i="12"/>
  <c r="BJ23" i="12"/>
  <c r="BI23" i="12"/>
  <c r="BH23" i="12"/>
  <c r="BG23" i="12"/>
  <c r="BF23" i="12"/>
  <c r="BU22" i="12"/>
  <c r="BV22" i="12" s="1"/>
  <c r="BT22" i="12"/>
  <c r="BS22" i="12"/>
  <c r="BR22" i="12"/>
  <c r="BQ22" i="12"/>
  <c r="BP22" i="12"/>
  <c r="BO22" i="12"/>
  <c r="BN22" i="12"/>
  <c r="BM22" i="12"/>
  <c r="BL22" i="12"/>
  <c r="BK22" i="12"/>
  <c r="BJ22" i="12"/>
  <c r="BI22" i="12"/>
  <c r="BH22" i="12"/>
  <c r="BG22" i="12"/>
  <c r="BF22" i="12"/>
  <c r="BU21" i="12"/>
  <c r="BV21" i="12" s="1"/>
  <c r="BT21" i="12"/>
  <c r="BS21" i="12"/>
  <c r="BR21" i="12"/>
  <c r="BQ21" i="12"/>
  <c r="BP21" i="12"/>
  <c r="BO21" i="12"/>
  <c r="BN21" i="12"/>
  <c r="BM21" i="12"/>
  <c r="BL21" i="12"/>
  <c r="BK21" i="12"/>
  <c r="BJ21" i="12"/>
  <c r="BI21" i="12"/>
  <c r="BH21" i="12"/>
  <c r="BG21" i="12"/>
  <c r="BF21" i="12"/>
  <c r="BU20" i="12"/>
  <c r="BV20" i="12" s="1"/>
  <c r="BT20" i="12"/>
  <c r="BS20" i="12"/>
  <c r="BR20" i="12"/>
  <c r="BQ20" i="12"/>
  <c r="BP20" i="12"/>
  <c r="BO20" i="12"/>
  <c r="BN20" i="12"/>
  <c r="BM20" i="12"/>
  <c r="BL20" i="12"/>
  <c r="BK20" i="12"/>
  <c r="BJ20" i="12"/>
  <c r="BI20" i="12"/>
  <c r="BH20" i="12"/>
  <c r="BG20" i="12"/>
  <c r="BF20" i="12"/>
  <c r="BU19" i="12"/>
  <c r="BV19" i="12" s="1"/>
  <c r="BT19" i="12"/>
  <c r="BS19" i="12"/>
  <c r="BR19" i="12"/>
  <c r="BQ19" i="12"/>
  <c r="BP19" i="12"/>
  <c r="BO19" i="12"/>
  <c r="BN19" i="12"/>
  <c r="BM19" i="12"/>
  <c r="BL19" i="12"/>
  <c r="BK19" i="12"/>
  <c r="BJ19" i="12"/>
  <c r="BI19" i="12"/>
  <c r="BH19" i="12"/>
  <c r="BG19" i="12"/>
  <c r="BF19" i="12"/>
  <c r="BU18" i="12"/>
  <c r="BV18" i="12" s="1"/>
  <c r="BT18" i="12"/>
  <c r="BS18" i="12"/>
  <c r="BR18" i="12"/>
  <c r="BQ18" i="12"/>
  <c r="BP18" i="12"/>
  <c r="BO18" i="12"/>
  <c r="BN18" i="12"/>
  <c r="BM18" i="12"/>
  <c r="BL18" i="12"/>
  <c r="BK18" i="12"/>
  <c r="BJ18" i="12"/>
  <c r="BI18" i="12"/>
  <c r="BH18" i="12"/>
  <c r="BG18" i="12"/>
  <c r="BF18" i="12"/>
  <c r="BU17" i="12"/>
  <c r="BV17" i="12" s="1"/>
  <c r="BT17" i="12"/>
  <c r="BS17" i="12"/>
  <c r="BR17" i="12"/>
  <c r="BQ17" i="12"/>
  <c r="BP17" i="12"/>
  <c r="BO17" i="12"/>
  <c r="BN17" i="12"/>
  <c r="BM17" i="12"/>
  <c r="BL17" i="12"/>
  <c r="BK17" i="12"/>
  <c r="BJ17" i="12"/>
  <c r="BI17" i="12"/>
  <c r="BH17" i="12"/>
  <c r="BG17" i="12"/>
  <c r="BF17" i="12"/>
  <c r="BU16" i="12"/>
  <c r="BV16" i="12" s="1"/>
  <c r="BT16" i="12"/>
  <c r="BS16" i="12"/>
  <c r="BR16" i="12"/>
  <c r="BQ16" i="12"/>
  <c r="BP16" i="12"/>
  <c r="BO16" i="12"/>
  <c r="BN16" i="12"/>
  <c r="BM16" i="12"/>
  <c r="BL16" i="12"/>
  <c r="BK16" i="12"/>
  <c r="BJ16" i="12"/>
  <c r="BI16" i="12"/>
  <c r="BH16" i="12"/>
  <c r="BG16" i="12"/>
  <c r="BF16" i="12"/>
  <c r="BU15" i="12"/>
  <c r="BV15" i="12" s="1"/>
  <c r="BT15" i="12"/>
  <c r="BS15" i="12"/>
  <c r="BR15" i="12"/>
  <c r="BQ15" i="12"/>
  <c r="BP15" i="12"/>
  <c r="BO15" i="12"/>
  <c r="BN15" i="12"/>
  <c r="BM15" i="12"/>
  <c r="BL15" i="12"/>
  <c r="BK15" i="12"/>
  <c r="BJ15" i="12"/>
  <c r="BI15" i="12"/>
  <c r="BH15" i="12"/>
  <c r="BG15" i="12"/>
  <c r="BF15" i="12"/>
  <c r="BU14" i="12"/>
  <c r="BV14" i="12" s="1"/>
  <c r="BT14" i="12"/>
  <c r="BS14" i="12"/>
  <c r="BR14" i="12"/>
  <c r="BQ14" i="12"/>
  <c r="BP14" i="12"/>
  <c r="BO14" i="12"/>
  <c r="BN14" i="12"/>
  <c r="BM14" i="12"/>
  <c r="BL14" i="12"/>
  <c r="BK14" i="12"/>
  <c r="BJ14" i="12"/>
  <c r="BI14" i="12"/>
  <c r="BH14" i="12"/>
  <c r="BG14" i="12"/>
  <c r="BF14" i="12"/>
  <c r="BU13" i="12"/>
  <c r="BV13" i="12" s="1"/>
  <c r="BT13" i="12"/>
  <c r="BS13" i="12"/>
  <c r="BR13" i="12"/>
  <c r="BQ13" i="12"/>
  <c r="BP13" i="12"/>
  <c r="BO13" i="12"/>
  <c r="BN13" i="12"/>
  <c r="BM13" i="12"/>
  <c r="BL13" i="12"/>
  <c r="BK13" i="12"/>
  <c r="BJ13" i="12"/>
  <c r="BI13" i="12"/>
  <c r="BH13" i="12"/>
  <c r="BG13" i="12"/>
  <c r="BF13" i="12"/>
  <c r="BU12" i="12"/>
  <c r="BV12" i="12" s="1"/>
  <c r="BT12" i="12"/>
  <c r="BS12" i="12"/>
  <c r="BR12" i="12"/>
  <c r="BQ12" i="12"/>
  <c r="BP12" i="12"/>
  <c r="BO12" i="12"/>
  <c r="BN12" i="12"/>
  <c r="BM12" i="12"/>
  <c r="BL12" i="12"/>
  <c r="BK12" i="12"/>
  <c r="BJ12" i="12"/>
  <c r="BI12" i="12"/>
  <c r="BH12" i="12"/>
  <c r="BG12" i="12"/>
  <c r="BF12" i="12"/>
  <c r="BU11" i="12"/>
  <c r="BV11" i="12" s="1"/>
  <c r="BT11" i="12"/>
  <c r="BS11" i="12"/>
  <c r="BR11" i="12"/>
  <c r="BQ11" i="12"/>
  <c r="BP11" i="12"/>
  <c r="BO11" i="12"/>
  <c r="BN11" i="12"/>
  <c r="BM11" i="12"/>
  <c r="BL11" i="12"/>
  <c r="BK11" i="12"/>
  <c r="BJ11" i="12"/>
  <c r="BI11" i="12"/>
  <c r="BH11" i="12"/>
  <c r="BG11" i="12"/>
  <c r="BF11" i="12"/>
  <c r="BU10" i="12"/>
  <c r="BV10" i="12" s="1"/>
  <c r="BT10" i="12"/>
  <c r="BS10" i="12"/>
  <c r="BR10" i="12"/>
  <c r="BQ10" i="12"/>
  <c r="BP10" i="12"/>
  <c r="BO10" i="12"/>
  <c r="BN10" i="12"/>
  <c r="BM10" i="12"/>
  <c r="BL10" i="12"/>
  <c r="BK10" i="12"/>
  <c r="BJ10" i="12"/>
  <c r="BI10" i="12"/>
  <c r="BH10" i="12"/>
  <c r="BG10" i="12"/>
  <c r="BF10" i="12"/>
  <c r="BU9" i="12"/>
  <c r="BV9" i="12" s="1"/>
  <c r="BT9" i="12"/>
  <c r="BS9" i="12"/>
  <c r="BR9" i="12"/>
  <c r="BQ9" i="12"/>
  <c r="BP9" i="12"/>
  <c r="BO9" i="12"/>
  <c r="BN9" i="12"/>
  <c r="BM9" i="12"/>
  <c r="BL9" i="12"/>
  <c r="BK9" i="12"/>
  <c r="BJ9" i="12"/>
  <c r="BI9" i="12"/>
  <c r="BH9" i="12"/>
  <c r="BG9" i="12"/>
  <c r="BF9" i="12"/>
  <c r="BU8" i="12"/>
  <c r="BV8" i="12" s="1"/>
  <c r="BT8" i="12"/>
  <c r="BS8" i="12"/>
  <c r="BR8" i="12"/>
  <c r="BQ8" i="12"/>
  <c r="BP8" i="12"/>
  <c r="BO8" i="12"/>
  <c r="BN8" i="12"/>
  <c r="BM8" i="12"/>
  <c r="BL8" i="12"/>
  <c r="BK8" i="12"/>
  <c r="BJ8" i="12"/>
  <c r="BI8" i="12"/>
  <c r="BH8" i="12"/>
  <c r="BG8" i="12"/>
  <c r="BF8" i="12"/>
  <c r="BU7" i="12"/>
  <c r="BV7" i="12" s="1"/>
  <c r="BT7" i="12"/>
  <c r="BS7" i="12"/>
  <c r="BR7" i="12"/>
  <c r="BQ7" i="12"/>
  <c r="BP7" i="12"/>
  <c r="BO7" i="12"/>
  <c r="BN7" i="12"/>
  <c r="BM7" i="12"/>
  <c r="BL7" i="12"/>
  <c r="BK7" i="12"/>
  <c r="BJ7" i="12"/>
  <c r="BI7" i="12"/>
  <c r="BH7" i="12"/>
  <c r="BG7" i="12"/>
  <c r="BF7" i="12"/>
  <c r="BU6" i="12"/>
  <c r="BV6" i="12" s="1"/>
  <c r="BT6" i="12"/>
  <c r="BS6" i="12"/>
  <c r="BR6" i="12"/>
  <c r="BQ6" i="12"/>
  <c r="BP6" i="12"/>
  <c r="BO6" i="12"/>
  <c r="BN6" i="12"/>
  <c r="BM6" i="12"/>
  <c r="BL6" i="12"/>
  <c r="BK6" i="12"/>
  <c r="BJ6" i="12"/>
  <c r="BI6" i="12"/>
  <c r="BH6" i="12"/>
  <c r="BG6" i="12"/>
  <c r="BF6" i="12"/>
  <c r="BU5" i="12"/>
  <c r="BV5" i="12" s="1"/>
  <c r="BT5" i="12"/>
  <c r="BS5" i="12"/>
  <c r="BR5" i="12"/>
  <c r="BQ5" i="12"/>
  <c r="BP5" i="12"/>
  <c r="BO5" i="12"/>
  <c r="BN5" i="12"/>
  <c r="BM5" i="12"/>
  <c r="BL5" i="12"/>
  <c r="BK5" i="12"/>
  <c r="BJ5" i="12"/>
  <c r="BI5" i="12"/>
  <c r="BH5" i="12"/>
  <c r="BG5" i="12"/>
  <c r="BF5" i="12"/>
  <c r="BU4" i="12"/>
  <c r="BV4" i="12" s="1"/>
  <c r="BT4" i="12"/>
  <c r="BS4" i="12"/>
  <c r="BR4" i="12"/>
  <c r="BQ4" i="12"/>
  <c r="BP4" i="12"/>
  <c r="BO4" i="12"/>
  <c r="BN4" i="12"/>
  <c r="BM4" i="12"/>
  <c r="BL4" i="12"/>
  <c r="BK4" i="12"/>
  <c r="BJ4" i="12"/>
  <c r="BI4" i="12"/>
  <c r="BH4" i="12"/>
  <c r="BG4" i="12"/>
  <c r="BF4" i="12"/>
  <c r="BU3" i="12"/>
  <c r="BV3" i="12" s="1"/>
  <c r="BT3" i="12"/>
  <c r="BS3" i="12"/>
  <c r="BR3" i="12"/>
  <c r="BQ3" i="12"/>
  <c r="BP3" i="12"/>
  <c r="BO3" i="12"/>
  <c r="BN3" i="12"/>
  <c r="BM3" i="12"/>
  <c r="BL3" i="12"/>
  <c r="BK3" i="12"/>
  <c r="BJ3" i="12"/>
  <c r="BI3" i="12"/>
  <c r="BH3" i="12"/>
  <c r="BG3" i="12"/>
  <c r="BF3" i="12"/>
  <c r="BU2" i="12"/>
  <c r="BV2" i="12" s="1"/>
  <c r="BT2" i="12"/>
  <c r="BS2" i="12"/>
  <c r="BR2" i="12"/>
  <c r="BQ2" i="12"/>
  <c r="BP2" i="12"/>
  <c r="BO2" i="12"/>
  <c r="BN2" i="12"/>
  <c r="BM2" i="12"/>
  <c r="BL2" i="12"/>
  <c r="BK2" i="12"/>
  <c r="BJ2" i="12"/>
  <c r="BI2" i="12"/>
  <c r="BH2" i="12"/>
  <c r="BG2" i="12"/>
  <c r="BF2" i="12"/>
  <c r="BU35" i="12"/>
  <c r="BV35" i="12" s="1"/>
  <c r="BM35" i="12"/>
  <c r="BR35" i="12"/>
  <c r="BT35" i="12"/>
  <c r="BS35" i="12"/>
  <c r="BQ35" i="12"/>
  <c r="BP35" i="12"/>
  <c r="BO35" i="12" l="1"/>
  <c r="BN35" i="12"/>
  <c r="BL35" i="12"/>
  <c r="BK35" i="12"/>
  <c r="BI35" i="12"/>
  <c r="BJ35" i="12"/>
  <c r="BH35" i="12"/>
  <c r="BG35" i="12"/>
  <c r="BF35" i="12"/>
  <c r="U2" i="13" l="1"/>
  <c r="P184" i="14" l="1"/>
  <c r="O184" i="14"/>
  <c r="P183" i="14"/>
  <c r="O183" i="14"/>
  <c r="P182" i="14"/>
  <c r="O182" i="14"/>
  <c r="P181" i="14"/>
  <c r="O181" i="14"/>
  <c r="P180" i="14"/>
  <c r="O180" i="14"/>
  <c r="P179" i="14"/>
  <c r="O179" i="14"/>
  <c r="P178" i="14"/>
  <c r="O178" i="14"/>
  <c r="P177" i="14"/>
  <c r="O177" i="14"/>
  <c r="P176" i="14"/>
  <c r="O176" i="14"/>
  <c r="P175" i="14"/>
  <c r="O175" i="14"/>
  <c r="P174" i="14"/>
  <c r="O174" i="14"/>
  <c r="P173" i="14"/>
  <c r="O173" i="14"/>
  <c r="P172" i="14"/>
  <c r="O172" i="14"/>
  <c r="P171" i="14"/>
  <c r="O171" i="14"/>
  <c r="P170" i="14"/>
  <c r="O170" i="14"/>
  <c r="P169" i="14"/>
  <c r="O169" i="14"/>
  <c r="P168" i="14"/>
  <c r="O168" i="14"/>
  <c r="P167" i="14"/>
  <c r="O167" i="14"/>
  <c r="P166" i="14"/>
  <c r="O166" i="14"/>
  <c r="P165" i="14"/>
  <c r="O165" i="14"/>
  <c r="P164" i="14"/>
  <c r="O164" i="14"/>
  <c r="P163" i="14"/>
  <c r="O163" i="14"/>
  <c r="P162" i="14"/>
  <c r="O162" i="14"/>
  <c r="P161" i="14"/>
  <c r="O161" i="14"/>
  <c r="P160" i="14"/>
  <c r="O160" i="14"/>
  <c r="P159" i="14"/>
  <c r="O159" i="14"/>
  <c r="P158" i="14"/>
  <c r="O158" i="14"/>
  <c r="P157" i="14"/>
  <c r="O157" i="14"/>
  <c r="P156" i="14"/>
  <c r="O156" i="14"/>
  <c r="P155" i="14"/>
  <c r="O155" i="14"/>
  <c r="P154" i="14"/>
  <c r="O154" i="14"/>
  <c r="P153" i="14"/>
  <c r="O153" i="14"/>
  <c r="P152" i="14"/>
  <c r="O152" i="14"/>
  <c r="P151" i="14"/>
  <c r="O151" i="14"/>
  <c r="P150" i="14"/>
  <c r="O150" i="14"/>
  <c r="P149" i="14"/>
  <c r="O149" i="14"/>
  <c r="P148" i="14"/>
  <c r="O148" i="14"/>
  <c r="P147" i="14"/>
  <c r="O147" i="14"/>
  <c r="P146" i="14"/>
  <c r="O146" i="14"/>
  <c r="P145" i="14"/>
  <c r="O145" i="14"/>
  <c r="P144" i="14"/>
  <c r="O144" i="14"/>
  <c r="P143" i="14"/>
  <c r="O143" i="14"/>
  <c r="P142" i="14"/>
  <c r="O142" i="14"/>
  <c r="P141" i="14"/>
  <c r="O141" i="14"/>
  <c r="P140" i="14"/>
  <c r="O140" i="14"/>
  <c r="P139" i="14"/>
  <c r="O139" i="14"/>
  <c r="P138" i="14"/>
  <c r="O138" i="14"/>
  <c r="P137" i="14"/>
  <c r="O137" i="14"/>
  <c r="P136" i="14"/>
  <c r="O136" i="14"/>
  <c r="P135" i="14"/>
  <c r="O135" i="14"/>
  <c r="P134" i="14"/>
  <c r="O134" i="14"/>
  <c r="P133" i="14"/>
  <c r="O133" i="14"/>
  <c r="P132" i="14"/>
  <c r="O132" i="14"/>
  <c r="P131" i="14"/>
  <c r="O131" i="14"/>
  <c r="P130" i="14"/>
  <c r="O130" i="14"/>
  <c r="P129" i="14"/>
  <c r="O129" i="14"/>
  <c r="P128" i="14"/>
  <c r="O128" i="14"/>
  <c r="P127" i="14"/>
  <c r="O127" i="14"/>
  <c r="P126" i="14"/>
  <c r="O126" i="14"/>
  <c r="P125" i="14"/>
  <c r="O125" i="14"/>
  <c r="P124" i="14"/>
  <c r="O124" i="14"/>
  <c r="P123" i="14"/>
  <c r="O123" i="14"/>
  <c r="P122" i="14"/>
  <c r="O122" i="14"/>
  <c r="P121" i="14"/>
  <c r="O121" i="14"/>
  <c r="P120" i="14"/>
  <c r="O120" i="14"/>
  <c r="P119" i="14"/>
  <c r="O119" i="14"/>
  <c r="P118" i="14"/>
  <c r="O118" i="14"/>
  <c r="P117" i="14"/>
  <c r="O117" i="14"/>
  <c r="P116" i="14"/>
  <c r="O116" i="14"/>
  <c r="P115" i="14"/>
  <c r="O115" i="14"/>
  <c r="P114" i="14"/>
  <c r="O114" i="14"/>
  <c r="P113" i="14"/>
  <c r="O113" i="14"/>
  <c r="P112" i="14"/>
  <c r="O112" i="14"/>
  <c r="P111" i="14"/>
  <c r="O111" i="14"/>
  <c r="P110" i="14"/>
  <c r="O110" i="14"/>
  <c r="P109" i="14"/>
  <c r="O109" i="14"/>
  <c r="P108" i="14"/>
  <c r="O108" i="14"/>
  <c r="P107" i="14"/>
  <c r="O107" i="14"/>
  <c r="P106" i="14"/>
  <c r="O106" i="14"/>
  <c r="P105" i="14"/>
  <c r="O105" i="14"/>
  <c r="P104" i="14"/>
  <c r="O104" i="14"/>
  <c r="P103" i="14"/>
  <c r="O103" i="14"/>
  <c r="P102" i="14"/>
  <c r="O102" i="14"/>
  <c r="P101" i="14"/>
  <c r="O101" i="14"/>
  <c r="P100" i="14"/>
  <c r="O100" i="14"/>
  <c r="P99" i="14"/>
  <c r="O99" i="14"/>
  <c r="P98" i="14"/>
  <c r="O98" i="14"/>
  <c r="P97" i="14"/>
  <c r="O97" i="14"/>
  <c r="P96" i="14"/>
  <c r="O96" i="14"/>
  <c r="P95" i="14"/>
  <c r="O95" i="14"/>
  <c r="P94" i="14"/>
  <c r="O94" i="14"/>
  <c r="P93" i="14"/>
  <c r="O93" i="14"/>
  <c r="P92" i="14"/>
  <c r="O92" i="14"/>
  <c r="P91" i="14"/>
  <c r="O91" i="14"/>
  <c r="P90" i="14"/>
  <c r="O90" i="14"/>
  <c r="P89" i="14"/>
  <c r="O89" i="14"/>
  <c r="P88" i="14"/>
  <c r="O88" i="14"/>
  <c r="P87" i="14"/>
  <c r="O87" i="14"/>
  <c r="P86" i="14"/>
  <c r="O86" i="14"/>
  <c r="P85" i="14"/>
  <c r="O85" i="14"/>
  <c r="P84" i="14"/>
  <c r="O84" i="14"/>
  <c r="P83" i="14"/>
  <c r="O83" i="14"/>
  <c r="P82" i="14"/>
  <c r="O82" i="14"/>
  <c r="P81" i="14"/>
  <c r="O81" i="14"/>
  <c r="P80" i="14"/>
  <c r="O80" i="14"/>
  <c r="P79" i="14"/>
  <c r="O79" i="14"/>
  <c r="P78" i="14"/>
  <c r="O78" i="14"/>
  <c r="P77" i="14"/>
  <c r="O77" i="14"/>
  <c r="P76" i="14"/>
  <c r="O76" i="14"/>
  <c r="P75" i="14"/>
  <c r="O75" i="14"/>
  <c r="P74" i="14"/>
  <c r="O74" i="14"/>
  <c r="P73" i="14"/>
  <c r="O73" i="14"/>
  <c r="P72" i="14"/>
  <c r="O72" i="14"/>
  <c r="P71" i="14"/>
  <c r="O71" i="14"/>
  <c r="P70" i="14"/>
  <c r="O70" i="14"/>
  <c r="P69" i="14"/>
  <c r="O69" i="14"/>
  <c r="P68" i="14"/>
  <c r="O68" i="14"/>
  <c r="P67" i="14"/>
  <c r="O67" i="14"/>
  <c r="P66" i="14"/>
  <c r="O66" i="14"/>
  <c r="P65" i="14"/>
  <c r="O65" i="14"/>
  <c r="P64" i="14"/>
  <c r="O64" i="14"/>
  <c r="P63" i="14"/>
  <c r="O63" i="14"/>
  <c r="P62" i="14"/>
  <c r="O62" i="14"/>
  <c r="P61" i="14"/>
  <c r="O61" i="14"/>
  <c r="P60" i="14"/>
  <c r="O60" i="14"/>
  <c r="P59" i="14"/>
  <c r="O59" i="14"/>
  <c r="P58" i="14"/>
  <c r="O58" i="14"/>
  <c r="P57" i="14"/>
  <c r="O57" i="14"/>
  <c r="P56" i="14"/>
  <c r="O56" i="14"/>
  <c r="P55" i="14"/>
  <c r="O55" i="14"/>
  <c r="P54" i="14"/>
  <c r="O54" i="14"/>
  <c r="P53" i="14"/>
  <c r="O53" i="14"/>
  <c r="P52" i="14"/>
  <c r="O52" i="14"/>
  <c r="P51" i="14"/>
  <c r="O51" i="14"/>
  <c r="P50" i="14"/>
  <c r="O50" i="14"/>
  <c r="P49" i="14"/>
  <c r="O49" i="14"/>
  <c r="P48" i="14"/>
  <c r="O48" i="14"/>
  <c r="P47" i="14"/>
  <c r="O47" i="14"/>
  <c r="P46" i="14"/>
  <c r="O46" i="14"/>
  <c r="P45" i="14"/>
  <c r="O45" i="14"/>
  <c r="P44" i="14"/>
  <c r="O44" i="14"/>
  <c r="P43" i="14"/>
  <c r="O43" i="14"/>
  <c r="P42" i="14"/>
  <c r="O42" i="14"/>
  <c r="P41" i="14"/>
  <c r="O41" i="14"/>
  <c r="P40" i="14"/>
  <c r="O40" i="14"/>
  <c r="P39" i="14"/>
  <c r="O39" i="14"/>
  <c r="P38" i="14"/>
  <c r="O38" i="14"/>
  <c r="P37" i="14"/>
  <c r="O37" i="14"/>
  <c r="P36" i="14"/>
  <c r="O36" i="14"/>
  <c r="P35" i="14"/>
  <c r="O35" i="14"/>
  <c r="P34" i="14"/>
  <c r="O34" i="14"/>
  <c r="P33" i="14"/>
  <c r="O33" i="14"/>
  <c r="P32" i="14"/>
  <c r="O32" i="14"/>
  <c r="P31" i="14"/>
  <c r="O31" i="14"/>
  <c r="P30" i="14"/>
  <c r="O30" i="14"/>
  <c r="P29" i="14"/>
  <c r="O29" i="14"/>
  <c r="P28" i="14"/>
  <c r="O28" i="14"/>
  <c r="P27" i="14"/>
  <c r="O27" i="14"/>
  <c r="P26" i="14"/>
  <c r="O26" i="14"/>
  <c r="P25" i="14"/>
  <c r="O25" i="14"/>
  <c r="P24" i="14"/>
  <c r="O24" i="14"/>
  <c r="P23" i="14"/>
  <c r="O23" i="14"/>
  <c r="P22" i="14"/>
  <c r="O22" i="14"/>
  <c r="P21" i="14"/>
  <c r="O21" i="14"/>
  <c r="P20" i="14"/>
  <c r="O20" i="14"/>
  <c r="P19" i="14"/>
  <c r="O19" i="14"/>
  <c r="P18" i="14"/>
  <c r="O18" i="14"/>
  <c r="P17" i="14"/>
  <c r="O17" i="14"/>
  <c r="P16" i="14"/>
  <c r="O16" i="14"/>
  <c r="P15" i="14"/>
  <c r="O15" i="14"/>
  <c r="P14" i="14"/>
  <c r="O14" i="14"/>
  <c r="P13" i="14"/>
  <c r="O13" i="14"/>
  <c r="P12" i="14"/>
  <c r="O12" i="14"/>
  <c r="P11" i="14"/>
  <c r="O11" i="14"/>
  <c r="P10" i="14"/>
  <c r="O10" i="14"/>
  <c r="P9" i="14"/>
  <c r="O9" i="14"/>
  <c r="P8" i="14"/>
  <c r="O8" i="14"/>
  <c r="P7" i="14"/>
  <c r="O7" i="14"/>
  <c r="P6" i="14"/>
  <c r="O6" i="14"/>
  <c r="P5" i="14"/>
  <c r="O5" i="14"/>
  <c r="P4" i="14"/>
  <c r="O4" i="14"/>
  <c r="P3" i="14"/>
  <c r="O3" i="14"/>
  <c r="P2" i="14"/>
  <c r="O2" i="14"/>
  <c r="N1" i="14"/>
  <c r="AP28" i="13"/>
  <c r="AP27" i="13"/>
  <c r="AJ26" i="13"/>
  <c r="AL25" i="13"/>
  <c r="AP24" i="13"/>
  <c r="AP23" i="13"/>
  <c r="AJ22" i="13"/>
  <c r="AL21" i="13"/>
  <c r="AP20" i="13"/>
  <c r="AP19" i="13"/>
  <c r="AJ18" i="13"/>
  <c r="AL17" i="13"/>
  <c r="AP16" i="13"/>
  <c r="AP15" i="13"/>
  <c r="AJ14" i="13"/>
  <c r="T13" i="13"/>
  <c r="T12" i="13"/>
  <c r="T11" i="13"/>
  <c r="T10" i="13"/>
  <c r="T9" i="13"/>
  <c r="T8" i="13"/>
  <c r="T7" i="13"/>
  <c r="AP7" i="13" s="1"/>
  <c r="T6" i="13"/>
  <c r="T5" i="13"/>
  <c r="AL5" i="13" s="1"/>
  <c r="AI22" i="13" l="1"/>
  <c r="Q3" i="14"/>
  <c r="AI27" i="13"/>
  <c r="AK27" i="13"/>
  <c r="AG19" i="13"/>
  <c r="AH19" i="13"/>
  <c r="AI14" i="13"/>
  <c r="AI19" i="13"/>
  <c r="AL27" i="13"/>
  <c r="Q178" i="14"/>
  <c r="Q170" i="14"/>
  <c r="Q162" i="14"/>
  <c r="Q154" i="14"/>
  <c r="Q146" i="14"/>
  <c r="Q138" i="14"/>
  <c r="Q130" i="14"/>
  <c r="Q122" i="14"/>
  <c r="Q114" i="14"/>
  <c r="Q106" i="14"/>
  <c r="Q98" i="14"/>
  <c r="Q90" i="14"/>
  <c r="Q82" i="14"/>
  <c r="Q74" i="14"/>
  <c r="Q66" i="14"/>
  <c r="Q58" i="14"/>
  <c r="Q50" i="14"/>
  <c r="Q42" i="14"/>
  <c r="Q34" i="14"/>
  <c r="Q26" i="14"/>
  <c r="Q18" i="14"/>
  <c r="Q10" i="14"/>
  <c r="Q2" i="14"/>
  <c r="Q177" i="14"/>
  <c r="Q169" i="14"/>
  <c r="Q161" i="14"/>
  <c r="Q153" i="14"/>
  <c r="Q145" i="14"/>
  <c r="Q137" i="14"/>
  <c r="Q129" i="14"/>
  <c r="Q121" i="14"/>
  <c r="Q113" i="14"/>
  <c r="Q105" i="14"/>
  <c r="Q97" i="14"/>
  <c r="Q89" i="14"/>
  <c r="Q81" i="14"/>
  <c r="Q73" i="14"/>
  <c r="Q65" i="14"/>
  <c r="Q57" i="14"/>
  <c r="Q49" i="14"/>
  <c r="Q41" i="14"/>
  <c r="Q33" i="14"/>
  <c r="Q25" i="14"/>
  <c r="Q17" i="14"/>
  <c r="Q9" i="14"/>
  <c r="AK19" i="13"/>
  <c r="Q184" i="14"/>
  <c r="Q176" i="14"/>
  <c r="Q168" i="14"/>
  <c r="Q160" i="14"/>
  <c r="Q152" i="14"/>
  <c r="Q144" i="14"/>
  <c r="Q136" i="14"/>
  <c r="Q128" i="14"/>
  <c r="Q120" i="14"/>
  <c r="Q112" i="14"/>
  <c r="Q104" i="14"/>
  <c r="Q96" i="14"/>
  <c r="Q88" i="14"/>
  <c r="Q80" i="14"/>
  <c r="Q72" i="14"/>
  <c r="Q64" i="14"/>
  <c r="Q56" i="14"/>
  <c r="Q48" i="14"/>
  <c r="Q40" i="14"/>
  <c r="Q32" i="14"/>
  <c r="Q24" i="14"/>
  <c r="Q16" i="14"/>
  <c r="Q8" i="14"/>
  <c r="Q183" i="14"/>
  <c r="Q175" i="14"/>
  <c r="Q167" i="14"/>
  <c r="Q159" i="14"/>
  <c r="Q151" i="14"/>
  <c r="Q143" i="14"/>
  <c r="Q135" i="14"/>
  <c r="Q127" i="14"/>
  <c r="Q119" i="14"/>
  <c r="Q111" i="14"/>
  <c r="Q103" i="14"/>
  <c r="Q95" i="14"/>
  <c r="Q87" i="14"/>
  <c r="Q79" i="14"/>
  <c r="Q71" i="14"/>
  <c r="Q63" i="14"/>
  <c r="Q55" i="14"/>
  <c r="Q47" i="14"/>
  <c r="Q39" i="14"/>
  <c r="Q31" i="14"/>
  <c r="Q23" i="14"/>
  <c r="Q15" i="14"/>
  <c r="Q7" i="14"/>
  <c r="AI18" i="13"/>
  <c r="AG27" i="13"/>
  <c r="Q182" i="14"/>
  <c r="Q174" i="14"/>
  <c r="Q166" i="14"/>
  <c r="Q158" i="14"/>
  <c r="Q150" i="14"/>
  <c r="Q142" i="14"/>
  <c r="Q134" i="14"/>
  <c r="Q126" i="14"/>
  <c r="Q118" i="14"/>
  <c r="Q110" i="14"/>
  <c r="Q102" i="14"/>
  <c r="Q94" i="14"/>
  <c r="Q86" i="14"/>
  <c r="Q78" i="14"/>
  <c r="Q70" i="14"/>
  <c r="Q62" i="14"/>
  <c r="Q54" i="14"/>
  <c r="Q46" i="14"/>
  <c r="Q38" i="14"/>
  <c r="Q30" i="14"/>
  <c r="Q22" i="14"/>
  <c r="Q14" i="14"/>
  <c r="Q6" i="14"/>
  <c r="AL15" i="13"/>
  <c r="AJ2" i="13"/>
  <c r="AK18" i="13"/>
  <c r="AH27" i="13"/>
  <c r="Q181" i="14"/>
  <c r="Q173" i="14"/>
  <c r="Q165" i="14"/>
  <c r="Q157" i="14"/>
  <c r="Q149" i="14"/>
  <c r="Q141" i="14"/>
  <c r="Q133" i="14"/>
  <c r="Q125" i="14"/>
  <c r="Q117" i="14"/>
  <c r="Q109" i="14"/>
  <c r="Q101" i="14"/>
  <c r="Q93" i="14"/>
  <c r="Q85" i="14"/>
  <c r="Q77" i="14"/>
  <c r="Q69" i="14"/>
  <c r="Q61" i="14"/>
  <c r="Q53" i="14"/>
  <c r="Q45" i="14"/>
  <c r="Q37" i="14"/>
  <c r="Q29" i="14"/>
  <c r="Q21" i="14"/>
  <c r="Q13" i="14"/>
  <c r="Q5" i="14"/>
  <c r="Q180" i="14"/>
  <c r="Q172" i="14"/>
  <c r="Q164" i="14"/>
  <c r="Q156" i="14"/>
  <c r="Q148" i="14"/>
  <c r="Q140" i="14"/>
  <c r="Q132" i="14"/>
  <c r="Q124" i="14"/>
  <c r="Q116" i="14"/>
  <c r="Q108" i="14"/>
  <c r="Q100" i="14"/>
  <c r="Q92" i="14"/>
  <c r="Q84" i="14"/>
  <c r="Q76" i="14"/>
  <c r="Q68" i="14"/>
  <c r="Q60" i="14"/>
  <c r="Q52" i="14"/>
  <c r="Q44" i="14"/>
  <c r="Q36" i="14"/>
  <c r="Q28" i="14"/>
  <c r="Q20" i="14"/>
  <c r="Q12" i="14"/>
  <c r="Q4" i="14"/>
  <c r="Q179" i="14"/>
  <c r="Q171" i="14"/>
  <c r="Q163" i="14"/>
  <c r="Q155" i="14"/>
  <c r="Q147" i="14"/>
  <c r="Q139" i="14"/>
  <c r="Q131" i="14"/>
  <c r="Q123" i="14"/>
  <c r="Q115" i="14"/>
  <c r="Q107" i="14"/>
  <c r="Q99" i="14"/>
  <c r="Q91" i="14"/>
  <c r="Q83" i="14"/>
  <c r="Q75" i="14"/>
  <c r="Q67" i="14"/>
  <c r="Q59" i="14"/>
  <c r="Q51" i="14"/>
  <c r="Q43" i="14"/>
  <c r="Q35" i="14"/>
  <c r="Q27" i="14"/>
  <c r="Q19" i="14"/>
  <c r="Q11" i="14"/>
  <c r="AJ11" i="13"/>
  <c r="AK11" i="13"/>
  <c r="AI11" i="13"/>
  <c r="AL13" i="13"/>
  <c r="AK13" i="13"/>
  <c r="AK14" i="13"/>
  <c r="AK25" i="13"/>
  <c r="AK17" i="13"/>
  <c r="AG23" i="13"/>
  <c r="AG15" i="13"/>
  <c r="AL19" i="13"/>
  <c r="AH23" i="13"/>
  <c r="AI26" i="13"/>
  <c r="AK5" i="13"/>
  <c r="AH15" i="13"/>
  <c r="AI23" i="13"/>
  <c r="AI15" i="13"/>
  <c r="AK23" i="13"/>
  <c r="AK15" i="13"/>
  <c r="AK21" i="13"/>
  <c r="AL23" i="13"/>
  <c r="AG12" i="13"/>
  <c r="AP12" i="13"/>
  <c r="AF12" i="13"/>
  <c r="AN12" i="13"/>
  <c r="AJ12" i="13"/>
  <c r="AL12" i="13"/>
  <c r="AK12" i="13"/>
  <c r="AI12" i="13"/>
  <c r="AH12" i="13"/>
  <c r="AG4" i="13"/>
  <c r="AP4" i="13"/>
  <c r="AN4" i="13"/>
  <c r="AL4" i="13"/>
  <c r="AK4" i="13"/>
  <c r="AJ4" i="13"/>
  <c r="AH4" i="13"/>
  <c r="AF4" i="13"/>
  <c r="AI4" i="13"/>
  <c r="AH9" i="13"/>
  <c r="AG9" i="13"/>
  <c r="AP9" i="13"/>
  <c r="AF9" i="13"/>
  <c r="AN9" i="13"/>
  <c r="AL9" i="13"/>
  <c r="AK9" i="13"/>
  <c r="AJ9" i="13"/>
  <c r="AI9" i="13"/>
  <c r="AN10" i="13"/>
  <c r="AL10" i="13"/>
  <c r="AK10" i="13"/>
  <c r="AJ10" i="13"/>
  <c r="AH10" i="13"/>
  <c r="AI10" i="13"/>
  <c r="AG10" i="13"/>
  <c r="AP10" i="13"/>
  <c r="AF10" i="13"/>
  <c r="AK8" i="13"/>
  <c r="AJ8" i="13"/>
  <c r="AI8" i="13"/>
  <c r="AH8" i="13"/>
  <c r="AG8" i="13"/>
  <c r="AF8" i="13"/>
  <c r="AP8" i="13"/>
  <c r="AN8" i="13"/>
  <c r="AL8" i="13"/>
  <c r="AI6" i="13"/>
  <c r="AG6" i="13"/>
  <c r="AP6" i="13"/>
  <c r="AN6" i="13"/>
  <c r="AL6" i="13"/>
  <c r="AJ6" i="13"/>
  <c r="AF6" i="13"/>
  <c r="AH6" i="13"/>
  <c r="AK6" i="13"/>
  <c r="AG16" i="13"/>
  <c r="AG20" i="13"/>
  <c r="AN21" i="13"/>
  <c r="AK22" i="13"/>
  <c r="AG24" i="13"/>
  <c r="AN25" i="13"/>
  <c r="AK26" i="13"/>
  <c r="AG28" i="13"/>
  <c r="AF5" i="13"/>
  <c r="AP5" i="13"/>
  <c r="AH7" i="13"/>
  <c r="AL11" i="13"/>
  <c r="AF13" i="13"/>
  <c r="AP13" i="13"/>
  <c r="AL14" i="13"/>
  <c r="AJ15" i="13"/>
  <c r="AH16" i="13"/>
  <c r="AF17" i="13"/>
  <c r="AP17" i="13"/>
  <c r="AL18" i="13"/>
  <c r="AJ19" i="13"/>
  <c r="AH20" i="13"/>
  <c r="AF21" i="13"/>
  <c r="AP21" i="13"/>
  <c r="AL22" i="13"/>
  <c r="AJ23" i="13"/>
  <c r="AH24" i="13"/>
  <c r="AF25" i="13"/>
  <c r="AP25" i="13"/>
  <c r="AL26" i="13"/>
  <c r="AJ27" i="13"/>
  <c r="AH28" i="13"/>
  <c r="AN20" i="13"/>
  <c r="AN17" i="13"/>
  <c r="AI16" i="13"/>
  <c r="AG17" i="13"/>
  <c r="AI24" i="13"/>
  <c r="AG25" i="13"/>
  <c r="AN26" i="13"/>
  <c r="AI28" i="13"/>
  <c r="AG7" i="13"/>
  <c r="AN14" i="13"/>
  <c r="AG21" i="13"/>
  <c r="AF11" i="13"/>
  <c r="AH13" i="13"/>
  <c r="AP14" i="13"/>
  <c r="AH21" i="13"/>
  <c r="AP22" i="13"/>
  <c r="AH25" i="13"/>
  <c r="AJ28" i="13"/>
  <c r="AN16" i="13"/>
  <c r="AN5" i="13"/>
  <c r="AN13" i="13"/>
  <c r="AI7" i="13"/>
  <c r="AN11" i="13"/>
  <c r="AG13" i="13"/>
  <c r="AJ16" i="13"/>
  <c r="AH17" i="13"/>
  <c r="AF18" i="13"/>
  <c r="AP18" i="13"/>
  <c r="AJ20" i="13"/>
  <c r="AF22" i="13"/>
  <c r="AJ24" i="13"/>
  <c r="AF26" i="13"/>
  <c r="AP26" i="13"/>
  <c r="AI13" i="13"/>
  <c r="AG14" i="13"/>
  <c r="AN19" i="13"/>
  <c r="AK20" i="13"/>
  <c r="AI21" i="13"/>
  <c r="AG22" i="13"/>
  <c r="AN23" i="13"/>
  <c r="AK24" i="13"/>
  <c r="AI25" i="13"/>
  <c r="AG26" i="13"/>
  <c r="AN27" i="13"/>
  <c r="AK28" i="13"/>
  <c r="AG5" i="13"/>
  <c r="AN18" i="13"/>
  <c r="AI20" i="13"/>
  <c r="AN22" i="13"/>
  <c r="AH5" i="13"/>
  <c r="AJ7" i="13"/>
  <c r="AP11" i="13"/>
  <c r="AF14" i="13"/>
  <c r="AI5" i="13"/>
  <c r="AK7" i="13"/>
  <c r="AG11" i="13"/>
  <c r="AN15" i="13"/>
  <c r="AK16" i="13"/>
  <c r="AI17" i="13"/>
  <c r="AG18" i="13"/>
  <c r="AJ5" i="13"/>
  <c r="AL7" i="13"/>
  <c r="AH11" i="13"/>
  <c r="AJ13" i="13"/>
  <c r="AH14" i="13"/>
  <c r="AF15" i="13"/>
  <c r="AL16" i="13"/>
  <c r="AJ17" i="13"/>
  <c r="AH18" i="13"/>
  <c r="AF19" i="13"/>
  <c r="AL20" i="13"/>
  <c r="AJ21" i="13"/>
  <c r="AH22" i="13"/>
  <c r="AF23" i="13"/>
  <c r="AL24" i="13"/>
  <c r="AJ25" i="13"/>
  <c r="AH26" i="13"/>
  <c r="AF27" i="13"/>
  <c r="AL28" i="13"/>
  <c r="AN28" i="13"/>
  <c r="AN7" i="13"/>
  <c r="AN24" i="13"/>
  <c r="AF7" i="13"/>
  <c r="AF16" i="13"/>
  <c r="AF20" i="13"/>
  <c r="AF24" i="13"/>
  <c r="AF28" i="13"/>
  <c r="AP2" i="13" l="1"/>
  <c r="AI2" i="13"/>
  <c r="AG2" i="13"/>
  <c r="AK2" i="13"/>
  <c r="AL2" i="13"/>
  <c r="AH2" i="13"/>
  <c r="AN2" i="13"/>
  <c r="AF2" i="13"/>
  <c r="V4" i="7"/>
  <c r="P3" i="9" l="1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51" i="9"/>
  <c r="P52" i="9"/>
  <c r="P53" i="9"/>
  <c r="P54" i="9"/>
  <c r="P55" i="9"/>
  <c r="P56" i="9"/>
  <c r="P57" i="9"/>
  <c r="P58" i="9"/>
  <c r="P59" i="9"/>
  <c r="P60" i="9"/>
  <c r="P61" i="9"/>
  <c r="P62" i="9"/>
  <c r="P63" i="9"/>
  <c r="P64" i="9"/>
  <c r="P65" i="9"/>
  <c r="P66" i="9"/>
  <c r="P67" i="9"/>
  <c r="P68" i="9"/>
  <c r="P69" i="9"/>
  <c r="P70" i="9"/>
  <c r="P71" i="9"/>
  <c r="P72" i="9"/>
  <c r="P73" i="9"/>
  <c r="P74" i="9"/>
  <c r="P75" i="9"/>
  <c r="P76" i="9"/>
  <c r="P77" i="9"/>
  <c r="P78" i="9"/>
  <c r="P79" i="9"/>
  <c r="P80" i="9"/>
  <c r="P81" i="9"/>
  <c r="P82" i="9"/>
  <c r="P83" i="9"/>
  <c r="P84" i="9"/>
  <c r="P85" i="9"/>
  <c r="P86" i="9"/>
  <c r="P87" i="9"/>
  <c r="P88" i="9"/>
  <c r="P89" i="9"/>
  <c r="P90" i="9"/>
  <c r="P91" i="9"/>
  <c r="P92" i="9"/>
  <c r="P93" i="9"/>
  <c r="P94" i="9"/>
  <c r="P95" i="9"/>
  <c r="P96" i="9"/>
  <c r="P97" i="9"/>
  <c r="P98" i="9"/>
  <c r="P99" i="9"/>
  <c r="P100" i="9"/>
  <c r="P101" i="9"/>
  <c r="P102" i="9"/>
  <c r="P103" i="9"/>
  <c r="P104" i="9"/>
  <c r="P105" i="9"/>
  <c r="P106" i="9"/>
  <c r="P107" i="9"/>
  <c r="P108" i="9"/>
  <c r="P109" i="9"/>
  <c r="P110" i="9"/>
  <c r="P111" i="9"/>
  <c r="P112" i="9"/>
  <c r="P113" i="9"/>
  <c r="P114" i="9"/>
  <c r="P115" i="9"/>
  <c r="P116" i="9"/>
  <c r="P117" i="9"/>
  <c r="P118" i="9"/>
  <c r="P119" i="9"/>
  <c r="P120" i="9"/>
  <c r="P121" i="9"/>
  <c r="P122" i="9"/>
  <c r="P123" i="9"/>
  <c r="P124" i="9"/>
  <c r="P125" i="9"/>
  <c r="P126" i="9"/>
  <c r="P127" i="9"/>
  <c r="P128" i="9"/>
  <c r="P129" i="9"/>
  <c r="P130" i="9"/>
  <c r="P131" i="9"/>
  <c r="P132" i="9"/>
  <c r="P133" i="9"/>
  <c r="P134" i="9"/>
  <c r="P135" i="9"/>
  <c r="P136" i="9"/>
  <c r="P137" i="9"/>
  <c r="P138" i="9"/>
  <c r="P139" i="9"/>
  <c r="P140" i="9"/>
  <c r="P141" i="9"/>
  <c r="P142" i="9"/>
  <c r="P143" i="9"/>
  <c r="P144" i="9"/>
  <c r="P145" i="9"/>
  <c r="P146" i="9"/>
  <c r="P147" i="9"/>
  <c r="P148" i="9"/>
  <c r="P149" i="9"/>
  <c r="P150" i="9"/>
  <c r="P151" i="9"/>
  <c r="P152" i="9"/>
  <c r="P153" i="9"/>
  <c r="P154" i="9"/>
  <c r="P155" i="9"/>
  <c r="P156" i="9"/>
  <c r="P157" i="9"/>
  <c r="P158" i="9"/>
  <c r="P159" i="9"/>
  <c r="P160" i="9"/>
  <c r="P161" i="9"/>
  <c r="P162" i="9"/>
  <c r="P163" i="9"/>
  <c r="P164" i="9"/>
  <c r="P165" i="9"/>
  <c r="P166" i="9"/>
  <c r="P167" i="9"/>
  <c r="P168" i="9"/>
  <c r="P169" i="9"/>
  <c r="P170" i="9"/>
  <c r="P171" i="9"/>
  <c r="P172" i="9"/>
  <c r="P173" i="9"/>
  <c r="P174" i="9"/>
  <c r="P175" i="9"/>
  <c r="P176" i="9"/>
  <c r="P177" i="9"/>
  <c r="P178" i="9"/>
  <c r="P179" i="9"/>
  <c r="P180" i="9"/>
  <c r="P181" i="9"/>
  <c r="P182" i="9"/>
  <c r="P183" i="9"/>
  <c r="P184" i="9"/>
  <c r="P2" i="9"/>
  <c r="V3" i="7"/>
  <c r="V2" i="7" l="1"/>
  <c r="R2" i="10" l="1"/>
  <c r="Q2" i="10"/>
  <c r="P2" i="10"/>
  <c r="O2" i="10"/>
  <c r="N2" i="10"/>
  <c r="M2" i="10"/>
  <c r="L2" i="10"/>
  <c r="K2" i="10"/>
  <c r="I2" i="10"/>
  <c r="H2" i="10"/>
  <c r="V1" i="7" l="1"/>
  <c r="O22" i="9"/>
  <c r="O23" i="9"/>
  <c r="O24" i="9"/>
  <c r="O25" i="9"/>
  <c r="O26" i="9"/>
  <c r="O27" i="9"/>
  <c r="O28" i="9"/>
  <c r="O29" i="9"/>
  <c r="O30" i="9"/>
  <c r="O31" i="9"/>
  <c r="O32" i="9"/>
  <c r="O33" i="9"/>
  <c r="O34" i="9"/>
  <c r="O35" i="9"/>
  <c r="O36" i="9"/>
  <c r="O37" i="9"/>
  <c r="O38" i="9"/>
  <c r="O39" i="9"/>
  <c r="O40" i="9"/>
  <c r="O41" i="9"/>
  <c r="O42" i="9"/>
  <c r="O43" i="9"/>
  <c r="O44" i="9"/>
  <c r="O45" i="9"/>
  <c r="O46" i="9"/>
  <c r="O47" i="9"/>
  <c r="O48" i="9"/>
  <c r="O49" i="9"/>
  <c r="O50" i="9"/>
  <c r="O51" i="9"/>
  <c r="O52" i="9"/>
  <c r="O53" i="9"/>
  <c r="O54" i="9"/>
  <c r="O55" i="9"/>
  <c r="O56" i="9"/>
  <c r="O57" i="9"/>
  <c r="O58" i="9"/>
  <c r="O59" i="9"/>
  <c r="O60" i="9"/>
  <c r="O61" i="9"/>
  <c r="O62" i="9"/>
  <c r="O63" i="9"/>
  <c r="O64" i="9"/>
  <c r="O65" i="9"/>
  <c r="O66" i="9"/>
  <c r="O67" i="9"/>
  <c r="O68" i="9"/>
  <c r="O69" i="9"/>
  <c r="O70" i="9"/>
  <c r="O71" i="9"/>
  <c r="O72" i="9"/>
  <c r="O73" i="9"/>
  <c r="O74" i="9"/>
  <c r="O75" i="9"/>
  <c r="O76" i="9"/>
  <c r="O77" i="9"/>
  <c r="O78" i="9"/>
  <c r="O79" i="9"/>
  <c r="O80" i="9"/>
  <c r="O81" i="9"/>
  <c r="O82" i="9"/>
  <c r="O83" i="9"/>
  <c r="O84" i="9"/>
  <c r="O85" i="9"/>
  <c r="O86" i="9"/>
  <c r="O87" i="9"/>
  <c r="O88" i="9"/>
  <c r="O89" i="9"/>
  <c r="O90" i="9"/>
  <c r="O91" i="9"/>
  <c r="O92" i="9"/>
  <c r="O93" i="9"/>
  <c r="O94" i="9"/>
  <c r="O95" i="9"/>
  <c r="O96" i="9"/>
  <c r="O97" i="9"/>
  <c r="O98" i="9"/>
  <c r="O99" i="9"/>
  <c r="O100" i="9"/>
  <c r="O101" i="9"/>
  <c r="O102" i="9"/>
  <c r="O103" i="9"/>
  <c r="O104" i="9"/>
  <c r="O105" i="9"/>
  <c r="O106" i="9"/>
  <c r="O107" i="9"/>
  <c r="O108" i="9"/>
  <c r="O109" i="9"/>
  <c r="O110" i="9"/>
  <c r="O111" i="9"/>
  <c r="O112" i="9"/>
  <c r="O113" i="9"/>
  <c r="O114" i="9"/>
  <c r="O115" i="9"/>
  <c r="O116" i="9"/>
  <c r="O117" i="9"/>
  <c r="O118" i="9"/>
  <c r="O119" i="9"/>
  <c r="O120" i="9"/>
  <c r="O121" i="9"/>
  <c r="O122" i="9"/>
  <c r="O123" i="9"/>
  <c r="O124" i="9"/>
  <c r="O125" i="9"/>
  <c r="O126" i="9"/>
  <c r="O127" i="9"/>
  <c r="O128" i="9"/>
  <c r="O129" i="9"/>
  <c r="O130" i="9"/>
  <c r="O131" i="9"/>
  <c r="O132" i="9"/>
  <c r="O133" i="9"/>
  <c r="O134" i="9"/>
  <c r="O135" i="9"/>
  <c r="O136" i="9"/>
  <c r="O137" i="9"/>
  <c r="O138" i="9"/>
  <c r="O139" i="9"/>
  <c r="O140" i="9"/>
  <c r="O141" i="9"/>
  <c r="O142" i="9"/>
  <c r="O143" i="9"/>
  <c r="O144" i="9"/>
  <c r="O145" i="9"/>
  <c r="O146" i="9"/>
  <c r="O147" i="9"/>
  <c r="O148" i="9"/>
  <c r="O149" i="9"/>
  <c r="O150" i="9"/>
  <c r="O151" i="9"/>
  <c r="O152" i="9"/>
  <c r="O153" i="9"/>
  <c r="O154" i="9"/>
  <c r="O155" i="9"/>
  <c r="O156" i="9"/>
  <c r="O157" i="9"/>
  <c r="O158" i="9"/>
  <c r="O159" i="9"/>
  <c r="O160" i="9"/>
  <c r="O161" i="9"/>
  <c r="O162" i="9"/>
  <c r="O163" i="9"/>
  <c r="O164" i="9"/>
  <c r="O165" i="9"/>
  <c r="O166" i="9"/>
  <c r="O167" i="9"/>
  <c r="O168" i="9"/>
  <c r="O169" i="9"/>
  <c r="O170" i="9"/>
  <c r="O171" i="9"/>
  <c r="O172" i="9"/>
  <c r="O173" i="9"/>
  <c r="O174" i="9"/>
  <c r="O175" i="9"/>
  <c r="O176" i="9"/>
  <c r="O177" i="9"/>
  <c r="O178" i="9"/>
  <c r="O179" i="9"/>
  <c r="O180" i="9"/>
  <c r="O181" i="9"/>
  <c r="O182" i="9"/>
  <c r="O183" i="9"/>
  <c r="O184" i="9"/>
  <c r="O13" i="9"/>
  <c r="O14" i="9"/>
  <c r="O15" i="9"/>
  <c r="O16" i="9"/>
  <c r="O17" i="9"/>
  <c r="O18" i="9"/>
  <c r="O19" i="9"/>
  <c r="O20" i="9"/>
  <c r="O21" i="9"/>
  <c r="O3" i="9"/>
  <c r="O4" i="9"/>
  <c r="O5" i="9"/>
  <c r="O6" i="9"/>
  <c r="O7" i="9"/>
  <c r="O8" i="9"/>
  <c r="O9" i="9"/>
  <c r="O10" i="9"/>
  <c r="O11" i="9"/>
  <c r="O12" i="9"/>
  <c r="O2" i="9"/>
  <c r="N1" i="9"/>
  <c r="AK36" i="4" l="1"/>
  <c r="AL36" i="4"/>
  <c r="AN36" i="4"/>
  <c r="AF36" i="4"/>
  <c r="AP36" i="4"/>
  <c r="AJ36" i="4"/>
  <c r="AG36" i="4"/>
  <c r="AH36" i="4"/>
  <c r="AI36" i="4"/>
  <c r="AK28" i="4"/>
  <c r="AL28" i="4"/>
  <c r="AN28" i="4"/>
  <c r="AF28" i="4"/>
  <c r="AP28" i="4"/>
  <c r="AG28" i="4"/>
  <c r="AH28" i="4"/>
  <c r="AI28" i="4"/>
  <c r="AJ28" i="4"/>
  <c r="AK20" i="4"/>
  <c r="AJ20" i="4"/>
  <c r="AL20" i="4"/>
  <c r="AN20" i="4"/>
  <c r="AF20" i="4"/>
  <c r="AP20" i="4"/>
  <c r="AG20" i="4"/>
  <c r="AH20" i="4"/>
  <c r="AI20" i="4"/>
  <c r="AL35" i="4"/>
  <c r="AN35" i="4"/>
  <c r="AK35" i="4"/>
  <c r="AF35" i="4"/>
  <c r="AP35" i="4"/>
  <c r="AG35" i="4"/>
  <c r="AH35" i="4"/>
  <c r="AI35" i="4"/>
  <c r="AJ35" i="4"/>
  <c r="AL27" i="4"/>
  <c r="AN27" i="4"/>
  <c r="AF27" i="4"/>
  <c r="AP27" i="4"/>
  <c r="AK27" i="4"/>
  <c r="AG27" i="4"/>
  <c r="AH27" i="4"/>
  <c r="AI27" i="4"/>
  <c r="AJ27" i="4"/>
  <c r="AL19" i="4"/>
  <c r="AN19" i="4"/>
  <c r="AF19" i="4"/>
  <c r="AP19" i="4"/>
  <c r="AG19" i="4"/>
  <c r="AH19" i="4"/>
  <c r="AI19" i="4"/>
  <c r="AJ19" i="4"/>
  <c r="AK19" i="4"/>
  <c r="AJ21" i="4"/>
  <c r="AK21" i="4"/>
  <c r="AL21" i="4"/>
  <c r="AI21" i="4"/>
  <c r="AN21" i="4"/>
  <c r="AF21" i="4"/>
  <c r="AP21" i="4"/>
  <c r="AG21" i="4"/>
  <c r="AH21" i="4"/>
  <c r="AN34" i="4"/>
  <c r="AF34" i="4"/>
  <c r="AP34" i="4"/>
  <c r="AG34" i="4"/>
  <c r="AL34" i="4"/>
  <c r="AH34" i="4"/>
  <c r="AI34" i="4"/>
  <c r="AJ34" i="4"/>
  <c r="AK34" i="4"/>
  <c r="AN26" i="4"/>
  <c r="AF26" i="4"/>
  <c r="AP26" i="4"/>
  <c r="AG26" i="4"/>
  <c r="AH26" i="4"/>
  <c r="AI26" i="4"/>
  <c r="AJ26" i="4"/>
  <c r="AL26" i="4"/>
  <c r="AK26" i="4"/>
  <c r="AN18" i="4"/>
  <c r="AF18" i="4"/>
  <c r="AP18" i="4"/>
  <c r="AL18" i="4"/>
  <c r="AG18" i="4"/>
  <c r="AH18" i="4"/>
  <c r="BL18" i="4"/>
  <c r="AI18" i="4"/>
  <c r="AJ18" i="4"/>
  <c r="AK18" i="4"/>
  <c r="AF33" i="4"/>
  <c r="AP33" i="4"/>
  <c r="AG33" i="4"/>
  <c r="AH33" i="4"/>
  <c r="AI33" i="4"/>
  <c r="AJ33" i="4"/>
  <c r="AN33" i="4"/>
  <c r="AK33" i="4"/>
  <c r="AL33" i="4"/>
  <c r="AF25" i="4"/>
  <c r="AP25" i="4"/>
  <c r="AG25" i="4"/>
  <c r="AN25" i="4"/>
  <c r="AH25" i="4"/>
  <c r="AI25" i="4"/>
  <c r="AJ25" i="4"/>
  <c r="AK25" i="4"/>
  <c r="AL25" i="4"/>
  <c r="AF17" i="4"/>
  <c r="AP17" i="4"/>
  <c r="AG17" i="4"/>
  <c r="AH17" i="4"/>
  <c r="BL17" i="4"/>
  <c r="AI17" i="4"/>
  <c r="AJ17" i="4"/>
  <c r="AK17" i="4"/>
  <c r="AN17" i="4"/>
  <c r="AL17" i="4"/>
  <c r="AJ29" i="4"/>
  <c r="AK29" i="4"/>
  <c r="AL29" i="4"/>
  <c r="AN29" i="4"/>
  <c r="AF29" i="4"/>
  <c r="AP29" i="4"/>
  <c r="AI29" i="4"/>
  <c r="AG29" i="4"/>
  <c r="AH29" i="4"/>
  <c r="AG32" i="4"/>
  <c r="AH32" i="4"/>
  <c r="AI32" i="4"/>
  <c r="AJ32" i="4"/>
  <c r="AK32" i="4"/>
  <c r="AL32" i="4"/>
  <c r="AF32" i="4"/>
  <c r="AN32" i="4"/>
  <c r="AP32" i="4"/>
  <c r="AG24" i="4"/>
  <c r="AP24" i="4"/>
  <c r="AH24" i="4"/>
  <c r="AI24" i="4"/>
  <c r="AJ24" i="4"/>
  <c r="AF24" i="4"/>
  <c r="AK24" i="4"/>
  <c r="AL24" i="4"/>
  <c r="AN24" i="4"/>
  <c r="AG16" i="4"/>
  <c r="AH16" i="4"/>
  <c r="BL16" i="4"/>
  <c r="AI16" i="4"/>
  <c r="AP16" i="4"/>
  <c r="AJ16" i="4"/>
  <c r="AK16" i="4"/>
  <c r="AF16" i="4"/>
  <c r="AL16" i="4"/>
  <c r="AN16" i="4"/>
  <c r="AH31" i="4"/>
  <c r="AG31" i="4"/>
  <c r="AI31" i="4"/>
  <c r="AJ31" i="4"/>
  <c r="AK31" i="4"/>
  <c r="AL31" i="4"/>
  <c r="AN31" i="4"/>
  <c r="AF31" i="4"/>
  <c r="AP31" i="4"/>
  <c r="AH23" i="4"/>
  <c r="AI23" i="4"/>
  <c r="AJ23" i="4"/>
  <c r="AK23" i="4"/>
  <c r="AL23" i="4"/>
  <c r="AN23" i="4"/>
  <c r="AF23" i="4"/>
  <c r="AP23" i="4"/>
  <c r="AG23" i="4"/>
  <c r="AH15" i="4"/>
  <c r="AG15" i="4"/>
  <c r="BL15" i="4"/>
  <c r="AI15" i="4"/>
  <c r="AJ15" i="4"/>
  <c r="AK15" i="4"/>
  <c r="AL15" i="4"/>
  <c r="AN15" i="4"/>
  <c r="AF15" i="4"/>
  <c r="AP15" i="4"/>
  <c r="AI30" i="4"/>
  <c r="AJ30" i="4"/>
  <c r="AH30" i="4"/>
  <c r="AK30" i="4"/>
  <c r="AL30" i="4"/>
  <c r="AN30" i="4"/>
  <c r="AF30" i="4"/>
  <c r="AP30" i="4"/>
  <c r="AG30" i="4"/>
  <c r="AI22" i="4"/>
  <c r="AJ22" i="4"/>
  <c r="AK22" i="4"/>
  <c r="AL22" i="4"/>
  <c r="AN22" i="4"/>
  <c r="AH22" i="4"/>
  <c r="AF22" i="4"/>
  <c r="AP22" i="4"/>
  <c r="AG22" i="4"/>
  <c r="BL14" i="4"/>
  <c r="AI14" i="4"/>
  <c r="AJ14" i="4"/>
  <c r="AK14" i="4"/>
  <c r="AL14" i="4"/>
  <c r="BK14" i="4"/>
  <c r="AN14" i="4"/>
  <c r="AF14" i="4"/>
  <c r="AP14" i="4"/>
  <c r="AG14" i="4"/>
  <c r="AH14" i="4"/>
  <c r="U2" i="4"/>
  <c r="BL2" i="4" s="1"/>
  <c r="Q3" i="9" l="1"/>
  <c r="Q67" i="9"/>
  <c r="Q131" i="9"/>
  <c r="Q12" i="9"/>
  <c r="Q76" i="9"/>
  <c r="Q140" i="9"/>
  <c r="Q21" i="9"/>
  <c r="Q85" i="9"/>
  <c r="Q149" i="9"/>
  <c r="Q30" i="9"/>
  <c r="Q94" i="9"/>
  <c r="Q158" i="9"/>
  <c r="Q39" i="9"/>
  <c r="Q103" i="9"/>
  <c r="Q167" i="9"/>
  <c r="Q48" i="9"/>
  <c r="Q112" i="9"/>
  <c r="Q176" i="9"/>
  <c r="Q57" i="9"/>
  <c r="Q121" i="9"/>
  <c r="Q66" i="9"/>
  <c r="Q38" i="9"/>
  <c r="Q175" i="9"/>
  <c r="Q65" i="9"/>
  <c r="Q138" i="9"/>
  <c r="Q11" i="9"/>
  <c r="Q75" i="9"/>
  <c r="Q139" i="9"/>
  <c r="Q20" i="9"/>
  <c r="Q84" i="9"/>
  <c r="Q148" i="9"/>
  <c r="Q29" i="9"/>
  <c r="Q102" i="9"/>
  <c r="Q166" i="9"/>
  <c r="Q56" i="9"/>
  <c r="Q129" i="9"/>
  <c r="Q19" i="9"/>
  <c r="Q83" i="9"/>
  <c r="Q147" i="9"/>
  <c r="Q28" i="9"/>
  <c r="Q92" i="9"/>
  <c r="Q156" i="9"/>
  <c r="Q37" i="9"/>
  <c r="Q101" i="9"/>
  <c r="Q165" i="9"/>
  <c r="Q46" i="9"/>
  <c r="Q110" i="9"/>
  <c r="Q174" i="9"/>
  <c r="Q55" i="9"/>
  <c r="Q119" i="9"/>
  <c r="Q183" i="9"/>
  <c r="Q64" i="9"/>
  <c r="Q128" i="9"/>
  <c r="Q9" i="9"/>
  <c r="Q73" i="9"/>
  <c r="Q137" i="9"/>
  <c r="Q18" i="9"/>
  <c r="Q82" i="9"/>
  <c r="Q146" i="9"/>
  <c r="Q25" i="9"/>
  <c r="Q98" i="9"/>
  <c r="Q180" i="9"/>
  <c r="Q134" i="9"/>
  <c r="Q143" i="9"/>
  <c r="Q33" i="9"/>
  <c r="Q42" i="9"/>
  <c r="Q27" i="9"/>
  <c r="Q91" i="9"/>
  <c r="Q155" i="9"/>
  <c r="Q36" i="9"/>
  <c r="Q100" i="9"/>
  <c r="Q164" i="9"/>
  <c r="Q45" i="9"/>
  <c r="Q109" i="9"/>
  <c r="Q173" i="9"/>
  <c r="Q54" i="9"/>
  <c r="Q118" i="9"/>
  <c r="Q182" i="9"/>
  <c r="Q63" i="9"/>
  <c r="Q127" i="9"/>
  <c r="Q8" i="9"/>
  <c r="Q72" i="9"/>
  <c r="Q136" i="9"/>
  <c r="Q17" i="9"/>
  <c r="Q81" i="9"/>
  <c r="Q145" i="9"/>
  <c r="Q26" i="9"/>
  <c r="Q90" i="9"/>
  <c r="Q154" i="9"/>
  <c r="Q89" i="9"/>
  <c r="Q162" i="9"/>
  <c r="Q61" i="9"/>
  <c r="Q15" i="9"/>
  <c r="Q24" i="9"/>
  <c r="Q97" i="9"/>
  <c r="Q106" i="9"/>
  <c r="Q35" i="9"/>
  <c r="Q99" i="9"/>
  <c r="Q163" i="9"/>
  <c r="Q44" i="9"/>
  <c r="Q108" i="9"/>
  <c r="Q172" i="9"/>
  <c r="Q53" i="9"/>
  <c r="Q117" i="9"/>
  <c r="Q181" i="9"/>
  <c r="Q62" i="9"/>
  <c r="Q126" i="9"/>
  <c r="Q7" i="9"/>
  <c r="Q71" i="9"/>
  <c r="Q135" i="9"/>
  <c r="Q16" i="9"/>
  <c r="Q80" i="9"/>
  <c r="Q144" i="9"/>
  <c r="Q153" i="9"/>
  <c r="Q34" i="9"/>
  <c r="Q6" i="9"/>
  <c r="Q88" i="9"/>
  <c r="Q161" i="9"/>
  <c r="Q43" i="9"/>
  <c r="Q107" i="9"/>
  <c r="Q171" i="9"/>
  <c r="Q52" i="9"/>
  <c r="Q116" i="9"/>
  <c r="Q125" i="9"/>
  <c r="Q70" i="9"/>
  <c r="Q79" i="9"/>
  <c r="Q152" i="9"/>
  <c r="Q170" i="9"/>
  <c r="Q51" i="9"/>
  <c r="Q115" i="9"/>
  <c r="Q179" i="9"/>
  <c r="Q60" i="9"/>
  <c r="Q124" i="9"/>
  <c r="Q5" i="9"/>
  <c r="Q69" i="9"/>
  <c r="Q133" i="9"/>
  <c r="Q14" i="9"/>
  <c r="Q78" i="9"/>
  <c r="Q142" i="9"/>
  <c r="Q23" i="9"/>
  <c r="Q87" i="9"/>
  <c r="Q151" i="9"/>
  <c r="Q32" i="9"/>
  <c r="Q96" i="9"/>
  <c r="Q160" i="9"/>
  <c r="Q41" i="9"/>
  <c r="Q105" i="9"/>
  <c r="Q169" i="9"/>
  <c r="Q50" i="9"/>
  <c r="Q114" i="9"/>
  <c r="Q178" i="9"/>
  <c r="Q130" i="9"/>
  <c r="Q157" i="9"/>
  <c r="Q111" i="9"/>
  <c r="Q120" i="9"/>
  <c r="Q10" i="9"/>
  <c r="Q59" i="9"/>
  <c r="Q123" i="9"/>
  <c r="Q4" i="9"/>
  <c r="Q68" i="9"/>
  <c r="Q132" i="9"/>
  <c r="Q13" i="9"/>
  <c r="Q77" i="9"/>
  <c r="Q141" i="9"/>
  <c r="Q22" i="9"/>
  <c r="Q86" i="9"/>
  <c r="Q150" i="9"/>
  <c r="Q31" i="9"/>
  <c r="Q95" i="9"/>
  <c r="Q159" i="9"/>
  <c r="Q40" i="9"/>
  <c r="Q104" i="9"/>
  <c r="Q168" i="9"/>
  <c r="Q49" i="9"/>
  <c r="Q113" i="9"/>
  <c r="Q177" i="9"/>
  <c r="Q58" i="9"/>
  <c r="Q122" i="9"/>
  <c r="Q2" i="9"/>
  <c r="Q93" i="9"/>
  <c r="Q47" i="9"/>
  <c r="Q184" i="9"/>
  <c r="Q74" i="9"/>
  <c r="AI11" i="4"/>
  <c r="AN11" i="4"/>
  <c r="AJ11" i="4"/>
  <c r="BK11" i="4"/>
  <c r="AK11" i="4"/>
  <c r="AL11" i="4"/>
  <c r="AF11" i="4"/>
  <c r="AP11" i="4"/>
  <c r="BL11" i="4"/>
  <c r="AG11" i="4"/>
  <c r="AH11" i="4"/>
  <c r="AJ10" i="4"/>
  <c r="BK10" i="4"/>
  <c r="AK10" i="4"/>
  <c r="AF10" i="4"/>
  <c r="AL10" i="4"/>
  <c r="AP10" i="4"/>
  <c r="AN10" i="4"/>
  <c r="BL10" i="4"/>
  <c r="AG10" i="4"/>
  <c r="AI10" i="4"/>
  <c r="AH10" i="4"/>
  <c r="BK9" i="4"/>
  <c r="AK9" i="4"/>
  <c r="AL9" i="4"/>
  <c r="AG9" i="4"/>
  <c r="AN9" i="4"/>
  <c r="BL9" i="4"/>
  <c r="AF9" i="4"/>
  <c r="AP9" i="4"/>
  <c r="AH9" i="4"/>
  <c r="AI9" i="4"/>
  <c r="AJ9" i="4"/>
  <c r="AL8" i="4"/>
  <c r="AN8" i="4"/>
  <c r="AF8" i="4"/>
  <c r="AP8" i="4"/>
  <c r="AH8" i="4"/>
  <c r="BL8" i="4"/>
  <c r="AG8" i="4"/>
  <c r="AI8" i="4"/>
  <c r="AJ8" i="4"/>
  <c r="BK8" i="4"/>
  <c r="AK8" i="4"/>
  <c r="BD7" i="4"/>
  <c r="AN7" i="4"/>
  <c r="BE7" i="4"/>
  <c r="AF7" i="4"/>
  <c r="AP7" i="4"/>
  <c r="BI7" i="4"/>
  <c r="AI7" i="4"/>
  <c r="BL7" i="4"/>
  <c r="BG7" i="4"/>
  <c r="AG7" i="4"/>
  <c r="AZ7" i="4"/>
  <c r="AY7" i="4"/>
  <c r="BH7" i="4"/>
  <c r="AH7" i="4"/>
  <c r="BA7" i="4"/>
  <c r="BJ7" i="4"/>
  <c r="AJ7" i="4"/>
  <c r="BC7" i="4"/>
  <c r="AL7" i="4"/>
  <c r="BB7" i="4"/>
  <c r="BK7" i="4"/>
  <c r="AK7" i="4"/>
  <c r="AZ6" i="4"/>
  <c r="BI6" i="4"/>
  <c r="AF6" i="4"/>
  <c r="AP6" i="4"/>
  <c r="BL6" i="4"/>
  <c r="BA6" i="4"/>
  <c r="BJ6" i="4"/>
  <c r="AG6" i="4"/>
  <c r="BD6" i="4"/>
  <c r="BB6" i="4"/>
  <c r="BK6" i="4"/>
  <c r="AH6" i="4"/>
  <c r="AJ6" i="4"/>
  <c r="BC6" i="4"/>
  <c r="AI6" i="4"/>
  <c r="BE6" i="4"/>
  <c r="AK6" i="4"/>
  <c r="AY6" i="4"/>
  <c r="BG6" i="4"/>
  <c r="AL6" i="4"/>
  <c r="BH6" i="4"/>
  <c r="AN6" i="4"/>
  <c r="AG13" i="4"/>
  <c r="BL13" i="4"/>
  <c r="AH13" i="4"/>
  <c r="AI13" i="4"/>
  <c r="AJ13" i="4"/>
  <c r="BK13" i="4"/>
  <c r="AK13" i="4"/>
  <c r="AL13" i="4"/>
  <c r="AP13" i="4"/>
  <c r="AN13" i="4"/>
  <c r="AF13" i="4"/>
  <c r="BL5" i="4"/>
  <c r="BD5" i="4"/>
  <c r="AG5" i="4"/>
  <c r="AK5" i="4"/>
  <c r="BE5" i="4"/>
  <c r="AH5" i="4"/>
  <c r="BI5" i="4"/>
  <c r="BG5" i="4"/>
  <c r="AI5" i="4"/>
  <c r="AZ5" i="4"/>
  <c r="AY5" i="4"/>
  <c r="BH5" i="4"/>
  <c r="AJ5" i="4"/>
  <c r="BA5" i="4"/>
  <c r="BJ5" i="4"/>
  <c r="AL5" i="4"/>
  <c r="AP5" i="4"/>
  <c r="BB5" i="4"/>
  <c r="BK5" i="4"/>
  <c r="AN5" i="4"/>
  <c r="BC5" i="4"/>
  <c r="AF5" i="4"/>
  <c r="BL12" i="4"/>
  <c r="AH12" i="4"/>
  <c r="AI12" i="4"/>
  <c r="AL12" i="4"/>
  <c r="AJ12" i="4"/>
  <c r="BK12" i="4"/>
  <c r="AK12" i="4"/>
  <c r="AN12" i="4"/>
  <c r="AG12" i="4"/>
  <c r="AF12" i="4"/>
  <c r="AP12" i="4"/>
  <c r="AZ4" i="4"/>
  <c r="BI4" i="4"/>
  <c r="AH4" i="4"/>
  <c r="BA4" i="4"/>
  <c r="BJ4" i="4"/>
  <c r="AI4" i="4"/>
  <c r="BD4" i="4"/>
  <c r="AL4" i="4"/>
  <c r="BB4" i="4"/>
  <c r="BK4" i="4"/>
  <c r="AJ4" i="4"/>
  <c r="BC4" i="4"/>
  <c r="AK4" i="4"/>
  <c r="BE4" i="4"/>
  <c r="AN4" i="4"/>
  <c r="BH4" i="4"/>
  <c r="AG4" i="4"/>
  <c r="BG4" i="4"/>
  <c r="AF4" i="4"/>
  <c r="AP4" i="4"/>
  <c r="BL4" i="4"/>
  <c r="AY4" i="4"/>
  <c r="AL2" i="4"/>
  <c r="BK2" i="4"/>
  <c r="AK2" i="4"/>
  <c r="BI2" i="4"/>
  <c r="BJ2" i="4"/>
  <c r="BG2" i="4"/>
  <c r="BB2" i="4"/>
  <c r="BA2" i="4"/>
  <c r="BH2" i="4"/>
  <c r="AZ2" i="4"/>
  <c r="AY2" i="4"/>
  <c r="BE2" i="4"/>
  <c r="BD2" i="4"/>
  <c r="BC2" i="4"/>
  <c r="AP2" i="4"/>
  <c r="AF2" i="4"/>
  <c r="AN2" i="4"/>
  <c r="AG2" i="4"/>
  <c r="AJ2" i="4"/>
  <c r="AI2" i="4"/>
  <c r="AH2" i="4"/>
  <c r="Q2" i="3"/>
  <c r="R2" i="3"/>
  <c r="A1" i="5" l="1"/>
  <c r="P2" i="3"/>
  <c r="O2" i="3"/>
  <c r="N2" i="3"/>
  <c r="M2" i="3"/>
  <c r="L2" i="3"/>
  <c r="K2" i="3"/>
  <c r="I2" i="3"/>
  <c r="H2" i="3"/>
  <c r="R2" i="2"/>
  <c r="Q2" i="2"/>
  <c r="P2" i="2"/>
  <c r="O2" i="2"/>
  <c r="L2" i="2"/>
  <c r="M2" i="2"/>
  <c r="N2" i="2"/>
  <c r="K2" i="2"/>
  <c r="H2" i="2"/>
  <c r="I2" i="2"/>
</calcChain>
</file>

<file path=xl/sharedStrings.xml><?xml version="1.0" encoding="utf-8"?>
<sst xmlns="http://schemas.openxmlformats.org/spreadsheetml/2006/main" count="918" uniqueCount="102">
  <si>
    <t>S.No</t>
  </si>
  <si>
    <t>Size</t>
  </si>
  <si>
    <t>YZA</t>
  </si>
  <si>
    <t>HSN</t>
  </si>
  <si>
    <t>Gross WT</t>
  </si>
  <si>
    <t>NTwt</t>
  </si>
  <si>
    <t>Rate</t>
  </si>
  <si>
    <t>total</t>
  </si>
  <si>
    <t>CGST</t>
  </si>
  <si>
    <t>IGST</t>
  </si>
  <si>
    <t>PCS</t>
  </si>
  <si>
    <t>Specification</t>
  </si>
  <si>
    <t>Grade</t>
  </si>
  <si>
    <t>T</t>
  </si>
  <si>
    <t>W</t>
  </si>
  <si>
    <t>L</t>
  </si>
  <si>
    <t>Invoice Date</t>
  </si>
  <si>
    <t>Shipper Code</t>
  </si>
  <si>
    <t>SCAMS DATA</t>
  </si>
  <si>
    <t>SCAMS T</t>
  </si>
  <si>
    <t>SCAMS W</t>
  </si>
  <si>
    <t>SCAMS L</t>
  </si>
  <si>
    <t>SCAMS INVOICE NO</t>
  </si>
  <si>
    <t>SCAMS SPEC</t>
  </si>
  <si>
    <t>SCAMS COAT</t>
  </si>
  <si>
    <t>SCAMS GROSS WT</t>
  </si>
  <si>
    <t>SCAMS NET WT</t>
  </si>
  <si>
    <t xml:space="preserve">SCAMS Unit Price </t>
  </si>
  <si>
    <t>SCAMS TOTAL PRICE</t>
  </si>
  <si>
    <t>INVOICE NO</t>
  </si>
  <si>
    <t>Concat</t>
  </si>
  <si>
    <t>Coil No</t>
  </si>
  <si>
    <t>Mill</t>
  </si>
  <si>
    <t>Invoice No</t>
  </si>
  <si>
    <t>SCAMS Invoice Date</t>
  </si>
  <si>
    <t>UOM</t>
  </si>
  <si>
    <t>TATA</t>
  </si>
  <si>
    <t>1</t>
  </si>
  <si>
    <t>PO No</t>
  </si>
  <si>
    <t>GA Coil SCGA270D-45 GA16 1.2X1346</t>
  </si>
  <si>
    <t>GA COIL SCGA440-45 GH03 1.2X1110</t>
  </si>
  <si>
    <t>HR COIL POSP SPH270C-OD TY02 2X1150</t>
  </si>
  <si>
    <t>16.12.2020</t>
  </si>
  <si>
    <t>2</t>
  </si>
  <si>
    <t>3</t>
  </si>
  <si>
    <t>TC10A20843</t>
  </si>
  <si>
    <t>V35065</t>
  </si>
  <si>
    <t>TC11A20802</t>
  </si>
  <si>
    <t>V26362</t>
  </si>
  <si>
    <t>TC27920824</t>
  </si>
  <si>
    <t>V33999</t>
  </si>
  <si>
    <t>TC05B20720</t>
  </si>
  <si>
    <t>V37159</t>
  </si>
  <si>
    <t>SPH270C-OD</t>
  </si>
  <si>
    <t>SCGA270D</t>
  </si>
  <si>
    <t>SCGA440</t>
  </si>
  <si>
    <t>7.8847.83</t>
  </si>
  <si>
    <t>6.3096.26</t>
  </si>
  <si>
    <t>7.8247.77</t>
  </si>
  <si>
    <t>6.7916.74</t>
  </si>
  <si>
    <t/>
  </si>
  <si>
    <t>SAP GRPO</t>
  </si>
  <si>
    <t>SPEC</t>
  </si>
  <si>
    <t>COAT</t>
  </si>
  <si>
    <t>MILL</t>
  </si>
  <si>
    <t>INVOICEDATE</t>
  </si>
  <si>
    <t>RATE</t>
  </si>
  <si>
    <t>NET WT</t>
  </si>
  <si>
    <t>PONO</t>
  </si>
  <si>
    <t>EX RATE</t>
  </si>
  <si>
    <t>TOTAL</t>
  </si>
  <si>
    <t>SAP SPEC</t>
  </si>
  <si>
    <t>SAP COAT</t>
  </si>
  <si>
    <t>SAP T</t>
  </si>
  <si>
    <t>SAP W</t>
  </si>
  <si>
    <t>SAP L</t>
  </si>
  <si>
    <t>SAP INVOICE NO</t>
  </si>
  <si>
    <t>SAP NET WT</t>
  </si>
  <si>
    <t>SAP GROSS WT</t>
  </si>
  <si>
    <t xml:space="preserve">SAP Unit Price </t>
  </si>
  <si>
    <t>SAP TOTAL PRICE</t>
  </si>
  <si>
    <t>Shipper code</t>
  </si>
  <si>
    <t>SAP HSN</t>
  </si>
  <si>
    <t>Coil No.</t>
  </si>
  <si>
    <t>PL Invoice No.</t>
  </si>
  <si>
    <t>Customer Name</t>
  </si>
  <si>
    <t>Maker Code</t>
  </si>
  <si>
    <t>Sequence Code</t>
  </si>
  <si>
    <t>Unit No.</t>
  </si>
  <si>
    <t>SCAMS No</t>
  </si>
  <si>
    <t>Qty</t>
  </si>
  <si>
    <t>Weight</t>
  </si>
  <si>
    <t>Spec Code</t>
  </si>
  <si>
    <t>Spec Name</t>
  </si>
  <si>
    <t>Coating</t>
  </si>
  <si>
    <t>Enter_Date</t>
  </si>
  <si>
    <t>Unit Price</t>
  </si>
  <si>
    <t>Price</t>
  </si>
  <si>
    <t>MC</t>
  </si>
  <si>
    <t>Case No</t>
  </si>
  <si>
    <t>Container No</t>
  </si>
  <si>
    <t>ContractNo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</si>
</sst>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2"/>
      <color rgb="FF202124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4" fontId="0" fillId="0" borderId="0" xfId="0" applyNumberFormat="1"/>
    <xf numFmtId="0" fontId="1" fillId="0" borderId="0" xfId="0" applyFont="1"/>
    <xf numFmtId="15" fontId="0" fillId="0" borderId="0" xfId="0" applyNumberFormat="1"/>
    <xf numFmtId="0" fontId="2" fillId="2" borderId="1" xfId="0" applyNumberFormat="1" applyFont="1" applyFill="1" applyBorder="1" applyAlignment="1" applyProtection="1"/>
    <xf numFmtId="0" fontId="2" fillId="0" borderId="0" xfId="0" applyFont="1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vertical="center" wrapText="1"/>
    </xf>
    <xf numFmtId="15" fontId="0" fillId="0" borderId="0" xfId="0" applyNumberFormat="1" applyAlignment="1">
      <alignment vertical="center" wrapText="1"/>
    </xf>
    <xf numFmtId="0" fontId="3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0" fillId="3" borderId="0" xfId="0" applyFont="1" applyFill="1" applyAlignment="1">
      <alignment horizontal="center" vertical="center"/>
    </xf>
  </cellXfs>
  <cellStyles count="1">
    <cellStyle name="Normal" xfId="0" builtinId="0"/>
  </cellStyles>
  <dxfs count="16">
    <dxf>
      <font>
        <u val="double"/>
      </font>
      <fill>
        <patternFill>
          <bgColor rgb="FFFF0000"/>
        </patternFill>
      </fill>
    </dxf>
    <dxf>
      <font>
        <u val="double"/>
      </font>
      <fill>
        <patternFill>
          <bgColor rgb="FFFF0000"/>
        </patternFill>
      </fill>
    </dxf>
    <dxf>
      <font>
        <u val="double"/>
      </font>
      <fill>
        <patternFill>
          <bgColor rgb="FFFF0000"/>
        </patternFill>
      </fill>
    </dxf>
    <dxf>
      <font>
        <b/>
        <i val="0"/>
        <u val="double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u/>
      </font>
      <fill>
        <patternFill>
          <bgColor rgb="FFFF0000"/>
        </patternFill>
      </fill>
    </dxf>
    <dxf>
      <font>
        <u/>
      </font>
      <fill>
        <patternFill>
          <bgColor rgb="FFFF0000"/>
        </patternFill>
      </fill>
    </dxf>
    <dxf>
      <font>
        <u val="double"/>
      </font>
      <fill>
        <patternFill>
          <bgColor rgb="FFFF0000"/>
        </patternFill>
      </fill>
    </dxf>
    <dxf>
      <font>
        <u val="double"/>
      </font>
      <fill>
        <patternFill>
          <bgColor rgb="FFFF0000"/>
        </patternFill>
      </fill>
    </dxf>
    <dxf>
      <font>
        <u val="double"/>
      </font>
      <fill>
        <patternFill>
          <bgColor rgb="FFFF0000"/>
        </patternFill>
      </fill>
    </dxf>
    <dxf>
      <font>
        <b/>
        <i val="0"/>
        <u val="double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72:A442"/>
  <sheetViews>
    <sheetView workbookViewId="0">
      <selection activeCell="A24" activeCellId="1" sqref="A1:XFD1048576 A24"/>
    </sheetView>
  </sheetViews>
  <sheetFormatPr defaultRowHeight="15" x14ac:dyDescent="0.25"/>
  <cols>
    <col min="1" max="1" width="153.5703125" bestFit="1" customWidth="1"/>
  </cols>
  <sheetData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3" spans="1:1" x14ac:dyDescent="0.25">
      <c r="A93" s="1"/>
    </row>
    <row r="94" spans="1:1" x14ac:dyDescent="0.25">
      <c r="A94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441" spans="1:1" x14ac:dyDescent="0.25">
      <c r="A441" s="1"/>
    </row>
    <row r="442" spans="1:1" x14ac:dyDescent="0.25">
      <c r="A442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A24" activeCellId="1" sqref="A1:XFD1048576 A24"/>
    </sheetView>
  </sheetViews>
  <sheetFormatPr defaultRowHeight="15" x14ac:dyDescent="0.25"/>
  <sheetData>
    <row r="1" spans="1:1" x14ac:dyDescent="0.25">
      <c r="A1">
        <f>COUNTA(Data!A:A)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15"/>
  <sheetViews>
    <sheetView workbookViewId="0">
      <selection activeCell="A24" activeCellId="1" sqref="A1:XFD1048576 A24"/>
    </sheetView>
  </sheetViews>
  <sheetFormatPr defaultRowHeight="15" x14ac:dyDescent="0.25"/>
  <cols>
    <col min="1" max="1" width="39" bestFit="1" customWidth="1"/>
    <col min="9" max="9" width="39" bestFit="1" customWidth="1"/>
    <col min="11" max="11" width="11.5703125" bestFit="1" customWidth="1"/>
    <col min="16" max="16" width="10.7109375" bestFit="1" customWidth="1"/>
  </cols>
  <sheetData>
    <row r="1" spans="1:18" x14ac:dyDescent="0.25">
      <c r="H1" t="s">
        <v>0</v>
      </c>
      <c r="I1" t="s">
        <v>1</v>
      </c>
      <c r="J1" t="s">
        <v>2</v>
      </c>
      <c r="K1" t="s">
        <v>3</v>
      </c>
      <c r="L1" t="s">
        <v>10</v>
      </c>
      <c r="M1" t="s">
        <v>4</v>
      </c>
      <c r="N1" t="s">
        <v>5</v>
      </c>
      <c r="O1" t="s">
        <v>6</v>
      </c>
      <c r="P1" t="s">
        <v>7</v>
      </c>
      <c r="Q1" t="s">
        <v>8</v>
      </c>
      <c r="R1" t="s">
        <v>9</v>
      </c>
    </row>
    <row r="2" spans="1:18" ht="15.75" x14ac:dyDescent="0.25">
      <c r="H2" s="2" t="e">
        <f>LEFT(A1,FIND(" ",A1)-1)</f>
        <v>#VALUE!</v>
      </c>
      <c r="I2">
        <f>A2</f>
        <v>0</v>
      </c>
      <c r="K2" s="2">
        <f>A4</f>
        <v>0</v>
      </c>
      <c r="L2" s="2">
        <f t="shared" ref="L2:N2" si="0">B4</f>
        <v>0</v>
      </c>
      <c r="M2" s="2">
        <f t="shared" si="0"/>
        <v>0</v>
      </c>
      <c r="N2" s="2">
        <f t="shared" si="0"/>
        <v>0</v>
      </c>
      <c r="O2" s="1">
        <f>A10</f>
        <v>0</v>
      </c>
      <c r="P2" s="1">
        <f>B10</f>
        <v>0</v>
      </c>
      <c r="Q2" s="1">
        <f>A14</f>
        <v>0</v>
      </c>
      <c r="R2" s="1">
        <f>A15</f>
        <v>0</v>
      </c>
    </row>
    <row r="10" spans="1:18" x14ac:dyDescent="0.25">
      <c r="A10" s="1"/>
      <c r="B10" s="1"/>
    </row>
    <row r="13" spans="1:18" x14ac:dyDescent="0.25">
      <c r="A13" s="1"/>
    </row>
    <row r="14" spans="1:18" x14ac:dyDescent="0.25">
      <c r="A14" s="1"/>
    </row>
    <row r="15" spans="1:18" x14ac:dyDescent="0.25">
      <c r="A15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16"/>
  <sheetViews>
    <sheetView workbookViewId="0">
      <selection activeCell="A24" activeCellId="1" sqref="A1:XFD1048576 A24"/>
    </sheetView>
  </sheetViews>
  <sheetFormatPr defaultRowHeight="15" x14ac:dyDescent="0.25"/>
  <cols>
    <col min="1" max="1" width="39" bestFit="1" customWidth="1"/>
    <col min="2" max="2" width="10.7109375" bestFit="1" customWidth="1"/>
    <col min="9" max="9" width="39" bestFit="1" customWidth="1"/>
    <col min="11" max="11" width="11.5703125" bestFit="1" customWidth="1"/>
    <col min="16" max="16" width="10.7109375" bestFit="1" customWidth="1"/>
  </cols>
  <sheetData>
    <row r="1" spans="1:18" x14ac:dyDescent="0.25">
      <c r="H1" t="s">
        <v>0</v>
      </c>
      <c r="I1" t="s">
        <v>1</v>
      </c>
      <c r="J1" t="s">
        <v>2</v>
      </c>
      <c r="K1" t="s">
        <v>3</v>
      </c>
      <c r="L1" t="s">
        <v>10</v>
      </c>
      <c r="M1" t="s">
        <v>4</v>
      </c>
      <c r="N1" t="s">
        <v>5</v>
      </c>
      <c r="O1" t="s">
        <v>6</v>
      </c>
      <c r="P1" t="s">
        <v>7</v>
      </c>
      <c r="Q1" t="s">
        <v>8</v>
      </c>
      <c r="R1" t="s">
        <v>9</v>
      </c>
    </row>
    <row r="2" spans="1:18" ht="15.75" x14ac:dyDescent="0.25">
      <c r="H2" s="2" t="e">
        <f>LEFT(A1,FIND(" ",A1)-1)</f>
        <v>#VALUE!</v>
      </c>
      <c r="I2">
        <f>A2</f>
        <v>0</v>
      </c>
      <c r="K2" s="2">
        <f>A5</f>
        <v>0</v>
      </c>
      <c r="L2" s="2">
        <f t="shared" ref="L2:N2" si="0">B5</f>
        <v>0</v>
      </c>
      <c r="M2" s="2">
        <f t="shared" si="0"/>
        <v>0</v>
      </c>
      <c r="N2" s="2">
        <f t="shared" si="0"/>
        <v>0</v>
      </c>
      <c r="O2" s="1">
        <f>A11</f>
        <v>0</v>
      </c>
      <c r="P2" s="1">
        <f>B11</f>
        <v>0</v>
      </c>
      <c r="Q2" s="1">
        <f>A14</f>
        <v>0</v>
      </c>
      <c r="R2" s="1">
        <f>A15</f>
        <v>0</v>
      </c>
    </row>
    <row r="10" spans="1:18" x14ac:dyDescent="0.25">
      <c r="B10" s="1"/>
    </row>
    <row r="11" spans="1:18" x14ac:dyDescent="0.25">
      <c r="A11" s="1"/>
      <c r="B11" s="1"/>
    </row>
    <row r="14" spans="1:18" x14ac:dyDescent="0.25">
      <c r="A14" s="1"/>
    </row>
    <row r="15" spans="1:18" x14ac:dyDescent="0.25">
      <c r="A15" s="1"/>
    </row>
    <row r="16" spans="1:18" x14ac:dyDescent="0.25">
      <c r="A16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R15"/>
  <sheetViews>
    <sheetView workbookViewId="0">
      <selection activeCell="A24" activeCellId="1" sqref="A1:XFD1048576 A24"/>
    </sheetView>
  </sheetViews>
  <sheetFormatPr defaultRowHeight="15" x14ac:dyDescent="0.25"/>
  <cols>
    <col min="1" max="1" width="39" bestFit="1" customWidth="1"/>
    <col min="2" max="2" width="10.7109375" bestFit="1" customWidth="1"/>
    <col min="9" max="9" width="39" bestFit="1" customWidth="1"/>
    <col min="11" max="11" width="11.5703125" bestFit="1" customWidth="1"/>
    <col min="16" max="16" width="10.7109375" bestFit="1" customWidth="1"/>
  </cols>
  <sheetData>
    <row r="1" spans="1:18" x14ac:dyDescent="0.25">
      <c r="H1" t="s">
        <v>0</v>
      </c>
      <c r="I1" t="s">
        <v>1</v>
      </c>
      <c r="J1" t="s">
        <v>2</v>
      </c>
      <c r="K1" t="s">
        <v>3</v>
      </c>
      <c r="L1" t="s">
        <v>10</v>
      </c>
      <c r="M1" t="s">
        <v>4</v>
      </c>
      <c r="N1" t="s">
        <v>5</v>
      </c>
      <c r="O1" t="s">
        <v>6</v>
      </c>
      <c r="P1" t="s">
        <v>7</v>
      </c>
      <c r="Q1" t="s">
        <v>8</v>
      </c>
      <c r="R1" t="s">
        <v>9</v>
      </c>
    </row>
    <row r="2" spans="1:18" ht="15.75" x14ac:dyDescent="0.25">
      <c r="H2" s="2" t="e">
        <f>LEFT(A1,FIND(" ",A1)-1)</f>
        <v>#VALUE!</v>
      </c>
      <c r="I2">
        <f>A2</f>
        <v>0</v>
      </c>
      <c r="K2" s="2">
        <f>A4</f>
        <v>0</v>
      </c>
      <c r="L2" s="2">
        <f t="shared" ref="L2:N2" si="0">B4</f>
        <v>0</v>
      </c>
      <c r="M2" s="2">
        <f t="shared" si="0"/>
        <v>0</v>
      </c>
      <c r="N2" s="2">
        <f t="shared" si="0"/>
        <v>0</v>
      </c>
      <c r="O2" s="1">
        <f>A10</f>
        <v>0</v>
      </c>
      <c r="P2" s="1">
        <f>B10</f>
        <v>0</v>
      </c>
      <c r="Q2" s="1">
        <f>A14</f>
        <v>0</v>
      </c>
      <c r="R2" s="1">
        <f>A15</f>
        <v>0</v>
      </c>
    </row>
    <row r="10" spans="1:18" x14ac:dyDescent="0.25">
      <c r="A10" s="1"/>
      <c r="B10" s="1"/>
    </row>
    <row r="11" spans="1:18" x14ac:dyDescent="0.25">
      <c r="A11" s="1"/>
      <c r="B11" s="1"/>
    </row>
    <row r="13" spans="1:18" x14ac:dyDescent="0.25">
      <c r="A13" s="1"/>
    </row>
    <row r="14" spans="1:18" x14ac:dyDescent="0.25">
      <c r="A14" s="1"/>
    </row>
    <row r="15" spans="1:18" x14ac:dyDescent="0.25">
      <c r="A15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BL184"/>
  <sheetViews>
    <sheetView showGridLines="0" topLeftCell="D1" zoomScale="76" workbookViewId="0">
      <selection activeCell="A24" activeCellId="1" sqref="A1:XFD1048576 A24"/>
    </sheetView>
  </sheetViews>
  <sheetFormatPr defaultRowHeight="15" x14ac:dyDescent="0.25"/>
  <cols>
    <col min="1" max="2" width="9.140625" style="6"/>
    <col min="3" max="3" width="42.85546875" style="6" bestFit="1" customWidth="1"/>
    <col min="4" max="4" width="9.140625" style="6"/>
    <col min="5" max="5" width="10.5703125" style="16" customWidth="1"/>
    <col min="6" max="14" width="9.140625" style="6"/>
    <col min="15" max="15" width="12.42578125" style="6" bestFit="1" customWidth="1"/>
    <col min="16" max="19" width="9.140625" style="6"/>
    <col min="20" max="20" width="11.42578125" style="6" bestFit="1" customWidth="1"/>
    <col min="21" max="21" width="15.140625" style="6" bestFit="1" customWidth="1"/>
    <col min="22" max="22" width="14.42578125" style="6" bestFit="1" customWidth="1"/>
    <col min="23" max="23" width="16.42578125" style="6" bestFit="1" customWidth="1"/>
    <col min="24" max="24" width="7.28515625" style="6" bestFit="1" customWidth="1"/>
    <col min="25" max="25" width="13.140625" style="6" customWidth="1"/>
    <col min="26" max="26" width="11.42578125" style="6" bestFit="1" customWidth="1"/>
    <col min="27" max="27" width="15.140625" style="6" bestFit="1" customWidth="1"/>
    <col min="28" max="30" width="9.140625" style="6"/>
    <col min="31" max="31" width="13.140625" style="6" bestFit="1" customWidth="1"/>
    <col min="32" max="32" width="19.140625" style="6" bestFit="1" customWidth="1"/>
    <col min="33" max="33" width="19.42578125" style="6" bestFit="1" customWidth="1"/>
    <col min="34" max="34" width="13.5703125" style="6" bestFit="1" customWidth="1"/>
    <col min="35" max="35" width="14.42578125" style="6" bestFit="1" customWidth="1"/>
    <col min="36" max="36" width="13.42578125" style="6" bestFit="1" customWidth="1"/>
    <col min="37" max="37" width="27.7109375" style="6" bestFit="1" customWidth="1"/>
    <col min="38" max="38" width="22.7109375" style="6" bestFit="1" customWidth="1"/>
    <col min="39" max="39" width="27" style="6" bestFit="1" customWidth="1"/>
    <col min="40" max="40" width="25.140625" style="6" bestFit="1" customWidth="1"/>
    <col min="41" max="41" width="30.140625" style="6" bestFit="1" customWidth="1"/>
    <col min="42" max="42" width="27.28515625" style="6" bestFit="1" customWidth="1"/>
    <col min="43" max="43" width="18.5703125" style="6" bestFit="1" customWidth="1"/>
    <col min="44" max="44" width="9.42578125" style="6" bestFit="1" customWidth="1"/>
    <col min="45" max="50" width="9.140625" style="6"/>
    <col min="51" max="51" width="14.7109375" style="6" bestFit="1" customWidth="1"/>
    <col min="52" max="52" width="14.85546875" style="6" bestFit="1" customWidth="1"/>
    <col min="53" max="53" width="9.140625" style="6" customWidth="1"/>
    <col min="54" max="54" width="9.140625" style="6"/>
    <col min="55" max="55" width="8.85546875" style="6" bestFit="1" customWidth="1"/>
    <col min="56" max="56" width="22.5703125" style="6" bestFit="1" customWidth="1"/>
    <col min="57" max="57" width="17.42578125" style="6" bestFit="1" customWidth="1"/>
    <col min="58" max="58" width="21.28515625" style="6" bestFit="1" customWidth="1"/>
    <col min="59" max="59" width="20.28515625" style="6" bestFit="1" customWidth="1"/>
    <col min="60" max="60" width="25.140625" style="6" bestFit="1" customWidth="1"/>
    <col min="61" max="61" width="17.5703125" style="6" bestFit="1" customWidth="1"/>
    <col min="62" max="62" width="11.5703125" style="6" bestFit="1" customWidth="1"/>
    <col min="63" max="63" width="11.7109375" style="6" bestFit="1" customWidth="1"/>
    <col min="64" max="16384" width="9.140625" style="6"/>
  </cols>
  <sheetData>
    <row r="1" spans="2:64" ht="21.75" customHeight="1" x14ac:dyDescent="0.25">
      <c r="B1" s="7" t="s">
        <v>0</v>
      </c>
      <c r="C1" s="7" t="s">
        <v>1</v>
      </c>
      <c r="D1" s="7" t="s">
        <v>2</v>
      </c>
      <c r="E1" s="15" t="s">
        <v>3</v>
      </c>
      <c r="F1" s="7" t="s">
        <v>10</v>
      </c>
      <c r="G1" s="7" t="s">
        <v>4</v>
      </c>
      <c r="H1" s="7" t="s">
        <v>5</v>
      </c>
      <c r="I1" s="7" t="s">
        <v>6</v>
      </c>
      <c r="J1" s="7" t="s">
        <v>7</v>
      </c>
      <c r="K1" s="7" t="s">
        <v>8</v>
      </c>
      <c r="L1" s="7" t="s">
        <v>9</v>
      </c>
      <c r="M1" s="7" t="s">
        <v>29</v>
      </c>
      <c r="N1" s="7"/>
      <c r="O1" s="7" t="s">
        <v>11</v>
      </c>
      <c r="P1" s="7" t="s">
        <v>12</v>
      </c>
      <c r="Q1" s="7" t="s">
        <v>13</v>
      </c>
      <c r="R1" s="7" t="s">
        <v>14</v>
      </c>
      <c r="S1" s="7" t="s">
        <v>15</v>
      </c>
      <c r="T1" s="7" t="s">
        <v>30</v>
      </c>
      <c r="U1" s="7" t="s">
        <v>31</v>
      </c>
      <c r="V1" s="7" t="s">
        <v>33</v>
      </c>
      <c r="W1" s="7" t="s">
        <v>16</v>
      </c>
      <c r="X1" s="7" t="s">
        <v>32</v>
      </c>
      <c r="Y1" s="7" t="s">
        <v>38</v>
      </c>
      <c r="AE1" s="8" t="s">
        <v>18</v>
      </c>
      <c r="AF1" s="7" t="s">
        <v>23</v>
      </c>
      <c r="AG1" s="7" t="s">
        <v>24</v>
      </c>
      <c r="AH1" s="7" t="s">
        <v>19</v>
      </c>
      <c r="AI1" s="7" t="s">
        <v>20</v>
      </c>
      <c r="AJ1" s="7" t="s">
        <v>21</v>
      </c>
      <c r="AK1" s="7" t="s">
        <v>22</v>
      </c>
      <c r="AL1" s="7" t="s">
        <v>26</v>
      </c>
      <c r="AM1" s="7" t="s">
        <v>25</v>
      </c>
      <c r="AN1" s="7" t="s">
        <v>27</v>
      </c>
      <c r="AO1" s="7" t="s">
        <v>28</v>
      </c>
      <c r="AP1" s="7" t="s">
        <v>34</v>
      </c>
      <c r="AQ1" s="7" t="s">
        <v>17</v>
      </c>
      <c r="AR1" s="7" t="s">
        <v>38</v>
      </c>
      <c r="AS1" s="6" t="s">
        <v>32</v>
      </c>
      <c r="AW1" s="11"/>
      <c r="AY1" s="7" t="s">
        <v>71</v>
      </c>
      <c r="AZ1" s="7" t="s">
        <v>72</v>
      </c>
      <c r="BA1" s="7" t="s">
        <v>73</v>
      </c>
      <c r="BB1" s="7" t="s">
        <v>74</v>
      </c>
      <c r="BC1" s="7" t="s">
        <v>75</v>
      </c>
      <c r="BD1" s="7" t="s">
        <v>76</v>
      </c>
      <c r="BE1" s="7" t="s">
        <v>77</v>
      </c>
      <c r="BF1" s="7" t="s">
        <v>78</v>
      </c>
      <c r="BG1" s="7" t="s">
        <v>79</v>
      </c>
      <c r="BH1" s="7" t="s">
        <v>80</v>
      </c>
      <c r="BI1" s="7" t="s">
        <v>17</v>
      </c>
      <c r="BJ1" s="7" t="s">
        <v>38</v>
      </c>
      <c r="BK1" s="7" t="s">
        <v>82</v>
      </c>
      <c r="BL1" s="6" t="s">
        <v>64</v>
      </c>
    </row>
    <row r="2" spans="2:64" ht="24.75" customHeight="1" x14ac:dyDescent="0.25">
      <c r="T2" s="6" t="str">
        <f t="shared" ref="T2:T24" si="0">G2&amp;H2</f>
        <v/>
      </c>
      <c r="U2" s="6" t="str">
        <f t="shared" ref="U2:U36" si="1">_xlfn.IFNA(VLOOKUP(T2,Z:AA,2,FALSE),"")</f>
        <v/>
      </c>
      <c r="AE2" s="9"/>
      <c r="AF2" s="6" t="str">
        <f>_xlfn.IFNA(VLOOKUP(U2,'Incoming Material Report'!A:M,13,FALSE),"")</f>
        <v/>
      </c>
      <c r="AG2" s="6" t="str">
        <f>_xlfn.IFNA(IF(VLOOKUP(U2,'Incoming Material Report'!A:N,14,FALSE)="","",VLOOKUP(U2,'Incoming Material Report'!A:N,14,FALSE)),"")</f>
        <v/>
      </c>
      <c r="AH2" s="6" t="str">
        <f>_xlfn.IFNA(VLOOKUP(U2,'Incoming Material Report'!A:Z,24,FALSE),"")</f>
        <v/>
      </c>
      <c r="AI2" s="6" t="str">
        <f>_xlfn.IFNA(VLOOKUP(U2,'Incoming Material Report'!A:Z,25,FALSE),"")</f>
        <v/>
      </c>
      <c r="AJ2" s="6" t="str">
        <f>_xlfn.IFNA(VLOOKUP(U2,'Incoming Material Report'!A:Z,26,FALSE),"")</f>
        <v/>
      </c>
      <c r="AK2" s="6" t="str">
        <f>_xlfn.IFNA(VLOOKUP(U2,'Incoming Material Report'!A:Z,2,FALSE),"")</f>
        <v/>
      </c>
      <c r="AL2" s="6" t="str">
        <f>_xlfn.IFNA(VLOOKUP(U2,'Incoming Material Report'!A:K,11,FALSE)/1000,"")</f>
        <v/>
      </c>
      <c r="AN2" s="6" t="str">
        <f>_xlfn.IFNA(VLOOKUP(U2,'Incoming Material Report'!A:R,18,FALSE)*1000,"")</f>
        <v/>
      </c>
      <c r="AP2" s="6" t="str">
        <f>_xlfn.IFNA(TEXT(VLOOKUP(U2,'Incoming Material Report'!A:D,4,FALSE),"dd.mm.yyyy"),"")</f>
        <v/>
      </c>
      <c r="AW2" s="11"/>
      <c r="AY2" s="6" t="str">
        <f>_xlfn.IFNA(VLOOKUP(U2,'GRPO Wiz'!AP:BT,17,FALSE),"")</f>
        <v/>
      </c>
      <c r="AZ2" s="6" t="str">
        <f>_xlfn.IFNA(VLOOKUP(U2,'GRPO Wiz'!AP:BT,18,FALSE),"")</f>
        <v/>
      </c>
      <c r="BA2" s="6" t="str">
        <f>_xlfn.IFNA(VLOOKUP(U2,'GRPO Wiz'!AP:BT,19,FALSE),"")</f>
        <v/>
      </c>
      <c r="BB2" s="6" t="str">
        <f>_xlfn.IFNA(VLOOKUP(U2,'GRPO Wiz'!AP:BT,20,FALSE),"")</f>
        <v/>
      </c>
      <c r="BC2" s="6" t="str">
        <f>_xlfn.IFNA(VLOOKUP(U2,'GRPO Wiz'!AP:BT,21,FALSE),"")</f>
        <v/>
      </c>
      <c r="BD2" s="6" t="str">
        <f>_xlfn.IFNA(VLOOKUP(U2,'GRPO Wiz'!AP:BT,22,FALSE),"")</f>
        <v/>
      </c>
      <c r="BE2" s="6" t="str">
        <f>_xlfn.IFNA(VLOOKUP(U2,'GRPO Wiz'!AP:BT,26,FALSE),"")</f>
        <v/>
      </c>
      <c r="BG2" s="6" t="str">
        <f>_xlfn.IFNA(VLOOKUP(U2,'GRPO Wiz'!AP:BT,25,FALSE),"")</f>
        <v/>
      </c>
      <c r="BH2" s="6" t="str">
        <f>_xlfn.IFNA(VLOOKUP(U2,'GRPO Wiz'!AP:BT,31,FALSE),"")</f>
        <v/>
      </c>
      <c r="BI2" s="6" t="str">
        <f>_xlfn.IFNA(VLOOKUP(U2,'GRPO Wiz'!AP:BZ,32,FALSE),"")</f>
        <v/>
      </c>
      <c r="BJ2" s="6" t="str">
        <f>_xlfn.IFNA(VLOOKUP(U2,'GRPO Wiz'!AP:BZ,27,FALSE),"")</f>
        <v/>
      </c>
      <c r="BK2" s="6" t="str">
        <f>_xlfn.IFNA(VALUE(VLOOKUP(U2,'GRPO Wiz'!AP:BZ,29,FALSE)),"")</f>
        <v/>
      </c>
      <c r="BL2" s="6" t="str">
        <f>_xlfn.IFNA(VLOOKUP(U2,'GRPO Wiz'!AP:BZ,33,FALSE),"")</f>
        <v/>
      </c>
    </row>
    <row r="3" spans="2:64" ht="24.75" customHeight="1" x14ac:dyDescent="0.25">
      <c r="T3" s="6" t="str">
        <f t="shared" si="0"/>
        <v/>
      </c>
      <c r="U3" s="6" t="str">
        <f t="shared" si="1"/>
        <v/>
      </c>
      <c r="AE3" s="9"/>
      <c r="AW3" s="11"/>
    </row>
    <row r="4" spans="2:64" ht="24.75" customHeight="1" x14ac:dyDescent="0.25">
      <c r="T4" s="6" t="str">
        <f t="shared" si="0"/>
        <v/>
      </c>
      <c r="U4" s="6" t="str">
        <f t="shared" si="1"/>
        <v/>
      </c>
      <c r="AE4" s="9"/>
      <c r="AF4" s="6" t="str">
        <f>_xlfn.IFNA(VLOOKUP(U4,'Incoming Material Report'!A:M,13,FALSE),"")</f>
        <v/>
      </c>
      <c r="AG4" s="6" t="str">
        <f>_xlfn.IFNA(IF(VLOOKUP(U4,'Incoming Material Report'!A:N,14,FALSE)="","",VLOOKUP(U4,'Incoming Material Report'!A:N,14,FALSE)),"")</f>
        <v/>
      </c>
      <c r="AH4" s="6" t="str">
        <f>_xlfn.IFNA(VLOOKUP(U4,'Incoming Material Report'!A:Z,24,FALSE),"")</f>
        <v/>
      </c>
      <c r="AI4" s="6" t="str">
        <f>_xlfn.IFNA(VLOOKUP(U4,'Incoming Material Report'!A:Z,25,FALSE),"")</f>
        <v/>
      </c>
      <c r="AJ4" s="6" t="str">
        <f>_xlfn.IFNA(VLOOKUP(U4,'Incoming Material Report'!A:Z,26,FALSE),"")</f>
        <v/>
      </c>
      <c r="AK4" s="6" t="str">
        <f>_xlfn.IFNA(VLOOKUP(U4,'Incoming Material Report'!A:Z,2,FALSE),"")</f>
        <v/>
      </c>
      <c r="AL4" s="6" t="str">
        <f>_xlfn.IFNA(VLOOKUP(U4,'Incoming Material Report'!A:K,11,FALSE)/1000,"")</f>
        <v/>
      </c>
      <c r="AN4" s="6" t="str">
        <f>_xlfn.IFNA(VLOOKUP(U4,'Incoming Material Report'!A:R,18,FALSE)*1000,"")</f>
        <v/>
      </c>
      <c r="AP4" s="6" t="str">
        <f>_xlfn.IFNA(TEXT(VLOOKUP(U4,'Incoming Material Report'!A:D,4,FALSE),"dd.mm.yyyy"),"")</f>
        <v/>
      </c>
      <c r="AW4" s="11"/>
      <c r="AY4" s="6" t="str">
        <f>_xlfn.IFNA(VLOOKUP(U4,'GRPO Wiz'!AP:BT,17,FALSE),"")</f>
        <v/>
      </c>
      <c r="AZ4" s="6" t="str">
        <f>_xlfn.IFNA(VLOOKUP(U4,'GRPO Wiz'!AP:BT,18,FALSE),"")</f>
        <v/>
      </c>
      <c r="BA4" s="6" t="str">
        <f>_xlfn.IFNA(VLOOKUP(U4,'GRPO Wiz'!AP:BT,19,FALSE),"")</f>
        <v/>
      </c>
      <c r="BB4" s="6" t="str">
        <f>_xlfn.IFNA(VLOOKUP(U4,'GRPO Wiz'!AP:BT,20,FALSE),"")</f>
        <v/>
      </c>
      <c r="BC4" s="6" t="str">
        <f>_xlfn.IFNA(VLOOKUP(U4,'GRPO Wiz'!AP:BT,21,FALSE),"")</f>
        <v/>
      </c>
      <c r="BD4" s="6" t="str">
        <f>_xlfn.IFNA(VLOOKUP(U4,'GRPO Wiz'!AP:BT,22,FALSE),"")</f>
        <v/>
      </c>
      <c r="BE4" s="6" t="str">
        <f>_xlfn.IFNA(VLOOKUP(U4,'GRPO Wiz'!AP:BT,26,FALSE),"")</f>
        <v/>
      </c>
      <c r="BG4" s="6" t="str">
        <f>_xlfn.IFNA(VLOOKUP(U4,'GRPO Wiz'!AP:BT,25,FALSE),"")</f>
        <v/>
      </c>
      <c r="BH4" s="6" t="str">
        <f>_xlfn.IFNA(VLOOKUP(U4,'GRPO Wiz'!AP:BT,31,FALSE),"")</f>
        <v/>
      </c>
      <c r="BI4" s="6" t="str">
        <f>_xlfn.IFNA(VLOOKUP(U4,'GRPO Wiz'!AP:BZ,32,FALSE),"")</f>
        <v/>
      </c>
      <c r="BJ4" s="6" t="str">
        <f>_xlfn.IFNA(VLOOKUP(U4,'GRPO Wiz'!AP:BZ,27,FALSE),"")</f>
        <v/>
      </c>
      <c r="BK4" s="6" t="str">
        <f>_xlfn.IFNA(VALUE(VLOOKUP(U4,'GRPO Wiz'!AP:BZ,29,FALSE)),"")</f>
        <v/>
      </c>
      <c r="BL4" s="6" t="str">
        <f>_xlfn.IFNA(VLOOKUP(U4,'GRPO Wiz'!AP:BZ,33,FALSE),"")</f>
        <v/>
      </c>
    </row>
    <row r="5" spans="2:64" ht="24.75" customHeight="1" x14ac:dyDescent="0.25">
      <c r="T5" s="6" t="str">
        <f t="shared" si="0"/>
        <v/>
      </c>
      <c r="U5" s="6" t="str">
        <f t="shared" si="1"/>
        <v/>
      </c>
      <c r="AE5" s="9"/>
      <c r="AF5" s="6" t="str">
        <f>_xlfn.IFNA(VLOOKUP(U5,'Incoming Material Report'!A:M,13,FALSE),"")</f>
        <v/>
      </c>
      <c r="AG5" s="6" t="str">
        <f>_xlfn.IFNA(IF(VLOOKUP(U5,'Incoming Material Report'!A:N,14,FALSE)="","",VLOOKUP(U5,'Incoming Material Report'!A:N,14,FALSE)),"")</f>
        <v/>
      </c>
      <c r="AH5" s="6" t="str">
        <f>_xlfn.IFNA(VLOOKUP(U5,'Incoming Material Report'!A:Z,24,FALSE),"")</f>
        <v/>
      </c>
      <c r="AI5" s="6" t="str">
        <f>_xlfn.IFNA(VLOOKUP(U5,'Incoming Material Report'!A:Z,25,FALSE),"")</f>
        <v/>
      </c>
      <c r="AJ5" s="6" t="str">
        <f>_xlfn.IFNA(VLOOKUP(U5,'Incoming Material Report'!A:Z,26,FALSE),"")</f>
        <v/>
      </c>
      <c r="AK5" s="6" t="str">
        <f>_xlfn.IFNA(VLOOKUP(U5,'Incoming Material Report'!A:Z,2,FALSE),"")</f>
        <v/>
      </c>
      <c r="AL5" s="6" t="str">
        <f>_xlfn.IFNA(VLOOKUP(U5,'Incoming Material Report'!A:K,11,FALSE)/1000,"")</f>
        <v/>
      </c>
      <c r="AN5" s="6" t="str">
        <f>_xlfn.IFNA(VLOOKUP(U5,'Incoming Material Report'!A:R,18,FALSE)*1000,"")</f>
        <v/>
      </c>
      <c r="AP5" s="6" t="str">
        <f>_xlfn.IFNA(TEXT(VLOOKUP(U5,'Incoming Material Report'!A:D,4,FALSE),"dd.mm.yyyy"),"")</f>
        <v/>
      </c>
      <c r="AW5" s="11"/>
      <c r="AY5" s="6" t="str">
        <f>_xlfn.IFNA(VLOOKUP(U5,'GRPO Wiz'!AP:BT,17,FALSE),"")</f>
        <v/>
      </c>
      <c r="AZ5" s="6" t="str">
        <f>_xlfn.IFNA(VLOOKUP(U5,'GRPO Wiz'!AP:BT,18,FALSE),"")</f>
        <v/>
      </c>
      <c r="BA5" s="6" t="str">
        <f>_xlfn.IFNA(VLOOKUP(U5,'GRPO Wiz'!AP:BT,19,FALSE),"")</f>
        <v/>
      </c>
      <c r="BB5" s="6" t="str">
        <f>_xlfn.IFNA(VLOOKUP(U5,'GRPO Wiz'!AP:BT,20,FALSE),"")</f>
        <v/>
      </c>
      <c r="BC5" s="6" t="str">
        <f>_xlfn.IFNA(VLOOKUP(U5,'GRPO Wiz'!AP:BT,21,FALSE),"")</f>
        <v/>
      </c>
      <c r="BD5" s="6" t="str">
        <f>_xlfn.IFNA(VLOOKUP(U5,'GRPO Wiz'!AP:BT,22,FALSE),"")</f>
        <v/>
      </c>
      <c r="BE5" s="6" t="str">
        <f>_xlfn.IFNA(VLOOKUP(U5,'GRPO Wiz'!AP:BT,26,FALSE),"")</f>
        <v/>
      </c>
      <c r="BG5" s="6" t="str">
        <f>_xlfn.IFNA(VLOOKUP(U5,'GRPO Wiz'!AP:BT,25,FALSE),"")</f>
        <v/>
      </c>
      <c r="BH5" s="6" t="str">
        <f>_xlfn.IFNA(VLOOKUP(U5,'GRPO Wiz'!AP:BT,31,FALSE),"")</f>
        <v/>
      </c>
      <c r="BI5" s="6" t="str">
        <f>_xlfn.IFNA(VLOOKUP(U5,'GRPO Wiz'!AP:BZ,32,FALSE),"")</f>
        <v/>
      </c>
      <c r="BJ5" s="6" t="str">
        <f>_xlfn.IFNA(VLOOKUP(U5,'GRPO Wiz'!AP:BZ,27,FALSE),"")</f>
        <v/>
      </c>
      <c r="BK5" s="6" t="str">
        <f>_xlfn.IFNA(VALUE(VLOOKUP(U5,'GRPO Wiz'!AP:BZ,29,FALSE)),"")</f>
        <v/>
      </c>
      <c r="BL5" s="6" t="str">
        <f>_xlfn.IFNA(VLOOKUP(U5,'GRPO Wiz'!AP:BZ,33,FALSE),"")</f>
        <v/>
      </c>
    </row>
    <row r="6" spans="2:64" x14ac:dyDescent="0.25">
      <c r="T6" s="6" t="str">
        <f t="shared" si="0"/>
        <v/>
      </c>
      <c r="U6" s="6" t="str">
        <f t="shared" si="1"/>
        <v/>
      </c>
      <c r="Z6" s="6" t="s">
        <v>60</v>
      </c>
      <c r="AA6" s="6" t="s">
        <v>60</v>
      </c>
      <c r="AE6" s="10"/>
      <c r="AF6" s="6" t="str">
        <f>_xlfn.IFNA(VLOOKUP(U6,'Incoming Material Report'!A:M,13,FALSE),"")</f>
        <v/>
      </c>
      <c r="AG6" s="6" t="str">
        <f>_xlfn.IFNA(IF(VLOOKUP(U6,'Incoming Material Report'!A:N,14,FALSE)="","",VLOOKUP(U6,'Incoming Material Report'!A:N,14,FALSE)),"")</f>
        <v/>
      </c>
      <c r="AH6" s="6" t="str">
        <f>_xlfn.IFNA(VLOOKUP(U6,'Incoming Material Report'!A:Z,24,FALSE),"")</f>
        <v/>
      </c>
      <c r="AI6" s="6" t="str">
        <f>_xlfn.IFNA(VLOOKUP(U6,'Incoming Material Report'!A:Z,25,FALSE),"")</f>
        <v/>
      </c>
      <c r="AJ6" s="6" t="str">
        <f>_xlfn.IFNA(VLOOKUP(U6,'Incoming Material Report'!A:Z,26,FALSE),"")</f>
        <v/>
      </c>
      <c r="AK6" s="6" t="str">
        <f>_xlfn.IFNA(VLOOKUP(U6,'Incoming Material Report'!A:Z,2,FALSE),"")</f>
        <v/>
      </c>
      <c r="AL6" s="6" t="str">
        <f>_xlfn.IFNA(VLOOKUP(U6,'Incoming Material Report'!A:K,11,FALSE)/1000,"")</f>
        <v/>
      </c>
      <c r="AN6" s="6" t="str">
        <f>_xlfn.IFNA(VLOOKUP(U6,'Incoming Material Report'!A:R,18,FALSE)*1000,"")</f>
        <v/>
      </c>
      <c r="AP6" s="6" t="str">
        <f>_xlfn.IFNA(TEXT(VLOOKUP(U6,'Incoming Material Report'!A:D,4,FALSE),"dd.mm.yyyy"),"")</f>
        <v/>
      </c>
      <c r="AW6" s="11"/>
      <c r="AY6" s="6" t="str">
        <f>_xlfn.IFNA(VLOOKUP(U6,'GRPO Wiz'!AP:BT,17,FALSE),"")</f>
        <v/>
      </c>
      <c r="AZ6" s="6" t="str">
        <f>_xlfn.IFNA(VLOOKUP(U6,'GRPO Wiz'!AP:BT,18,FALSE),"")</f>
        <v/>
      </c>
      <c r="BA6" s="6" t="str">
        <f>_xlfn.IFNA(VLOOKUP(U6,'GRPO Wiz'!AP:BT,19,FALSE),"")</f>
        <v/>
      </c>
      <c r="BB6" s="6" t="str">
        <f>_xlfn.IFNA(VLOOKUP(U6,'GRPO Wiz'!AP:BT,20,FALSE),"")</f>
        <v/>
      </c>
      <c r="BC6" s="6" t="str">
        <f>_xlfn.IFNA(VLOOKUP(U6,'GRPO Wiz'!AP:BT,21,FALSE),"")</f>
        <v/>
      </c>
      <c r="BD6" s="6" t="str">
        <f>_xlfn.IFNA(VLOOKUP(U6,'GRPO Wiz'!AP:BT,22,FALSE),"")</f>
        <v/>
      </c>
      <c r="BE6" s="6" t="str">
        <f>_xlfn.IFNA(VLOOKUP(U6,'GRPO Wiz'!AP:BT,26,FALSE),"")</f>
        <v/>
      </c>
      <c r="BG6" s="6" t="str">
        <f>_xlfn.IFNA(VLOOKUP(U6,'GRPO Wiz'!AP:BT,25,FALSE),"")</f>
        <v/>
      </c>
      <c r="BH6" s="6" t="str">
        <f>_xlfn.IFNA(VLOOKUP(U6,'GRPO Wiz'!AP:BT,31,FALSE),"")</f>
        <v/>
      </c>
      <c r="BI6" s="6" t="str">
        <f>_xlfn.IFNA(VLOOKUP(U6,'GRPO Wiz'!AP:BZ,32,FALSE),"")</f>
        <v/>
      </c>
      <c r="BJ6" s="6" t="str">
        <f>_xlfn.IFNA(VLOOKUP(U6,'GRPO Wiz'!AP:BZ,27,FALSE),"")</f>
        <v/>
      </c>
      <c r="BK6" s="6" t="str">
        <f>_xlfn.IFNA(VALUE(VLOOKUP(U6,'GRPO Wiz'!AP:BZ,29,FALSE)),"")</f>
        <v/>
      </c>
      <c r="BL6" s="6" t="str">
        <f>_xlfn.IFNA(VLOOKUP(U6,'GRPO Wiz'!AP:BZ,33,FALSE),"")</f>
        <v/>
      </c>
    </row>
    <row r="7" spans="2:64" x14ac:dyDescent="0.25">
      <c r="T7" s="6" t="str">
        <f t="shared" si="0"/>
        <v/>
      </c>
      <c r="U7" s="6" t="str">
        <f t="shared" si="1"/>
        <v/>
      </c>
      <c r="Z7" s="6" t="s">
        <v>60</v>
      </c>
      <c r="AA7" s="6" t="s">
        <v>60</v>
      </c>
      <c r="AF7" s="6" t="str">
        <f>_xlfn.IFNA(VLOOKUP(U7,'Incoming Material Report'!A:M,13,FALSE),"")</f>
        <v/>
      </c>
      <c r="AG7" s="6" t="str">
        <f>_xlfn.IFNA(IF(VLOOKUP(U7,'Incoming Material Report'!A:N,14,FALSE)="","",VLOOKUP(U7,'Incoming Material Report'!A:N,14,FALSE)),"")</f>
        <v/>
      </c>
      <c r="AH7" s="6" t="str">
        <f>_xlfn.IFNA(VLOOKUP(U7,'Incoming Material Report'!A:Z,24,FALSE),"")</f>
        <v/>
      </c>
      <c r="AI7" s="6" t="str">
        <f>_xlfn.IFNA(VLOOKUP(U7,'Incoming Material Report'!A:Z,25,FALSE),"")</f>
        <v/>
      </c>
      <c r="AJ7" s="6" t="str">
        <f>_xlfn.IFNA(VLOOKUP(U7,'Incoming Material Report'!A:Z,26,FALSE),"")</f>
        <v/>
      </c>
      <c r="AK7" s="6" t="str">
        <f>_xlfn.IFNA(VLOOKUP(U7,'Incoming Material Report'!A:Z,2,FALSE),"")</f>
        <v/>
      </c>
      <c r="AL7" s="6" t="str">
        <f>_xlfn.IFNA(VLOOKUP(U7,'Incoming Material Report'!A:K,11,FALSE)/1000,"")</f>
        <v/>
      </c>
      <c r="AN7" s="6" t="str">
        <f>_xlfn.IFNA(VLOOKUP(U7,'Incoming Material Report'!A:R,18,FALSE)*1000,"")</f>
        <v/>
      </c>
      <c r="AP7" s="6" t="str">
        <f>_xlfn.IFNA(TEXT(VLOOKUP(U7,'Incoming Material Report'!A:D,4,FALSE),"dd.mm.yyyy"),"")</f>
        <v/>
      </c>
      <c r="AW7" s="11"/>
      <c r="AY7" s="6" t="str">
        <f>_xlfn.IFNA(VLOOKUP(U7,'GRPO Wiz'!AP:BT,17,FALSE),"")</f>
        <v/>
      </c>
      <c r="AZ7" s="6" t="str">
        <f>_xlfn.IFNA(VLOOKUP(U7,'GRPO Wiz'!AP:BT,18,FALSE),"")</f>
        <v/>
      </c>
      <c r="BA7" s="6" t="str">
        <f>_xlfn.IFNA(VLOOKUP(U7,'GRPO Wiz'!AP:BT,19,FALSE),"")</f>
        <v/>
      </c>
      <c r="BB7" s="6" t="str">
        <f>_xlfn.IFNA(VLOOKUP(U7,'GRPO Wiz'!AP:BT,20,FALSE),"")</f>
        <v/>
      </c>
      <c r="BC7" s="6" t="str">
        <f>_xlfn.IFNA(VLOOKUP(U7,'GRPO Wiz'!AP:BT,21,FALSE),"")</f>
        <v/>
      </c>
      <c r="BD7" s="6" t="str">
        <f>_xlfn.IFNA(VLOOKUP(U7,'GRPO Wiz'!AP:BT,22,FALSE),"")</f>
        <v/>
      </c>
      <c r="BE7" s="6" t="str">
        <f>_xlfn.IFNA(VLOOKUP(U7,'GRPO Wiz'!AP:BT,26,FALSE),"")</f>
        <v/>
      </c>
      <c r="BG7" s="6" t="str">
        <f>_xlfn.IFNA(VLOOKUP(U7,'GRPO Wiz'!AP:BT,25,FALSE),"")</f>
        <v/>
      </c>
      <c r="BH7" s="6" t="str">
        <f>_xlfn.IFNA(VLOOKUP(U7,'GRPO Wiz'!AP:BT,31,FALSE),"")</f>
        <v/>
      </c>
      <c r="BI7" s="6" t="str">
        <f>_xlfn.IFNA(VLOOKUP(U7,'GRPO Wiz'!AP:BZ,32,FALSE),"")</f>
        <v/>
      </c>
      <c r="BJ7" s="6" t="str">
        <f>_xlfn.IFNA(VLOOKUP(U7,'GRPO Wiz'!AP:BZ,27,FALSE),"")</f>
        <v/>
      </c>
      <c r="BK7" s="6" t="str">
        <f>_xlfn.IFNA(VALUE(VLOOKUP(U7,'GRPO Wiz'!AP:BZ,29,FALSE)),"")</f>
        <v/>
      </c>
      <c r="BL7" s="6" t="str">
        <f>_xlfn.IFNA(VLOOKUP(U7,'GRPO Wiz'!AP:BZ,33,FALSE),"")</f>
        <v/>
      </c>
    </row>
    <row r="8" spans="2:64" x14ac:dyDescent="0.25">
      <c r="T8" s="6" t="str">
        <f t="shared" si="0"/>
        <v/>
      </c>
      <c r="U8" s="6" t="str">
        <f t="shared" si="1"/>
        <v/>
      </c>
      <c r="Z8" s="6" t="s">
        <v>60</v>
      </c>
      <c r="AA8" s="6" t="s">
        <v>60</v>
      </c>
      <c r="AF8" s="6" t="str">
        <f>_xlfn.IFNA(VLOOKUP(U8,'Incoming Material Report'!A:M,13,FALSE),"")</f>
        <v/>
      </c>
      <c r="AG8" s="6" t="str">
        <f>_xlfn.IFNA(IF(VLOOKUP(U8,'Incoming Material Report'!A:N,14,FALSE)="","",VLOOKUP(U8,'Incoming Material Report'!A:N,14,FALSE)),"")</f>
        <v/>
      </c>
      <c r="AH8" s="6" t="str">
        <f>_xlfn.IFNA(VLOOKUP(U8,'Incoming Material Report'!A:Z,24,FALSE),"")</f>
        <v/>
      </c>
      <c r="AI8" s="6" t="str">
        <f>_xlfn.IFNA(VLOOKUP(U8,'Incoming Material Report'!A:Z,25,FALSE),"")</f>
        <v/>
      </c>
      <c r="AJ8" s="6" t="str">
        <f>_xlfn.IFNA(VLOOKUP(U8,'Incoming Material Report'!A:Z,26,FALSE),"")</f>
        <v/>
      </c>
      <c r="AK8" s="6" t="str">
        <f>_xlfn.IFNA(VLOOKUP(U8,'Incoming Material Report'!A:Z,2,FALSE),"")</f>
        <v/>
      </c>
      <c r="AL8" s="6" t="str">
        <f>_xlfn.IFNA(VLOOKUP(U8,'Incoming Material Report'!A:K,11,FALSE)/1000,"")</f>
        <v/>
      </c>
      <c r="AN8" s="6" t="str">
        <f>_xlfn.IFNA(VLOOKUP(U8,'Incoming Material Report'!A:R,18,FALSE)*1000,"")</f>
        <v/>
      </c>
      <c r="AP8" s="6" t="str">
        <f>_xlfn.IFNA(TEXT(VLOOKUP(U8,'Incoming Material Report'!A:D,4,FALSE),"dd.mm.yyyy"),"")</f>
        <v/>
      </c>
      <c r="AW8" s="11"/>
      <c r="BK8" s="6" t="str">
        <f>_xlfn.IFNA(VALUE(VLOOKUP(U8,'GRPO Wiz'!AP:BZ,29,FALSE)),"")</f>
        <v/>
      </c>
      <c r="BL8" s="6" t="str">
        <f>_xlfn.IFNA(VLOOKUP(U8,'GRPO Wiz'!AP:BZ,33,FALSE),"")</f>
        <v/>
      </c>
    </row>
    <row r="9" spans="2:64" x14ac:dyDescent="0.25">
      <c r="T9" s="6" t="str">
        <f t="shared" si="0"/>
        <v/>
      </c>
      <c r="U9" s="6" t="str">
        <f t="shared" si="1"/>
        <v/>
      </c>
      <c r="Z9" s="6" t="s">
        <v>60</v>
      </c>
      <c r="AA9" s="6" t="s">
        <v>60</v>
      </c>
      <c r="AF9" s="6" t="str">
        <f>_xlfn.IFNA(VLOOKUP(U9,'Incoming Material Report'!A:M,13,FALSE),"")</f>
        <v/>
      </c>
      <c r="AG9" s="6" t="str">
        <f>_xlfn.IFNA(IF(VLOOKUP(U9,'Incoming Material Report'!A:N,14,FALSE)="","",VLOOKUP(U9,'Incoming Material Report'!A:N,14,FALSE)),"")</f>
        <v/>
      </c>
      <c r="AH9" s="6" t="str">
        <f>_xlfn.IFNA(VLOOKUP(U9,'Incoming Material Report'!A:Z,24,FALSE),"")</f>
        <v/>
      </c>
      <c r="AI9" s="6" t="str">
        <f>_xlfn.IFNA(VLOOKUP(U9,'Incoming Material Report'!A:Z,25,FALSE),"")</f>
        <v/>
      </c>
      <c r="AJ9" s="6" t="str">
        <f>_xlfn.IFNA(VLOOKUP(U9,'Incoming Material Report'!A:Z,26,FALSE),"")</f>
        <v/>
      </c>
      <c r="AK9" s="6" t="str">
        <f>_xlfn.IFNA(VLOOKUP(U9,'Incoming Material Report'!A:Z,2,FALSE),"")</f>
        <v/>
      </c>
      <c r="AL9" s="6" t="str">
        <f>_xlfn.IFNA(VLOOKUP(U9,'Incoming Material Report'!A:K,11,FALSE)/1000,"")</f>
        <v/>
      </c>
      <c r="AN9" s="6" t="str">
        <f>_xlfn.IFNA(VLOOKUP(U9,'Incoming Material Report'!A:R,18,FALSE)*1000,"")</f>
        <v/>
      </c>
      <c r="AP9" s="6" t="str">
        <f>_xlfn.IFNA(TEXT(VLOOKUP(U9,'Incoming Material Report'!A:D,4,FALSE),"dd.mm.yyyy"),"")</f>
        <v/>
      </c>
      <c r="AW9" s="11"/>
      <c r="BK9" s="6" t="str">
        <f>_xlfn.IFNA(VALUE(VLOOKUP(U9,'GRPO Wiz'!AP:BZ,29,FALSE)),"")</f>
        <v/>
      </c>
      <c r="BL9" s="6" t="str">
        <f>_xlfn.IFNA(VLOOKUP(U9,'GRPO Wiz'!AP:BZ,33,FALSE),"")</f>
        <v/>
      </c>
    </row>
    <row r="10" spans="2:64" x14ac:dyDescent="0.25">
      <c r="T10" s="6" t="str">
        <f t="shared" si="0"/>
        <v/>
      </c>
      <c r="U10" s="6" t="str">
        <f t="shared" si="1"/>
        <v/>
      </c>
      <c r="Z10" s="6" t="s">
        <v>60</v>
      </c>
      <c r="AA10" s="6" t="s">
        <v>60</v>
      </c>
      <c r="AF10" s="6" t="str">
        <f>_xlfn.IFNA(VLOOKUP(U10,'Incoming Material Report'!A:M,13,FALSE),"")</f>
        <v/>
      </c>
      <c r="AG10" s="6" t="str">
        <f>_xlfn.IFNA(IF(VLOOKUP(U10,'Incoming Material Report'!A:N,14,FALSE)="","",VLOOKUP(U10,'Incoming Material Report'!A:N,14,FALSE)),"")</f>
        <v/>
      </c>
      <c r="AH10" s="6" t="str">
        <f>_xlfn.IFNA(VLOOKUP(U10,'Incoming Material Report'!A:Z,24,FALSE),"")</f>
        <v/>
      </c>
      <c r="AI10" s="6" t="str">
        <f>_xlfn.IFNA(VLOOKUP(U10,'Incoming Material Report'!A:Z,25,FALSE),"")</f>
        <v/>
      </c>
      <c r="AJ10" s="6" t="str">
        <f>_xlfn.IFNA(VLOOKUP(U10,'Incoming Material Report'!A:Z,26,FALSE),"")</f>
        <v/>
      </c>
      <c r="AK10" s="6" t="str">
        <f>_xlfn.IFNA(VLOOKUP(U10,'Incoming Material Report'!A:Z,2,FALSE),"")</f>
        <v/>
      </c>
      <c r="AL10" s="6" t="str">
        <f>_xlfn.IFNA(VLOOKUP(U10,'Incoming Material Report'!A:K,11,FALSE)/1000,"")</f>
        <v/>
      </c>
      <c r="AN10" s="6" t="str">
        <f>_xlfn.IFNA(VLOOKUP(U10,'Incoming Material Report'!A:R,18,FALSE)*1000,"")</f>
        <v/>
      </c>
      <c r="AP10" s="6" t="str">
        <f>_xlfn.IFNA(TEXT(VLOOKUP(U10,'Incoming Material Report'!A:D,4,FALSE),"dd.mm.yyyy"),"")</f>
        <v/>
      </c>
      <c r="AW10" s="11"/>
      <c r="BK10" s="6" t="str">
        <f>_xlfn.IFNA(VALUE(VLOOKUP(U10,'GRPO Wiz'!AP:BZ,29,FALSE)),"")</f>
        <v/>
      </c>
      <c r="BL10" s="6" t="str">
        <f>_xlfn.IFNA(VLOOKUP(U10,'GRPO Wiz'!AP:BZ,33,FALSE),"")</f>
        <v/>
      </c>
    </row>
    <row r="11" spans="2:64" x14ac:dyDescent="0.25">
      <c r="T11" s="6" t="str">
        <f t="shared" si="0"/>
        <v/>
      </c>
      <c r="U11" s="6" t="str">
        <f t="shared" si="1"/>
        <v/>
      </c>
      <c r="Z11" s="6" t="s">
        <v>60</v>
      </c>
      <c r="AA11" s="6" t="s">
        <v>60</v>
      </c>
      <c r="AF11" s="6" t="str">
        <f>_xlfn.IFNA(VLOOKUP(U11,'Incoming Material Report'!A:M,13,FALSE),"")</f>
        <v/>
      </c>
      <c r="AG11" s="6" t="str">
        <f>_xlfn.IFNA(IF(VLOOKUP(U11,'Incoming Material Report'!A:N,14,FALSE)="","",VLOOKUP(U11,'Incoming Material Report'!A:N,14,FALSE)),"")</f>
        <v/>
      </c>
      <c r="AH11" s="6" t="str">
        <f>_xlfn.IFNA(VLOOKUP(U11,'Incoming Material Report'!A:Z,24,FALSE),"")</f>
        <v/>
      </c>
      <c r="AI11" s="6" t="str">
        <f>_xlfn.IFNA(VLOOKUP(U11,'Incoming Material Report'!A:Z,25,FALSE),"")</f>
        <v/>
      </c>
      <c r="AJ11" s="6" t="str">
        <f>_xlfn.IFNA(VLOOKUP(U11,'Incoming Material Report'!A:Z,26,FALSE),"")</f>
        <v/>
      </c>
      <c r="AK11" s="6" t="str">
        <f>_xlfn.IFNA(VLOOKUP(U11,'Incoming Material Report'!A:Z,2,FALSE),"")</f>
        <v/>
      </c>
      <c r="AL11" s="6" t="str">
        <f>_xlfn.IFNA(VLOOKUP(U11,'Incoming Material Report'!A:K,11,FALSE)/1000,"")</f>
        <v/>
      </c>
      <c r="AN11" s="6" t="str">
        <f>_xlfn.IFNA(VLOOKUP(U11,'Incoming Material Report'!A:R,18,FALSE)*1000,"")</f>
        <v/>
      </c>
      <c r="AP11" s="6" t="str">
        <f>_xlfn.IFNA(TEXT(VLOOKUP(U11,'Incoming Material Report'!A:D,4,FALSE),"dd.mm.yyyy"),"")</f>
        <v/>
      </c>
      <c r="BK11" s="6" t="str">
        <f>_xlfn.IFNA(VALUE(VLOOKUP(U11,'GRPO Wiz'!AP:BZ,29,FALSE)),"")</f>
        <v/>
      </c>
      <c r="BL11" s="6" t="str">
        <f>_xlfn.IFNA(VLOOKUP(U11,'GRPO Wiz'!AP:BZ,33,FALSE),"")</f>
        <v/>
      </c>
    </row>
    <row r="12" spans="2:64" x14ac:dyDescent="0.25">
      <c r="T12" s="6" t="str">
        <f t="shared" si="0"/>
        <v/>
      </c>
      <c r="U12" s="6" t="str">
        <f t="shared" si="1"/>
        <v/>
      </c>
      <c r="Z12" s="6" t="s">
        <v>60</v>
      </c>
      <c r="AA12" s="6" t="s">
        <v>60</v>
      </c>
      <c r="AF12" s="6" t="str">
        <f>_xlfn.IFNA(VLOOKUP(U12,'Incoming Material Report'!A:M,13,FALSE),"")</f>
        <v/>
      </c>
      <c r="AG12" s="6" t="str">
        <f>_xlfn.IFNA(IF(VLOOKUP(U12,'Incoming Material Report'!A:N,14,FALSE)="","",VLOOKUP(U12,'Incoming Material Report'!A:N,14,FALSE)),"")</f>
        <v/>
      </c>
      <c r="AH12" s="6" t="str">
        <f>_xlfn.IFNA(VLOOKUP(U12,'Incoming Material Report'!A:Z,24,FALSE),"")</f>
        <v/>
      </c>
      <c r="AI12" s="6" t="str">
        <f>_xlfn.IFNA(VLOOKUP(U12,'Incoming Material Report'!A:Z,25,FALSE),"")</f>
        <v/>
      </c>
      <c r="AJ12" s="6" t="str">
        <f>_xlfn.IFNA(VLOOKUP(U12,'Incoming Material Report'!A:Z,26,FALSE),"")</f>
        <v/>
      </c>
      <c r="AK12" s="6" t="str">
        <f>_xlfn.IFNA(VLOOKUP(U12,'Incoming Material Report'!A:Z,2,FALSE),"")</f>
        <v/>
      </c>
      <c r="AL12" s="6" t="str">
        <f>_xlfn.IFNA(VLOOKUP(U12,'Incoming Material Report'!A:K,11,FALSE)/1000,"")</f>
        <v/>
      </c>
      <c r="AN12" s="6" t="str">
        <f>_xlfn.IFNA(VLOOKUP(U12,'Incoming Material Report'!A:R,18,FALSE)*1000,"")</f>
        <v/>
      </c>
      <c r="AP12" s="6" t="str">
        <f>_xlfn.IFNA(TEXT(VLOOKUP(U12,'Incoming Material Report'!A:D,4,FALSE),"dd.mm.yyyy"),"")</f>
        <v/>
      </c>
      <c r="BK12" s="6" t="str">
        <f>_xlfn.IFNA(VALUE(VLOOKUP(U12,'GRPO Wiz'!AP:BZ,29,FALSE)),"")</f>
        <v/>
      </c>
      <c r="BL12" s="6" t="str">
        <f>_xlfn.IFNA(VLOOKUP(U12,'GRPO Wiz'!AP:BZ,33,FALSE),"")</f>
        <v/>
      </c>
    </row>
    <row r="13" spans="2:64" x14ac:dyDescent="0.25">
      <c r="T13" s="6" t="str">
        <f t="shared" si="0"/>
        <v/>
      </c>
      <c r="U13" s="6" t="str">
        <f t="shared" si="1"/>
        <v/>
      </c>
      <c r="Z13" s="6" t="s">
        <v>60</v>
      </c>
      <c r="AA13" s="6" t="s">
        <v>60</v>
      </c>
      <c r="AF13" s="6" t="str">
        <f>_xlfn.IFNA(VLOOKUP(U13,'Incoming Material Report'!A:M,13,FALSE),"")</f>
        <v/>
      </c>
      <c r="AG13" s="6" t="str">
        <f>_xlfn.IFNA(IF(VLOOKUP(U13,'Incoming Material Report'!A:N,14,FALSE)="","",VLOOKUP(U13,'Incoming Material Report'!A:N,14,FALSE)),"")</f>
        <v/>
      </c>
      <c r="AH13" s="6" t="str">
        <f>_xlfn.IFNA(VLOOKUP(U13,'Incoming Material Report'!A:Z,24,FALSE),"")</f>
        <v/>
      </c>
      <c r="AI13" s="6" t="str">
        <f>_xlfn.IFNA(VLOOKUP(U13,'Incoming Material Report'!A:Z,25,FALSE),"")</f>
        <v/>
      </c>
      <c r="AJ13" s="6" t="str">
        <f>_xlfn.IFNA(VLOOKUP(U13,'Incoming Material Report'!A:Z,26,FALSE),"")</f>
        <v/>
      </c>
      <c r="AK13" s="6" t="str">
        <f>_xlfn.IFNA(VLOOKUP(U13,'Incoming Material Report'!A:Z,2,FALSE),"")</f>
        <v/>
      </c>
      <c r="AL13" s="6" t="str">
        <f>_xlfn.IFNA(VLOOKUP(U13,'Incoming Material Report'!A:K,11,FALSE)/1000,"")</f>
        <v/>
      </c>
      <c r="AN13" s="6" t="str">
        <f>_xlfn.IFNA(VLOOKUP(U13,'Incoming Material Report'!A:R,18,FALSE)*1000,"")</f>
        <v/>
      </c>
      <c r="AP13" s="6" t="str">
        <f>_xlfn.IFNA(TEXT(VLOOKUP(U13,'Incoming Material Report'!A:D,4,FALSE),"dd.mm.yyyy"),"")</f>
        <v/>
      </c>
      <c r="BK13" s="6" t="str">
        <f>_xlfn.IFNA(VALUE(VLOOKUP(U13,'GRPO Wiz'!AP:BZ,29,FALSE)),"")</f>
        <v/>
      </c>
      <c r="BL13" s="6" t="str">
        <f>_xlfn.IFNA(VLOOKUP(U13,'GRPO Wiz'!AP:BZ,33,FALSE),"")</f>
        <v/>
      </c>
    </row>
    <row r="14" spans="2:64" x14ac:dyDescent="0.25">
      <c r="T14" s="6" t="str">
        <f t="shared" si="0"/>
        <v/>
      </c>
      <c r="U14" s="6" t="str">
        <f t="shared" si="1"/>
        <v/>
      </c>
      <c r="Z14" s="6" t="s">
        <v>60</v>
      </c>
      <c r="AA14" s="6" t="s">
        <v>60</v>
      </c>
      <c r="AF14" s="6" t="str">
        <f>_xlfn.IFNA(VLOOKUP(U14,'Incoming Material Report'!A:M,13,FALSE),"")</f>
        <v/>
      </c>
      <c r="AG14" s="6" t="str">
        <f>_xlfn.IFNA(IF(VLOOKUP(U14,'Incoming Material Report'!A:N,14,FALSE)="","",VLOOKUP(U14,'Incoming Material Report'!A:N,14,FALSE)),"")</f>
        <v/>
      </c>
      <c r="AH14" s="6" t="str">
        <f>_xlfn.IFNA(VLOOKUP(U14,'Incoming Material Report'!A:Z,24,FALSE),"")</f>
        <v/>
      </c>
      <c r="AI14" s="6" t="str">
        <f>_xlfn.IFNA(VLOOKUP(U14,'Incoming Material Report'!A:Z,25,FALSE),"")</f>
        <v/>
      </c>
      <c r="AJ14" s="6" t="str">
        <f>_xlfn.IFNA(VLOOKUP(U14,'Incoming Material Report'!A:Z,26,FALSE),"")</f>
        <v/>
      </c>
      <c r="AK14" s="6" t="str">
        <f>_xlfn.IFNA(VLOOKUP(U14,'Incoming Material Report'!A:Z,2,FALSE),"")</f>
        <v/>
      </c>
      <c r="AL14" s="6" t="str">
        <f>_xlfn.IFNA(VLOOKUP(U14,'Incoming Material Report'!A:K,11,FALSE)/1000,"")</f>
        <v/>
      </c>
      <c r="AN14" s="6" t="str">
        <f>_xlfn.IFNA(VLOOKUP(U14,'Incoming Material Report'!A:R,18,FALSE)*1000,"")</f>
        <v/>
      </c>
      <c r="AP14" s="6" t="str">
        <f>_xlfn.IFNA(TEXT(VLOOKUP(U14,'Incoming Material Report'!A:D,4,FALSE),"dd.mm.yyyy"),"")</f>
        <v/>
      </c>
      <c r="BK14" s="6" t="str">
        <f>_xlfn.IFNA(VALUE(VLOOKUP(U14,'GRPO Wiz'!AP:BZ,29,FALSE)),"")</f>
        <v/>
      </c>
      <c r="BL14" s="6" t="str">
        <f>_xlfn.IFNA(VLOOKUP(U14,'GRPO Wiz'!AP:BZ,33,FALSE),"")</f>
        <v/>
      </c>
    </row>
    <row r="15" spans="2:64" x14ac:dyDescent="0.25">
      <c r="T15" s="6" t="str">
        <f t="shared" si="0"/>
        <v/>
      </c>
      <c r="U15" s="6" t="str">
        <f t="shared" si="1"/>
        <v/>
      </c>
      <c r="Z15" s="6" t="s">
        <v>60</v>
      </c>
      <c r="AA15" s="6" t="s">
        <v>60</v>
      </c>
      <c r="AF15" s="6" t="str">
        <f>_xlfn.IFNA(VLOOKUP(U15,'Incoming Material Report'!A:M,13,FALSE),"")</f>
        <v/>
      </c>
      <c r="AG15" s="6" t="str">
        <f>_xlfn.IFNA(IF(VLOOKUP(U15,'Incoming Material Report'!A:N,14,FALSE)="","",VLOOKUP(U15,'Incoming Material Report'!A:N,14,FALSE)),"")</f>
        <v/>
      </c>
      <c r="AH15" s="6" t="str">
        <f>_xlfn.IFNA(VLOOKUP(U15,'Incoming Material Report'!A:Z,24,FALSE),"")</f>
        <v/>
      </c>
      <c r="AI15" s="6" t="str">
        <f>_xlfn.IFNA(VLOOKUP(U15,'Incoming Material Report'!A:Z,25,FALSE),"")</f>
        <v/>
      </c>
      <c r="AJ15" s="6" t="str">
        <f>_xlfn.IFNA(VLOOKUP(U15,'Incoming Material Report'!A:Z,26,FALSE),"")</f>
        <v/>
      </c>
      <c r="AK15" s="6" t="str">
        <f>_xlfn.IFNA(VLOOKUP(U15,'Incoming Material Report'!A:Z,2,FALSE),"")</f>
        <v/>
      </c>
      <c r="AL15" s="6" t="str">
        <f>_xlfn.IFNA(VLOOKUP(U15,'Incoming Material Report'!A:K,11,FALSE)/1000,"")</f>
        <v/>
      </c>
      <c r="AN15" s="6" t="str">
        <f>_xlfn.IFNA(VLOOKUP(U15,'Incoming Material Report'!A:R,18,FALSE)*1000,"")</f>
        <v/>
      </c>
      <c r="AP15" s="6" t="str">
        <f>_xlfn.IFNA(TEXT(VLOOKUP(U15,'Incoming Material Report'!A:D,4,FALSE),"dd.mm.yyyy"),"")</f>
        <v/>
      </c>
      <c r="BL15" s="6" t="str">
        <f>_xlfn.IFNA(VLOOKUP(U15,'GRPO Wiz'!AP:BZ,33,FALSE),"")</f>
        <v/>
      </c>
    </row>
    <row r="16" spans="2:64" x14ac:dyDescent="0.25">
      <c r="T16" s="6" t="str">
        <f t="shared" si="0"/>
        <v/>
      </c>
      <c r="U16" s="6" t="str">
        <f t="shared" si="1"/>
        <v/>
      </c>
      <c r="Z16" s="6" t="s">
        <v>60</v>
      </c>
      <c r="AA16" s="6" t="s">
        <v>60</v>
      </c>
      <c r="AF16" s="6" t="str">
        <f>_xlfn.IFNA(VLOOKUP(U16,'Incoming Material Report'!A:M,13,FALSE),"")</f>
        <v/>
      </c>
      <c r="AG16" s="6" t="str">
        <f>_xlfn.IFNA(IF(VLOOKUP(U16,'Incoming Material Report'!A:N,14,FALSE)="","",VLOOKUP(U16,'Incoming Material Report'!A:N,14,FALSE)),"")</f>
        <v/>
      </c>
      <c r="AH16" s="6" t="str">
        <f>_xlfn.IFNA(VLOOKUP(U16,'Incoming Material Report'!A:Z,24,FALSE),"")</f>
        <v/>
      </c>
      <c r="AI16" s="6" t="str">
        <f>_xlfn.IFNA(VLOOKUP(U16,'Incoming Material Report'!A:Z,25,FALSE),"")</f>
        <v/>
      </c>
      <c r="AJ16" s="6" t="str">
        <f>_xlfn.IFNA(VLOOKUP(U16,'Incoming Material Report'!A:Z,26,FALSE),"")</f>
        <v/>
      </c>
      <c r="AK16" s="6" t="str">
        <f>_xlfn.IFNA(VLOOKUP(U16,'Incoming Material Report'!A:Z,2,FALSE),"")</f>
        <v/>
      </c>
      <c r="AL16" s="6" t="str">
        <f>_xlfn.IFNA(VLOOKUP(U16,'Incoming Material Report'!A:K,11,FALSE)/1000,"")</f>
        <v/>
      </c>
      <c r="AN16" s="6" t="str">
        <f>_xlfn.IFNA(VLOOKUP(U16,'Incoming Material Report'!A:R,18,FALSE)*1000,"")</f>
        <v/>
      </c>
      <c r="AP16" s="6" t="str">
        <f>_xlfn.IFNA(TEXT(VLOOKUP(U16,'Incoming Material Report'!A:D,4,FALSE),"dd.mm.yyyy"),"")</f>
        <v/>
      </c>
      <c r="BL16" s="6" t="str">
        <f>_xlfn.IFNA(VLOOKUP(U16,'GRPO Wiz'!AP:BZ,33,FALSE),"")</f>
        <v/>
      </c>
    </row>
    <row r="17" spans="20:64" x14ac:dyDescent="0.25">
      <c r="T17" s="6" t="str">
        <f t="shared" si="0"/>
        <v/>
      </c>
      <c r="U17" s="6" t="str">
        <f t="shared" si="1"/>
        <v/>
      </c>
      <c r="Z17" s="6" t="s">
        <v>60</v>
      </c>
      <c r="AA17" s="6" t="s">
        <v>60</v>
      </c>
      <c r="AF17" s="6" t="str">
        <f>_xlfn.IFNA(VLOOKUP(U17,'Incoming Material Report'!A:M,13,FALSE),"")</f>
        <v/>
      </c>
      <c r="AG17" s="6" t="str">
        <f>_xlfn.IFNA(IF(VLOOKUP(U17,'Incoming Material Report'!A:N,14,FALSE)="","",VLOOKUP(U17,'Incoming Material Report'!A:N,14,FALSE)),"")</f>
        <v/>
      </c>
      <c r="AH17" s="6" t="str">
        <f>_xlfn.IFNA(VLOOKUP(U17,'Incoming Material Report'!A:Z,24,FALSE),"")</f>
        <v/>
      </c>
      <c r="AI17" s="6" t="str">
        <f>_xlfn.IFNA(VLOOKUP(U17,'Incoming Material Report'!A:Z,25,FALSE),"")</f>
        <v/>
      </c>
      <c r="AJ17" s="6" t="str">
        <f>_xlfn.IFNA(VLOOKUP(U17,'Incoming Material Report'!A:Z,26,FALSE),"")</f>
        <v/>
      </c>
      <c r="AK17" s="6" t="str">
        <f>_xlfn.IFNA(VLOOKUP(U17,'Incoming Material Report'!A:Z,2,FALSE),"")</f>
        <v/>
      </c>
      <c r="AL17" s="6" t="str">
        <f>_xlfn.IFNA(VLOOKUP(U17,'Incoming Material Report'!A:K,11,FALSE)/1000,"")</f>
        <v/>
      </c>
      <c r="AN17" s="6" t="str">
        <f>_xlfn.IFNA(VLOOKUP(U17,'Incoming Material Report'!A:R,18,FALSE)*1000,"")</f>
        <v/>
      </c>
      <c r="AP17" s="6" t="str">
        <f>_xlfn.IFNA(TEXT(VLOOKUP(U17,'Incoming Material Report'!A:D,4,FALSE),"dd.mm.yyyy"),"")</f>
        <v/>
      </c>
      <c r="BL17" s="6" t="str">
        <f>_xlfn.IFNA(VLOOKUP(U17,'GRPO Wiz'!AP:BZ,33,FALSE),"")</f>
        <v/>
      </c>
    </row>
    <row r="18" spans="20:64" x14ac:dyDescent="0.25">
      <c r="T18" s="6" t="str">
        <f t="shared" si="0"/>
        <v/>
      </c>
      <c r="U18" s="6" t="str">
        <f t="shared" si="1"/>
        <v/>
      </c>
      <c r="Z18" s="6" t="s">
        <v>60</v>
      </c>
      <c r="AA18" s="6" t="s">
        <v>60</v>
      </c>
      <c r="AF18" s="6" t="str">
        <f>_xlfn.IFNA(VLOOKUP(U18,'Incoming Material Report'!A:M,13,FALSE),"")</f>
        <v/>
      </c>
      <c r="AG18" s="6" t="str">
        <f>_xlfn.IFNA(IF(VLOOKUP(U18,'Incoming Material Report'!A:N,14,FALSE)="","",VLOOKUP(U18,'Incoming Material Report'!A:N,14,FALSE)),"")</f>
        <v/>
      </c>
      <c r="AH18" s="6" t="str">
        <f>_xlfn.IFNA(VLOOKUP(U18,'Incoming Material Report'!A:Z,24,FALSE),"")</f>
        <v/>
      </c>
      <c r="AI18" s="6" t="str">
        <f>_xlfn.IFNA(VLOOKUP(U18,'Incoming Material Report'!A:Z,25,FALSE),"")</f>
        <v/>
      </c>
      <c r="AJ18" s="6" t="str">
        <f>_xlfn.IFNA(VLOOKUP(U18,'Incoming Material Report'!A:Z,26,FALSE),"")</f>
        <v/>
      </c>
      <c r="AK18" s="6" t="str">
        <f>_xlfn.IFNA(VLOOKUP(U18,'Incoming Material Report'!A:Z,2,FALSE),"")</f>
        <v/>
      </c>
      <c r="AL18" s="6" t="str">
        <f>_xlfn.IFNA(VLOOKUP(U18,'Incoming Material Report'!A:K,11,FALSE)/1000,"")</f>
        <v/>
      </c>
      <c r="AN18" s="6" t="str">
        <f>_xlfn.IFNA(VLOOKUP(U18,'Incoming Material Report'!A:R,18,FALSE)*1000,"")</f>
        <v/>
      </c>
      <c r="AP18" s="6" t="str">
        <f>_xlfn.IFNA(TEXT(VLOOKUP(U18,'Incoming Material Report'!A:D,4,FALSE),"dd.mm.yyyy"),"")</f>
        <v/>
      </c>
      <c r="BL18" s="6" t="str">
        <f>_xlfn.IFNA(VLOOKUP(U18,'GRPO Wiz'!AP:BZ,33,FALSE),"")</f>
        <v/>
      </c>
    </row>
    <row r="19" spans="20:64" x14ac:dyDescent="0.25">
      <c r="T19" s="6" t="str">
        <f t="shared" si="0"/>
        <v/>
      </c>
      <c r="U19" s="6" t="str">
        <f t="shared" si="1"/>
        <v/>
      </c>
      <c r="Z19" s="6" t="s">
        <v>60</v>
      </c>
      <c r="AA19" s="6" t="s">
        <v>60</v>
      </c>
      <c r="AF19" s="6" t="str">
        <f>_xlfn.IFNA(VLOOKUP(U19,'Incoming Material Report'!A:M,13,FALSE),"")</f>
        <v/>
      </c>
      <c r="AG19" s="6" t="str">
        <f>_xlfn.IFNA(IF(VLOOKUP(U19,'Incoming Material Report'!A:N,14,FALSE)="","",VLOOKUP(U19,'Incoming Material Report'!A:N,14,FALSE)),"")</f>
        <v/>
      </c>
      <c r="AH19" s="6" t="str">
        <f>_xlfn.IFNA(VLOOKUP(U19,'Incoming Material Report'!A:Z,24,FALSE),"")</f>
        <v/>
      </c>
      <c r="AI19" s="6" t="str">
        <f>_xlfn.IFNA(VLOOKUP(U19,'Incoming Material Report'!A:Z,25,FALSE),"")</f>
        <v/>
      </c>
      <c r="AJ19" s="6" t="str">
        <f>_xlfn.IFNA(VLOOKUP(U19,'Incoming Material Report'!A:Z,26,FALSE),"")</f>
        <v/>
      </c>
      <c r="AK19" s="6" t="str">
        <f>_xlfn.IFNA(VLOOKUP(U19,'Incoming Material Report'!A:Z,2,FALSE),"")</f>
        <v/>
      </c>
      <c r="AL19" s="6" t="str">
        <f>_xlfn.IFNA(VLOOKUP(U19,'Incoming Material Report'!A:K,11,FALSE)/1000,"")</f>
        <v/>
      </c>
      <c r="AN19" s="6" t="str">
        <f>_xlfn.IFNA(VLOOKUP(U19,'Incoming Material Report'!A:R,18,FALSE)*1000,"")</f>
        <v/>
      </c>
      <c r="AP19" s="6" t="str">
        <f>_xlfn.IFNA(TEXT(VLOOKUP(U19,'Incoming Material Report'!A:D,4,FALSE),"dd.mm.yyyy"),"")</f>
        <v/>
      </c>
    </row>
    <row r="20" spans="20:64" x14ac:dyDescent="0.25">
      <c r="T20" s="6" t="str">
        <f t="shared" si="0"/>
        <v/>
      </c>
      <c r="U20" s="6" t="str">
        <f t="shared" si="1"/>
        <v/>
      </c>
      <c r="Z20" s="6" t="s">
        <v>60</v>
      </c>
      <c r="AA20" s="6" t="s">
        <v>60</v>
      </c>
      <c r="AF20" s="6" t="str">
        <f>_xlfn.IFNA(VLOOKUP(U20,'Incoming Material Report'!A:M,13,FALSE),"")</f>
        <v/>
      </c>
      <c r="AG20" s="6" t="str">
        <f>_xlfn.IFNA(IF(VLOOKUP(U20,'Incoming Material Report'!A:N,14,FALSE)="","",VLOOKUP(U20,'Incoming Material Report'!A:N,14,FALSE)),"")</f>
        <v/>
      </c>
      <c r="AH20" s="6" t="str">
        <f>_xlfn.IFNA(VLOOKUP(U20,'Incoming Material Report'!A:Z,24,FALSE),"")</f>
        <v/>
      </c>
      <c r="AI20" s="6" t="str">
        <f>_xlfn.IFNA(VLOOKUP(U20,'Incoming Material Report'!A:Z,25,FALSE),"")</f>
        <v/>
      </c>
      <c r="AJ20" s="6" t="str">
        <f>_xlfn.IFNA(VLOOKUP(U20,'Incoming Material Report'!A:Z,26,FALSE),"")</f>
        <v/>
      </c>
      <c r="AK20" s="6" t="str">
        <f>_xlfn.IFNA(VLOOKUP(U20,'Incoming Material Report'!A:Z,2,FALSE),"")</f>
        <v/>
      </c>
      <c r="AL20" s="6" t="str">
        <f>_xlfn.IFNA(VLOOKUP(U20,'Incoming Material Report'!A:K,11,FALSE)/1000,"")</f>
        <v/>
      </c>
      <c r="AN20" s="6" t="str">
        <f>_xlfn.IFNA(VLOOKUP(U20,'Incoming Material Report'!A:R,18,FALSE)*1000,"")</f>
        <v/>
      </c>
      <c r="AP20" s="6" t="str">
        <f>_xlfn.IFNA(TEXT(VLOOKUP(U20,'Incoming Material Report'!A:D,4,FALSE),"dd.mm.yyyy"),"")</f>
        <v/>
      </c>
    </row>
    <row r="21" spans="20:64" x14ac:dyDescent="0.25">
      <c r="T21" s="6" t="str">
        <f t="shared" si="0"/>
        <v/>
      </c>
      <c r="U21" s="6" t="str">
        <f t="shared" si="1"/>
        <v/>
      </c>
      <c r="Z21" s="6" t="s">
        <v>60</v>
      </c>
      <c r="AA21" s="6" t="s">
        <v>60</v>
      </c>
      <c r="AF21" s="6" t="str">
        <f>_xlfn.IFNA(VLOOKUP(U21,'Incoming Material Report'!A:M,13,FALSE),"")</f>
        <v/>
      </c>
      <c r="AG21" s="6" t="str">
        <f>_xlfn.IFNA(IF(VLOOKUP(U21,'Incoming Material Report'!A:N,14,FALSE)="","",VLOOKUP(U21,'Incoming Material Report'!A:N,14,FALSE)),"")</f>
        <v/>
      </c>
      <c r="AH21" s="6" t="str">
        <f>_xlfn.IFNA(VLOOKUP(U21,'Incoming Material Report'!A:Z,24,FALSE),"")</f>
        <v/>
      </c>
      <c r="AI21" s="6" t="str">
        <f>_xlfn.IFNA(VLOOKUP(U21,'Incoming Material Report'!A:Z,25,FALSE),"")</f>
        <v/>
      </c>
      <c r="AJ21" s="6" t="str">
        <f>_xlfn.IFNA(VLOOKUP(U21,'Incoming Material Report'!A:Z,26,FALSE),"")</f>
        <v/>
      </c>
      <c r="AK21" s="6" t="str">
        <f>_xlfn.IFNA(VLOOKUP(U21,'Incoming Material Report'!A:Z,2,FALSE),"")</f>
        <v/>
      </c>
      <c r="AL21" s="6" t="str">
        <f>_xlfn.IFNA(VLOOKUP(U21,'Incoming Material Report'!A:K,11,FALSE)/1000,"")</f>
        <v/>
      </c>
      <c r="AN21" s="6" t="str">
        <f>_xlfn.IFNA(VLOOKUP(U21,'Incoming Material Report'!A:R,18,FALSE)*1000,"")</f>
        <v/>
      </c>
      <c r="AP21" s="6" t="str">
        <f>_xlfn.IFNA(TEXT(VLOOKUP(U21,'Incoming Material Report'!A:D,4,FALSE),"dd.mm.yyyy"),"")</f>
        <v/>
      </c>
    </row>
    <row r="22" spans="20:64" x14ac:dyDescent="0.25">
      <c r="T22" s="6" t="str">
        <f t="shared" si="0"/>
        <v/>
      </c>
      <c r="U22" s="6" t="str">
        <f t="shared" si="1"/>
        <v/>
      </c>
      <c r="Z22" s="6" t="s">
        <v>60</v>
      </c>
      <c r="AA22" s="6" t="s">
        <v>60</v>
      </c>
      <c r="AF22" s="6" t="str">
        <f>_xlfn.IFNA(VLOOKUP(U22,'Incoming Material Report'!A:M,13,FALSE),"")</f>
        <v/>
      </c>
      <c r="AG22" s="6" t="str">
        <f>_xlfn.IFNA(IF(VLOOKUP(U22,'Incoming Material Report'!A:N,14,FALSE)="","",VLOOKUP(U22,'Incoming Material Report'!A:N,14,FALSE)),"")</f>
        <v/>
      </c>
      <c r="AH22" s="6" t="str">
        <f>_xlfn.IFNA(VLOOKUP(U22,'Incoming Material Report'!A:Z,24,FALSE),"")</f>
        <v/>
      </c>
      <c r="AI22" s="6" t="str">
        <f>_xlfn.IFNA(VLOOKUP(U22,'Incoming Material Report'!A:Z,25,FALSE),"")</f>
        <v/>
      </c>
      <c r="AJ22" s="6" t="str">
        <f>_xlfn.IFNA(VLOOKUP(U22,'Incoming Material Report'!A:Z,26,FALSE),"")</f>
        <v/>
      </c>
      <c r="AK22" s="6" t="str">
        <f>_xlfn.IFNA(VLOOKUP(U22,'Incoming Material Report'!A:Z,2,FALSE),"")</f>
        <v/>
      </c>
      <c r="AL22" s="6" t="str">
        <f>_xlfn.IFNA(VLOOKUP(U22,'Incoming Material Report'!A:K,11,FALSE)/1000,"")</f>
        <v/>
      </c>
      <c r="AN22" s="6" t="str">
        <f>_xlfn.IFNA(VLOOKUP(U22,'Incoming Material Report'!A:R,18,FALSE)*1000,"")</f>
        <v/>
      </c>
      <c r="AP22" s="6" t="str">
        <f>_xlfn.IFNA(TEXT(VLOOKUP(U22,'Incoming Material Report'!A:D,4,FALSE),"dd.mm.yyyy"),"")</f>
        <v/>
      </c>
    </row>
    <row r="23" spans="20:64" x14ac:dyDescent="0.25">
      <c r="T23" s="6" t="str">
        <f t="shared" si="0"/>
        <v/>
      </c>
      <c r="U23" s="6" t="str">
        <f t="shared" si="1"/>
        <v/>
      </c>
      <c r="Z23" s="6" t="s">
        <v>60</v>
      </c>
      <c r="AA23" s="6" t="s">
        <v>60</v>
      </c>
      <c r="AF23" s="6" t="str">
        <f>_xlfn.IFNA(VLOOKUP(U23,'Incoming Material Report'!A:M,13,FALSE),"")</f>
        <v/>
      </c>
      <c r="AG23" s="6" t="str">
        <f>_xlfn.IFNA(IF(VLOOKUP(U23,'Incoming Material Report'!A:N,14,FALSE)="","",VLOOKUP(U23,'Incoming Material Report'!A:N,14,FALSE)),"")</f>
        <v/>
      </c>
      <c r="AH23" s="6" t="str">
        <f>_xlfn.IFNA(VLOOKUP(U23,'Incoming Material Report'!A:Z,24,FALSE),"")</f>
        <v/>
      </c>
      <c r="AI23" s="6" t="str">
        <f>_xlfn.IFNA(VLOOKUP(U23,'Incoming Material Report'!A:Z,25,FALSE),"")</f>
        <v/>
      </c>
      <c r="AJ23" s="6" t="str">
        <f>_xlfn.IFNA(VLOOKUP(U23,'Incoming Material Report'!A:Z,26,FALSE),"")</f>
        <v/>
      </c>
      <c r="AK23" s="6" t="str">
        <f>_xlfn.IFNA(VLOOKUP(U23,'Incoming Material Report'!A:Z,2,FALSE),"")</f>
        <v/>
      </c>
      <c r="AL23" s="6" t="str">
        <f>_xlfn.IFNA(VLOOKUP(U23,'Incoming Material Report'!A:K,11,FALSE)/1000,"")</f>
        <v/>
      </c>
      <c r="AN23" s="6" t="str">
        <f>_xlfn.IFNA(VLOOKUP(U23,'Incoming Material Report'!A:R,18,FALSE)*1000,"")</f>
        <v/>
      </c>
      <c r="AP23" s="6" t="str">
        <f>_xlfn.IFNA(TEXT(VLOOKUP(U23,'Incoming Material Report'!A:D,4,FALSE),"dd.mm.yyyy"),"")</f>
        <v/>
      </c>
    </row>
    <row r="24" spans="20:64" x14ac:dyDescent="0.25">
      <c r="T24" s="6" t="str">
        <f t="shared" si="0"/>
        <v/>
      </c>
      <c r="U24" s="6" t="str">
        <f t="shared" si="1"/>
        <v/>
      </c>
      <c r="Z24" s="6" t="s">
        <v>60</v>
      </c>
      <c r="AA24" s="6" t="s">
        <v>60</v>
      </c>
      <c r="AF24" s="6" t="str">
        <f>_xlfn.IFNA(VLOOKUP(U24,'Incoming Material Report'!A:M,13,FALSE),"")</f>
        <v/>
      </c>
      <c r="AG24" s="6" t="str">
        <f>_xlfn.IFNA(IF(VLOOKUP(U24,'Incoming Material Report'!A:N,14,FALSE)="","",VLOOKUP(U24,'Incoming Material Report'!A:N,14,FALSE)),"")</f>
        <v/>
      </c>
      <c r="AH24" s="6" t="str">
        <f>_xlfn.IFNA(VLOOKUP(U24,'Incoming Material Report'!A:Z,24,FALSE),"")</f>
        <v/>
      </c>
      <c r="AI24" s="6" t="str">
        <f>_xlfn.IFNA(VLOOKUP(U24,'Incoming Material Report'!A:Z,25,FALSE),"")</f>
        <v/>
      </c>
      <c r="AJ24" s="6" t="str">
        <f>_xlfn.IFNA(VLOOKUP(U24,'Incoming Material Report'!A:Z,26,FALSE),"")</f>
        <v/>
      </c>
      <c r="AK24" s="6" t="str">
        <f>_xlfn.IFNA(VLOOKUP(U24,'Incoming Material Report'!A:Z,2,FALSE),"")</f>
        <v/>
      </c>
      <c r="AL24" s="6" t="str">
        <f>_xlfn.IFNA(VLOOKUP(U24,'Incoming Material Report'!A:K,11,FALSE)/1000,"")</f>
        <v/>
      </c>
      <c r="AN24" s="6" t="str">
        <f>_xlfn.IFNA(VLOOKUP(U24,'Incoming Material Report'!A:R,18,FALSE)*1000,"")</f>
        <v/>
      </c>
      <c r="AP24" s="6" t="str">
        <f>_xlfn.IFNA(TEXT(VLOOKUP(U24,'Incoming Material Report'!A:D,4,FALSE),"dd.mm.yyyy"),"")</f>
        <v/>
      </c>
    </row>
    <row r="25" spans="20:64" x14ac:dyDescent="0.25">
      <c r="U25" s="6" t="str">
        <f t="shared" si="1"/>
        <v/>
      </c>
      <c r="Z25" s="6" t="s">
        <v>60</v>
      </c>
      <c r="AA25" s="6" t="s">
        <v>60</v>
      </c>
      <c r="AF25" s="6" t="str">
        <f>_xlfn.IFNA(VLOOKUP(U25,'Incoming Material Report'!A:M,13,FALSE),"")</f>
        <v/>
      </c>
      <c r="AG25" s="6" t="str">
        <f>_xlfn.IFNA(IF(VLOOKUP(U25,'Incoming Material Report'!A:N,14,FALSE)="","",VLOOKUP(U25,'Incoming Material Report'!A:N,14,FALSE)),"")</f>
        <v/>
      </c>
      <c r="AH25" s="6" t="str">
        <f>_xlfn.IFNA(VLOOKUP(U25,'Incoming Material Report'!A:Z,24,FALSE),"")</f>
        <v/>
      </c>
      <c r="AI25" s="6" t="str">
        <f>_xlfn.IFNA(VLOOKUP(U25,'Incoming Material Report'!A:Z,25,FALSE),"")</f>
        <v/>
      </c>
      <c r="AJ25" s="6" t="str">
        <f>_xlfn.IFNA(VLOOKUP(U25,'Incoming Material Report'!A:Z,26,FALSE),"")</f>
        <v/>
      </c>
      <c r="AK25" s="6" t="str">
        <f>_xlfn.IFNA(VLOOKUP(U25,'Incoming Material Report'!A:Z,2,FALSE),"")</f>
        <v/>
      </c>
      <c r="AL25" s="6" t="str">
        <f>_xlfn.IFNA(VLOOKUP(U25,'Incoming Material Report'!A:K,11,FALSE)/1000,"")</f>
        <v/>
      </c>
      <c r="AN25" s="6" t="str">
        <f>_xlfn.IFNA(VLOOKUP(U25,'Incoming Material Report'!A:R,18,FALSE)*1000,"")</f>
        <v/>
      </c>
      <c r="AP25" s="6" t="str">
        <f>_xlfn.IFNA(TEXT(VLOOKUP(U25,'Incoming Material Report'!A:D,4,FALSE),"dd.mm.yyyy"),"")</f>
        <v/>
      </c>
    </row>
    <row r="26" spans="20:64" x14ac:dyDescent="0.25">
      <c r="U26" s="6" t="str">
        <f t="shared" si="1"/>
        <v/>
      </c>
      <c r="Z26" s="6" t="s">
        <v>60</v>
      </c>
      <c r="AA26" s="6" t="s">
        <v>60</v>
      </c>
      <c r="AF26" s="6" t="str">
        <f>_xlfn.IFNA(VLOOKUP(U26,'Incoming Material Report'!A:M,13,FALSE),"")</f>
        <v/>
      </c>
      <c r="AG26" s="6" t="str">
        <f>_xlfn.IFNA(IF(VLOOKUP(U26,'Incoming Material Report'!A:N,14,FALSE)="","",VLOOKUP(U26,'Incoming Material Report'!A:N,14,FALSE)),"")</f>
        <v/>
      </c>
      <c r="AH26" s="6" t="str">
        <f>_xlfn.IFNA(VLOOKUP(U26,'Incoming Material Report'!A:Z,24,FALSE),"")</f>
        <v/>
      </c>
      <c r="AI26" s="6" t="str">
        <f>_xlfn.IFNA(VLOOKUP(U26,'Incoming Material Report'!A:Z,25,FALSE),"")</f>
        <v/>
      </c>
      <c r="AJ26" s="6" t="str">
        <f>_xlfn.IFNA(VLOOKUP(U26,'Incoming Material Report'!A:Z,26,FALSE),"")</f>
        <v/>
      </c>
      <c r="AK26" s="6" t="str">
        <f>_xlfn.IFNA(VLOOKUP(U26,'Incoming Material Report'!A:Z,2,FALSE),"")</f>
        <v/>
      </c>
      <c r="AL26" s="6" t="str">
        <f>_xlfn.IFNA(VLOOKUP(U26,'Incoming Material Report'!A:K,11,FALSE)/1000,"")</f>
        <v/>
      </c>
      <c r="AN26" s="6" t="str">
        <f>_xlfn.IFNA(VLOOKUP(U26,'Incoming Material Report'!A:R,18,FALSE)*1000,"")</f>
        <v/>
      </c>
      <c r="AP26" s="6" t="str">
        <f>_xlfn.IFNA(TEXT(VLOOKUP(U26,'Incoming Material Report'!A:D,4,FALSE),"dd.mm.yyyy"),"")</f>
        <v/>
      </c>
    </row>
    <row r="27" spans="20:64" x14ac:dyDescent="0.25">
      <c r="U27" s="6" t="str">
        <f t="shared" si="1"/>
        <v/>
      </c>
      <c r="Z27" s="6" t="s">
        <v>60</v>
      </c>
      <c r="AA27" s="6" t="s">
        <v>60</v>
      </c>
      <c r="AF27" s="6" t="str">
        <f>_xlfn.IFNA(VLOOKUP(U27,'Incoming Material Report'!A:M,13,FALSE),"")</f>
        <v/>
      </c>
      <c r="AG27" s="6" t="str">
        <f>_xlfn.IFNA(IF(VLOOKUP(U27,'Incoming Material Report'!A:N,14,FALSE)="","",VLOOKUP(U27,'Incoming Material Report'!A:N,14,FALSE)),"")</f>
        <v/>
      </c>
      <c r="AH27" s="6" t="str">
        <f>_xlfn.IFNA(VLOOKUP(U27,'Incoming Material Report'!A:Z,24,FALSE),"")</f>
        <v/>
      </c>
      <c r="AI27" s="6" t="str">
        <f>_xlfn.IFNA(VLOOKUP(U27,'Incoming Material Report'!A:Z,25,FALSE),"")</f>
        <v/>
      </c>
      <c r="AJ27" s="6" t="str">
        <f>_xlfn.IFNA(VLOOKUP(U27,'Incoming Material Report'!A:Z,26,FALSE),"")</f>
        <v/>
      </c>
      <c r="AK27" s="6" t="str">
        <f>_xlfn.IFNA(VLOOKUP(U27,'Incoming Material Report'!A:Z,2,FALSE),"")</f>
        <v/>
      </c>
      <c r="AL27" s="6" t="str">
        <f>_xlfn.IFNA(VLOOKUP(U27,'Incoming Material Report'!A:K,11,FALSE)/1000,"")</f>
        <v/>
      </c>
      <c r="AN27" s="6" t="str">
        <f>_xlfn.IFNA(VLOOKUP(U27,'Incoming Material Report'!A:R,18,FALSE)*1000,"")</f>
        <v/>
      </c>
      <c r="AP27" s="6" t="str">
        <f>_xlfn.IFNA(TEXT(VLOOKUP(U27,'Incoming Material Report'!A:D,4,FALSE),"dd.mm.yyyy"),"")</f>
        <v/>
      </c>
    </row>
    <row r="28" spans="20:64" x14ac:dyDescent="0.25">
      <c r="U28" s="6" t="str">
        <f t="shared" si="1"/>
        <v/>
      </c>
      <c r="Z28" s="6" t="s">
        <v>60</v>
      </c>
      <c r="AA28" s="6" t="s">
        <v>60</v>
      </c>
      <c r="AF28" s="6" t="str">
        <f>_xlfn.IFNA(VLOOKUP(U28,'Incoming Material Report'!A:M,13,FALSE),"")</f>
        <v/>
      </c>
      <c r="AG28" s="6" t="str">
        <f>_xlfn.IFNA(IF(VLOOKUP(U28,'Incoming Material Report'!A:N,14,FALSE)="","",VLOOKUP(U28,'Incoming Material Report'!A:N,14,FALSE)),"")</f>
        <v/>
      </c>
      <c r="AH28" s="6" t="str">
        <f>_xlfn.IFNA(VLOOKUP(U28,'Incoming Material Report'!A:Z,24,FALSE),"")</f>
        <v/>
      </c>
      <c r="AI28" s="6" t="str">
        <f>_xlfn.IFNA(VLOOKUP(U28,'Incoming Material Report'!A:Z,25,FALSE),"")</f>
        <v/>
      </c>
      <c r="AJ28" s="6" t="str">
        <f>_xlfn.IFNA(VLOOKUP(U28,'Incoming Material Report'!A:Z,26,FALSE),"")</f>
        <v/>
      </c>
      <c r="AK28" s="6" t="str">
        <f>_xlfn.IFNA(VLOOKUP(U28,'Incoming Material Report'!A:Z,2,FALSE),"")</f>
        <v/>
      </c>
      <c r="AL28" s="6" t="str">
        <f>_xlfn.IFNA(VLOOKUP(U28,'Incoming Material Report'!A:K,11,FALSE)/1000,"")</f>
        <v/>
      </c>
      <c r="AN28" s="6" t="str">
        <f>_xlfn.IFNA(VLOOKUP(U28,'Incoming Material Report'!A:R,18,FALSE)*1000,"")</f>
        <v/>
      </c>
      <c r="AP28" s="6" t="str">
        <f>_xlfn.IFNA(TEXT(VLOOKUP(U28,'Incoming Material Report'!A:D,4,FALSE),"dd.mm.yyyy"),"")</f>
        <v/>
      </c>
    </row>
    <row r="29" spans="20:64" x14ac:dyDescent="0.25">
      <c r="U29" s="6" t="str">
        <f t="shared" si="1"/>
        <v/>
      </c>
      <c r="Z29" s="6" t="s">
        <v>60</v>
      </c>
      <c r="AA29" s="6" t="s">
        <v>60</v>
      </c>
      <c r="AF29" s="6" t="str">
        <f>_xlfn.IFNA(VLOOKUP(U29,'Incoming Material Report'!A:M,13,FALSE),"")</f>
        <v/>
      </c>
      <c r="AG29" s="6" t="str">
        <f>_xlfn.IFNA(IF(VLOOKUP(U29,'Incoming Material Report'!A:N,14,FALSE)="","",VLOOKUP(U29,'Incoming Material Report'!A:N,14,FALSE)),"")</f>
        <v/>
      </c>
      <c r="AH29" s="6" t="str">
        <f>_xlfn.IFNA(VLOOKUP(U29,'Incoming Material Report'!A:Z,24,FALSE),"")</f>
        <v/>
      </c>
      <c r="AI29" s="6" t="str">
        <f>_xlfn.IFNA(VLOOKUP(U29,'Incoming Material Report'!A:Z,25,FALSE),"")</f>
        <v/>
      </c>
      <c r="AJ29" s="6" t="str">
        <f>_xlfn.IFNA(VLOOKUP(U29,'Incoming Material Report'!A:Z,26,FALSE),"")</f>
        <v/>
      </c>
      <c r="AK29" s="6" t="str">
        <f>_xlfn.IFNA(VLOOKUP(U29,'Incoming Material Report'!A:Z,2,FALSE),"")</f>
        <v/>
      </c>
      <c r="AL29" s="6" t="str">
        <f>_xlfn.IFNA(VLOOKUP(U29,'Incoming Material Report'!A:K,11,FALSE)/1000,"")</f>
        <v/>
      </c>
      <c r="AN29" s="6" t="str">
        <f>_xlfn.IFNA(VLOOKUP(U29,'Incoming Material Report'!A:R,18,FALSE)*1000,"")</f>
        <v/>
      </c>
      <c r="AP29" s="6" t="str">
        <f>_xlfn.IFNA(TEXT(VLOOKUP(U29,'Incoming Material Report'!A:D,4,FALSE),"dd.mm.yyyy"),"")</f>
        <v/>
      </c>
    </row>
    <row r="30" spans="20:64" x14ac:dyDescent="0.25">
      <c r="U30" s="6" t="str">
        <f t="shared" si="1"/>
        <v/>
      </c>
      <c r="Z30" s="6" t="s">
        <v>60</v>
      </c>
      <c r="AA30" s="6" t="s">
        <v>60</v>
      </c>
      <c r="AF30" s="6" t="str">
        <f>_xlfn.IFNA(VLOOKUP(U30,'Incoming Material Report'!A:M,13,FALSE),"")</f>
        <v/>
      </c>
      <c r="AG30" s="6" t="str">
        <f>_xlfn.IFNA(IF(VLOOKUP(U30,'Incoming Material Report'!A:N,14,FALSE)="","",VLOOKUP(U30,'Incoming Material Report'!A:N,14,FALSE)),"")</f>
        <v/>
      </c>
      <c r="AH30" s="6" t="str">
        <f>_xlfn.IFNA(VLOOKUP(U30,'Incoming Material Report'!A:Z,24,FALSE),"")</f>
        <v/>
      </c>
      <c r="AI30" s="6" t="str">
        <f>_xlfn.IFNA(VLOOKUP(U30,'Incoming Material Report'!A:Z,25,FALSE),"")</f>
        <v/>
      </c>
      <c r="AJ30" s="6" t="str">
        <f>_xlfn.IFNA(VLOOKUP(U30,'Incoming Material Report'!A:Z,26,FALSE),"")</f>
        <v/>
      </c>
      <c r="AK30" s="6" t="str">
        <f>_xlfn.IFNA(VLOOKUP(U30,'Incoming Material Report'!A:Z,2,FALSE),"")</f>
        <v/>
      </c>
      <c r="AL30" s="6" t="str">
        <f>_xlfn.IFNA(VLOOKUP(U30,'Incoming Material Report'!A:K,11,FALSE)/1000,"")</f>
        <v/>
      </c>
      <c r="AN30" s="6" t="str">
        <f>_xlfn.IFNA(VLOOKUP(U30,'Incoming Material Report'!A:R,18,FALSE)*1000,"")</f>
        <v/>
      </c>
      <c r="AP30" s="6" t="str">
        <f>_xlfn.IFNA(TEXT(VLOOKUP(U30,'Incoming Material Report'!A:D,4,FALSE),"dd.mm.yyyy"),"")</f>
        <v/>
      </c>
    </row>
    <row r="31" spans="20:64" x14ac:dyDescent="0.25">
      <c r="U31" s="6" t="str">
        <f t="shared" si="1"/>
        <v/>
      </c>
      <c r="Z31" s="6" t="s">
        <v>60</v>
      </c>
      <c r="AA31" s="6" t="s">
        <v>60</v>
      </c>
      <c r="AF31" s="6" t="str">
        <f>_xlfn.IFNA(VLOOKUP(U31,'Incoming Material Report'!A:M,13,FALSE),"")</f>
        <v/>
      </c>
      <c r="AG31" s="6" t="str">
        <f>_xlfn.IFNA(IF(VLOOKUP(U31,'Incoming Material Report'!A:N,14,FALSE)="","",VLOOKUP(U31,'Incoming Material Report'!A:N,14,FALSE)),"")</f>
        <v/>
      </c>
      <c r="AH31" s="6" t="str">
        <f>_xlfn.IFNA(VLOOKUP(U31,'Incoming Material Report'!A:Z,24,FALSE),"")</f>
        <v/>
      </c>
      <c r="AI31" s="6" t="str">
        <f>_xlfn.IFNA(VLOOKUP(U31,'Incoming Material Report'!A:Z,25,FALSE),"")</f>
        <v/>
      </c>
      <c r="AJ31" s="6" t="str">
        <f>_xlfn.IFNA(VLOOKUP(U31,'Incoming Material Report'!A:Z,26,FALSE),"")</f>
        <v/>
      </c>
      <c r="AK31" s="6" t="str">
        <f>_xlfn.IFNA(VLOOKUP(U31,'Incoming Material Report'!A:Z,2,FALSE),"")</f>
        <v/>
      </c>
      <c r="AL31" s="6" t="str">
        <f>_xlfn.IFNA(VLOOKUP(U31,'Incoming Material Report'!A:K,11,FALSE)/1000,"")</f>
        <v/>
      </c>
      <c r="AN31" s="6" t="str">
        <f>_xlfn.IFNA(VLOOKUP(U31,'Incoming Material Report'!A:R,18,FALSE)*1000,"")</f>
        <v/>
      </c>
      <c r="AP31" s="6" t="str">
        <f>_xlfn.IFNA(TEXT(VLOOKUP(U31,'Incoming Material Report'!A:D,4,FALSE),"dd.mm.yyyy"),"")</f>
        <v/>
      </c>
    </row>
    <row r="32" spans="20:64" x14ac:dyDescent="0.25">
      <c r="U32" s="6" t="str">
        <f t="shared" si="1"/>
        <v/>
      </c>
      <c r="Z32" s="6" t="s">
        <v>60</v>
      </c>
      <c r="AA32" s="6" t="s">
        <v>60</v>
      </c>
      <c r="AF32" s="6" t="str">
        <f>_xlfn.IFNA(VLOOKUP(U32,'Incoming Material Report'!A:M,13,FALSE),"")</f>
        <v/>
      </c>
      <c r="AG32" s="6" t="str">
        <f>_xlfn.IFNA(IF(VLOOKUP(U32,'Incoming Material Report'!A:N,14,FALSE)="","",VLOOKUP(U32,'Incoming Material Report'!A:N,14,FALSE)),"")</f>
        <v/>
      </c>
      <c r="AH32" s="6" t="str">
        <f>_xlfn.IFNA(VLOOKUP(U32,'Incoming Material Report'!A:Z,24,FALSE),"")</f>
        <v/>
      </c>
      <c r="AI32" s="6" t="str">
        <f>_xlfn.IFNA(VLOOKUP(U32,'Incoming Material Report'!A:Z,25,FALSE),"")</f>
        <v/>
      </c>
      <c r="AJ32" s="6" t="str">
        <f>_xlfn.IFNA(VLOOKUP(U32,'Incoming Material Report'!A:Z,26,FALSE),"")</f>
        <v/>
      </c>
      <c r="AK32" s="6" t="str">
        <f>_xlfn.IFNA(VLOOKUP(U32,'Incoming Material Report'!A:Z,2,FALSE),"")</f>
        <v/>
      </c>
      <c r="AL32" s="6" t="str">
        <f>_xlfn.IFNA(VLOOKUP(U32,'Incoming Material Report'!A:K,11,FALSE)/1000,"")</f>
        <v/>
      </c>
      <c r="AN32" s="6" t="str">
        <f>_xlfn.IFNA(VLOOKUP(U32,'Incoming Material Report'!A:R,18,FALSE)*1000,"")</f>
        <v/>
      </c>
      <c r="AP32" s="6" t="str">
        <f>_xlfn.IFNA(TEXT(VLOOKUP(U32,'Incoming Material Report'!A:D,4,FALSE),"dd.mm.yyyy"),"")</f>
        <v/>
      </c>
    </row>
    <row r="33" spans="21:42" x14ac:dyDescent="0.25">
      <c r="U33" s="6" t="str">
        <f t="shared" si="1"/>
        <v/>
      </c>
      <c r="Z33" s="6" t="s">
        <v>60</v>
      </c>
      <c r="AA33" s="6" t="s">
        <v>60</v>
      </c>
      <c r="AF33" s="6" t="str">
        <f>_xlfn.IFNA(VLOOKUP(U33,'Incoming Material Report'!A:M,13,FALSE),"")</f>
        <v/>
      </c>
      <c r="AG33" s="6" t="str">
        <f>_xlfn.IFNA(IF(VLOOKUP(U33,'Incoming Material Report'!A:N,14,FALSE)="","",VLOOKUP(U33,'Incoming Material Report'!A:N,14,FALSE)),"")</f>
        <v/>
      </c>
      <c r="AH33" s="6" t="str">
        <f>_xlfn.IFNA(VLOOKUP(U33,'Incoming Material Report'!A:Z,24,FALSE),"")</f>
        <v/>
      </c>
      <c r="AI33" s="6" t="str">
        <f>_xlfn.IFNA(VLOOKUP(U33,'Incoming Material Report'!A:Z,25,FALSE),"")</f>
        <v/>
      </c>
      <c r="AJ33" s="6" t="str">
        <f>_xlfn.IFNA(VLOOKUP(U33,'Incoming Material Report'!A:Z,26,FALSE),"")</f>
        <v/>
      </c>
      <c r="AK33" s="6" t="str">
        <f>_xlfn.IFNA(VLOOKUP(U33,'Incoming Material Report'!A:Z,2,FALSE),"")</f>
        <v/>
      </c>
      <c r="AL33" s="6" t="str">
        <f>_xlfn.IFNA(VLOOKUP(U33,'Incoming Material Report'!A:K,11,FALSE)/1000,"")</f>
        <v/>
      </c>
      <c r="AN33" s="6" t="str">
        <f>_xlfn.IFNA(VLOOKUP(U33,'Incoming Material Report'!A:R,18,FALSE)*1000,"")</f>
        <v/>
      </c>
      <c r="AP33" s="6" t="str">
        <f>_xlfn.IFNA(TEXT(VLOOKUP(U33,'Incoming Material Report'!A:D,4,FALSE),"dd.mm.yyyy"),"")</f>
        <v/>
      </c>
    </row>
    <row r="34" spans="21:42" x14ac:dyDescent="0.25">
      <c r="U34" s="6" t="str">
        <f t="shared" si="1"/>
        <v/>
      </c>
      <c r="Z34" s="6" t="s">
        <v>60</v>
      </c>
      <c r="AA34" s="6" t="s">
        <v>60</v>
      </c>
      <c r="AF34" s="6" t="str">
        <f>_xlfn.IFNA(VLOOKUP(U34,'Incoming Material Report'!A:M,13,FALSE),"")</f>
        <v/>
      </c>
      <c r="AG34" s="6" t="str">
        <f>_xlfn.IFNA(IF(VLOOKUP(U34,'Incoming Material Report'!A:N,14,FALSE)="","",VLOOKUP(U34,'Incoming Material Report'!A:N,14,FALSE)),"")</f>
        <v/>
      </c>
      <c r="AH34" s="6" t="str">
        <f>_xlfn.IFNA(VLOOKUP(U34,'Incoming Material Report'!A:Z,24,FALSE),"")</f>
        <v/>
      </c>
      <c r="AI34" s="6" t="str">
        <f>_xlfn.IFNA(VLOOKUP(U34,'Incoming Material Report'!A:Z,25,FALSE),"")</f>
        <v/>
      </c>
      <c r="AJ34" s="6" t="str">
        <f>_xlfn.IFNA(VLOOKUP(U34,'Incoming Material Report'!A:Z,26,FALSE),"")</f>
        <v/>
      </c>
      <c r="AK34" s="6" t="str">
        <f>_xlfn.IFNA(VLOOKUP(U34,'Incoming Material Report'!A:Z,2,FALSE),"")</f>
        <v/>
      </c>
      <c r="AL34" s="6" t="str">
        <f>_xlfn.IFNA(VLOOKUP(U34,'Incoming Material Report'!A:K,11,FALSE)/1000,"")</f>
        <v/>
      </c>
      <c r="AN34" s="6" t="str">
        <f>_xlfn.IFNA(VLOOKUP(U34,'Incoming Material Report'!A:R,18,FALSE)*1000,"")</f>
        <v/>
      </c>
      <c r="AP34" s="6" t="str">
        <f>_xlfn.IFNA(TEXT(VLOOKUP(U34,'Incoming Material Report'!A:D,4,FALSE),"dd.mm.yyyy"),"")</f>
        <v/>
      </c>
    </row>
    <row r="35" spans="21:42" x14ac:dyDescent="0.25">
      <c r="U35" s="6" t="str">
        <f t="shared" si="1"/>
        <v/>
      </c>
      <c r="Z35" s="6" t="s">
        <v>60</v>
      </c>
      <c r="AA35" s="6" t="s">
        <v>60</v>
      </c>
      <c r="AF35" s="6" t="str">
        <f>_xlfn.IFNA(VLOOKUP(U35,'Incoming Material Report'!A:M,13,FALSE),"")</f>
        <v/>
      </c>
      <c r="AG35" s="6" t="str">
        <f>_xlfn.IFNA(IF(VLOOKUP(U35,'Incoming Material Report'!A:N,14,FALSE)="","",VLOOKUP(U35,'Incoming Material Report'!A:N,14,FALSE)),"")</f>
        <v/>
      </c>
      <c r="AH35" s="6" t="str">
        <f>_xlfn.IFNA(VLOOKUP(U35,'Incoming Material Report'!A:Z,24,FALSE),"")</f>
        <v/>
      </c>
      <c r="AI35" s="6" t="str">
        <f>_xlfn.IFNA(VLOOKUP(U35,'Incoming Material Report'!A:Z,25,FALSE),"")</f>
        <v/>
      </c>
      <c r="AJ35" s="6" t="str">
        <f>_xlfn.IFNA(VLOOKUP(U35,'Incoming Material Report'!A:Z,26,FALSE),"")</f>
        <v/>
      </c>
      <c r="AK35" s="6" t="str">
        <f>_xlfn.IFNA(VLOOKUP(U35,'Incoming Material Report'!A:Z,2,FALSE),"")</f>
        <v/>
      </c>
      <c r="AL35" s="6" t="str">
        <f>_xlfn.IFNA(VLOOKUP(U35,'Incoming Material Report'!A:K,11,FALSE)/1000,"")</f>
        <v/>
      </c>
      <c r="AN35" s="6" t="str">
        <f>_xlfn.IFNA(VLOOKUP(U35,'Incoming Material Report'!A:R,18,FALSE)*1000,"")</f>
        <v/>
      </c>
      <c r="AP35" s="6" t="str">
        <f>_xlfn.IFNA(TEXT(VLOOKUP(U35,'Incoming Material Report'!A:D,4,FALSE),"dd.mm.yyyy"),"")</f>
        <v/>
      </c>
    </row>
    <row r="36" spans="21:42" x14ac:dyDescent="0.25">
      <c r="U36" s="6" t="str">
        <f t="shared" si="1"/>
        <v/>
      </c>
      <c r="Z36" s="6" t="s">
        <v>60</v>
      </c>
      <c r="AA36" s="6" t="s">
        <v>60</v>
      </c>
      <c r="AF36" s="6" t="str">
        <f>_xlfn.IFNA(VLOOKUP(U36,'Incoming Material Report'!A:M,13,FALSE),"")</f>
        <v/>
      </c>
      <c r="AG36" s="6" t="str">
        <f>_xlfn.IFNA(IF(VLOOKUP(U36,'Incoming Material Report'!A:N,14,FALSE)="","",VLOOKUP(U36,'Incoming Material Report'!A:N,14,FALSE)),"")</f>
        <v/>
      </c>
      <c r="AH36" s="6" t="str">
        <f>_xlfn.IFNA(VLOOKUP(U36,'Incoming Material Report'!A:Z,24,FALSE),"")</f>
        <v/>
      </c>
      <c r="AI36" s="6" t="str">
        <f>_xlfn.IFNA(VLOOKUP(U36,'Incoming Material Report'!A:Z,25,FALSE),"")</f>
        <v/>
      </c>
      <c r="AJ36" s="6" t="str">
        <f>_xlfn.IFNA(VLOOKUP(U36,'Incoming Material Report'!A:Z,26,FALSE),"")</f>
        <v/>
      </c>
      <c r="AK36" s="6" t="str">
        <f>_xlfn.IFNA(VLOOKUP(U36,'Incoming Material Report'!A:Z,2,FALSE),"")</f>
        <v/>
      </c>
      <c r="AL36" s="6" t="str">
        <f>_xlfn.IFNA(VLOOKUP(U36,'Incoming Material Report'!A:K,11,FALSE)/1000,"")</f>
        <v/>
      </c>
      <c r="AN36" s="6" t="str">
        <f>_xlfn.IFNA(VLOOKUP(U36,'Incoming Material Report'!A:R,18,FALSE)*1000,"")</f>
        <v/>
      </c>
      <c r="AP36" s="6" t="str">
        <f>_xlfn.IFNA(TEXT(VLOOKUP(U36,'Incoming Material Report'!A:D,4,FALSE),"dd.mm.yyyy"),"")</f>
        <v/>
      </c>
    </row>
    <row r="37" spans="21:42" x14ac:dyDescent="0.25">
      <c r="Z37" s="6" t="s">
        <v>60</v>
      </c>
      <c r="AA37" s="6" t="s">
        <v>60</v>
      </c>
      <c r="AF37" s="6" t="str">
        <f>_xlfn.IFNA(VLOOKUP(U37,'Incoming Material Report'!A:M,13,FALSE),"")</f>
        <v/>
      </c>
      <c r="AG37" s="6" t="str">
        <f>_xlfn.IFNA(IF(VLOOKUP(U37,'Incoming Material Report'!A:N,14,FALSE)="","",VLOOKUP(U37,'Incoming Material Report'!A:N,14,FALSE)),"")</f>
        <v/>
      </c>
      <c r="AH37" s="6" t="str">
        <f>_xlfn.IFNA(VLOOKUP(U37,'Incoming Material Report'!A:Z,24,FALSE),"")</f>
        <v/>
      </c>
      <c r="AI37" s="6" t="str">
        <f>_xlfn.IFNA(VLOOKUP(U37,'Incoming Material Report'!A:Z,25,FALSE),"")</f>
        <v/>
      </c>
      <c r="AJ37" s="6" t="str">
        <f>_xlfn.IFNA(VLOOKUP(U37,'Incoming Material Report'!A:Z,26,FALSE),"")</f>
        <v/>
      </c>
      <c r="AK37" s="6" t="str">
        <f>_xlfn.IFNA(VLOOKUP(U37,'Incoming Material Report'!A:Z,2,FALSE),"")</f>
        <v/>
      </c>
      <c r="AL37" s="6" t="str">
        <f>_xlfn.IFNA(VLOOKUP(U37,'Incoming Material Report'!A:K,11,FALSE)/1000,"")</f>
        <v/>
      </c>
      <c r="AN37" s="6" t="str">
        <f>_xlfn.IFNA(VLOOKUP(U37,'Incoming Material Report'!A:R,18,FALSE)*1000,"")</f>
        <v/>
      </c>
      <c r="AP37" s="6" t="str">
        <f>_xlfn.IFNA(TEXT(VLOOKUP(U37,'Incoming Material Report'!A:D,4,FALSE),"dd.mm.yyyy"),"")</f>
        <v/>
      </c>
    </row>
    <row r="38" spans="21:42" x14ac:dyDescent="0.25">
      <c r="Z38" s="6" t="s">
        <v>60</v>
      </c>
      <c r="AA38" s="6" t="s">
        <v>60</v>
      </c>
      <c r="AF38" s="6" t="str">
        <f>_xlfn.IFNA(VLOOKUP(U38,'Incoming Material Report'!A:M,13,FALSE),"")</f>
        <v/>
      </c>
      <c r="AG38" s="6" t="str">
        <f>_xlfn.IFNA(IF(VLOOKUP(U38,'Incoming Material Report'!A:N,14,FALSE)="","",VLOOKUP(U38,'Incoming Material Report'!A:N,14,FALSE)),"")</f>
        <v/>
      </c>
      <c r="AH38" s="6" t="str">
        <f>_xlfn.IFNA(VLOOKUP(U38,'Incoming Material Report'!A:Z,24,FALSE),"")</f>
        <v/>
      </c>
      <c r="AI38" s="6" t="str">
        <f>_xlfn.IFNA(VLOOKUP(U38,'Incoming Material Report'!A:Z,25,FALSE),"")</f>
        <v/>
      </c>
      <c r="AJ38" s="6" t="str">
        <f>_xlfn.IFNA(VLOOKUP(U38,'Incoming Material Report'!A:Z,26,FALSE),"")</f>
        <v/>
      </c>
      <c r="AK38" s="6" t="str">
        <f>_xlfn.IFNA(VLOOKUP(U38,'Incoming Material Report'!A:Z,2,FALSE),"")</f>
        <v/>
      </c>
      <c r="AL38" s="6" t="str">
        <f>_xlfn.IFNA(VLOOKUP(U38,'Incoming Material Report'!A:K,11,FALSE)/1000,"")</f>
        <v/>
      </c>
      <c r="AN38" s="6" t="str">
        <f>_xlfn.IFNA(VLOOKUP(U38,'Incoming Material Report'!A:R,18,FALSE)*1000,"")</f>
        <v/>
      </c>
      <c r="AP38" s="6" t="str">
        <f>_xlfn.IFNA(TEXT(VLOOKUP(U38,'Incoming Material Report'!A:D,4,FALSE),"dd.mm.yyyy"),"")</f>
        <v/>
      </c>
    </row>
    <row r="39" spans="21:42" x14ac:dyDescent="0.25">
      <c r="Z39" s="6" t="s">
        <v>60</v>
      </c>
      <c r="AA39" s="6" t="s">
        <v>60</v>
      </c>
      <c r="AF39" s="6" t="str">
        <f>_xlfn.IFNA(VLOOKUP(U39,'Incoming Material Report'!A:M,13,FALSE),"")</f>
        <v/>
      </c>
      <c r="AG39" s="6" t="str">
        <f>_xlfn.IFNA(IF(VLOOKUP(U39,'Incoming Material Report'!A:N,14,FALSE)="","",VLOOKUP(U39,'Incoming Material Report'!A:N,14,FALSE)),"")</f>
        <v/>
      </c>
      <c r="AH39" s="6" t="str">
        <f>_xlfn.IFNA(VLOOKUP(U39,'Incoming Material Report'!A:Z,24,FALSE),"")</f>
        <v/>
      </c>
      <c r="AI39" s="6" t="str">
        <f>_xlfn.IFNA(VLOOKUP(U39,'Incoming Material Report'!A:Z,25,FALSE),"")</f>
        <v/>
      </c>
      <c r="AJ39" s="6" t="str">
        <f>_xlfn.IFNA(VLOOKUP(U39,'Incoming Material Report'!A:Z,26,FALSE),"")</f>
        <v/>
      </c>
      <c r="AK39" s="6" t="str">
        <f>_xlfn.IFNA(VLOOKUP(U39,'Incoming Material Report'!A:Z,2,FALSE),"")</f>
        <v/>
      </c>
      <c r="AL39" s="6" t="str">
        <f>_xlfn.IFNA(VLOOKUP(U39,'Incoming Material Report'!A:K,11,FALSE)/1000,"")</f>
        <v/>
      </c>
      <c r="AN39" s="6" t="str">
        <f>_xlfn.IFNA(VLOOKUP(U39,'Incoming Material Report'!A:R,18,FALSE)*1000,"")</f>
        <v/>
      </c>
      <c r="AP39" s="6" t="str">
        <f>_xlfn.IFNA(TEXT(VLOOKUP(U39,'Incoming Material Report'!A:D,4,FALSE),"dd.mm.yyyy"),"")</f>
        <v/>
      </c>
    </row>
    <row r="40" spans="21:42" x14ac:dyDescent="0.25">
      <c r="Z40" s="6" t="s">
        <v>60</v>
      </c>
      <c r="AA40" s="6" t="s">
        <v>60</v>
      </c>
      <c r="AF40" s="6" t="str">
        <f>_xlfn.IFNA(VLOOKUP(U40,'Incoming Material Report'!A:M,13,FALSE),"")</f>
        <v/>
      </c>
      <c r="AG40" s="6" t="str">
        <f>_xlfn.IFNA(IF(VLOOKUP(U40,'Incoming Material Report'!A:N,14,FALSE)="","",VLOOKUP(U40,'Incoming Material Report'!A:N,14,FALSE)),"")</f>
        <v/>
      </c>
      <c r="AH40" s="6" t="str">
        <f>_xlfn.IFNA(VLOOKUP(U40,'Incoming Material Report'!A:Z,24,FALSE),"")</f>
        <v/>
      </c>
      <c r="AI40" s="6" t="str">
        <f>_xlfn.IFNA(VLOOKUP(U40,'Incoming Material Report'!A:Z,25,FALSE),"")</f>
        <v/>
      </c>
      <c r="AJ40" s="6" t="str">
        <f>_xlfn.IFNA(VLOOKUP(U40,'Incoming Material Report'!A:Z,26,FALSE),"")</f>
        <v/>
      </c>
      <c r="AK40" s="6" t="str">
        <f>_xlfn.IFNA(VLOOKUP(U40,'Incoming Material Report'!A:Z,2,FALSE),"")</f>
        <v/>
      </c>
      <c r="AL40" s="6" t="str">
        <f>_xlfn.IFNA(VLOOKUP(U40,'Incoming Material Report'!A:K,11,FALSE)/1000,"")</f>
        <v/>
      </c>
      <c r="AN40" s="6" t="str">
        <f>_xlfn.IFNA(VLOOKUP(U40,'Incoming Material Report'!A:R,18,FALSE)*1000,"")</f>
        <v/>
      </c>
      <c r="AP40" s="6" t="str">
        <f>_xlfn.IFNA(TEXT(VLOOKUP(U40,'Incoming Material Report'!A:D,4,FALSE),"dd.mm.yyyy"),"")</f>
        <v/>
      </c>
    </row>
    <row r="41" spans="21:42" x14ac:dyDescent="0.25">
      <c r="Z41" s="6" t="s">
        <v>60</v>
      </c>
      <c r="AA41" s="6" t="s">
        <v>60</v>
      </c>
      <c r="AF41" s="6" t="str">
        <f>_xlfn.IFNA(VLOOKUP(U41,'Incoming Material Report'!A:M,13,FALSE),"")</f>
        <v/>
      </c>
      <c r="AG41" s="6" t="str">
        <f>_xlfn.IFNA(IF(VLOOKUP(U41,'Incoming Material Report'!A:N,14,FALSE)="","",VLOOKUP(U41,'Incoming Material Report'!A:N,14,FALSE)),"")</f>
        <v/>
      </c>
      <c r="AH41" s="6" t="str">
        <f>_xlfn.IFNA(VLOOKUP(U41,'Incoming Material Report'!A:Z,24,FALSE),"")</f>
        <v/>
      </c>
      <c r="AI41" s="6" t="str">
        <f>_xlfn.IFNA(VLOOKUP(U41,'Incoming Material Report'!A:Z,25,FALSE),"")</f>
        <v/>
      </c>
      <c r="AJ41" s="6" t="str">
        <f>_xlfn.IFNA(VLOOKUP(U41,'Incoming Material Report'!A:Z,26,FALSE),"")</f>
        <v/>
      </c>
      <c r="AK41" s="6" t="str">
        <f>_xlfn.IFNA(VLOOKUP(U41,'Incoming Material Report'!A:Z,2,FALSE),"")</f>
        <v/>
      </c>
      <c r="AL41" s="6" t="str">
        <f>_xlfn.IFNA(VLOOKUP(U41,'Incoming Material Report'!A:K,11,FALSE)/1000,"")</f>
        <v/>
      </c>
      <c r="AN41" s="6" t="str">
        <f>_xlfn.IFNA(VLOOKUP(U41,'Incoming Material Report'!A:R,18,FALSE)*1000,"")</f>
        <v/>
      </c>
      <c r="AP41" s="6" t="str">
        <f>_xlfn.IFNA(TEXT(VLOOKUP(U41,'Incoming Material Report'!A:D,4,FALSE),"dd.mm.yyyy"),"")</f>
        <v/>
      </c>
    </row>
    <row r="42" spans="21:42" x14ac:dyDescent="0.25">
      <c r="Z42" s="6" t="s">
        <v>60</v>
      </c>
      <c r="AA42" s="6" t="s">
        <v>60</v>
      </c>
      <c r="AF42" s="6" t="str">
        <f>_xlfn.IFNA(VLOOKUP(U42,'Incoming Material Report'!A:M,13,FALSE),"")</f>
        <v/>
      </c>
      <c r="AG42" s="6" t="str">
        <f>_xlfn.IFNA(IF(VLOOKUP(U42,'Incoming Material Report'!A:N,14,FALSE)="","",VLOOKUP(U42,'Incoming Material Report'!A:N,14,FALSE)),"")</f>
        <v/>
      </c>
      <c r="AH42" s="6" t="str">
        <f>_xlfn.IFNA(VLOOKUP(U42,'Incoming Material Report'!A:Z,24,FALSE),"")</f>
        <v/>
      </c>
      <c r="AI42" s="6" t="str">
        <f>_xlfn.IFNA(VLOOKUP(U42,'Incoming Material Report'!A:Z,25,FALSE),"")</f>
        <v/>
      </c>
      <c r="AJ42" s="6" t="str">
        <f>_xlfn.IFNA(VLOOKUP(U42,'Incoming Material Report'!A:Z,26,FALSE),"")</f>
        <v/>
      </c>
      <c r="AK42" s="6" t="str">
        <f>_xlfn.IFNA(VLOOKUP(U42,'Incoming Material Report'!A:Z,2,FALSE),"")</f>
        <v/>
      </c>
      <c r="AL42" s="6" t="str">
        <f>_xlfn.IFNA(VLOOKUP(U42,'Incoming Material Report'!A:K,11,FALSE)/1000,"")</f>
        <v/>
      </c>
      <c r="AN42" s="6" t="str">
        <f>_xlfn.IFNA(VLOOKUP(U42,'Incoming Material Report'!A:R,18,FALSE)*1000,"")</f>
        <v/>
      </c>
      <c r="AP42" s="6" t="str">
        <f>_xlfn.IFNA(TEXT(VLOOKUP(U42,'Incoming Material Report'!A:D,4,FALSE),"dd.mm.yyyy"),"")</f>
        <v/>
      </c>
    </row>
    <row r="43" spans="21:42" x14ac:dyDescent="0.25">
      <c r="Z43" s="6" t="s">
        <v>60</v>
      </c>
      <c r="AA43" s="6" t="s">
        <v>60</v>
      </c>
      <c r="AF43" s="6" t="str">
        <f>_xlfn.IFNA(VLOOKUP(U43,'Incoming Material Report'!A:M,13,FALSE),"")</f>
        <v/>
      </c>
      <c r="AG43" s="6" t="str">
        <f>_xlfn.IFNA(IF(VLOOKUP(U43,'Incoming Material Report'!A:N,14,FALSE)="","",VLOOKUP(U43,'Incoming Material Report'!A:N,14,FALSE)),"")</f>
        <v/>
      </c>
      <c r="AH43" s="6" t="str">
        <f>_xlfn.IFNA(VLOOKUP(U43,'Incoming Material Report'!A:Z,24,FALSE),"")</f>
        <v/>
      </c>
      <c r="AI43" s="6" t="str">
        <f>_xlfn.IFNA(VLOOKUP(U43,'Incoming Material Report'!A:Z,25,FALSE),"")</f>
        <v/>
      </c>
      <c r="AJ43" s="6" t="str">
        <f>_xlfn.IFNA(VLOOKUP(U43,'Incoming Material Report'!A:Z,26,FALSE),"")</f>
        <v/>
      </c>
      <c r="AK43" s="6" t="str">
        <f>_xlfn.IFNA(VLOOKUP(U43,'Incoming Material Report'!A:Z,2,FALSE),"")</f>
        <v/>
      </c>
      <c r="AL43" s="6" t="str">
        <f>_xlfn.IFNA(VLOOKUP(U43,'Incoming Material Report'!A:K,11,FALSE)/1000,"")</f>
        <v/>
      </c>
      <c r="AN43" s="6" t="str">
        <f>_xlfn.IFNA(VLOOKUP(U43,'Incoming Material Report'!A:R,18,FALSE)*1000,"")</f>
        <v/>
      </c>
      <c r="AP43" s="6" t="str">
        <f>_xlfn.IFNA(TEXT(VLOOKUP(U43,'Incoming Material Report'!A:D,4,FALSE),"dd.mm.yyyy"),"")</f>
        <v/>
      </c>
    </row>
    <row r="44" spans="21:42" x14ac:dyDescent="0.25">
      <c r="Z44" s="6" t="s">
        <v>60</v>
      </c>
      <c r="AA44" s="6" t="s">
        <v>60</v>
      </c>
      <c r="AF44" s="6" t="str">
        <f>_xlfn.IFNA(VLOOKUP(U44,'Incoming Material Report'!A:M,13,FALSE),"")</f>
        <v/>
      </c>
      <c r="AG44" s="6" t="str">
        <f>_xlfn.IFNA(IF(VLOOKUP(U44,'Incoming Material Report'!A:N,14,FALSE)="","",VLOOKUP(U44,'Incoming Material Report'!A:N,14,FALSE)),"")</f>
        <v/>
      </c>
      <c r="AH44" s="6" t="str">
        <f>_xlfn.IFNA(VLOOKUP(U44,'Incoming Material Report'!A:Z,24,FALSE),"")</f>
        <v/>
      </c>
      <c r="AI44" s="6" t="str">
        <f>_xlfn.IFNA(VLOOKUP(U44,'Incoming Material Report'!A:Z,25,FALSE),"")</f>
        <v/>
      </c>
      <c r="AJ44" s="6" t="str">
        <f>_xlfn.IFNA(VLOOKUP(U44,'Incoming Material Report'!A:Z,26,FALSE),"")</f>
        <v/>
      </c>
      <c r="AK44" s="6" t="str">
        <f>_xlfn.IFNA(VLOOKUP(U44,'Incoming Material Report'!A:Z,2,FALSE),"")</f>
        <v/>
      </c>
      <c r="AL44" s="6" t="str">
        <f>_xlfn.IFNA(VLOOKUP(U44,'Incoming Material Report'!A:K,11,FALSE)/1000,"")</f>
        <v/>
      </c>
      <c r="AN44" s="6" t="str">
        <f>_xlfn.IFNA(VLOOKUP(U44,'Incoming Material Report'!A:R,18,FALSE)*1000,"")</f>
        <v/>
      </c>
      <c r="AP44" s="6" t="str">
        <f>_xlfn.IFNA(TEXT(VLOOKUP(U44,'Incoming Material Report'!A:D,4,FALSE),"dd.mm.yyyy"),"")</f>
        <v/>
      </c>
    </row>
    <row r="45" spans="21:42" x14ac:dyDescent="0.25">
      <c r="Z45" s="6" t="s">
        <v>60</v>
      </c>
      <c r="AA45" s="6" t="s">
        <v>60</v>
      </c>
      <c r="AF45" s="6" t="str">
        <f>_xlfn.IFNA(VLOOKUP(U45,'Incoming Material Report'!A:M,13,FALSE),"")</f>
        <v/>
      </c>
      <c r="AG45" s="6" t="str">
        <f>_xlfn.IFNA(IF(VLOOKUP(U45,'Incoming Material Report'!A:N,14,FALSE)="","",VLOOKUP(U45,'Incoming Material Report'!A:N,14,FALSE)),"")</f>
        <v/>
      </c>
      <c r="AH45" s="6" t="str">
        <f>_xlfn.IFNA(VLOOKUP(U45,'Incoming Material Report'!A:Z,24,FALSE),"")</f>
        <v/>
      </c>
      <c r="AI45" s="6" t="str">
        <f>_xlfn.IFNA(VLOOKUP(U45,'Incoming Material Report'!A:Z,25,FALSE),"")</f>
        <v/>
      </c>
      <c r="AJ45" s="6" t="str">
        <f>_xlfn.IFNA(VLOOKUP(U45,'Incoming Material Report'!A:Z,26,FALSE),"")</f>
        <v/>
      </c>
      <c r="AK45" s="6" t="str">
        <f>_xlfn.IFNA(VLOOKUP(U45,'Incoming Material Report'!A:Z,2,FALSE),"")</f>
        <v/>
      </c>
      <c r="AL45" s="6" t="str">
        <f>_xlfn.IFNA(VLOOKUP(U45,'Incoming Material Report'!A:K,11,FALSE)/1000,"")</f>
        <v/>
      </c>
      <c r="AN45" s="6" t="str">
        <f>_xlfn.IFNA(VLOOKUP(U45,'Incoming Material Report'!A:R,18,FALSE)*1000,"")</f>
        <v/>
      </c>
      <c r="AP45" s="6" t="str">
        <f>_xlfn.IFNA(TEXT(VLOOKUP(U45,'Incoming Material Report'!A:D,4,FALSE),"dd.mm.yyyy"),"")</f>
        <v/>
      </c>
    </row>
    <row r="46" spans="21:42" x14ac:dyDescent="0.25">
      <c r="Z46" s="6" t="s">
        <v>60</v>
      </c>
      <c r="AA46" s="6" t="s">
        <v>60</v>
      </c>
      <c r="AF46" s="6" t="str">
        <f>_xlfn.IFNA(VLOOKUP(U46,'Incoming Material Report'!A:M,13,FALSE),"")</f>
        <v/>
      </c>
      <c r="AG46" s="6" t="str">
        <f>_xlfn.IFNA(IF(VLOOKUP(U46,'Incoming Material Report'!A:N,14,FALSE)="","",VLOOKUP(U46,'Incoming Material Report'!A:N,14,FALSE)),"")</f>
        <v/>
      </c>
      <c r="AH46" s="6" t="str">
        <f>_xlfn.IFNA(VLOOKUP(U46,'Incoming Material Report'!A:Z,24,FALSE),"")</f>
        <v/>
      </c>
      <c r="AI46" s="6" t="str">
        <f>_xlfn.IFNA(VLOOKUP(U46,'Incoming Material Report'!A:Z,25,FALSE),"")</f>
        <v/>
      </c>
      <c r="AJ46" s="6" t="str">
        <f>_xlfn.IFNA(VLOOKUP(U46,'Incoming Material Report'!A:Z,26,FALSE),"")</f>
        <v/>
      </c>
      <c r="AK46" s="6" t="str">
        <f>_xlfn.IFNA(VLOOKUP(U46,'Incoming Material Report'!A:Z,2,FALSE),"")</f>
        <v/>
      </c>
      <c r="AL46" s="6" t="str">
        <f>_xlfn.IFNA(VLOOKUP(U46,'Incoming Material Report'!A:K,11,FALSE)/1000,"")</f>
        <v/>
      </c>
      <c r="AN46" s="6" t="str">
        <f>_xlfn.IFNA(VLOOKUP(U46,'Incoming Material Report'!A:R,18,FALSE)*1000,"")</f>
        <v/>
      </c>
      <c r="AP46" s="6" t="str">
        <f>_xlfn.IFNA(TEXT(VLOOKUP(U46,'Incoming Material Report'!A:D,4,FALSE),"dd.mm.yyyy"),"")</f>
        <v/>
      </c>
    </row>
    <row r="47" spans="21:42" x14ac:dyDescent="0.25">
      <c r="Z47" s="6" t="s">
        <v>60</v>
      </c>
      <c r="AA47" s="6" t="s">
        <v>60</v>
      </c>
      <c r="AF47" s="6" t="str">
        <f>_xlfn.IFNA(VLOOKUP(U47,'Incoming Material Report'!A:M,13,FALSE),"")</f>
        <v/>
      </c>
      <c r="AG47" s="6" t="str">
        <f>_xlfn.IFNA(IF(VLOOKUP(U47,'Incoming Material Report'!A:N,14,FALSE)="","",VLOOKUP(U47,'Incoming Material Report'!A:N,14,FALSE)),"")</f>
        <v/>
      </c>
      <c r="AH47" s="6" t="str">
        <f>_xlfn.IFNA(VLOOKUP(U47,'Incoming Material Report'!A:Z,24,FALSE),"")</f>
        <v/>
      </c>
      <c r="AI47" s="6" t="str">
        <f>_xlfn.IFNA(VLOOKUP(U47,'Incoming Material Report'!A:Z,25,FALSE),"")</f>
        <v/>
      </c>
      <c r="AJ47" s="6" t="str">
        <f>_xlfn.IFNA(VLOOKUP(U47,'Incoming Material Report'!A:Z,26,FALSE),"")</f>
        <v/>
      </c>
      <c r="AK47" s="6" t="str">
        <f>_xlfn.IFNA(VLOOKUP(U47,'Incoming Material Report'!A:Z,2,FALSE),"")</f>
        <v/>
      </c>
      <c r="AL47" s="6" t="str">
        <f>_xlfn.IFNA(VLOOKUP(U47,'Incoming Material Report'!A:K,11,FALSE)/1000,"")</f>
        <v/>
      </c>
      <c r="AN47" s="6" t="str">
        <f>_xlfn.IFNA(VLOOKUP(U47,'Incoming Material Report'!A:R,18,FALSE)*1000,"")</f>
        <v/>
      </c>
      <c r="AP47" s="6" t="str">
        <f>_xlfn.IFNA(TEXT(VLOOKUP(U47,'Incoming Material Report'!A:D,4,FALSE),"dd.mm.yyyy"),"")</f>
        <v/>
      </c>
    </row>
    <row r="48" spans="21:42" x14ac:dyDescent="0.25">
      <c r="Z48" s="6" t="s">
        <v>60</v>
      </c>
      <c r="AA48" s="6" t="s">
        <v>60</v>
      </c>
      <c r="AF48" s="6" t="str">
        <f>_xlfn.IFNA(VLOOKUP(U48,'Incoming Material Report'!A:M,13,FALSE),"")</f>
        <v/>
      </c>
      <c r="AG48" s="6" t="str">
        <f>_xlfn.IFNA(IF(VLOOKUP(U48,'Incoming Material Report'!A:N,14,FALSE)="","",VLOOKUP(U48,'Incoming Material Report'!A:N,14,FALSE)),"")</f>
        <v/>
      </c>
      <c r="AH48" s="6" t="str">
        <f>_xlfn.IFNA(VLOOKUP(U48,'Incoming Material Report'!A:Z,24,FALSE),"")</f>
        <v/>
      </c>
      <c r="AI48" s="6" t="str">
        <f>_xlfn.IFNA(VLOOKUP(U48,'Incoming Material Report'!A:Z,25,FALSE),"")</f>
        <v/>
      </c>
      <c r="AJ48" s="6" t="str">
        <f>_xlfn.IFNA(VLOOKUP(U48,'Incoming Material Report'!A:Z,26,FALSE),"")</f>
        <v/>
      </c>
      <c r="AK48" s="6" t="str">
        <f>_xlfn.IFNA(VLOOKUP(U48,'Incoming Material Report'!A:Z,2,FALSE),"")</f>
        <v/>
      </c>
      <c r="AL48" s="6" t="str">
        <f>_xlfn.IFNA(VLOOKUP(U48,'Incoming Material Report'!A:K,11,FALSE)/1000,"")</f>
        <v/>
      </c>
      <c r="AN48" s="6" t="str">
        <f>_xlfn.IFNA(VLOOKUP(U48,'Incoming Material Report'!A:R,18,FALSE)*1000,"")</f>
        <v/>
      </c>
      <c r="AP48" s="6" t="str">
        <f>_xlfn.IFNA(TEXT(VLOOKUP(U48,'Incoming Material Report'!A:D,4,FALSE),"dd.mm.yyyy"),"")</f>
        <v/>
      </c>
    </row>
    <row r="49" spans="26:42" x14ac:dyDescent="0.25">
      <c r="Z49" s="6" t="s">
        <v>60</v>
      </c>
      <c r="AA49" s="6" t="s">
        <v>60</v>
      </c>
      <c r="AF49" s="6" t="str">
        <f>_xlfn.IFNA(VLOOKUP(U49,'Incoming Material Report'!A:M,13,FALSE),"")</f>
        <v/>
      </c>
      <c r="AG49" s="6" t="str">
        <f>_xlfn.IFNA(IF(VLOOKUP(U49,'Incoming Material Report'!A:N,14,FALSE)="","",VLOOKUP(U49,'Incoming Material Report'!A:N,14,FALSE)),"")</f>
        <v/>
      </c>
      <c r="AH49" s="6" t="str">
        <f>_xlfn.IFNA(VLOOKUP(U49,'Incoming Material Report'!A:Z,24,FALSE),"")</f>
        <v/>
      </c>
      <c r="AI49" s="6" t="str">
        <f>_xlfn.IFNA(VLOOKUP(U49,'Incoming Material Report'!A:Z,25,FALSE),"")</f>
        <v/>
      </c>
      <c r="AJ49" s="6" t="str">
        <f>_xlfn.IFNA(VLOOKUP(U49,'Incoming Material Report'!A:Z,26,FALSE),"")</f>
        <v/>
      </c>
      <c r="AK49" s="6" t="str">
        <f>_xlfn.IFNA(VLOOKUP(U49,'Incoming Material Report'!A:Z,2,FALSE),"")</f>
        <v/>
      </c>
      <c r="AL49" s="6" t="str">
        <f>_xlfn.IFNA(VLOOKUP(U49,'Incoming Material Report'!A:K,11,FALSE)/1000,"")</f>
        <v/>
      </c>
      <c r="AN49" s="6" t="str">
        <f>_xlfn.IFNA(VLOOKUP(U49,'Incoming Material Report'!A:R,18,FALSE)*1000,"")</f>
        <v/>
      </c>
      <c r="AP49" s="6" t="str">
        <f>_xlfn.IFNA(TEXT(VLOOKUP(U49,'Incoming Material Report'!A:D,4,FALSE),"dd.mm.yyyy"),"")</f>
        <v/>
      </c>
    </row>
    <row r="50" spans="26:42" x14ac:dyDescent="0.25">
      <c r="Z50" s="6" t="s">
        <v>60</v>
      </c>
      <c r="AA50" s="6" t="s">
        <v>60</v>
      </c>
      <c r="AF50" s="6" t="str">
        <f>_xlfn.IFNA(VLOOKUP(U50,'Incoming Material Report'!A:M,13,FALSE),"")</f>
        <v/>
      </c>
      <c r="AG50" s="6" t="str">
        <f>_xlfn.IFNA(IF(VLOOKUP(U50,'Incoming Material Report'!A:N,14,FALSE)="","",VLOOKUP(U50,'Incoming Material Report'!A:N,14,FALSE)),"")</f>
        <v/>
      </c>
      <c r="AH50" s="6" t="str">
        <f>_xlfn.IFNA(VLOOKUP(U50,'Incoming Material Report'!A:Z,24,FALSE),"")</f>
        <v/>
      </c>
      <c r="AI50" s="6" t="str">
        <f>_xlfn.IFNA(VLOOKUP(U50,'Incoming Material Report'!A:Z,25,FALSE),"")</f>
        <v/>
      </c>
      <c r="AJ50" s="6" t="str">
        <f>_xlfn.IFNA(VLOOKUP(U50,'Incoming Material Report'!A:Z,26,FALSE),"")</f>
        <v/>
      </c>
      <c r="AK50" s="6" t="str">
        <f>_xlfn.IFNA(VLOOKUP(U50,'Incoming Material Report'!A:Z,2,FALSE),"")</f>
        <v/>
      </c>
      <c r="AL50" s="6" t="str">
        <f>_xlfn.IFNA(VLOOKUP(U50,'Incoming Material Report'!A:K,11,FALSE)/1000,"")</f>
        <v/>
      </c>
      <c r="AN50" s="6" t="str">
        <f>_xlfn.IFNA(VLOOKUP(U50,'Incoming Material Report'!A:R,18,FALSE)*1000,"")</f>
        <v/>
      </c>
      <c r="AP50" s="6" t="str">
        <f>_xlfn.IFNA(TEXT(VLOOKUP(U50,'Incoming Material Report'!A:D,4,FALSE),"dd.mm.yyyy"),"")</f>
        <v/>
      </c>
    </row>
    <row r="51" spans="26:42" x14ac:dyDescent="0.25">
      <c r="Z51" s="6" t="s">
        <v>60</v>
      </c>
      <c r="AA51" s="6" t="s">
        <v>60</v>
      </c>
      <c r="AF51" s="6" t="str">
        <f>_xlfn.IFNA(VLOOKUP(U51,'Incoming Material Report'!A:M,13,FALSE),"")</f>
        <v/>
      </c>
      <c r="AG51" s="6" t="str">
        <f>_xlfn.IFNA(IF(VLOOKUP(U51,'Incoming Material Report'!A:N,14,FALSE)="","",VLOOKUP(U51,'Incoming Material Report'!A:N,14,FALSE)),"")</f>
        <v/>
      </c>
      <c r="AH51" s="6" t="str">
        <f>_xlfn.IFNA(VLOOKUP(U51,'Incoming Material Report'!A:Z,24,FALSE),"")</f>
        <v/>
      </c>
      <c r="AI51" s="6" t="str">
        <f>_xlfn.IFNA(VLOOKUP(U51,'Incoming Material Report'!A:Z,25,FALSE),"")</f>
        <v/>
      </c>
      <c r="AJ51" s="6" t="str">
        <f>_xlfn.IFNA(VLOOKUP(U51,'Incoming Material Report'!A:Z,26,FALSE),"")</f>
        <v/>
      </c>
      <c r="AK51" s="6" t="str">
        <f>_xlfn.IFNA(VLOOKUP(U51,'Incoming Material Report'!A:Z,2,FALSE),"")</f>
        <v/>
      </c>
      <c r="AL51" s="6" t="str">
        <f>_xlfn.IFNA(VLOOKUP(U51,'Incoming Material Report'!A:K,11,FALSE)/1000,"")</f>
        <v/>
      </c>
      <c r="AN51" s="6" t="str">
        <f>_xlfn.IFNA(VLOOKUP(U51,'Incoming Material Report'!A:R,18,FALSE)*1000,"")</f>
        <v/>
      </c>
      <c r="AP51" s="6" t="str">
        <f>_xlfn.IFNA(TEXT(VLOOKUP(U51,'Incoming Material Report'!A:D,4,FALSE),"dd.mm.yyyy"),"")</f>
        <v/>
      </c>
    </row>
    <row r="52" spans="26:42" x14ac:dyDescent="0.25">
      <c r="Z52" s="6" t="s">
        <v>60</v>
      </c>
      <c r="AA52" s="6" t="s">
        <v>60</v>
      </c>
      <c r="AF52" s="6" t="str">
        <f>_xlfn.IFNA(VLOOKUP(U52,'Incoming Material Report'!A:M,13,FALSE),"")</f>
        <v/>
      </c>
      <c r="AG52" s="6" t="str">
        <f>_xlfn.IFNA(IF(VLOOKUP(U52,'Incoming Material Report'!A:N,14,FALSE)="","",VLOOKUP(U52,'Incoming Material Report'!A:N,14,FALSE)),"")</f>
        <v/>
      </c>
      <c r="AH52" s="6" t="str">
        <f>_xlfn.IFNA(VLOOKUP(U52,'Incoming Material Report'!A:Z,24,FALSE),"")</f>
        <v/>
      </c>
      <c r="AI52" s="6" t="str">
        <f>_xlfn.IFNA(VLOOKUP(U52,'Incoming Material Report'!A:Z,25,FALSE),"")</f>
        <v/>
      </c>
      <c r="AJ52" s="6" t="str">
        <f>_xlfn.IFNA(VLOOKUP(U52,'Incoming Material Report'!A:Z,26,FALSE),"")</f>
        <v/>
      </c>
      <c r="AK52" s="6" t="str">
        <f>_xlfn.IFNA(VLOOKUP(U52,'Incoming Material Report'!A:Z,2,FALSE),"")</f>
        <v/>
      </c>
      <c r="AL52" s="6" t="str">
        <f>_xlfn.IFNA(VLOOKUP(U52,'Incoming Material Report'!A:K,11,FALSE)/1000,"")</f>
        <v/>
      </c>
      <c r="AN52" s="6" t="str">
        <f>_xlfn.IFNA(VLOOKUP(U52,'Incoming Material Report'!A:R,18,FALSE)*1000,"")</f>
        <v/>
      </c>
      <c r="AP52" s="6" t="str">
        <f>_xlfn.IFNA(TEXT(VLOOKUP(U52,'Incoming Material Report'!A:D,4,FALSE),"dd.mm.yyyy"),"")</f>
        <v/>
      </c>
    </row>
    <row r="53" spans="26:42" x14ac:dyDescent="0.25">
      <c r="Z53" s="6" t="s">
        <v>60</v>
      </c>
      <c r="AA53" s="6" t="s">
        <v>60</v>
      </c>
      <c r="AF53" s="6" t="str">
        <f>_xlfn.IFNA(VLOOKUP(U53,'Incoming Material Report'!A:M,13,FALSE),"")</f>
        <v/>
      </c>
      <c r="AG53" s="6" t="str">
        <f>_xlfn.IFNA(IF(VLOOKUP(U53,'Incoming Material Report'!A:N,14,FALSE)="","",VLOOKUP(U53,'Incoming Material Report'!A:N,14,FALSE)),"")</f>
        <v/>
      </c>
      <c r="AH53" s="6" t="str">
        <f>_xlfn.IFNA(VLOOKUP(U53,'Incoming Material Report'!A:Z,24,FALSE),"")</f>
        <v/>
      </c>
      <c r="AI53" s="6" t="str">
        <f>_xlfn.IFNA(VLOOKUP(U53,'Incoming Material Report'!A:Z,25,FALSE),"")</f>
        <v/>
      </c>
      <c r="AJ53" s="6" t="str">
        <f>_xlfn.IFNA(VLOOKUP(U53,'Incoming Material Report'!A:Z,26,FALSE),"")</f>
        <v/>
      </c>
      <c r="AK53" s="6" t="str">
        <f>_xlfn.IFNA(VLOOKUP(U53,'Incoming Material Report'!A:Z,2,FALSE),"")</f>
        <v/>
      </c>
      <c r="AL53" s="6" t="str">
        <f>_xlfn.IFNA(VLOOKUP(U53,'Incoming Material Report'!A:K,11,FALSE)/1000,"")</f>
        <v/>
      </c>
      <c r="AN53" s="6" t="str">
        <f>_xlfn.IFNA(VLOOKUP(U53,'Incoming Material Report'!A:R,18,FALSE)*1000,"")</f>
        <v/>
      </c>
      <c r="AP53" s="6" t="str">
        <f>_xlfn.IFNA(TEXT(VLOOKUP(U53,'Incoming Material Report'!A:D,4,FALSE),"dd.mm.yyyy"),"")</f>
        <v/>
      </c>
    </row>
    <row r="54" spans="26:42" x14ac:dyDescent="0.25">
      <c r="Z54" s="6" t="s">
        <v>60</v>
      </c>
      <c r="AA54" s="6" t="s">
        <v>60</v>
      </c>
      <c r="AF54" s="6" t="str">
        <f>_xlfn.IFNA(VLOOKUP(U54,'Incoming Material Report'!A:M,13,FALSE),"")</f>
        <v/>
      </c>
      <c r="AG54" s="6" t="str">
        <f>_xlfn.IFNA(IF(VLOOKUP(U54,'Incoming Material Report'!A:N,14,FALSE)="","",VLOOKUP(U54,'Incoming Material Report'!A:N,14,FALSE)),"")</f>
        <v/>
      </c>
      <c r="AH54" s="6" t="str">
        <f>_xlfn.IFNA(VLOOKUP(U54,'Incoming Material Report'!A:Z,24,FALSE),"")</f>
        <v/>
      </c>
      <c r="AI54" s="6" t="str">
        <f>_xlfn.IFNA(VLOOKUP(U54,'Incoming Material Report'!A:Z,25,FALSE),"")</f>
        <v/>
      </c>
      <c r="AJ54" s="6" t="str">
        <f>_xlfn.IFNA(VLOOKUP(U54,'Incoming Material Report'!A:Z,26,FALSE),"")</f>
        <v/>
      </c>
      <c r="AK54" s="6" t="str">
        <f>_xlfn.IFNA(VLOOKUP(U54,'Incoming Material Report'!A:Z,2,FALSE),"")</f>
        <v/>
      </c>
      <c r="AL54" s="6" t="str">
        <f>_xlfn.IFNA(VLOOKUP(U54,'Incoming Material Report'!A:K,11,FALSE)/1000,"")</f>
        <v/>
      </c>
      <c r="AN54" s="6" t="str">
        <f>_xlfn.IFNA(VLOOKUP(U54,'Incoming Material Report'!A:R,18,FALSE)*1000,"")</f>
        <v/>
      </c>
      <c r="AP54" s="6" t="str">
        <f>_xlfn.IFNA(TEXT(VLOOKUP(U54,'Incoming Material Report'!A:D,4,FALSE),"dd.mm.yyyy"),"")</f>
        <v/>
      </c>
    </row>
    <row r="55" spans="26:42" x14ac:dyDescent="0.25">
      <c r="Z55" s="6" t="s">
        <v>60</v>
      </c>
      <c r="AA55" s="6" t="s">
        <v>60</v>
      </c>
      <c r="AF55" s="6" t="str">
        <f>_xlfn.IFNA(VLOOKUP(U55,'Incoming Material Report'!A:M,13,FALSE),"")</f>
        <v/>
      </c>
      <c r="AG55" s="6" t="str">
        <f>_xlfn.IFNA(IF(VLOOKUP(U55,'Incoming Material Report'!A:N,14,FALSE)="","",VLOOKUP(U55,'Incoming Material Report'!A:N,14,FALSE)),"")</f>
        <v/>
      </c>
      <c r="AH55" s="6" t="str">
        <f>_xlfn.IFNA(VLOOKUP(U55,'Incoming Material Report'!A:Z,24,FALSE),"")</f>
        <v/>
      </c>
      <c r="AI55" s="6" t="str">
        <f>_xlfn.IFNA(VLOOKUP(U55,'Incoming Material Report'!A:Z,25,FALSE),"")</f>
        <v/>
      </c>
      <c r="AJ55" s="6" t="str">
        <f>_xlfn.IFNA(VLOOKUP(U55,'Incoming Material Report'!A:Z,26,FALSE),"")</f>
        <v/>
      </c>
      <c r="AK55" s="6" t="str">
        <f>_xlfn.IFNA(VLOOKUP(U55,'Incoming Material Report'!A:Z,2,FALSE),"")</f>
        <v/>
      </c>
      <c r="AL55" s="6" t="str">
        <f>_xlfn.IFNA(VLOOKUP(U55,'Incoming Material Report'!A:K,11,FALSE)/1000,"")</f>
        <v/>
      </c>
      <c r="AN55" s="6" t="str">
        <f>_xlfn.IFNA(VLOOKUP(U55,'Incoming Material Report'!A:R,18,FALSE)*1000,"")</f>
        <v/>
      </c>
      <c r="AP55" s="6" t="str">
        <f>_xlfn.IFNA(TEXT(VLOOKUP(U55,'Incoming Material Report'!A:D,4,FALSE),"dd.mm.yyyy"),"")</f>
        <v/>
      </c>
    </row>
    <row r="56" spans="26:42" x14ac:dyDescent="0.25">
      <c r="Z56" s="6" t="s">
        <v>60</v>
      </c>
      <c r="AA56" s="6" t="s">
        <v>60</v>
      </c>
      <c r="AF56" s="6" t="str">
        <f>_xlfn.IFNA(VLOOKUP(U56,'Incoming Material Report'!A:M,13,FALSE),"")</f>
        <v/>
      </c>
      <c r="AG56" s="6" t="str">
        <f>_xlfn.IFNA(IF(VLOOKUP(U56,'Incoming Material Report'!A:N,14,FALSE)="","",VLOOKUP(U56,'Incoming Material Report'!A:N,14,FALSE)),"")</f>
        <v/>
      </c>
      <c r="AH56" s="6" t="str">
        <f>_xlfn.IFNA(VLOOKUP(U56,'Incoming Material Report'!A:Z,24,FALSE),"")</f>
        <v/>
      </c>
      <c r="AI56" s="6" t="str">
        <f>_xlfn.IFNA(VLOOKUP(U56,'Incoming Material Report'!A:Z,25,FALSE),"")</f>
        <v/>
      </c>
      <c r="AJ56" s="6" t="str">
        <f>_xlfn.IFNA(VLOOKUP(U56,'Incoming Material Report'!A:Z,26,FALSE),"")</f>
        <v/>
      </c>
      <c r="AK56" s="6" t="str">
        <f>_xlfn.IFNA(VLOOKUP(U56,'Incoming Material Report'!A:Z,2,FALSE),"")</f>
        <v/>
      </c>
      <c r="AL56" s="6" t="str">
        <f>_xlfn.IFNA(VLOOKUP(U56,'Incoming Material Report'!A:K,11,FALSE)/1000,"")</f>
        <v/>
      </c>
      <c r="AN56" s="6" t="str">
        <f>_xlfn.IFNA(VLOOKUP(U56,'Incoming Material Report'!A:R,18,FALSE)*1000,"")</f>
        <v/>
      </c>
      <c r="AP56" s="6" t="str">
        <f>_xlfn.IFNA(TEXT(VLOOKUP(U56,'Incoming Material Report'!A:D,4,FALSE),"dd.mm.yyyy"),"")</f>
        <v/>
      </c>
    </row>
    <row r="57" spans="26:42" x14ac:dyDescent="0.25">
      <c r="Z57" s="6" t="s">
        <v>60</v>
      </c>
      <c r="AA57" s="6" t="s">
        <v>60</v>
      </c>
      <c r="AF57" s="6" t="str">
        <f>_xlfn.IFNA(VLOOKUP(U57,'Incoming Material Report'!A:M,13,FALSE),"")</f>
        <v/>
      </c>
      <c r="AG57" s="6" t="str">
        <f>_xlfn.IFNA(IF(VLOOKUP(U57,'Incoming Material Report'!A:N,14,FALSE)="","",VLOOKUP(U57,'Incoming Material Report'!A:N,14,FALSE)),"")</f>
        <v/>
      </c>
      <c r="AH57" s="6" t="str">
        <f>_xlfn.IFNA(VLOOKUP(U57,'Incoming Material Report'!A:Z,24,FALSE),"")</f>
        <v/>
      </c>
      <c r="AI57" s="6" t="str">
        <f>_xlfn.IFNA(VLOOKUP(U57,'Incoming Material Report'!A:Z,25,FALSE),"")</f>
        <v/>
      </c>
      <c r="AJ57" s="6" t="str">
        <f>_xlfn.IFNA(VLOOKUP(U57,'Incoming Material Report'!A:Z,26,FALSE),"")</f>
        <v/>
      </c>
      <c r="AK57" s="6" t="str">
        <f>_xlfn.IFNA(VLOOKUP(U57,'Incoming Material Report'!A:Z,2,FALSE),"")</f>
        <v/>
      </c>
      <c r="AL57" s="6" t="str">
        <f>_xlfn.IFNA(VLOOKUP(U57,'Incoming Material Report'!A:K,11,FALSE)/1000,"")</f>
        <v/>
      </c>
      <c r="AN57" s="6" t="str">
        <f>_xlfn.IFNA(VLOOKUP(U57,'Incoming Material Report'!A:R,18,FALSE)*1000,"")</f>
        <v/>
      </c>
      <c r="AP57" s="6" t="str">
        <f>_xlfn.IFNA(TEXT(VLOOKUP(U57,'Incoming Material Report'!A:D,4,FALSE),"dd.mm.yyyy"),"")</f>
        <v/>
      </c>
    </row>
    <row r="58" spans="26:42" x14ac:dyDescent="0.25">
      <c r="Z58" s="6" t="s">
        <v>60</v>
      </c>
      <c r="AA58" s="6" t="s">
        <v>60</v>
      </c>
      <c r="AF58" s="6" t="str">
        <f>_xlfn.IFNA(VLOOKUP(U58,'Incoming Material Report'!A:M,13,FALSE),"")</f>
        <v/>
      </c>
      <c r="AG58" s="6" t="str">
        <f>_xlfn.IFNA(IF(VLOOKUP(U58,'Incoming Material Report'!A:N,14,FALSE)="","",VLOOKUP(U58,'Incoming Material Report'!A:N,14,FALSE)),"")</f>
        <v/>
      </c>
      <c r="AH58" s="6" t="str">
        <f>_xlfn.IFNA(VLOOKUP(U58,'Incoming Material Report'!A:Z,24,FALSE),"")</f>
        <v/>
      </c>
      <c r="AI58" s="6" t="str">
        <f>_xlfn.IFNA(VLOOKUP(U58,'Incoming Material Report'!A:Z,25,FALSE),"")</f>
        <v/>
      </c>
      <c r="AJ58" s="6" t="str">
        <f>_xlfn.IFNA(VLOOKUP(U58,'Incoming Material Report'!A:Z,26,FALSE),"")</f>
        <v/>
      </c>
      <c r="AK58" s="6" t="str">
        <f>_xlfn.IFNA(VLOOKUP(U58,'Incoming Material Report'!A:Z,2,FALSE),"")</f>
        <v/>
      </c>
      <c r="AL58" s="6" t="str">
        <f>_xlfn.IFNA(VLOOKUP(U58,'Incoming Material Report'!A:K,11,FALSE)/1000,"")</f>
        <v/>
      </c>
      <c r="AN58" s="6" t="str">
        <f>_xlfn.IFNA(VLOOKUP(U58,'Incoming Material Report'!A:R,18,FALSE)*1000,"")</f>
        <v/>
      </c>
      <c r="AP58" s="6" t="str">
        <f>_xlfn.IFNA(TEXT(VLOOKUP(U58,'Incoming Material Report'!A:D,4,FALSE),"dd.mm.yyyy"),"")</f>
        <v/>
      </c>
    </row>
    <row r="59" spans="26:42" x14ac:dyDescent="0.25">
      <c r="Z59" s="6" t="s">
        <v>60</v>
      </c>
      <c r="AA59" s="6" t="s">
        <v>60</v>
      </c>
      <c r="AF59" s="6" t="str">
        <f>_xlfn.IFNA(VLOOKUP(U59,'Incoming Material Report'!A:M,13,FALSE),"")</f>
        <v/>
      </c>
      <c r="AG59" s="6" t="str">
        <f>_xlfn.IFNA(IF(VLOOKUP(U59,'Incoming Material Report'!A:N,14,FALSE)="","",VLOOKUP(U59,'Incoming Material Report'!A:N,14,FALSE)),"")</f>
        <v/>
      </c>
      <c r="AH59" s="6" t="str">
        <f>_xlfn.IFNA(VLOOKUP(U59,'Incoming Material Report'!A:Z,24,FALSE),"")</f>
        <v/>
      </c>
      <c r="AI59" s="6" t="str">
        <f>_xlfn.IFNA(VLOOKUP(U59,'Incoming Material Report'!A:Z,25,FALSE),"")</f>
        <v/>
      </c>
      <c r="AJ59" s="6" t="str">
        <f>_xlfn.IFNA(VLOOKUP(U59,'Incoming Material Report'!A:Z,26,FALSE),"")</f>
        <v/>
      </c>
      <c r="AK59" s="6" t="str">
        <f>_xlfn.IFNA(VLOOKUP(U59,'Incoming Material Report'!A:Z,2,FALSE),"")</f>
        <v/>
      </c>
      <c r="AL59" s="6" t="str">
        <f>_xlfn.IFNA(VLOOKUP(U59,'Incoming Material Report'!A:K,11,FALSE)/1000,"")</f>
        <v/>
      </c>
      <c r="AN59" s="6" t="str">
        <f>_xlfn.IFNA(VLOOKUP(U59,'Incoming Material Report'!A:R,18,FALSE)*1000,"")</f>
        <v/>
      </c>
      <c r="AP59" s="6" t="str">
        <f>_xlfn.IFNA(TEXT(VLOOKUP(U59,'Incoming Material Report'!A:D,4,FALSE),"dd.mm.yyyy"),"")</f>
        <v/>
      </c>
    </row>
    <row r="60" spans="26:42" x14ac:dyDescent="0.25">
      <c r="Z60" s="6" t="s">
        <v>60</v>
      </c>
      <c r="AA60" s="6" t="s">
        <v>60</v>
      </c>
      <c r="AF60" s="6" t="str">
        <f>_xlfn.IFNA(VLOOKUP(U60,'Incoming Material Report'!A:M,13,FALSE),"")</f>
        <v/>
      </c>
      <c r="AG60" s="6" t="str">
        <f>_xlfn.IFNA(IF(VLOOKUP(U60,'Incoming Material Report'!A:N,14,FALSE)="","",VLOOKUP(U60,'Incoming Material Report'!A:N,14,FALSE)),"")</f>
        <v/>
      </c>
      <c r="AH60" s="6" t="str">
        <f>_xlfn.IFNA(VLOOKUP(U60,'Incoming Material Report'!A:Z,24,FALSE),"")</f>
        <v/>
      </c>
      <c r="AI60" s="6" t="str">
        <f>_xlfn.IFNA(VLOOKUP(U60,'Incoming Material Report'!A:Z,25,FALSE),"")</f>
        <v/>
      </c>
      <c r="AJ60" s="6" t="str">
        <f>_xlfn.IFNA(VLOOKUP(U60,'Incoming Material Report'!A:Z,26,FALSE),"")</f>
        <v/>
      </c>
      <c r="AK60" s="6" t="str">
        <f>_xlfn.IFNA(VLOOKUP(U60,'Incoming Material Report'!A:Z,2,FALSE),"")</f>
        <v/>
      </c>
      <c r="AL60" s="6" t="str">
        <f>_xlfn.IFNA(VLOOKUP(U60,'Incoming Material Report'!A:K,11,FALSE)/1000,"")</f>
        <v/>
      </c>
      <c r="AN60" s="6" t="str">
        <f>_xlfn.IFNA(VLOOKUP(U60,'Incoming Material Report'!A:R,18,FALSE)*1000,"")</f>
        <v/>
      </c>
      <c r="AP60" s="6" t="str">
        <f>_xlfn.IFNA(TEXT(VLOOKUP(U60,'Incoming Material Report'!A:D,4,FALSE),"dd.mm.yyyy"),"")</f>
        <v/>
      </c>
    </row>
    <row r="61" spans="26:42" x14ac:dyDescent="0.25">
      <c r="Z61" s="6" t="s">
        <v>60</v>
      </c>
      <c r="AA61" s="6" t="s">
        <v>60</v>
      </c>
      <c r="AF61" s="6" t="str">
        <f>_xlfn.IFNA(VLOOKUP(U61,'Incoming Material Report'!A:M,13,FALSE),"")</f>
        <v/>
      </c>
      <c r="AG61" s="6" t="str">
        <f>_xlfn.IFNA(IF(VLOOKUP(U61,'Incoming Material Report'!A:N,14,FALSE)="","",VLOOKUP(U61,'Incoming Material Report'!A:N,14,FALSE)),"")</f>
        <v/>
      </c>
      <c r="AH61" s="6" t="str">
        <f>_xlfn.IFNA(VLOOKUP(U61,'Incoming Material Report'!A:Z,24,FALSE),"")</f>
        <v/>
      </c>
      <c r="AI61" s="6" t="str">
        <f>_xlfn.IFNA(VLOOKUP(U61,'Incoming Material Report'!A:Z,25,FALSE),"")</f>
        <v/>
      </c>
      <c r="AJ61" s="6" t="str">
        <f>_xlfn.IFNA(VLOOKUP(U61,'Incoming Material Report'!A:Z,26,FALSE),"")</f>
        <v/>
      </c>
      <c r="AK61" s="6" t="str">
        <f>_xlfn.IFNA(VLOOKUP(U61,'Incoming Material Report'!A:Z,2,FALSE),"")</f>
        <v/>
      </c>
      <c r="AL61" s="6" t="str">
        <f>_xlfn.IFNA(VLOOKUP(U61,'Incoming Material Report'!A:K,11,FALSE)/1000,"")</f>
        <v/>
      </c>
      <c r="AN61" s="6" t="str">
        <f>_xlfn.IFNA(VLOOKUP(U61,'Incoming Material Report'!A:R,18,FALSE)*1000,"")</f>
        <v/>
      </c>
      <c r="AP61" s="6" t="str">
        <f>_xlfn.IFNA(TEXT(VLOOKUP(U61,'Incoming Material Report'!A:D,4,FALSE),"dd.mm.yyyy"),"")</f>
        <v/>
      </c>
    </row>
    <row r="62" spans="26:42" x14ac:dyDescent="0.25">
      <c r="Z62" s="6" t="s">
        <v>60</v>
      </c>
      <c r="AA62" s="6" t="s">
        <v>60</v>
      </c>
      <c r="AF62" s="6" t="str">
        <f>_xlfn.IFNA(VLOOKUP(U62,'Incoming Material Report'!A:M,13,FALSE),"")</f>
        <v/>
      </c>
      <c r="AG62" s="6" t="str">
        <f>_xlfn.IFNA(IF(VLOOKUP(U62,'Incoming Material Report'!A:N,14,FALSE)="","",VLOOKUP(U62,'Incoming Material Report'!A:N,14,FALSE)),"")</f>
        <v/>
      </c>
      <c r="AH62" s="6" t="str">
        <f>_xlfn.IFNA(VLOOKUP(U62,'Incoming Material Report'!A:Z,24,FALSE),"")</f>
        <v/>
      </c>
      <c r="AI62" s="6" t="str">
        <f>_xlfn.IFNA(VLOOKUP(U62,'Incoming Material Report'!A:Z,25,FALSE),"")</f>
        <v/>
      </c>
      <c r="AJ62" s="6" t="str">
        <f>_xlfn.IFNA(VLOOKUP(U62,'Incoming Material Report'!A:Z,26,FALSE),"")</f>
        <v/>
      </c>
      <c r="AK62" s="6" t="str">
        <f>_xlfn.IFNA(VLOOKUP(U62,'Incoming Material Report'!A:Z,2,FALSE),"")</f>
        <v/>
      </c>
      <c r="AL62" s="6" t="str">
        <f>_xlfn.IFNA(VLOOKUP(U62,'Incoming Material Report'!A:K,11,FALSE)/1000,"")</f>
        <v/>
      </c>
      <c r="AN62" s="6" t="str">
        <f>_xlfn.IFNA(VLOOKUP(U62,'Incoming Material Report'!A:R,18,FALSE)*1000,"")</f>
        <v/>
      </c>
      <c r="AP62" s="6" t="str">
        <f>_xlfn.IFNA(TEXT(VLOOKUP(U62,'Incoming Material Report'!A:D,4,FALSE),"dd.mm.yyyy"),"")</f>
        <v/>
      </c>
    </row>
    <row r="63" spans="26:42" x14ac:dyDescent="0.25">
      <c r="Z63" s="6" t="s">
        <v>60</v>
      </c>
      <c r="AA63" s="6" t="s">
        <v>60</v>
      </c>
      <c r="AF63" s="6" t="str">
        <f>_xlfn.IFNA(VLOOKUP(U63,'Incoming Material Report'!A:M,13,FALSE),"")</f>
        <v/>
      </c>
      <c r="AG63" s="6" t="str">
        <f>_xlfn.IFNA(IF(VLOOKUP(U63,'Incoming Material Report'!A:N,14,FALSE)="","",VLOOKUP(U63,'Incoming Material Report'!A:N,14,FALSE)),"")</f>
        <v/>
      </c>
      <c r="AH63" s="6" t="str">
        <f>_xlfn.IFNA(VLOOKUP(U63,'Incoming Material Report'!A:Z,24,FALSE),"")</f>
        <v/>
      </c>
      <c r="AI63" s="6" t="str">
        <f>_xlfn.IFNA(VLOOKUP(U63,'Incoming Material Report'!A:Z,25,FALSE),"")</f>
        <v/>
      </c>
      <c r="AJ63" s="6" t="str">
        <f>_xlfn.IFNA(VLOOKUP(U63,'Incoming Material Report'!A:Z,26,FALSE),"")</f>
        <v/>
      </c>
      <c r="AK63" s="6" t="str">
        <f>_xlfn.IFNA(VLOOKUP(U63,'Incoming Material Report'!A:Z,2,FALSE),"")</f>
        <v/>
      </c>
      <c r="AL63" s="6" t="str">
        <f>_xlfn.IFNA(VLOOKUP(U63,'Incoming Material Report'!A:K,11,FALSE)/1000,"")</f>
        <v/>
      </c>
      <c r="AN63" s="6" t="str">
        <f>_xlfn.IFNA(VLOOKUP(U63,'Incoming Material Report'!A:R,18,FALSE)*1000,"")</f>
        <v/>
      </c>
      <c r="AP63" s="6" t="str">
        <f>_xlfn.IFNA(TEXT(VLOOKUP(U63,'Incoming Material Report'!A:D,4,FALSE),"dd.mm.yyyy"),"")</f>
        <v/>
      </c>
    </row>
    <row r="64" spans="26:42" x14ac:dyDescent="0.25">
      <c r="Z64" s="6" t="s">
        <v>60</v>
      </c>
      <c r="AA64" s="6" t="s">
        <v>60</v>
      </c>
      <c r="AF64" s="6" t="str">
        <f>_xlfn.IFNA(VLOOKUP(U64,'Incoming Material Report'!A:M,13,FALSE),"")</f>
        <v/>
      </c>
      <c r="AG64" s="6" t="str">
        <f>_xlfn.IFNA(IF(VLOOKUP(U64,'Incoming Material Report'!A:N,14,FALSE)="","",VLOOKUP(U64,'Incoming Material Report'!A:N,14,FALSE)),"")</f>
        <v/>
      </c>
      <c r="AH64" s="6" t="str">
        <f>_xlfn.IFNA(VLOOKUP(U64,'Incoming Material Report'!A:Z,24,FALSE),"")</f>
        <v/>
      </c>
      <c r="AI64" s="6" t="str">
        <f>_xlfn.IFNA(VLOOKUP(U64,'Incoming Material Report'!A:Z,25,FALSE),"")</f>
        <v/>
      </c>
      <c r="AJ64" s="6" t="str">
        <f>_xlfn.IFNA(VLOOKUP(U64,'Incoming Material Report'!A:Z,26,FALSE),"")</f>
        <v/>
      </c>
      <c r="AK64" s="6" t="str">
        <f>_xlfn.IFNA(VLOOKUP(U64,'Incoming Material Report'!A:Z,2,FALSE),"")</f>
        <v/>
      </c>
      <c r="AL64" s="6" t="str">
        <f>_xlfn.IFNA(VLOOKUP(U64,'Incoming Material Report'!A:K,11,FALSE)/1000,"")</f>
        <v/>
      </c>
      <c r="AN64" s="6" t="str">
        <f>_xlfn.IFNA(VLOOKUP(U64,'Incoming Material Report'!A:R,18,FALSE)*1000,"")</f>
        <v/>
      </c>
      <c r="AP64" s="6" t="str">
        <f>_xlfn.IFNA(TEXT(VLOOKUP(U64,'Incoming Material Report'!A:D,4,FALSE),"dd.mm.yyyy"),"")</f>
        <v/>
      </c>
    </row>
    <row r="65" spans="26:42" x14ac:dyDescent="0.25">
      <c r="Z65" s="6" t="s">
        <v>60</v>
      </c>
      <c r="AA65" s="6" t="s">
        <v>60</v>
      </c>
      <c r="AF65" s="6" t="str">
        <f>_xlfn.IFNA(VLOOKUP(U65,'Incoming Material Report'!A:M,13,FALSE),"")</f>
        <v/>
      </c>
      <c r="AG65" s="6" t="str">
        <f>_xlfn.IFNA(IF(VLOOKUP(U65,'Incoming Material Report'!A:N,14,FALSE)="","",VLOOKUP(U65,'Incoming Material Report'!A:N,14,FALSE)),"")</f>
        <v/>
      </c>
      <c r="AH65" s="6" t="str">
        <f>_xlfn.IFNA(VLOOKUP(U65,'Incoming Material Report'!A:Z,24,FALSE),"")</f>
        <v/>
      </c>
      <c r="AI65" s="6" t="str">
        <f>_xlfn.IFNA(VLOOKUP(U65,'Incoming Material Report'!A:Z,25,FALSE),"")</f>
        <v/>
      </c>
      <c r="AJ65" s="6" t="str">
        <f>_xlfn.IFNA(VLOOKUP(U65,'Incoming Material Report'!A:Z,26,FALSE),"")</f>
        <v/>
      </c>
      <c r="AK65" s="6" t="str">
        <f>_xlfn.IFNA(VLOOKUP(U65,'Incoming Material Report'!A:Z,2,FALSE),"")</f>
        <v/>
      </c>
      <c r="AL65" s="6" t="str">
        <f>_xlfn.IFNA(VLOOKUP(U65,'Incoming Material Report'!A:K,11,FALSE)/1000,"")</f>
        <v/>
      </c>
      <c r="AN65" s="6" t="str">
        <f>_xlfn.IFNA(VLOOKUP(U65,'Incoming Material Report'!A:R,18,FALSE)*1000,"")</f>
        <v/>
      </c>
      <c r="AP65" s="6" t="str">
        <f>_xlfn.IFNA(TEXT(VLOOKUP(U65,'Incoming Material Report'!A:D,4,FALSE),"dd.mm.yyyy"),"")</f>
        <v/>
      </c>
    </row>
    <row r="66" spans="26:42" x14ac:dyDescent="0.25">
      <c r="Z66" s="6" t="s">
        <v>60</v>
      </c>
      <c r="AA66" s="6" t="s">
        <v>60</v>
      </c>
      <c r="AF66" s="6" t="str">
        <f>_xlfn.IFNA(VLOOKUP(U66,'Incoming Material Report'!A:M,13,FALSE),"")</f>
        <v/>
      </c>
      <c r="AG66" s="6" t="str">
        <f>_xlfn.IFNA(IF(VLOOKUP(U66,'Incoming Material Report'!A:N,14,FALSE)="","",VLOOKUP(U66,'Incoming Material Report'!A:N,14,FALSE)),"")</f>
        <v/>
      </c>
      <c r="AH66" s="6" t="str">
        <f>_xlfn.IFNA(VLOOKUP(U66,'Incoming Material Report'!A:Z,24,FALSE),"")</f>
        <v/>
      </c>
      <c r="AI66" s="6" t="str">
        <f>_xlfn.IFNA(VLOOKUP(U66,'Incoming Material Report'!A:Z,25,FALSE),"")</f>
        <v/>
      </c>
      <c r="AJ66" s="6" t="str">
        <f>_xlfn.IFNA(VLOOKUP(U66,'Incoming Material Report'!A:Z,26,FALSE),"")</f>
        <v/>
      </c>
      <c r="AK66" s="6" t="str">
        <f>_xlfn.IFNA(VLOOKUP(U66,'Incoming Material Report'!A:Z,2,FALSE),"")</f>
        <v/>
      </c>
      <c r="AL66" s="6" t="str">
        <f>_xlfn.IFNA(VLOOKUP(U66,'Incoming Material Report'!A:K,11,FALSE)/1000,"")</f>
        <v/>
      </c>
      <c r="AN66" s="6" t="str">
        <f>_xlfn.IFNA(VLOOKUP(U66,'Incoming Material Report'!A:R,18,FALSE)*1000,"")</f>
        <v/>
      </c>
      <c r="AP66" s="6" t="str">
        <f>_xlfn.IFNA(TEXT(VLOOKUP(U66,'Incoming Material Report'!A:D,4,FALSE),"dd.mm.yyyy"),"")</f>
        <v/>
      </c>
    </row>
    <row r="67" spans="26:42" x14ac:dyDescent="0.25">
      <c r="Z67" s="6" t="s">
        <v>60</v>
      </c>
      <c r="AA67" s="6" t="s">
        <v>60</v>
      </c>
      <c r="AF67" s="6" t="str">
        <f>_xlfn.IFNA(VLOOKUP(U67,'Incoming Material Report'!A:M,13,FALSE),"")</f>
        <v/>
      </c>
      <c r="AG67" s="6" t="str">
        <f>_xlfn.IFNA(IF(VLOOKUP(U67,'Incoming Material Report'!A:N,14,FALSE)="","",VLOOKUP(U67,'Incoming Material Report'!A:N,14,FALSE)),"")</f>
        <v/>
      </c>
      <c r="AH67" s="6" t="str">
        <f>_xlfn.IFNA(VLOOKUP(U67,'Incoming Material Report'!A:Z,24,FALSE),"")</f>
        <v/>
      </c>
      <c r="AI67" s="6" t="str">
        <f>_xlfn.IFNA(VLOOKUP(U67,'Incoming Material Report'!A:Z,25,FALSE),"")</f>
        <v/>
      </c>
      <c r="AJ67" s="6" t="str">
        <f>_xlfn.IFNA(VLOOKUP(U67,'Incoming Material Report'!A:Z,26,FALSE),"")</f>
        <v/>
      </c>
      <c r="AK67" s="6" t="str">
        <f>_xlfn.IFNA(VLOOKUP(U67,'Incoming Material Report'!A:Z,2,FALSE),"")</f>
        <v/>
      </c>
      <c r="AL67" s="6" t="str">
        <f>_xlfn.IFNA(VLOOKUP(U67,'Incoming Material Report'!A:K,11,FALSE)/1000,"")</f>
        <v/>
      </c>
      <c r="AN67" s="6" t="str">
        <f>_xlfn.IFNA(VLOOKUP(U67,'Incoming Material Report'!A:R,18,FALSE)*1000,"")</f>
        <v/>
      </c>
      <c r="AP67" s="6" t="str">
        <f>_xlfn.IFNA(TEXT(VLOOKUP(U67,'Incoming Material Report'!A:D,4,FALSE),"dd.mm.yyyy"),"")</f>
        <v/>
      </c>
    </row>
    <row r="68" spans="26:42" x14ac:dyDescent="0.25">
      <c r="Z68" s="6" t="s">
        <v>60</v>
      </c>
      <c r="AA68" s="6" t="s">
        <v>60</v>
      </c>
      <c r="AF68" s="6" t="str">
        <f>_xlfn.IFNA(VLOOKUP(U68,'Incoming Material Report'!A:M,13,FALSE),"")</f>
        <v/>
      </c>
      <c r="AG68" s="6" t="str">
        <f>_xlfn.IFNA(IF(VLOOKUP(U68,'Incoming Material Report'!A:N,14,FALSE)="","",VLOOKUP(U68,'Incoming Material Report'!A:N,14,FALSE)),"")</f>
        <v/>
      </c>
      <c r="AH68" s="6" t="str">
        <f>_xlfn.IFNA(VLOOKUP(U68,'Incoming Material Report'!A:Z,24,FALSE),"")</f>
        <v/>
      </c>
      <c r="AI68" s="6" t="str">
        <f>_xlfn.IFNA(VLOOKUP(U68,'Incoming Material Report'!A:Z,25,FALSE),"")</f>
        <v/>
      </c>
      <c r="AJ68" s="6" t="str">
        <f>_xlfn.IFNA(VLOOKUP(U68,'Incoming Material Report'!A:Z,26,FALSE),"")</f>
        <v/>
      </c>
      <c r="AK68" s="6" t="str">
        <f>_xlfn.IFNA(VLOOKUP(U68,'Incoming Material Report'!A:Z,2,FALSE),"")</f>
        <v/>
      </c>
      <c r="AL68" s="6" t="str">
        <f>_xlfn.IFNA(VLOOKUP(U68,'Incoming Material Report'!A:K,11,FALSE)/1000,"")</f>
        <v/>
      </c>
      <c r="AN68" s="6" t="str">
        <f>_xlfn.IFNA(VLOOKUP(U68,'Incoming Material Report'!A:R,18,FALSE)*1000,"")</f>
        <v/>
      </c>
      <c r="AP68" s="6" t="str">
        <f>_xlfn.IFNA(TEXT(VLOOKUP(U68,'Incoming Material Report'!A:D,4,FALSE),"dd.mm.yyyy"),"")</f>
        <v/>
      </c>
    </row>
    <row r="69" spans="26:42" x14ac:dyDescent="0.25">
      <c r="Z69" s="6" t="s">
        <v>60</v>
      </c>
      <c r="AA69" s="6" t="s">
        <v>60</v>
      </c>
      <c r="AF69" s="6" t="str">
        <f>_xlfn.IFNA(VLOOKUP(U69,'Incoming Material Report'!A:M,13,FALSE),"")</f>
        <v/>
      </c>
      <c r="AG69" s="6" t="str">
        <f>_xlfn.IFNA(IF(VLOOKUP(U69,'Incoming Material Report'!A:N,14,FALSE)="","",VLOOKUP(U69,'Incoming Material Report'!A:N,14,FALSE)),"")</f>
        <v/>
      </c>
      <c r="AH69" s="6" t="str">
        <f>_xlfn.IFNA(VLOOKUP(U69,'Incoming Material Report'!A:Z,24,FALSE),"")</f>
        <v/>
      </c>
      <c r="AI69" s="6" t="str">
        <f>_xlfn.IFNA(VLOOKUP(U69,'Incoming Material Report'!A:Z,25,FALSE),"")</f>
        <v/>
      </c>
      <c r="AJ69" s="6" t="str">
        <f>_xlfn.IFNA(VLOOKUP(U69,'Incoming Material Report'!A:Z,26,FALSE),"")</f>
        <v/>
      </c>
      <c r="AK69" s="6" t="str">
        <f>_xlfn.IFNA(VLOOKUP(U69,'Incoming Material Report'!A:Z,2,FALSE),"")</f>
        <v/>
      </c>
      <c r="AL69" s="6" t="str">
        <f>_xlfn.IFNA(VLOOKUP(U69,'Incoming Material Report'!A:K,11,FALSE)/1000,"")</f>
        <v/>
      </c>
      <c r="AN69" s="6" t="str">
        <f>_xlfn.IFNA(VLOOKUP(U69,'Incoming Material Report'!A:R,18,FALSE)*1000,"")</f>
        <v/>
      </c>
      <c r="AP69" s="6" t="str">
        <f>_xlfn.IFNA(TEXT(VLOOKUP(U69,'Incoming Material Report'!A:D,4,FALSE),"dd.mm.yyyy"),"")</f>
        <v/>
      </c>
    </row>
    <row r="70" spans="26:42" x14ac:dyDescent="0.25">
      <c r="Z70" s="6" t="s">
        <v>60</v>
      </c>
      <c r="AA70" s="6" t="s">
        <v>60</v>
      </c>
      <c r="AF70" s="6" t="str">
        <f>_xlfn.IFNA(VLOOKUP(U70,'Incoming Material Report'!A:M,13,FALSE),"")</f>
        <v/>
      </c>
      <c r="AG70" s="6" t="str">
        <f>_xlfn.IFNA(IF(VLOOKUP(U70,'Incoming Material Report'!A:N,14,FALSE)="","",VLOOKUP(U70,'Incoming Material Report'!A:N,14,FALSE)),"")</f>
        <v/>
      </c>
      <c r="AH70" s="6" t="str">
        <f>_xlfn.IFNA(VLOOKUP(U70,'Incoming Material Report'!A:Z,24,FALSE),"")</f>
        <v/>
      </c>
      <c r="AI70" s="6" t="str">
        <f>_xlfn.IFNA(VLOOKUP(U70,'Incoming Material Report'!A:Z,25,FALSE),"")</f>
        <v/>
      </c>
      <c r="AJ70" s="6" t="str">
        <f>_xlfn.IFNA(VLOOKUP(U70,'Incoming Material Report'!A:Z,26,FALSE),"")</f>
        <v/>
      </c>
      <c r="AK70" s="6" t="str">
        <f>_xlfn.IFNA(VLOOKUP(U70,'Incoming Material Report'!A:Z,2,FALSE),"")</f>
        <v/>
      </c>
      <c r="AL70" s="6" t="str">
        <f>_xlfn.IFNA(VLOOKUP(U70,'Incoming Material Report'!A:K,11,FALSE)/1000,"")</f>
        <v/>
      </c>
      <c r="AN70" s="6" t="str">
        <f>_xlfn.IFNA(VLOOKUP(U70,'Incoming Material Report'!A:R,18,FALSE)*1000,"")</f>
        <v/>
      </c>
      <c r="AP70" s="6" t="str">
        <f>_xlfn.IFNA(TEXT(VLOOKUP(U70,'Incoming Material Report'!A:D,4,FALSE),"dd.mm.yyyy"),"")</f>
        <v/>
      </c>
    </row>
    <row r="71" spans="26:42" x14ac:dyDescent="0.25">
      <c r="Z71" s="6" t="s">
        <v>60</v>
      </c>
      <c r="AA71" s="6" t="s">
        <v>60</v>
      </c>
      <c r="AF71" s="6" t="str">
        <f>_xlfn.IFNA(VLOOKUP(U71,'Incoming Material Report'!A:M,13,FALSE),"")</f>
        <v/>
      </c>
      <c r="AG71" s="6" t="str">
        <f>_xlfn.IFNA(IF(VLOOKUP(U71,'Incoming Material Report'!A:N,14,FALSE)="","",VLOOKUP(U71,'Incoming Material Report'!A:N,14,FALSE)),"")</f>
        <v/>
      </c>
      <c r="AH71" s="6" t="str">
        <f>_xlfn.IFNA(VLOOKUP(U71,'Incoming Material Report'!A:Z,24,FALSE),"")</f>
        <v/>
      </c>
      <c r="AI71" s="6" t="str">
        <f>_xlfn.IFNA(VLOOKUP(U71,'Incoming Material Report'!A:Z,25,FALSE),"")</f>
        <v/>
      </c>
      <c r="AJ71" s="6" t="str">
        <f>_xlfn.IFNA(VLOOKUP(U71,'Incoming Material Report'!A:Z,26,FALSE),"")</f>
        <v/>
      </c>
      <c r="AK71" s="6" t="str">
        <f>_xlfn.IFNA(VLOOKUP(U71,'Incoming Material Report'!A:Z,2,FALSE),"")</f>
        <v/>
      </c>
      <c r="AL71" s="6" t="str">
        <f>_xlfn.IFNA(VLOOKUP(U71,'Incoming Material Report'!A:K,11,FALSE)/1000,"")</f>
        <v/>
      </c>
      <c r="AN71" s="6" t="str">
        <f>_xlfn.IFNA(VLOOKUP(U71,'Incoming Material Report'!A:R,18,FALSE)*1000,"")</f>
        <v/>
      </c>
      <c r="AP71" s="6" t="str">
        <f>_xlfn.IFNA(TEXT(VLOOKUP(U71,'Incoming Material Report'!A:D,4,FALSE),"dd.mm.yyyy"),"")</f>
        <v/>
      </c>
    </row>
    <row r="72" spans="26:42" x14ac:dyDescent="0.25">
      <c r="Z72" s="6" t="s">
        <v>60</v>
      </c>
      <c r="AA72" s="6" t="s">
        <v>60</v>
      </c>
      <c r="AF72" s="6" t="str">
        <f>_xlfn.IFNA(VLOOKUP(U72,'Incoming Material Report'!A:M,13,FALSE),"")</f>
        <v/>
      </c>
      <c r="AG72" s="6" t="str">
        <f>_xlfn.IFNA(IF(VLOOKUP(U72,'Incoming Material Report'!A:N,14,FALSE)="","",VLOOKUP(U72,'Incoming Material Report'!A:N,14,FALSE)),"")</f>
        <v/>
      </c>
      <c r="AH72" s="6" t="str">
        <f>_xlfn.IFNA(VLOOKUP(U72,'Incoming Material Report'!A:Z,24,FALSE),"")</f>
        <v/>
      </c>
      <c r="AI72" s="6" t="str">
        <f>_xlfn.IFNA(VLOOKUP(U72,'Incoming Material Report'!A:Z,25,FALSE),"")</f>
        <v/>
      </c>
      <c r="AJ72" s="6" t="str">
        <f>_xlfn.IFNA(VLOOKUP(U72,'Incoming Material Report'!A:Z,26,FALSE),"")</f>
        <v/>
      </c>
      <c r="AK72" s="6" t="str">
        <f>_xlfn.IFNA(VLOOKUP(U72,'Incoming Material Report'!A:Z,2,FALSE),"")</f>
        <v/>
      </c>
      <c r="AL72" s="6" t="str">
        <f>_xlfn.IFNA(VLOOKUP(U72,'Incoming Material Report'!A:K,11,FALSE)/1000,"")</f>
        <v/>
      </c>
      <c r="AN72" s="6" t="str">
        <f>_xlfn.IFNA(VLOOKUP(U72,'Incoming Material Report'!A:R,18,FALSE)*1000,"")</f>
        <v/>
      </c>
      <c r="AP72" s="6" t="str">
        <f>_xlfn.IFNA(TEXT(VLOOKUP(U72,'Incoming Material Report'!A:D,4,FALSE),"dd.mm.yyyy"),"")</f>
        <v/>
      </c>
    </row>
    <row r="73" spans="26:42" x14ac:dyDescent="0.25">
      <c r="Z73" s="6" t="s">
        <v>60</v>
      </c>
      <c r="AA73" s="6" t="s">
        <v>60</v>
      </c>
      <c r="AF73" s="6" t="str">
        <f>_xlfn.IFNA(VLOOKUP(U73,'Incoming Material Report'!A:M,13,FALSE),"")</f>
        <v/>
      </c>
      <c r="AG73" s="6" t="str">
        <f>_xlfn.IFNA(IF(VLOOKUP(U73,'Incoming Material Report'!A:N,14,FALSE)="","",VLOOKUP(U73,'Incoming Material Report'!A:N,14,FALSE)),"")</f>
        <v/>
      </c>
      <c r="AH73" s="6" t="str">
        <f>_xlfn.IFNA(VLOOKUP(U73,'Incoming Material Report'!A:Z,24,FALSE),"")</f>
        <v/>
      </c>
      <c r="AI73" s="6" t="str">
        <f>_xlfn.IFNA(VLOOKUP(U73,'Incoming Material Report'!A:Z,25,FALSE),"")</f>
        <v/>
      </c>
      <c r="AJ73" s="6" t="str">
        <f>_xlfn.IFNA(VLOOKUP(U73,'Incoming Material Report'!A:Z,26,FALSE),"")</f>
        <v/>
      </c>
      <c r="AK73" s="6" t="str">
        <f>_xlfn.IFNA(VLOOKUP(U73,'Incoming Material Report'!A:Z,2,FALSE),"")</f>
        <v/>
      </c>
      <c r="AL73" s="6" t="str">
        <f>_xlfn.IFNA(VLOOKUP(U73,'Incoming Material Report'!A:K,11,FALSE)/1000,"")</f>
        <v/>
      </c>
      <c r="AN73" s="6" t="str">
        <f>_xlfn.IFNA(VLOOKUP(U73,'Incoming Material Report'!A:R,18,FALSE)*1000,"")</f>
        <v/>
      </c>
      <c r="AP73" s="6" t="str">
        <f>_xlfn.IFNA(TEXT(VLOOKUP(U73,'Incoming Material Report'!A:D,4,FALSE),"dd.mm.yyyy"),"")</f>
        <v/>
      </c>
    </row>
    <row r="74" spans="26:42" x14ac:dyDescent="0.25">
      <c r="Z74" s="6" t="s">
        <v>60</v>
      </c>
      <c r="AA74" s="6" t="s">
        <v>60</v>
      </c>
      <c r="AF74" s="6" t="str">
        <f>_xlfn.IFNA(VLOOKUP(U74,'Incoming Material Report'!A:M,13,FALSE),"")</f>
        <v/>
      </c>
      <c r="AG74" s="6" t="str">
        <f>_xlfn.IFNA(IF(VLOOKUP(U74,'Incoming Material Report'!A:N,14,FALSE)="","",VLOOKUP(U74,'Incoming Material Report'!A:N,14,FALSE)),"")</f>
        <v/>
      </c>
      <c r="AH74" s="6" t="str">
        <f>_xlfn.IFNA(VLOOKUP(U74,'Incoming Material Report'!A:Z,24,FALSE),"")</f>
        <v/>
      </c>
      <c r="AI74" s="6" t="str">
        <f>_xlfn.IFNA(VLOOKUP(U74,'Incoming Material Report'!A:Z,25,FALSE),"")</f>
        <v/>
      </c>
      <c r="AJ74" s="6" t="str">
        <f>_xlfn.IFNA(VLOOKUP(U74,'Incoming Material Report'!A:Z,26,FALSE),"")</f>
        <v/>
      </c>
      <c r="AK74" s="6" t="str">
        <f>_xlfn.IFNA(VLOOKUP(U74,'Incoming Material Report'!A:Z,2,FALSE),"")</f>
        <v/>
      </c>
      <c r="AL74" s="6" t="str">
        <f>_xlfn.IFNA(VLOOKUP(U74,'Incoming Material Report'!A:K,11,FALSE)/1000,"")</f>
        <v/>
      </c>
      <c r="AN74" s="6" t="str">
        <f>_xlfn.IFNA(VLOOKUP(U74,'Incoming Material Report'!A:R,18,FALSE)*1000,"")</f>
        <v/>
      </c>
      <c r="AP74" s="6" t="str">
        <f>_xlfn.IFNA(TEXT(VLOOKUP(U74,'Incoming Material Report'!A:D,4,FALSE),"dd.mm.yyyy"),"")</f>
        <v/>
      </c>
    </row>
    <row r="75" spans="26:42" x14ac:dyDescent="0.25">
      <c r="Z75" s="6" t="s">
        <v>60</v>
      </c>
      <c r="AA75" s="6" t="s">
        <v>60</v>
      </c>
      <c r="AF75" s="6" t="str">
        <f>_xlfn.IFNA(VLOOKUP(U75,'Incoming Material Report'!A:M,13,FALSE),"")</f>
        <v/>
      </c>
      <c r="AG75" s="6" t="str">
        <f>_xlfn.IFNA(IF(VLOOKUP(U75,'Incoming Material Report'!A:N,14,FALSE)="","",VLOOKUP(U75,'Incoming Material Report'!A:N,14,FALSE)),"")</f>
        <v/>
      </c>
      <c r="AH75" s="6" t="str">
        <f>_xlfn.IFNA(VLOOKUP(U75,'Incoming Material Report'!A:Z,24,FALSE),"")</f>
        <v/>
      </c>
      <c r="AI75" s="6" t="str">
        <f>_xlfn.IFNA(VLOOKUP(U75,'Incoming Material Report'!A:Z,25,FALSE),"")</f>
        <v/>
      </c>
      <c r="AJ75" s="6" t="str">
        <f>_xlfn.IFNA(VLOOKUP(U75,'Incoming Material Report'!A:Z,26,FALSE),"")</f>
        <v/>
      </c>
      <c r="AK75" s="6" t="str">
        <f>_xlfn.IFNA(VLOOKUP(U75,'Incoming Material Report'!A:Z,2,FALSE),"")</f>
        <v/>
      </c>
      <c r="AL75" s="6" t="str">
        <f>_xlfn.IFNA(VLOOKUP(U75,'Incoming Material Report'!A:K,11,FALSE)/1000,"")</f>
        <v/>
      </c>
      <c r="AN75" s="6" t="str">
        <f>_xlfn.IFNA(VLOOKUP(U75,'Incoming Material Report'!A:R,18,FALSE)*1000,"")</f>
        <v/>
      </c>
      <c r="AP75" s="6" t="str">
        <f>_xlfn.IFNA(TEXT(VLOOKUP(U75,'Incoming Material Report'!A:D,4,FALSE),"dd.mm.yyyy"),"")</f>
        <v/>
      </c>
    </row>
    <row r="76" spans="26:42" x14ac:dyDescent="0.25">
      <c r="Z76" s="6" t="s">
        <v>60</v>
      </c>
      <c r="AA76" s="6" t="s">
        <v>60</v>
      </c>
      <c r="AF76" s="6" t="str">
        <f>_xlfn.IFNA(VLOOKUP(U76,'Incoming Material Report'!A:M,13,FALSE),"")</f>
        <v/>
      </c>
      <c r="AG76" s="6" t="str">
        <f>_xlfn.IFNA(IF(VLOOKUP(U76,'Incoming Material Report'!A:N,14,FALSE)="","",VLOOKUP(U76,'Incoming Material Report'!A:N,14,FALSE)),"")</f>
        <v/>
      </c>
      <c r="AH76" s="6" t="str">
        <f>_xlfn.IFNA(VLOOKUP(U76,'Incoming Material Report'!A:Z,24,FALSE),"")</f>
        <v/>
      </c>
      <c r="AI76" s="6" t="str">
        <f>_xlfn.IFNA(VLOOKUP(U76,'Incoming Material Report'!A:Z,25,FALSE),"")</f>
        <v/>
      </c>
      <c r="AJ76" s="6" t="str">
        <f>_xlfn.IFNA(VLOOKUP(U76,'Incoming Material Report'!A:Z,26,FALSE),"")</f>
        <v/>
      </c>
      <c r="AK76" s="6" t="str">
        <f>_xlfn.IFNA(VLOOKUP(U76,'Incoming Material Report'!A:Z,2,FALSE),"")</f>
        <v/>
      </c>
      <c r="AL76" s="6" t="str">
        <f>_xlfn.IFNA(VLOOKUP(U76,'Incoming Material Report'!A:K,11,FALSE)/1000,"")</f>
        <v/>
      </c>
      <c r="AN76" s="6" t="str">
        <f>_xlfn.IFNA(VLOOKUP(U76,'Incoming Material Report'!A:R,18,FALSE)*1000,"")</f>
        <v/>
      </c>
      <c r="AP76" s="6" t="str">
        <f>_xlfn.IFNA(TEXT(VLOOKUP(U76,'Incoming Material Report'!A:D,4,FALSE),"dd.mm.yyyy"),"")</f>
        <v/>
      </c>
    </row>
    <row r="77" spans="26:42" x14ac:dyDescent="0.25">
      <c r="Z77" s="6" t="s">
        <v>60</v>
      </c>
      <c r="AA77" s="6" t="s">
        <v>60</v>
      </c>
      <c r="AF77" s="6" t="str">
        <f>_xlfn.IFNA(VLOOKUP(U77,'Incoming Material Report'!A:M,13,FALSE),"")</f>
        <v/>
      </c>
      <c r="AG77" s="6" t="str">
        <f>_xlfn.IFNA(IF(VLOOKUP(U77,'Incoming Material Report'!A:N,14,FALSE)="","",VLOOKUP(U77,'Incoming Material Report'!A:N,14,FALSE)),"")</f>
        <v/>
      </c>
      <c r="AH77" s="6" t="str">
        <f>_xlfn.IFNA(VLOOKUP(U77,'Incoming Material Report'!A:Z,24,FALSE),"")</f>
        <v/>
      </c>
      <c r="AI77" s="6" t="str">
        <f>_xlfn.IFNA(VLOOKUP(U77,'Incoming Material Report'!A:Z,25,FALSE),"")</f>
        <v/>
      </c>
      <c r="AJ77" s="6" t="str">
        <f>_xlfn.IFNA(VLOOKUP(U77,'Incoming Material Report'!A:Z,26,FALSE),"")</f>
        <v/>
      </c>
      <c r="AK77" s="6" t="str">
        <f>_xlfn.IFNA(VLOOKUP(U77,'Incoming Material Report'!A:Z,2,FALSE),"")</f>
        <v/>
      </c>
      <c r="AL77" s="6" t="str">
        <f>_xlfn.IFNA(VLOOKUP(U77,'Incoming Material Report'!A:K,11,FALSE)/1000,"")</f>
        <v/>
      </c>
      <c r="AN77" s="6" t="str">
        <f>_xlfn.IFNA(VLOOKUP(U77,'Incoming Material Report'!A:R,18,FALSE)*1000,"")</f>
        <v/>
      </c>
      <c r="AP77" s="6" t="str">
        <f>_xlfn.IFNA(TEXT(VLOOKUP(U77,'Incoming Material Report'!A:D,4,FALSE),"dd.mm.yyyy"),"")</f>
        <v/>
      </c>
    </row>
    <row r="78" spans="26:42" x14ac:dyDescent="0.25">
      <c r="Z78" s="6" t="s">
        <v>60</v>
      </c>
      <c r="AA78" s="6" t="s">
        <v>60</v>
      </c>
      <c r="AF78" s="6" t="str">
        <f>_xlfn.IFNA(VLOOKUP(U78,'Incoming Material Report'!A:M,13,FALSE),"")</f>
        <v/>
      </c>
      <c r="AG78" s="6" t="str">
        <f>_xlfn.IFNA(IF(VLOOKUP(U78,'Incoming Material Report'!A:N,14,FALSE)="","",VLOOKUP(U78,'Incoming Material Report'!A:N,14,FALSE)),"")</f>
        <v/>
      </c>
      <c r="AH78" s="6" t="str">
        <f>_xlfn.IFNA(VLOOKUP(U78,'Incoming Material Report'!A:Z,24,FALSE),"")</f>
        <v/>
      </c>
      <c r="AI78" s="6" t="str">
        <f>_xlfn.IFNA(VLOOKUP(U78,'Incoming Material Report'!A:Z,25,FALSE),"")</f>
        <v/>
      </c>
      <c r="AJ78" s="6" t="str">
        <f>_xlfn.IFNA(VLOOKUP(U78,'Incoming Material Report'!A:Z,26,FALSE),"")</f>
        <v/>
      </c>
      <c r="AK78" s="6" t="str">
        <f>_xlfn.IFNA(VLOOKUP(U78,'Incoming Material Report'!A:Z,2,FALSE),"")</f>
        <v/>
      </c>
      <c r="AL78" s="6" t="str">
        <f>_xlfn.IFNA(VLOOKUP(U78,'Incoming Material Report'!A:K,11,FALSE)/1000,"")</f>
        <v/>
      </c>
      <c r="AN78" s="6" t="str">
        <f>_xlfn.IFNA(VLOOKUP(U78,'Incoming Material Report'!A:R,18,FALSE)*1000,"")</f>
        <v/>
      </c>
      <c r="AP78" s="6" t="str">
        <f>_xlfn.IFNA(TEXT(VLOOKUP(U78,'Incoming Material Report'!A:D,4,FALSE),"dd.mm.yyyy"),"")</f>
        <v/>
      </c>
    </row>
    <row r="79" spans="26:42" x14ac:dyDescent="0.25">
      <c r="Z79" s="6" t="s">
        <v>60</v>
      </c>
      <c r="AA79" s="6" t="s">
        <v>60</v>
      </c>
      <c r="AF79" s="6" t="str">
        <f>_xlfn.IFNA(VLOOKUP(U79,'Incoming Material Report'!A:M,13,FALSE),"")</f>
        <v/>
      </c>
      <c r="AG79" s="6" t="str">
        <f>_xlfn.IFNA(IF(VLOOKUP(U79,'Incoming Material Report'!A:N,14,FALSE)="","",VLOOKUP(U79,'Incoming Material Report'!A:N,14,FALSE)),"")</f>
        <v/>
      </c>
      <c r="AH79" s="6" t="str">
        <f>_xlfn.IFNA(VLOOKUP(U79,'Incoming Material Report'!A:Z,24,FALSE),"")</f>
        <v/>
      </c>
      <c r="AI79" s="6" t="str">
        <f>_xlfn.IFNA(VLOOKUP(U79,'Incoming Material Report'!A:Z,25,FALSE),"")</f>
        <v/>
      </c>
      <c r="AJ79" s="6" t="str">
        <f>_xlfn.IFNA(VLOOKUP(U79,'Incoming Material Report'!A:Z,26,FALSE),"")</f>
        <v/>
      </c>
      <c r="AK79" s="6" t="str">
        <f>_xlfn.IFNA(VLOOKUP(U79,'Incoming Material Report'!A:Z,2,FALSE),"")</f>
        <v/>
      </c>
      <c r="AL79" s="6" t="str">
        <f>_xlfn.IFNA(VLOOKUP(U79,'Incoming Material Report'!A:K,11,FALSE)/1000,"")</f>
        <v/>
      </c>
      <c r="AN79" s="6" t="str">
        <f>_xlfn.IFNA(VLOOKUP(U79,'Incoming Material Report'!A:R,18,FALSE)*1000,"")</f>
        <v/>
      </c>
      <c r="AP79" s="6" t="str">
        <f>_xlfn.IFNA(TEXT(VLOOKUP(U79,'Incoming Material Report'!A:D,4,FALSE),"dd.mm.yyyy"),"")</f>
        <v/>
      </c>
    </row>
    <row r="80" spans="26:42" x14ac:dyDescent="0.25">
      <c r="Z80" s="6" t="s">
        <v>60</v>
      </c>
      <c r="AA80" s="6" t="s">
        <v>60</v>
      </c>
      <c r="AF80" s="6" t="str">
        <f>_xlfn.IFNA(VLOOKUP(U80,'Incoming Material Report'!A:M,13,FALSE),"")</f>
        <v/>
      </c>
      <c r="AG80" s="6" t="str">
        <f>_xlfn.IFNA(IF(VLOOKUP(U80,'Incoming Material Report'!A:N,14,FALSE)="","",VLOOKUP(U80,'Incoming Material Report'!A:N,14,FALSE)),"")</f>
        <v/>
      </c>
      <c r="AH80" s="6" t="str">
        <f>_xlfn.IFNA(VLOOKUP(U80,'Incoming Material Report'!A:Z,24,FALSE),"")</f>
        <v/>
      </c>
      <c r="AI80" s="6" t="str">
        <f>_xlfn.IFNA(VLOOKUP(U80,'Incoming Material Report'!A:Z,25,FALSE),"")</f>
        <v/>
      </c>
      <c r="AJ80" s="6" t="str">
        <f>_xlfn.IFNA(VLOOKUP(U80,'Incoming Material Report'!A:Z,26,FALSE),"")</f>
        <v/>
      </c>
      <c r="AK80" s="6" t="str">
        <f>_xlfn.IFNA(VLOOKUP(U80,'Incoming Material Report'!A:Z,2,FALSE),"")</f>
        <v/>
      </c>
      <c r="AL80" s="6" t="str">
        <f>_xlfn.IFNA(VLOOKUP(U80,'Incoming Material Report'!A:K,11,FALSE)/1000,"")</f>
        <v/>
      </c>
      <c r="AN80" s="6" t="str">
        <f>_xlfn.IFNA(VLOOKUP(U80,'Incoming Material Report'!A:R,18,FALSE)*1000,"")</f>
        <v/>
      </c>
      <c r="AP80" s="6" t="str">
        <f>_xlfn.IFNA(TEXT(VLOOKUP(U80,'Incoming Material Report'!A:D,4,FALSE),"dd.mm.yyyy"),"")</f>
        <v/>
      </c>
    </row>
    <row r="81" spans="26:42" x14ac:dyDescent="0.25">
      <c r="Z81" s="6" t="s">
        <v>60</v>
      </c>
      <c r="AA81" s="6" t="s">
        <v>60</v>
      </c>
      <c r="AF81" s="6" t="str">
        <f>_xlfn.IFNA(VLOOKUP(U81,'Incoming Material Report'!A:M,13,FALSE),"")</f>
        <v/>
      </c>
      <c r="AG81" s="6" t="str">
        <f>_xlfn.IFNA(IF(VLOOKUP(U81,'Incoming Material Report'!A:N,14,FALSE)="","",VLOOKUP(U81,'Incoming Material Report'!A:N,14,FALSE)),"")</f>
        <v/>
      </c>
      <c r="AH81" s="6" t="str">
        <f>_xlfn.IFNA(VLOOKUP(U81,'Incoming Material Report'!A:Z,24,FALSE),"")</f>
        <v/>
      </c>
      <c r="AI81" s="6" t="str">
        <f>_xlfn.IFNA(VLOOKUP(U81,'Incoming Material Report'!A:Z,25,FALSE),"")</f>
        <v/>
      </c>
      <c r="AJ81" s="6" t="str">
        <f>_xlfn.IFNA(VLOOKUP(U81,'Incoming Material Report'!A:Z,26,FALSE),"")</f>
        <v/>
      </c>
      <c r="AK81" s="6" t="str">
        <f>_xlfn.IFNA(VLOOKUP(U81,'Incoming Material Report'!A:Z,2,FALSE),"")</f>
        <v/>
      </c>
      <c r="AL81" s="6" t="str">
        <f>_xlfn.IFNA(VLOOKUP(U81,'Incoming Material Report'!A:K,11,FALSE)/1000,"")</f>
        <v/>
      </c>
      <c r="AN81" s="6" t="str">
        <f>_xlfn.IFNA(VLOOKUP(U81,'Incoming Material Report'!A:R,18,FALSE)*1000,"")</f>
        <v/>
      </c>
      <c r="AP81" s="6" t="str">
        <f>_xlfn.IFNA(TEXT(VLOOKUP(U81,'Incoming Material Report'!A:D,4,FALSE),"dd.mm.yyyy"),"")</f>
        <v/>
      </c>
    </row>
    <row r="82" spans="26:42" x14ac:dyDescent="0.25">
      <c r="Z82" s="6" t="s">
        <v>60</v>
      </c>
      <c r="AA82" s="6" t="s">
        <v>60</v>
      </c>
      <c r="AF82" s="6" t="str">
        <f>_xlfn.IFNA(VLOOKUP(U82,'Incoming Material Report'!A:M,13,FALSE),"")</f>
        <v/>
      </c>
      <c r="AG82" s="6" t="str">
        <f>_xlfn.IFNA(IF(VLOOKUP(U82,'Incoming Material Report'!A:N,14,FALSE)="","",VLOOKUP(U82,'Incoming Material Report'!A:N,14,FALSE)),"")</f>
        <v/>
      </c>
      <c r="AH82" s="6" t="str">
        <f>_xlfn.IFNA(VLOOKUP(U82,'Incoming Material Report'!A:Z,24,FALSE),"")</f>
        <v/>
      </c>
      <c r="AI82" s="6" t="str">
        <f>_xlfn.IFNA(VLOOKUP(U82,'Incoming Material Report'!A:Z,25,FALSE),"")</f>
        <v/>
      </c>
      <c r="AJ82" s="6" t="str">
        <f>_xlfn.IFNA(VLOOKUP(U82,'Incoming Material Report'!A:Z,26,FALSE),"")</f>
        <v/>
      </c>
      <c r="AK82" s="6" t="str">
        <f>_xlfn.IFNA(VLOOKUP(U82,'Incoming Material Report'!A:Z,2,FALSE),"")</f>
        <v/>
      </c>
      <c r="AL82" s="6" t="str">
        <f>_xlfn.IFNA(VLOOKUP(U82,'Incoming Material Report'!A:K,11,FALSE)/1000,"")</f>
        <v/>
      </c>
      <c r="AN82" s="6" t="str">
        <f>_xlfn.IFNA(VLOOKUP(U82,'Incoming Material Report'!A:R,18,FALSE)*1000,"")</f>
        <v/>
      </c>
      <c r="AP82" s="6" t="str">
        <f>_xlfn.IFNA(TEXT(VLOOKUP(U82,'Incoming Material Report'!A:D,4,FALSE),"dd.mm.yyyy"),"")</f>
        <v/>
      </c>
    </row>
    <row r="83" spans="26:42" x14ac:dyDescent="0.25">
      <c r="Z83" s="6" t="s">
        <v>60</v>
      </c>
      <c r="AA83" s="6" t="s">
        <v>60</v>
      </c>
      <c r="AF83" s="6" t="str">
        <f>_xlfn.IFNA(VLOOKUP(U83,'Incoming Material Report'!A:M,13,FALSE),"")</f>
        <v/>
      </c>
      <c r="AG83" s="6" t="str">
        <f>_xlfn.IFNA(IF(VLOOKUP(U83,'Incoming Material Report'!A:N,14,FALSE)="","",VLOOKUP(U83,'Incoming Material Report'!A:N,14,FALSE)),"")</f>
        <v/>
      </c>
      <c r="AH83" s="6" t="str">
        <f>_xlfn.IFNA(VLOOKUP(U83,'Incoming Material Report'!A:Z,24,FALSE),"")</f>
        <v/>
      </c>
      <c r="AI83" s="6" t="str">
        <f>_xlfn.IFNA(VLOOKUP(U83,'Incoming Material Report'!A:Z,25,FALSE),"")</f>
        <v/>
      </c>
      <c r="AJ83" s="6" t="str">
        <f>_xlfn.IFNA(VLOOKUP(U83,'Incoming Material Report'!A:Z,26,FALSE),"")</f>
        <v/>
      </c>
      <c r="AK83" s="6" t="str">
        <f>_xlfn.IFNA(VLOOKUP(U83,'Incoming Material Report'!A:Z,2,FALSE),"")</f>
        <v/>
      </c>
      <c r="AL83" s="6" t="str">
        <f>_xlfn.IFNA(VLOOKUP(U83,'Incoming Material Report'!A:K,11,FALSE)/1000,"")</f>
        <v/>
      </c>
      <c r="AN83" s="6" t="str">
        <f>_xlfn.IFNA(VLOOKUP(U83,'Incoming Material Report'!A:R,18,FALSE)*1000,"")</f>
        <v/>
      </c>
      <c r="AP83" s="6" t="str">
        <f>_xlfn.IFNA(TEXT(VLOOKUP(U83,'Incoming Material Report'!A:D,4,FALSE),"dd.mm.yyyy"),"")</f>
        <v/>
      </c>
    </row>
    <row r="84" spans="26:42" x14ac:dyDescent="0.25">
      <c r="Z84" s="6" t="s">
        <v>60</v>
      </c>
      <c r="AA84" s="6" t="s">
        <v>60</v>
      </c>
      <c r="AF84" s="6" t="str">
        <f>_xlfn.IFNA(VLOOKUP(U84,'Incoming Material Report'!A:M,13,FALSE),"")</f>
        <v/>
      </c>
      <c r="AG84" s="6" t="str">
        <f>_xlfn.IFNA(IF(VLOOKUP(U84,'Incoming Material Report'!A:N,14,FALSE)="","",VLOOKUP(U84,'Incoming Material Report'!A:N,14,FALSE)),"")</f>
        <v/>
      </c>
      <c r="AH84" s="6" t="str">
        <f>_xlfn.IFNA(VLOOKUP(U84,'Incoming Material Report'!A:Z,24,FALSE),"")</f>
        <v/>
      </c>
      <c r="AI84" s="6" t="str">
        <f>_xlfn.IFNA(VLOOKUP(U84,'Incoming Material Report'!A:Z,25,FALSE),"")</f>
        <v/>
      </c>
      <c r="AJ84" s="6" t="str">
        <f>_xlfn.IFNA(VLOOKUP(U84,'Incoming Material Report'!A:Z,26,FALSE),"")</f>
        <v/>
      </c>
      <c r="AK84" s="6" t="str">
        <f>_xlfn.IFNA(VLOOKUP(U84,'Incoming Material Report'!A:Z,2,FALSE),"")</f>
        <v/>
      </c>
      <c r="AL84" s="6" t="str">
        <f>_xlfn.IFNA(VLOOKUP(U84,'Incoming Material Report'!A:K,11,FALSE)/1000,"")</f>
        <v/>
      </c>
      <c r="AN84" s="6" t="str">
        <f>_xlfn.IFNA(VLOOKUP(U84,'Incoming Material Report'!A:R,18,FALSE)*1000,"")</f>
        <v/>
      </c>
      <c r="AP84" s="6" t="str">
        <f>_xlfn.IFNA(TEXT(VLOOKUP(U84,'Incoming Material Report'!A:D,4,FALSE),"dd.mm.yyyy"),"")</f>
        <v/>
      </c>
    </row>
    <row r="85" spans="26:42" x14ac:dyDescent="0.25">
      <c r="Z85" s="6" t="s">
        <v>60</v>
      </c>
      <c r="AA85" s="6" t="s">
        <v>60</v>
      </c>
      <c r="AF85" s="6" t="str">
        <f>_xlfn.IFNA(VLOOKUP(U85,'Incoming Material Report'!A:M,13,FALSE),"")</f>
        <v/>
      </c>
      <c r="AG85" s="6" t="str">
        <f>_xlfn.IFNA(IF(VLOOKUP(U85,'Incoming Material Report'!A:N,14,FALSE)="","",VLOOKUP(U85,'Incoming Material Report'!A:N,14,FALSE)),"")</f>
        <v/>
      </c>
      <c r="AH85" s="6" t="str">
        <f>_xlfn.IFNA(VLOOKUP(U85,'Incoming Material Report'!A:Z,24,FALSE),"")</f>
        <v/>
      </c>
      <c r="AI85" s="6" t="str">
        <f>_xlfn.IFNA(VLOOKUP(U85,'Incoming Material Report'!A:Z,25,FALSE),"")</f>
        <v/>
      </c>
      <c r="AJ85" s="6" t="str">
        <f>_xlfn.IFNA(VLOOKUP(U85,'Incoming Material Report'!A:Z,26,FALSE),"")</f>
        <v/>
      </c>
      <c r="AK85" s="6" t="str">
        <f>_xlfn.IFNA(VLOOKUP(U85,'Incoming Material Report'!A:Z,2,FALSE),"")</f>
        <v/>
      </c>
      <c r="AL85" s="6" t="str">
        <f>_xlfn.IFNA(VLOOKUP(U85,'Incoming Material Report'!A:K,11,FALSE)/1000,"")</f>
        <v/>
      </c>
      <c r="AN85" s="6" t="str">
        <f>_xlfn.IFNA(VLOOKUP(U85,'Incoming Material Report'!A:R,18,FALSE)*1000,"")</f>
        <v/>
      </c>
      <c r="AP85" s="6" t="str">
        <f>_xlfn.IFNA(TEXT(VLOOKUP(U85,'Incoming Material Report'!A:D,4,FALSE),"dd.mm.yyyy"),"")</f>
        <v/>
      </c>
    </row>
    <row r="86" spans="26:42" x14ac:dyDescent="0.25">
      <c r="Z86" s="6" t="s">
        <v>60</v>
      </c>
      <c r="AA86" s="6" t="s">
        <v>60</v>
      </c>
      <c r="AF86" s="6" t="str">
        <f>_xlfn.IFNA(VLOOKUP(U86,'Incoming Material Report'!A:M,13,FALSE),"")</f>
        <v/>
      </c>
      <c r="AG86" s="6" t="str">
        <f>_xlfn.IFNA(IF(VLOOKUP(U86,'Incoming Material Report'!A:N,14,FALSE)="","",VLOOKUP(U86,'Incoming Material Report'!A:N,14,FALSE)),"")</f>
        <v/>
      </c>
      <c r="AH86" s="6" t="str">
        <f>_xlfn.IFNA(VLOOKUP(U86,'Incoming Material Report'!A:Z,24,FALSE),"")</f>
        <v/>
      </c>
      <c r="AI86" s="6" t="str">
        <f>_xlfn.IFNA(VLOOKUP(U86,'Incoming Material Report'!A:Z,25,FALSE),"")</f>
        <v/>
      </c>
      <c r="AJ86" s="6" t="str">
        <f>_xlfn.IFNA(VLOOKUP(U86,'Incoming Material Report'!A:Z,26,FALSE),"")</f>
        <v/>
      </c>
      <c r="AK86" s="6" t="str">
        <f>_xlfn.IFNA(VLOOKUP(U86,'Incoming Material Report'!A:Z,2,FALSE),"")</f>
        <v/>
      </c>
      <c r="AL86" s="6" t="str">
        <f>_xlfn.IFNA(VLOOKUP(U86,'Incoming Material Report'!A:K,11,FALSE)/1000,"")</f>
        <v/>
      </c>
      <c r="AN86" s="6" t="str">
        <f>_xlfn.IFNA(VLOOKUP(U86,'Incoming Material Report'!A:R,18,FALSE)*1000,"")</f>
        <v/>
      </c>
      <c r="AP86" s="6" t="str">
        <f>_xlfn.IFNA(TEXT(VLOOKUP(U86,'Incoming Material Report'!A:D,4,FALSE),"dd.mm.yyyy"),"")</f>
        <v/>
      </c>
    </row>
    <row r="87" spans="26:42" x14ac:dyDescent="0.25">
      <c r="Z87" s="6" t="s">
        <v>60</v>
      </c>
      <c r="AA87" s="6" t="s">
        <v>60</v>
      </c>
      <c r="AF87" s="6" t="str">
        <f>_xlfn.IFNA(VLOOKUP(U87,'Incoming Material Report'!A:M,13,FALSE),"")</f>
        <v/>
      </c>
      <c r="AG87" s="6" t="str">
        <f>_xlfn.IFNA(IF(VLOOKUP(U87,'Incoming Material Report'!A:N,14,FALSE)="","",VLOOKUP(U87,'Incoming Material Report'!A:N,14,FALSE)),"")</f>
        <v/>
      </c>
      <c r="AH87" s="6" t="str">
        <f>_xlfn.IFNA(VLOOKUP(U87,'Incoming Material Report'!A:Z,24,FALSE),"")</f>
        <v/>
      </c>
      <c r="AI87" s="6" t="str">
        <f>_xlfn.IFNA(VLOOKUP(U87,'Incoming Material Report'!A:Z,25,FALSE),"")</f>
        <v/>
      </c>
      <c r="AJ87" s="6" t="str">
        <f>_xlfn.IFNA(VLOOKUP(U87,'Incoming Material Report'!A:Z,26,FALSE),"")</f>
        <v/>
      </c>
      <c r="AK87" s="6" t="str">
        <f>_xlfn.IFNA(VLOOKUP(U87,'Incoming Material Report'!A:Z,2,FALSE),"")</f>
        <v/>
      </c>
      <c r="AL87" s="6" t="str">
        <f>_xlfn.IFNA(VLOOKUP(U87,'Incoming Material Report'!A:K,11,FALSE)/1000,"")</f>
        <v/>
      </c>
      <c r="AN87" s="6" t="str">
        <f>_xlfn.IFNA(VLOOKUP(U87,'Incoming Material Report'!A:R,18,FALSE)*1000,"")</f>
        <v/>
      </c>
      <c r="AP87" s="6" t="str">
        <f>_xlfn.IFNA(TEXT(VLOOKUP(U87,'Incoming Material Report'!A:D,4,FALSE),"dd.mm.yyyy"),"")</f>
        <v/>
      </c>
    </row>
    <row r="88" spans="26:42" x14ac:dyDescent="0.25">
      <c r="Z88" s="6" t="s">
        <v>60</v>
      </c>
      <c r="AA88" s="6" t="s">
        <v>60</v>
      </c>
      <c r="AF88" s="6" t="str">
        <f>_xlfn.IFNA(VLOOKUP(U88,'Incoming Material Report'!A:M,13,FALSE),"")</f>
        <v/>
      </c>
      <c r="AG88" s="6" t="str">
        <f>_xlfn.IFNA(IF(VLOOKUP(U88,'Incoming Material Report'!A:N,14,FALSE)="","",VLOOKUP(U88,'Incoming Material Report'!A:N,14,FALSE)),"")</f>
        <v/>
      </c>
      <c r="AH88" s="6" t="str">
        <f>_xlfn.IFNA(VLOOKUP(U88,'Incoming Material Report'!A:Z,24,FALSE),"")</f>
        <v/>
      </c>
      <c r="AI88" s="6" t="str">
        <f>_xlfn.IFNA(VLOOKUP(U88,'Incoming Material Report'!A:Z,25,FALSE),"")</f>
        <v/>
      </c>
      <c r="AJ88" s="6" t="str">
        <f>_xlfn.IFNA(VLOOKUP(U88,'Incoming Material Report'!A:Z,26,FALSE),"")</f>
        <v/>
      </c>
      <c r="AK88" s="6" t="str">
        <f>_xlfn.IFNA(VLOOKUP(U88,'Incoming Material Report'!A:Z,2,FALSE),"")</f>
        <v/>
      </c>
      <c r="AL88" s="6" t="str">
        <f>_xlfn.IFNA(VLOOKUP(U88,'Incoming Material Report'!A:K,11,FALSE)/1000,"")</f>
        <v/>
      </c>
      <c r="AN88" s="6" t="str">
        <f>_xlfn.IFNA(VLOOKUP(U88,'Incoming Material Report'!A:R,18,FALSE)*1000,"")</f>
        <v/>
      </c>
      <c r="AP88" s="6" t="str">
        <f>_xlfn.IFNA(TEXT(VLOOKUP(U88,'Incoming Material Report'!A:D,4,FALSE),"dd.mm.yyyy"),"")</f>
        <v/>
      </c>
    </row>
    <row r="89" spans="26:42" x14ac:dyDescent="0.25">
      <c r="Z89" s="6" t="s">
        <v>60</v>
      </c>
      <c r="AA89" s="6" t="s">
        <v>60</v>
      </c>
      <c r="AF89" s="6" t="str">
        <f>_xlfn.IFNA(VLOOKUP(U89,'Incoming Material Report'!A:M,13,FALSE),"")</f>
        <v/>
      </c>
      <c r="AG89" s="6" t="str">
        <f>_xlfn.IFNA(IF(VLOOKUP(U89,'Incoming Material Report'!A:N,14,FALSE)="","",VLOOKUP(U89,'Incoming Material Report'!A:N,14,FALSE)),"")</f>
        <v/>
      </c>
      <c r="AH89" s="6" t="str">
        <f>_xlfn.IFNA(VLOOKUP(U89,'Incoming Material Report'!A:Z,24,FALSE),"")</f>
        <v/>
      </c>
      <c r="AI89" s="6" t="str">
        <f>_xlfn.IFNA(VLOOKUP(U89,'Incoming Material Report'!A:Z,25,FALSE),"")</f>
        <v/>
      </c>
      <c r="AJ89" s="6" t="str">
        <f>_xlfn.IFNA(VLOOKUP(U89,'Incoming Material Report'!A:Z,26,FALSE),"")</f>
        <v/>
      </c>
      <c r="AK89" s="6" t="str">
        <f>_xlfn.IFNA(VLOOKUP(U89,'Incoming Material Report'!A:Z,2,FALSE),"")</f>
        <v/>
      </c>
      <c r="AL89" s="6" t="str">
        <f>_xlfn.IFNA(VLOOKUP(U89,'Incoming Material Report'!A:K,11,FALSE)/1000,"")</f>
        <v/>
      </c>
      <c r="AN89" s="6" t="str">
        <f>_xlfn.IFNA(VLOOKUP(U89,'Incoming Material Report'!A:R,18,FALSE)*1000,"")</f>
        <v/>
      </c>
      <c r="AP89" s="6" t="str">
        <f>_xlfn.IFNA(TEXT(VLOOKUP(U89,'Incoming Material Report'!A:D,4,FALSE),"dd.mm.yyyy"),"")</f>
        <v/>
      </c>
    </row>
    <row r="90" spans="26:42" x14ac:dyDescent="0.25">
      <c r="Z90" s="6" t="s">
        <v>60</v>
      </c>
      <c r="AA90" s="6" t="s">
        <v>60</v>
      </c>
      <c r="AF90" s="6" t="str">
        <f>_xlfn.IFNA(VLOOKUP(U90,'Incoming Material Report'!A:M,13,FALSE),"")</f>
        <v/>
      </c>
      <c r="AG90" s="6" t="str">
        <f>_xlfn.IFNA(IF(VLOOKUP(U90,'Incoming Material Report'!A:N,14,FALSE)="","",VLOOKUP(U90,'Incoming Material Report'!A:N,14,FALSE)),"")</f>
        <v/>
      </c>
      <c r="AH90" s="6" t="str">
        <f>_xlfn.IFNA(VLOOKUP(U90,'Incoming Material Report'!A:Z,24,FALSE),"")</f>
        <v/>
      </c>
      <c r="AI90" s="6" t="str">
        <f>_xlfn.IFNA(VLOOKUP(U90,'Incoming Material Report'!A:Z,25,FALSE),"")</f>
        <v/>
      </c>
      <c r="AJ90" s="6" t="str">
        <f>_xlfn.IFNA(VLOOKUP(U90,'Incoming Material Report'!A:Z,26,FALSE),"")</f>
        <v/>
      </c>
      <c r="AK90" s="6" t="str">
        <f>_xlfn.IFNA(VLOOKUP(U90,'Incoming Material Report'!A:Z,2,FALSE),"")</f>
        <v/>
      </c>
      <c r="AL90" s="6" t="str">
        <f>_xlfn.IFNA(VLOOKUP(U90,'Incoming Material Report'!A:K,11,FALSE)/1000,"")</f>
        <v/>
      </c>
      <c r="AN90" s="6" t="str">
        <f>_xlfn.IFNA(VLOOKUP(U90,'Incoming Material Report'!A:R,18,FALSE)*1000,"")</f>
        <v/>
      </c>
      <c r="AP90" s="6" t="str">
        <f>_xlfn.IFNA(TEXT(VLOOKUP(U90,'Incoming Material Report'!A:D,4,FALSE),"dd.mm.yyyy"),"")</f>
        <v/>
      </c>
    </row>
    <row r="91" spans="26:42" x14ac:dyDescent="0.25">
      <c r="Z91" s="6" t="s">
        <v>60</v>
      </c>
      <c r="AA91" s="6" t="s">
        <v>60</v>
      </c>
      <c r="AF91" s="6" t="str">
        <f>_xlfn.IFNA(VLOOKUP(U91,'Incoming Material Report'!A:M,13,FALSE),"")</f>
        <v/>
      </c>
      <c r="AG91" s="6" t="str">
        <f>_xlfn.IFNA(IF(VLOOKUP(U91,'Incoming Material Report'!A:N,14,FALSE)="","",VLOOKUP(U91,'Incoming Material Report'!A:N,14,FALSE)),"")</f>
        <v/>
      </c>
      <c r="AH91" s="6" t="str">
        <f>_xlfn.IFNA(VLOOKUP(U91,'Incoming Material Report'!A:Z,24,FALSE),"")</f>
        <v/>
      </c>
      <c r="AI91" s="6" t="str">
        <f>_xlfn.IFNA(VLOOKUP(U91,'Incoming Material Report'!A:Z,25,FALSE),"")</f>
        <v/>
      </c>
      <c r="AJ91" s="6" t="str">
        <f>_xlfn.IFNA(VLOOKUP(U91,'Incoming Material Report'!A:Z,26,FALSE),"")</f>
        <v/>
      </c>
      <c r="AK91" s="6" t="str">
        <f>_xlfn.IFNA(VLOOKUP(U91,'Incoming Material Report'!A:Z,2,FALSE),"")</f>
        <v/>
      </c>
      <c r="AL91" s="6" t="str">
        <f>_xlfn.IFNA(VLOOKUP(U91,'Incoming Material Report'!A:K,11,FALSE)/1000,"")</f>
        <v/>
      </c>
      <c r="AN91" s="6" t="str">
        <f>_xlfn.IFNA(VLOOKUP(U91,'Incoming Material Report'!A:R,18,FALSE)*1000,"")</f>
        <v/>
      </c>
      <c r="AP91" s="6" t="str">
        <f>_xlfn.IFNA(TEXT(VLOOKUP(U91,'Incoming Material Report'!A:D,4,FALSE),"dd.mm.yyyy"),"")</f>
        <v/>
      </c>
    </row>
    <row r="92" spans="26:42" x14ac:dyDescent="0.25">
      <c r="Z92" s="6" t="s">
        <v>60</v>
      </c>
      <c r="AA92" s="6" t="s">
        <v>60</v>
      </c>
      <c r="AF92" s="6" t="str">
        <f>_xlfn.IFNA(VLOOKUP(U92,'Incoming Material Report'!A:M,13,FALSE),"")</f>
        <v/>
      </c>
      <c r="AG92" s="6" t="str">
        <f>_xlfn.IFNA(IF(VLOOKUP(U92,'Incoming Material Report'!A:N,14,FALSE)="","",VLOOKUP(U92,'Incoming Material Report'!A:N,14,FALSE)),"")</f>
        <v/>
      </c>
      <c r="AH92" s="6" t="str">
        <f>_xlfn.IFNA(VLOOKUP(U92,'Incoming Material Report'!A:Z,24,FALSE),"")</f>
        <v/>
      </c>
      <c r="AI92" s="6" t="str">
        <f>_xlfn.IFNA(VLOOKUP(U92,'Incoming Material Report'!A:Z,25,FALSE),"")</f>
        <v/>
      </c>
      <c r="AJ92" s="6" t="str">
        <f>_xlfn.IFNA(VLOOKUP(U92,'Incoming Material Report'!A:Z,26,FALSE),"")</f>
        <v/>
      </c>
      <c r="AK92" s="6" t="str">
        <f>_xlfn.IFNA(VLOOKUP(U92,'Incoming Material Report'!A:Z,2,FALSE),"")</f>
        <v/>
      </c>
      <c r="AL92" s="6" t="str">
        <f>_xlfn.IFNA(VLOOKUP(U92,'Incoming Material Report'!A:K,11,FALSE)/1000,"")</f>
        <v/>
      </c>
      <c r="AN92" s="6" t="str">
        <f>_xlfn.IFNA(VLOOKUP(U92,'Incoming Material Report'!A:R,18,FALSE)*1000,"")</f>
        <v/>
      </c>
      <c r="AP92" s="6" t="str">
        <f>_xlfn.IFNA(TEXT(VLOOKUP(U92,'Incoming Material Report'!A:D,4,FALSE),"dd.mm.yyyy"),"")</f>
        <v/>
      </c>
    </row>
    <row r="93" spans="26:42" x14ac:dyDescent="0.25">
      <c r="Z93" s="6" t="s">
        <v>60</v>
      </c>
      <c r="AA93" s="6" t="s">
        <v>60</v>
      </c>
      <c r="AF93" s="6" t="str">
        <f>_xlfn.IFNA(VLOOKUP(U93,'Incoming Material Report'!A:M,13,FALSE),"")</f>
        <v/>
      </c>
      <c r="AG93" s="6" t="str">
        <f>_xlfn.IFNA(IF(VLOOKUP(U93,'Incoming Material Report'!A:N,14,FALSE)="","",VLOOKUP(U93,'Incoming Material Report'!A:N,14,FALSE)),"")</f>
        <v/>
      </c>
      <c r="AH93" s="6" t="str">
        <f>_xlfn.IFNA(VLOOKUP(U93,'Incoming Material Report'!A:Z,24,FALSE),"")</f>
        <v/>
      </c>
      <c r="AI93" s="6" t="str">
        <f>_xlfn.IFNA(VLOOKUP(U93,'Incoming Material Report'!A:Z,25,FALSE),"")</f>
        <v/>
      </c>
      <c r="AJ93" s="6" t="str">
        <f>_xlfn.IFNA(VLOOKUP(U93,'Incoming Material Report'!A:Z,26,FALSE),"")</f>
        <v/>
      </c>
      <c r="AK93" s="6" t="str">
        <f>_xlfn.IFNA(VLOOKUP(U93,'Incoming Material Report'!A:Z,2,FALSE),"")</f>
        <v/>
      </c>
      <c r="AL93" s="6" t="str">
        <f>_xlfn.IFNA(VLOOKUP(U93,'Incoming Material Report'!A:K,11,FALSE)/1000,"")</f>
        <v/>
      </c>
      <c r="AN93" s="6" t="str">
        <f>_xlfn.IFNA(VLOOKUP(U93,'Incoming Material Report'!A:R,18,FALSE)*1000,"")</f>
        <v/>
      </c>
      <c r="AP93" s="6" t="str">
        <f>_xlfn.IFNA(TEXT(VLOOKUP(U93,'Incoming Material Report'!A:D,4,FALSE),"dd.mm.yyyy"),"")</f>
        <v/>
      </c>
    </row>
    <row r="94" spans="26:42" x14ac:dyDescent="0.25">
      <c r="Z94" s="6" t="s">
        <v>60</v>
      </c>
      <c r="AA94" s="6" t="s">
        <v>60</v>
      </c>
      <c r="AF94" s="6" t="str">
        <f>_xlfn.IFNA(VLOOKUP(U94,'Incoming Material Report'!A:M,13,FALSE),"")</f>
        <v/>
      </c>
      <c r="AG94" s="6" t="str">
        <f>_xlfn.IFNA(IF(VLOOKUP(U94,'Incoming Material Report'!A:N,14,FALSE)="","",VLOOKUP(U94,'Incoming Material Report'!A:N,14,FALSE)),"")</f>
        <v/>
      </c>
      <c r="AH94" s="6" t="str">
        <f>_xlfn.IFNA(VLOOKUP(U94,'Incoming Material Report'!A:Z,24,FALSE),"")</f>
        <v/>
      </c>
      <c r="AI94" s="6" t="str">
        <f>_xlfn.IFNA(VLOOKUP(U94,'Incoming Material Report'!A:Z,25,FALSE),"")</f>
        <v/>
      </c>
      <c r="AJ94" s="6" t="str">
        <f>_xlfn.IFNA(VLOOKUP(U94,'Incoming Material Report'!A:Z,26,FALSE),"")</f>
        <v/>
      </c>
      <c r="AK94" s="6" t="str">
        <f>_xlfn.IFNA(VLOOKUP(U94,'Incoming Material Report'!A:Z,2,FALSE),"")</f>
        <v/>
      </c>
      <c r="AL94" s="6" t="str">
        <f>_xlfn.IFNA(VLOOKUP(U94,'Incoming Material Report'!A:K,11,FALSE)/1000,"")</f>
        <v/>
      </c>
      <c r="AN94" s="6" t="str">
        <f>_xlfn.IFNA(VLOOKUP(U94,'Incoming Material Report'!A:R,18,FALSE)*1000,"")</f>
        <v/>
      </c>
      <c r="AP94" s="6" t="str">
        <f>_xlfn.IFNA(TEXT(VLOOKUP(U94,'Incoming Material Report'!A:D,4,FALSE),"dd.mm.yyyy"),"")</f>
        <v/>
      </c>
    </row>
    <row r="95" spans="26:42" x14ac:dyDescent="0.25">
      <c r="Z95" s="6" t="s">
        <v>60</v>
      </c>
      <c r="AA95" s="6" t="s">
        <v>60</v>
      </c>
      <c r="AF95" s="6" t="str">
        <f>_xlfn.IFNA(VLOOKUP(U95,'Incoming Material Report'!A:M,13,FALSE),"")</f>
        <v/>
      </c>
      <c r="AG95" s="6" t="str">
        <f>_xlfn.IFNA(IF(VLOOKUP(U95,'Incoming Material Report'!A:N,14,FALSE)="","",VLOOKUP(U95,'Incoming Material Report'!A:N,14,FALSE)),"")</f>
        <v/>
      </c>
      <c r="AH95" s="6" t="str">
        <f>_xlfn.IFNA(VLOOKUP(U95,'Incoming Material Report'!A:Z,24,FALSE),"")</f>
        <v/>
      </c>
      <c r="AI95" s="6" t="str">
        <f>_xlfn.IFNA(VLOOKUP(U95,'Incoming Material Report'!A:Z,25,FALSE),"")</f>
        <v/>
      </c>
      <c r="AJ95" s="6" t="str">
        <f>_xlfn.IFNA(VLOOKUP(U95,'Incoming Material Report'!A:Z,26,FALSE),"")</f>
        <v/>
      </c>
      <c r="AK95" s="6" t="str">
        <f>_xlfn.IFNA(VLOOKUP(U95,'Incoming Material Report'!A:Z,2,FALSE),"")</f>
        <v/>
      </c>
      <c r="AL95" s="6" t="str">
        <f>_xlfn.IFNA(VLOOKUP(U95,'Incoming Material Report'!A:K,11,FALSE)/1000,"")</f>
        <v/>
      </c>
      <c r="AN95" s="6" t="str">
        <f>_xlfn.IFNA(VLOOKUP(U95,'Incoming Material Report'!A:R,18,FALSE)*1000,"")</f>
        <v/>
      </c>
      <c r="AP95" s="6" t="str">
        <f>_xlfn.IFNA(TEXT(VLOOKUP(U95,'Incoming Material Report'!A:D,4,FALSE),"dd.mm.yyyy"),"")</f>
        <v/>
      </c>
    </row>
    <row r="96" spans="26:42" x14ac:dyDescent="0.25">
      <c r="Z96" s="6" t="s">
        <v>60</v>
      </c>
      <c r="AA96" s="6" t="s">
        <v>60</v>
      </c>
      <c r="AF96" s="6" t="str">
        <f>_xlfn.IFNA(VLOOKUP(U96,'Incoming Material Report'!A:M,13,FALSE),"")</f>
        <v/>
      </c>
      <c r="AG96" s="6" t="str">
        <f>_xlfn.IFNA(IF(VLOOKUP(U96,'Incoming Material Report'!A:N,14,FALSE)="","",VLOOKUP(U96,'Incoming Material Report'!A:N,14,FALSE)),"")</f>
        <v/>
      </c>
      <c r="AH96" s="6" t="str">
        <f>_xlfn.IFNA(VLOOKUP(U96,'Incoming Material Report'!A:Z,24,FALSE),"")</f>
        <v/>
      </c>
      <c r="AI96" s="6" t="str">
        <f>_xlfn.IFNA(VLOOKUP(U96,'Incoming Material Report'!A:Z,25,FALSE),"")</f>
        <v/>
      </c>
      <c r="AJ96" s="6" t="str">
        <f>_xlfn.IFNA(VLOOKUP(U96,'Incoming Material Report'!A:Z,26,FALSE),"")</f>
        <v/>
      </c>
      <c r="AK96" s="6" t="str">
        <f>_xlfn.IFNA(VLOOKUP(U96,'Incoming Material Report'!A:Z,2,FALSE),"")</f>
        <v/>
      </c>
      <c r="AL96" s="6" t="str">
        <f>_xlfn.IFNA(VLOOKUP(U96,'Incoming Material Report'!A:K,11,FALSE)/1000,"")</f>
        <v/>
      </c>
      <c r="AN96" s="6" t="str">
        <f>_xlfn.IFNA(VLOOKUP(U96,'Incoming Material Report'!A:R,18,FALSE)*1000,"")</f>
        <v/>
      </c>
      <c r="AP96" s="6" t="str">
        <f>_xlfn.IFNA(TEXT(VLOOKUP(U96,'Incoming Material Report'!A:D,4,FALSE),"dd.mm.yyyy"),"")</f>
        <v/>
      </c>
    </row>
    <row r="97" spans="26:42" x14ac:dyDescent="0.25">
      <c r="Z97" s="6" t="s">
        <v>60</v>
      </c>
      <c r="AA97" s="6" t="s">
        <v>60</v>
      </c>
      <c r="AF97" s="6" t="str">
        <f>_xlfn.IFNA(VLOOKUP(U97,'Incoming Material Report'!A:M,13,FALSE),"")</f>
        <v/>
      </c>
      <c r="AG97" s="6" t="str">
        <f>_xlfn.IFNA(IF(VLOOKUP(U97,'Incoming Material Report'!A:N,14,FALSE)="","",VLOOKUP(U97,'Incoming Material Report'!A:N,14,FALSE)),"")</f>
        <v/>
      </c>
      <c r="AH97" s="6" t="str">
        <f>_xlfn.IFNA(VLOOKUP(U97,'Incoming Material Report'!A:Z,24,FALSE),"")</f>
        <v/>
      </c>
      <c r="AI97" s="6" t="str">
        <f>_xlfn.IFNA(VLOOKUP(U97,'Incoming Material Report'!A:Z,25,FALSE),"")</f>
        <v/>
      </c>
      <c r="AJ97" s="6" t="str">
        <f>_xlfn.IFNA(VLOOKUP(U97,'Incoming Material Report'!A:Z,26,FALSE),"")</f>
        <v/>
      </c>
      <c r="AK97" s="6" t="str">
        <f>_xlfn.IFNA(VLOOKUP(U97,'Incoming Material Report'!A:Z,2,FALSE),"")</f>
        <v/>
      </c>
      <c r="AL97" s="6" t="str">
        <f>_xlfn.IFNA(VLOOKUP(U97,'Incoming Material Report'!A:K,11,FALSE)/1000,"")</f>
        <v/>
      </c>
      <c r="AN97" s="6" t="str">
        <f>_xlfn.IFNA(VLOOKUP(U97,'Incoming Material Report'!A:R,18,FALSE)*1000,"")</f>
        <v/>
      </c>
      <c r="AP97" s="6" t="str">
        <f>_xlfn.IFNA(TEXT(VLOOKUP(U97,'Incoming Material Report'!A:D,4,FALSE),"dd.mm.yyyy"),"")</f>
        <v/>
      </c>
    </row>
    <row r="98" spans="26:42" x14ac:dyDescent="0.25">
      <c r="Z98" s="6" t="s">
        <v>60</v>
      </c>
      <c r="AA98" s="6" t="s">
        <v>60</v>
      </c>
      <c r="AF98" s="6" t="str">
        <f>_xlfn.IFNA(VLOOKUP(U98,'Incoming Material Report'!A:M,13,FALSE),"")</f>
        <v/>
      </c>
      <c r="AG98" s="6" t="str">
        <f>_xlfn.IFNA(IF(VLOOKUP(U98,'Incoming Material Report'!A:N,14,FALSE)="","",VLOOKUP(U98,'Incoming Material Report'!A:N,14,FALSE)),"")</f>
        <v/>
      </c>
      <c r="AH98" s="6" t="str">
        <f>_xlfn.IFNA(VLOOKUP(U98,'Incoming Material Report'!A:Z,24,FALSE),"")</f>
        <v/>
      </c>
      <c r="AI98" s="6" t="str">
        <f>_xlfn.IFNA(VLOOKUP(U98,'Incoming Material Report'!A:Z,25,FALSE),"")</f>
        <v/>
      </c>
      <c r="AJ98" s="6" t="str">
        <f>_xlfn.IFNA(VLOOKUP(U98,'Incoming Material Report'!A:Z,26,FALSE),"")</f>
        <v/>
      </c>
      <c r="AK98" s="6" t="str">
        <f>_xlfn.IFNA(VLOOKUP(U98,'Incoming Material Report'!A:Z,2,FALSE),"")</f>
        <v/>
      </c>
      <c r="AL98" s="6" t="str">
        <f>_xlfn.IFNA(VLOOKUP(U98,'Incoming Material Report'!A:K,11,FALSE)/1000,"")</f>
        <v/>
      </c>
      <c r="AN98" s="6" t="str">
        <f>_xlfn.IFNA(VLOOKUP(U98,'Incoming Material Report'!A:R,18,FALSE)*1000,"")</f>
        <v/>
      </c>
      <c r="AP98" s="6" t="str">
        <f>_xlfn.IFNA(TEXT(VLOOKUP(U98,'Incoming Material Report'!A:D,4,FALSE),"dd.mm.yyyy"),"")</f>
        <v/>
      </c>
    </row>
    <row r="99" spans="26:42" x14ac:dyDescent="0.25">
      <c r="Z99" s="6" t="s">
        <v>60</v>
      </c>
      <c r="AA99" s="6" t="s">
        <v>60</v>
      </c>
      <c r="AF99" s="6" t="str">
        <f>_xlfn.IFNA(VLOOKUP(U99,'Incoming Material Report'!A:M,13,FALSE),"")</f>
        <v/>
      </c>
      <c r="AG99" s="6" t="str">
        <f>_xlfn.IFNA(IF(VLOOKUP(U99,'Incoming Material Report'!A:N,14,FALSE)="","",VLOOKUP(U99,'Incoming Material Report'!A:N,14,FALSE)),"")</f>
        <v/>
      </c>
      <c r="AH99" s="6" t="str">
        <f>_xlfn.IFNA(VLOOKUP(U99,'Incoming Material Report'!A:Z,24,FALSE),"")</f>
        <v/>
      </c>
      <c r="AI99" s="6" t="str">
        <f>_xlfn.IFNA(VLOOKUP(U99,'Incoming Material Report'!A:Z,25,FALSE),"")</f>
        <v/>
      </c>
      <c r="AJ99" s="6" t="str">
        <f>_xlfn.IFNA(VLOOKUP(U99,'Incoming Material Report'!A:Z,26,FALSE),"")</f>
        <v/>
      </c>
      <c r="AK99" s="6" t="str">
        <f>_xlfn.IFNA(VLOOKUP(U99,'Incoming Material Report'!A:Z,2,FALSE),"")</f>
        <v/>
      </c>
      <c r="AL99" s="6" t="str">
        <f>_xlfn.IFNA(VLOOKUP(U99,'Incoming Material Report'!A:K,11,FALSE)/1000,"")</f>
        <v/>
      </c>
      <c r="AN99" s="6" t="str">
        <f>_xlfn.IFNA(VLOOKUP(U99,'Incoming Material Report'!A:R,18,FALSE)*1000,"")</f>
        <v/>
      </c>
      <c r="AP99" s="6" t="str">
        <f>_xlfn.IFNA(TEXT(VLOOKUP(U99,'Incoming Material Report'!A:D,4,FALSE),"dd.mm.yyyy"),"")</f>
        <v/>
      </c>
    </row>
    <row r="100" spans="26:42" x14ac:dyDescent="0.25">
      <c r="Z100" s="6" t="s">
        <v>60</v>
      </c>
      <c r="AA100" s="6" t="s">
        <v>60</v>
      </c>
      <c r="AF100" s="6" t="str">
        <f>_xlfn.IFNA(VLOOKUP(U100,'Incoming Material Report'!A:M,13,FALSE),"")</f>
        <v/>
      </c>
      <c r="AG100" s="6" t="str">
        <f>_xlfn.IFNA(IF(VLOOKUP(U100,'Incoming Material Report'!A:N,14,FALSE)="","",VLOOKUP(U100,'Incoming Material Report'!A:N,14,FALSE)),"")</f>
        <v/>
      </c>
      <c r="AH100" s="6" t="str">
        <f>_xlfn.IFNA(VLOOKUP(U100,'Incoming Material Report'!A:Z,24,FALSE),"")</f>
        <v/>
      </c>
      <c r="AI100" s="6" t="str">
        <f>_xlfn.IFNA(VLOOKUP(U100,'Incoming Material Report'!A:Z,25,FALSE),"")</f>
        <v/>
      </c>
      <c r="AJ100" s="6" t="str">
        <f>_xlfn.IFNA(VLOOKUP(U100,'Incoming Material Report'!A:Z,26,FALSE),"")</f>
        <v/>
      </c>
      <c r="AK100" s="6" t="str">
        <f>_xlfn.IFNA(VLOOKUP(U100,'Incoming Material Report'!A:Z,2,FALSE),"")</f>
        <v/>
      </c>
      <c r="AL100" s="6" t="str">
        <f>_xlfn.IFNA(VLOOKUP(U100,'Incoming Material Report'!A:K,11,FALSE)/1000,"")</f>
        <v/>
      </c>
      <c r="AN100" s="6" t="str">
        <f>_xlfn.IFNA(VLOOKUP(U100,'Incoming Material Report'!A:R,18,FALSE)*1000,"")</f>
        <v/>
      </c>
      <c r="AP100" s="6" t="str">
        <f>_xlfn.IFNA(TEXT(VLOOKUP(U100,'Incoming Material Report'!A:D,4,FALSE),"dd.mm.yyyy"),"")</f>
        <v/>
      </c>
    </row>
    <row r="101" spans="26:42" x14ac:dyDescent="0.25">
      <c r="Z101" s="6" t="s">
        <v>60</v>
      </c>
      <c r="AA101" s="6" t="s">
        <v>60</v>
      </c>
      <c r="AF101" s="6" t="str">
        <f>_xlfn.IFNA(VLOOKUP(U101,'Incoming Material Report'!A:M,13,FALSE),"")</f>
        <v/>
      </c>
      <c r="AG101" s="6" t="str">
        <f>_xlfn.IFNA(IF(VLOOKUP(U101,'Incoming Material Report'!A:N,14,FALSE)="","",VLOOKUP(U101,'Incoming Material Report'!A:N,14,FALSE)),"")</f>
        <v/>
      </c>
      <c r="AH101" s="6" t="str">
        <f>_xlfn.IFNA(VLOOKUP(U101,'Incoming Material Report'!A:Z,24,FALSE),"")</f>
        <v/>
      </c>
      <c r="AI101" s="6" t="str">
        <f>_xlfn.IFNA(VLOOKUP(U101,'Incoming Material Report'!A:Z,25,FALSE),"")</f>
        <v/>
      </c>
      <c r="AJ101" s="6" t="str">
        <f>_xlfn.IFNA(VLOOKUP(U101,'Incoming Material Report'!A:Z,26,FALSE),"")</f>
        <v/>
      </c>
      <c r="AK101" s="6" t="str">
        <f>_xlfn.IFNA(VLOOKUP(U101,'Incoming Material Report'!A:Z,2,FALSE),"")</f>
        <v/>
      </c>
      <c r="AL101" s="6" t="str">
        <f>_xlfn.IFNA(VLOOKUP(U101,'Incoming Material Report'!A:K,11,FALSE)/1000,"")</f>
        <v/>
      </c>
      <c r="AN101" s="6" t="str">
        <f>_xlfn.IFNA(VLOOKUP(U101,'Incoming Material Report'!A:R,18,FALSE)*1000,"")</f>
        <v/>
      </c>
      <c r="AP101" s="6" t="str">
        <f>_xlfn.IFNA(TEXT(VLOOKUP(U101,'Incoming Material Report'!A:D,4,FALSE),"dd.mm.yyyy"),"")</f>
        <v/>
      </c>
    </row>
    <row r="102" spans="26:42" x14ac:dyDescent="0.25">
      <c r="Z102" s="6" t="s">
        <v>60</v>
      </c>
      <c r="AA102" s="6" t="s">
        <v>60</v>
      </c>
      <c r="AF102" s="6" t="str">
        <f>_xlfn.IFNA(VLOOKUP(U102,'Incoming Material Report'!A:M,13,FALSE),"")</f>
        <v/>
      </c>
      <c r="AG102" s="6" t="str">
        <f>_xlfn.IFNA(IF(VLOOKUP(U102,'Incoming Material Report'!A:N,14,FALSE)="","",VLOOKUP(U102,'Incoming Material Report'!A:N,14,FALSE)),"")</f>
        <v/>
      </c>
      <c r="AH102" s="6" t="str">
        <f>_xlfn.IFNA(VLOOKUP(U102,'Incoming Material Report'!A:Z,24,FALSE),"")</f>
        <v/>
      </c>
      <c r="AI102" s="6" t="str">
        <f>_xlfn.IFNA(VLOOKUP(U102,'Incoming Material Report'!A:Z,25,FALSE),"")</f>
        <v/>
      </c>
      <c r="AJ102" s="6" t="str">
        <f>_xlfn.IFNA(VLOOKUP(U102,'Incoming Material Report'!A:Z,26,FALSE),"")</f>
        <v/>
      </c>
      <c r="AK102" s="6" t="str">
        <f>_xlfn.IFNA(VLOOKUP(U102,'Incoming Material Report'!A:Z,2,FALSE),"")</f>
        <v/>
      </c>
      <c r="AL102" s="6" t="str">
        <f>_xlfn.IFNA(VLOOKUP(U102,'Incoming Material Report'!A:K,11,FALSE)/1000,"")</f>
        <v/>
      </c>
      <c r="AN102" s="6" t="str">
        <f>_xlfn.IFNA(VLOOKUP(U102,'Incoming Material Report'!A:R,18,FALSE)*1000,"")</f>
        <v/>
      </c>
      <c r="AP102" s="6" t="str">
        <f>_xlfn.IFNA(TEXT(VLOOKUP(U102,'Incoming Material Report'!A:D,4,FALSE),"dd.mm.yyyy"),"")</f>
        <v/>
      </c>
    </row>
    <row r="103" spans="26:42" x14ac:dyDescent="0.25">
      <c r="Z103" s="6" t="s">
        <v>60</v>
      </c>
      <c r="AA103" s="6" t="s">
        <v>60</v>
      </c>
      <c r="AF103" s="6" t="str">
        <f>_xlfn.IFNA(VLOOKUP(U103,'Incoming Material Report'!A:M,13,FALSE),"")</f>
        <v/>
      </c>
      <c r="AG103" s="6" t="str">
        <f>_xlfn.IFNA(IF(VLOOKUP(U103,'Incoming Material Report'!A:N,14,FALSE)="","",VLOOKUP(U103,'Incoming Material Report'!A:N,14,FALSE)),"")</f>
        <v/>
      </c>
      <c r="AH103" s="6" t="str">
        <f>_xlfn.IFNA(VLOOKUP(U103,'Incoming Material Report'!A:Z,24,FALSE),"")</f>
        <v/>
      </c>
      <c r="AI103" s="6" t="str">
        <f>_xlfn.IFNA(VLOOKUP(U103,'Incoming Material Report'!A:Z,25,FALSE),"")</f>
        <v/>
      </c>
      <c r="AJ103" s="6" t="str">
        <f>_xlfn.IFNA(VLOOKUP(U103,'Incoming Material Report'!A:Z,26,FALSE),"")</f>
        <v/>
      </c>
      <c r="AK103" s="6" t="str">
        <f>_xlfn.IFNA(VLOOKUP(U103,'Incoming Material Report'!A:Z,2,FALSE),"")</f>
        <v/>
      </c>
      <c r="AL103" s="6" t="str">
        <f>_xlfn.IFNA(VLOOKUP(U103,'Incoming Material Report'!A:K,11,FALSE)/1000,"")</f>
        <v/>
      </c>
      <c r="AN103" s="6" t="str">
        <f>_xlfn.IFNA(VLOOKUP(U103,'Incoming Material Report'!A:R,18,FALSE)*1000,"")</f>
        <v/>
      </c>
      <c r="AP103" s="6" t="str">
        <f>_xlfn.IFNA(TEXT(VLOOKUP(U103,'Incoming Material Report'!A:D,4,FALSE),"dd.mm.yyyy"),"")</f>
        <v/>
      </c>
    </row>
    <row r="104" spans="26:42" x14ac:dyDescent="0.25">
      <c r="Z104" s="6" t="s">
        <v>60</v>
      </c>
      <c r="AA104" s="6" t="s">
        <v>60</v>
      </c>
      <c r="AF104" s="6" t="str">
        <f>_xlfn.IFNA(VLOOKUP(U104,'Incoming Material Report'!A:M,13,FALSE),"")</f>
        <v/>
      </c>
      <c r="AG104" s="6" t="str">
        <f>_xlfn.IFNA(IF(VLOOKUP(U104,'Incoming Material Report'!A:N,14,FALSE)="","",VLOOKUP(U104,'Incoming Material Report'!A:N,14,FALSE)),"")</f>
        <v/>
      </c>
      <c r="AH104" s="6" t="str">
        <f>_xlfn.IFNA(VLOOKUP(U104,'Incoming Material Report'!A:Z,24,FALSE),"")</f>
        <v/>
      </c>
      <c r="AI104" s="6" t="str">
        <f>_xlfn.IFNA(VLOOKUP(U104,'Incoming Material Report'!A:Z,25,FALSE),"")</f>
        <v/>
      </c>
      <c r="AJ104" s="6" t="str">
        <f>_xlfn.IFNA(VLOOKUP(U104,'Incoming Material Report'!A:Z,26,FALSE),"")</f>
        <v/>
      </c>
      <c r="AK104" s="6" t="str">
        <f>_xlfn.IFNA(VLOOKUP(U104,'Incoming Material Report'!A:Z,2,FALSE),"")</f>
        <v/>
      </c>
      <c r="AL104" s="6" t="str">
        <f>_xlfn.IFNA(VLOOKUP(U104,'Incoming Material Report'!A:K,11,FALSE)/1000,"")</f>
        <v/>
      </c>
      <c r="AN104" s="6" t="str">
        <f>_xlfn.IFNA(VLOOKUP(U104,'Incoming Material Report'!A:R,18,FALSE)*1000,"")</f>
        <v/>
      </c>
      <c r="AP104" s="6" t="str">
        <f>_xlfn.IFNA(TEXT(VLOOKUP(U104,'Incoming Material Report'!A:D,4,FALSE),"dd.mm.yyyy"),"")</f>
        <v/>
      </c>
    </row>
    <row r="105" spans="26:42" x14ac:dyDescent="0.25">
      <c r="Z105" s="6" t="s">
        <v>60</v>
      </c>
      <c r="AA105" s="6" t="s">
        <v>60</v>
      </c>
      <c r="AF105" s="6" t="str">
        <f>_xlfn.IFNA(VLOOKUP(U105,'Incoming Material Report'!A:M,13,FALSE),"")</f>
        <v/>
      </c>
      <c r="AG105" s="6" t="str">
        <f>_xlfn.IFNA(IF(VLOOKUP(U105,'Incoming Material Report'!A:N,14,FALSE)="","",VLOOKUP(U105,'Incoming Material Report'!A:N,14,FALSE)),"")</f>
        <v/>
      </c>
      <c r="AH105" s="6" t="str">
        <f>_xlfn.IFNA(VLOOKUP(U105,'Incoming Material Report'!A:Z,24,FALSE),"")</f>
        <v/>
      </c>
      <c r="AI105" s="6" t="str">
        <f>_xlfn.IFNA(VLOOKUP(U105,'Incoming Material Report'!A:Z,25,FALSE),"")</f>
        <v/>
      </c>
      <c r="AJ105" s="6" t="str">
        <f>_xlfn.IFNA(VLOOKUP(U105,'Incoming Material Report'!A:Z,26,FALSE),"")</f>
        <v/>
      </c>
      <c r="AK105" s="6" t="str">
        <f>_xlfn.IFNA(VLOOKUP(U105,'Incoming Material Report'!A:Z,2,FALSE),"")</f>
        <v/>
      </c>
      <c r="AL105" s="6" t="str">
        <f>_xlfn.IFNA(VLOOKUP(U105,'Incoming Material Report'!A:K,11,FALSE)/1000,"")</f>
        <v/>
      </c>
      <c r="AN105" s="6" t="str">
        <f>_xlfn.IFNA(VLOOKUP(U105,'Incoming Material Report'!A:R,18,FALSE)*1000,"")</f>
        <v/>
      </c>
      <c r="AP105" s="6" t="str">
        <f>_xlfn.IFNA(TEXT(VLOOKUP(U105,'Incoming Material Report'!A:D,4,FALSE),"dd.mm.yyyy"),"")</f>
        <v/>
      </c>
    </row>
    <row r="106" spans="26:42" x14ac:dyDescent="0.25">
      <c r="Z106" s="6" t="s">
        <v>60</v>
      </c>
      <c r="AA106" s="6" t="s">
        <v>60</v>
      </c>
      <c r="AF106" s="6" t="str">
        <f>_xlfn.IFNA(VLOOKUP(U106,'Incoming Material Report'!A:M,13,FALSE),"")</f>
        <v/>
      </c>
      <c r="AG106" s="6" t="str">
        <f>_xlfn.IFNA(IF(VLOOKUP(U106,'Incoming Material Report'!A:N,14,FALSE)="","",VLOOKUP(U106,'Incoming Material Report'!A:N,14,FALSE)),"")</f>
        <v/>
      </c>
      <c r="AH106" s="6" t="str">
        <f>_xlfn.IFNA(VLOOKUP(U106,'Incoming Material Report'!A:Z,24,FALSE),"")</f>
        <v/>
      </c>
      <c r="AI106" s="6" t="str">
        <f>_xlfn.IFNA(VLOOKUP(U106,'Incoming Material Report'!A:Z,25,FALSE),"")</f>
        <v/>
      </c>
      <c r="AJ106" s="6" t="str">
        <f>_xlfn.IFNA(VLOOKUP(U106,'Incoming Material Report'!A:Z,26,FALSE),"")</f>
        <v/>
      </c>
      <c r="AK106" s="6" t="str">
        <f>_xlfn.IFNA(VLOOKUP(U106,'Incoming Material Report'!A:Z,2,FALSE),"")</f>
        <v/>
      </c>
      <c r="AL106" s="6" t="str">
        <f>_xlfn.IFNA(VLOOKUP(U106,'Incoming Material Report'!A:K,11,FALSE)/1000,"")</f>
        <v/>
      </c>
      <c r="AN106" s="6" t="str">
        <f>_xlfn.IFNA(VLOOKUP(U106,'Incoming Material Report'!A:R,18,FALSE)*1000,"")</f>
        <v/>
      </c>
      <c r="AP106" s="6" t="str">
        <f>_xlfn.IFNA(TEXT(VLOOKUP(U106,'Incoming Material Report'!A:D,4,FALSE),"dd.mm.yyyy"),"")</f>
        <v/>
      </c>
    </row>
    <row r="107" spans="26:42" x14ac:dyDescent="0.25">
      <c r="Z107" s="6" t="s">
        <v>60</v>
      </c>
      <c r="AA107" s="6" t="s">
        <v>60</v>
      </c>
      <c r="AF107" s="6" t="str">
        <f>_xlfn.IFNA(VLOOKUP(U107,'Incoming Material Report'!A:M,13,FALSE),"")</f>
        <v/>
      </c>
      <c r="AG107" s="6" t="str">
        <f>_xlfn.IFNA(IF(VLOOKUP(U107,'Incoming Material Report'!A:N,14,FALSE)="","",VLOOKUP(U107,'Incoming Material Report'!A:N,14,FALSE)),"")</f>
        <v/>
      </c>
      <c r="AH107" s="6" t="str">
        <f>_xlfn.IFNA(VLOOKUP(U107,'Incoming Material Report'!A:Z,24,FALSE),"")</f>
        <v/>
      </c>
      <c r="AI107" s="6" t="str">
        <f>_xlfn.IFNA(VLOOKUP(U107,'Incoming Material Report'!A:Z,25,FALSE),"")</f>
        <v/>
      </c>
      <c r="AJ107" s="6" t="str">
        <f>_xlfn.IFNA(VLOOKUP(U107,'Incoming Material Report'!A:Z,26,FALSE),"")</f>
        <v/>
      </c>
      <c r="AK107" s="6" t="str">
        <f>_xlfn.IFNA(VLOOKUP(U107,'Incoming Material Report'!A:Z,2,FALSE),"")</f>
        <v/>
      </c>
      <c r="AL107" s="6" t="str">
        <f>_xlfn.IFNA(VLOOKUP(U107,'Incoming Material Report'!A:K,11,FALSE)/1000,"")</f>
        <v/>
      </c>
      <c r="AN107" s="6" t="str">
        <f>_xlfn.IFNA(VLOOKUP(U107,'Incoming Material Report'!A:R,18,FALSE)*1000,"")</f>
        <v/>
      </c>
      <c r="AP107" s="6" t="str">
        <f>_xlfn.IFNA(TEXT(VLOOKUP(U107,'Incoming Material Report'!A:D,4,FALSE),"dd.mm.yyyy"),"")</f>
        <v/>
      </c>
    </row>
    <row r="108" spans="26:42" x14ac:dyDescent="0.25">
      <c r="Z108" s="6" t="s">
        <v>60</v>
      </c>
      <c r="AA108" s="6" t="s">
        <v>60</v>
      </c>
      <c r="AF108" s="6" t="str">
        <f>_xlfn.IFNA(VLOOKUP(U108,'Incoming Material Report'!A:M,13,FALSE),"")</f>
        <v/>
      </c>
      <c r="AG108" s="6" t="str">
        <f>_xlfn.IFNA(IF(VLOOKUP(U108,'Incoming Material Report'!A:N,14,FALSE)="","",VLOOKUP(U108,'Incoming Material Report'!A:N,14,FALSE)),"")</f>
        <v/>
      </c>
      <c r="AH108" s="6" t="str">
        <f>_xlfn.IFNA(VLOOKUP(U108,'Incoming Material Report'!A:Z,24,FALSE),"")</f>
        <v/>
      </c>
      <c r="AI108" s="6" t="str">
        <f>_xlfn.IFNA(VLOOKUP(U108,'Incoming Material Report'!A:Z,25,FALSE),"")</f>
        <v/>
      </c>
      <c r="AJ108" s="6" t="str">
        <f>_xlfn.IFNA(VLOOKUP(U108,'Incoming Material Report'!A:Z,26,FALSE),"")</f>
        <v/>
      </c>
      <c r="AK108" s="6" t="str">
        <f>_xlfn.IFNA(VLOOKUP(U108,'Incoming Material Report'!A:Z,2,FALSE),"")</f>
        <v/>
      </c>
      <c r="AL108" s="6" t="str">
        <f>_xlfn.IFNA(VLOOKUP(U108,'Incoming Material Report'!A:K,11,FALSE)/1000,"")</f>
        <v/>
      </c>
      <c r="AN108" s="6" t="str">
        <f>_xlfn.IFNA(VLOOKUP(U108,'Incoming Material Report'!A:R,18,FALSE)*1000,"")</f>
        <v/>
      </c>
      <c r="AP108" s="6" t="str">
        <f>_xlfn.IFNA(TEXT(VLOOKUP(U108,'Incoming Material Report'!A:D,4,FALSE),"dd.mm.yyyy"),"")</f>
        <v/>
      </c>
    </row>
    <row r="109" spans="26:42" x14ac:dyDescent="0.25">
      <c r="Z109" s="6" t="s">
        <v>60</v>
      </c>
      <c r="AA109" s="6" t="s">
        <v>60</v>
      </c>
      <c r="AF109" s="6" t="str">
        <f>_xlfn.IFNA(VLOOKUP(U109,'Incoming Material Report'!A:M,13,FALSE),"")</f>
        <v/>
      </c>
      <c r="AG109" s="6" t="str">
        <f>_xlfn.IFNA(IF(VLOOKUP(U109,'Incoming Material Report'!A:N,14,FALSE)="","",VLOOKUP(U109,'Incoming Material Report'!A:N,14,FALSE)),"")</f>
        <v/>
      </c>
      <c r="AH109" s="6" t="str">
        <f>_xlfn.IFNA(VLOOKUP(U109,'Incoming Material Report'!A:Z,24,FALSE),"")</f>
        <v/>
      </c>
      <c r="AI109" s="6" t="str">
        <f>_xlfn.IFNA(VLOOKUP(U109,'Incoming Material Report'!A:Z,25,FALSE),"")</f>
        <v/>
      </c>
      <c r="AJ109" s="6" t="str">
        <f>_xlfn.IFNA(VLOOKUP(U109,'Incoming Material Report'!A:Z,26,FALSE),"")</f>
        <v/>
      </c>
      <c r="AK109" s="6" t="str">
        <f>_xlfn.IFNA(VLOOKUP(U109,'Incoming Material Report'!A:Z,2,FALSE),"")</f>
        <v/>
      </c>
      <c r="AL109" s="6" t="str">
        <f>_xlfn.IFNA(VLOOKUP(U109,'Incoming Material Report'!A:K,11,FALSE)/1000,"")</f>
        <v/>
      </c>
      <c r="AN109" s="6" t="str">
        <f>_xlfn.IFNA(VLOOKUP(U109,'Incoming Material Report'!A:R,18,FALSE)*1000,"")</f>
        <v/>
      </c>
      <c r="AP109" s="6" t="str">
        <f>_xlfn.IFNA(TEXT(VLOOKUP(U109,'Incoming Material Report'!A:D,4,FALSE),"dd.mm.yyyy"),"")</f>
        <v/>
      </c>
    </row>
    <row r="110" spans="26:42" x14ac:dyDescent="0.25">
      <c r="Z110" s="6" t="s">
        <v>60</v>
      </c>
      <c r="AA110" s="6" t="s">
        <v>60</v>
      </c>
      <c r="AF110" s="6" t="str">
        <f>_xlfn.IFNA(VLOOKUP(U110,'Incoming Material Report'!A:M,13,FALSE),"")</f>
        <v/>
      </c>
      <c r="AG110" s="6" t="str">
        <f>_xlfn.IFNA(IF(VLOOKUP(U110,'Incoming Material Report'!A:N,14,FALSE)="","",VLOOKUP(U110,'Incoming Material Report'!A:N,14,FALSE)),"")</f>
        <v/>
      </c>
      <c r="AH110" s="6" t="str">
        <f>_xlfn.IFNA(VLOOKUP(U110,'Incoming Material Report'!A:Z,24,FALSE),"")</f>
        <v/>
      </c>
      <c r="AI110" s="6" t="str">
        <f>_xlfn.IFNA(VLOOKUP(U110,'Incoming Material Report'!A:Z,25,FALSE),"")</f>
        <v/>
      </c>
      <c r="AJ110" s="6" t="str">
        <f>_xlfn.IFNA(VLOOKUP(U110,'Incoming Material Report'!A:Z,26,FALSE),"")</f>
        <v/>
      </c>
      <c r="AK110" s="6" t="str">
        <f>_xlfn.IFNA(VLOOKUP(U110,'Incoming Material Report'!A:Z,2,FALSE),"")</f>
        <v/>
      </c>
      <c r="AL110" s="6" t="str">
        <f>_xlfn.IFNA(VLOOKUP(U110,'Incoming Material Report'!A:K,11,FALSE)/1000,"")</f>
        <v/>
      </c>
      <c r="AN110" s="6" t="str">
        <f>_xlfn.IFNA(VLOOKUP(U110,'Incoming Material Report'!A:R,18,FALSE)*1000,"")</f>
        <v/>
      </c>
      <c r="AP110" s="6" t="str">
        <f>_xlfn.IFNA(TEXT(VLOOKUP(U110,'Incoming Material Report'!A:D,4,FALSE),"dd.mm.yyyy"),"")</f>
        <v/>
      </c>
    </row>
    <row r="111" spans="26:42" x14ac:dyDescent="0.25">
      <c r="Z111" s="6" t="s">
        <v>60</v>
      </c>
      <c r="AA111" s="6" t="s">
        <v>60</v>
      </c>
      <c r="AF111" s="6" t="str">
        <f>_xlfn.IFNA(VLOOKUP(U111,'Incoming Material Report'!A:M,13,FALSE),"")</f>
        <v/>
      </c>
      <c r="AG111" s="6" t="str">
        <f>_xlfn.IFNA(IF(VLOOKUP(U111,'Incoming Material Report'!A:N,14,FALSE)="","",VLOOKUP(U111,'Incoming Material Report'!A:N,14,FALSE)),"")</f>
        <v/>
      </c>
      <c r="AH111" s="6" t="str">
        <f>_xlfn.IFNA(VLOOKUP(U111,'Incoming Material Report'!A:Z,24,FALSE),"")</f>
        <v/>
      </c>
      <c r="AI111" s="6" t="str">
        <f>_xlfn.IFNA(VLOOKUP(U111,'Incoming Material Report'!A:Z,25,FALSE),"")</f>
        <v/>
      </c>
      <c r="AJ111" s="6" t="str">
        <f>_xlfn.IFNA(VLOOKUP(U111,'Incoming Material Report'!A:Z,26,FALSE),"")</f>
        <v/>
      </c>
      <c r="AK111" s="6" t="str">
        <f>_xlfn.IFNA(VLOOKUP(U111,'Incoming Material Report'!A:Z,2,FALSE),"")</f>
        <v/>
      </c>
      <c r="AL111" s="6" t="str">
        <f>_xlfn.IFNA(VLOOKUP(U111,'Incoming Material Report'!A:K,11,FALSE)/1000,"")</f>
        <v/>
      </c>
      <c r="AN111" s="6" t="str">
        <f>_xlfn.IFNA(VLOOKUP(U111,'Incoming Material Report'!A:R,18,FALSE)*1000,"")</f>
        <v/>
      </c>
      <c r="AP111" s="6" t="str">
        <f>_xlfn.IFNA(TEXT(VLOOKUP(U111,'Incoming Material Report'!A:D,4,FALSE),"dd.mm.yyyy"),"")</f>
        <v/>
      </c>
    </row>
    <row r="112" spans="26:42" x14ac:dyDescent="0.25">
      <c r="Z112" s="6" t="s">
        <v>60</v>
      </c>
      <c r="AA112" s="6" t="s">
        <v>60</v>
      </c>
      <c r="AF112" s="6" t="str">
        <f>_xlfn.IFNA(VLOOKUP(U112,'Incoming Material Report'!A:M,13,FALSE),"")</f>
        <v/>
      </c>
      <c r="AG112" s="6" t="str">
        <f>_xlfn.IFNA(IF(VLOOKUP(U112,'Incoming Material Report'!A:N,14,FALSE)="","",VLOOKUP(U112,'Incoming Material Report'!A:N,14,FALSE)),"")</f>
        <v/>
      </c>
      <c r="AH112" s="6" t="str">
        <f>_xlfn.IFNA(VLOOKUP(U112,'Incoming Material Report'!A:Z,24,FALSE),"")</f>
        <v/>
      </c>
      <c r="AI112" s="6" t="str">
        <f>_xlfn.IFNA(VLOOKUP(U112,'Incoming Material Report'!A:Z,25,FALSE),"")</f>
        <v/>
      </c>
      <c r="AJ112" s="6" t="str">
        <f>_xlfn.IFNA(VLOOKUP(U112,'Incoming Material Report'!A:Z,26,FALSE),"")</f>
        <v/>
      </c>
      <c r="AK112" s="6" t="str">
        <f>_xlfn.IFNA(VLOOKUP(U112,'Incoming Material Report'!A:Z,2,FALSE),"")</f>
        <v/>
      </c>
      <c r="AL112" s="6" t="str">
        <f>_xlfn.IFNA(VLOOKUP(U112,'Incoming Material Report'!A:K,11,FALSE)/1000,"")</f>
        <v/>
      </c>
      <c r="AN112" s="6" t="str">
        <f>_xlfn.IFNA(VLOOKUP(U112,'Incoming Material Report'!A:R,18,FALSE)*1000,"")</f>
        <v/>
      </c>
      <c r="AP112" s="6" t="str">
        <f>_xlfn.IFNA(TEXT(VLOOKUP(U112,'Incoming Material Report'!A:D,4,FALSE),"dd.mm.yyyy"),"")</f>
        <v/>
      </c>
    </row>
    <row r="113" spans="26:27" x14ac:dyDescent="0.25">
      <c r="Z113" s="6" t="s">
        <v>60</v>
      </c>
      <c r="AA113" s="6" t="s">
        <v>60</v>
      </c>
    </row>
    <row r="114" spans="26:27" x14ac:dyDescent="0.25">
      <c r="Z114" s="6" t="s">
        <v>60</v>
      </c>
      <c r="AA114" s="6" t="s">
        <v>60</v>
      </c>
    </row>
    <row r="115" spans="26:27" x14ac:dyDescent="0.25">
      <c r="Z115" s="6" t="s">
        <v>60</v>
      </c>
      <c r="AA115" s="6" t="s">
        <v>60</v>
      </c>
    </row>
    <row r="116" spans="26:27" x14ac:dyDescent="0.25">
      <c r="Z116" s="6" t="s">
        <v>60</v>
      </c>
      <c r="AA116" s="6" t="s">
        <v>60</v>
      </c>
    </row>
    <row r="117" spans="26:27" x14ac:dyDescent="0.25">
      <c r="Z117" s="6" t="s">
        <v>60</v>
      </c>
      <c r="AA117" s="6" t="s">
        <v>60</v>
      </c>
    </row>
    <row r="118" spans="26:27" x14ac:dyDescent="0.25">
      <c r="Z118" s="6" t="s">
        <v>60</v>
      </c>
      <c r="AA118" s="6" t="s">
        <v>60</v>
      </c>
    </row>
    <row r="119" spans="26:27" x14ac:dyDescent="0.25">
      <c r="Z119" s="6" t="s">
        <v>60</v>
      </c>
      <c r="AA119" s="6" t="s">
        <v>60</v>
      </c>
    </row>
    <row r="120" spans="26:27" x14ac:dyDescent="0.25">
      <c r="Z120" s="6" t="s">
        <v>60</v>
      </c>
      <c r="AA120" s="6" t="s">
        <v>60</v>
      </c>
    </row>
    <row r="121" spans="26:27" x14ac:dyDescent="0.25">
      <c r="Z121" s="6" t="s">
        <v>60</v>
      </c>
      <c r="AA121" s="6" t="s">
        <v>60</v>
      </c>
    </row>
    <row r="122" spans="26:27" x14ac:dyDescent="0.25">
      <c r="Z122" s="6" t="s">
        <v>60</v>
      </c>
      <c r="AA122" s="6" t="s">
        <v>60</v>
      </c>
    </row>
    <row r="123" spans="26:27" x14ac:dyDescent="0.25">
      <c r="Z123" s="6" t="s">
        <v>60</v>
      </c>
      <c r="AA123" s="6" t="s">
        <v>60</v>
      </c>
    </row>
    <row r="124" spans="26:27" x14ac:dyDescent="0.25">
      <c r="Z124" s="6" t="s">
        <v>60</v>
      </c>
      <c r="AA124" s="6" t="s">
        <v>60</v>
      </c>
    </row>
    <row r="125" spans="26:27" x14ac:dyDescent="0.25">
      <c r="Z125" s="6" t="s">
        <v>60</v>
      </c>
      <c r="AA125" s="6" t="s">
        <v>60</v>
      </c>
    </row>
    <row r="126" spans="26:27" x14ac:dyDescent="0.25">
      <c r="Z126" s="6" t="s">
        <v>60</v>
      </c>
      <c r="AA126" s="6" t="s">
        <v>60</v>
      </c>
    </row>
    <row r="127" spans="26:27" x14ac:dyDescent="0.25">
      <c r="Z127" s="6" t="s">
        <v>60</v>
      </c>
      <c r="AA127" s="6" t="s">
        <v>60</v>
      </c>
    </row>
    <row r="128" spans="26:27" x14ac:dyDescent="0.25">
      <c r="Z128" s="6" t="s">
        <v>60</v>
      </c>
      <c r="AA128" s="6" t="s">
        <v>60</v>
      </c>
    </row>
    <row r="129" spans="26:27" x14ac:dyDescent="0.25">
      <c r="Z129" s="6" t="s">
        <v>60</v>
      </c>
      <c r="AA129" s="6" t="s">
        <v>60</v>
      </c>
    </row>
    <row r="130" spans="26:27" x14ac:dyDescent="0.25">
      <c r="Z130" s="6" t="s">
        <v>60</v>
      </c>
      <c r="AA130" s="6" t="s">
        <v>60</v>
      </c>
    </row>
    <row r="131" spans="26:27" x14ac:dyDescent="0.25">
      <c r="Z131" s="6" t="s">
        <v>60</v>
      </c>
      <c r="AA131" s="6" t="s">
        <v>60</v>
      </c>
    </row>
    <row r="132" spans="26:27" x14ac:dyDescent="0.25">
      <c r="Z132" s="6" t="s">
        <v>60</v>
      </c>
      <c r="AA132" s="6" t="s">
        <v>60</v>
      </c>
    </row>
    <row r="133" spans="26:27" x14ac:dyDescent="0.25">
      <c r="Z133" s="6" t="s">
        <v>60</v>
      </c>
      <c r="AA133" s="6" t="s">
        <v>60</v>
      </c>
    </row>
    <row r="134" spans="26:27" x14ac:dyDescent="0.25">
      <c r="Z134" s="6" t="s">
        <v>60</v>
      </c>
      <c r="AA134" s="6" t="s">
        <v>60</v>
      </c>
    </row>
    <row r="135" spans="26:27" x14ac:dyDescent="0.25">
      <c r="Z135" s="6" t="s">
        <v>60</v>
      </c>
      <c r="AA135" s="6" t="s">
        <v>60</v>
      </c>
    </row>
    <row r="136" spans="26:27" x14ac:dyDescent="0.25">
      <c r="Z136" s="6" t="s">
        <v>60</v>
      </c>
      <c r="AA136" s="6" t="s">
        <v>60</v>
      </c>
    </row>
    <row r="137" spans="26:27" x14ac:dyDescent="0.25">
      <c r="Z137" s="6" t="s">
        <v>60</v>
      </c>
      <c r="AA137" s="6" t="s">
        <v>60</v>
      </c>
    </row>
    <row r="138" spans="26:27" x14ac:dyDescent="0.25">
      <c r="Z138" s="6" t="s">
        <v>60</v>
      </c>
      <c r="AA138" s="6" t="s">
        <v>60</v>
      </c>
    </row>
    <row r="139" spans="26:27" x14ac:dyDescent="0.25">
      <c r="Z139" s="6" t="s">
        <v>60</v>
      </c>
      <c r="AA139" s="6" t="s">
        <v>60</v>
      </c>
    </row>
    <row r="140" spans="26:27" x14ac:dyDescent="0.25">
      <c r="Z140" s="6" t="s">
        <v>60</v>
      </c>
      <c r="AA140" s="6" t="s">
        <v>60</v>
      </c>
    </row>
    <row r="141" spans="26:27" x14ac:dyDescent="0.25">
      <c r="Z141" s="6" t="s">
        <v>60</v>
      </c>
      <c r="AA141" s="6" t="s">
        <v>60</v>
      </c>
    </row>
    <row r="142" spans="26:27" x14ac:dyDescent="0.25">
      <c r="Z142" s="6" t="s">
        <v>60</v>
      </c>
      <c r="AA142" s="6" t="s">
        <v>60</v>
      </c>
    </row>
    <row r="143" spans="26:27" x14ac:dyDescent="0.25">
      <c r="Z143" s="6" t="s">
        <v>60</v>
      </c>
      <c r="AA143" s="6" t="s">
        <v>60</v>
      </c>
    </row>
    <row r="144" spans="26:27" x14ac:dyDescent="0.25">
      <c r="Z144" s="6" t="s">
        <v>60</v>
      </c>
      <c r="AA144" s="6" t="s">
        <v>60</v>
      </c>
    </row>
    <row r="145" spans="26:27" x14ac:dyDescent="0.25">
      <c r="Z145" s="6" t="s">
        <v>60</v>
      </c>
      <c r="AA145" s="6" t="s">
        <v>60</v>
      </c>
    </row>
    <row r="146" spans="26:27" x14ac:dyDescent="0.25">
      <c r="Z146" s="6" t="s">
        <v>60</v>
      </c>
      <c r="AA146" s="6" t="s">
        <v>60</v>
      </c>
    </row>
    <row r="147" spans="26:27" x14ac:dyDescent="0.25">
      <c r="Z147" s="6" t="s">
        <v>60</v>
      </c>
      <c r="AA147" s="6" t="s">
        <v>60</v>
      </c>
    </row>
    <row r="148" spans="26:27" x14ac:dyDescent="0.25">
      <c r="Z148" s="6" t="s">
        <v>60</v>
      </c>
      <c r="AA148" s="6" t="s">
        <v>60</v>
      </c>
    </row>
    <row r="149" spans="26:27" x14ac:dyDescent="0.25">
      <c r="Z149" s="6" t="s">
        <v>60</v>
      </c>
      <c r="AA149" s="6" t="s">
        <v>60</v>
      </c>
    </row>
    <row r="150" spans="26:27" x14ac:dyDescent="0.25">
      <c r="Z150" s="6" t="s">
        <v>60</v>
      </c>
      <c r="AA150" s="6" t="s">
        <v>60</v>
      </c>
    </row>
    <row r="151" spans="26:27" x14ac:dyDescent="0.25">
      <c r="Z151" s="6" t="s">
        <v>60</v>
      </c>
      <c r="AA151" s="6" t="s">
        <v>60</v>
      </c>
    </row>
    <row r="152" spans="26:27" x14ac:dyDescent="0.25">
      <c r="Z152" s="6" t="s">
        <v>60</v>
      </c>
      <c r="AA152" s="6" t="s">
        <v>60</v>
      </c>
    </row>
    <row r="153" spans="26:27" x14ac:dyDescent="0.25">
      <c r="Z153" s="6" t="s">
        <v>60</v>
      </c>
      <c r="AA153" s="6" t="s">
        <v>60</v>
      </c>
    </row>
    <row r="154" spans="26:27" x14ac:dyDescent="0.25">
      <c r="Z154" s="6" t="s">
        <v>60</v>
      </c>
      <c r="AA154" s="6" t="s">
        <v>60</v>
      </c>
    </row>
    <row r="155" spans="26:27" x14ac:dyDescent="0.25">
      <c r="Z155" s="6" t="s">
        <v>60</v>
      </c>
      <c r="AA155" s="6" t="s">
        <v>60</v>
      </c>
    </row>
    <row r="156" spans="26:27" x14ac:dyDescent="0.25">
      <c r="Z156" s="6" t="s">
        <v>60</v>
      </c>
      <c r="AA156" s="6" t="s">
        <v>60</v>
      </c>
    </row>
    <row r="157" spans="26:27" x14ac:dyDescent="0.25">
      <c r="Z157" s="6" t="s">
        <v>60</v>
      </c>
      <c r="AA157" s="6" t="s">
        <v>60</v>
      </c>
    </row>
    <row r="158" spans="26:27" x14ac:dyDescent="0.25">
      <c r="Z158" s="6" t="s">
        <v>60</v>
      </c>
      <c r="AA158" s="6" t="s">
        <v>60</v>
      </c>
    </row>
    <row r="159" spans="26:27" x14ac:dyDescent="0.25">
      <c r="Z159" s="6" t="s">
        <v>60</v>
      </c>
      <c r="AA159" s="6" t="s">
        <v>60</v>
      </c>
    </row>
    <row r="160" spans="26:27" x14ac:dyDescent="0.25">
      <c r="Z160" s="6" t="s">
        <v>60</v>
      </c>
      <c r="AA160" s="6" t="s">
        <v>60</v>
      </c>
    </row>
    <row r="161" spans="26:27" x14ac:dyDescent="0.25">
      <c r="Z161" s="6" t="s">
        <v>60</v>
      </c>
      <c r="AA161" s="6" t="s">
        <v>60</v>
      </c>
    </row>
    <row r="162" spans="26:27" x14ac:dyDescent="0.25">
      <c r="Z162" s="6" t="s">
        <v>60</v>
      </c>
      <c r="AA162" s="6" t="s">
        <v>60</v>
      </c>
    </row>
    <row r="163" spans="26:27" x14ac:dyDescent="0.25">
      <c r="Z163" s="6" t="s">
        <v>60</v>
      </c>
      <c r="AA163" s="6" t="s">
        <v>60</v>
      </c>
    </row>
    <row r="164" spans="26:27" x14ac:dyDescent="0.25">
      <c r="Z164" s="6" t="s">
        <v>60</v>
      </c>
      <c r="AA164" s="6" t="s">
        <v>60</v>
      </c>
    </row>
    <row r="165" spans="26:27" x14ac:dyDescent="0.25">
      <c r="Z165" s="6" t="s">
        <v>60</v>
      </c>
      <c r="AA165" s="6" t="s">
        <v>60</v>
      </c>
    </row>
    <row r="166" spans="26:27" x14ac:dyDescent="0.25">
      <c r="Z166" s="6" t="s">
        <v>60</v>
      </c>
      <c r="AA166" s="6" t="s">
        <v>60</v>
      </c>
    </row>
    <row r="167" spans="26:27" x14ac:dyDescent="0.25">
      <c r="Z167" s="6" t="s">
        <v>60</v>
      </c>
      <c r="AA167" s="6" t="s">
        <v>60</v>
      </c>
    </row>
    <row r="168" spans="26:27" x14ac:dyDescent="0.25">
      <c r="Z168" s="6" t="s">
        <v>60</v>
      </c>
      <c r="AA168" s="6" t="s">
        <v>60</v>
      </c>
    </row>
    <row r="169" spans="26:27" x14ac:dyDescent="0.25">
      <c r="Z169" s="6" t="s">
        <v>60</v>
      </c>
      <c r="AA169" s="6" t="s">
        <v>60</v>
      </c>
    </row>
    <row r="170" spans="26:27" x14ac:dyDescent="0.25">
      <c r="Z170" s="6" t="s">
        <v>60</v>
      </c>
      <c r="AA170" s="6" t="s">
        <v>60</v>
      </c>
    </row>
    <row r="171" spans="26:27" x14ac:dyDescent="0.25">
      <c r="Z171" s="6" t="s">
        <v>60</v>
      </c>
      <c r="AA171" s="6" t="s">
        <v>60</v>
      </c>
    </row>
    <row r="172" spans="26:27" x14ac:dyDescent="0.25">
      <c r="Z172" s="6" t="s">
        <v>60</v>
      </c>
      <c r="AA172" s="6" t="s">
        <v>60</v>
      </c>
    </row>
    <row r="173" spans="26:27" x14ac:dyDescent="0.25">
      <c r="Z173" s="6" t="s">
        <v>60</v>
      </c>
      <c r="AA173" s="6" t="s">
        <v>60</v>
      </c>
    </row>
    <row r="174" spans="26:27" x14ac:dyDescent="0.25">
      <c r="Z174" s="6" t="s">
        <v>60</v>
      </c>
      <c r="AA174" s="6" t="s">
        <v>60</v>
      </c>
    </row>
    <row r="175" spans="26:27" x14ac:dyDescent="0.25">
      <c r="Z175" s="6" t="s">
        <v>60</v>
      </c>
      <c r="AA175" s="6" t="s">
        <v>60</v>
      </c>
    </row>
    <row r="176" spans="26:27" x14ac:dyDescent="0.25">
      <c r="Z176" s="6" t="s">
        <v>60</v>
      </c>
      <c r="AA176" s="6" t="s">
        <v>60</v>
      </c>
    </row>
    <row r="177" spans="26:27" x14ac:dyDescent="0.25">
      <c r="Z177" s="6" t="s">
        <v>60</v>
      </c>
      <c r="AA177" s="6" t="s">
        <v>60</v>
      </c>
    </row>
    <row r="178" spans="26:27" x14ac:dyDescent="0.25">
      <c r="Z178" s="6" t="s">
        <v>60</v>
      </c>
      <c r="AA178" s="6" t="s">
        <v>60</v>
      </c>
    </row>
    <row r="179" spans="26:27" x14ac:dyDescent="0.25">
      <c r="Z179" s="6" t="s">
        <v>60</v>
      </c>
      <c r="AA179" s="6" t="s">
        <v>60</v>
      </c>
    </row>
    <row r="180" spans="26:27" x14ac:dyDescent="0.25">
      <c r="Z180" s="6" t="s">
        <v>60</v>
      </c>
      <c r="AA180" s="6" t="s">
        <v>60</v>
      </c>
    </row>
    <row r="181" spans="26:27" x14ac:dyDescent="0.25">
      <c r="Z181" s="6" t="s">
        <v>60</v>
      </c>
      <c r="AA181" s="6" t="s">
        <v>60</v>
      </c>
    </row>
    <row r="182" spans="26:27" x14ac:dyDescent="0.25">
      <c r="Z182" s="6" t="s">
        <v>60</v>
      </c>
      <c r="AA182" s="6" t="s">
        <v>60</v>
      </c>
    </row>
    <row r="183" spans="26:27" x14ac:dyDescent="0.25">
      <c r="Z183" s="6" t="s">
        <v>60</v>
      </c>
      <c r="AA183" s="6" t="s">
        <v>60</v>
      </c>
    </row>
    <row r="184" spans="26:27" x14ac:dyDescent="0.25">
      <c r="Z184" s="6" t="s">
        <v>60</v>
      </c>
      <c r="AA184" s="6" t="s">
        <v>60</v>
      </c>
    </row>
  </sheetData>
  <conditionalFormatting sqref="AF2:AF1001">
    <cfRule type="expression" dxfId="15" priority="12">
      <formula>$AF2&lt;&gt;$O2</formula>
    </cfRule>
  </conditionalFormatting>
  <conditionalFormatting sqref="AG2:AG1001">
    <cfRule type="expression" dxfId="14" priority="11">
      <formula>$AG2&lt;&gt;$P2</formula>
    </cfRule>
  </conditionalFormatting>
  <conditionalFormatting sqref="AH2:AH1001">
    <cfRule type="expression" dxfId="13" priority="10">
      <formula>$AH2&lt;&gt;$Q2</formula>
    </cfRule>
  </conditionalFormatting>
  <conditionalFormatting sqref="AI2:AI1001">
    <cfRule type="expression" dxfId="12" priority="9">
      <formula>$AI2&lt;&gt;$R2</formula>
    </cfRule>
  </conditionalFormatting>
  <conditionalFormatting sqref="AK2:AK1001">
    <cfRule type="expression" dxfId="11" priority="8">
      <formula>$AK2&lt;&gt;$V2</formula>
    </cfRule>
  </conditionalFormatting>
  <conditionalFormatting sqref="H2:H1001 BE2:BE1001 AL2:AL1001">
    <cfRule type="expression" dxfId="10" priority="7">
      <formula>AND($AL2&lt;&gt;$H2,$H2&lt;&gt;$BE2)</formula>
    </cfRule>
  </conditionalFormatting>
  <conditionalFormatting sqref="BH20">
    <cfRule type="expression" dxfId="9" priority="4">
      <formula>AND($AQ2&lt;&gt;$BI2)</formula>
    </cfRule>
    <cfRule type="expression" dxfId="8" priority="5">
      <formula>AND($A2&lt;&gt;$J2,$J2&lt;&gt;$BJ2)</formula>
    </cfRule>
    <cfRule type="expression" dxfId="7" priority="6">
      <formula>AND($I2&lt;&gt;$AN2,$AN2&lt;&gt;$BG2)</formula>
    </cfRule>
  </conditionalFormatting>
  <conditionalFormatting sqref="E2:E1001 BK2:BK1001">
    <cfRule type="expression" dxfId="6" priority="1">
      <formula>AND($BK2&lt;&gt;$E2)</formula>
    </cfRule>
  </conditionalFormatting>
  <conditionalFormatting sqref="Y2:Y1001 BJ2:BJ1001">
    <cfRule type="expression" dxfId="5" priority="2">
      <formula>AND($Y2&lt;&gt;$BJ2)</formula>
    </cfRule>
  </conditionalFormatting>
  <conditionalFormatting sqref="X2:X1001 AS2:AS1001">
    <cfRule type="expression" dxfId="4" priority="3">
      <formula>AND($AS2&lt;&gt;$X2,$X2&lt;&gt;$BL2)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D1:BV185"/>
  <sheetViews>
    <sheetView topLeftCell="BE77" workbookViewId="0">
      <selection activeCell="A24" activeCellId="1" sqref="A1:XFD1048576 A24"/>
    </sheetView>
  </sheetViews>
  <sheetFormatPr defaultRowHeight="15" x14ac:dyDescent="0.25"/>
  <cols>
    <col min="4" max="4" width="13.85546875" bestFit="1" customWidth="1"/>
    <col min="36" max="36" width="11.42578125" bestFit="1" customWidth="1"/>
    <col min="42" max="42" width="12.42578125" bestFit="1" customWidth="1"/>
    <col min="49" max="49" width="14.140625" bestFit="1" customWidth="1"/>
    <col min="63" max="63" width="11.7109375" bestFit="1" customWidth="1"/>
    <col min="64" max="64" width="18.5703125" bestFit="1" customWidth="1"/>
    <col min="65" max="65" width="13.140625" style="6" bestFit="1" customWidth="1"/>
    <col min="68" max="68" width="10" bestFit="1" customWidth="1"/>
    <col min="72" max="72" width="9.140625" style="6"/>
  </cols>
  <sheetData>
    <row r="1" spans="58:74" x14ac:dyDescent="0.25">
      <c r="BF1" t="s">
        <v>62</v>
      </c>
      <c r="BG1" t="s">
        <v>63</v>
      </c>
      <c r="BH1" t="s">
        <v>13</v>
      </c>
      <c r="BI1" t="s">
        <v>14</v>
      </c>
      <c r="BJ1" t="s">
        <v>15</v>
      </c>
      <c r="BK1" t="s">
        <v>29</v>
      </c>
      <c r="BL1" t="s">
        <v>64</v>
      </c>
      <c r="BM1" s="6" t="s">
        <v>65</v>
      </c>
      <c r="BN1" t="s">
        <v>66</v>
      </c>
      <c r="BO1" t="s">
        <v>67</v>
      </c>
      <c r="BP1" t="s">
        <v>68</v>
      </c>
      <c r="BQ1" t="s">
        <v>69</v>
      </c>
      <c r="BR1" t="s">
        <v>3</v>
      </c>
      <c r="BS1" t="s">
        <v>35</v>
      </c>
      <c r="BT1" s="6" t="s">
        <v>70</v>
      </c>
      <c r="BU1" t="s">
        <v>81</v>
      </c>
      <c r="BV1" t="s">
        <v>64</v>
      </c>
    </row>
    <row r="2" spans="58:74" x14ac:dyDescent="0.25">
      <c r="BF2">
        <f t="shared" ref="BF2:BF34" si="0">N2</f>
        <v>0</v>
      </c>
      <c r="BG2">
        <f t="shared" ref="BG2:BG34" si="1">N2</f>
        <v>0</v>
      </c>
      <c r="BH2">
        <f t="shared" ref="BH2:BH34" si="2">T2</f>
        <v>0</v>
      </c>
      <c r="BI2">
        <f t="shared" ref="BI2:BI34" si="3">U2</f>
        <v>0</v>
      </c>
      <c r="BJ2">
        <f t="shared" ref="BJ2:BJ34" si="4">V2</f>
        <v>0</v>
      </c>
      <c r="BK2">
        <f t="shared" ref="BK2:BK34" si="5">I2</f>
        <v>0</v>
      </c>
      <c r="BL2">
        <f t="shared" ref="BL2:BL34" si="6">L2</f>
        <v>0</v>
      </c>
      <c r="BM2" s="12" t="str">
        <f t="shared" ref="BM2:BM34" si="7">SUBSTITUTE(J2,"/",".")</f>
        <v/>
      </c>
      <c r="BN2">
        <f t="shared" ref="BN2:BN34" si="8">Q2*1000</f>
        <v>0</v>
      </c>
      <c r="BO2">
        <f t="shared" ref="BO2:BO34" si="9">P2/1000</f>
        <v>0</v>
      </c>
      <c r="BP2">
        <f t="shared" ref="BP2:BP34" si="10">D2</f>
        <v>0</v>
      </c>
      <c r="BQ2">
        <f t="shared" ref="BQ2:BQ34" si="11">G2</f>
        <v>0</v>
      </c>
      <c r="BR2" t="str">
        <f t="shared" ref="BR2:BR34" si="12">SUBSTITUTE(O2,".","")</f>
        <v/>
      </c>
      <c r="BS2">
        <f t="shared" ref="BS2:BS34" si="13">S2</f>
        <v>0</v>
      </c>
      <c r="BT2" s="6">
        <f t="shared" ref="BT2:BT34" si="14">AJ2</f>
        <v>0</v>
      </c>
      <c r="BU2">
        <f t="shared" ref="BU2:BU34" si="15">AE2</f>
        <v>0</v>
      </c>
      <c r="BV2" t="str">
        <f>IF(BU2="V0071","TATA","")</f>
        <v/>
      </c>
    </row>
    <row r="3" spans="58:74" x14ac:dyDescent="0.25">
      <c r="BF3">
        <f t="shared" si="0"/>
        <v>0</v>
      </c>
      <c r="BG3">
        <f t="shared" si="1"/>
        <v>0</v>
      </c>
      <c r="BH3">
        <f t="shared" si="2"/>
        <v>0</v>
      </c>
      <c r="BI3">
        <f t="shared" si="3"/>
        <v>0</v>
      </c>
      <c r="BJ3">
        <f t="shared" si="4"/>
        <v>0</v>
      </c>
      <c r="BK3">
        <f t="shared" si="5"/>
        <v>0</v>
      </c>
      <c r="BL3">
        <f t="shared" si="6"/>
        <v>0</v>
      </c>
      <c r="BM3" s="12" t="str">
        <f t="shared" si="7"/>
        <v/>
      </c>
      <c r="BN3">
        <f t="shared" si="8"/>
        <v>0</v>
      </c>
      <c r="BO3">
        <f t="shared" si="9"/>
        <v>0</v>
      </c>
      <c r="BP3">
        <f t="shared" si="10"/>
        <v>0</v>
      </c>
      <c r="BQ3">
        <f t="shared" si="11"/>
        <v>0</v>
      </c>
      <c r="BR3" t="str">
        <f t="shared" si="12"/>
        <v/>
      </c>
      <c r="BS3">
        <f t="shared" si="13"/>
        <v>0</v>
      </c>
      <c r="BT3" s="6">
        <f t="shared" si="14"/>
        <v>0</v>
      </c>
      <c r="BU3">
        <f t="shared" si="15"/>
        <v>0</v>
      </c>
      <c r="BV3" t="str">
        <f t="shared" ref="BV3:BV66" si="16">IF(BU3="V0071","TATA","")</f>
        <v/>
      </c>
    </row>
    <row r="4" spans="58:74" x14ac:dyDescent="0.25">
      <c r="BF4">
        <f t="shared" si="0"/>
        <v>0</v>
      </c>
      <c r="BG4">
        <f t="shared" si="1"/>
        <v>0</v>
      </c>
      <c r="BH4">
        <f t="shared" si="2"/>
        <v>0</v>
      </c>
      <c r="BI4">
        <f t="shared" si="3"/>
        <v>0</v>
      </c>
      <c r="BJ4">
        <f t="shared" si="4"/>
        <v>0</v>
      </c>
      <c r="BK4">
        <f t="shared" si="5"/>
        <v>0</v>
      </c>
      <c r="BL4">
        <f t="shared" si="6"/>
        <v>0</v>
      </c>
      <c r="BM4" s="12" t="str">
        <f t="shared" si="7"/>
        <v/>
      </c>
      <c r="BN4">
        <f t="shared" si="8"/>
        <v>0</v>
      </c>
      <c r="BO4">
        <f t="shared" si="9"/>
        <v>0</v>
      </c>
      <c r="BP4">
        <f t="shared" si="10"/>
        <v>0</v>
      </c>
      <c r="BQ4">
        <f t="shared" si="11"/>
        <v>0</v>
      </c>
      <c r="BR4" t="str">
        <f t="shared" si="12"/>
        <v/>
      </c>
      <c r="BS4">
        <f t="shared" si="13"/>
        <v>0</v>
      </c>
      <c r="BT4" s="6">
        <f t="shared" si="14"/>
        <v>0</v>
      </c>
      <c r="BU4">
        <f t="shared" si="15"/>
        <v>0</v>
      </c>
      <c r="BV4" t="str">
        <f t="shared" si="16"/>
        <v/>
      </c>
    </row>
    <row r="5" spans="58:74" x14ac:dyDescent="0.25">
      <c r="BF5">
        <f t="shared" si="0"/>
        <v>0</v>
      </c>
      <c r="BG5">
        <f t="shared" si="1"/>
        <v>0</v>
      </c>
      <c r="BH5">
        <f t="shared" si="2"/>
        <v>0</v>
      </c>
      <c r="BI5">
        <f t="shared" si="3"/>
        <v>0</v>
      </c>
      <c r="BJ5">
        <f t="shared" si="4"/>
        <v>0</v>
      </c>
      <c r="BK5">
        <f t="shared" si="5"/>
        <v>0</v>
      </c>
      <c r="BL5">
        <f t="shared" si="6"/>
        <v>0</v>
      </c>
      <c r="BM5" s="12" t="str">
        <f t="shared" si="7"/>
        <v/>
      </c>
      <c r="BN5">
        <f t="shared" si="8"/>
        <v>0</v>
      </c>
      <c r="BO5">
        <f t="shared" si="9"/>
        <v>0</v>
      </c>
      <c r="BP5">
        <f t="shared" si="10"/>
        <v>0</v>
      </c>
      <c r="BQ5">
        <f t="shared" si="11"/>
        <v>0</v>
      </c>
      <c r="BR5" t="str">
        <f t="shared" si="12"/>
        <v/>
      </c>
      <c r="BS5">
        <f t="shared" si="13"/>
        <v>0</v>
      </c>
      <c r="BT5" s="6">
        <f t="shared" si="14"/>
        <v>0</v>
      </c>
      <c r="BU5">
        <f t="shared" si="15"/>
        <v>0</v>
      </c>
      <c r="BV5" t="str">
        <f t="shared" si="16"/>
        <v/>
      </c>
    </row>
    <row r="6" spans="58:74" x14ac:dyDescent="0.25">
      <c r="BF6">
        <f t="shared" si="0"/>
        <v>0</v>
      </c>
      <c r="BG6">
        <f t="shared" si="1"/>
        <v>0</v>
      </c>
      <c r="BH6">
        <f t="shared" si="2"/>
        <v>0</v>
      </c>
      <c r="BI6">
        <f t="shared" si="3"/>
        <v>0</v>
      </c>
      <c r="BJ6">
        <f t="shared" si="4"/>
        <v>0</v>
      </c>
      <c r="BK6">
        <f t="shared" si="5"/>
        <v>0</v>
      </c>
      <c r="BL6">
        <f t="shared" si="6"/>
        <v>0</v>
      </c>
      <c r="BM6" s="12" t="str">
        <f t="shared" si="7"/>
        <v/>
      </c>
      <c r="BN6">
        <f t="shared" si="8"/>
        <v>0</v>
      </c>
      <c r="BO6">
        <f t="shared" si="9"/>
        <v>0</v>
      </c>
      <c r="BP6">
        <f t="shared" si="10"/>
        <v>0</v>
      </c>
      <c r="BQ6">
        <f t="shared" si="11"/>
        <v>0</v>
      </c>
      <c r="BR6" t="str">
        <f t="shared" si="12"/>
        <v/>
      </c>
      <c r="BS6">
        <f t="shared" si="13"/>
        <v>0</v>
      </c>
      <c r="BT6" s="6">
        <f t="shared" si="14"/>
        <v>0</v>
      </c>
      <c r="BU6">
        <f t="shared" si="15"/>
        <v>0</v>
      </c>
      <c r="BV6" t="str">
        <f t="shared" si="16"/>
        <v/>
      </c>
    </row>
    <row r="7" spans="58:74" x14ac:dyDescent="0.25">
      <c r="BF7">
        <f t="shared" si="0"/>
        <v>0</v>
      </c>
      <c r="BG7">
        <f t="shared" si="1"/>
        <v>0</v>
      </c>
      <c r="BH7">
        <f t="shared" si="2"/>
        <v>0</v>
      </c>
      <c r="BI7">
        <f t="shared" si="3"/>
        <v>0</v>
      </c>
      <c r="BJ7">
        <f t="shared" si="4"/>
        <v>0</v>
      </c>
      <c r="BK7">
        <f t="shared" si="5"/>
        <v>0</v>
      </c>
      <c r="BL7">
        <f t="shared" si="6"/>
        <v>0</v>
      </c>
      <c r="BM7" s="12" t="str">
        <f t="shared" si="7"/>
        <v/>
      </c>
      <c r="BN7">
        <f t="shared" si="8"/>
        <v>0</v>
      </c>
      <c r="BO7">
        <f t="shared" si="9"/>
        <v>0</v>
      </c>
      <c r="BP7">
        <f t="shared" si="10"/>
        <v>0</v>
      </c>
      <c r="BQ7">
        <f t="shared" si="11"/>
        <v>0</v>
      </c>
      <c r="BR7" t="str">
        <f t="shared" si="12"/>
        <v/>
      </c>
      <c r="BS7">
        <f t="shared" si="13"/>
        <v>0</v>
      </c>
      <c r="BT7" s="6">
        <f t="shared" si="14"/>
        <v>0</v>
      </c>
      <c r="BU7">
        <f t="shared" si="15"/>
        <v>0</v>
      </c>
      <c r="BV7" t="str">
        <f t="shared" si="16"/>
        <v/>
      </c>
    </row>
    <row r="8" spans="58:74" x14ac:dyDescent="0.25">
      <c r="BF8">
        <f t="shared" si="0"/>
        <v>0</v>
      </c>
      <c r="BG8">
        <f t="shared" si="1"/>
        <v>0</v>
      </c>
      <c r="BH8">
        <f t="shared" si="2"/>
        <v>0</v>
      </c>
      <c r="BI8">
        <f t="shared" si="3"/>
        <v>0</v>
      </c>
      <c r="BJ8">
        <f t="shared" si="4"/>
        <v>0</v>
      </c>
      <c r="BK8">
        <f t="shared" si="5"/>
        <v>0</v>
      </c>
      <c r="BL8">
        <f t="shared" si="6"/>
        <v>0</v>
      </c>
      <c r="BM8" s="12" t="str">
        <f t="shared" si="7"/>
        <v/>
      </c>
      <c r="BN8">
        <f t="shared" si="8"/>
        <v>0</v>
      </c>
      <c r="BO8">
        <f t="shared" si="9"/>
        <v>0</v>
      </c>
      <c r="BP8">
        <f t="shared" si="10"/>
        <v>0</v>
      </c>
      <c r="BQ8">
        <f t="shared" si="11"/>
        <v>0</v>
      </c>
      <c r="BR8" t="str">
        <f t="shared" si="12"/>
        <v/>
      </c>
      <c r="BS8">
        <f t="shared" si="13"/>
        <v>0</v>
      </c>
      <c r="BT8" s="6">
        <f t="shared" si="14"/>
        <v>0</v>
      </c>
      <c r="BU8">
        <f t="shared" si="15"/>
        <v>0</v>
      </c>
      <c r="BV8" t="str">
        <f t="shared" si="16"/>
        <v/>
      </c>
    </row>
    <row r="9" spans="58:74" x14ac:dyDescent="0.25">
      <c r="BF9">
        <f t="shared" si="0"/>
        <v>0</v>
      </c>
      <c r="BG9">
        <f t="shared" si="1"/>
        <v>0</v>
      </c>
      <c r="BH9">
        <f t="shared" si="2"/>
        <v>0</v>
      </c>
      <c r="BI9">
        <f t="shared" si="3"/>
        <v>0</v>
      </c>
      <c r="BJ9">
        <f t="shared" si="4"/>
        <v>0</v>
      </c>
      <c r="BK9">
        <f t="shared" si="5"/>
        <v>0</v>
      </c>
      <c r="BL9">
        <f t="shared" si="6"/>
        <v>0</v>
      </c>
      <c r="BM9" s="12" t="str">
        <f t="shared" si="7"/>
        <v/>
      </c>
      <c r="BN9">
        <f t="shared" si="8"/>
        <v>0</v>
      </c>
      <c r="BO9">
        <f t="shared" si="9"/>
        <v>0</v>
      </c>
      <c r="BP9">
        <f t="shared" si="10"/>
        <v>0</v>
      </c>
      <c r="BQ9">
        <f t="shared" si="11"/>
        <v>0</v>
      </c>
      <c r="BR9" t="str">
        <f t="shared" si="12"/>
        <v/>
      </c>
      <c r="BS9">
        <f t="shared" si="13"/>
        <v>0</v>
      </c>
      <c r="BT9" s="6">
        <f t="shared" si="14"/>
        <v>0</v>
      </c>
      <c r="BU9">
        <f t="shared" si="15"/>
        <v>0</v>
      </c>
      <c r="BV9" t="str">
        <f t="shared" si="16"/>
        <v/>
      </c>
    </row>
    <row r="10" spans="58:74" x14ac:dyDescent="0.25">
      <c r="BF10">
        <f t="shared" si="0"/>
        <v>0</v>
      </c>
      <c r="BG10">
        <f t="shared" si="1"/>
        <v>0</v>
      </c>
      <c r="BH10">
        <f t="shared" si="2"/>
        <v>0</v>
      </c>
      <c r="BI10">
        <f t="shared" si="3"/>
        <v>0</v>
      </c>
      <c r="BJ10">
        <f t="shared" si="4"/>
        <v>0</v>
      </c>
      <c r="BK10">
        <f t="shared" si="5"/>
        <v>0</v>
      </c>
      <c r="BL10">
        <f t="shared" si="6"/>
        <v>0</v>
      </c>
      <c r="BM10" s="12" t="str">
        <f t="shared" si="7"/>
        <v/>
      </c>
      <c r="BN10">
        <f t="shared" si="8"/>
        <v>0</v>
      </c>
      <c r="BO10">
        <f t="shared" si="9"/>
        <v>0</v>
      </c>
      <c r="BP10">
        <f t="shared" si="10"/>
        <v>0</v>
      </c>
      <c r="BQ10">
        <f t="shared" si="11"/>
        <v>0</v>
      </c>
      <c r="BR10" t="str">
        <f t="shared" si="12"/>
        <v/>
      </c>
      <c r="BS10">
        <f t="shared" si="13"/>
        <v>0</v>
      </c>
      <c r="BT10" s="6">
        <f t="shared" si="14"/>
        <v>0</v>
      </c>
      <c r="BU10">
        <f t="shared" si="15"/>
        <v>0</v>
      </c>
      <c r="BV10" t="str">
        <f t="shared" si="16"/>
        <v/>
      </c>
    </row>
    <row r="11" spans="58:74" x14ac:dyDescent="0.25">
      <c r="BF11">
        <f t="shared" si="0"/>
        <v>0</v>
      </c>
      <c r="BG11">
        <f t="shared" si="1"/>
        <v>0</v>
      </c>
      <c r="BH11">
        <f t="shared" si="2"/>
        <v>0</v>
      </c>
      <c r="BI11">
        <f t="shared" si="3"/>
        <v>0</v>
      </c>
      <c r="BJ11">
        <f t="shared" si="4"/>
        <v>0</v>
      </c>
      <c r="BK11">
        <f t="shared" si="5"/>
        <v>0</v>
      </c>
      <c r="BL11">
        <f t="shared" si="6"/>
        <v>0</v>
      </c>
      <c r="BM11" s="12" t="str">
        <f t="shared" si="7"/>
        <v/>
      </c>
      <c r="BN11">
        <f t="shared" si="8"/>
        <v>0</v>
      </c>
      <c r="BO11">
        <f t="shared" si="9"/>
        <v>0</v>
      </c>
      <c r="BP11">
        <f t="shared" si="10"/>
        <v>0</v>
      </c>
      <c r="BQ11">
        <f t="shared" si="11"/>
        <v>0</v>
      </c>
      <c r="BR11" t="str">
        <f t="shared" si="12"/>
        <v/>
      </c>
      <c r="BS11">
        <f t="shared" si="13"/>
        <v>0</v>
      </c>
      <c r="BT11" s="6">
        <f t="shared" si="14"/>
        <v>0</v>
      </c>
      <c r="BU11">
        <f t="shared" si="15"/>
        <v>0</v>
      </c>
      <c r="BV11" t="str">
        <f t="shared" si="16"/>
        <v/>
      </c>
    </row>
    <row r="12" spans="58:74" x14ac:dyDescent="0.25">
      <c r="BF12">
        <f t="shared" si="0"/>
        <v>0</v>
      </c>
      <c r="BG12">
        <f t="shared" si="1"/>
        <v>0</v>
      </c>
      <c r="BH12">
        <f t="shared" si="2"/>
        <v>0</v>
      </c>
      <c r="BI12">
        <f t="shared" si="3"/>
        <v>0</v>
      </c>
      <c r="BJ12">
        <f t="shared" si="4"/>
        <v>0</v>
      </c>
      <c r="BK12">
        <f t="shared" si="5"/>
        <v>0</v>
      </c>
      <c r="BL12">
        <f t="shared" si="6"/>
        <v>0</v>
      </c>
      <c r="BM12" s="12" t="str">
        <f t="shared" si="7"/>
        <v/>
      </c>
      <c r="BN12">
        <f t="shared" si="8"/>
        <v>0</v>
      </c>
      <c r="BO12">
        <f t="shared" si="9"/>
        <v>0</v>
      </c>
      <c r="BP12">
        <f t="shared" si="10"/>
        <v>0</v>
      </c>
      <c r="BQ12">
        <f t="shared" si="11"/>
        <v>0</v>
      </c>
      <c r="BR12" t="str">
        <f t="shared" si="12"/>
        <v/>
      </c>
      <c r="BS12">
        <f t="shared" si="13"/>
        <v>0</v>
      </c>
      <c r="BT12" s="6">
        <f t="shared" si="14"/>
        <v>0</v>
      </c>
      <c r="BU12">
        <f t="shared" si="15"/>
        <v>0</v>
      </c>
      <c r="BV12" t="str">
        <f t="shared" si="16"/>
        <v/>
      </c>
    </row>
    <row r="13" spans="58:74" x14ac:dyDescent="0.25">
      <c r="BF13">
        <f t="shared" si="0"/>
        <v>0</v>
      </c>
      <c r="BG13">
        <f t="shared" si="1"/>
        <v>0</v>
      </c>
      <c r="BH13">
        <f t="shared" si="2"/>
        <v>0</v>
      </c>
      <c r="BI13">
        <f t="shared" si="3"/>
        <v>0</v>
      </c>
      <c r="BJ13">
        <f t="shared" si="4"/>
        <v>0</v>
      </c>
      <c r="BK13">
        <f t="shared" si="5"/>
        <v>0</v>
      </c>
      <c r="BL13">
        <f t="shared" si="6"/>
        <v>0</v>
      </c>
      <c r="BM13" s="12" t="str">
        <f t="shared" si="7"/>
        <v/>
      </c>
      <c r="BN13">
        <f t="shared" si="8"/>
        <v>0</v>
      </c>
      <c r="BO13">
        <f t="shared" si="9"/>
        <v>0</v>
      </c>
      <c r="BP13">
        <f t="shared" si="10"/>
        <v>0</v>
      </c>
      <c r="BQ13">
        <f t="shared" si="11"/>
        <v>0</v>
      </c>
      <c r="BR13" t="str">
        <f t="shared" si="12"/>
        <v/>
      </c>
      <c r="BS13">
        <f t="shared" si="13"/>
        <v>0</v>
      </c>
      <c r="BT13" s="6">
        <f t="shared" si="14"/>
        <v>0</v>
      </c>
      <c r="BU13">
        <f t="shared" si="15"/>
        <v>0</v>
      </c>
      <c r="BV13" t="str">
        <f t="shared" si="16"/>
        <v/>
      </c>
    </row>
    <row r="14" spans="58:74" x14ac:dyDescent="0.25">
      <c r="BF14">
        <f t="shared" si="0"/>
        <v>0</v>
      </c>
      <c r="BG14">
        <f t="shared" si="1"/>
        <v>0</v>
      </c>
      <c r="BH14">
        <f t="shared" si="2"/>
        <v>0</v>
      </c>
      <c r="BI14">
        <f t="shared" si="3"/>
        <v>0</v>
      </c>
      <c r="BJ14">
        <f t="shared" si="4"/>
        <v>0</v>
      </c>
      <c r="BK14">
        <f t="shared" si="5"/>
        <v>0</v>
      </c>
      <c r="BL14">
        <f t="shared" si="6"/>
        <v>0</v>
      </c>
      <c r="BM14" s="12" t="str">
        <f t="shared" si="7"/>
        <v/>
      </c>
      <c r="BN14">
        <f t="shared" si="8"/>
        <v>0</v>
      </c>
      <c r="BO14">
        <f t="shared" si="9"/>
        <v>0</v>
      </c>
      <c r="BP14">
        <f t="shared" si="10"/>
        <v>0</v>
      </c>
      <c r="BQ14">
        <f t="shared" si="11"/>
        <v>0</v>
      </c>
      <c r="BR14" t="str">
        <f t="shared" si="12"/>
        <v/>
      </c>
      <c r="BS14">
        <f t="shared" si="13"/>
        <v>0</v>
      </c>
      <c r="BT14" s="6">
        <f t="shared" si="14"/>
        <v>0</v>
      </c>
      <c r="BU14">
        <f t="shared" si="15"/>
        <v>0</v>
      </c>
      <c r="BV14" t="str">
        <f t="shared" si="16"/>
        <v/>
      </c>
    </row>
    <row r="15" spans="58:74" x14ac:dyDescent="0.25">
      <c r="BF15">
        <f t="shared" si="0"/>
        <v>0</v>
      </c>
      <c r="BG15">
        <f t="shared" si="1"/>
        <v>0</v>
      </c>
      <c r="BH15">
        <f t="shared" si="2"/>
        <v>0</v>
      </c>
      <c r="BI15">
        <f t="shared" si="3"/>
        <v>0</v>
      </c>
      <c r="BJ15">
        <f t="shared" si="4"/>
        <v>0</v>
      </c>
      <c r="BK15">
        <f t="shared" si="5"/>
        <v>0</v>
      </c>
      <c r="BL15">
        <f t="shared" si="6"/>
        <v>0</v>
      </c>
      <c r="BM15" s="12" t="str">
        <f t="shared" si="7"/>
        <v/>
      </c>
      <c r="BN15">
        <f t="shared" si="8"/>
        <v>0</v>
      </c>
      <c r="BO15">
        <f t="shared" si="9"/>
        <v>0</v>
      </c>
      <c r="BP15">
        <f t="shared" si="10"/>
        <v>0</v>
      </c>
      <c r="BQ15">
        <f t="shared" si="11"/>
        <v>0</v>
      </c>
      <c r="BR15" t="str">
        <f t="shared" si="12"/>
        <v/>
      </c>
      <c r="BS15">
        <f t="shared" si="13"/>
        <v>0</v>
      </c>
      <c r="BT15" s="6">
        <f t="shared" si="14"/>
        <v>0</v>
      </c>
      <c r="BU15">
        <f t="shared" si="15"/>
        <v>0</v>
      </c>
      <c r="BV15" t="str">
        <f t="shared" si="16"/>
        <v/>
      </c>
    </row>
    <row r="16" spans="58:74" x14ac:dyDescent="0.25">
      <c r="BF16">
        <f t="shared" si="0"/>
        <v>0</v>
      </c>
      <c r="BG16">
        <f t="shared" si="1"/>
        <v>0</v>
      </c>
      <c r="BH16">
        <f t="shared" si="2"/>
        <v>0</v>
      </c>
      <c r="BI16">
        <f t="shared" si="3"/>
        <v>0</v>
      </c>
      <c r="BJ16">
        <f t="shared" si="4"/>
        <v>0</v>
      </c>
      <c r="BK16">
        <f t="shared" si="5"/>
        <v>0</v>
      </c>
      <c r="BL16">
        <f t="shared" si="6"/>
        <v>0</v>
      </c>
      <c r="BM16" s="12" t="str">
        <f t="shared" si="7"/>
        <v/>
      </c>
      <c r="BN16">
        <f t="shared" si="8"/>
        <v>0</v>
      </c>
      <c r="BO16">
        <f t="shared" si="9"/>
        <v>0</v>
      </c>
      <c r="BP16">
        <f t="shared" si="10"/>
        <v>0</v>
      </c>
      <c r="BQ16">
        <f t="shared" si="11"/>
        <v>0</v>
      </c>
      <c r="BR16" t="str">
        <f t="shared" si="12"/>
        <v/>
      </c>
      <c r="BS16">
        <f t="shared" si="13"/>
        <v>0</v>
      </c>
      <c r="BT16" s="6">
        <f t="shared" si="14"/>
        <v>0</v>
      </c>
      <c r="BU16">
        <f t="shared" si="15"/>
        <v>0</v>
      </c>
      <c r="BV16" t="str">
        <f t="shared" si="16"/>
        <v/>
      </c>
    </row>
    <row r="17" spans="58:74" x14ac:dyDescent="0.25">
      <c r="BF17">
        <f t="shared" si="0"/>
        <v>0</v>
      </c>
      <c r="BG17">
        <f t="shared" si="1"/>
        <v>0</v>
      </c>
      <c r="BH17">
        <f t="shared" si="2"/>
        <v>0</v>
      </c>
      <c r="BI17">
        <f t="shared" si="3"/>
        <v>0</v>
      </c>
      <c r="BJ17">
        <f t="shared" si="4"/>
        <v>0</v>
      </c>
      <c r="BK17">
        <f t="shared" si="5"/>
        <v>0</v>
      </c>
      <c r="BL17">
        <f t="shared" si="6"/>
        <v>0</v>
      </c>
      <c r="BM17" s="12" t="str">
        <f t="shared" si="7"/>
        <v/>
      </c>
      <c r="BN17">
        <f t="shared" si="8"/>
        <v>0</v>
      </c>
      <c r="BO17">
        <f t="shared" si="9"/>
        <v>0</v>
      </c>
      <c r="BP17">
        <f t="shared" si="10"/>
        <v>0</v>
      </c>
      <c r="BQ17">
        <f t="shared" si="11"/>
        <v>0</v>
      </c>
      <c r="BR17" t="str">
        <f t="shared" si="12"/>
        <v/>
      </c>
      <c r="BS17">
        <f t="shared" si="13"/>
        <v>0</v>
      </c>
      <c r="BT17" s="6">
        <f t="shared" si="14"/>
        <v>0</v>
      </c>
      <c r="BU17">
        <f t="shared" si="15"/>
        <v>0</v>
      </c>
      <c r="BV17" t="str">
        <f t="shared" si="16"/>
        <v/>
      </c>
    </row>
    <row r="18" spans="58:74" x14ac:dyDescent="0.25">
      <c r="BF18">
        <f t="shared" si="0"/>
        <v>0</v>
      </c>
      <c r="BG18">
        <f t="shared" si="1"/>
        <v>0</v>
      </c>
      <c r="BH18">
        <f t="shared" si="2"/>
        <v>0</v>
      </c>
      <c r="BI18">
        <f t="shared" si="3"/>
        <v>0</v>
      </c>
      <c r="BJ18">
        <f t="shared" si="4"/>
        <v>0</v>
      </c>
      <c r="BK18">
        <f t="shared" si="5"/>
        <v>0</v>
      </c>
      <c r="BL18">
        <f t="shared" si="6"/>
        <v>0</v>
      </c>
      <c r="BM18" s="12" t="str">
        <f t="shared" si="7"/>
        <v/>
      </c>
      <c r="BN18">
        <f t="shared" si="8"/>
        <v>0</v>
      </c>
      <c r="BO18">
        <f t="shared" si="9"/>
        <v>0</v>
      </c>
      <c r="BP18">
        <f t="shared" si="10"/>
        <v>0</v>
      </c>
      <c r="BQ18">
        <f t="shared" si="11"/>
        <v>0</v>
      </c>
      <c r="BR18" t="str">
        <f t="shared" si="12"/>
        <v/>
      </c>
      <c r="BS18">
        <f t="shared" si="13"/>
        <v>0</v>
      </c>
      <c r="BT18" s="6">
        <f t="shared" si="14"/>
        <v>0</v>
      </c>
      <c r="BU18">
        <f t="shared" si="15"/>
        <v>0</v>
      </c>
      <c r="BV18" t="str">
        <f t="shared" si="16"/>
        <v/>
      </c>
    </row>
    <row r="19" spans="58:74" x14ac:dyDescent="0.25">
      <c r="BF19">
        <f t="shared" si="0"/>
        <v>0</v>
      </c>
      <c r="BG19">
        <f t="shared" si="1"/>
        <v>0</v>
      </c>
      <c r="BH19">
        <f t="shared" si="2"/>
        <v>0</v>
      </c>
      <c r="BI19">
        <f t="shared" si="3"/>
        <v>0</v>
      </c>
      <c r="BJ19">
        <f t="shared" si="4"/>
        <v>0</v>
      </c>
      <c r="BK19">
        <f t="shared" si="5"/>
        <v>0</v>
      </c>
      <c r="BL19">
        <f t="shared" si="6"/>
        <v>0</v>
      </c>
      <c r="BM19" s="12" t="str">
        <f t="shared" si="7"/>
        <v/>
      </c>
      <c r="BN19">
        <f t="shared" si="8"/>
        <v>0</v>
      </c>
      <c r="BO19">
        <f t="shared" si="9"/>
        <v>0</v>
      </c>
      <c r="BP19">
        <f t="shared" si="10"/>
        <v>0</v>
      </c>
      <c r="BQ19">
        <f t="shared" si="11"/>
        <v>0</v>
      </c>
      <c r="BR19" t="str">
        <f t="shared" si="12"/>
        <v/>
      </c>
      <c r="BS19">
        <f t="shared" si="13"/>
        <v>0</v>
      </c>
      <c r="BT19" s="6">
        <f t="shared" si="14"/>
        <v>0</v>
      </c>
      <c r="BU19">
        <f t="shared" si="15"/>
        <v>0</v>
      </c>
      <c r="BV19" t="str">
        <f t="shared" si="16"/>
        <v/>
      </c>
    </row>
    <row r="20" spans="58:74" x14ac:dyDescent="0.25">
      <c r="BF20">
        <f t="shared" si="0"/>
        <v>0</v>
      </c>
      <c r="BG20">
        <f t="shared" si="1"/>
        <v>0</v>
      </c>
      <c r="BH20">
        <f t="shared" si="2"/>
        <v>0</v>
      </c>
      <c r="BI20">
        <f t="shared" si="3"/>
        <v>0</v>
      </c>
      <c r="BJ20">
        <f t="shared" si="4"/>
        <v>0</v>
      </c>
      <c r="BK20">
        <f t="shared" si="5"/>
        <v>0</v>
      </c>
      <c r="BL20">
        <f t="shared" si="6"/>
        <v>0</v>
      </c>
      <c r="BM20" s="12" t="str">
        <f t="shared" si="7"/>
        <v/>
      </c>
      <c r="BN20">
        <f t="shared" si="8"/>
        <v>0</v>
      </c>
      <c r="BO20">
        <f t="shared" si="9"/>
        <v>0</v>
      </c>
      <c r="BP20">
        <f t="shared" si="10"/>
        <v>0</v>
      </c>
      <c r="BQ20">
        <f t="shared" si="11"/>
        <v>0</v>
      </c>
      <c r="BR20" t="str">
        <f t="shared" si="12"/>
        <v/>
      </c>
      <c r="BS20">
        <f t="shared" si="13"/>
        <v>0</v>
      </c>
      <c r="BT20" s="6">
        <f t="shared" si="14"/>
        <v>0</v>
      </c>
      <c r="BU20">
        <f t="shared" si="15"/>
        <v>0</v>
      </c>
      <c r="BV20" t="str">
        <f t="shared" si="16"/>
        <v/>
      </c>
    </row>
    <row r="21" spans="58:74" x14ac:dyDescent="0.25">
      <c r="BF21">
        <f t="shared" si="0"/>
        <v>0</v>
      </c>
      <c r="BG21">
        <f t="shared" si="1"/>
        <v>0</v>
      </c>
      <c r="BH21">
        <f t="shared" si="2"/>
        <v>0</v>
      </c>
      <c r="BI21">
        <f t="shared" si="3"/>
        <v>0</v>
      </c>
      <c r="BJ21">
        <f t="shared" si="4"/>
        <v>0</v>
      </c>
      <c r="BK21">
        <f t="shared" si="5"/>
        <v>0</v>
      </c>
      <c r="BL21">
        <f t="shared" si="6"/>
        <v>0</v>
      </c>
      <c r="BM21" s="12" t="str">
        <f t="shared" si="7"/>
        <v/>
      </c>
      <c r="BN21">
        <f t="shared" si="8"/>
        <v>0</v>
      </c>
      <c r="BO21">
        <f t="shared" si="9"/>
        <v>0</v>
      </c>
      <c r="BP21">
        <f t="shared" si="10"/>
        <v>0</v>
      </c>
      <c r="BQ21">
        <f t="shared" si="11"/>
        <v>0</v>
      </c>
      <c r="BR21" t="str">
        <f t="shared" si="12"/>
        <v/>
      </c>
      <c r="BS21">
        <f t="shared" si="13"/>
        <v>0</v>
      </c>
      <c r="BT21" s="6">
        <f t="shared" si="14"/>
        <v>0</v>
      </c>
      <c r="BU21">
        <f t="shared" si="15"/>
        <v>0</v>
      </c>
      <c r="BV21" t="str">
        <f t="shared" si="16"/>
        <v/>
      </c>
    </row>
    <row r="22" spans="58:74" x14ac:dyDescent="0.25">
      <c r="BF22">
        <f t="shared" si="0"/>
        <v>0</v>
      </c>
      <c r="BG22">
        <f t="shared" si="1"/>
        <v>0</v>
      </c>
      <c r="BH22">
        <f t="shared" si="2"/>
        <v>0</v>
      </c>
      <c r="BI22">
        <f t="shared" si="3"/>
        <v>0</v>
      </c>
      <c r="BJ22">
        <f t="shared" si="4"/>
        <v>0</v>
      </c>
      <c r="BK22">
        <f t="shared" si="5"/>
        <v>0</v>
      </c>
      <c r="BL22">
        <f t="shared" si="6"/>
        <v>0</v>
      </c>
      <c r="BM22" s="12" t="str">
        <f t="shared" si="7"/>
        <v/>
      </c>
      <c r="BN22">
        <f t="shared" si="8"/>
        <v>0</v>
      </c>
      <c r="BO22">
        <f t="shared" si="9"/>
        <v>0</v>
      </c>
      <c r="BP22">
        <f t="shared" si="10"/>
        <v>0</v>
      </c>
      <c r="BQ22">
        <f t="shared" si="11"/>
        <v>0</v>
      </c>
      <c r="BR22" t="str">
        <f t="shared" si="12"/>
        <v/>
      </c>
      <c r="BS22">
        <f t="shared" si="13"/>
        <v>0</v>
      </c>
      <c r="BT22" s="6">
        <f t="shared" si="14"/>
        <v>0</v>
      </c>
      <c r="BU22">
        <f t="shared" si="15"/>
        <v>0</v>
      </c>
      <c r="BV22" t="str">
        <f t="shared" si="16"/>
        <v/>
      </c>
    </row>
    <row r="23" spans="58:74" x14ac:dyDescent="0.25">
      <c r="BF23">
        <f t="shared" si="0"/>
        <v>0</v>
      </c>
      <c r="BG23">
        <f t="shared" si="1"/>
        <v>0</v>
      </c>
      <c r="BH23">
        <f t="shared" si="2"/>
        <v>0</v>
      </c>
      <c r="BI23">
        <f t="shared" si="3"/>
        <v>0</v>
      </c>
      <c r="BJ23">
        <f t="shared" si="4"/>
        <v>0</v>
      </c>
      <c r="BK23">
        <f t="shared" si="5"/>
        <v>0</v>
      </c>
      <c r="BL23">
        <f t="shared" si="6"/>
        <v>0</v>
      </c>
      <c r="BM23" s="12" t="str">
        <f t="shared" si="7"/>
        <v/>
      </c>
      <c r="BN23">
        <f t="shared" si="8"/>
        <v>0</v>
      </c>
      <c r="BO23">
        <f t="shared" si="9"/>
        <v>0</v>
      </c>
      <c r="BP23">
        <f t="shared" si="10"/>
        <v>0</v>
      </c>
      <c r="BQ23">
        <f t="shared" si="11"/>
        <v>0</v>
      </c>
      <c r="BR23" t="str">
        <f t="shared" si="12"/>
        <v/>
      </c>
      <c r="BS23">
        <f t="shared" si="13"/>
        <v>0</v>
      </c>
      <c r="BT23" s="6">
        <f t="shared" si="14"/>
        <v>0</v>
      </c>
      <c r="BU23">
        <f t="shared" si="15"/>
        <v>0</v>
      </c>
      <c r="BV23" t="str">
        <f t="shared" si="16"/>
        <v/>
      </c>
    </row>
    <row r="24" spans="58:74" x14ac:dyDescent="0.25">
      <c r="BF24">
        <f t="shared" si="0"/>
        <v>0</v>
      </c>
      <c r="BG24">
        <f t="shared" si="1"/>
        <v>0</v>
      </c>
      <c r="BH24">
        <f t="shared" si="2"/>
        <v>0</v>
      </c>
      <c r="BI24">
        <f t="shared" si="3"/>
        <v>0</v>
      </c>
      <c r="BJ24">
        <f t="shared" si="4"/>
        <v>0</v>
      </c>
      <c r="BK24">
        <f t="shared" si="5"/>
        <v>0</v>
      </c>
      <c r="BL24">
        <f t="shared" si="6"/>
        <v>0</v>
      </c>
      <c r="BM24" s="12" t="str">
        <f t="shared" si="7"/>
        <v/>
      </c>
      <c r="BN24">
        <f t="shared" si="8"/>
        <v>0</v>
      </c>
      <c r="BO24">
        <f t="shared" si="9"/>
        <v>0</v>
      </c>
      <c r="BP24">
        <f t="shared" si="10"/>
        <v>0</v>
      </c>
      <c r="BQ24">
        <f t="shared" si="11"/>
        <v>0</v>
      </c>
      <c r="BR24" t="str">
        <f t="shared" si="12"/>
        <v/>
      </c>
      <c r="BS24">
        <f t="shared" si="13"/>
        <v>0</v>
      </c>
      <c r="BT24" s="6">
        <f t="shared" si="14"/>
        <v>0</v>
      </c>
      <c r="BU24">
        <f t="shared" si="15"/>
        <v>0</v>
      </c>
      <c r="BV24" t="str">
        <f t="shared" si="16"/>
        <v/>
      </c>
    </row>
    <row r="25" spans="58:74" x14ac:dyDescent="0.25">
      <c r="BF25">
        <f t="shared" si="0"/>
        <v>0</v>
      </c>
      <c r="BG25">
        <f t="shared" si="1"/>
        <v>0</v>
      </c>
      <c r="BH25">
        <f t="shared" si="2"/>
        <v>0</v>
      </c>
      <c r="BI25">
        <f t="shared" si="3"/>
        <v>0</v>
      </c>
      <c r="BJ25">
        <f t="shared" si="4"/>
        <v>0</v>
      </c>
      <c r="BK25">
        <f t="shared" si="5"/>
        <v>0</v>
      </c>
      <c r="BL25">
        <f t="shared" si="6"/>
        <v>0</v>
      </c>
      <c r="BM25" s="12" t="str">
        <f t="shared" si="7"/>
        <v/>
      </c>
      <c r="BN25">
        <f t="shared" si="8"/>
        <v>0</v>
      </c>
      <c r="BO25">
        <f t="shared" si="9"/>
        <v>0</v>
      </c>
      <c r="BP25">
        <f t="shared" si="10"/>
        <v>0</v>
      </c>
      <c r="BQ25">
        <f t="shared" si="11"/>
        <v>0</v>
      </c>
      <c r="BR25" t="str">
        <f t="shared" si="12"/>
        <v/>
      </c>
      <c r="BS25">
        <f t="shared" si="13"/>
        <v>0</v>
      </c>
      <c r="BT25" s="6">
        <f t="shared" si="14"/>
        <v>0</v>
      </c>
      <c r="BU25">
        <f t="shared" si="15"/>
        <v>0</v>
      </c>
      <c r="BV25" t="str">
        <f t="shared" si="16"/>
        <v/>
      </c>
    </row>
    <row r="26" spans="58:74" x14ac:dyDescent="0.25">
      <c r="BF26">
        <f t="shared" si="0"/>
        <v>0</v>
      </c>
      <c r="BG26">
        <f t="shared" si="1"/>
        <v>0</v>
      </c>
      <c r="BH26">
        <f t="shared" si="2"/>
        <v>0</v>
      </c>
      <c r="BI26">
        <f t="shared" si="3"/>
        <v>0</v>
      </c>
      <c r="BJ26">
        <f t="shared" si="4"/>
        <v>0</v>
      </c>
      <c r="BK26">
        <f t="shared" si="5"/>
        <v>0</v>
      </c>
      <c r="BL26">
        <f t="shared" si="6"/>
        <v>0</v>
      </c>
      <c r="BM26" s="12" t="str">
        <f t="shared" si="7"/>
        <v/>
      </c>
      <c r="BN26">
        <f t="shared" si="8"/>
        <v>0</v>
      </c>
      <c r="BO26">
        <f t="shared" si="9"/>
        <v>0</v>
      </c>
      <c r="BP26">
        <f t="shared" si="10"/>
        <v>0</v>
      </c>
      <c r="BQ26">
        <f t="shared" si="11"/>
        <v>0</v>
      </c>
      <c r="BR26" t="str">
        <f t="shared" si="12"/>
        <v/>
      </c>
      <c r="BS26">
        <f t="shared" si="13"/>
        <v>0</v>
      </c>
      <c r="BT26" s="6">
        <f t="shared" si="14"/>
        <v>0</v>
      </c>
      <c r="BU26">
        <f t="shared" si="15"/>
        <v>0</v>
      </c>
      <c r="BV26" t="str">
        <f t="shared" si="16"/>
        <v/>
      </c>
    </row>
    <row r="27" spans="58:74" x14ac:dyDescent="0.25">
      <c r="BF27">
        <f t="shared" si="0"/>
        <v>0</v>
      </c>
      <c r="BG27">
        <f t="shared" si="1"/>
        <v>0</v>
      </c>
      <c r="BH27">
        <f t="shared" si="2"/>
        <v>0</v>
      </c>
      <c r="BI27">
        <f t="shared" si="3"/>
        <v>0</v>
      </c>
      <c r="BJ27">
        <f t="shared" si="4"/>
        <v>0</v>
      </c>
      <c r="BK27">
        <f t="shared" si="5"/>
        <v>0</v>
      </c>
      <c r="BL27">
        <f t="shared" si="6"/>
        <v>0</v>
      </c>
      <c r="BM27" s="12" t="str">
        <f t="shared" si="7"/>
        <v/>
      </c>
      <c r="BN27">
        <f t="shared" si="8"/>
        <v>0</v>
      </c>
      <c r="BO27">
        <f t="shared" si="9"/>
        <v>0</v>
      </c>
      <c r="BP27">
        <f t="shared" si="10"/>
        <v>0</v>
      </c>
      <c r="BQ27">
        <f t="shared" si="11"/>
        <v>0</v>
      </c>
      <c r="BR27" t="str">
        <f t="shared" si="12"/>
        <v/>
      </c>
      <c r="BS27">
        <f t="shared" si="13"/>
        <v>0</v>
      </c>
      <c r="BT27" s="6">
        <f t="shared" si="14"/>
        <v>0</v>
      </c>
      <c r="BU27">
        <f t="shared" si="15"/>
        <v>0</v>
      </c>
      <c r="BV27" t="str">
        <f t="shared" si="16"/>
        <v/>
      </c>
    </row>
    <row r="28" spans="58:74" x14ac:dyDescent="0.25">
      <c r="BF28">
        <f t="shared" si="0"/>
        <v>0</v>
      </c>
      <c r="BG28">
        <f t="shared" si="1"/>
        <v>0</v>
      </c>
      <c r="BH28">
        <f t="shared" si="2"/>
        <v>0</v>
      </c>
      <c r="BI28">
        <f t="shared" si="3"/>
        <v>0</v>
      </c>
      <c r="BJ28">
        <f t="shared" si="4"/>
        <v>0</v>
      </c>
      <c r="BK28">
        <f t="shared" si="5"/>
        <v>0</v>
      </c>
      <c r="BL28">
        <f t="shared" si="6"/>
        <v>0</v>
      </c>
      <c r="BM28" s="12" t="str">
        <f t="shared" si="7"/>
        <v/>
      </c>
      <c r="BN28">
        <f t="shared" si="8"/>
        <v>0</v>
      </c>
      <c r="BO28">
        <f t="shared" si="9"/>
        <v>0</v>
      </c>
      <c r="BP28">
        <f t="shared" si="10"/>
        <v>0</v>
      </c>
      <c r="BQ28">
        <f t="shared" si="11"/>
        <v>0</v>
      </c>
      <c r="BR28" t="str">
        <f t="shared" si="12"/>
        <v/>
      </c>
      <c r="BS28">
        <f t="shared" si="13"/>
        <v>0</v>
      </c>
      <c r="BT28" s="6">
        <f t="shared" si="14"/>
        <v>0</v>
      </c>
      <c r="BU28">
        <f t="shared" si="15"/>
        <v>0</v>
      </c>
      <c r="BV28" t="str">
        <f t="shared" si="16"/>
        <v/>
      </c>
    </row>
    <row r="29" spans="58:74" x14ac:dyDescent="0.25">
      <c r="BF29">
        <f t="shared" si="0"/>
        <v>0</v>
      </c>
      <c r="BG29">
        <f t="shared" si="1"/>
        <v>0</v>
      </c>
      <c r="BH29">
        <f t="shared" si="2"/>
        <v>0</v>
      </c>
      <c r="BI29">
        <f t="shared" si="3"/>
        <v>0</v>
      </c>
      <c r="BJ29">
        <f t="shared" si="4"/>
        <v>0</v>
      </c>
      <c r="BK29">
        <f t="shared" si="5"/>
        <v>0</v>
      </c>
      <c r="BL29">
        <f t="shared" si="6"/>
        <v>0</v>
      </c>
      <c r="BM29" s="12" t="str">
        <f t="shared" si="7"/>
        <v/>
      </c>
      <c r="BN29">
        <f t="shared" si="8"/>
        <v>0</v>
      </c>
      <c r="BO29">
        <f t="shared" si="9"/>
        <v>0</v>
      </c>
      <c r="BP29">
        <f t="shared" si="10"/>
        <v>0</v>
      </c>
      <c r="BQ29">
        <f t="shared" si="11"/>
        <v>0</v>
      </c>
      <c r="BR29" t="str">
        <f t="shared" si="12"/>
        <v/>
      </c>
      <c r="BS29">
        <f t="shared" si="13"/>
        <v>0</v>
      </c>
      <c r="BT29" s="6">
        <f t="shared" si="14"/>
        <v>0</v>
      </c>
      <c r="BU29">
        <f t="shared" si="15"/>
        <v>0</v>
      </c>
      <c r="BV29" t="str">
        <f t="shared" si="16"/>
        <v/>
      </c>
    </row>
    <row r="30" spans="58:74" x14ac:dyDescent="0.25">
      <c r="BF30">
        <f t="shared" si="0"/>
        <v>0</v>
      </c>
      <c r="BG30">
        <f t="shared" si="1"/>
        <v>0</v>
      </c>
      <c r="BH30">
        <f t="shared" si="2"/>
        <v>0</v>
      </c>
      <c r="BI30">
        <f t="shared" si="3"/>
        <v>0</v>
      </c>
      <c r="BJ30">
        <f t="shared" si="4"/>
        <v>0</v>
      </c>
      <c r="BK30">
        <f t="shared" si="5"/>
        <v>0</v>
      </c>
      <c r="BL30">
        <f t="shared" si="6"/>
        <v>0</v>
      </c>
      <c r="BM30" s="12" t="str">
        <f t="shared" si="7"/>
        <v/>
      </c>
      <c r="BN30">
        <f t="shared" si="8"/>
        <v>0</v>
      </c>
      <c r="BO30">
        <f t="shared" si="9"/>
        <v>0</v>
      </c>
      <c r="BP30">
        <f t="shared" si="10"/>
        <v>0</v>
      </c>
      <c r="BQ30">
        <f t="shared" si="11"/>
        <v>0</v>
      </c>
      <c r="BR30" t="str">
        <f t="shared" si="12"/>
        <v/>
      </c>
      <c r="BS30">
        <f t="shared" si="13"/>
        <v>0</v>
      </c>
      <c r="BT30" s="6">
        <f t="shared" si="14"/>
        <v>0</v>
      </c>
      <c r="BU30">
        <f t="shared" si="15"/>
        <v>0</v>
      </c>
      <c r="BV30" t="str">
        <f t="shared" si="16"/>
        <v/>
      </c>
    </row>
    <row r="31" spans="58:74" x14ac:dyDescent="0.25">
      <c r="BF31">
        <f t="shared" si="0"/>
        <v>0</v>
      </c>
      <c r="BG31">
        <f t="shared" si="1"/>
        <v>0</v>
      </c>
      <c r="BH31">
        <f t="shared" si="2"/>
        <v>0</v>
      </c>
      <c r="BI31">
        <f t="shared" si="3"/>
        <v>0</v>
      </c>
      <c r="BJ31">
        <f t="shared" si="4"/>
        <v>0</v>
      </c>
      <c r="BK31">
        <f t="shared" si="5"/>
        <v>0</v>
      </c>
      <c r="BL31">
        <f t="shared" si="6"/>
        <v>0</v>
      </c>
      <c r="BM31" s="12" t="str">
        <f t="shared" si="7"/>
        <v/>
      </c>
      <c r="BN31">
        <f t="shared" si="8"/>
        <v>0</v>
      </c>
      <c r="BO31">
        <f t="shared" si="9"/>
        <v>0</v>
      </c>
      <c r="BP31">
        <f t="shared" si="10"/>
        <v>0</v>
      </c>
      <c r="BQ31">
        <f t="shared" si="11"/>
        <v>0</v>
      </c>
      <c r="BR31" t="str">
        <f t="shared" si="12"/>
        <v/>
      </c>
      <c r="BS31">
        <f t="shared" si="13"/>
        <v>0</v>
      </c>
      <c r="BT31" s="6">
        <f t="shared" si="14"/>
        <v>0</v>
      </c>
      <c r="BU31">
        <f t="shared" si="15"/>
        <v>0</v>
      </c>
      <c r="BV31" t="str">
        <f t="shared" si="16"/>
        <v/>
      </c>
    </row>
    <row r="32" spans="58:74" x14ac:dyDescent="0.25">
      <c r="BF32">
        <f t="shared" si="0"/>
        <v>0</v>
      </c>
      <c r="BG32">
        <f t="shared" si="1"/>
        <v>0</v>
      </c>
      <c r="BH32">
        <f t="shared" si="2"/>
        <v>0</v>
      </c>
      <c r="BI32">
        <f t="shared" si="3"/>
        <v>0</v>
      </c>
      <c r="BJ32">
        <f t="shared" si="4"/>
        <v>0</v>
      </c>
      <c r="BK32">
        <f t="shared" si="5"/>
        <v>0</v>
      </c>
      <c r="BL32">
        <f t="shared" si="6"/>
        <v>0</v>
      </c>
      <c r="BM32" s="12" t="str">
        <f t="shared" si="7"/>
        <v/>
      </c>
      <c r="BN32">
        <f t="shared" si="8"/>
        <v>0</v>
      </c>
      <c r="BO32">
        <f t="shared" si="9"/>
        <v>0</v>
      </c>
      <c r="BP32">
        <f t="shared" si="10"/>
        <v>0</v>
      </c>
      <c r="BQ32">
        <f t="shared" si="11"/>
        <v>0</v>
      </c>
      <c r="BR32" t="str">
        <f t="shared" si="12"/>
        <v/>
      </c>
      <c r="BS32">
        <f t="shared" si="13"/>
        <v>0</v>
      </c>
      <c r="BT32" s="6">
        <f t="shared" si="14"/>
        <v>0</v>
      </c>
      <c r="BU32">
        <f t="shared" si="15"/>
        <v>0</v>
      </c>
      <c r="BV32" t="str">
        <f t="shared" si="16"/>
        <v/>
      </c>
    </row>
    <row r="33" spans="58:74" x14ac:dyDescent="0.25">
      <c r="BF33">
        <f t="shared" si="0"/>
        <v>0</v>
      </c>
      <c r="BG33">
        <f t="shared" si="1"/>
        <v>0</v>
      </c>
      <c r="BH33">
        <f t="shared" si="2"/>
        <v>0</v>
      </c>
      <c r="BI33">
        <f t="shared" si="3"/>
        <v>0</v>
      </c>
      <c r="BJ33">
        <f t="shared" si="4"/>
        <v>0</v>
      </c>
      <c r="BK33">
        <f t="shared" si="5"/>
        <v>0</v>
      </c>
      <c r="BL33">
        <f t="shared" si="6"/>
        <v>0</v>
      </c>
      <c r="BM33" s="12" t="str">
        <f t="shared" si="7"/>
        <v/>
      </c>
      <c r="BN33">
        <f t="shared" si="8"/>
        <v>0</v>
      </c>
      <c r="BO33">
        <f t="shared" si="9"/>
        <v>0</v>
      </c>
      <c r="BP33">
        <f t="shared" si="10"/>
        <v>0</v>
      </c>
      <c r="BQ33">
        <f t="shared" si="11"/>
        <v>0</v>
      </c>
      <c r="BR33" t="str">
        <f t="shared" si="12"/>
        <v/>
      </c>
      <c r="BS33">
        <f t="shared" si="13"/>
        <v>0</v>
      </c>
      <c r="BT33" s="6">
        <f t="shared" si="14"/>
        <v>0</v>
      </c>
      <c r="BU33">
        <f t="shared" si="15"/>
        <v>0</v>
      </c>
      <c r="BV33" t="str">
        <f t="shared" si="16"/>
        <v/>
      </c>
    </row>
    <row r="34" spans="58:74" x14ac:dyDescent="0.25">
      <c r="BF34">
        <f t="shared" si="0"/>
        <v>0</v>
      </c>
      <c r="BG34">
        <f t="shared" si="1"/>
        <v>0</v>
      </c>
      <c r="BH34">
        <f t="shared" si="2"/>
        <v>0</v>
      </c>
      <c r="BI34">
        <f t="shared" si="3"/>
        <v>0</v>
      </c>
      <c r="BJ34">
        <f t="shared" si="4"/>
        <v>0</v>
      </c>
      <c r="BK34">
        <f t="shared" si="5"/>
        <v>0</v>
      </c>
      <c r="BL34">
        <f t="shared" si="6"/>
        <v>0</v>
      </c>
      <c r="BM34" s="12" t="str">
        <f t="shared" si="7"/>
        <v/>
      </c>
      <c r="BN34">
        <f t="shared" si="8"/>
        <v>0</v>
      </c>
      <c r="BO34">
        <f t="shared" si="9"/>
        <v>0</v>
      </c>
      <c r="BP34">
        <f t="shared" si="10"/>
        <v>0</v>
      </c>
      <c r="BQ34">
        <f t="shared" si="11"/>
        <v>0</v>
      </c>
      <c r="BR34" t="str">
        <f t="shared" si="12"/>
        <v/>
      </c>
      <c r="BS34">
        <f t="shared" si="13"/>
        <v>0</v>
      </c>
      <c r="BT34" s="6">
        <f t="shared" si="14"/>
        <v>0</v>
      </c>
      <c r="BU34">
        <f t="shared" si="15"/>
        <v>0</v>
      </c>
      <c r="BV34" t="str">
        <f t="shared" si="16"/>
        <v/>
      </c>
    </row>
    <row r="35" spans="58:74" x14ac:dyDescent="0.25">
      <c r="BF35">
        <f>N35</f>
        <v>0</v>
      </c>
      <c r="BG35">
        <f>N35</f>
        <v>0</v>
      </c>
      <c r="BH35">
        <f>T35</f>
        <v>0</v>
      </c>
      <c r="BI35">
        <f t="shared" ref="BI35:BJ35" si="17">U35</f>
        <v>0</v>
      </c>
      <c r="BJ35">
        <f t="shared" si="17"/>
        <v>0</v>
      </c>
      <c r="BK35">
        <f>I35</f>
        <v>0</v>
      </c>
      <c r="BL35">
        <f>L35</f>
        <v>0</v>
      </c>
      <c r="BM35" s="12" t="str">
        <f>SUBSTITUTE(J35,"/",".")</f>
        <v/>
      </c>
      <c r="BN35">
        <f>Q35*1000</f>
        <v>0</v>
      </c>
      <c r="BO35">
        <f>P35/1000</f>
        <v>0</v>
      </c>
      <c r="BP35">
        <f>D35</f>
        <v>0</v>
      </c>
      <c r="BQ35">
        <f>G35</f>
        <v>0</v>
      </c>
      <c r="BR35" t="str">
        <f>SUBSTITUTE(O35,".","")</f>
        <v/>
      </c>
      <c r="BS35">
        <f>S35</f>
        <v>0</v>
      </c>
      <c r="BT35" s="6">
        <f>AJ35</f>
        <v>0</v>
      </c>
      <c r="BU35">
        <f>AE35</f>
        <v>0</v>
      </c>
      <c r="BV35" t="str">
        <f t="shared" si="16"/>
        <v/>
      </c>
    </row>
    <row r="36" spans="58:74" x14ac:dyDescent="0.25">
      <c r="BF36">
        <f t="shared" ref="BF36:BF88" si="18">N36</f>
        <v>0</v>
      </c>
      <c r="BG36">
        <f t="shared" ref="BG36:BG88" si="19">N36</f>
        <v>0</v>
      </c>
      <c r="BH36">
        <f t="shared" ref="BH36:BH88" si="20">T36</f>
        <v>0</v>
      </c>
      <c r="BI36">
        <f t="shared" ref="BI36:BI88" si="21">U36</f>
        <v>0</v>
      </c>
      <c r="BJ36">
        <f t="shared" ref="BJ36:BJ88" si="22">V36</f>
        <v>0</v>
      </c>
      <c r="BK36">
        <f t="shared" ref="BK36:BK88" si="23">I36</f>
        <v>0</v>
      </c>
      <c r="BL36">
        <f t="shared" ref="BL36:BL88" si="24">L36</f>
        <v>0</v>
      </c>
      <c r="BM36" s="12" t="str">
        <f t="shared" ref="BM36:BM88" si="25">SUBSTITUTE(J36,"/",".")</f>
        <v/>
      </c>
      <c r="BN36">
        <f t="shared" ref="BN36:BN88" si="26">Q36*1000</f>
        <v>0</v>
      </c>
      <c r="BO36">
        <f t="shared" ref="BO36:BO88" si="27">P36/1000</f>
        <v>0</v>
      </c>
      <c r="BP36">
        <f t="shared" ref="BP36:BP88" si="28">D36</f>
        <v>0</v>
      </c>
      <c r="BQ36">
        <f t="shared" ref="BQ36:BQ88" si="29">G36</f>
        <v>0</v>
      </c>
      <c r="BR36" t="str">
        <f t="shared" ref="BR36:BR88" si="30">SUBSTITUTE(O36,".","")</f>
        <v/>
      </c>
      <c r="BS36">
        <f t="shared" ref="BS36:BS88" si="31">S36</f>
        <v>0</v>
      </c>
      <c r="BT36" s="6">
        <f t="shared" ref="BT36:BT88" si="32">AJ36</f>
        <v>0</v>
      </c>
      <c r="BU36">
        <f t="shared" ref="BU36:BU88" si="33">AE36</f>
        <v>0</v>
      </c>
      <c r="BV36" t="str">
        <f t="shared" si="16"/>
        <v/>
      </c>
    </row>
    <row r="37" spans="58:74" x14ac:dyDescent="0.25">
      <c r="BF37">
        <f t="shared" si="18"/>
        <v>0</v>
      </c>
      <c r="BG37">
        <f t="shared" si="19"/>
        <v>0</v>
      </c>
      <c r="BH37">
        <f t="shared" si="20"/>
        <v>0</v>
      </c>
      <c r="BI37">
        <f t="shared" si="21"/>
        <v>0</v>
      </c>
      <c r="BJ37">
        <f t="shared" si="22"/>
        <v>0</v>
      </c>
      <c r="BK37">
        <f t="shared" si="23"/>
        <v>0</v>
      </c>
      <c r="BL37">
        <f t="shared" si="24"/>
        <v>0</v>
      </c>
      <c r="BM37" s="12" t="str">
        <f t="shared" si="25"/>
        <v/>
      </c>
      <c r="BN37">
        <f t="shared" si="26"/>
        <v>0</v>
      </c>
      <c r="BO37">
        <f t="shared" si="27"/>
        <v>0</v>
      </c>
      <c r="BP37">
        <f t="shared" si="28"/>
        <v>0</v>
      </c>
      <c r="BQ37">
        <f t="shared" si="29"/>
        <v>0</v>
      </c>
      <c r="BR37" t="str">
        <f t="shared" si="30"/>
        <v/>
      </c>
      <c r="BS37">
        <f t="shared" si="31"/>
        <v>0</v>
      </c>
      <c r="BT37" s="6">
        <f t="shared" si="32"/>
        <v>0</v>
      </c>
      <c r="BU37">
        <f t="shared" si="33"/>
        <v>0</v>
      </c>
      <c r="BV37" t="str">
        <f t="shared" si="16"/>
        <v/>
      </c>
    </row>
    <row r="38" spans="58:74" x14ac:dyDescent="0.25">
      <c r="BF38">
        <f t="shared" si="18"/>
        <v>0</v>
      </c>
      <c r="BG38">
        <f t="shared" si="19"/>
        <v>0</v>
      </c>
      <c r="BH38">
        <f t="shared" si="20"/>
        <v>0</v>
      </c>
      <c r="BI38">
        <f t="shared" si="21"/>
        <v>0</v>
      </c>
      <c r="BJ38">
        <f t="shared" si="22"/>
        <v>0</v>
      </c>
      <c r="BK38">
        <f t="shared" si="23"/>
        <v>0</v>
      </c>
      <c r="BL38">
        <f t="shared" si="24"/>
        <v>0</v>
      </c>
      <c r="BM38" s="12" t="str">
        <f t="shared" si="25"/>
        <v/>
      </c>
      <c r="BN38">
        <f t="shared" si="26"/>
        <v>0</v>
      </c>
      <c r="BO38">
        <f t="shared" si="27"/>
        <v>0</v>
      </c>
      <c r="BP38">
        <f t="shared" si="28"/>
        <v>0</v>
      </c>
      <c r="BQ38">
        <f t="shared" si="29"/>
        <v>0</v>
      </c>
      <c r="BR38" t="str">
        <f t="shared" si="30"/>
        <v/>
      </c>
      <c r="BS38">
        <f t="shared" si="31"/>
        <v>0</v>
      </c>
      <c r="BT38" s="6">
        <f t="shared" si="32"/>
        <v>0</v>
      </c>
      <c r="BU38">
        <f t="shared" si="33"/>
        <v>0</v>
      </c>
      <c r="BV38" t="str">
        <f t="shared" si="16"/>
        <v/>
      </c>
    </row>
    <row r="39" spans="58:74" x14ac:dyDescent="0.25">
      <c r="BF39">
        <f t="shared" si="18"/>
        <v>0</v>
      </c>
      <c r="BG39">
        <f t="shared" si="19"/>
        <v>0</v>
      </c>
      <c r="BH39">
        <f t="shared" si="20"/>
        <v>0</v>
      </c>
      <c r="BI39">
        <f t="shared" si="21"/>
        <v>0</v>
      </c>
      <c r="BJ39">
        <f t="shared" si="22"/>
        <v>0</v>
      </c>
      <c r="BK39">
        <f t="shared" si="23"/>
        <v>0</v>
      </c>
      <c r="BL39">
        <f t="shared" si="24"/>
        <v>0</v>
      </c>
      <c r="BM39" s="12" t="str">
        <f t="shared" si="25"/>
        <v/>
      </c>
      <c r="BN39">
        <f t="shared" si="26"/>
        <v>0</v>
      </c>
      <c r="BO39">
        <f t="shared" si="27"/>
        <v>0</v>
      </c>
      <c r="BP39">
        <f t="shared" si="28"/>
        <v>0</v>
      </c>
      <c r="BQ39">
        <f t="shared" si="29"/>
        <v>0</v>
      </c>
      <c r="BR39" t="str">
        <f t="shared" si="30"/>
        <v/>
      </c>
      <c r="BS39">
        <f t="shared" si="31"/>
        <v>0</v>
      </c>
      <c r="BT39" s="6">
        <f t="shared" si="32"/>
        <v>0</v>
      </c>
      <c r="BU39">
        <f t="shared" si="33"/>
        <v>0</v>
      </c>
      <c r="BV39" t="str">
        <f t="shared" si="16"/>
        <v/>
      </c>
    </row>
    <row r="40" spans="58:74" x14ac:dyDescent="0.25">
      <c r="BF40">
        <f t="shared" si="18"/>
        <v>0</v>
      </c>
      <c r="BG40">
        <f t="shared" si="19"/>
        <v>0</v>
      </c>
      <c r="BH40">
        <f t="shared" si="20"/>
        <v>0</v>
      </c>
      <c r="BI40">
        <f t="shared" si="21"/>
        <v>0</v>
      </c>
      <c r="BJ40">
        <f t="shared" si="22"/>
        <v>0</v>
      </c>
      <c r="BK40">
        <f t="shared" si="23"/>
        <v>0</v>
      </c>
      <c r="BL40">
        <f t="shared" si="24"/>
        <v>0</v>
      </c>
      <c r="BM40" s="12" t="str">
        <f t="shared" si="25"/>
        <v/>
      </c>
      <c r="BN40">
        <f t="shared" si="26"/>
        <v>0</v>
      </c>
      <c r="BO40">
        <f t="shared" si="27"/>
        <v>0</v>
      </c>
      <c r="BP40">
        <f t="shared" si="28"/>
        <v>0</v>
      </c>
      <c r="BQ40">
        <f t="shared" si="29"/>
        <v>0</v>
      </c>
      <c r="BR40" t="str">
        <f t="shared" si="30"/>
        <v/>
      </c>
      <c r="BS40">
        <f t="shared" si="31"/>
        <v>0</v>
      </c>
      <c r="BT40" s="6">
        <f t="shared" si="32"/>
        <v>0</v>
      </c>
      <c r="BU40">
        <f t="shared" si="33"/>
        <v>0</v>
      </c>
      <c r="BV40" t="str">
        <f t="shared" si="16"/>
        <v/>
      </c>
    </row>
    <row r="41" spans="58:74" x14ac:dyDescent="0.25">
      <c r="BF41">
        <f t="shared" si="18"/>
        <v>0</v>
      </c>
      <c r="BG41">
        <f t="shared" si="19"/>
        <v>0</v>
      </c>
      <c r="BH41">
        <f t="shared" si="20"/>
        <v>0</v>
      </c>
      <c r="BI41">
        <f t="shared" si="21"/>
        <v>0</v>
      </c>
      <c r="BJ41">
        <f t="shared" si="22"/>
        <v>0</v>
      </c>
      <c r="BK41">
        <f t="shared" si="23"/>
        <v>0</v>
      </c>
      <c r="BL41">
        <f t="shared" si="24"/>
        <v>0</v>
      </c>
      <c r="BM41" s="12" t="str">
        <f t="shared" si="25"/>
        <v/>
      </c>
      <c r="BN41">
        <f t="shared" si="26"/>
        <v>0</v>
      </c>
      <c r="BO41">
        <f t="shared" si="27"/>
        <v>0</v>
      </c>
      <c r="BP41">
        <f t="shared" si="28"/>
        <v>0</v>
      </c>
      <c r="BQ41">
        <f t="shared" si="29"/>
        <v>0</v>
      </c>
      <c r="BR41" t="str">
        <f t="shared" si="30"/>
        <v/>
      </c>
      <c r="BS41">
        <f t="shared" si="31"/>
        <v>0</v>
      </c>
      <c r="BT41" s="6">
        <f t="shared" si="32"/>
        <v>0</v>
      </c>
      <c r="BU41">
        <f t="shared" si="33"/>
        <v>0</v>
      </c>
      <c r="BV41" t="str">
        <f t="shared" si="16"/>
        <v/>
      </c>
    </row>
    <row r="42" spans="58:74" x14ac:dyDescent="0.25">
      <c r="BF42">
        <f t="shared" si="18"/>
        <v>0</v>
      </c>
      <c r="BG42">
        <f t="shared" si="19"/>
        <v>0</v>
      </c>
      <c r="BH42">
        <f t="shared" si="20"/>
        <v>0</v>
      </c>
      <c r="BI42">
        <f t="shared" si="21"/>
        <v>0</v>
      </c>
      <c r="BJ42">
        <f t="shared" si="22"/>
        <v>0</v>
      </c>
      <c r="BK42">
        <f t="shared" si="23"/>
        <v>0</v>
      </c>
      <c r="BL42">
        <f t="shared" si="24"/>
        <v>0</v>
      </c>
      <c r="BM42" s="12" t="str">
        <f t="shared" si="25"/>
        <v/>
      </c>
      <c r="BN42">
        <f t="shared" si="26"/>
        <v>0</v>
      </c>
      <c r="BO42">
        <f t="shared" si="27"/>
        <v>0</v>
      </c>
      <c r="BP42">
        <f t="shared" si="28"/>
        <v>0</v>
      </c>
      <c r="BQ42">
        <f t="shared" si="29"/>
        <v>0</v>
      </c>
      <c r="BR42" t="str">
        <f t="shared" si="30"/>
        <v/>
      </c>
      <c r="BS42">
        <f t="shared" si="31"/>
        <v>0</v>
      </c>
      <c r="BT42" s="6">
        <f t="shared" si="32"/>
        <v>0</v>
      </c>
      <c r="BU42">
        <f t="shared" si="33"/>
        <v>0</v>
      </c>
      <c r="BV42" t="str">
        <f t="shared" si="16"/>
        <v/>
      </c>
    </row>
    <row r="43" spans="58:74" x14ac:dyDescent="0.25">
      <c r="BF43">
        <f t="shared" si="18"/>
        <v>0</v>
      </c>
      <c r="BG43">
        <f t="shared" si="19"/>
        <v>0</v>
      </c>
      <c r="BH43">
        <f t="shared" si="20"/>
        <v>0</v>
      </c>
      <c r="BI43">
        <f t="shared" si="21"/>
        <v>0</v>
      </c>
      <c r="BJ43">
        <f t="shared" si="22"/>
        <v>0</v>
      </c>
      <c r="BK43">
        <f t="shared" si="23"/>
        <v>0</v>
      </c>
      <c r="BL43">
        <f t="shared" si="24"/>
        <v>0</v>
      </c>
      <c r="BM43" s="12" t="str">
        <f t="shared" si="25"/>
        <v/>
      </c>
      <c r="BN43">
        <f t="shared" si="26"/>
        <v>0</v>
      </c>
      <c r="BO43">
        <f t="shared" si="27"/>
        <v>0</v>
      </c>
      <c r="BP43">
        <f t="shared" si="28"/>
        <v>0</v>
      </c>
      <c r="BQ43">
        <f t="shared" si="29"/>
        <v>0</v>
      </c>
      <c r="BR43" t="str">
        <f t="shared" si="30"/>
        <v/>
      </c>
      <c r="BS43">
        <f t="shared" si="31"/>
        <v>0</v>
      </c>
      <c r="BT43" s="6">
        <f t="shared" si="32"/>
        <v>0</v>
      </c>
      <c r="BU43">
        <f t="shared" si="33"/>
        <v>0</v>
      </c>
      <c r="BV43" t="str">
        <f t="shared" si="16"/>
        <v/>
      </c>
    </row>
    <row r="44" spans="58:74" x14ac:dyDescent="0.25">
      <c r="BF44">
        <f t="shared" si="18"/>
        <v>0</v>
      </c>
      <c r="BG44">
        <f t="shared" si="19"/>
        <v>0</v>
      </c>
      <c r="BH44">
        <f t="shared" si="20"/>
        <v>0</v>
      </c>
      <c r="BI44">
        <f t="shared" si="21"/>
        <v>0</v>
      </c>
      <c r="BJ44">
        <f t="shared" si="22"/>
        <v>0</v>
      </c>
      <c r="BK44">
        <f t="shared" si="23"/>
        <v>0</v>
      </c>
      <c r="BL44">
        <f t="shared" si="24"/>
        <v>0</v>
      </c>
      <c r="BM44" s="12" t="str">
        <f t="shared" si="25"/>
        <v/>
      </c>
      <c r="BN44">
        <f t="shared" si="26"/>
        <v>0</v>
      </c>
      <c r="BO44">
        <f t="shared" si="27"/>
        <v>0</v>
      </c>
      <c r="BP44">
        <f t="shared" si="28"/>
        <v>0</v>
      </c>
      <c r="BQ44">
        <f t="shared" si="29"/>
        <v>0</v>
      </c>
      <c r="BR44" t="str">
        <f t="shared" si="30"/>
        <v/>
      </c>
      <c r="BS44">
        <f t="shared" si="31"/>
        <v>0</v>
      </c>
      <c r="BT44" s="6">
        <f t="shared" si="32"/>
        <v>0</v>
      </c>
      <c r="BU44">
        <f t="shared" si="33"/>
        <v>0</v>
      </c>
      <c r="BV44" t="str">
        <f t="shared" si="16"/>
        <v/>
      </c>
    </row>
    <row r="45" spans="58:74" x14ac:dyDescent="0.25">
      <c r="BF45">
        <f t="shared" si="18"/>
        <v>0</v>
      </c>
      <c r="BG45">
        <f t="shared" si="19"/>
        <v>0</v>
      </c>
      <c r="BH45">
        <f t="shared" si="20"/>
        <v>0</v>
      </c>
      <c r="BI45">
        <f t="shared" si="21"/>
        <v>0</v>
      </c>
      <c r="BJ45">
        <f t="shared" si="22"/>
        <v>0</v>
      </c>
      <c r="BK45">
        <f t="shared" si="23"/>
        <v>0</v>
      </c>
      <c r="BL45">
        <f t="shared" si="24"/>
        <v>0</v>
      </c>
      <c r="BM45" s="12" t="str">
        <f t="shared" si="25"/>
        <v/>
      </c>
      <c r="BN45">
        <f t="shared" si="26"/>
        <v>0</v>
      </c>
      <c r="BO45">
        <f t="shared" si="27"/>
        <v>0</v>
      </c>
      <c r="BP45">
        <f t="shared" si="28"/>
        <v>0</v>
      </c>
      <c r="BQ45">
        <f t="shared" si="29"/>
        <v>0</v>
      </c>
      <c r="BR45" t="str">
        <f t="shared" si="30"/>
        <v/>
      </c>
      <c r="BS45">
        <f t="shared" si="31"/>
        <v>0</v>
      </c>
      <c r="BT45" s="6">
        <f t="shared" si="32"/>
        <v>0</v>
      </c>
      <c r="BU45">
        <f t="shared" si="33"/>
        <v>0</v>
      </c>
      <c r="BV45" t="str">
        <f t="shared" si="16"/>
        <v/>
      </c>
    </row>
    <row r="46" spans="58:74" x14ac:dyDescent="0.25">
      <c r="BF46">
        <f t="shared" si="18"/>
        <v>0</v>
      </c>
      <c r="BG46">
        <f t="shared" si="19"/>
        <v>0</v>
      </c>
      <c r="BH46">
        <f t="shared" si="20"/>
        <v>0</v>
      </c>
      <c r="BI46">
        <f t="shared" si="21"/>
        <v>0</v>
      </c>
      <c r="BJ46">
        <f t="shared" si="22"/>
        <v>0</v>
      </c>
      <c r="BK46">
        <f t="shared" si="23"/>
        <v>0</v>
      </c>
      <c r="BL46">
        <f t="shared" si="24"/>
        <v>0</v>
      </c>
      <c r="BM46" s="12" t="str">
        <f t="shared" si="25"/>
        <v/>
      </c>
      <c r="BN46">
        <f t="shared" si="26"/>
        <v>0</v>
      </c>
      <c r="BO46">
        <f t="shared" si="27"/>
        <v>0</v>
      </c>
      <c r="BP46">
        <f t="shared" si="28"/>
        <v>0</v>
      </c>
      <c r="BQ46">
        <f t="shared" si="29"/>
        <v>0</v>
      </c>
      <c r="BR46" t="str">
        <f t="shared" si="30"/>
        <v/>
      </c>
      <c r="BS46">
        <f t="shared" si="31"/>
        <v>0</v>
      </c>
      <c r="BT46" s="6">
        <f t="shared" si="32"/>
        <v>0</v>
      </c>
      <c r="BU46">
        <f t="shared" si="33"/>
        <v>0</v>
      </c>
      <c r="BV46" t="str">
        <f t="shared" si="16"/>
        <v/>
      </c>
    </row>
    <row r="47" spans="58:74" x14ac:dyDescent="0.25">
      <c r="BF47">
        <f t="shared" si="18"/>
        <v>0</v>
      </c>
      <c r="BG47">
        <f t="shared" si="19"/>
        <v>0</v>
      </c>
      <c r="BH47">
        <f t="shared" si="20"/>
        <v>0</v>
      </c>
      <c r="BI47">
        <f t="shared" si="21"/>
        <v>0</v>
      </c>
      <c r="BJ47">
        <f t="shared" si="22"/>
        <v>0</v>
      </c>
      <c r="BK47">
        <f t="shared" si="23"/>
        <v>0</v>
      </c>
      <c r="BL47">
        <f t="shared" si="24"/>
        <v>0</v>
      </c>
      <c r="BM47" s="12" t="str">
        <f t="shared" si="25"/>
        <v/>
      </c>
      <c r="BN47">
        <f t="shared" si="26"/>
        <v>0</v>
      </c>
      <c r="BO47">
        <f t="shared" si="27"/>
        <v>0</v>
      </c>
      <c r="BP47">
        <f t="shared" si="28"/>
        <v>0</v>
      </c>
      <c r="BQ47">
        <f t="shared" si="29"/>
        <v>0</v>
      </c>
      <c r="BR47" t="str">
        <f t="shared" si="30"/>
        <v/>
      </c>
      <c r="BS47">
        <f t="shared" si="31"/>
        <v>0</v>
      </c>
      <c r="BT47" s="6">
        <f t="shared" si="32"/>
        <v>0</v>
      </c>
      <c r="BU47">
        <f t="shared" si="33"/>
        <v>0</v>
      </c>
      <c r="BV47" t="str">
        <f t="shared" si="16"/>
        <v/>
      </c>
    </row>
    <row r="48" spans="58:74" x14ac:dyDescent="0.25">
      <c r="BF48">
        <f t="shared" si="18"/>
        <v>0</v>
      </c>
      <c r="BG48">
        <f t="shared" si="19"/>
        <v>0</v>
      </c>
      <c r="BH48">
        <f t="shared" si="20"/>
        <v>0</v>
      </c>
      <c r="BI48">
        <f t="shared" si="21"/>
        <v>0</v>
      </c>
      <c r="BJ48">
        <f t="shared" si="22"/>
        <v>0</v>
      </c>
      <c r="BK48">
        <f t="shared" si="23"/>
        <v>0</v>
      </c>
      <c r="BL48">
        <f t="shared" si="24"/>
        <v>0</v>
      </c>
      <c r="BM48" s="12" t="str">
        <f t="shared" si="25"/>
        <v/>
      </c>
      <c r="BN48">
        <f t="shared" si="26"/>
        <v>0</v>
      </c>
      <c r="BO48">
        <f t="shared" si="27"/>
        <v>0</v>
      </c>
      <c r="BP48">
        <f t="shared" si="28"/>
        <v>0</v>
      </c>
      <c r="BQ48">
        <f t="shared" si="29"/>
        <v>0</v>
      </c>
      <c r="BR48" t="str">
        <f t="shared" si="30"/>
        <v/>
      </c>
      <c r="BS48">
        <f t="shared" si="31"/>
        <v>0</v>
      </c>
      <c r="BT48" s="6">
        <f t="shared" si="32"/>
        <v>0</v>
      </c>
      <c r="BU48">
        <f t="shared" si="33"/>
        <v>0</v>
      </c>
      <c r="BV48" t="str">
        <f t="shared" si="16"/>
        <v/>
      </c>
    </row>
    <row r="49" spans="58:74" x14ac:dyDescent="0.25">
      <c r="BF49">
        <f t="shared" si="18"/>
        <v>0</v>
      </c>
      <c r="BG49">
        <f t="shared" si="19"/>
        <v>0</v>
      </c>
      <c r="BH49">
        <f t="shared" si="20"/>
        <v>0</v>
      </c>
      <c r="BI49">
        <f t="shared" si="21"/>
        <v>0</v>
      </c>
      <c r="BJ49">
        <f t="shared" si="22"/>
        <v>0</v>
      </c>
      <c r="BK49">
        <f t="shared" si="23"/>
        <v>0</v>
      </c>
      <c r="BL49">
        <f t="shared" si="24"/>
        <v>0</v>
      </c>
      <c r="BM49" s="12" t="str">
        <f t="shared" si="25"/>
        <v/>
      </c>
      <c r="BN49">
        <f t="shared" si="26"/>
        <v>0</v>
      </c>
      <c r="BO49">
        <f t="shared" si="27"/>
        <v>0</v>
      </c>
      <c r="BP49">
        <f t="shared" si="28"/>
        <v>0</v>
      </c>
      <c r="BQ49">
        <f t="shared" si="29"/>
        <v>0</v>
      </c>
      <c r="BR49" t="str">
        <f t="shared" si="30"/>
        <v/>
      </c>
      <c r="BS49">
        <f t="shared" si="31"/>
        <v>0</v>
      </c>
      <c r="BT49" s="6">
        <f t="shared" si="32"/>
        <v>0</v>
      </c>
      <c r="BU49">
        <f t="shared" si="33"/>
        <v>0</v>
      </c>
      <c r="BV49" t="str">
        <f t="shared" si="16"/>
        <v/>
      </c>
    </row>
    <row r="50" spans="58:74" x14ac:dyDescent="0.25">
      <c r="BF50">
        <f t="shared" si="18"/>
        <v>0</v>
      </c>
      <c r="BG50">
        <f t="shared" si="19"/>
        <v>0</v>
      </c>
      <c r="BH50">
        <f t="shared" si="20"/>
        <v>0</v>
      </c>
      <c r="BI50">
        <f t="shared" si="21"/>
        <v>0</v>
      </c>
      <c r="BJ50">
        <f t="shared" si="22"/>
        <v>0</v>
      </c>
      <c r="BK50">
        <f t="shared" si="23"/>
        <v>0</v>
      </c>
      <c r="BL50">
        <f t="shared" si="24"/>
        <v>0</v>
      </c>
      <c r="BM50" s="12" t="str">
        <f t="shared" si="25"/>
        <v/>
      </c>
      <c r="BN50">
        <f t="shared" si="26"/>
        <v>0</v>
      </c>
      <c r="BO50">
        <f t="shared" si="27"/>
        <v>0</v>
      </c>
      <c r="BP50">
        <f t="shared" si="28"/>
        <v>0</v>
      </c>
      <c r="BQ50">
        <f t="shared" si="29"/>
        <v>0</v>
      </c>
      <c r="BR50" t="str">
        <f t="shared" si="30"/>
        <v/>
      </c>
      <c r="BS50">
        <f t="shared" si="31"/>
        <v>0</v>
      </c>
      <c r="BT50" s="6">
        <f t="shared" si="32"/>
        <v>0</v>
      </c>
      <c r="BU50">
        <f t="shared" si="33"/>
        <v>0</v>
      </c>
      <c r="BV50" t="str">
        <f t="shared" si="16"/>
        <v/>
      </c>
    </row>
    <row r="51" spans="58:74" x14ac:dyDescent="0.25">
      <c r="BF51">
        <f t="shared" si="18"/>
        <v>0</v>
      </c>
      <c r="BG51">
        <f t="shared" si="19"/>
        <v>0</v>
      </c>
      <c r="BH51">
        <f t="shared" si="20"/>
        <v>0</v>
      </c>
      <c r="BI51">
        <f t="shared" si="21"/>
        <v>0</v>
      </c>
      <c r="BJ51">
        <f t="shared" si="22"/>
        <v>0</v>
      </c>
      <c r="BK51">
        <f t="shared" si="23"/>
        <v>0</v>
      </c>
      <c r="BL51">
        <f t="shared" si="24"/>
        <v>0</v>
      </c>
      <c r="BM51" s="12" t="str">
        <f t="shared" si="25"/>
        <v/>
      </c>
      <c r="BN51">
        <f t="shared" si="26"/>
        <v>0</v>
      </c>
      <c r="BO51">
        <f t="shared" si="27"/>
        <v>0</v>
      </c>
      <c r="BP51">
        <f t="shared" si="28"/>
        <v>0</v>
      </c>
      <c r="BQ51">
        <f t="shared" si="29"/>
        <v>0</v>
      </c>
      <c r="BR51" t="str">
        <f t="shared" si="30"/>
        <v/>
      </c>
      <c r="BS51">
        <f t="shared" si="31"/>
        <v>0</v>
      </c>
      <c r="BT51" s="6">
        <f t="shared" si="32"/>
        <v>0</v>
      </c>
      <c r="BU51">
        <f t="shared" si="33"/>
        <v>0</v>
      </c>
      <c r="BV51" t="str">
        <f t="shared" si="16"/>
        <v/>
      </c>
    </row>
    <row r="52" spans="58:74" x14ac:dyDescent="0.25">
      <c r="BF52">
        <f t="shared" si="18"/>
        <v>0</v>
      </c>
      <c r="BG52">
        <f t="shared" si="19"/>
        <v>0</v>
      </c>
      <c r="BH52">
        <f t="shared" si="20"/>
        <v>0</v>
      </c>
      <c r="BI52">
        <f t="shared" si="21"/>
        <v>0</v>
      </c>
      <c r="BJ52">
        <f t="shared" si="22"/>
        <v>0</v>
      </c>
      <c r="BK52">
        <f t="shared" si="23"/>
        <v>0</v>
      </c>
      <c r="BL52">
        <f t="shared" si="24"/>
        <v>0</v>
      </c>
      <c r="BM52" s="12" t="str">
        <f t="shared" si="25"/>
        <v/>
      </c>
      <c r="BN52">
        <f t="shared" si="26"/>
        <v>0</v>
      </c>
      <c r="BO52">
        <f t="shared" si="27"/>
        <v>0</v>
      </c>
      <c r="BP52">
        <f t="shared" si="28"/>
        <v>0</v>
      </c>
      <c r="BQ52">
        <f t="shared" si="29"/>
        <v>0</v>
      </c>
      <c r="BR52" t="str">
        <f t="shared" si="30"/>
        <v/>
      </c>
      <c r="BS52">
        <f t="shared" si="31"/>
        <v>0</v>
      </c>
      <c r="BT52" s="6">
        <f t="shared" si="32"/>
        <v>0</v>
      </c>
      <c r="BU52">
        <f t="shared" si="33"/>
        <v>0</v>
      </c>
      <c r="BV52" t="str">
        <f t="shared" si="16"/>
        <v/>
      </c>
    </row>
    <row r="53" spans="58:74" x14ac:dyDescent="0.25">
      <c r="BF53">
        <f t="shared" si="18"/>
        <v>0</v>
      </c>
      <c r="BG53">
        <f t="shared" si="19"/>
        <v>0</v>
      </c>
      <c r="BH53">
        <f t="shared" si="20"/>
        <v>0</v>
      </c>
      <c r="BI53">
        <f t="shared" si="21"/>
        <v>0</v>
      </c>
      <c r="BJ53">
        <f t="shared" si="22"/>
        <v>0</v>
      </c>
      <c r="BK53">
        <f t="shared" si="23"/>
        <v>0</v>
      </c>
      <c r="BL53">
        <f t="shared" si="24"/>
        <v>0</v>
      </c>
      <c r="BM53" s="12" t="str">
        <f t="shared" si="25"/>
        <v/>
      </c>
      <c r="BN53">
        <f t="shared" si="26"/>
        <v>0</v>
      </c>
      <c r="BO53">
        <f t="shared" si="27"/>
        <v>0</v>
      </c>
      <c r="BP53">
        <f t="shared" si="28"/>
        <v>0</v>
      </c>
      <c r="BQ53">
        <f t="shared" si="29"/>
        <v>0</v>
      </c>
      <c r="BR53" t="str">
        <f t="shared" si="30"/>
        <v/>
      </c>
      <c r="BS53">
        <f t="shared" si="31"/>
        <v>0</v>
      </c>
      <c r="BT53" s="6">
        <f t="shared" si="32"/>
        <v>0</v>
      </c>
      <c r="BU53">
        <f t="shared" si="33"/>
        <v>0</v>
      </c>
      <c r="BV53" t="str">
        <f t="shared" si="16"/>
        <v/>
      </c>
    </row>
    <row r="54" spans="58:74" x14ac:dyDescent="0.25">
      <c r="BF54">
        <f t="shared" si="18"/>
        <v>0</v>
      </c>
      <c r="BG54">
        <f t="shared" si="19"/>
        <v>0</v>
      </c>
      <c r="BH54">
        <f t="shared" si="20"/>
        <v>0</v>
      </c>
      <c r="BI54">
        <f t="shared" si="21"/>
        <v>0</v>
      </c>
      <c r="BJ54">
        <f t="shared" si="22"/>
        <v>0</v>
      </c>
      <c r="BK54">
        <f t="shared" si="23"/>
        <v>0</v>
      </c>
      <c r="BL54">
        <f t="shared" si="24"/>
        <v>0</v>
      </c>
      <c r="BM54" s="12" t="str">
        <f t="shared" si="25"/>
        <v/>
      </c>
      <c r="BN54">
        <f t="shared" si="26"/>
        <v>0</v>
      </c>
      <c r="BO54">
        <f t="shared" si="27"/>
        <v>0</v>
      </c>
      <c r="BP54">
        <f t="shared" si="28"/>
        <v>0</v>
      </c>
      <c r="BQ54">
        <f t="shared" si="29"/>
        <v>0</v>
      </c>
      <c r="BR54" t="str">
        <f t="shared" si="30"/>
        <v/>
      </c>
      <c r="BS54">
        <f t="shared" si="31"/>
        <v>0</v>
      </c>
      <c r="BT54" s="6">
        <f t="shared" si="32"/>
        <v>0</v>
      </c>
      <c r="BU54">
        <f t="shared" si="33"/>
        <v>0</v>
      </c>
      <c r="BV54" t="str">
        <f t="shared" si="16"/>
        <v/>
      </c>
    </row>
    <row r="55" spans="58:74" x14ac:dyDescent="0.25">
      <c r="BF55">
        <f t="shared" si="18"/>
        <v>0</v>
      </c>
      <c r="BG55">
        <f t="shared" si="19"/>
        <v>0</v>
      </c>
      <c r="BH55">
        <f t="shared" si="20"/>
        <v>0</v>
      </c>
      <c r="BI55">
        <f t="shared" si="21"/>
        <v>0</v>
      </c>
      <c r="BJ55">
        <f t="shared" si="22"/>
        <v>0</v>
      </c>
      <c r="BK55">
        <f t="shared" si="23"/>
        <v>0</v>
      </c>
      <c r="BL55">
        <f t="shared" si="24"/>
        <v>0</v>
      </c>
      <c r="BM55" s="12" t="str">
        <f t="shared" si="25"/>
        <v/>
      </c>
      <c r="BN55">
        <f t="shared" si="26"/>
        <v>0</v>
      </c>
      <c r="BO55">
        <f t="shared" si="27"/>
        <v>0</v>
      </c>
      <c r="BP55">
        <f t="shared" si="28"/>
        <v>0</v>
      </c>
      <c r="BQ55">
        <f t="shared" si="29"/>
        <v>0</v>
      </c>
      <c r="BR55" t="str">
        <f t="shared" si="30"/>
        <v/>
      </c>
      <c r="BS55">
        <f t="shared" si="31"/>
        <v>0</v>
      </c>
      <c r="BT55" s="6">
        <f t="shared" si="32"/>
        <v>0</v>
      </c>
      <c r="BU55">
        <f t="shared" si="33"/>
        <v>0</v>
      </c>
      <c r="BV55" t="str">
        <f t="shared" si="16"/>
        <v/>
      </c>
    </row>
    <row r="56" spans="58:74" x14ac:dyDescent="0.25">
      <c r="BF56">
        <f t="shared" si="18"/>
        <v>0</v>
      </c>
      <c r="BG56">
        <f t="shared" si="19"/>
        <v>0</v>
      </c>
      <c r="BH56">
        <f t="shared" si="20"/>
        <v>0</v>
      </c>
      <c r="BI56">
        <f t="shared" si="21"/>
        <v>0</v>
      </c>
      <c r="BJ56">
        <f t="shared" si="22"/>
        <v>0</v>
      </c>
      <c r="BK56">
        <f t="shared" si="23"/>
        <v>0</v>
      </c>
      <c r="BL56">
        <f t="shared" si="24"/>
        <v>0</v>
      </c>
      <c r="BM56" s="12" t="str">
        <f t="shared" si="25"/>
        <v/>
      </c>
      <c r="BN56">
        <f t="shared" si="26"/>
        <v>0</v>
      </c>
      <c r="BO56">
        <f t="shared" si="27"/>
        <v>0</v>
      </c>
      <c r="BP56">
        <f t="shared" si="28"/>
        <v>0</v>
      </c>
      <c r="BQ56">
        <f t="shared" si="29"/>
        <v>0</v>
      </c>
      <c r="BR56" t="str">
        <f t="shared" si="30"/>
        <v/>
      </c>
      <c r="BS56">
        <f t="shared" si="31"/>
        <v>0</v>
      </c>
      <c r="BT56" s="6">
        <f t="shared" si="32"/>
        <v>0</v>
      </c>
      <c r="BU56">
        <f t="shared" si="33"/>
        <v>0</v>
      </c>
      <c r="BV56" t="str">
        <f t="shared" si="16"/>
        <v/>
      </c>
    </row>
    <row r="57" spans="58:74" x14ac:dyDescent="0.25">
      <c r="BF57">
        <f t="shared" si="18"/>
        <v>0</v>
      </c>
      <c r="BG57">
        <f t="shared" si="19"/>
        <v>0</v>
      </c>
      <c r="BH57">
        <f t="shared" si="20"/>
        <v>0</v>
      </c>
      <c r="BI57">
        <f t="shared" si="21"/>
        <v>0</v>
      </c>
      <c r="BJ57">
        <f t="shared" si="22"/>
        <v>0</v>
      </c>
      <c r="BK57">
        <f t="shared" si="23"/>
        <v>0</v>
      </c>
      <c r="BL57">
        <f t="shared" si="24"/>
        <v>0</v>
      </c>
      <c r="BM57" s="12" t="str">
        <f t="shared" si="25"/>
        <v/>
      </c>
      <c r="BN57">
        <f t="shared" si="26"/>
        <v>0</v>
      </c>
      <c r="BO57">
        <f t="shared" si="27"/>
        <v>0</v>
      </c>
      <c r="BP57">
        <f t="shared" si="28"/>
        <v>0</v>
      </c>
      <c r="BQ57">
        <f t="shared" si="29"/>
        <v>0</v>
      </c>
      <c r="BR57" t="str">
        <f t="shared" si="30"/>
        <v/>
      </c>
      <c r="BS57">
        <f t="shared" si="31"/>
        <v>0</v>
      </c>
      <c r="BT57" s="6">
        <f t="shared" si="32"/>
        <v>0</v>
      </c>
      <c r="BU57">
        <f t="shared" si="33"/>
        <v>0</v>
      </c>
      <c r="BV57" t="str">
        <f t="shared" si="16"/>
        <v/>
      </c>
    </row>
    <row r="58" spans="58:74" x14ac:dyDescent="0.25">
      <c r="BF58">
        <f t="shared" si="18"/>
        <v>0</v>
      </c>
      <c r="BG58">
        <f t="shared" si="19"/>
        <v>0</v>
      </c>
      <c r="BH58">
        <f t="shared" si="20"/>
        <v>0</v>
      </c>
      <c r="BI58">
        <f t="shared" si="21"/>
        <v>0</v>
      </c>
      <c r="BJ58">
        <f t="shared" si="22"/>
        <v>0</v>
      </c>
      <c r="BK58">
        <f t="shared" si="23"/>
        <v>0</v>
      </c>
      <c r="BL58">
        <f t="shared" si="24"/>
        <v>0</v>
      </c>
      <c r="BM58" s="12" t="str">
        <f t="shared" si="25"/>
        <v/>
      </c>
      <c r="BN58">
        <f t="shared" si="26"/>
        <v>0</v>
      </c>
      <c r="BO58">
        <f t="shared" si="27"/>
        <v>0</v>
      </c>
      <c r="BP58">
        <f t="shared" si="28"/>
        <v>0</v>
      </c>
      <c r="BQ58">
        <f t="shared" si="29"/>
        <v>0</v>
      </c>
      <c r="BR58" t="str">
        <f t="shared" si="30"/>
        <v/>
      </c>
      <c r="BS58">
        <f t="shared" si="31"/>
        <v>0</v>
      </c>
      <c r="BT58" s="6">
        <f t="shared" si="32"/>
        <v>0</v>
      </c>
      <c r="BU58">
        <f t="shared" si="33"/>
        <v>0</v>
      </c>
      <c r="BV58" t="str">
        <f t="shared" si="16"/>
        <v/>
      </c>
    </row>
    <row r="59" spans="58:74" x14ac:dyDescent="0.25">
      <c r="BF59">
        <f t="shared" si="18"/>
        <v>0</v>
      </c>
      <c r="BG59">
        <f t="shared" si="19"/>
        <v>0</v>
      </c>
      <c r="BH59">
        <f t="shared" si="20"/>
        <v>0</v>
      </c>
      <c r="BI59">
        <f t="shared" si="21"/>
        <v>0</v>
      </c>
      <c r="BJ59">
        <f t="shared" si="22"/>
        <v>0</v>
      </c>
      <c r="BK59">
        <f t="shared" si="23"/>
        <v>0</v>
      </c>
      <c r="BL59">
        <f t="shared" si="24"/>
        <v>0</v>
      </c>
      <c r="BM59" s="12" t="str">
        <f t="shared" si="25"/>
        <v/>
      </c>
      <c r="BN59">
        <f t="shared" si="26"/>
        <v>0</v>
      </c>
      <c r="BO59">
        <f t="shared" si="27"/>
        <v>0</v>
      </c>
      <c r="BP59">
        <f t="shared" si="28"/>
        <v>0</v>
      </c>
      <c r="BQ59">
        <f t="shared" si="29"/>
        <v>0</v>
      </c>
      <c r="BR59" t="str">
        <f t="shared" si="30"/>
        <v/>
      </c>
      <c r="BS59">
        <f t="shared" si="31"/>
        <v>0</v>
      </c>
      <c r="BT59" s="6">
        <f t="shared" si="32"/>
        <v>0</v>
      </c>
      <c r="BU59">
        <f t="shared" si="33"/>
        <v>0</v>
      </c>
      <c r="BV59" t="str">
        <f t="shared" si="16"/>
        <v/>
      </c>
    </row>
    <row r="60" spans="58:74" x14ac:dyDescent="0.25">
      <c r="BF60">
        <f t="shared" si="18"/>
        <v>0</v>
      </c>
      <c r="BG60">
        <f t="shared" si="19"/>
        <v>0</v>
      </c>
      <c r="BH60">
        <f t="shared" si="20"/>
        <v>0</v>
      </c>
      <c r="BI60">
        <f t="shared" si="21"/>
        <v>0</v>
      </c>
      <c r="BJ60">
        <f t="shared" si="22"/>
        <v>0</v>
      </c>
      <c r="BK60">
        <f t="shared" si="23"/>
        <v>0</v>
      </c>
      <c r="BL60">
        <f t="shared" si="24"/>
        <v>0</v>
      </c>
      <c r="BM60" s="12" t="str">
        <f t="shared" si="25"/>
        <v/>
      </c>
      <c r="BN60">
        <f t="shared" si="26"/>
        <v>0</v>
      </c>
      <c r="BO60">
        <f t="shared" si="27"/>
        <v>0</v>
      </c>
      <c r="BP60">
        <f t="shared" si="28"/>
        <v>0</v>
      </c>
      <c r="BQ60">
        <f t="shared" si="29"/>
        <v>0</v>
      </c>
      <c r="BR60" t="str">
        <f t="shared" si="30"/>
        <v/>
      </c>
      <c r="BS60">
        <f t="shared" si="31"/>
        <v>0</v>
      </c>
      <c r="BT60" s="6">
        <f t="shared" si="32"/>
        <v>0</v>
      </c>
      <c r="BU60">
        <f t="shared" si="33"/>
        <v>0</v>
      </c>
      <c r="BV60" t="str">
        <f t="shared" si="16"/>
        <v/>
      </c>
    </row>
    <row r="61" spans="58:74" x14ac:dyDescent="0.25">
      <c r="BF61">
        <f t="shared" si="18"/>
        <v>0</v>
      </c>
      <c r="BG61">
        <f t="shared" si="19"/>
        <v>0</v>
      </c>
      <c r="BH61">
        <f t="shared" si="20"/>
        <v>0</v>
      </c>
      <c r="BI61">
        <f t="shared" si="21"/>
        <v>0</v>
      </c>
      <c r="BJ61">
        <f t="shared" si="22"/>
        <v>0</v>
      </c>
      <c r="BK61">
        <f t="shared" si="23"/>
        <v>0</v>
      </c>
      <c r="BL61">
        <f t="shared" si="24"/>
        <v>0</v>
      </c>
      <c r="BM61" s="12" t="str">
        <f t="shared" si="25"/>
        <v/>
      </c>
      <c r="BN61">
        <f t="shared" si="26"/>
        <v>0</v>
      </c>
      <c r="BO61">
        <f t="shared" si="27"/>
        <v>0</v>
      </c>
      <c r="BP61">
        <f t="shared" si="28"/>
        <v>0</v>
      </c>
      <c r="BQ61">
        <f t="shared" si="29"/>
        <v>0</v>
      </c>
      <c r="BR61" t="str">
        <f t="shared" si="30"/>
        <v/>
      </c>
      <c r="BS61">
        <f t="shared" si="31"/>
        <v>0</v>
      </c>
      <c r="BT61" s="6">
        <f t="shared" si="32"/>
        <v>0</v>
      </c>
      <c r="BU61">
        <f t="shared" si="33"/>
        <v>0</v>
      </c>
      <c r="BV61" t="str">
        <f t="shared" si="16"/>
        <v/>
      </c>
    </row>
    <row r="62" spans="58:74" x14ac:dyDescent="0.25">
      <c r="BF62">
        <f t="shared" si="18"/>
        <v>0</v>
      </c>
      <c r="BG62">
        <f t="shared" si="19"/>
        <v>0</v>
      </c>
      <c r="BH62">
        <f t="shared" si="20"/>
        <v>0</v>
      </c>
      <c r="BI62">
        <f t="shared" si="21"/>
        <v>0</v>
      </c>
      <c r="BJ62">
        <f t="shared" si="22"/>
        <v>0</v>
      </c>
      <c r="BK62">
        <f t="shared" si="23"/>
        <v>0</v>
      </c>
      <c r="BL62">
        <f t="shared" si="24"/>
        <v>0</v>
      </c>
      <c r="BM62" s="12" t="str">
        <f t="shared" si="25"/>
        <v/>
      </c>
      <c r="BN62">
        <f t="shared" si="26"/>
        <v>0</v>
      </c>
      <c r="BO62">
        <f t="shared" si="27"/>
        <v>0</v>
      </c>
      <c r="BP62">
        <f t="shared" si="28"/>
        <v>0</v>
      </c>
      <c r="BQ62">
        <f t="shared" si="29"/>
        <v>0</v>
      </c>
      <c r="BR62" t="str">
        <f t="shared" si="30"/>
        <v/>
      </c>
      <c r="BS62">
        <f t="shared" si="31"/>
        <v>0</v>
      </c>
      <c r="BT62" s="6">
        <f t="shared" si="32"/>
        <v>0</v>
      </c>
      <c r="BU62">
        <f t="shared" si="33"/>
        <v>0</v>
      </c>
      <c r="BV62" t="str">
        <f t="shared" si="16"/>
        <v/>
      </c>
    </row>
    <row r="63" spans="58:74" x14ac:dyDescent="0.25">
      <c r="BF63">
        <f t="shared" si="18"/>
        <v>0</v>
      </c>
      <c r="BG63">
        <f t="shared" si="19"/>
        <v>0</v>
      </c>
      <c r="BH63">
        <f t="shared" si="20"/>
        <v>0</v>
      </c>
      <c r="BI63">
        <f t="shared" si="21"/>
        <v>0</v>
      </c>
      <c r="BJ63">
        <f t="shared" si="22"/>
        <v>0</v>
      </c>
      <c r="BK63">
        <f t="shared" si="23"/>
        <v>0</v>
      </c>
      <c r="BL63">
        <f t="shared" si="24"/>
        <v>0</v>
      </c>
      <c r="BM63" s="12" t="str">
        <f t="shared" si="25"/>
        <v/>
      </c>
      <c r="BN63">
        <f t="shared" si="26"/>
        <v>0</v>
      </c>
      <c r="BO63">
        <f t="shared" si="27"/>
        <v>0</v>
      </c>
      <c r="BP63">
        <f t="shared" si="28"/>
        <v>0</v>
      </c>
      <c r="BQ63">
        <f t="shared" si="29"/>
        <v>0</v>
      </c>
      <c r="BR63" t="str">
        <f t="shared" si="30"/>
        <v/>
      </c>
      <c r="BS63">
        <f t="shared" si="31"/>
        <v>0</v>
      </c>
      <c r="BT63" s="6">
        <f t="shared" si="32"/>
        <v>0</v>
      </c>
      <c r="BU63">
        <f t="shared" si="33"/>
        <v>0</v>
      </c>
      <c r="BV63" t="str">
        <f t="shared" si="16"/>
        <v/>
      </c>
    </row>
    <row r="64" spans="58:74" x14ac:dyDescent="0.25">
      <c r="BF64">
        <f t="shared" si="18"/>
        <v>0</v>
      </c>
      <c r="BG64">
        <f t="shared" si="19"/>
        <v>0</v>
      </c>
      <c r="BH64">
        <f t="shared" si="20"/>
        <v>0</v>
      </c>
      <c r="BI64">
        <f t="shared" si="21"/>
        <v>0</v>
      </c>
      <c r="BJ64">
        <f t="shared" si="22"/>
        <v>0</v>
      </c>
      <c r="BK64">
        <f t="shared" si="23"/>
        <v>0</v>
      </c>
      <c r="BL64">
        <f t="shared" si="24"/>
        <v>0</v>
      </c>
      <c r="BM64" s="12" t="str">
        <f t="shared" si="25"/>
        <v/>
      </c>
      <c r="BN64">
        <f t="shared" si="26"/>
        <v>0</v>
      </c>
      <c r="BO64">
        <f t="shared" si="27"/>
        <v>0</v>
      </c>
      <c r="BP64">
        <f t="shared" si="28"/>
        <v>0</v>
      </c>
      <c r="BQ64">
        <f t="shared" si="29"/>
        <v>0</v>
      </c>
      <c r="BR64" t="str">
        <f t="shared" si="30"/>
        <v/>
      </c>
      <c r="BS64">
        <f t="shared" si="31"/>
        <v>0</v>
      </c>
      <c r="BT64" s="6">
        <f t="shared" si="32"/>
        <v>0</v>
      </c>
      <c r="BU64">
        <f t="shared" si="33"/>
        <v>0</v>
      </c>
      <c r="BV64" t="str">
        <f t="shared" si="16"/>
        <v/>
      </c>
    </row>
    <row r="65" spans="58:74" x14ac:dyDescent="0.25">
      <c r="BF65">
        <f t="shared" si="18"/>
        <v>0</v>
      </c>
      <c r="BG65">
        <f t="shared" si="19"/>
        <v>0</v>
      </c>
      <c r="BH65">
        <f t="shared" si="20"/>
        <v>0</v>
      </c>
      <c r="BI65">
        <f t="shared" si="21"/>
        <v>0</v>
      </c>
      <c r="BJ65">
        <f t="shared" si="22"/>
        <v>0</v>
      </c>
      <c r="BK65">
        <f t="shared" si="23"/>
        <v>0</v>
      </c>
      <c r="BL65">
        <f t="shared" si="24"/>
        <v>0</v>
      </c>
      <c r="BM65" s="12" t="str">
        <f t="shared" si="25"/>
        <v/>
      </c>
      <c r="BN65">
        <f t="shared" si="26"/>
        <v>0</v>
      </c>
      <c r="BO65">
        <f t="shared" si="27"/>
        <v>0</v>
      </c>
      <c r="BP65">
        <f t="shared" si="28"/>
        <v>0</v>
      </c>
      <c r="BQ65">
        <f t="shared" si="29"/>
        <v>0</v>
      </c>
      <c r="BR65" t="str">
        <f t="shared" si="30"/>
        <v/>
      </c>
      <c r="BS65">
        <f t="shared" si="31"/>
        <v>0</v>
      </c>
      <c r="BT65" s="6">
        <f t="shared" si="32"/>
        <v>0</v>
      </c>
      <c r="BU65">
        <f t="shared" si="33"/>
        <v>0</v>
      </c>
      <c r="BV65" t="str">
        <f t="shared" si="16"/>
        <v/>
      </c>
    </row>
    <row r="66" spans="58:74" x14ac:dyDescent="0.25">
      <c r="BF66">
        <f t="shared" si="18"/>
        <v>0</v>
      </c>
      <c r="BG66">
        <f t="shared" si="19"/>
        <v>0</v>
      </c>
      <c r="BH66">
        <f t="shared" si="20"/>
        <v>0</v>
      </c>
      <c r="BI66">
        <f t="shared" si="21"/>
        <v>0</v>
      </c>
      <c r="BJ66">
        <f t="shared" si="22"/>
        <v>0</v>
      </c>
      <c r="BK66">
        <f t="shared" si="23"/>
        <v>0</v>
      </c>
      <c r="BL66">
        <f t="shared" si="24"/>
        <v>0</v>
      </c>
      <c r="BM66" s="12" t="str">
        <f t="shared" si="25"/>
        <v/>
      </c>
      <c r="BN66">
        <f t="shared" si="26"/>
        <v>0</v>
      </c>
      <c r="BO66">
        <f t="shared" si="27"/>
        <v>0</v>
      </c>
      <c r="BP66">
        <f t="shared" si="28"/>
        <v>0</v>
      </c>
      <c r="BQ66">
        <f t="shared" si="29"/>
        <v>0</v>
      </c>
      <c r="BR66" t="str">
        <f t="shared" si="30"/>
        <v/>
      </c>
      <c r="BS66">
        <f t="shared" si="31"/>
        <v>0</v>
      </c>
      <c r="BT66" s="6">
        <f t="shared" si="32"/>
        <v>0</v>
      </c>
      <c r="BU66">
        <f t="shared" si="33"/>
        <v>0</v>
      </c>
      <c r="BV66" t="str">
        <f t="shared" si="16"/>
        <v/>
      </c>
    </row>
    <row r="67" spans="58:74" x14ac:dyDescent="0.25">
      <c r="BF67">
        <f t="shared" si="18"/>
        <v>0</v>
      </c>
      <c r="BG67">
        <f t="shared" si="19"/>
        <v>0</v>
      </c>
      <c r="BH67">
        <f t="shared" si="20"/>
        <v>0</v>
      </c>
      <c r="BI67">
        <f t="shared" si="21"/>
        <v>0</v>
      </c>
      <c r="BJ67">
        <f t="shared" si="22"/>
        <v>0</v>
      </c>
      <c r="BK67">
        <f t="shared" si="23"/>
        <v>0</v>
      </c>
      <c r="BL67">
        <f t="shared" si="24"/>
        <v>0</v>
      </c>
      <c r="BM67" s="12" t="str">
        <f t="shared" si="25"/>
        <v/>
      </c>
      <c r="BN67">
        <f t="shared" si="26"/>
        <v>0</v>
      </c>
      <c r="BO67">
        <f t="shared" si="27"/>
        <v>0</v>
      </c>
      <c r="BP67">
        <f t="shared" si="28"/>
        <v>0</v>
      </c>
      <c r="BQ67">
        <f t="shared" si="29"/>
        <v>0</v>
      </c>
      <c r="BR67" t="str">
        <f t="shared" si="30"/>
        <v/>
      </c>
      <c r="BS67">
        <f t="shared" si="31"/>
        <v>0</v>
      </c>
      <c r="BT67" s="6">
        <f t="shared" si="32"/>
        <v>0</v>
      </c>
      <c r="BU67">
        <f t="shared" si="33"/>
        <v>0</v>
      </c>
      <c r="BV67" t="str">
        <f t="shared" ref="BV67:BV130" si="34">IF(BU67="V0071","TATA","")</f>
        <v/>
      </c>
    </row>
    <row r="68" spans="58:74" x14ac:dyDescent="0.25">
      <c r="BF68">
        <f t="shared" si="18"/>
        <v>0</v>
      </c>
      <c r="BG68">
        <f t="shared" si="19"/>
        <v>0</v>
      </c>
      <c r="BH68">
        <f t="shared" si="20"/>
        <v>0</v>
      </c>
      <c r="BI68">
        <f t="shared" si="21"/>
        <v>0</v>
      </c>
      <c r="BJ68">
        <f t="shared" si="22"/>
        <v>0</v>
      </c>
      <c r="BK68">
        <f t="shared" si="23"/>
        <v>0</v>
      </c>
      <c r="BL68">
        <f t="shared" si="24"/>
        <v>0</v>
      </c>
      <c r="BM68" s="12" t="str">
        <f t="shared" si="25"/>
        <v/>
      </c>
      <c r="BN68">
        <f t="shared" si="26"/>
        <v>0</v>
      </c>
      <c r="BO68">
        <f t="shared" si="27"/>
        <v>0</v>
      </c>
      <c r="BP68">
        <f t="shared" si="28"/>
        <v>0</v>
      </c>
      <c r="BQ68">
        <f t="shared" si="29"/>
        <v>0</v>
      </c>
      <c r="BR68" t="str">
        <f t="shared" si="30"/>
        <v/>
      </c>
      <c r="BS68">
        <f t="shared" si="31"/>
        <v>0</v>
      </c>
      <c r="BT68" s="6">
        <f t="shared" si="32"/>
        <v>0</v>
      </c>
      <c r="BU68">
        <f t="shared" si="33"/>
        <v>0</v>
      </c>
      <c r="BV68" t="str">
        <f t="shared" si="34"/>
        <v/>
      </c>
    </row>
    <row r="69" spans="58:74" x14ac:dyDescent="0.25">
      <c r="BF69">
        <f t="shared" si="18"/>
        <v>0</v>
      </c>
      <c r="BG69">
        <f t="shared" si="19"/>
        <v>0</v>
      </c>
      <c r="BH69">
        <f t="shared" si="20"/>
        <v>0</v>
      </c>
      <c r="BI69">
        <f t="shared" si="21"/>
        <v>0</v>
      </c>
      <c r="BJ69">
        <f t="shared" si="22"/>
        <v>0</v>
      </c>
      <c r="BK69">
        <f t="shared" si="23"/>
        <v>0</v>
      </c>
      <c r="BL69">
        <f t="shared" si="24"/>
        <v>0</v>
      </c>
      <c r="BM69" s="12" t="str">
        <f t="shared" si="25"/>
        <v/>
      </c>
      <c r="BN69">
        <f t="shared" si="26"/>
        <v>0</v>
      </c>
      <c r="BO69">
        <f t="shared" si="27"/>
        <v>0</v>
      </c>
      <c r="BP69">
        <f t="shared" si="28"/>
        <v>0</v>
      </c>
      <c r="BQ69">
        <f t="shared" si="29"/>
        <v>0</v>
      </c>
      <c r="BR69" t="str">
        <f t="shared" si="30"/>
        <v/>
      </c>
      <c r="BS69">
        <f t="shared" si="31"/>
        <v>0</v>
      </c>
      <c r="BT69" s="6">
        <f t="shared" si="32"/>
        <v>0</v>
      </c>
      <c r="BU69">
        <f t="shared" si="33"/>
        <v>0</v>
      </c>
      <c r="BV69" t="str">
        <f t="shared" si="34"/>
        <v/>
      </c>
    </row>
    <row r="70" spans="58:74" x14ac:dyDescent="0.25">
      <c r="BF70">
        <f t="shared" si="18"/>
        <v>0</v>
      </c>
      <c r="BG70">
        <f t="shared" si="19"/>
        <v>0</v>
      </c>
      <c r="BH70">
        <f t="shared" si="20"/>
        <v>0</v>
      </c>
      <c r="BI70">
        <f t="shared" si="21"/>
        <v>0</v>
      </c>
      <c r="BJ70">
        <f t="shared" si="22"/>
        <v>0</v>
      </c>
      <c r="BK70">
        <f t="shared" si="23"/>
        <v>0</v>
      </c>
      <c r="BL70">
        <f t="shared" si="24"/>
        <v>0</v>
      </c>
      <c r="BM70" s="12" t="str">
        <f t="shared" si="25"/>
        <v/>
      </c>
      <c r="BN70">
        <f t="shared" si="26"/>
        <v>0</v>
      </c>
      <c r="BO70">
        <f t="shared" si="27"/>
        <v>0</v>
      </c>
      <c r="BP70">
        <f t="shared" si="28"/>
        <v>0</v>
      </c>
      <c r="BQ70">
        <f t="shared" si="29"/>
        <v>0</v>
      </c>
      <c r="BR70" t="str">
        <f t="shared" si="30"/>
        <v/>
      </c>
      <c r="BS70">
        <f t="shared" si="31"/>
        <v>0</v>
      </c>
      <c r="BT70" s="6">
        <f t="shared" si="32"/>
        <v>0</v>
      </c>
      <c r="BU70">
        <f t="shared" si="33"/>
        <v>0</v>
      </c>
      <c r="BV70" t="str">
        <f t="shared" si="34"/>
        <v/>
      </c>
    </row>
    <row r="71" spans="58:74" x14ac:dyDescent="0.25">
      <c r="BF71">
        <f t="shared" si="18"/>
        <v>0</v>
      </c>
      <c r="BG71">
        <f t="shared" si="19"/>
        <v>0</v>
      </c>
      <c r="BH71">
        <f t="shared" si="20"/>
        <v>0</v>
      </c>
      <c r="BI71">
        <f t="shared" si="21"/>
        <v>0</v>
      </c>
      <c r="BJ71">
        <f t="shared" si="22"/>
        <v>0</v>
      </c>
      <c r="BK71">
        <f t="shared" si="23"/>
        <v>0</v>
      </c>
      <c r="BL71">
        <f t="shared" si="24"/>
        <v>0</v>
      </c>
      <c r="BM71" s="12" t="str">
        <f t="shared" si="25"/>
        <v/>
      </c>
      <c r="BN71">
        <f t="shared" si="26"/>
        <v>0</v>
      </c>
      <c r="BO71">
        <f t="shared" si="27"/>
        <v>0</v>
      </c>
      <c r="BP71">
        <f t="shared" si="28"/>
        <v>0</v>
      </c>
      <c r="BQ71">
        <f t="shared" si="29"/>
        <v>0</v>
      </c>
      <c r="BR71" t="str">
        <f t="shared" si="30"/>
        <v/>
      </c>
      <c r="BS71">
        <f t="shared" si="31"/>
        <v>0</v>
      </c>
      <c r="BT71" s="6">
        <f t="shared" si="32"/>
        <v>0</v>
      </c>
      <c r="BU71">
        <f t="shared" si="33"/>
        <v>0</v>
      </c>
      <c r="BV71" t="str">
        <f t="shared" si="34"/>
        <v/>
      </c>
    </row>
    <row r="72" spans="58:74" x14ac:dyDescent="0.25">
      <c r="BF72">
        <f t="shared" si="18"/>
        <v>0</v>
      </c>
      <c r="BG72">
        <f t="shared" si="19"/>
        <v>0</v>
      </c>
      <c r="BH72">
        <f t="shared" si="20"/>
        <v>0</v>
      </c>
      <c r="BI72">
        <f t="shared" si="21"/>
        <v>0</v>
      </c>
      <c r="BJ72">
        <f t="shared" si="22"/>
        <v>0</v>
      </c>
      <c r="BK72">
        <f t="shared" si="23"/>
        <v>0</v>
      </c>
      <c r="BL72">
        <f t="shared" si="24"/>
        <v>0</v>
      </c>
      <c r="BM72" s="12" t="str">
        <f t="shared" si="25"/>
        <v/>
      </c>
      <c r="BN72">
        <f t="shared" si="26"/>
        <v>0</v>
      </c>
      <c r="BO72">
        <f t="shared" si="27"/>
        <v>0</v>
      </c>
      <c r="BP72">
        <f t="shared" si="28"/>
        <v>0</v>
      </c>
      <c r="BQ72">
        <f t="shared" si="29"/>
        <v>0</v>
      </c>
      <c r="BR72" t="str">
        <f t="shared" si="30"/>
        <v/>
      </c>
      <c r="BS72">
        <f t="shared" si="31"/>
        <v>0</v>
      </c>
      <c r="BT72" s="6">
        <f t="shared" si="32"/>
        <v>0</v>
      </c>
      <c r="BU72">
        <f t="shared" si="33"/>
        <v>0</v>
      </c>
      <c r="BV72" t="str">
        <f t="shared" si="34"/>
        <v/>
      </c>
    </row>
    <row r="73" spans="58:74" x14ac:dyDescent="0.25">
      <c r="BF73">
        <f t="shared" si="18"/>
        <v>0</v>
      </c>
      <c r="BG73">
        <f t="shared" si="19"/>
        <v>0</v>
      </c>
      <c r="BH73">
        <f t="shared" si="20"/>
        <v>0</v>
      </c>
      <c r="BI73">
        <f t="shared" si="21"/>
        <v>0</v>
      </c>
      <c r="BJ73">
        <f t="shared" si="22"/>
        <v>0</v>
      </c>
      <c r="BK73">
        <f t="shared" si="23"/>
        <v>0</v>
      </c>
      <c r="BL73">
        <f t="shared" si="24"/>
        <v>0</v>
      </c>
      <c r="BM73" s="12" t="str">
        <f t="shared" si="25"/>
        <v/>
      </c>
      <c r="BN73">
        <f t="shared" si="26"/>
        <v>0</v>
      </c>
      <c r="BO73">
        <f t="shared" si="27"/>
        <v>0</v>
      </c>
      <c r="BP73">
        <f t="shared" si="28"/>
        <v>0</v>
      </c>
      <c r="BQ73">
        <f t="shared" si="29"/>
        <v>0</v>
      </c>
      <c r="BR73" t="str">
        <f t="shared" si="30"/>
        <v/>
      </c>
      <c r="BS73">
        <f t="shared" si="31"/>
        <v>0</v>
      </c>
      <c r="BT73" s="6">
        <f t="shared" si="32"/>
        <v>0</v>
      </c>
      <c r="BU73">
        <f t="shared" si="33"/>
        <v>0</v>
      </c>
      <c r="BV73" t="str">
        <f t="shared" si="34"/>
        <v/>
      </c>
    </row>
    <row r="74" spans="58:74" x14ac:dyDescent="0.25">
      <c r="BF74">
        <f t="shared" si="18"/>
        <v>0</v>
      </c>
      <c r="BG74">
        <f t="shared" si="19"/>
        <v>0</v>
      </c>
      <c r="BH74">
        <f t="shared" si="20"/>
        <v>0</v>
      </c>
      <c r="BI74">
        <f t="shared" si="21"/>
        <v>0</v>
      </c>
      <c r="BJ74">
        <f t="shared" si="22"/>
        <v>0</v>
      </c>
      <c r="BK74">
        <f t="shared" si="23"/>
        <v>0</v>
      </c>
      <c r="BL74">
        <f t="shared" si="24"/>
        <v>0</v>
      </c>
      <c r="BM74" s="12" t="str">
        <f t="shared" si="25"/>
        <v/>
      </c>
      <c r="BN74">
        <f t="shared" si="26"/>
        <v>0</v>
      </c>
      <c r="BO74">
        <f t="shared" si="27"/>
        <v>0</v>
      </c>
      <c r="BP74">
        <f t="shared" si="28"/>
        <v>0</v>
      </c>
      <c r="BQ74">
        <f t="shared" si="29"/>
        <v>0</v>
      </c>
      <c r="BR74" t="str">
        <f t="shared" si="30"/>
        <v/>
      </c>
      <c r="BS74">
        <f t="shared" si="31"/>
        <v>0</v>
      </c>
      <c r="BT74" s="6">
        <f t="shared" si="32"/>
        <v>0</v>
      </c>
      <c r="BU74">
        <f t="shared" si="33"/>
        <v>0</v>
      </c>
      <c r="BV74" t="str">
        <f t="shared" si="34"/>
        <v/>
      </c>
    </row>
    <row r="75" spans="58:74" x14ac:dyDescent="0.25">
      <c r="BF75">
        <f t="shared" si="18"/>
        <v>0</v>
      </c>
      <c r="BG75">
        <f t="shared" si="19"/>
        <v>0</v>
      </c>
      <c r="BH75">
        <f t="shared" si="20"/>
        <v>0</v>
      </c>
      <c r="BI75">
        <f t="shared" si="21"/>
        <v>0</v>
      </c>
      <c r="BJ75">
        <f t="shared" si="22"/>
        <v>0</v>
      </c>
      <c r="BK75">
        <f t="shared" si="23"/>
        <v>0</v>
      </c>
      <c r="BL75">
        <f t="shared" si="24"/>
        <v>0</v>
      </c>
      <c r="BM75" s="12" t="str">
        <f t="shared" si="25"/>
        <v/>
      </c>
      <c r="BN75">
        <f t="shared" si="26"/>
        <v>0</v>
      </c>
      <c r="BO75">
        <f t="shared" si="27"/>
        <v>0</v>
      </c>
      <c r="BP75">
        <f t="shared" si="28"/>
        <v>0</v>
      </c>
      <c r="BQ75">
        <f t="shared" si="29"/>
        <v>0</v>
      </c>
      <c r="BR75" t="str">
        <f t="shared" si="30"/>
        <v/>
      </c>
      <c r="BS75">
        <f t="shared" si="31"/>
        <v>0</v>
      </c>
      <c r="BT75" s="6">
        <f t="shared" si="32"/>
        <v>0</v>
      </c>
      <c r="BU75">
        <f t="shared" si="33"/>
        <v>0</v>
      </c>
      <c r="BV75" t="str">
        <f t="shared" si="34"/>
        <v/>
      </c>
    </row>
    <row r="76" spans="58:74" x14ac:dyDescent="0.25">
      <c r="BF76">
        <f t="shared" si="18"/>
        <v>0</v>
      </c>
      <c r="BG76">
        <f t="shared" si="19"/>
        <v>0</v>
      </c>
      <c r="BH76">
        <f t="shared" si="20"/>
        <v>0</v>
      </c>
      <c r="BI76">
        <f t="shared" si="21"/>
        <v>0</v>
      </c>
      <c r="BJ76">
        <f t="shared" si="22"/>
        <v>0</v>
      </c>
      <c r="BK76">
        <f t="shared" si="23"/>
        <v>0</v>
      </c>
      <c r="BL76">
        <f t="shared" si="24"/>
        <v>0</v>
      </c>
      <c r="BM76" s="12" t="str">
        <f t="shared" si="25"/>
        <v/>
      </c>
      <c r="BN76">
        <f t="shared" si="26"/>
        <v>0</v>
      </c>
      <c r="BO76">
        <f t="shared" si="27"/>
        <v>0</v>
      </c>
      <c r="BP76">
        <f t="shared" si="28"/>
        <v>0</v>
      </c>
      <c r="BQ76">
        <f t="shared" si="29"/>
        <v>0</v>
      </c>
      <c r="BR76" t="str">
        <f t="shared" si="30"/>
        <v/>
      </c>
      <c r="BS76">
        <f t="shared" si="31"/>
        <v>0</v>
      </c>
      <c r="BT76" s="6">
        <f t="shared" si="32"/>
        <v>0</v>
      </c>
      <c r="BU76">
        <f t="shared" si="33"/>
        <v>0</v>
      </c>
      <c r="BV76" t="str">
        <f t="shared" si="34"/>
        <v/>
      </c>
    </row>
    <row r="77" spans="58:74" x14ac:dyDescent="0.25">
      <c r="BF77">
        <f t="shared" si="18"/>
        <v>0</v>
      </c>
      <c r="BG77">
        <f t="shared" si="19"/>
        <v>0</v>
      </c>
      <c r="BH77">
        <f t="shared" si="20"/>
        <v>0</v>
      </c>
      <c r="BI77">
        <f t="shared" si="21"/>
        <v>0</v>
      </c>
      <c r="BJ77">
        <f t="shared" si="22"/>
        <v>0</v>
      </c>
      <c r="BK77">
        <f t="shared" si="23"/>
        <v>0</v>
      </c>
      <c r="BL77">
        <f t="shared" si="24"/>
        <v>0</v>
      </c>
      <c r="BM77" s="12" t="str">
        <f t="shared" si="25"/>
        <v/>
      </c>
      <c r="BN77">
        <f t="shared" si="26"/>
        <v>0</v>
      </c>
      <c r="BO77">
        <f t="shared" si="27"/>
        <v>0</v>
      </c>
      <c r="BP77">
        <f t="shared" si="28"/>
        <v>0</v>
      </c>
      <c r="BQ77">
        <f t="shared" si="29"/>
        <v>0</v>
      </c>
      <c r="BR77" t="str">
        <f t="shared" si="30"/>
        <v/>
      </c>
      <c r="BS77">
        <f t="shared" si="31"/>
        <v>0</v>
      </c>
      <c r="BT77" s="6">
        <f t="shared" si="32"/>
        <v>0</v>
      </c>
      <c r="BU77">
        <f t="shared" si="33"/>
        <v>0</v>
      </c>
      <c r="BV77" t="str">
        <f t="shared" si="34"/>
        <v/>
      </c>
    </row>
    <row r="78" spans="58:74" x14ac:dyDescent="0.25">
      <c r="BF78">
        <f t="shared" si="18"/>
        <v>0</v>
      </c>
      <c r="BG78">
        <f t="shared" si="19"/>
        <v>0</v>
      </c>
      <c r="BH78">
        <f t="shared" si="20"/>
        <v>0</v>
      </c>
      <c r="BI78">
        <f t="shared" si="21"/>
        <v>0</v>
      </c>
      <c r="BJ78">
        <f t="shared" si="22"/>
        <v>0</v>
      </c>
      <c r="BK78">
        <f t="shared" si="23"/>
        <v>0</v>
      </c>
      <c r="BL78">
        <f t="shared" si="24"/>
        <v>0</v>
      </c>
      <c r="BM78" s="12" t="str">
        <f t="shared" si="25"/>
        <v/>
      </c>
      <c r="BN78">
        <f t="shared" si="26"/>
        <v>0</v>
      </c>
      <c r="BO78">
        <f t="shared" si="27"/>
        <v>0</v>
      </c>
      <c r="BP78">
        <f t="shared" si="28"/>
        <v>0</v>
      </c>
      <c r="BQ78">
        <f t="shared" si="29"/>
        <v>0</v>
      </c>
      <c r="BR78" t="str">
        <f t="shared" si="30"/>
        <v/>
      </c>
      <c r="BS78">
        <f t="shared" si="31"/>
        <v>0</v>
      </c>
      <c r="BT78" s="6">
        <f t="shared" si="32"/>
        <v>0</v>
      </c>
      <c r="BU78">
        <f t="shared" si="33"/>
        <v>0</v>
      </c>
      <c r="BV78" t="str">
        <f t="shared" si="34"/>
        <v/>
      </c>
    </row>
    <row r="79" spans="58:74" x14ac:dyDescent="0.25">
      <c r="BF79">
        <f t="shared" si="18"/>
        <v>0</v>
      </c>
      <c r="BG79">
        <f t="shared" si="19"/>
        <v>0</v>
      </c>
      <c r="BH79">
        <f t="shared" si="20"/>
        <v>0</v>
      </c>
      <c r="BI79">
        <f t="shared" si="21"/>
        <v>0</v>
      </c>
      <c r="BJ79">
        <f t="shared" si="22"/>
        <v>0</v>
      </c>
      <c r="BK79">
        <f t="shared" si="23"/>
        <v>0</v>
      </c>
      <c r="BL79">
        <f t="shared" si="24"/>
        <v>0</v>
      </c>
      <c r="BM79" s="12" t="str">
        <f t="shared" si="25"/>
        <v/>
      </c>
      <c r="BN79">
        <f t="shared" si="26"/>
        <v>0</v>
      </c>
      <c r="BO79">
        <f t="shared" si="27"/>
        <v>0</v>
      </c>
      <c r="BP79">
        <f t="shared" si="28"/>
        <v>0</v>
      </c>
      <c r="BQ79">
        <f t="shared" si="29"/>
        <v>0</v>
      </c>
      <c r="BR79" t="str">
        <f t="shared" si="30"/>
        <v/>
      </c>
      <c r="BS79">
        <f t="shared" si="31"/>
        <v>0</v>
      </c>
      <c r="BT79" s="6">
        <f t="shared" si="32"/>
        <v>0</v>
      </c>
      <c r="BU79">
        <f t="shared" si="33"/>
        <v>0</v>
      </c>
      <c r="BV79" t="str">
        <f t="shared" si="34"/>
        <v/>
      </c>
    </row>
    <row r="80" spans="58:74" x14ac:dyDescent="0.25">
      <c r="BF80">
        <f t="shared" si="18"/>
        <v>0</v>
      </c>
      <c r="BG80">
        <f t="shared" si="19"/>
        <v>0</v>
      </c>
      <c r="BH80">
        <f t="shared" si="20"/>
        <v>0</v>
      </c>
      <c r="BI80">
        <f t="shared" si="21"/>
        <v>0</v>
      </c>
      <c r="BJ80">
        <f t="shared" si="22"/>
        <v>0</v>
      </c>
      <c r="BK80">
        <f t="shared" si="23"/>
        <v>0</v>
      </c>
      <c r="BL80">
        <f t="shared" si="24"/>
        <v>0</v>
      </c>
      <c r="BM80" s="12" t="str">
        <f t="shared" si="25"/>
        <v/>
      </c>
      <c r="BN80">
        <f t="shared" si="26"/>
        <v>0</v>
      </c>
      <c r="BO80">
        <f t="shared" si="27"/>
        <v>0</v>
      </c>
      <c r="BP80">
        <f t="shared" si="28"/>
        <v>0</v>
      </c>
      <c r="BQ80">
        <f t="shared" si="29"/>
        <v>0</v>
      </c>
      <c r="BR80" t="str">
        <f t="shared" si="30"/>
        <v/>
      </c>
      <c r="BS80">
        <f t="shared" si="31"/>
        <v>0</v>
      </c>
      <c r="BT80" s="6">
        <f t="shared" si="32"/>
        <v>0</v>
      </c>
      <c r="BU80">
        <f t="shared" si="33"/>
        <v>0</v>
      </c>
      <c r="BV80" t="str">
        <f t="shared" si="34"/>
        <v/>
      </c>
    </row>
    <row r="81" spans="56:74" x14ac:dyDescent="0.25">
      <c r="BF81">
        <f t="shared" si="18"/>
        <v>0</v>
      </c>
      <c r="BG81">
        <f t="shared" si="19"/>
        <v>0</v>
      </c>
      <c r="BH81">
        <f t="shared" si="20"/>
        <v>0</v>
      </c>
      <c r="BI81">
        <f t="shared" si="21"/>
        <v>0</v>
      </c>
      <c r="BJ81">
        <f t="shared" si="22"/>
        <v>0</v>
      </c>
      <c r="BK81">
        <f t="shared" si="23"/>
        <v>0</v>
      </c>
      <c r="BL81">
        <f t="shared" si="24"/>
        <v>0</v>
      </c>
      <c r="BM81" s="12" t="str">
        <f t="shared" si="25"/>
        <v/>
      </c>
      <c r="BN81">
        <f t="shared" si="26"/>
        <v>0</v>
      </c>
      <c r="BO81">
        <f t="shared" si="27"/>
        <v>0</v>
      </c>
      <c r="BP81">
        <f t="shared" si="28"/>
        <v>0</v>
      </c>
      <c r="BQ81">
        <f t="shared" si="29"/>
        <v>0</v>
      </c>
      <c r="BR81" t="str">
        <f t="shared" si="30"/>
        <v/>
      </c>
      <c r="BS81">
        <f t="shared" si="31"/>
        <v>0</v>
      </c>
      <c r="BT81" s="6">
        <f t="shared" si="32"/>
        <v>0</v>
      </c>
      <c r="BU81">
        <f t="shared" si="33"/>
        <v>0</v>
      </c>
      <c r="BV81" t="str">
        <f t="shared" si="34"/>
        <v/>
      </c>
    </row>
    <row r="82" spans="56:74" x14ac:dyDescent="0.25">
      <c r="BF82">
        <f t="shared" si="18"/>
        <v>0</v>
      </c>
      <c r="BG82">
        <f t="shared" si="19"/>
        <v>0</v>
      </c>
      <c r="BH82">
        <f t="shared" si="20"/>
        <v>0</v>
      </c>
      <c r="BI82">
        <f t="shared" si="21"/>
        <v>0</v>
      </c>
      <c r="BJ82">
        <f t="shared" si="22"/>
        <v>0</v>
      </c>
      <c r="BK82">
        <f t="shared" si="23"/>
        <v>0</v>
      </c>
      <c r="BL82">
        <f t="shared" si="24"/>
        <v>0</v>
      </c>
      <c r="BM82" s="12" t="str">
        <f t="shared" si="25"/>
        <v/>
      </c>
      <c r="BN82">
        <f t="shared" si="26"/>
        <v>0</v>
      </c>
      <c r="BO82">
        <f t="shared" si="27"/>
        <v>0</v>
      </c>
      <c r="BP82">
        <f t="shared" si="28"/>
        <v>0</v>
      </c>
      <c r="BQ82">
        <f t="shared" si="29"/>
        <v>0</v>
      </c>
      <c r="BR82" t="str">
        <f t="shared" si="30"/>
        <v/>
      </c>
      <c r="BS82">
        <f t="shared" si="31"/>
        <v>0</v>
      </c>
      <c r="BT82" s="6">
        <f t="shared" si="32"/>
        <v>0</v>
      </c>
      <c r="BU82">
        <f t="shared" si="33"/>
        <v>0</v>
      </c>
      <c r="BV82" t="str">
        <f t="shared" si="34"/>
        <v/>
      </c>
    </row>
    <row r="83" spans="56:74" x14ac:dyDescent="0.25">
      <c r="BF83">
        <f t="shared" si="18"/>
        <v>0</v>
      </c>
      <c r="BG83">
        <f t="shared" si="19"/>
        <v>0</v>
      </c>
      <c r="BH83">
        <f t="shared" si="20"/>
        <v>0</v>
      </c>
      <c r="BI83">
        <f t="shared" si="21"/>
        <v>0</v>
      </c>
      <c r="BJ83">
        <f t="shared" si="22"/>
        <v>0</v>
      </c>
      <c r="BK83">
        <f t="shared" si="23"/>
        <v>0</v>
      </c>
      <c r="BL83">
        <f t="shared" si="24"/>
        <v>0</v>
      </c>
      <c r="BM83" s="12" t="str">
        <f t="shared" si="25"/>
        <v/>
      </c>
      <c r="BN83">
        <f t="shared" si="26"/>
        <v>0</v>
      </c>
      <c r="BO83">
        <f t="shared" si="27"/>
        <v>0</v>
      </c>
      <c r="BP83">
        <f t="shared" si="28"/>
        <v>0</v>
      </c>
      <c r="BQ83">
        <f t="shared" si="29"/>
        <v>0</v>
      </c>
      <c r="BR83" t="str">
        <f t="shared" si="30"/>
        <v/>
      </c>
      <c r="BS83">
        <f t="shared" si="31"/>
        <v>0</v>
      </c>
      <c r="BT83" s="6">
        <f t="shared" si="32"/>
        <v>0</v>
      </c>
      <c r="BU83">
        <f t="shared" si="33"/>
        <v>0</v>
      </c>
      <c r="BV83" t="str">
        <f t="shared" si="34"/>
        <v/>
      </c>
    </row>
    <row r="84" spans="56:74" x14ac:dyDescent="0.25">
      <c r="BF84">
        <f t="shared" si="18"/>
        <v>0</v>
      </c>
      <c r="BG84">
        <f t="shared" si="19"/>
        <v>0</v>
      </c>
      <c r="BH84">
        <f t="shared" si="20"/>
        <v>0</v>
      </c>
      <c r="BI84">
        <f t="shared" si="21"/>
        <v>0</v>
      </c>
      <c r="BJ84">
        <f t="shared" si="22"/>
        <v>0</v>
      </c>
      <c r="BK84">
        <f t="shared" si="23"/>
        <v>0</v>
      </c>
      <c r="BL84">
        <f t="shared" si="24"/>
        <v>0</v>
      </c>
      <c r="BM84" s="12" t="str">
        <f t="shared" si="25"/>
        <v/>
      </c>
      <c r="BN84">
        <f t="shared" si="26"/>
        <v>0</v>
      </c>
      <c r="BO84">
        <f t="shared" si="27"/>
        <v>0</v>
      </c>
      <c r="BP84">
        <f t="shared" si="28"/>
        <v>0</v>
      </c>
      <c r="BQ84">
        <f t="shared" si="29"/>
        <v>0</v>
      </c>
      <c r="BR84" t="str">
        <f t="shared" si="30"/>
        <v/>
      </c>
      <c r="BS84">
        <f t="shared" si="31"/>
        <v>0</v>
      </c>
      <c r="BT84" s="6">
        <f t="shared" si="32"/>
        <v>0</v>
      </c>
      <c r="BU84">
        <f t="shared" si="33"/>
        <v>0</v>
      </c>
      <c r="BV84" t="str">
        <f t="shared" si="34"/>
        <v/>
      </c>
    </row>
    <row r="85" spans="56:74" x14ac:dyDescent="0.25">
      <c r="BF85">
        <f t="shared" si="18"/>
        <v>0</v>
      </c>
      <c r="BG85">
        <f t="shared" si="19"/>
        <v>0</v>
      </c>
      <c r="BH85">
        <f t="shared" si="20"/>
        <v>0</v>
      </c>
      <c r="BI85">
        <f t="shared" si="21"/>
        <v>0</v>
      </c>
      <c r="BJ85">
        <f t="shared" si="22"/>
        <v>0</v>
      </c>
      <c r="BK85">
        <f t="shared" si="23"/>
        <v>0</v>
      </c>
      <c r="BL85">
        <f t="shared" si="24"/>
        <v>0</v>
      </c>
      <c r="BM85" s="12" t="str">
        <f t="shared" si="25"/>
        <v/>
      </c>
      <c r="BN85">
        <f t="shared" si="26"/>
        <v>0</v>
      </c>
      <c r="BO85">
        <f t="shared" si="27"/>
        <v>0</v>
      </c>
      <c r="BP85">
        <f t="shared" si="28"/>
        <v>0</v>
      </c>
      <c r="BQ85">
        <f t="shared" si="29"/>
        <v>0</v>
      </c>
      <c r="BR85" t="str">
        <f t="shared" si="30"/>
        <v/>
      </c>
      <c r="BS85">
        <f t="shared" si="31"/>
        <v>0</v>
      </c>
      <c r="BT85" s="6">
        <f t="shared" si="32"/>
        <v>0</v>
      </c>
      <c r="BU85">
        <f t="shared" si="33"/>
        <v>0</v>
      </c>
      <c r="BV85" t="str">
        <f t="shared" si="34"/>
        <v/>
      </c>
    </row>
    <row r="86" spans="56:74" x14ac:dyDescent="0.25">
      <c r="BF86">
        <f t="shared" si="18"/>
        <v>0</v>
      </c>
      <c r="BG86">
        <f t="shared" si="19"/>
        <v>0</v>
      </c>
      <c r="BH86">
        <f t="shared" si="20"/>
        <v>0</v>
      </c>
      <c r="BI86">
        <f t="shared" si="21"/>
        <v>0</v>
      </c>
      <c r="BJ86">
        <f t="shared" si="22"/>
        <v>0</v>
      </c>
      <c r="BK86">
        <f t="shared" si="23"/>
        <v>0</v>
      </c>
      <c r="BL86">
        <f t="shared" si="24"/>
        <v>0</v>
      </c>
      <c r="BM86" s="12" t="str">
        <f t="shared" si="25"/>
        <v/>
      </c>
      <c r="BN86">
        <f t="shared" si="26"/>
        <v>0</v>
      </c>
      <c r="BO86">
        <f t="shared" si="27"/>
        <v>0</v>
      </c>
      <c r="BP86">
        <f t="shared" si="28"/>
        <v>0</v>
      </c>
      <c r="BQ86">
        <f t="shared" si="29"/>
        <v>0</v>
      </c>
      <c r="BR86" t="str">
        <f t="shared" si="30"/>
        <v/>
      </c>
      <c r="BS86">
        <f t="shared" si="31"/>
        <v>0</v>
      </c>
      <c r="BT86" s="6">
        <f t="shared" si="32"/>
        <v>0</v>
      </c>
      <c r="BU86">
        <f t="shared" si="33"/>
        <v>0</v>
      </c>
      <c r="BV86" t="str">
        <f t="shared" si="34"/>
        <v/>
      </c>
    </row>
    <row r="87" spans="56:74" x14ac:dyDescent="0.25">
      <c r="BF87">
        <f t="shared" si="18"/>
        <v>0</v>
      </c>
      <c r="BG87">
        <f t="shared" si="19"/>
        <v>0</v>
      </c>
      <c r="BH87">
        <f t="shared" si="20"/>
        <v>0</v>
      </c>
      <c r="BI87">
        <f t="shared" si="21"/>
        <v>0</v>
      </c>
      <c r="BJ87">
        <f t="shared" si="22"/>
        <v>0</v>
      </c>
      <c r="BK87">
        <f t="shared" si="23"/>
        <v>0</v>
      </c>
      <c r="BL87">
        <f t="shared" si="24"/>
        <v>0</v>
      </c>
      <c r="BM87" s="12" t="str">
        <f t="shared" si="25"/>
        <v/>
      </c>
      <c r="BN87">
        <f t="shared" si="26"/>
        <v>0</v>
      </c>
      <c r="BO87">
        <f t="shared" si="27"/>
        <v>0</v>
      </c>
      <c r="BP87">
        <f t="shared" si="28"/>
        <v>0</v>
      </c>
      <c r="BQ87">
        <f t="shared" si="29"/>
        <v>0</v>
      </c>
      <c r="BR87" t="str">
        <f t="shared" si="30"/>
        <v/>
      </c>
      <c r="BS87">
        <f t="shared" si="31"/>
        <v>0</v>
      </c>
      <c r="BT87" s="6">
        <f t="shared" si="32"/>
        <v>0</v>
      </c>
      <c r="BU87">
        <f t="shared" si="33"/>
        <v>0</v>
      </c>
      <c r="BV87" t="str">
        <f t="shared" si="34"/>
        <v/>
      </c>
    </row>
    <row r="88" spans="56:74" x14ac:dyDescent="0.25">
      <c r="BD88">
        <v>0</v>
      </c>
      <c r="BF88">
        <f t="shared" si="18"/>
        <v>0</v>
      </c>
      <c r="BG88">
        <f t="shared" si="19"/>
        <v>0</v>
      </c>
      <c r="BH88">
        <f t="shared" si="20"/>
        <v>0</v>
      </c>
      <c r="BI88">
        <f t="shared" si="21"/>
        <v>0</v>
      </c>
      <c r="BJ88">
        <f t="shared" si="22"/>
        <v>0</v>
      </c>
      <c r="BK88">
        <f t="shared" si="23"/>
        <v>0</v>
      </c>
      <c r="BL88">
        <f t="shared" si="24"/>
        <v>0</v>
      </c>
      <c r="BM88" s="12" t="str">
        <f t="shared" si="25"/>
        <v/>
      </c>
      <c r="BN88">
        <f t="shared" si="26"/>
        <v>0</v>
      </c>
      <c r="BO88">
        <f t="shared" si="27"/>
        <v>0</v>
      </c>
      <c r="BP88">
        <f t="shared" si="28"/>
        <v>0</v>
      </c>
      <c r="BQ88">
        <f t="shared" si="29"/>
        <v>0</v>
      </c>
      <c r="BR88" t="str">
        <f t="shared" si="30"/>
        <v/>
      </c>
      <c r="BS88">
        <f t="shared" si="31"/>
        <v>0</v>
      </c>
      <c r="BT88" s="6">
        <f t="shared" si="32"/>
        <v>0</v>
      </c>
      <c r="BU88">
        <f t="shared" si="33"/>
        <v>0</v>
      </c>
      <c r="BV88" t="str">
        <f t="shared" si="34"/>
        <v/>
      </c>
    </row>
    <row r="89" spans="56:74" x14ac:dyDescent="0.25">
      <c r="BF89">
        <f t="shared" ref="BF89:BF152" si="35">N89</f>
        <v>0</v>
      </c>
      <c r="BG89">
        <f t="shared" ref="BG89:BG152" si="36">N89</f>
        <v>0</v>
      </c>
      <c r="BH89">
        <f t="shared" ref="BH89:BH152" si="37">T89</f>
        <v>0</v>
      </c>
      <c r="BI89">
        <f t="shared" ref="BI89:BI152" si="38">U89</f>
        <v>0</v>
      </c>
      <c r="BJ89">
        <f t="shared" ref="BJ89:BJ152" si="39">V89</f>
        <v>0</v>
      </c>
      <c r="BK89">
        <f t="shared" ref="BK89:BK152" si="40">I89</f>
        <v>0</v>
      </c>
      <c r="BL89">
        <f t="shared" ref="BL89:BL152" si="41">L89</f>
        <v>0</v>
      </c>
      <c r="BM89" s="12" t="str">
        <f t="shared" ref="BM89:BM152" si="42">SUBSTITUTE(J89,"/",".")</f>
        <v/>
      </c>
      <c r="BN89">
        <f t="shared" ref="BN89:BN152" si="43">Q89*1000</f>
        <v>0</v>
      </c>
      <c r="BO89">
        <f t="shared" ref="BO89:BO152" si="44">P89/1000</f>
        <v>0</v>
      </c>
      <c r="BP89">
        <f t="shared" ref="BP89:BP152" si="45">D89</f>
        <v>0</v>
      </c>
      <c r="BQ89">
        <f t="shared" ref="BQ89:BQ152" si="46">G89</f>
        <v>0</v>
      </c>
      <c r="BR89" t="str">
        <f t="shared" ref="BR89:BR152" si="47">SUBSTITUTE(O89,".","")</f>
        <v/>
      </c>
      <c r="BS89">
        <f t="shared" ref="BS89:BS152" si="48">S89</f>
        <v>0</v>
      </c>
      <c r="BT89" s="6">
        <f t="shared" ref="BT89:BT152" si="49">AJ89</f>
        <v>0</v>
      </c>
      <c r="BU89">
        <f t="shared" ref="BU89:BU152" si="50">AE89</f>
        <v>0</v>
      </c>
      <c r="BV89" t="str">
        <f t="shared" si="34"/>
        <v/>
      </c>
    </row>
    <row r="90" spans="56:74" x14ac:dyDescent="0.25">
      <c r="BF90">
        <f t="shared" si="35"/>
        <v>0</v>
      </c>
      <c r="BG90">
        <f t="shared" si="36"/>
        <v>0</v>
      </c>
      <c r="BH90">
        <f t="shared" si="37"/>
        <v>0</v>
      </c>
      <c r="BI90">
        <f t="shared" si="38"/>
        <v>0</v>
      </c>
      <c r="BJ90">
        <f t="shared" si="39"/>
        <v>0</v>
      </c>
      <c r="BK90">
        <f t="shared" si="40"/>
        <v>0</v>
      </c>
      <c r="BL90">
        <f t="shared" si="41"/>
        <v>0</v>
      </c>
      <c r="BM90" s="12" t="str">
        <f t="shared" si="42"/>
        <v/>
      </c>
      <c r="BN90">
        <f t="shared" si="43"/>
        <v>0</v>
      </c>
      <c r="BO90">
        <f t="shared" si="44"/>
        <v>0</v>
      </c>
      <c r="BP90">
        <f t="shared" si="45"/>
        <v>0</v>
      </c>
      <c r="BQ90">
        <f t="shared" si="46"/>
        <v>0</v>
      </c>
      <c r="BR90" t="str">
        <f t="shared" si="47"/>
        <v/>
      </c>
      <c r="BS90">
        <f t="shared" si="48"/>
        <v>0</v>
      </c>
      <c r="BT90" s="6">
        <f t="shared" si="49"/>
        <v>0</v>
      </c>
      <c r="BU90">
        <f t="shared" si="50"/>
        <v>0</v>
      </c>
      <c r="BV90" t="str">
        <f t="shared" si="34"/>
        <v/>
      </c>
    </row>
    <row r="91" spans="56:74" x14ac:dyDescent="0.25">
      <c r="BF91">
        <f t="shared" si="35"/>
        <v>0</v>
      </c>
      <c r="BG91">
        <f t="shared" si="36"/>
        <v>0</v>
      </c>
      <c r="BH91">
        <f t="shared" si="37"/>
        <v>0</v>
      </c>
      <c r="BI91">
        <f t="shared" si="38"/>
        <v>0</v>
      </c>
      <c r="BJ91">
        <f t="shared" si="39"/>
        <v>0</v>
      </c>
      <c r="BK91">
        <f t="shared" si="40"/>
        <v>0</v>
      </c>
      <c r="BL91">
        <f t="shared" si="41"/>
        <v>0</v>
      </c>
      <c r="BM91" s="12" t="str">
        <f t="shared" si="42"/>
        <v/>
      </c>
      <c r="BN91">
        <f t="shared" si="43"/>
        <v>0</v>
      </c>
      <c r="BO91">
        <f t="shared" si="44"/>
        <v>0</v>
      </c>
      <c r="BP91">
        <f t="shared" si="45"/>
        <v>0</v>
      </c>
      <c r="BQ91">
        <f t="shared" si="46"/>
        <v>0</v>
      </c>
      <c r="BR91" t="str">
        <f t="shared" si="47"/>
        <v/>
      </c>
      <c r="BS91">
        <f t="shared" si="48"/>
        <v>0</v>
      </c>
      <c r="BT91" s="6">
        <f t="shared" si="49"/>
        <v>0</v>
      </c>
      <c r="BU91">
        <f t="shared" si="50"/>
        <v>0</v>
      </c>
      <c r="BV91" t="str">
        <f t="shared" si="34"/>
        <v/>
      </c>
    </row>
    <row r="92" spans="56:74" x14ac:dyDescent="0.25">
      <c r="BF92">
        <f t="shared" si="35"/>
        <v>0</v>
      </c>
      <c r="BG92">
        <f t="shared" si="36"/>
        <v>0</v>
      </c>
      <c r="BH92">
        <f t="shared" si="37"/>
        <v>0</v>
      </c>
      <c r="BI92">
        <f t="shared" si="38"/>
        <v>0</v>
      </c>
      <c r="BJ92">
        <f t="shared" si="39"/>
        <v>0</v>
      </c>
      <c r="BK92">
        <f t="shared" si="40"/>
        <v>0</v>
      </c>
      <c r="BL92">
        <f t="shared" si="41"/>
        <v>0</v>
      </c>
      <c r="BM92" s="12" t="str">
        <f t="shared" si="42"/>
        <v/>
      </c>
      <c r="BN92">
        <f t="shared" si="43"/>
        <v>0</v>
      </c>
      <c r="BO92">
        <f t="shared" si="44"/>
        <v>0</v>
      </c>
      <c r="BP92">
        <f t="shared" si="45"/>
        <v>0</v>
      </c>
      <c r="BQ92">
        <f t="shared" si="46"/>
        <v>0</v>
      </c>
      <c r="BR92" t="str">
        <f t="shared" si="47"/>
        <v/>
      </c>
      <c r="BS92">
        <f t="shared" si="48"/>
        <v>0</v>
      </c>
      <c r="BT92" s="6">
        <f t="shared" si="49"/>
        <v>0</v>
      </c>
      <c r="BU92">
        <f t="shared" si="50"/>
        <v>0</v>
      </c>
      <c r="BV92" t="str">
        <f t="shared" si="34"/>
        <v/>
      </c>
    </row>
    <row r="93" spans="56:74" x14ac:dyDescent="0.25">
      <c r="BF93">
        <f t="shared" si="35"/>
        <v>0</v>
      </c>
      <c r="BG93">
        <f t="shared" si="36"/>
        <v>0</v>
      </c>
      <c r="BH93">
        <f t="shared" si="37"/>
        <v>0</v>
      </c>
      <c r="BI93">
        <f t="shared" si="38"/>
        <v>0</v>
      </c>
      <c r="BJ93">
        <f t="shared" si="39"/>
        <v>0</v>
      </c>
      <c r="BK93">
        <f t="shared" si="40"/>
        <v>0</v>
      </c>
      <c r="BL93">
        <f t="shared" si="41"/>
        <v>0</v>
      </c>
      <c r="BM93" s="12" t="str">
        <f t="shared" si="42"/>
        <v/>
      </c>
      <c r="BN93">
        <f t="shared" si="43"/>
        <v>0</v>
      </c>
      <c r="BO93">
        <f t="shared" si="44"/>
        <v>0</v>
      </c>
      <c r="BP93">
        <f t="shared" si="45"/>
        <v>0</v>
      </c>
      <c r="BQ93">
        <f t="shared" si="46"/>
        <v>0</v>
      </c>
      <c r="BR93" t="str">
        <f t="shared" si="47"/>
        <v/>
      </c>
      <c r="BS93">
        <f t="shared" si="48"/>
        <v>0</v>
      </c>
      <c r="BT93" s="6">
        <f t="shared" si="49"/>
        <v>0</v>
      </c>
      <c r="BU93">
        <f t="shared" si="50"/>
        <v>0</v>
      </c>
      <c r="BV93" t="str">
        <f t="shared" si="34"/>
        <v/>
      </c>
    </row>
    <row r="94" spans="56:74" x14ac:dyDescent="0.25">
      <c r="BF94">
        <f t="shared" si="35"/>
        <v>0</v>
      </c>
      <c r="BG94">
        <f t="shared" si="36"/>
        <v>0</v>
      </c>
      <c r="BH94">
        <f t="shared" si="37"/>
        <v>0</v>
      </c>
      <c r="BI94">
        <f t="shared" si="38"/>
        <v>0</v>
      </c>
      <c r="BJ94">
        <f t="shared" si="39"/>
        <v>0</v>
      </c>
      <c r="BK94">
        <f t="shared" si="40"/>
        <v>0</v>
      </c>
      <c r="BL94">
        <f t="shared" si="41"/>
        <v>0</v>
      </c>
      <c r="BM94" s="12" t="str">
        <f t="shared" si="42"/>
        <v/>
      </c>
      <c r="BN94">
        <f t="shared" si="43"/>
        <v>0</v>
      </c>
      <c r="BO94">
        <f t="shared" si="44"/>
        <v>0</v>
      </c>
      <c r="BP94">
        <f t="shared" si="45"/>
        <v>0</v>
      </c>
      <c r="BQ94">
        <f t="shared" si="46"/>
        <v>0</v>
      </c>
      <c r="BR94" t="str">
        <f t="shared" si="47"/>
        <v/>
      </c>
      <c r="BS94">
        <f t="shared" si="48"/>
        <v>0</v>
      </c>
      <c r="BT94" s="6">
        <f t="shared" si="49"/>
        <v>0</v>
      </c>
      <c r="BU94">
        <f t="shared" si="50"/>
        <v>0</v>
      </c>
      <c r="BV94" t="str">
        <f t="shared" si="34"/>
        <v/>
      </c>
    </row>
    <row r="95" spans="56:74" x14ac:dyDescent="0.25">
      <c r="BF95">
        <f t="shared" si="35"/>
        <v>0</v>
      </c>
      <c r="BG95">
        <f t="shared" si="36"/>
        <v>0</v>
      </c>
      <c r="BH95">
        <f t="shared" si="37"/>
        <v>0</v>
      </c>
      <c r="BI95">
        <f t="shared" si="38"/>
        <v>0</v>
      </c>
      <c r="BJ95">
        <f t="shared" si="39"/>
        <v>0</v>
      </c>
      <c r="BK95">
        <f t="shared" si="40"/>
        <v>0</v>
      </c>
      <c r="BL95">
        <f t="shared" si="41"/>
        <v>0</v>
      </c>
      <c r="BM95" s="12" t="str">
        <f t="shared" si="42"/>
        <v/>
      </c>
      <c r="BN95">
        <f t="shared" si="43"/>
        <v>0</v>
      </c>
      <c r="BO95">
        <f t="shared" si="44"/>
        <v>0</v>
      </c>
      <c r="BP95">
        <f t="shared" si="45"/>
        <v>0</v>
      </c>
      <c r="BQ95">
        <f t="shared" si="46"/>
        <v>0</v>
      </c>
      <c r="BR95" t="str">
        <f t="shared" si="47"/>
        <v/>
      </c>
      <c r="BS95">
        <f t="shared" si="48"/>
        <v>0</v>
      </c>
      <c r="BT95" s="6">
        <f t="shared" si="49"/>
        <v>0</v>
      </c>
      <c r="BU95">
        <f t="shared" si="50"/>
        <v>0</v>
      </c>
      <c r="BV95" t="str">
        <f t="shared" si="34"/>
        <v/>
      </c>
    </row>
    <row r="96" spans="56:74" x14ac:dyDescent="0.25">
      <c r="BF96">
        <f t="shared" si="35"/>
        <v>0</v>
      </c>
      <c r="BG96">
        <f t="shared" si="36"/>
        <v>0</v>
      </c>
      <c r="BH96">
        <f t="shared" si="37"/>
        <v>0</v>
      </c>
      <c r="BI96">
        <f t="shared" si="38"/>
        <v>0</v>
      </c>
      <c r="BJ96">
        <f t="shared" si="39"/>
        <v>0</v>
      </c>
      <c r="BK96">
        <f t="shared" si="40"/>
        <v>0</v>
      </c>
      <c r="BL96">
        <f t="shared" si="41"/>
        <v>0</v>
      </c>
      <c r="BM96" s="12" t="str">
        <f t="shared" si="42"/>
        <v/>
      </c>
      <c r="BN96">
        <f t="shared" si="43"/>
        <v>0</v>
      </c>
      <c r="BO96">
        <f t="shared" si="44"/>
        <v>0</v>
      </c>
      <c r="BP96">
        <f t="shared" si="45"/>
        <v>0</v>
      </c>
      <c r="BQ96">
        <f t="shared" si="46"/>
        <v>0</v>
      </c>
      <c r="BR96" t="str">
        <f t="shared" si="47"/>
        <v/>
      </c>
      <c r="BS96">
        <f t="shared" si="48"/>
        <v>0</v>
      </c>
      <c r="BT96" s="6">
        <f t="shared" si="49"/>
        <v>0</v>
      </c>
      <c r="BU96">
        <f t="shared" si="50"/>
        <v>0</v>
      </c>
      <c r="BV96" t="str">
        <f t="shared" si="34"/>
        <v/>
      </c>
    </row>
    <row r="97" spans="58:74" x14ac:dyDescent="0.25">
      <c r="BF97">
        <f t="shared" si="35"/>
        <v>0</v>
      </c>
      <c r="BG97">
        <f t="shared" si="36"/>
        <v>0</v>
      </c>
      <c r="BH97">
        <f t="shared" si="37"/>
        <v>0</v>
      </c>
      <c r="BI97">
        <f t="shared" si="38"/>
        <v>0</v>
      </c>
      <c r="BJ97">
        <f t="shared" si="39"/>
        <v>0</v>
      </c>
      <c r="BK97">
        <f t="shared" si="40"/>
        <v>0</v>
      </c>
      <c r="BL97">
        <f t="shared" si="41"/>
        <v>0</v>
      </c>
      <c r="BM97" s="12" t="str">
        <f t="shared" si="42"/>
        <v/>
      </c>
      <c r="BN97">
        <f t="shared" si="43"/>
        <v>0</v>
      </c>
      <c r="BO97">
        <f t="shared" si="44"/>
        <v>0</v>
      </c>
      <c r="BP97">
        <f t="shared" si="45"/>
        <v>0</v>
      </c>
      <c r="BQ97">
        <f t="shared" si="46"/>
        <v>0</v>
      </c>
      <c r="BR97" t="str">
        <f t="shared" si="47"/>
        <v/>
      </c>
      <c r="BS97">
        <f t="shared" si="48"/>
        <v>0</v>
      </c>
      <c r="BT97" s="6">
        <f t="shared" si="49"/>
        <v>0</v>
      </c>
      <c r="BU97">
        <f t="shared" si="50"/>
        <v>0</v>
      </c>
      <c r="BV97" t="str">
        <f t="shared" si="34"/>
        <v/>
      </c>
    </row>
    <row r="98" spans="58:74" x14ac:dyDescent="0.25">
      <c r="BF98">
        <f t="shared" si="35"/>
        <v>0</v>
      </c>
      <c r="BG98">
        <f t="shared" si="36"/>
        <v>0</v>
      </c>
      <c r="BH98">
        <f t="shared" si="37"/>
        <v>0</v>
      </c>
      <c r="BI98">
        <f t="shared" si="38"/>
        <v>0</v>
      </c>
      <c r="BJ98">
        <f t="shared" si="39"/>
        <v>0</v>
      </c>
      <c r="BK98">
        <f t="shared" si="40"/>
        <v>0</v>
      </c>
      <c r="BL98">
        <f t="shared" si="41"/>
        <v>0</v>
      </c>
      <c r="BM98" s="12" t="str">
        <f t="shared" si="42"/>
        <v/>
      </c>
      <c r="BN98">
        <f t="shared" si="43"/>
        <v>0</v>
      </c>
      <c r="BO98">
        <f t="shared" si="44"/>
        <v>0</v>
      </c>
      <c r="BP98">
        <f t="shared" si="45"/>
        <v>0</v>
      </c>
      <c r="BQ98">
        <f t="shared" si="46"/>
        <v>0</v>
      </c>
      <c r="BR98" t="str">
        <f t="shared" si="47"/>
        <v/>
      </c>
      <c r="BS98">
        <f t="shared" si="48"/>
        <v>0</v>
      </c>
      <c r="BT98" s="6">
        <f t="shared" si="49"/>
        <v>0</v>
      </c>
      <c r="BU98">
        <f t="shared" si="50"/>
        <v>0</v>
      </c>
      <c r="BV98" t="str">
        <f t="shared" si="34"/>
        <v/>
      </c>
    </row>
    <row r="99" spans="58:74" x14ac:dyDescent="0.25">
      <c r="BF99">
        <f t="shared" si="35"/>
        <v>0</v>
      </c>
      <c r="BG99">
        <f t="shared" si="36"/>
        <v>0</v>
      </c>
      <c r="BH99">
        <f t="shared" si="37"/>
        <v>0</v>
      </c>
      <c r="BI99">
        <f t="shared" si="38"/>
        <v>0</v>
      </c>
      <c r="BJ99">
        <f t="shared" si="39"/>
        <v>0</v>
      </c>
      <c r="BK99">
        <f t="shared" si="40"/>
        <v>0</v>
      </c>
      <c r="BL99">
        <f t="shared" si="41"/>
        <v>0</v>
      </c>
      <c r="BM99" s="12" t="str">
        <f t="shared" si="42"/>
        <v/>
      </c>
      <c r="BN99">
        <f t="shared" si="43"/>
        <v>0</v>
      </c>
      <c r="BO99">
        <f t="shared" si="44"/>
        <v>0</v>
      </c>
      <c r="BP99">
        <f t="shared" si="45"/>
        <v>0</v>
      </c>
      <c r="BQ99">
        <f t="shared" si="46"/>
        <v>0</v>
      </c>
      <c r="BR99" t="str">
        <f t="shared" si="47"/>
        <v/>
      </c>
      <c r="BS99">
        <f t="shared" si="48"/>
        <v>0</v>
      </c>
      <c r="BT99" s="6">
        <f t="shared" si="49"/>
        <v>0</v>
      </c>
      <c r="BU99">
        <f t="shared" si="50"/>
        <v>0</v>
      </c>
      <c r="BV99" t="str">
        <f t="shared" si="34"/>
        <v/>
      </c>
    </row>
    <row r="100" spans="58:74" x14ac:dyDescent="0.25">
      <c r="BF100">
        <f t="shared" si="35"/>
        <v>0</v>
      </c>
      <c r="BG100">
        <f t="shared" si="36"/>
        <v>0</v>
      </c>
      <c r="BH100">
        <f t="shared" si="37"/>
        <v>0</v>
      </c>
      <c r="BI100">
        <f t="shared" si="38"/>
        <v>0</v>
      </c>
      <c r="BJ100">
        <f t="shared" si="39"/>
        <v>0</v>
      </c>
      <c r="BK100">
        <f t="shared" si="40"/>
        <v>0</v>
      </c>
      <c r="BL100">
        <f t="shared" si="41"/>
        <v>0</v>
      </c>
      <c r="BM100" s="12" t="str">
        <f t="shared" si="42"/>
        <v/>
      </c>
      <c r="BN100">
        <f t="shared" si="43"/>
        <v>0</v>
      </c>
      <c r="BO100">
        <f t="shared" si="44"/>
        <v>0</v>
      </c>
      <c r="BP100">
        <f t="shared" si="45"/>
        <v>0</v>
      </c>
      <c r="BQ100">
        <f t="shared" si="46"/>
        <v>0</v>
      </c>
      <c r="BR100" t="str">
        <f t="shared" si="47"/>
        <v/>
      </c>
      <c r="BS100">
        <f t="shared" si="48"/>
        <v>0</v>
      </c>
      <c r="BT100" s="6">
        <f t="shared" si="49"/>
        <v>0</v>
      </c>
      <c r="BU100">
        <f t="shared" si="50"/>
        <v>0</v>
      </c>
      <c r="BV100" t="str">
        <f t="shared" si="34"/>
        <v/>
      </c>
    </row>
    <row r="101" spans="58:74" x14ac:dyDescent="0.25">
      <c r="BF101">
        <f t="shared" si="35"/>
        <v>0</v>
      </c>
      <c r="BG101">
        <f t="shared" si="36"/>
        <v>0</v>
      </c>
      <c r="BH101">
        <f t="shared" si="37"/>
        <v>0</v>
      </c>
      <c r="BI101">
        <f t="shared" si="38"/>
        <v>0</v>
      </c>
      <c r="BJ101">
        <f t="shared" si="39"/>
        <v>0</v>
      </c>
      <c r="BK101">
        <f t="shared" si="40"/>
        <v>0</v>
      </c>
      <c r="BL101">
        <f t="shared" si="41"/>
        <v>0</v>
      </c>
      <c r="BM101" s="12" t="str">
        <f t="shared" si="42"/>
        <v/>
      </c>
      <c r="BN101">
        <f t="shared" si="43"/>
        <v>0</v>
      </c>
      <c r="BO101">
        <f t="shared" si="44"/>
        <v>0</v>
      </c>
      <c r="BP101">
        <f t="shared" si="45"/>
        <v>0</v>
      </c>
      <c r="BQ101">
        <f t="shared" si="46"/>
        <v>0</v>
      </c>
      <c r="BR101" t="str">
        <f t="shared" si="47"/>
        <v/>
      </c>
      <c r="BS101">
        <f t="shared" si="48"/>
        <v>0</v>
      </c>
      <c r="BT101" s="6">
        <f t="shared" si="49"/>
        <v>0</v>
      </c>
      <c r="BU101">
        <f t="shared" si="50"/>
        <v>0</v>
      </c>
      <c r="BV101" t="str">
        <f t="shared" si="34"/>
        <v/>
      </c>
    </row>
    <row r="102" spans="58:74" x14ac:dyDescent="0.25">
      <c r="BF102">
        <f t="shared" si="35"/>
        <v>0</v>
      </c>
      <c r="BG102">
        <f t="shared" si="36"/>
        <v>0</v>
      </c>
      <c r="BH102">
        <f t="shared" si="37"/>
        <v>0</v>
      </c>
      <c r="BI102">
        <f t="shared" si="38"/>
        <v>0</v>
      </c>
      <c r="BJ102">
        <f t="shared" si="39"/>
        <v>0</v>
      </c>
      <c r="BK102">
        <f t="shared" si="40"/>
        <v>0</v>
      </c>
      <c r="BL102">
        <f t="shared" si="41"/>
        <v>0</v>
      </c>
      <c r="BM102" s="12" t="str">
        <f t="shared" si="42"/>
        <v/>
      </c>
      <c r="BN102">
        <f t="shared" si="43"/>
        <v>0</v>
      </c>
      <c r="BO102">
        <f t="shared" si="44"/>
        <v>0</v>
      </c>
      <c r="BP102">
        <f t="shared" si="45"/>
        <v>0</v>
      </c>
      <c r="BQ102">
        <f t="shared" si="46"/>
        <v>0</v>
      </c>
      <c r="BR102" t="str">
        <f t="shared" si="47"/>
        <v/>
      </c>
      <c r="BS102">
        <f t="shared" si="48"/>
        <v>0</v>
      </c>
      <c r="BT102" s="6">
        <f t="shared" si="49"/>
        <v>0</v>
      </c>
      <c r="BU102">
        <f t="shared" si="50"/>
        <v>0</v>
      </c>
      <c r="BV102" t="str">
        <f t="shared" si="34"/>
        <v/>
      </c>
    </row>
    <row r="103" spans="58:74" x14ac:dyDescent="0.25">
      <c r="BF103">
        <f t="shared" si="35"/>
        <v>0</v>
      </c>
      <c r="BG103">
        <f t="shared" si="36"/>
        <v>0</v>
      </c>
      <c r="BH103">
        <f t="shared" si="37"/>
        <v>0</v>
      </c>
      <c r="BI103">
        <f t="shared" si="38"/>
        <v>0</v>
      </c>
      <c r="BJ103">
        <f t="shared" si="39"/>
        <v>0</v>
      </c>
      <c r="BK103">
        <f t="shared" si="40"/>
        <v>0</v>
      </c>
      <c r="BL103">
        <f t="shared" si="41"/>
        <v>0</v>
      </c>
      <c r="BM103" s="12" t="str">
        <f t="shared" si="42"/>
        <v/>
      </c>
      <c r="BN103">
        <f t="shared" si="43"/>
        <v>0</v>
      </c>
      <c r="BO103">
        <f t="shared" si="44"/>
        <v>0</v>
      </c>
      <c r="BP103">
        <f t="shared" si="45"/>
        <v>0</v>
      </c>
      <c r="BQ103">
        <f t="shared" si="46"/>
        <v>0</v>
      </c>
      <c r="BR103" t="str">
        <f t="shared" si="47"/>
        <v/>
      </c>
      <c r="BS103">
        <f t="shared" si="48"/>
        <v>0</v>
      </c>
      <c r="BT103" s="6">
        <f t="shared" si="49"/>
        <v>0</v>
      </c>
      <c r="BU103">
        <f t="shared" si="50"/>
        <v>0</v>
      </c>
      <c r="BV103" t="str">
        <f t="shared" si="34"/>
        <v/>
      </c>
    </row>
    <row r="104" spans="58:74" x14ac:dyDescent="0.25">
      <c r="BF104">
        <f t="shared" si="35"/>
        <v>0</v>
      </c>
      <c r="BG104">
        <f t="shared" si="36"/>
        <v>0</v>
      </c>
      <c r="BH104">
        <f t="shared" si="37"/>
        <v>0</v>
      </c>
      <c r="BI104">
        <f t="shared" si="38"/>
        <v>0</v>
      </c>
      <c r="BJ104">
        <f t="shared" si="39"/>
        <v>0</v>
      </c>
      <c r="BK104">
        <f t="shared" si="40"/>
        <v>0</v>
      </c>
      <c r="BL104">
        <f t="shared" si="41"/>
        <v>0</v>
      </c>
      <c r="BM104" s="12" t="str">
        <f t="shared" si="42"/>
        <v/>
      </c>
      <c r="BN104">
        <f t="shared" si="43"/>
        <v>0</v>
      </c>
      <c r="BO104">
        <f t="shared" si="44"/>
        <v>0</v>
      </c>
      <c r="BP104">
        <f t="shared" si="45"/>
        <v>0</v>
      </c>
      <c r="BQ104">
        <f t="shared" si="46"/>
        <v>0</v>
      </c>
      <c r="BR104" t="str">
        <f t="shared" si="47"/>
        <v/>
      </c>
      <c r="BS104">
        <f t="shared" si="48"/>
        <v>0</v>
      </c>
      <c r="BT104" s="6">
        <f t="shared" si="49"/>
        <v>0</v>
      </c>
      <c r="BU104">
        <f t="shared" si="50"/>
        <v>0</v>
      </c>
      <c r="BV104" t="str">
        <f t="shared" si="34"/>
        <v/>
      </c>
    </row>
    <row r="105" spans="58:74" x14ac:dyDescent="0.25">
      <c r="BF105">
        <f t="shared" si="35"/>
        <v>0</v>
      </c>
      <c r="BG105">
        <f t="shared" si="36"/>
        <v>0</v>
      </c>
      <c r="BH105">
        <f t="shared" si="37"/>
        <v>0</v>
      </c>
      <c r="BI105">
        <f t="shared" si="38"/>
        <v>0</v>
      </c>
      <c r="BJ105">
        <f t="shared" si="39"/>
        <v>0</v>
      </c>
      <c r="BK105">
        <f t="shared" si="40"/>
        <v>0</v>
      </c>
      <c r="BL105">
        <f t="shared" si="41"/>
        <v>0</v>
      </c>
      <c r="BM105" s="12" t="str">
        <f t="shared" si="42"/>
        <v/>
      </c>
      <c r="BN105">
        <f t="shared" si="43"/>
        <v>0</v>
      </c>
      <c r="BO105">
        <f t="shared" si="44"/>
        <v>0</v>
      </c>
      <c r="BP105">
        <f t="shared" si="45"/>
        <v>0</v>
      </c>
      <c r="BQ105">
        <f t="shared" si="46"/>
        <v>0</v>
      </c>
      <c r="BR105" t="str">
        <f t="shared" si="47"/>
        <v/>
      </c>
      <c r="BS105">
        <f t="shared" si="48"/>
        <v>0</v>
      </c>
      <c r="BT105" s="6">
        <f t="shared" si="49"/>
        <v>0</v>
      </c>
      <c r="BU105">
        <f t="shared" si="50"/>
        <v>0</v>
      </c>
      <c r="BV105" t="str">
        <f t="shared" si="34"/>
        <v/>
      </c>
    </row>
    <row r="106" spans="58:74" x14ac:dyDescent="0.25">
      <c r="BF106">
        <f t="shared" si="35"/>
        <v>0</v>
      </c>
      <c r="BG106">
        <f t="shared" si="36"/>
        <v>0</v>
      </c>
      <c r="BH106">
        <f t="shared" si="37"/>
        <v>0</v>
      </c>
      <c r="BI106">
        <f t="shared" si="38"/>
        <v>0</v>
      </c>
      <c r="BJ106">
        <f t="shared" si="39"/>
        <v>0</v>
      </c>
      <c r="BK106">
        <f t="shared" si="40"/>
        <v>0</v>
      </c>
      <c r="BL106">
        <f t="shared" si="41"/>
        <v>0</v>
      </c>
      <c r="BM106" s="12" t="str">
        <f t="shared" si="42"/>
        <v/>
      </c>
      <c r="BN106">
        <f t="shared" si="43"/>
        <v>0</v>
      </c>
      <c r="BO106">
        <f t="shared" si="44"/>
        <v>0</v>
      </c>
      <c r="BP106">
        <f t="shared" si="45"/>
        <v>0</v>
      </c>
      <c r="BQ106">
        <f t="shared" si="46"/>
        <v>0</v>
      </c>
      <c r="BR106" t="str">
        <f t="shared" si="47"/>
        <v/>
      </c>
      <c r="BS106">
        <f t="shared" si="48"/>
        <v>0</v>
      </c>
      <c r="BT106" s="6">
        <f t="shared" si="49"/>
        <v>0</v>
      </c>
      <c r="BU106">
        <f t="shared" si="50"/>
        <v>0</v>
      </c>
      <c r="BV106" t="str">
        <f t="shared" si="34"/>
        <v/>
      </c>
    </row>
    <row r="107" spans="58:74" x14ac:dyDescent="0.25">
      <c r="BF107">
        <f t="shared" si="35"/>
        <v>0</v>
      </c>
      <c r="BG107">
        <f t="shared" si="36"/>
        <v>0</v>
      </c>
      <c r="BH107">
        <f t="shared" si="37"/>
        <v>0</v>
      </c>
      <c r="BI107">
        <f t="shared" si="38"/>
        <v>0</v>
      </c>
      <c r="BJ107">
        <f t="shared" si="39"/>
        <v>0</v>
      </c>
      <c r="BK107">
        <f t="shared" si="40"/>
        <v>0</v>
      </c>
      <c r="BL107">
        <f t="shared" si="41"/>
        <v>0</v>
      </c>
      <c r="BM107" s="12" t="str">
        <f t="shared" si="42"/>
        <v/>
      </c>
      <c r="BN107">
        <f t="shared" si="43"/>
        <v>0</v>
      </c>
      <c r="BO107">
        <f t="shared" si="44"/>
        <v>0</v>
      </c>
      <c r="BP107">
        <f t="shared" si="45"/>
        <v>0</v>
      </c>
      <c r="BQ107">
        <f t="shared" si="46"/>
        <v>0</v>
      </c>
      <c r="BR107" t="str">
        <f t="shared" si="47"/>
        <v/>
      </c>
      <c r="BS107">
        <f t="shared" si="48"/>
        <v>0</v>
      </c>
      <c r="BT107" s="6">
        <f t="shared" si="49"/>
        <v>0</v>
      </c>
      <c r="BU107">
        <f t="shared" si="50"/>
        <v>0</v>
      </c>
      <c r="BV107" t="str">
        <f t="shared" si="34"/>
        <v/>
      </c>
    </row>
    <row r="108" spans="58:74" x14ac:dyDescent="0.25">
      <c r="BF108">
        <f t="shared" si="35"/>
        <v>0</v>
      </c>
      <c r="BG108">
        <f t="shared" si="36"/>
        <v>0</v>
      </c>
      <c r="BH108">
        <f t="shared" si="37"/>
        <v>0</v>
      </c>
      <c r="BI108">
        <f t="shared" si="38"/>
        <v>0</v>
      </c>
      <c r="BJ108">
        <f t="shared" si="39"/>
        <v>0</v>
      </c>
      <c r="BK108">
        <f t="shared" si="40"/>
        <v>0</v>
      </c>
      <c r="BL108">
        <f t="shared" si="41"/>
        <v>0</v>
      </c>
      <c r="BM108" s="12" t="str">
        <f t="shared" si="42"/>
        <v/>
      </c>
      <c r="BN108">
        <f t="shared" si="43"/>
        <v>0</v>
      </c>
      <c r="BO108">
        <f t="shared" si="44"/>
        <v>0</v>
      </c>
      <c r="BP108">
        <f t="shared" si="45"/>
        <v>0</v>
      </c>
      <c r="BQ108">
        <f t="shared" si="46"/>
        <v>0</v>
      </c>
      <c r="BR108" t="str">
        <f t="shared" si="47"/>
        <v/>
      </c>
      <c r="BS108">
        <f t="shared" si="48"/>
        <v>0</v>
      </c>
      <c r="BT108" s="6">
        <f t="shared" si="49"/>
        <v>0</v>
      </c>
      <c r="BU108">
        <f t="shared" si="50"/>
        <v>0</v>
      </c>
      <c r="BV108" t="str">
        <f t="shared" si="34"/>
        <v/>
      </c>
    </row>
    <row r="109" spans="58:74" x14ac:dyDescent="0.25">
      <c r="BF109">
        <f t="shared" si="35"/>
        <v>0</v>
      </c>
      <c r="BG109">
        <f t="shared" si="36"/>
        <v>0</v>
      </c>
      <c r="BH109">
        <f t="shared" si="37"/>
        <v>0</v>
      </c>
      <c r="BI109">
        <f t="shared" si="38"/>
        <v>0</v>
      </c>
      <c r="BJ109">
        <f t="shared" si="39"/>
        <v>0</v>
      </c>
      <c r="BK109">
        <f t="shared" si="40"/>
        <v>0</v>
      </c>
      <c r="BL109">
        <f t="shared" si="41"/>
        <v>0</v>
      </c>
      <c r="BM109" s="12" t="str">
        <f t="shared" si="42"/>
        <v/>
      </c>
      <c r="BN109">
        <f t="shared" si="43"/>
        <v>0</v>
      </c>
      <c r="BO109">
        <f t="shared" si="44"/>
        <v>0</v>
      </c>
      <c r="BP109">
        <f t="shared" si="45"/>
        <v>0</v>
      </c>
      <c r="BQ109">
        <f t="shared" si="46"/>
        <v>0</v>
      </c>
      <c r="BR109" t="str">
        <f t="shared" si="47"/>
        <v/>
      </c>
      <c r="BS109">
        <f t="shared" si="48"/>
        <v>0</v>
      </c>
      <c r="BT109" s="6">
        <f t="shared" si="49"/>
        <v>0</v>
      </c>
      <c r="BU109">
        <f t="shared" si="50"/>
        <v>0</v>
      </c>
      <c r="BV109" t="str">
        <f t="shared" si="34"/>
        <v/>
      </c>
    </row>
    <row r="110" spans="58:74" x14ac:dyDescent="0.25">
      <c r="BF110">
        <f t="shared" si="35"/>
        <v>0</v>
      </c>
      <c r="BG110">
        <f t="shared" si="36"/>
        <v>0</v>
      </c>
      <c r="BH110">
        <f t="shared" si="37"/>
        <v>0</v>
      </c>
      <c r="BI110">
        <f t="shared" si="38"/>
        <v>0</v>
      </c>
      <c r="BJ110">
        <f t="shared" si="39"/>
        <v>0</v>
      </c>
      <c r="BK110">
        <f t="shared" si="40"/>
        <v>0</v>
      </c>
      <c r="BL110">
        <f t="shared" si="41"/>
        <v>0</v>
      </c>
      <c r="BM110" s="12" t="str">
        <f t="shared" si="42"/>
        <v/>
      </c>
      <c r="BN110">
        <f t="shared" si="43"/>
        <v>0</v>
      </c>
      <c r="BO110">
        <f t="shared" si="44"/>
        <v>0</v>
      </c>
      <c r="BP110">
        <f t="shared" si="45"/>
        <v>0</v>
      </c>
      <c r="BQ110">
        <f t="shared" si="46"/>
        <v>0</v>
      </c>
      <c r="BR110" t="str">
        <f t="shared" si="47"/>
        <v/>
      </c>
      <c r="BS110">
        <f t="shared" si="48"/>
        <v>0</v>
      </c>
      <c r="BT110" s="6">
        <f t="shared" si="49"/>
        <v>0</v>
      </c>
      <c r="BU110">
        <f t="shared" si="50"/>
        <v>0</v>
      </c>
      <c r="BV110" t="str">
        <f t="shared" si="34"/>
        <v/>
      </c>
    </row>
    <row r="111" spans="58:74" x14ac:dyDescent="0.25">
      <c r="BF111">
        <f t="shared" si="35"/>
        <v>0</v>
      </c>
      <c r="BG111">
        <f t="shared" si="36"/>
        <v>0</v>
      </c>
      <c r="BH111">
        <f t="shared" si="37"/>
        <v>0</v>
      </c>
      <c r="BI111">
        <f t="shared" si="38"/>
        <v>0</v>
      </c>
      <c r="BJ111">
        <f t="shared" si="39"/>
        <v>0</v>
      </c>
      <c r="BK111">
        <f t="shared" si="40"/>
        <v>0</v>
      </c>
      <c r="BL111">
        <f t="shared" si="41"/>
        <v>0</v>
      </c>
      <c r="BM111" s="12" t="str">
        <f t="shared" si="42"/>
        <v/>
      </c>
      <c r="BN111">
        <f t="shared" si="43"/>
        <v>0</v>
      </c>
      <c r="BO111">
        <f t="shared" si="44"/>
        <v>0</v>
      </c>
      <c r="BP111">
        <f t="shared" si="45"/>
        <v>0</v>
      </c>
      <c r="BQ111">
        <f t="shared" si="46"/>
        <v>0</v>
      </c>
      <c r="BR111" t="str">
        <f t="shared" si="47"/>
        <v/>
      </c>
      <c r="BS111">
        <f t="shared" si="48"/>
        <v>0</v>
      </c>
      <c r="BT111" s="6">
        <f t="shared" si="49"/>
        <v>0</v>
      </c>
      <c r="BU111">
        <f t="shared" si="50"/>
        <v>0</v>
      </c>
      <c r="BV111" t="str">
        <f t="shared" si="34"/>
        <v/>
      </c>
    </row>
    <row r="112" spans="58:74" x14ac:dyDescent="0.25">
      <c r="BF112">
        <f t="shared" si="35"/>
        <v>0</v>
      </c>
      <c r="BG112">
        <f t="shared" si="36"/>
        <v>0</v>
      </c>
      <c r="BH112">
        <f t="shared" si="37"/>
        <v>0</v>
      </c>
      <c r="BI112">
        <f t="shared" si="38"/>
        <v>0</v>
      </c>
      <c r="BJ112">
        <f t="shared" si="39"/>
        <v>0</v>
      </c>
      <c r="BK112">
        <f t="shared" si="40"/>
        <v>0</v>
      </c>
      <c r="BL112">
        <f t="shared" si="41"/>
        <v>0</v>
      </c>
      <c r="BM112" s="12" t="str">
        <f t="shared" si="42"/>
        <v/>
      </c>
      <c r="BN112">
        <f t="shared" si="43"/>
        <v>0</v>
      </c>
      <c r="BO112">
        <f t="shared" si="44"/>
        <v>0</v>
      </c>
      <c r="BP112">
        <f t="shared" si="45"/>
        <v>0</v>
      </c>
      <c r="BQ112">
        <f t="shared" si="46"/>
        <v>0</v>
      </c>
      <c r="BR112" t="str">
        <f t="shared" si="47"/>
        <v/>
      </c>
      <c r="BS112">
        <f t="shared" si="48"/>
        <v>0</v>
      </c>
      <c r="BT112" s="6">
        <f t="shared" si="49"/>
        <v>0</v>
      </c>
      <c r="BU112">
        <f t="shared" si="50"/>
        <v>0</v>
      </c>
      <c r="BV112" t="str">
        <f t="shared" si="34"/>
        <v/>
      </c>
    </row>
    <row r="113" spans="58:74" x14ac:dyDescent="0.25">
      <c r="BF113">
        <f t="shared" si="35"/>
        <v>0</v>
      </c>
      <c r="BG113">
        <f t="shared" si="36"/>
        <v>0</v>
      </c>
      <c r="BH113">
        <f t="shared" si="37"/>
        <v>0</v>
      </c>
      <c r="BI113">
        <f t="shared" si="38"/>
        <v>0</v>
      </c>
      <c r="BJ113">
        <f t="shared" si="39"/>
        <v>0</v>
      </c>
      <c r="BK113">
        <f t="shared" si="40"/>
        <v>0</v>
      </c>
      <c r="BL113">
        <f t="shared" si="41"/>
        <v>0</v>
      </c>
      <c r="BM113" s="12" t="str">
        <f t="shared" si="42"/>
        <v/>
      </c>
      <c r="BN113">
        <f t="shared" si="43"/>
        <v>0</v>
      </c>
      <c r="BO113">
        <f t="shared" si="44"/>
        <v>0</v>
      </c>
      <c r="BP113">
        <f t="shared" si="45"/>
        <v>0</v>
      </c>
      <c r="BQ113">
        <f t="shared" si="46"/>
        <v>0</v>
      </c>
      <c r="BR113" t="str">
        <f t="shared" si="47"/>
        <v/>
      </c>
      <c r="BS113">
        <f t="shared" si="48"/>
        <v>0</v>
      </c>
      <c r="BT113" s="6">
        <f t="shared" si="49"/>
        <v>0</v>
      </c>
      <c r="BU113">
        <f t="shared" si="50"/>
        <v>0</v>
      </c>
      <c r="BV113" t="str">
        <f t="shared" si="34"/>
        <v/>
      </c>
    </row>
    <row r="114" spans="58:74" x14ac:dyDescent="0.25">
      <c r="BF114">
        <f t="shared" si="35"/>
        <v>0</v>
      </c>
      <c r="BG114">
        <f t="shared" si="36"/>
        <v>0</v>
      </c>
      <c r="BH114">
        <f t="shared" si="37"/>
        <v>0</v>
      </c>
      <c r="BI114">
        <f t="shared" si="38"/>
        <v>0</v>
      </c>
      <c r="BJ114">
        <f t="shared" si="39"/>
        <v>0</v>
      </c>
      <c r="BK114">
        <f t="shared" si="40"/>
        <v>0</v>
      </c>
      <c r="BL114">
        <f t="shared" si="41"/>
        <v>0</v>
      </c>
      <c r="BM114" s="12" t="str">
        <f t="shared" si="42"/>
        <v/>
      </c>
      <c r="BN114">
        <f t="shared" si="43"/>
        <v>0</v>
      </c>
      <c r="BO114">
        <f t="shared" si="44"/>
        <v>0</v>
      </c>
      <c r="BP114">
        <f t="shared" si="45"/>
        <v>0</v>
      </c>
      <c r="BQ114">
        <f t="shared" si="46"/>
        <v>0</v>
      </c>
      <c r="BR114" t="str">
        <f t="shared" si="47"/>
        <v/>
      </c>
      <c r="BS114">
        <f t="shared" si="48"/>
        <v>0</v>
      </c>
      <c r="BT114" s="6">
        <f t="shared" si="49"/>
        <v>0</v>
      </c>
      <c r="BU114">
        <f t="shared" si="50"/>
        <v>0</v>
      </c>
      <c r="BV114" t="str">
        <f t="shared" si="34"/>
        <v/>
      </c>
    </row>
    <row r="115" spans="58:74" x14ac:dyDescent="0.25">
      <c r="BF115">
        <f t="shared" si="35"/>
        <v>0</v>
      </c>
      <c r="BG115">
        <f t="shared" si="36"/>
        <v>0</v>
      </c>
      <c r="BH115">
        <f t="shared" si="37"/>
        <v>0</v>
      </c>
      <c r="BI115">
        <f t="shared" si="38"/>
        <v>0</v>
      </c>
      <c r="BJ115">
        <f t="shared" si="39"/>
        <v>0</v>
      </c>
      <c r="BK115">
        <f t="shared" si="40"/>
        <v>0</v>
      </c>
      <c r="BL115">
        <f t="shared" si="41"/>
        <v>0</v>
      </c>
      <c r="BM115" s="12" t="str">
        <f t="shared" si="42"/>
        <v/>
      </c>
      <c r="BN115">
        <f t="shared" si="43"/>
        <v>0</v>
      </c>
      <c r="BO115">
        <f t="shared" si="44"/>
        <v>0</v>
      </c>
      <c r="BP115">
        <f t="shared" si="45"/>
        <v>0</v>
      </c>
      <c r="BQ115">
        <f t="shared" si="46"/>
        <v>0</v>
      </c>
      <c r="BR115" t="str">
        <f t="shared" si="47"/>
        <v/>
      </c>
      <c r="BS115">
        <f t="shared" si="48"/>
        <v>0</v>
      </c>
      <c r="BT115" s="6">
        <f t="shared" si="49"/>
        <v>0</v>
      </c>
      <c r="BU115">
        <f t="shared" si="50"/>
        <v>0</v>
      </c>
      <c r="BV115" t="str">
        <f t="shared" si="34"/>
        <v/>
      </c>
    </row>
    <row r="116" spans="58:74" x14ac:dyDescent="0.25">
      <c r="BF116">
        <f t="shared" si="35"/>
        <v>0</v>
      </c>
      <c r="BG116">
        <f t="shared" si="36"/>
        <v>0</v>
      </c>
      <c r="BH116">
        <f t="shared" si="37"/>
        <v>0</v>
      </c>
      <c r="BI116">
        <f t="shared" si="38"/>
        <v>0</v>
      </c>
      <c r="BJ116">
        <f t="shared" si="39"/>
        <v>0</v>
      </c>
      <c r="BK116">
        <f t="shared" si="40"/>
        <v>0</v>
      </c>
      <c r="BL116">
        <f t="shared" si="41"/>
        <v>0</v>
      </c>
      <c r="BM116" s="12" t="str">
        <f t="shared" si="42"/>
        <v/>
      </c>
      <c r="BN116">
        <f t="shared" si="43"/>
        <v>0</v>
      </c>
      <c r="BO116">
        <f t="shared" si="44"/>
        <v>0</v>
      </c>
      <c r="BP116">
        <f t="shared" si="45"/>
        <v>0</v>
      </c>
      <c r="BQ116">
        <f t="shared" si="46"/>
        <v>0</v>
      </c>
      <c r="BR116" t="str">
        <f t="shared" si="47"/>
        <v/>
      </c>
      <c r="BS116">
        <f t="shared" si="48"/>
        <v>0</v>
      </c>
      <c r="BT116" s="6">
        <f t="shared" si="49"/>
        <v>0</v>
      </c>
      <c r="BU116">
        <f t="shared" si="50"/>
        <v>0</v>
      </c>
      <c r="BV116" t="str">
        <f t="shared" si="34"/>
        <v/>
      </c>
    </row>
    <row r="117" spans="58:74" x14ac:dyDescent="0.25">
      <c r="BF117">
        <f t="shared" si="35"/>
        <v>0</v>
      </c>
      <c r="BG117">
        <f t="shared" si="36"/>
        <v>0</v>
      </c>
      <c r="BH117">
        <f t="shared" si="37"/>
        <v>0</v>
      </c>
      <c r="BI117">
        <f t="shared" si="38"/>
        <v>0</v>
      </c>
      <c r="BJ117">
        <f t="shared" si="39"/>
        <v>0</v>
      </c>
      <c r="BK117">
        <f t="shared" si="40"/>
        <v>0</v>
      </c>
      <c r="BL117">
        <f t="shared" si="41"/>
        <v>0</v>
      </c>
      <c r="BM117" s="12" t="str">
        <f t="shared" si="42"/>
        <v/>
      </c>
      <c r="BN117">
        <f t="shared" si="43"/>
        <v>0</v>
      </c>
      <c r="BO117">
        <f t="shared" si="44"/>
        <v>0</v>
      </c>
      <c r="BP117">
        <f t="shared" si="45"/>
        <v>0</v>
      </c>
      <c r="BQ117">
        <f t="shared" si="46"/>
        <v>0</v>
      </c>
      <c r="BR117" t="str">
        <f t="shared" si="47"/>
        <v/>
      </c>
      <c r="BS117">
        <f t="shared" si="48"/>
        <v>0</v>
      </c>
      <c r="BT117" s="6">
        <f t="shared" si="49"/>
        <v>0</v>
      </c>
      <c r="BU117">
        <f t="shared" si="50"/>
        <v>0</v>
      </c>
      <c r="BV117" t="str">
        <f t="shared" si="34"/>
        <v/>
      </c>
    </row>
    <row r="118" spans="58:74" x14ac:dyDescent="0.25">
      <c r="BF118">
        <f t="shared" si="35"/>
        <v>0</v>
      </c>
      <c r="BG118">
        <f t="shared" si="36"/>
        <v>0</v>
      </c>
      <c r="BH118">
        <f t="shared" si="37"/>
        <v>0</v>
      </c>
      <c r="BI118">
        <f t="shared" si="38"/>
        <v>0</v>
      </c>
      <c r="BJ118">
        <f t="shared" si="39"/>
        <v>0</v>
      </c>
      <c r="BK118">
        <f t="shared" si="40"/>
        <v>0</v>
      </c>
      <c r="BL118">
        <f t="shared" si="41"/>
        <v>0</v>
      </c>
      <c r="BM118" s="12" t="str">
        <f t="shared" si="42"/>
        <v/>
      </c>
      <c r="BN118">
        <f t="shared" si="43"/>
        <v>0</v>
      </c>
      <c r="BO118">
        <f t="shared" si="44"/>
        <v>0</v>
      </c>
      <c r="BP118">
        <f t="shared" si="45"/>
        <v>0</v>
      </c>
      <c r="BQ118">
        <f t="shared" si="46"/>
        <v>0</v>
      </c>
      <c r="BR118" t="str">
        <f t="shared" si="47"/>
        <v/>
      </c>
      <c r="BS118">
        <f t="shared" si="48"/>
        <v>0</v>
      </c>
      <c r="BT118" s="6">
        <f t="shared" si="49"/>
        <v>0</v>
      </c>
      <c r="BU118">
        <f t="shared" si="50"/>
        <v>0</v>
      </c>
      <c r="BV118" t="str">
        <f t="shared" si="34"/>
        <v/>
      </c>
    </row>
    <row r="119" spans="58:74" x14ac:dyDescent="0.25">
      <c r="BF119">
        <f t="shared" si="35"/>
        <v>0</v>
      </c>
      <c r="BG119">
        <f t="shared" si="36"/>
        <v>0</v>
      </c>
      <c r="BH119">
        <f t="shared" si="37"/>
        <v>0</v>
      </c>
      <c r="BI119">
        <f t="shared" si="38"/>
        <v>0</v>
      </c>
      <c r="BJ119">
        <f t="shared" si="39"/>
        <v>0</v>
      </c>
      <c r="BK119">
        <f t="shared" si="40"/>
        <v>0</v>
      </c>
      <c r="BL119">
        <f t="shared" si="41"/>
        <v>0</v>
      </c>
      <c r="BM119" s="12" t="str">
        <f t="shared" si="42"/>
        <v/>
      </c>
      <c r="BN119">
        <f t="shared" si="43"/>
        <v>0</v>
      </c>
      <c r="BO119">
        <f t="shared" si="44"/>
        <v>0</v>
      </c>
      <c r="BP119">
        <f t="shared" si="45"/>
        <v>0</v>
      </c>
      <c r="BQ119">
        <f t="shared" si="46"/>
        <v>0</v>
      </c>
      <c r="BR119" t="str">
        <f t="shared" si="47"/>
        <v/>
      </c>
      <c r="BS119">
        <f t="shared" si="48"/>
        <v>0</v>
      </c>
      <c r="BT119" s="6">
        <f t="shared" si="49"/>
        <v>0</v>
      </c>
      <c r="BU119">
        <f t="shared" si="50"/>
        <v>0</v>
      </c>
      <c r="BV119" t="str">
        <f t="shared" si="34"/>
        <v/>
      </c>
    </row>
    <row r="120" spans="58:74" x14ac:dyDescent="0.25">
      <c r="BF120">
        <f t="shared" si="35"/>
        <v>0</v>
      </c>
      <c r="BG120">
        <f t="shared" si="36"/>
        <v>0</v>
      </c>
      <c r="BH120">
        <f t="shared" si="37"/>
        <v>0</v>
      </c>
      <c r="BI120">
        <f t="shared" si="38"/>
        <v>0</v>
      </c>
      <c r="BJ120">
        <f t="shared" si="39"/>
        <v>0</v>
      </c>
      <c r="BK120">
        <f t="shared" si="40"/>
        <v>0</v>
      </c>
      <c r="BL120">
        <f t="shared" si="41"/>
        <v>0</v>
      </c>
      <c r="BM120" s="12" t="str">
        <f t="shared" si="42"/>
        <v/>
      </c>
      <c r="BN120">
        <f t="shared" si="43"/>
        <v>0</v>
      </c>
      <c r="BO120">
        <f t="shared" si="44"/>
        <v>0</v>
      </c>
      <c r="BP120">
        <f t="shared" si="45"/>
        <v>0</v>
      </c>
      <c r="BQ120">
        <f t="shared" si="46"/>
        <v>0</v>
      </c>
      <c r="BR120" t="str">
        <f t="shared" si="47"/>
        <v/>
      </c>
      <c r="BS120">
        <f t="shared" si="48"/>
        <v>0</v>
      </c>
      <c r="BT120" s="6">
        <f t="shared" si="49"/>
        <v>0</v>
      </c>
      <c r="BU120">
        <f t="shared" si="50"/>
        <v>0</v>
      </c>
      <c r="BV120" t="str">
        <f t="shared" si="34"/>
        <v/>
      </c>
    </row>
    <row r="121" spans="58:74" x14ac:dyDescent="0.25">
      <c r="BF121">
        <f t="shared" si="35"/>
        <v>0</v>
      </c>
      <c r="BG121">
        <f t="shared" si="36"/>
        <v>0</v>
      </c>
      <c r="BH121">
        <f t="shared" si="37"/>
        <v>0</v>
      </c>
      <c r="BI121">
        <f t="shared" si="38"/>
        <v>0</v>
      </c>
      <c r="BJ121">
        <f t="shared" si="39"/>
        <v>0</v>
      </c>
      <c r="BK121">
        <f t="shared" si="40"/>
        <v>0</v>
      </c>
      <c r="BL121">
        <f t="shared" si="41"/>
        <v>0</v>
      </c>
      <c r="BM121" s="12" t="str">
        <f t="shared" si="42"/>
        <v/>
      </c>
      <c r="BN121">
        <f t="shared" si="43"/>
        <v>0</v>
      </c>
      <c r="BO121">
        <f t="shared" si="44"/>
        <v>0</v>
      </c>
      <c r="BP121">
        <f t="shared" si="45"/>
        <v>0</v>
      </c>
      <c r="BQ121">
        <f t="shared" si="46"/>
        <v>0</v>
      </c>
      <c r="BR121" t="str">
        <f t="shared" si="47"/>
        <v/>
      </c>
      <c r="BS121">
        <f t="shared" si="48"/>
        <v>0</v>
      </c>
      <c r="BT121" s="6">
        <f t="shared" si="49"/>
        <v>0</v>
      </c>
      <c r="BU121">
        <f t="shared" si="50"/>
        <v>0</v>
      </c>
      <c r="BV121" t="str">
        <f t="shared" si="34"/>
        <v/>
      </c>
    </row>
    <row r="122" spans="58:74" x14ac:dyDescent="0.25">
      <c r="BF122">
        <f t="shared" si="35"/>
        <v>0</v>
      </c>
      <c r="BG122">
        <f t="shared" si="36"/>
        <v>0</v>
      </c>
      <c r="BH122">
        <f t="shared" si="37"/>
        <v>0</v>
      </c>
      <c r="BI122">
        <f t="shared" si="38"/>
        <v>0</v>
      </c>
      <c r="BJ122">
        <f t="shared" si="39"/>
        <v>0</v>
      </c>
      <c r="BK122">
        <f t="shared" si="40"/>
        <v>0</v>
      </c>
      <c r="BL122">
        <f t="shared" si="41"/>
        <v>0</v>
      </c>
      <c r="BM122" s="12" t="str">
        <f t="shared" si="42"/>
        <v/>
      </c>
      <c r="BN122">
        <f t="shared" si="43"/>
        <v>0</v>
      </c>
      <c r="BO122">
        <f t="shared" si="44"/>
        <v>0</v>
      </c>
      <c r="BP122">
        <f t="shared" si="45"/>
        <v>0</v>
      </c>
      <c r="BQ122">
        <f t="shared" si="46"/>
        <v>0</v>
      </c>
      <c r="BR122" t="str">
        <f t="shared" si="47"/>
        <v/>
      </c>
      <c r="BS122">
        <f t="shared" si="48"/>
        <v>0</v>
      </c>
      <c r="BT122" s="6">
        <f t="shared" si="49"/>
        <v>0</v>
      </c>
      <c r="BU122">
        <f t="shared" si="50"/>
        <v>0</v>
      </c>
      <c r="BV122" t="str">
        <f t="shared" si="34"/>
        <v/>
      </c>
    </row>
    <row r="123" spans="58:74" x14ac:dyDescent="0.25">
      <c r="BF123">
        <f t="shared" si="35"/>
        <v>0</v>
      </c>
      <c r="BG123">
        <f t="shared" si="36"/>
        <v>0</v>
      </c>
      <c r="BH123">
        <f t="shared" si="37"/>
        <v>0</v>
      </c>
      <c r="BI123">
        <f t="shared" si="38"/>
        <v>0</v>
      </c>
      <c r="BJ123">
        <f t="shared" si="39"/>
        <v>0</v>
      </c>
      <c r="BK123">
        <f t="shared" si="40"/>
        <v>0</v>
      </c>
      <c r="BL123">
        <f t="shared" si="41"/>
        <v>0</v>
      </c>
      <c r="BM123" s="12" t="str">
        <f t="shared" si="42"/>
        <v/>
      </c>
      <c r="BN123">
        <f t="shared" si="43"/>
        <v>0</v>
      </c>
      <c r="BO123">
        <f t="shared" si="44"/>
        <v>0</v>
      </c>
      <c r="BP123">
        <f t="shared" si="45"/>
        <v>0</v>
      </c>
      <c r="BQ123">
        <f t="shared" si="46"/>
        <v>0</v>
      </c>
      <c r="BR123" t="str">
        <f t="shared" si="47"/>
        <v/>
      </c>
      <c r="BS123">
        <f t="shared" si="48"/>
        <v>0</v>
      </c>
      <c r="BT123" s="6">
        <f t="shared" si="49"/>
        <v>0</v>
      </c>
      <c r="BU123">
        <f t="shared" si="50"/>
        <v>0</v>
      </c>
      <c r="BV123" t="str">
        <f t="shared" si="34"/>
        <v/>
      </c>
    </row>
    <row r="124" spans="58:74" x14ac:dyDescent="0.25">
      <c r="BF124">
        <f t="shared" si="35"/>
        <v>0</v>
      </c>
      <c r="BG124">
        <f t="shared" si="36"/>
        <v>0</v>
      </c>
      <c r="BH124">
        <f t="shared" si="37"/>
        <v>0</v>
      </c>
      <c r="BI124">
        <f t="shared" si="38"/>
        <v>0</v>
      </c>
      <c r="BJ124">
        <f t="shared" si="39"/>
        <v>0</v>
      </c>
      <c r="BK124">
        <f t="shared" si="40"/>
        <v>0</v>
      </c>
      <c r="BL124">
        <f t="shared" si="41"/>
        <v>0</v>
      </c>
      <c r="BM124" s="12" t="str">
        <f t="shared" si="42"/>
        <v/>
      </c>
      <c r="BN124">
        <f t="shared" si="43"/>
        <v>0</v>
      </c>
      <c r="BO124">
        <f t="shared" si="44"/>
        <v>0</v>
      </c>
      <c r="BP124">
        <f t="shared" si="45"/>
        <v>0</v>
      </c>
      <c r="BQ124">
        <f t="shared" si="46"/>
        <v>0</v>
      </c>
      <c r="BR124" t="str">
        <f t="shared" si="47"/>
        <v/>
      </c>
      <c r="BS124">
        <f t="shared" si="48"/>
        <v>0</v>
      </c>
      <c r="BT124" s="6">
        <f t="shared" si="49"/>
        <v>0</v>
      </c>
      <c r="BU124">
        <f t="shared" si="50"/>
        <v>0</v>
      </c>
      <c r="BV124" t="str">
        <f t="shared" si="34"/>
        <v/>
      </c>
    </row>
    <row r="125" spans="58:74" x14ac:dyDescent="0.25">
      <c r="BF125">
        <f t="shared" si="35"/>
        <v>0</v>
      </c>
      <c r="BG125">
        <f t="shared" si="36"/>
        <v>0</v>
      </c>
      <c r="BH125">
        <f t="shared" si="37"/>
        <v>0</v>
      </c>
      <c r="BI125">
        <f t="shared" si="38"/>
        <v>0</v>
      </c>
      <c r="BJ125">
        <f t="shared" si="39"/>
        <v>0</v>
      </c>
      <c r="BK125">
        <f t="shared" si="40"/>
        <v>0</v>
      </c>
      <c r="BL125">
        <f t="shared" si="41"/>
        <v>0</v>
      </c>
      <c r="BM125" s="12" t="str">
        <f t="shared" si="42"/>
        <v/>
      </c>
      <c r="BN125">
        <f t="shared" si="43"/>
        <v>0</v>
      </c>
      <c r="BO125">
        <f t="shared" si="44"/>
        <v>0</v>
      </c>
      <c r="BP125">
        <f t="shared" si="45"/>
        <v>0</v>
      </c>
      <c r="BQ125">
        <f t="shared" si="46"/>
        <v>0</v>
      </c>
      <c r="BR125" t="str">
        <f t="shared" si="47"/>
        <v/>
      </c>
      <c r="BS125">
        <f t="shared" si="48"/>
        <v>0</v>
      </c>
      <c r="BT125" s="6">
        <f t="shared" si="49"/>
        <v>0</v>
      </c>
      <c r="BU125">
        <f t="shared" si="50"/>
        <v>0</v>
      </c>
      <c r="BV125" t="str">
        <f t="shared" si="34"/>
        <v/>
      </c>
    </row>
    <row r="126" spans="58:74" x14ac:dyDescent="0.25">
      <c r="BF126">
        <f t="shared" si="35"/>
        <v>0</v>
      </c>
      <c r="BG126">
        <f t="shared" si="36"/>
        <v>0</v>
      </c>
      <c r="BH126">
        <f t="shared" si="37"/>
        <v>0</v>
      </c>
      <c r="BI126">
        <f t="shared" si="38"/>
        <v>0</v>
      </c>
      <c r="BJ126">
        <f t="shared" si="39"/>
        <v>0</v>
      </c>
      <c r="BK126">
        <f t="shared" si="40"/>
        <v>0</v>
      </c>
      <c r="BL126">
        <f t="shared" si="41"/>
        <v>0</v>
      </c>
      <c r="BM126" s="12" t="str">
        <f t="shared" si="42"/>
        <v/>
      </c>
      <c r="BN126">
        <f t="shared" si="43"/>
        <v>0</v>
      </c>
      <c r="BO126">
        <f t="shared" si="44"/>
        <v>0</v>
      </c>
      <c r="BP126">
        <f t="shared" si="45"/>
        <v>0</v>
      </c>
      <c r="BQ126">
        <f t="shared" si="46"/>
        <v>0</v>
      </c>
      <c r="BR126" t="str">
        <f t="shared" si="47"/>
        <v/>
      </c>
      <c r="BS126">
        <f t="shared" si="48"/>
        <v>0</v>
      </c>
      <c r="BT126" s="6">
        <f t="shared" si="49"/>
        <v>0</v>
      </c>
      <c r="BU126">
        <f t="shared" si="50"/>
        <v>0</v>
      </c>
      <c r="BV126" t="str">
        <f t="shared" si="34"/>
        <v/>
      </c>
    </row>
    <row r="127" spans="58:74" x14ac:dyDescent="0.25">
      <c r="BF127">
        <f t="shared" si="35"/>
        <v>0</v>
      </c>
      <c r="BG127">
        <f t="shared" si="36"/>
        <v>0</v>
      </c>
      <c r="BH127">
        <f t="shared" si="37"/>
        <v>0</v>
      </c>
      <c r="BI127">
        <f t="shared" si="38"/>
        <v>0</v>
      </c>
      <c r="BJ127">
        <f t="shared" si="39"/>
        <v>0</v>
      </c>
      <c r="BK127">
        <f t="shared" si="40"/>
        <v>0</v>
      </c>
      <c r="BL127">
        <f t="shared" si="41"/>
        <v>0</v>
      </c>
      <c r="BM127" s="12" t="str">
        <f t="shared" si="42"/>
        <v/>
      </c>
      <c r="BN127">
        <f t="shared" si="43"/>
        <v>0</v>
      </c>
      <c r="BO127">
        <f t="shared" si="44"/>
        <v>0</v>
      </c>
      <c r="BP127">
        <f t="shared" si="45"/>
        <v>0</v>
      </c>
      <c r="BQ127">
        <f t="shared" si="46"/>
        <v>0</v>
      </c>
      <c r="BR127" t="str">
        <f t="shared" si="47"/>
        <v/>
      </c>
      <c r="BS127">
        <f t="shared" si="48"/>
        <v>0</v>
      </c>
      <c r="BT127" s="6">
        <f t="shared" si="49"/>
        <v>0</v>
      </c>
      <c r="BU127">
        <f t="shared" si="50"/>
        <v>0</v>
      </c>
      <c r="BV127" t="str">
        <f t="shared" si="34"/>
        <v/>
      </c>
    </row>
    <row r="128" spans="58:74" x14ac:dyDescent="0.25">
      <c r="BF128">
        <f t="shared" si="35"/>
        <v>0</v>
      </c>
      <c r="BG128">
        <f t="shared" si="36"/>
        <v>0</v>
      </c>
      <c r="BH128">
        <f t="shared" si="37"/>
        <v>0</v>
      </c>
      <c r="BI128">
        <f t="shared" si="38"/>
        <v>0</v>
      </c>
      <c r="BJ128">
        <f t="shared" si="39"/>
        <v>0</v>
      </c>
      <c r="BK128">
        <f t="shared" si="40"/>
        <v>0</v>
      </c>
      <c r="BL128">
        <f t="shared" si="41"/>
        <v>0</v>
      </c>
      <c r="BM128" s="12" t="str">
        <f t="shared" si="42"/>
        <v/>
      </c>
      <c r="BN128">
        <f t="shared" si="43"/>
        <v>0</v>
      </c>
      <c r="BO128">
        <f t="shared" si="44"/>
        <v>0</v>
      </c>
      <c r="BP128">
        <f t="shared" si="45"/>
        <v>0</v>
      </c>
      <c r="BQ128">
        <f t="shared" si="46"/>
        <v>0</v>
      </c>
      <c r="BR128" t="str">
        <f t="shared" si="47"/>
        <v/>
      </c>
      <c r="BS128">
        <f t="shared" si="48"/>
        <v>0</v>
      </c>
      <c r="BT128" s="6">
        <f t="shared" si="49"/>
        <v>0</v>
      </c>
      <c r="BU128">
        <f t="shared" si="50"/>
        <v>0</v>
      </c>
      <c r="BV128" t="str">
        <f t="shared" si="34"/>
        <v/>
      </c>
    </row>
    <row r="129" spans="58:74" x14ac:dyDescent="0.25">
      <c r="BF129">
        <f t="shared" si="35"/>
        <v>0</v>
      </c>
      <c r="BG129">
        <f t="shared" si="36"/>
        <v>0</v>
      </c>
      <c r="BH129">
        <f t="shared" si="37"/>
        <v>0</v>
      </c>
      <c r="BI129">
        <f t="shared" si="38"/>
        <v>0</v>
      </c>
      <c r="BJ129">
        <f t="shared" si="39"/>
        <v>0</v>
      </c>
      <c r="BK129">
        <f t="shared" si="40"/>
        <v>0</v>
      </c>
      <c r="BL129">
        <f t="shared" si="41"/>
        <v>0</v>
      </c>
      <c r="BM129" s="12" t="str">
        <f t="shared" si="42"/>
        <v/>
      </c>
      <c r="BN129">
        <f t="shared" si="43"/>
        <v>0</v>
      </c>
      <c r="BO129">
        <f t="shared" si="44"/>
        <v>0</v>
      </c>
      <c r="BP129">
        <f t="shared" si="45"/>
        <v>0</v>
      </c>
      <c r="BQ129">
        <f t="shared" si="46"/>
        <v>0</v>
      </c>
      <c r="BR129" t="str">
        <f t="shared" si="47"/>
        <v/>
      </c>
      <c r="BS129">
        <f t="shared" si="48"/>
        <v>0</v>
      </c>
      <c r="BT129" s="6">
        <f t="shared" si="49"/>
        <v>0</v>
      </c>
      <c r="BU129">
        <f t="shared" si="50"/>
        <v>0</v>
      </c>
      <c r="BV129" t="str">
        <f t="shared" si="34"/>
        <v/>
      </c>
    </row>
    <row r="130" spans="58:74" x14ac:dyDescent="0.25">
      <c r="BF130">
        <f t="shared" si="35"/>
        <v>0</v>
      </c>
      <c r="BG130">
        <f t="shared" si="36"/>
        <v>0</v>
      </c>
      <c r="BH130">
        <f t="shared" si="37"/>
        <v>0</v>
      </c>
      <c r="BI130">
        <f t="shared" si="38"/>
        <v>0</v>
      </c>
      <c r="BJ130">
        <f t="shared" si="39"/>
        <v>0</v>
      </c>
      <c r="BK130">
        <f t="shared" si="40"/>
        <v>0</v>
      </c>
      <c r="BL130">
        <f t="shared" si="41"/>
        <v>0</v>
      </c>
      <c r="BM130" s="12" t="str">
        <f t="shared" si="42"/>
        <v/>
      </c>
      <c r="BN130">
        <f t="shared" si="43"/>
        <v>0</v>
      </c>
      <c r="BO130">
        <f t="shared" si="44"/>
        <v>0</v>
      </c>
      <c r="BP130">
        <f t="shared" si="45"/>
        <v>0</v>
      </c>
      <c r="BQ130">
        <f t="shared" si="46"/>
        <v>0</v>
      </c>
      <c r="BR130" t="str">
        <f t="shared" si="47"/>
        <v/>
      </c>
      <c r="BS130">
        <f t="shared" si="48"/>
        <v>0</v>
      </c>
      <c r="BT130" s="6">
        <f t="shared" si="49"/>
        <v>0</v>
      </c>
      <c r="BU130">
        <f t="shared" si="50"/>
        <v>0</v>
      </c>
      <c r="BV130" t="str">
        <f t="shared" si="34"/>
        <v/>
      </c>
    </row>
    <row r="131" spans="58:74" x14ac:dyDescent="0.25">
      <c r="BF131">
        <f t="shared" si="35"/>
        <v>0</v>
      </c>
      <c r="BG131">
        <f t="shared" si="36"/>
        <v>0</v>
      </c>
      <c r="BH131">
        <f t="shared" si="37"/>
        <v>0</v>
      </c>
      <c r="BI131">
        <f t="shared" si="38"/>
        <v>0</v>
      </c>
      <c r="BJ131">
        <f t="shared" si="39"/>
        <v>0</v>
      </c>
      <c r="BK131">
        <f t="shared" si="40"/>
        <v>0</v>
      </c>
      <c r="BL131">
        <f t="shared" si="41"/>
        <v>0</v>
      </c>
      <c r="BM131" s="12" t="str">
        <f t="shared" si="42"/>
        <v/>
      </c>
      <c r="BN131">
        <f t="shared" si="43"/>
        <v>0</v>
      </c>
      <c r="BO131">
        <f t="shared" si="44"/>
        <v>0</v>
      </c>
      <c r="BP131">
        <f t="shared" si="45"/>
        <v>0</v>
      </c>
      <c r="BQ131">
        <f t="shared" si="46"/>
        <v>0</v>
      </c>
      <c r="BR131" t="str">
        <f t="shared" si="47"/>
        <v/>
      </c>
      <c r="BS131">
        <f t="shared" si="48"/>
        <v>0</v>
      </c>
      <c r="BT131" s="6">
        <f t="shared" si="49"/>
        <v>0</v>
      </c>
      <c r="BU131">
        <f t="shared" si="50"/>
        <v>0</v>
      </c>
      <c r="BV131" t="str">
        <f t="shared" ref="BV131:BV185" si="51">IF(BU131="V0071","TATA","")</f>
        <v/>
      </c>
    </row>
    <row r="132" spans="58:74" x14ac:dyDescent="0.25">
      <c r="BF132">
        <f t="shared" si="35"/>
        <v>0</v>
      </c>
      <c r="BG132">
        <f t="shared" si="36"/>
        <v>0</v>
      </c>
      <c r="BH132">
        <f t="shared" si="37"/>
        <v>0</v>
      </c>
      <c r="BI132">
        <f t="shared" si="38"/>
        <v>0</v>
      </c>
      <c r="BJ132">
        <f t="shared" si="39"/>
        <v>0</v>
      </c>
      <c r="BK132">
        <f t="shared" si="40"/>
        <v>0</v>
      </c>
      <c r="BL132">
        <f t="shared" si="41"/>
        <v>0</v>
      </c>
      <c r="BM132" s="12" t="str">
        <f t="shared" si="42"/>
        <v/>
      </c>
      <c r="BN132">
        <f t="shared" si="43"/>
        <v>0</v>
      </c>
      <c r="BO132">
        <f t="shared" si="44"/>
        <v>0</v>
      </c>
      <c r="BP132">
        <f t="shared" si="45"/>
        <v>0</v>
      </c>
      <c r="BQ132">
        <f t="shared" si="46"/>
        <v>0</v>
      </c>
      <c r="BR132" t="str">
        <f t="shared" si="47"/>
        <v/>
      </c>
      <c r="BS132">
        <f t="shared" si="48"/>
        <v>0</v>
      </c>
      <c r="BT132" s="6">
        <f t="shared" si="49"/>
        <v>0</v>
      </c>
      <c r="BU132">
        <f t="shared" si="50"/>
        <v>0</v>
      </c>
      <c r="BV132" t="str">
        <f t="shared" si="51"/>
        <v/>
      </c>
    </row>
    <row r="133" spans="58:74" x14ac:dyDescent="0.25">
      <c r="BF133">
        <f t="shared" si="35"/>
        <v>0</v>
      </c>
      <c r="BG133">
        <f t="shared" si="36"/>
        <v>0</v>
      </c>
      <c r="BH133">
        <f t="shared" si="37"/>
        <v>0</v>
      </c>
      <c r="BI133">
        <f t="shared" si="38"/>
        <v>0</v>
      </c>
      <c r="BJ133">
        <f t="shared" si="39"/>
        <v>0</v>
      </c>
      <c r="BK133">
        <f t="shared" si="40"/>
        <v>0</v>
      </c>
      <c r="BL133">
        <f t="shared" si="41"/>
        <v>0</v>
      </c>
      <c r="BM133" s="12" t="str">
        <f t="shared" si="42"/>
        <v/>
      </c>
      <c r="BN133">
        <f t="shared" si="43"/>
        <v>0</v>
      </c>
      <c r="BO133">
        <f t="shared" si="44"/>
        <v>0</v>
      </c>
      <c r="BP133">
        <f t="shared" si="45"/>
        <v>0</v>
      </c>
      <c r="BQ133">
        <f t="shared" si="46"/>
        <v>0</v>
      </c>
      <c r="BR133" t="str">
        <f t="shared" si="47"/>
        <v/>
      </c>
      <c r="BS133">
        <f t="shared" si="48"/>
        <v>0</v>
      </c>
      <c r="BT133" s="6">
        <f t="shared" si="49"/>
        <v>0</v>
      </c>
      <c r="BU133">
        <f t="shared" si="50"/>
        <v>0</v>
      </c>
      <c r="BV133" t="str">
        <f t="shared" si="51"/>
        <v/>
      </c>
    </row>
    <row r="134" spans="58:74" x14ac:dyDescent="0.25">
      <c r="BF134">
        <f t="shared" si="35"/>
        <v>0</v>
      </c>
      <c r="BG134">
        <f t="shared" si="36"/>
        <v>0</v>
      </c>
      <c r="BH134">
        <f t="shared" si="37"/>
        <v>0</v>
      </c>
      <c r="BI134">
        <f t="shared" si="38"/>
        <v>0</v>
      </c>
      <c r="BJ134">
        <f t="shared" si="39"/>
        <v>0</v>
      </c>
      <c r="BK134">
        <f t="shared" si="40"/>
        <v>0</v>
      </c>
      <c r="BL134">
        <f t="shared" si="41"/>
        <v>0</v>
      </c>
      <c r="BM134" s="12" t="str">
        <f t="shared" si="42"/>
        <v/>
      </c>
      <c r="BN134">
        <f t="shared" si="43"/>
        <v>0</v>
      </c>
      <c r="BO134">
        <f t="shared" si="44"/>
        <v>0</v>
      </c>
      <c r="BP134">
        <f t="shared" si="45"/>
        <v>0</v>
      </c>
      <c r="BQ134">
        <f t="shared" si="46"/>
        <v>0</v>
      </c>
      <c r="BR134" t="str">
        <f t="shared" si="47"/>
        <v/>
      </c>
      <c r="BS134">
        <f t="shared" si="48"/>
        <v>0</v>
      </c>
      <c r="BT134" s="6">
        <f t="shared" si="49"/>
        <v>0</v>
      </c>
      <c r="BU134">
        <f t="shared" si="50"/>
        <v>0</v>
      </c>
      <c r="BV134" t="str">
        <f t="shared" si="51"/>
        <v/>
      </c>
    </row>
    <row r="135" spans="58:74" x14ac:dyDescent="0.25">
      <c r="BF135">
        <f t="shared" si="35"/>
        <v>0</v>
      </c>
      <c r="BG135">
        <f t="shared" si="36"/>
        <v>0</v>
      </c>
      <c r="BH135">
        <f t="shared" si="37"/>
        <v>0</v>
      </c>
      <c r="BI135">
        <f t="shared" si="38"/>
        <v>0</v>
      </c>
      <c r="BJ135">
        <f t="shared" si="39"/>
        <v>0</v>
      </c>
      <c r="BK135">
        <f t="shared" si="40"/>
        <v>0</v>
      </c>
      <c r="BL135">
        <f t="shared" si="41"/>
        <v>0</v>
      </c>
      <c r="BM135" s="12" t="str">
        <f t="shared" si="42"/>
        <v/>
      </c>
      <c r="BN135">
        <f t="shared" si="43"/>
        <v>0</v>
      </c>
      <c r="BO135">
        <f t="shared" si="44"/>
        <v>0</v>
      </c>
      <c r="BP135">
        <f t="shared" si="45"/>
        <v>0</v>
      </c>
      <c r="BQ135">
        <f t="shared" si="46"/>
        <v>0</v>
      </c>
      <c r="BR135" t="str">
        <f t="shared" si="47"/>
        <v/>
      </c>
      <c r="BS135">
        <f t="shared" si="48"/>
        <v>0</v>
      </c>
      <c r="BT135" s="6">
        <f t="shared" si="49"/>
        <v>0</v>
      </c>
      <c r="BU135">
        <f t="shared" si="50"/>
        <v>0</v>
      </c>
      <c r="BV135" t="str">
        <f t="shared" si="51"/>
        <v/>
      </c>
    </row>
    <row r="136" spans="58:74" x14ac:dyDescent="0.25">
      <c r="BF136">
        <f t="shared" si="35"/>
        <v>0</v>
      </c>
      <c r="BG136">
        <f t="shared" si="36"/>
        <v>0</v>
      </c>
      <c r="BH136">
        <f t="shared" si="37"/>
        <v>0</v>
      </c>
      <c r="BI136">
        <f t="shared" si="38"/>
        <v>0</v>
      </c>
      <c r="BJ136">
        <f t="shared" si="39"/>
        <v>0</v>
      </c>
      <c r="BK136">
        <f t="shared" si="40"/>
        <v>0</v>
      </c>
      <c r="BL136">
        <f t="shared" si="41"/>
        <v>0</v>
      </c>
      <c r="BM136" s="12" t="str">
        <f t="shared" si="42"/>
        <v/>
      </c>
      <c r="BN136">
        <f t="shared" si="43"/>
        <v>0</v>
      </c>
      <c r="BO136">
        <f t="shared" si="44"/>
        <v>0</v>
      </c>
      <c r="BP136">
        <f t="shared" si="45"/>
        <v>0</v>
      </c>
      <c r="BQ136">
        <f t="shared" si="46"/>
        <v>0</v>
      </c>
      <c r="BR136" t="str">
        <f t="shared" si="47"/>
        <v/>
      </c>
      <c r="BS136">
        <f t="shared" si="48"/>
        <v>0</v>
      </c>
      <c r="BT136" s="6">
        <f t="shared" si="49"/>
        <v>0</v>
      </c>
      <c r="BU136">
        <f t="shared" si="50"/>
        <v>0</v>
      </c>
      <c r="BV136" t="str">
        <f t="shared" si="51"/>
        <v/>
      </c>
    </row>
    <row r="137" spans="58:74" x14ac:dyDescent="0.25">
      <c r="BF137">
        <f t="shared" si="35"/>
        <v>0</v>
      </c>
      <c r="BG137">
        <f t="shared" si="36"/>
        <v>0</v>
      </c>
      <c r="BH137">
        <f t="shared" si="37"/>
        <v>0</v>
      </c>
      <c r="BI137">
        <f t="shared" si="38"/>
        <v>0</v>
      </c>
      <c r="BJ137">
        <f t="shared" si="39"/>
        <v>0</v>
      </c>
      <c r="BK137">
        <f t="shared" si="40"/>
        <v>0</v>
      </c>
      <c r="BL137">
        <f t="shared" si="41"/>
        <v>0</v>
      </c>
      <c r="BM137" s="12" t="str">
        <f t="shared" si="42"/>
        <v/>
      </c>
      <c r="BN137">
        <f t="shared" si="43"/>
        <v>0</v>
      </c>
      <c r="BO137">
        <f t="shared" si="44"/>
        <v>0</v>
      </c>
      <c r="BP137">
        <f t="shared" si="45"/>
        <v>0</v>
      </c>
      <c r="BQ137">
        <f t="shared" si="46"/>
        <v>0</v>
      </c>
      <c r="BR137" t="str">
        <f t="shared" si="47"/>
        <v/>
      </c>
      <c r="BS137">
        <f t="shared" si="48"/>
        <v>0</v>
      </c>
      <c r="BT137" s="6">
        <f t="shared" si="49"/>
        <v>0</v>
      </c>
      <c r="BU137">
        <f t="shared" si="50"/>
        <v>0</v>
      </c>
      <c r="BV137" t="str">
        <f t="shared" si="51"/>
        <v/>
      </c>
    </row>
    <row r="138" spans="58:74" x14ac:dyDescent="0.25">
      <c r="BF138">
        <f t="shared" si="35"/>
        <v>0</v>
      </c>
      <c r="BG138">
        <f t="shared" si="36"/>
        <v>0</v>
      </c>
      <c r="BH138">
        <f t="shared" si="37"/>
        <v>0</v>
      </c>
      <c r="BI138">
        <f t="shared" si="38"/>
        <v>0</v>
      </c>
      <c r="BJ138">
        <f t="shared" si="39"/>
        <v>0</v>
      </c>
      <c r="BK138">
        <f t="shared" si="40"/>
        <v>0</v>
      </c>
      <c r="BL138">
        <f t="shared" si="41"/>
        <v>0</v>
      </c>
      <c r="BM138" s="12" t="str">
        <f t="shared" si="42"/>
        <v/>
      </c>
      <c r="BN138">
        <f t="shared" si="43"/>
        <v>0</v>
      </c>
      <c r="BO138">
        <f t="shared" si="44"/>
        <v>0</v>
      </c>
      <c r="BP138">
        <f t="shared" si="45"/>
        <v>0</v>
      </c>
      <c r="BQ138">
        <f t="shared" si="46"/>
        <v>0</v>
      </c>
      <c r="BR138" t="str">
        <f t="shared" si="47"/>
        <v/>
      </c>
      <c r="BS138">
        <f t="shared" si="48"/>
        <v>0</v>
      </c>
      <c r="BT138" s="6">
        <f t="shared" si="49"/>
        <v>0</v>
      </c>
      <c r="BU138">
        <f t="shared" si="50"/>
        <v>0</v>
      </c>
      <c r="BV138" t="str">
        <f t="shared" si="51"/>
        <v/>
      </c>
    </row>
    <row r="139" spans="58:74" x14ac:dyDescent="0.25">
      <c r="BF139">
        <f t="shared" si="35"/>
        <v>0</v>
      </c>
      <c r="BG139">
        <f t="shared" si="36"/>
        <v>0</v>
      </c>
      <c r="BH139">
        <f t="shared" si="37"/>
        <v>0</v>
      </c>
      <c r="BI139">
        <f t="shared" si="38"/>
        <v>0</v>
      </c>
      <c r="BJ139">
        <f t="shared" si="39"/>
        <v>0</v>
      </c>
      <c r="BK139">
        <f t="shared" si="40"/>
        <v>0</v>
      </c>
      <c r="BL139">
        <f t="shared" si="41"/>
        <v>0</v>
      </c>
      <c r="BM139" s="12" t="str">
        <f t="shared" si="42"/>
        <v/>
      </c>
      <c r="BN139">
        <f t="shared" si="43"/>
        <v>0</v>
      </c>
      <c r="BO139">
        <f t="shared" si="44"/>
        <v>0</v>
      </c>
      <c r="BP139">
        <f t="shared" si="45"/>
        <v>0</v>
      </c>
      <c r="BQ139">
        <f t="shared" si="46"/>
        <v>0</v>
      </c>
      <c r="BR139" t="str">
        <f t="shared" si="47"/>
        <v/>
      </c>
      <c r="BS139">
        <f t="shared" si="48"/>
        <v>0</v>
      </c>
      <c r="BT139" s="6">
        <f t="shared" si="49"/>
        <v>0</v>
      </c>
      <c r="BU139">
        <f t="shared" si="50"/>
        <v>0</v>
      </c>
      <c r="BV139" t="str">
        <f t="shared" si="51"/>
        <v/>
      </c>
    </row>
    <row r="140" spans="58:74" x14ac:dyDescent="0.25">
      <c r="BF140">
        <f t="shared" si="35"/>
        <v>0</v>
      </c>
      <c r="BG140">
        <f t="shared" si="36"/>
        <v>0</v>
      </c>
      <c r="BH140">
        <f t="shared" si="37"/>
        <v>0</v>
      </c>
      <c r="BI140">
        <f t="shared" si="38"/>
        <v>0</v>
      </c>
      <c r="BJ140">
        <f t="shared" si="39"/>
        <v>0</v>
      </c>
      <c r="BK140">
        <f t="shared" si="40"/>
        <v>0</v>
      </c>
      <c r="BL140">
        <f t="shared" si="41"/>
        <v>0</v>
      </c>
      <c r="BM140" s="12" t="str">
        <f t="shared" si="42"/>
        <v/>
      </c>
      <c r="BN140">
        <f t="shared" si="43"/>
        <v>0</v>
      </c>
      <c r="BO140">
        <f t="shared" si="44"/>
        <v>0</v>
      </c>
      <c r="BP140">
        <f t="shared" si="45"/>
        <v>0</v>
      </c>
      <c r="BQ140">
        <f t="shared" si="46"/>
        <v>0</v>
      </c>
      <c r="BR140" t="str">
        <f t="shared" si="47"/>
        <v/>
      </c>
      <c r="BS140">
        <f t="shared" si="48"/>
        <v>0</v>
      </c>
      <c r="BT140" s="6">
        <f t="shared" si="49"/>
        <v>0</v>
      </c>
      <c r="BU140">
        <f t="shared" si="50"/>
        <v>0</v>
      </c>
      <c r="BV140" t="str">
        <f t="shared" si="51"/>
        <v/>
      </c>
    </row>
    <row r="141" spans="58:74" x14ac:dyDescent="0.25">
      <c r="BF141">
        <f t="shared" si="35"/>
        <v>0</v>
      </c>
      <c r="BG141">
        <f t="shared" si="36"/>
        <v>0</v>
      </c>
      <c r="BH141">
        <f t="shared" si="37"/>
        <v>0</v>
      </c>
      <c r="BI141">
        <f t="shared" si="38"/>
        <v>0</v>
      </c>
      <c r="BJ141">
        <f t="shared" si="39"/>
        <v>0</v>
      </c>
      <c r="BK141">
        <f t="shared" si="40"/>
        <v>0</v>
      </c>
      <c r="BL141">
        <f t="shared" si="41"/>
        <v>0</v>
      </c>
      <c r="BM141" s="12" t="str">
        <f t="shared" si="42"/>
        <v/>
      </c>
      <c r="BN141">
        <f t="shared" si="43"/>
        <v>0</v>
      </c>
      <c r="BO141">
        <f t="shared" si="44"/>
        <v>0</v>
      </c>
      <c r="BP141">
        <f t="shared" si="45"/>
        <v>0</v>
      </c>
      <c r="BQ141">
        <f t="shared" si="46"/>
        <v>0</v>
      </c>
      <c r="BR141" t="str">
        <f t="shared" si="47"/>
        <v/>
      </c>
      <c r="BS141">
        <f t="shared" si="48"/>
        <v>0</v>
      </c>
      <c r="BT141" s="6">
        <f t="shared" si="49"/>
        <v>0</v>
      </c>
      <c r="BU141">
        <f t="shared" si="50"/>
        <v>0</v>
      </c>
      <c r="BV141" t="str">
        <f t="shared" si="51"/>
        <v/>
      </c>
    </row>
    <row r="142" spans="58:74" x14ac:dyDescent="0.25">
      <c r="BF142">
        <f t="shared" si="35"/>
        <v>0</v>
      </c>
      <c r="BG142">
        <f t="shared" si="36"/>
        <v>0</v>
      </c>
      <c r="BH142">
        <f t="shared" si="37"/>
        <v>0</v>
      </c>
      <c r="BI142">
        <f t="shared" si="38"/>
        <v>0</v>
      </c>
      <c r="BJ142">
        <f t="shared" si="39"/>
        <v>0</v>
      </c>
      <c r="BK142">
        <f t="shared" si="40"/>
        <v>0</v>
      </c>
      <c r="BL142">
        <f t="shared" si="41"/>
        <v>0</v>
      </c>
      <c r="BM142" s="12" t="str">
        <f t="shared" si="42"/>
        <v/>
      </c>
      <c r="BN142">
        <f t="shared" si="43"/>
        <v>0</v>
      </c>
      <c r="BO142">
        <f t="shared" si="44"/>
        <v>0</v>
      </c>
      <c r="BP142">
        <f t="shared" si="45"/>
        <v>0</v>
      </c>
      <c r="BQ142">
        <f t="shared" si="46"/>
        <v>0</v>
      </c>
      <c r="BR142" t="str">
        <f t="shared" si="47"/>
        <v/>
      </c>
      <c r="BS142">
        <f t="shared" si="48"/>
        <v>0</v>
      </c>
      <c r="BT142" s="6">
        <f t="shared" si="49"/>
        <v>0</v>
      </c>
      <c r="BU142">
        <f t="shared" si="50"/>
        <v>0</v>
      </c>
      <c r="BV142" t="str">
        <f t="shared" si="51"/>
        <v/>
      </c>
    </row>
    <row r="143" spans="58:74" x14ac:dyDescent="0.25">
      <c r="BF143">
        <f t="shared" si="35"/>
        <v>0</v>
      </c>
      <c r="BG143">
        <f t="shared" si="36"/>
        <v>0</v>
      </c>
      <c r="BH143">
        <f t="shared" si="37"/>
        <v>0</v>
      </c>
      <c r="BI143">
        <f t="shared" si="38"/>
        <v>0</v>
      </c>
      <c r="BJ143">
        <f t="shared" si="39"/>
        <v>0</v>
      </c>
      <c r="BK143">
        <f t="shared" si="40"/>
        <v>0</v>
      </c>
      <c r="BL143">
        <f t="shared" si="41"/>
        <v>0</v>
      </c>
      <c r="BM143" s="12" t="str">
        <f t="shared" si="42"/>
        <v/>
      </c>
      <c r="BN143">
        <f t="shared" si="43"/>
        <v>0</v>
      </c>
      <c r="BO143">
        <f t="shared" si="44"/>
        <v>0</v>
      </c>
      <c r="BP143">
        <f t="shared" si="45"/>
        <v>0</v>
      </c>
      <c r="BQ143">
        <f t="shared" si="46"/>
        <v>0</v>
      </c>
      <c r="BR143" t="str">
        <f t="shared" si="47"/>
        <v/>
      </c>
      <c r="BS143">
        <f t="shared" si="48"/>
        <v>0</v>
      </c>
      <c r="BT143" s="6">
        <f t="shared" si="49"/>
        <v>0</v>
      </c>
      <c r="BU143">
        <f t="shared" si="50"/>
        <v>0</v>
      </c>
      <c r="BV143" t="str">
        <f t="shared" si="51"/>
        <v/>
      </c>
    </row>
    <row r="144" spans="58:74" x14ac:dyDescent="0.25">
      <c r="BF144">
        <f t="shared" si="35"/>
        <v>0</v>
      </c>
      <c r="BG144">
        <f t="shared" si="36"/>
        <v>0</v>
      </c>
      <c r="BH144">
        <f t="shared" si="37"/>
        <v>0</v>
      </c>
      <c r="BI144">
        <f t="shared" si="38"/>
        <v>0</v>
      </c>
      <c r="BJ144">
        <f t="shared" si="39"/>
        <v>0</v>
      </c>
      <c r="BK144">
        <f t="shared" si="40"/>
        <v>0</v>
      </c>
      <c r="BL144">
        <f t="shared" si="41"/>
        <v>0</v>
      </c>
      <c r="BM144" s="12" t="str">
        <f t="shared" si="42"/>
        <v/>
      </c>
      <c r="BN144">
        <f t="shared" si="43"/>
        <v>0</v>
      </c>
      <c r="BO144">
        <f t="shared" si="44"/>
        <v>0</v>
      </c>
      <c r="BP144">
        <f t="shared" si="45"/>
        <v>0</v>
      </c>
      <c r="BQ144">
        <f t="shared" si="46"/>
        <v>0</v>
      </c>
      <c r="BR144" t="str">
        <f t="shared" si="47"/>
        <v/>
      </c>
      <c r="BS144">
        <f t="shared" si="48"/>
        <v>0</v>
      </c>
      <c r="BT144" s="6">
        <f t="shared" si="49"/>
        <v>0</v>
      </c>
      <c r="BU144">
        <f t="shared" si="50"/>
        <v>0</v>
      </c>
      <c r="BV144" t="str">
        <f t="shared" si="51"/>
        <v/>
      </c>
    </row>
    <row r="145" spans="58:74" x14ac:dyDescent="0.25">
      <c r="BF145">
        <f t="shared" si="35"/>
        <v>0</v>
      </c>
      <c r="BG145">
        <f t="shared" si="36"/>
        <v>0</v>
      </c>
      <c r="BH145">
        <f t="shared" si="37"/>
        <v>0</v>
      </c>
      <c r="BI145">
        <f t="shared" si="38"/>
        <v>0</v>
      </c>
      <c r="BJ145">
        <f t="shared" si="39"/>
        <v>0</v>
      </c>
      <c r="BK145">
        <f t="shared" si="40"/>
        <v>0</v>
      </c>
      <c r="BL145">
        <f t="shared" si="41"/>
        <v>0</v>
      </c>
      <c r="BM145" s="12" t="str">
        <f t="shared" si="42"/>
        <v/>
      </c>
      <c r="BN145">
        <f t="shared" si="43"/>
        <v>0</v>
      </c>
      <c r="BO145">
        <f t="shared" si="44"/>
        <v>0</v>
      </c>
      <c r="BP145">
        <f t="shared" si="45"/>
        <v>0</v>
      </c>
      <c r="BQ145">
        <f t="shared" si="46"/>
        <v>0</v>
      </c>
      <c r="BR145" t="str">
        <f t="shared" si="47"/>
        <v/>
      </c>
      <c r="BS145">
        <f t="shared" si="48"/>
        <v>0</v>
      </c>
      <c r="BT145" s="6">
        <f t="shared" si="49"/>
        <v>0</v>
      </c>
      <c r="BU145">
        <f t="shared" si="50"/>
        <v>0</v>
      </c>
      <c r="BV145" t="str">
        <f t="shared" si="51"/>
        <v/>
      </c>
    </row>
    <row r="146" spans="58:74" x14ac:dyDescent="0.25">
      <c r="BF146">
        <f t="shared" si="35"/>
        <v>0</v>
      </c>
      <c r="BG146">
        <f t="shared" si="36"/>
        <v>0</v>
      </c>
      <c r="BH146">
        <f t="shared" si="37"/>
        <v>0</v>
      </c>
      <c r="BI146">
        <f t="shared" si="38"/>
        <v>0</v>
      </c>
      <c r="BJ146">
        <f t="shared" si="39"/>
        <v>0</v>
      </c>
      <c r="BK146">
        <f t="shared" si="40"/>
        <v>0</v>
      </c>
      <c r="BL146">
        <f t="shared" si="41"/>
        <v>0</v>
      </c>
      <c r="BM146" s="12" t="str">
        <f t="shared" si="42"/>
        <v/>
      </c>
      <c r="BN146">
        <f t="shared" si="43"/>
        <v>0</v>
      </c>
      <c r="BO146">
        <f t="shared" si="44"/>
        <v>0</v>
      </c>
      <c r="BP146">
        <f t="shared" si="45"/>
        <v>0</v>
      </c>
      <c r="BQ146">
        <f t="shared" si="46"/>
        <v>0</v>
      </c>
      <c r="BR146" t="str">
        <f t="shared" si="47"/>
        <v/>
      </c>
      <c r="BS146">
        <f t="shared" si="48"/>
        <v>0</v>
      </c>
      <c r="BT146" s="6">
        <f t="shared" si="49"/>
        <v>0</v>
      </c>
      <c r="BU146">
        <f t="shared" si="50"/>
        <v>0</v>
      </c>
      <c r="BV146" t="str">
        <f t="shared" si="51"/>
        <v/>
      </c>
    </row>
    <row r="147" spans="58:74" x14ac:dyDescent="0.25">
      <c r="BF147">
        <f t="shared" si="35"/>
        <v>0</v>
      </c>
      <c r="BG147">
        <f t="shared" si="36"/>
        <v>0</v>
      </c>
      <c r="BH147">
        <f t="shared" si="37"/>
        <v>0</v>
      </c>
      <c r="BI147">
        <f t="shared" si="38"/>
        <v>0</v>
      </c>
      <c r="BJ147">
        <f t="shared" si="39"/>
        <v>0</v>
      </c>
      <c r="BK147">
        <f t="shared" si="40"/>
        <v>0</v>
      </c>
      <c r="BL147">
        <f t="shared" si="41"/>
        <v>0</v>
      </c>
      <c r="BM147" s="12" t="str">
        <f t="shared" si="42"/>
        <v/>
      </c>
      <c r="BN147">
        <f t="shared" si="43"/>
        <v>0</v>
      </c>
      <c r="BO147">
        <f t="shared" si="44"/>
        <v>0</v>
      </c>
      <c r="BP147">
        <f t="shared" si="45"/>
        <v>0</v>
      </c>
      <c r="BQ147">
        <f t="shared" si="46"/>
        <v>0</v>
      </c>
      <c r="BR147" t="str">
        <f t="shared" si="47"/>
        <v/>
      </c>
      <c r="BS147">
        <f t="shared" si="48"/>
        <v>0</v>
      </c>
      <c r="BT147" s="6">
        <f t="shared" si="49"/>
        <v>0</v>
      </c>
      <c r="BU147">
        <f t="shared" si="50"/>
        <v>0</v>
      </c>
      <c r="BV147" t="str">
        <f t="shared" si="51"/>
        <v/>
      </c>
    </row>
    <row r="148" spans="58:74" x14ac:dyDescent="0.25">
      <c r="BF148">
        <f t="shared" si="35"/>
        <v>0</v>
      </c>
      <c r="BG148">
        <f t="shared" si="36"/>
        <v>0</v>
      </c>
      <c r="BH148">
        <f t="shared" si="37"/>
        <v>0</v>
      </c>
      <c r="BI148">
        <f t="shared" si="38"/>
        <v>0</v>
      </c>
      <c r="BJ148">
        <f t="shared" si="39"/>
        <v>0</v>
      </c>
      <c r="BK148">
        <f t="shared" si="40"/>
        <v>0</v>
      </c>
      <c r="BL148">
        <f t="shared" si="41"/>
        <v>0</v>
      </c>
      <c r="BM148" s="12" t="str">
        <f t="shared" si="42"/>
        <v/>
      </c>
      <c r="BN148">
        <f t="shared" si="43"/>
        <v>0</v>
      </c>
      <c r="BO148">
        <f t="shared" si="44"/>
        <v>0</v>
      </c>
      <c r="BP148">
        <f t="shared" si="45"/>
        <v>0</v>
      </c>
      <c r="BQ148">
        <f t="shared" si="46"/>
        <v>0</v>
      </c>
      <c r="BR148" t="str">
        <f t="shared" si="47"/>
        <v/>
      </c>
      <c r="BS148">
        <f t="shared" si="48"/>
        <v>0</v>
      </c>
      <c r="BT148" s="6">
        <f t="shared" si="49"/>
        <v>0</v>
      </c>
      <c r="BU148">
        <f t="shared" si="50"/>
        <v>0</v>
      </c>
      <c r="BV148" t="str">
        <f t="shared" si="51"/>
        <v/>
      </c>
    </row>
    <row r="149" spans="58:74" x14ac:dyDescent="0.25">
      <c r="BF149">
        <f t="shared" si="35"/>
        <v>0</v>
      </c>
      <c r="BG149">
        <f t="shared" si="36"/>
        <v>0</v>
      </c>
      <c r="BH149">
        <f t="shared" si="37"/>
        <v>0</v>
      </c>
      <c r="BI149">
        <f t="shared" si="38"/>
        <v>0</v>
      </c>
      <c r="BJ149">
        <f t="shared" si="39"/>
        <v>0</v>
      </c>
      <c r="BK149">
        <f t="shared" si="40"/>
        <v>0</v>
      </c>
      <c r="BL149">
        <f t="shared" si="41"/>
        <v>0</v>
      </c>
      <c r="BM149" s="12" t="str">
        <f t="shared" si="42"/>
        <v/>
      </c>
      <c r="BN149">
        <f t="shared" si="43"/>
        <v>0</v>
      </c>
      <c r="BO149">
        <f t="shared" si="44"/>
        <v>0</v>
      </c>
      <c r="BP149">
        <f t="shared" si="45"/>
        <v>0</v>
      </c>
      <c r="BQ149">
        <f t="shared" si="46"/>
        <v>0</v>
      </c>
      <c r="BR149" t="str">
        <f t="shared" si="47"/>
        <v/>
      </c>
      <c r="BS149">
        <f t="shared" si="48"/>
        <v>0</v>
      </c>
      <c r="BT149" s="6">
        <f t="shared" si="49"/>
        <v>0</v>
      </c>
      <c r="BU149">
        <f t="shared" si="50"/>
        <v>0</v>
      </c>
      <c r="BV149" t="str">
        <f t="shared" si="51"/>
        <v/>
      </c>
    </row>
    <row r="150" spans="58:74" x14ac:dyDescent="0.25">
      <c r="BF150">
        <f t="shared" si="35"/>
        <v>0</v>
      </c>
      <c r="BG150">
        <f t="shared" si="36"/>
        <v>0</v>
      </c>
      <c r="BH150">
        <f t="shared" si="37"/>
        <v>0</v>
      </c>
      <c r="BI150">
        <f t="shared" si="38"/>
        <v>0</v>
      </c>
      <c r="BJ150">
        <f t="shared" si="39"/>
        <v>0</v>
      </c>
      <c r="BK150">
        <f t="shared" si="40"/>
        <v>0</v>
      </c>
      <c r="BL150">
        <f t="shared" si="41"/>
        <v>0</v>
      </c>
      <c r="BM150" s="12" t="str">
        <f t="shared" si="42"/>
        <v/>
      </c>
      <c r="BN150">
        <f t="shared" si="43"/>
        <v>0</v>
      </c>
      <c r="BO150">
        <f t="shared" si="44"/>
        <v>0</v>
      </c>
      <c r="BP150">
        <f t="shared" si="45"/>
        <v>0</v>
      </c>
      <c r="BQ150">
        <f t="shared" si="46"/>
        <v>0</v>
      </c>
      <c r="BR150" t="str">
        <f t="shared" si="47"/>
        <v/>
      </c>
      <c r="BS150">
        <f t="shared" si="48"/>
        <v>0</v>
      </c>
      <c r="BT150" s="6">
        <f t="shared" si="49"/>
        <v>0</v>
      </c>
      <c r="BU150">
        <f t="shared" si="50"/>
        <v>0</v>
      </c>
      <c r="BV150" t="str">
        <f t="shared" si="51"/>
        <v/>
      </c>
    </row>
    <row r="151" spans="58:74" x14ac:dyDescent="0.25">
      <c r="BF151">
        <f t="shared" si="35"/>
        <v>0</v>
      </c>
      <c r="BG151">
        <f t="shared" si="36"/>
        <v>0</v>
      </c>
      <c r="BH151">
        <f t="shared" si="37"/>
        <v>0</v>
      </c>
      <c r="BI151">
        <f t="shared" si="38"/>
        <v>0</v>
      </c>
      <c r="BJ151">
        <f t="shared" si="39"/>
        <v>0</v>
      </c>
      <c r="BK151">
        <f t="shared" si="40"/>
        <v>0</v>
      </c>
      <c r="BL151">
        <f t="shared" si="41"/>
        <v>0</v>
      </c>
      <c r="BM151" s="12" t="str">
        <f t="shared" si="42"/>
        <v/>
      </c>
      <c r="BN151">
        <f t="shared" si="43"/>
        <v>0</v>
      </c>
      <c r="BO151">
        <f t="shared" si="44"/>
        <v>0</v>
      </c>
      <c r="BP151">
        <f t="shared" si="45"/>
        <v>0</v>
      </c>
      <c r="BQ151">
        <f t="shared" si="46"/>
        <v>0</v>
      </c>
      <c r="BR151" t="str">
        <f t="shared" si="47"/>
        <v/>
      </c>
      <c r="BS151">
        <f t="shared" si="48"/>
        <v>0</v>
      </c>
      <c r="BT151" s="6">
        <f t="shared" si="49"/>
        <v>0</v>
      </c>
      <c r="BU151">
        <f t="shared" si="50"/>
        <v>0</v>
      </c>
      <c r="BV151" t="str">
        <f t="shared" si="51"/>
        <v/>
      </c>
    </row>
    <row r="152" spans="58:74" x14ac:dyDescent="0.25">
      <c r="BF152">
        <f t="shared" si="35"/>
        <v>0</v>
      </c>
      <c r="BG152">
        <f t="shared" si="36"/>
        <v>0</v>
      </c>
      <c r="BH152">
        <f t="shared" si="37"/>
        <v>0</v>
      </c>
      <c r="BI152">
        <f t="shared" si="38"/>
        <v>0</v>
      </c>
      <c r="BJ152">
        <f t="shared" si="39"/>
        <v>0</v>
      </c>
      <c r="BK152">
        <f t="shared" si="40"/>
        <v>0</v>
      </c>
      <c r="BL152">
        <f t="shared" si="41"/>
        <v>0</v>
      </c>
      <c r="BM152" s="12" t="str">
        <f t="shared" si="42"/>
        <v/>
      </c>
      <c r="BN152">
        <f t="shared" si="43"/>
        <v>0</v>
      </c>
      <c r="BO152">
        <f t="shared" si="44"/>
        <v>0</v>
      </c>
      <c r="BP152">
        <f t="shared" si="45"/>
        <v>0</v>
      </c>
      <c r="BQ152">
        <f t="shared" si="46"/>
        <v>0</v>
      </c>
      <c r="BR152" t="str">
        <f t="shared" si="47"/>
        <v/>
      </c>
      <c r="BS152">
        <f t="shared" si="48"/>
        <v>0</v>
      </c>
      <c r="BT152" s="6">
        <f t="shared" si="49"/>
        <v>0</v>
      </c>
      <c r="BU152">
        <f t="shared" si="50"/>
        <v>0</v>
      </c>
      <c r="BV152" t="str">
        <f t="shared" si="51"/>
        <v/>
      </c>
    </row>
    <row r="153" spans="58:74" x14ac:dyDescent="0.25">
      <c r="BF153">
        <f t="shared" ref="BF153:BF185" si="52">N153</f>
        <v>0</v>
      </c>
      <c r="BG153">
        <f t="shared" ref="BG153:BG185" si="53">N153</f>
        <v>0</v>
      </c>
      <c r="BH153">
        <f t="shared" ref="BH153:BH185" si="54">T153</f>
        <v>0</v>
      </c>
      <c r="BI153">
        <f t="shared" ref="BI153:BI185" si="55">U153</f>
        <v>0</v>
      </c>
      <c r="BJ153">
        <f t="shared" ref="BJ153:BJ185" si="56">V153</f>
        <v>0</v>
      </c>
      <c r="BK153">
        <f t="shared" ref="BK153:BK185" si="57">I153</f>
        <v>0</v>
      </c>
      <c r="BL153">
        <f t="shared" ref="BL153:BL185" si="58">L153</f>
        <v>0</v>
      </c>
      <c r="BM153" s="12" t="str">
        <f t="shared" ref="BM153:BM185" si="59">SUBSTITUTE(J153,"/",".")</f>
        <v/>
      </c>
      <c r="BN153">
        <f t="shared" ref="BN153:BN185" si="60">Q153*1000</f>
        <v>0</v>
      </c>
      <c r="BO153">
        <f t="shared" ref="BO153:BO185" si="61">P153/1000</f>
        <v>0</v>
      </c>
      <c r="BP153">
        <f t="shared" ref="BP153:BP185" si="62">D153</f>
        <v>0</v>
      </c>
      <c r="BQ153">
        <f t="shared" ref="BQ153:BQ185" si="63">G153</f>
        <v>0</v>
      </c>
      <c r="BR153" t="str">
        <f t="shared" ref="BR153:BR185" si="64">SUBSTITUTE(O153,".","")</f>
        <v/>
      </c>
      <c r="BS153">
        <f t="shared" ref="BS153:BS185" si="65">S153</f>
        <v>0</v>
      </c>
      <c r="BT153" s="6">
        <f t="shared" ref="BT153:BT185" si="66">AJ153</f>
        <v>0</v>
      </c>
      <c r="BU153">
        <f t="shared" ref="BU153:BU185" si="67">AE153</f>
        <v>0</v>
      </c>
      <c r="BV153" t="str">
        <f t="shared" si="51"/>
        <v/>
      </c>
    </row>
    <row r="154" spans="58:74" x14ac:dyDescent="0.25">
      <c r="BF154">
        <f t="shared" si="52"/>
        <v>0</v>
      </c>
      <c r="BG154">
        <f t="shared" si="53"/>
        <v>0</v>
      </c>
      <c r="BH154">
        <f t="shared" si="54"/>
        <v>0</v>
      </c>
      <c r="BI154">
        <f t="shared" si="55"/>
        <v>0</v>
      </c>
      <c r="BJ154">
        <f t="shared" si="56"/>
        <v>0</v>
      </c>
      <c r="BK154">
        <f t="shared" si="57"/>
        <v>0</v>
      </c>
      <c r="BL154">
        <f t="shared" si="58"/>
        <v>0</v>
      </c>
      <c r="BM154" s="12" t="str">
        <f t="shared" si="59"/>
        <v/>
      </c>
      <c r="BN154">
        <f t="shared" si="60"/>
        <v>0</v>
      </c>
      <c r="BO154">
        <f t="shared" si="61"/>
        <v>0</v>
      </c>
      <c r="BP154">
        <f t="shared" si="62"/>
        <v>0</v>
      </c>
      <c r="BQ154">
        <f t="shared" si="63"/>
        <v>0</v>
      </c>
      <c r="BR154" t="str">
        <f t="shared" si="64"/>
        <v/>
      </c>
      <c r="BS154">
        <f t="shared" si="65"/>
        <v>0</v>
      </c>
      <c r="BT154" s="6">
        <f t="shared" si="66"/>
        <v>0</v>
      </c>
      <c r="BU154">
        <f t="shared" si="67"/>
        <v>0</v>
      </c>
      <c r="BV154" t="str">
        <f t="shared" si="51"/>
        <v/>
      </c>
    </row>
    <row r="155" spans="58:74" x14ac:dyDescent="0.25">
      <c r="BF155">
        <f t="shared" si="52"/>
        <v>0</v>
      </c>
      <c r="BG155">
        <f t="shared" si="53"/>
        <v>0</v>
      </c>
      <c r="BH155">
        <f t="shared" si="54"/>
        <v>0</v>
      </c>
      <c r="BI155">
        <f t="shared" si="55"/>
        <v>0</v>
      </c>
      <c r="BJ155">
        <f t="shared" si="56"/>
        <v>0</v>
      </c>
      <c r="BK155">
        <f t="shared" si="57"/>
        <v>0</v>
      </c>
      <c r="BL155">
        <f t="shared" si="58"/>
        <v>0</v>
      </c>
      <c r="BM155" s="12" t="str">
        <f t="shared" si="59"/>
        <v/>
      </c>
      <c r="BN155">
        <f t="shared" si="60"/>
        <v>0</v>
      </c>
      <c r="BO155">
        <f t="shared" si="61"/>
        <v>0</v>
      </c>
      <c r="BP155">
        <f t="shared" si="62"/>
        <v>0</v>
      </c>
      <c r="BQ155">
        <f t="shared" si="63"/>
        <v>0</v>
      </c>
      <c r="BR155" t="str">
        <f t="shared" si="64"/>
        <v/>
      </c>
      <c r="BS155">
        <f t="shared" si="65"/>
        <v>0</v>
      </c>
      <c r="BT155" s="6">
        <f t="shared" si="66"/>
        <v>0</v>
      </c>
      <c r="BU155">
        <f t="shared" si="67"/>
        <v>0</v>
      </c>
      <c r="BV155" t="str">
        <f t="shared" si="51"/>
        <v/>
      </c>
    </row>
    <row r="156" spans="58:74" x14ac:dyDescent="0.25">
      <c r="BF156">
        <f t="shared" si="52"/>
        <v>0</v>
      </c>
      <c r="BG156">
        <f t="shared" si="53"/>
        <v>0</v>
      </c>
      <c r="BH156">
        <f t="shared" si="54"/>
        <v>0</v>
      </c>
      <c r="BI156">
        <f t="shared" si="55"/>
        <v>0</v>
      </c>
      <c r="BJ156">
        <f t="shared" si="56"/>
        <v>0</v>
      </c>
      <c r="BK156">
        <f t="shared" si="57"/>
        <v>0</v>
      </c>
      <c r="BL156">
        <f t="shared" si="58"/>
        <v>0</v>
      </c>
      <c r="BM156" s="12" t="str">
        <f t="shared" si="59"/>
        <v/>
      </c>
      <c r="BN156">
        <f t="shared" si="60"/>
        <v>0</v>
      </c>
      <c r="BO156">
        <f t="shared" si="61"/>
        <v>0</v>
      </c>
      <c r="BP156">
        <f t="shared" si="62"/>
        <v>0</v>
      </c>
      <c r="BQ156">
        <f t="shared" si="63"/>
        <v>0</v>
      </c>
      <c r="BR156" t="str">
        <f t="shared" si="64"/>
        <v/>
      </c>
      <c r="BS156">
        <f t="shared" si="65"/>
        <v>0</v>
      </c>
      <c r="BT156" s="6">
        <f t="shared" si="66"/>
        <v>0</v>
      </c>
      <c r="BU156">
        <f t="shared" si="67"/>
        <v>0</v>
      </c>
      <c r="BV156" t="str">
        <f t="shared" si="51"/>
        <v/>
      </c>
    </row>
    <row r="157" spans="58:74" x14ac:dyDescent="0.25">
      <c r="BF157">
        <f t="shared" si="52"/>
        <v>0</v>
      </c>
      <c r="BG157">
        <f t="shared" si="53"/>
        <v>0</v>
      </c>
      <c r="BH157">
        <f t="shared" si="54"/>
        <v>0</v>
      </c>
      <c r="BI157">
        <f t="shared" si="55"/>
        <v>0</v>
      </c>
      <c r="BJ157">
        <f t="shared" si="56"/>
        <v>0</v>
      </c>
      <c r="BK157">
        <f t="shared" si="57"/>
        <v>0</v>
      </c>
      <c r="BL157">
        <f t="shared" si="58"/>
        <v>0</v>
      </c>
      <c r="BM157" s="12" t="str">
        <f t="shared" si="59"/>
        <v/>
      </c>
      <c r="BN157">
        <f t="shared" si="60"/>
        <v>0</v>
      </c>
      <c r="BO157">
        <f t="shared" si="61"/>
        <v>0</v>
      </c>
      <c r="BP157">
        <f t="shared" si="62"/>
        <v>0</v>
      </c>
      <c r="BQ157">
        <f t="shared" si="63"/>
        <v>0</v>
      </c>
      <c r="BR157" t="str">
        <f t="shared" si="64"/>
        <v/>
      </c>
      <c r="BS157">
        <f t="shared" si="65"/>
        <v>0</v>
      </c>
      <c r="BT157" s="6">
        <f t="shared" si="66"/>
        <v>0</v>
      </c>
      <c r="BU157">
        <f t="shared" si="67"/>
        <v>0</v>
      </c>
      <c r="BV157" t="str">
        <f t="shared" si="51"/>
        <v/>
      </c>
    </row>
    <row r="158" spans="58:74" x14ac:dyDescent="0.25">
      <c r="BF158">
        <f t="shared" si="52"/>
        <v>0</v>
      </c>
      <c r="BG158">
        <f t="shared" si="53"/>
        <v>0</v>
      </c>
      <c r="BH158">
        <f t="shared" si="54"/>
        <v>0</v>
      </c>
      <c r="BI158">
        <f t="shared" si="55"/>
        <v>0</v>
      </c>
      <c r="BJ158">
        <f t="shared" si="56"/>
        <v>0</v>
      </c>
      <c r="BK158">
        <f t="shared" si="57"/>
        <v>0</v>
      </c>
      <c r="BL158">
        <f t="shared" si="58"/>
        <v>0</v>
      </c>
      <c r="BM158" s="12" t="str">
        <f t="shared" si="59"/>
        <v/>
      </c>
      <c r="BN158">
        <f t="shared" si="60"/>
        <v>0</v>
      </c>
      <c r="BO158">
        <f t="shared" si="61"/>
        <v>0</v>
      </c>
      <c r="BP158">
        <f t="shared" si="62"/>
        <v>0</v>
      </c>
      <c r="BQ158">
        <f t="shared" si="63"/>
        <v>0</v>
      </c>
      <c r="BR158" t="str">
        <f t="shared" si="64"/>
        <v/>
      </c>
      <c r="BS158">
        <f t="shared" si="65"/>
        <v>0</v>
      </c>
      <c r="BT158" s="6">
        <f t="shared" si="66"/>
        <v>0</v>
      </c>
      <c r="BU158">
        <f t="shared" si="67"/>
        <v>0</v>
      </c>
      <c r="BV158" t="str">
        <f t="shared" si="51"/>
        <v/>
      </c>
    </row>
    <row r="159" spans="58:74" x14ac:dyDescent="0.25">
      <c r="BF159">
        <f t="shared" si="52"/>
        <v>0</v>
      </c>
      <c r="BG159">
        <f t="shared" si="53"/>
        <v>0</v>
      </c>
      <c r="BH159">
        <f t="shared" si="54"/>
        <v>0</v>
      </c>
      <c r="BI159">
        <f t="shared" si="55"/>
        <v>0</v>
      </c>
      <c r="BJ159">
        <f t="shared" si="56"/>
        <v>0</v>
      </c>
      <c r="BK159">
        <f t="shared" si="57"/>
        <v>0</v>
      </c>
      <c r="BL159">
        <f t="shared" si="58"/>
        <v>0</v>
      </c>
      <c r="BM159" s="12" t="str">
        <f t="shared" si="59"/>
        <v/>
      </c>
      <c r="BN159">
        <f t="shared" si="60"/>
        <v>0</v>
      </c>
      <c r="BO159">
        <f t="shared" si="61"/>
        <v>0</v>
      </c>
      <c r="BP159">
        <f t="shared" si="62"/>
        <v>0</v>
      </c>
      <c r="BQ159">
        <f t="shared" si="63"/>
        <v>0</v>
      </c>
      <c r="BR159" t="str">
        <f t="shared" si="64"/>
        <v/>
      </c>
      <c r="BS159">
        <f t="shared" si="65"/>
        <v>0</v>
      </c>
      <c r="BT159" s="6">
        <f t="shared" si="66"/>
        <v>0</v>
      </c>
      <c r="BU159">
        <f t="shared" si="67"/>
        <v>0</v>
      </c>
      <c r="BV159" t="str">
        <f t="shared" si="51"/>
        <v/>
      </c>
    </row>
    <row r="160" spans="58:74" x14ac:dyDescent="0.25">
      <c r="BF160">
        <f t="shared" si="52"/>
        <v>0</v>
      </c>
      <c r="BG160">
        <f t="shared" si="53"/>
        <v>0</v>
      </c>
      <c r="BH160">
        <f t="shared" si="54"/>
        <v>0</v>
      </c>
      <c r="BI160">
        <f t="shared" si="55"/>
        <v>0</v>
      </c>
      <c r="BJ160">
        <f t="shared" si="56"/>
        <v>0</v>
      </c>
      <c r="BK160">
        <f t="shared" si="57"/>
        <v>0</v>
      </c>
      <c r="BL160">
        <f t="shared" si="58"/>
        <v>0</v>
      </c>
      <c r="BM160" s="12" t="str">
        <f t="shared" si="59"/>
        <v/>
      </c>
      <c r="BN160">
        <f t="shared" si="60"/>
        <v>0</v>
      </c>
      <c r="BO160">
        <f t="shared" si="61"/>
        <v>0</v>
      </c>
      <c r="BP160">
        <f t="shared" si="62"/>
        <v>0</v>
      </c>
      <c r="BQ160">
        <f t="shared" si="63"/>
        <v>0</v>
      </c>
      <c r="BR160" t="str">
        <f t="shared" si="64"/>
        <v/>
      </c>
      <c r="BS160">
        <f t="shared" si="65"/>
        <v>0</v>
      </c>
      <c r="BT160" s="6">
        <f t="shared" si="66"/>
        <v>0</v>
      </c>
      <c r="BU160">
        <f t="shared" si="67"/>
        <v>0</v>
      </c>
      <c r="BV160" t="str">
        <f t="shared" si="51"/>
        <v/>
      </c>
    </row>
    <row r="161" spans="58:74" x14ac:dyDescent="0.25">
      <c r="BF161">
        <f t="shared" si="52"/>
        <v>0</v>
      </c>
      <c r="BG161">
        <f t="shared" si="53"/>
        <v>0</v>
      </c>
      <c r="BH161">
        <f t="shared" si="54"/>
        <v>0</v>
      </c>
      <c r="BI161">
        <f t="shared" si="55"/>
        <v>0</v>
      </c>
      <c r="BJ161">
        <f t="shared" si="56"/>
        <v>0</v>
      </c>
      <c r="BK161">
        <f t="shared" si="57"/>
        <v>0</v>
      </c>
      <c r="BL161">
        <f t="shared" si="58"/>
        <v>0</v>
      </c>
      <c r="BM161" s="12" t="str">
        <f t="shared" si="59"/>
        <v/>
      </c>
      <c r="BN161">
        <f t="shared" si="60"/>
        <v>0</v>
      </c>
      <c r="BO161">
        <f t="shared" si="61"/>
        <v>0</v>
      </c>
      <c r="BP161">
        <f t="shared" si="62"/>
        <v>0</v>
      </c>
      <c r="BQ161">
        <f t="shared" si="63"/>
        <v>0</v>
      </c>
      <c r="BR161" t="str">
        <f t="shared" si="64"/>
        <v/>
      </c>
      <c r="BS161">
        <f t="shared" si="65"/>
        <v>0</v>
      </c>
      <c r="BT161" s="6">
        <f t="shared" si="66"/>
        <v>0</v>
      </c>
      <c r="BU161">
        <f t="shared" si="67"/>
        <v>0</v>
      </c>
      <c r="BV161" t="str">
        <f t="shared" si="51"/>
        <v/>
      </c>
    </row>
    <row r="162" spans="58:74" x14ac:dyDescent="0.25">
      <c r="BF162">
        <f t="shared" si="52"/>
        <v>0</v>
      </c>
      <c r="BG162">
        <f t="shared" si="53"/>
        <v>0</v>
      </c>
      <c r="BH162">
        <f t="shared" si="54"/>
        <v>0</v>
      </c>
      <c r="BI162">
        <f t="shared" si="55"/>
        <v>0</v>
      </c>
      <c r="BJ162">
        <f t="shared" si="56"/>
        <v>0</v>
      </c>
      <c r="BK162">
        <f t="shared" si="57"/>
        <v>0</v>
      </c>
      <c r="BL162">
        <f t="shared" si="58"/>
        <v>0</v>
      </c>
      <c r="BM162" s="12" t="str">
        <f t="shared" si="59"/>
        <v/>
      </c>
      <c r="BN162">
        <f t="shared" si="60"/>
        <v>0</v>
      </c>
      <c r="BO162">
        <f t="shared" si="61"/>
        <v>0</v>
      </c>
      <c r="BP162">
        <f t="shared" si="62"/>
        <v>0</v>
      </c>
      <c r="BQ162">
        <f t="shared" si="63"/>
        <v>0</v>
      </c>
      <c r="BR162" t="str">
        <f t="shared" si="64"/>
        <v/>
      </c>
      <c r="BS162">
        <f t="shared" si="65"/>
        <v>0</v>
      </c>
      <c r="BT162" s="6">
        <f t="shared" si="66"/>
        <v>0</v>
      </c>
      <c r="BU162">
        <f t="shared" si="67"/>
        <v>0</v>
      </c>
      <c r="BV162" t="str">
        <f t="shared" si="51"/>
        <v/>
      </c>
    </row>
    <row r="163" spans="58:74" x14ac:dyDescent="0.25">
      <c r="BF163">
        <f t="shared" si="52"/>
        <v>0</v>
      </c>
      <c r="BG163">
        <f t="shared" si="53"/>
        <v>0</v>
      </c>
      <c r="BH163">
        <f t="shared" si="54"/>
        <v>0</v>
      </c>
      <c r="BI163">
        <f t="shared" si="55"/>
        <v>0</v>
      </c>
      <c r="BJ163">
        <f t="shared" si="56"/>
        <v>0</v>
      </c>
      <c r="BK163">
        <f t="shared" si="57"/>
        <v>0</v>
      </c>
      <c r="BL163">
        <f t="shared" si="58"/>
        <v>0</v>
      </c>
      <c r="BM163" s="12" t="str">
        <f t="shared" si="59"/>
        <v/>
      </c>
      <c r="BN163">
        <f t="shared" si="60"/>
        <v>0</v>
      </c>
      <c r="BO163">
        <f t="shared" si="61"/>
        <v>0</v>
      </c>
      <c r="BP163">
        <f t="shared" si="62"/>
        <v>0</v>
      </c>
      <c r="BQ163">
        <f t="shared" si="63"/>
        <v>0</v>
      </c>
      <c r="BR163" t="str">
        <f t="shared" si="64"/>
        <v/>
      </c>
      <c r="BS163">
        <f t="shared" si="65"/>
        <v>0</v>
      </c>
      <c r="BT163" s="6">
        <f t="shared" si="66"/>
        <v>0</v>
      </c>
      <c r="BU163">
        <f t="shared" si="67"/>
        <v>0</v>
      </c>
      <c r="BV163" t="str">
        <f t="shared" si="51"/>
        <v/>
      </c>
    </row>
    <row r="164" spans="58:74" x14ac:dyDescent="0.25">
      <c r="BF164">
        <f t="shared" si="52"/>
        <v>0</v>
      </c>
      <c r="BG164">
        <f t="shared" si="53"/>
        <v>0</v>
      </c>
      <c r="BH164">
        <f t="shared" si="54"/>
        <v>0</v>
      </c>
      <c r="BI164">
        <f t="shared" si="55"/>
        <v>0</v>
      </c>
      <c r="BJ164">
        <f t="shared" si="56"/>
        <v>0</v>
      </c>
      <c r="BK164">
        <f t="shared" si="57"/>
        <v>0</v>
      </c>
      <c r="BL164">
        <f t="shared" si="58"/>
        <v>0</v>
      </c>
      <c r="BM164" s="12" t="str">
        <f t="shared" si="59"/>
        <v/>
      </c>
      <c r="BN164">
        <f t="shared" si="60"/>
        <v>0</v>
      </c>
      <c r="BO164">
        <f t="shared" si="61"/>
        <v>0</v>
      </c>
      <c r="BP164">
        <f t="shared" si="62"/>
        <v>0</v>
      </c>
      <c r="BQ164">
        <f t="shared" si="63"/>
        <v>0</v>
      </c>
      <c r="BR164" t="str">
        <f t="shared" si="64"/>
        <v/>
      </c>
      <c r="BS164">
        <f t="shared" si="65"/>
        <v>0</v>
      </c>
      <c r="BT164" s="6">
        <f t="shared" si="66"/>
        <v>0</v>
      </c>
      <c r="BU164">
        <f t="shared" si="67"/>
        <v>0</v>
      </c>
      <c r="BV164" t="str">
        <f t="shared" si="51"/>
        <v/>
      </c>
    </row>
    <row r="165" spans="58:74" x14ac:dyDescent="0.25">
      <c r="BF165">
        <f t="shared" si="52"/>
        <v>0</v>
      </c>
      <c r="BG165">
        <f t="shared" si="53"/>
        <v>0</v>
      </c>
      <c r="BH165">
        <f t="shared" si="54"/>
        <v>0</v>
      </c>
      <c r="BI165">
        <f t="shared" si="55"/>
        <v>0</v>
      </c>
      <c r="BJ165">
        <f t="shared" si="56"/>
        <v>0</v>
      </c>
      <c r="BK165">
        <f t="shared" si="57"/>
        <v>0</v>
      </c>
      <c r="BL165">
        <f t="shared" si="58"/>
        <v>0</v>
      </c>
      <c r="BM165" s="12" t="str">
        <f t="shared" si="59"/>
        <v/>
      </c>
      <c r="BN165">
        <f t="shared" si="60"/>
        <v>0</v>
      </c>
      <c r="BO165">
        <f t="shared" si="61"/>
        <v>0</v>
      </c>
      <c r="BP165">
        <f t="shared" si="62"/>
        <v>0</v>
      </c>
      <c r="BQ165">
        <f t="shared" si="63"/>
        <v>0</v>
      </c>
      <c r="BR165" t="str">
        <f t="shared" si="64"/>
        <v/>
      </c>
      <c r="BS165">
        <f t="shared" si="65"/>
        <v>0</v>
      </c>
      <c r="BT165" s="6">
        <f t="shared" si="66"/>
        <v>0</v>
      </c>
      <c r="BU165">
        <f t="shared" si="67"/>
        <v>0</v>
      </c>
      <c r="BV165" t="str">
        <f t="shared" si="51"/>
        <v/>
      </c>
    </row>
    <row r="166" spans="58:74" x14ac:dyDescent="0.25">
      <c r="BF166">
        <f t="shared" si="52"/>
        <v>0</v>
      </c>
      <c r="BG166">
        <f t="shared" si="53"/>
        <v>0</v>
      </c>
      <c r="BH166">
        <f t="shared" si="54"/>
        <v>0</v>
      </c>
      <c r="BI166">
        <f t="shared" si="55"/>
        <v>0</v>
      </c>
      <c r="BJ166">
        <f t="shared" si="56"/>
        <v>0</v>
      </c>
      <c r="BK166">
        <f t="shared" si="57"/>
        <v>0</v>
      </c>
      <c r="BL166">
        <f t="shared" si="58"/>
        <v>0</v>
      </c>
      <c r="BM166" s="12" t="str">
        <f t="shared" si="59"/>
        <v/>
      </c>
      <c r="BN166">
        <f t="shared" si="60"/>
        <v>0</v>
      </c>
      <c r="BO166">
        <f t="shared" si="61"/>
        <v>0</v>
      </c>
      <c r="BP166">
        <f t="shared" si="62"/>
        <v>0</v>
      </c>
      <c r="BQ166">
        <f t="shared" si="63"/>
        <v>0</v>
      </c>
      <c r="BR166" t="str">
        <f t="shared" si="64"/>
        <v/>
      </c>
      <c r="BS166">
        <f t="shared" si="65"/>
        <v>0</v>
      </c>
      <c r="BT166" s="6">
        <f t="shared" si="66"/>
        <v>0</v>
      </c>
      <c r="BU166">
        <f t="shared" si="67"/>
        <v>0</v>
      </c>
      <c r="BV166" t="str">
        <f t="shared" si="51"/>
        <v/>
      </c>
    </row>
    <row r="167" spans="58:74" x14ac:dyDescent="0.25">
      <c r="BF167">
        <f t="shared" si="52"/>
        <v>0</v>
      </c>
      <c r="BG167">
        <f t="shared" si="53"/>
        <v>0</v>
      </c>
      <c r="BH167">
        <f t="shared" si="54"/>
        <v>0</v>
      </c>
      <c r="BI167">
        <f t="shared" si="55"/>
        <v>0</v>
      </c>
      <c r="BJ167">
        <f t="shared" si="56"/>
        <v>0</v>
      </c>
      <c r="BK167">
        <f t="shared" si="57"/>
        <v>0</v>
      </c>
      <c r="BL167">
        <f t="shared" si="58"/>
        <v>0</v>
      </c>
      <c r="BM167" s="12" t="str">
        <f t="shared" si="59"/>
        <v/>
      </c>
      <c r="BN167">
        <f t="shared" si="60"/>
        <v>0</v>
      </c>
      <c r="BO167">
        <f t="shared" si="61"/>
        <v>0</v>
      </c>
      <c r="BP167">
        <f t="shared" si="62"/>
        <v>0</v>
      </c>
      <c r="BQ167">
        <f t="shared" si="63"/>
        <v>0</v>
      </c>
      <c r="BR167" t="str">
        <f t="shared" si="64"/>
        <v/>
      </c>
      <c r="BS167">
        <f t="shared" si="65"/>
        <v>0</v>
      </c>
      <c r="BT167" s="6">
        <f t="shared" si="66"/>
        <v>0</v>
      </c>
      <c r="BU167">
        <f t="shared" si="67"/>
        <v>0</v>
      </c>
      <c r="BV167" t="str">
        <f t="shared" si="51"/>
        <v/>
      </c>
    </row>
    <row r="168" spans="58:74" x14ac:dyDescent="0.25">
      <c r="BF168">
        <f t="shared" si="52"/>
        <v>0</v>
      </c>
      <c r="BG168">
        <f t="shared" si="53"/>
        <v>0</v>
      </c>
      <c r="BH168">
        <f t="shared" si="54"/>
        <v>0</v>
      </c>
      <c r="BI168">
        <f t="shared" si="55"/>
        <v>0</v>
      </c>
      <c r="BJ168">
        <f t="shared" si="56"/>
        <v>0</v>
      </c>
      <c r="BK168">
        <f t="shared" si="57"/>
        <v>0</v>
      </c>
      <c r="BL168">
        <f t="shared" si="58"/>
        <v>0</v>
      </c>
      <c r="BM168" s="12" t="str">
        <f t="shared" si="59"/>
        <v/>
      </c>
      <c r="BN168">
        <f t="shared" si="60"/>
        <v>0</v>
      </c>
      <c r="BO168">
        <f t="shared" si="61"/>
        <v>0</v>
      </c>
      <c r="BP168">
        <f t="shared" si="62"/>
        <v>0</v>
      </c>
      <c r="BQ168">
        <f t="shared" si="63"/>
        <v>0</v>
      </c>
      <c r="BR168" t="str">
        <f t="shared" si="64"/>
        <v/>
      </c>
      <c r="BS168">
        <f t="shared" si="65"/>
        <v>0</v>
      </c>
      <c r="BT168" s="6">
        <f t="shared" si="66"/>
        <v>0</v>
      </c>
      <c r="BU168">
        <f t="shared" si="67"/>
        <v>0</v>
      </c>
      <c r="BV168" t="str">
        <f t="shared" si="51"/>
        <v/>
      </c>
    </row>
    <row r="169" spans="58:74" x14ac:dyDescent="0.25">
      <c r="BF169">
        <f t="shared" si="52"/>
        <v>0</v>
      </c>
      <c r="BG169">
        <f t="shared" si="53"/>
        <v>0</v>
      </c>
      <c r="BH169">
        <f t="shared" si="54"/>
        <v>0</v>
      </c>
      <c r="BI169">
        <f t="shared" si="55"/>
        <v>0</v>
      </c>
      <c r="BJ169">
        <f t="shared" si="56"/>
        <v>0</v>
      </c>
      <c r="BK169">
        <f t="shared" si="57"/>
        <v>0</v>
      </c>
      <c r="BL169">
        <f t="shared" si="58"/>
        <v>0</v>
      </c>
      <c r="BM169" s="12" t="str">
        <f t="shared" si="59"/>
        <v/>
      </c>
      <c r="BN169">
        <f t="shared" si="60"/>
        <v>0</v>
      </c>
      <c r="BO169">
        <f t="shared" si="61"/>
        <v>0</v>
      </c>
      <c r="BP169">
        <f t="shared" si="62"/>
        <v>0</v>
      </c>
      <c r="BQ169">
        <f t="shared" si="63"/>
        <v>0</v>
      </c>
      <c r="BR169" t="str">
        <f t="shared" si="64"/>
        <v/>
      </c>
      <c r="BS169">
        <f t="shared" si="65"/>
        <v>0</v>
      </c>
      <c r="BT169" s="6">
        <f t="shared" si="66"/>
        <v>0</v>
      </c>
      <c r="BU169">
        <f t="shared" si="67"/>
        <v>0</v>
      </c>
      <c r="BV169" t="str">
        <f t="shared" si="51"/>
        <v/>
      </c>
    </row>
    <row r="170" spans="58:74" x14ac:dyDescent="0.25">
      <c r="BF170">
        <f t="shared" si="52"/>
        <v>0</v>
      </c>
      <c r="BG170">
        <f t="shared" si="53"/>
        <v>0</v>
      </c>
      <c r="BH170">
        <f t="shared" si="54"/>
        <v>0</v>
      </c>
      <c r="BI170">
        <f t="shared" si="55"/>
        <v>0</v>
      </c>
      <c r="BJ170">
        <f t="shared" si="56"/>
        <v>0</v>
      </c>
      <c r="BK170">
        <f t="shared" si="57"/>
        <v>0</v>
      </c>
      <c r="BL170">
        <f t="shared" si="58"/>
        <v>0</v>
      </c>
      <c r="BM170" s="12" t="str">
        <f t="shared" si="59"/>
        <v/>
      </c>
      <c r="BN170">
        <f t="shared" si="60"/>
        <v>0</v>
      </c>
      <c r="BO170">
        <f t="shared" si="61"/>
        <v>0</v>
      </c>
      <c r="BP170">
        <f t="shared" si="62"/>
        <v>0</v>
      </c>
      <c r="BQ170">
        <f t="shared" si="63"/>
        <v>0</v>
      </c>
      <c r="BR170" t="str">
        <f t="shared" si="64"/>
        <v/>
      </c>
      <c r="BS170">
        <f t="shared" si="65"/>
        <v>0</v>
      </c>
      <c r="BT170" s="6">
        <f t="shared" si="66"/>
        <v>0</v>
      </c>
      <c r="BU170">
        <f t="shared" si="67"/>
        <v>0</v>
      </c>
      <c r="BV170" t="str">
        <f t="shared" si="51"/>
        <v/>
      </c>
    </row>
    <row r="171" spans="58:74" x14ac:dyDescent="0.25">
      <c r="BF171">
        <f t="shared" si="52"/>
        <v>0</v>
      </c>
      <c r="BG171">
        <f t="shared" si="53"/>
        <v>0</v>
      </c>
      <c r="BH171">
        <f t="shared" si="54"/>
        <v>0</v>
      </c>
      <c r="BI171">
        <f t="shared" si="55"/>
        <v>0</v>
      </c>
      <c r="BJ171">
        <f t="shared" si="56"/>
        <v>0</v>
      </c>
      <c r="BK171">
        <f t="shared" si="57"/>
        <v>0</v>
      </c>
      <c r="BL171">
        <f t="shared" si="58"/>
        <v>0</v>
      </c>
      <c r="BM171" s="12" t="str">
        <f t="shared" si="59"/>
        <v/>
      </c>
      <c r="BN171">
        <f t="shared" si="60"/>
        <v>0</v>
      </c>
      <c r="BO171">
        <f t="shared" si="61"/>
        <v>0</v>
      </c>
      <c r="BP171">
        <f t="shared" si="62"/>
        <v>0</v>
      </c>
      <c r="BQ171">
        <f t="shared" si="63"/>
        <v>0</v>
      </c>
      <c r="BR171" t="str">
        <f t="shared" si="64"/>
        <v/>
      </c>
      <c r="BS171">
        <f t="shared" si="65"/>
        <v>0</v>
      </c>
      <c r="BT171" s="6">
        <f t="shared" si="66"/>
        <v>0</v>
      </c>
      <c r="BU171">
        <f t="shared" si="67"/>
        <v>0</v>
      </c>
      <c r="BV171" t="str">
        <f t="shared" si="51"/>
        <v/>
      </c>
    </row>
    <row r="172" spans="58:74" x14ac:dyDescent="0.25">
      <c r="BF172">
        <f t="shared" si="52"/>
        <v>0</v>
      </c>
      <c r="BG172">
        <f t="shared" si="53"/>
        <v>0</v>
      </c>
      <c r="BH172">
        <f t="shared" si="54"/>
        <v>0</v>
      </c>
      <c r="BI172">
        <f t="shared" si="55"/>
        <v>0</v>
      </c>
      <c r="BJ172">
        <f t="shared" si="56"/>
        <v>0</v>
      </c>
      <c r="BK172">
        <f t="shared" si="57"/>
        <v>0</v>
      </c>
      <c r="BL172">
        <f t="shared" si="58"/>
        <v>0</v>
      </c>
      <c r="BM172" s="12" t="str">
        <f t="shared" si="59"/>
        <v/>
      </c>
      <c r="BN172">
        <f t="shared" si="60"/>
        <v>0</v>
      </c>
      <c r="BO172">
        <f t="shared" si="61"/>
        <v>0</v>
      </c>
      <c r="BP172">
        <f t="shared" si="62"/>
        <v>0</v>
      </c>
      <c r="BQ172">
        <f t="shared" si="63"/>
        <v>0</v>
      </c>
      <c r="BR172" t="str">
        <f t="shared" si="64"/>
        <v/>
      </c>
      <c r="BS172">
        <f t="shared" si="65"/>
        <v>0</v>
      </c>
      <c r="BT172" s="6">
        <f t="shared" si="66"/>
        <v>0</v>
      </c>
      <c r="BU172">
        <f t="shared" si="67"/>
        <v>0</v>
      </c>
      <c r="BV172" t="str">
        <f t="shared" si="51"/>
        <v/>
      </c>
    </row>
    <row r="173" spans="58:74" x14ac:dyDescent="0.25">
      <c r="BF173">
        <f t="shared" si="52"/>
        <v>0</v>
      </c>
      <c r="BG173">
        <f t="shared" si="53"/>
        <v>0</v>
      </c>
      <c r="BH173">
        <f t="shared" si="54"/>
        <v>0</v>
      </c>
      <c r="BI173">
        <f t="shared" si="55"/>
        <v>0</v>
      </c>
      <c r="BJ173">
        <f t="shared" si="56"/>
        <v>0</v>
      </c>
      <c r="BK173">
        <f t="shared" si="57"/>
        <v>0</v>
      </c>
      <c r="BL173">
        <f t="shared" si="58"/>
        <v>0</v>
      </c>
      <c r="BM173" s="12" t="str">
        <f t="shared" si="59"/>
        <v/>
      </c>
      <c r="BN173">
        <f t="shared" si="60"/>
        <v>0</v>
      </c>
      <c r="BO173">
        <f t="shared" si="61"/>
        <v>0</v>
      </c>
      <c r="BP173">
        <f t="shared" si="62"/>
        <v>0</v>
      </c>
      <c r="BQ173">
        <f t="shared" si="63"/>
        <v>0</v>
      </c>
      <c r="BR173" t="str">
        <f t="shared" si="64"/>
        <v/>
      </c>
      <c r="BS173">
        <f t="shared" si="65"/>
        <v>0</v>
      </c>
      <c r="BT173" s="6">
        <f t="shared" si="66"/>
        <v>0</v>
      </c>
      <c r="BU173">
        <f t="shared" si="67"/>
        <v>0</v>
      </c>
      <c r="BV173" t="str">
        <f t="shared" si="51"/>
        <v/>
      </c>
    </row>
    <row r="174" spans="58:74" x14ac:dyDescent="0.25">
      <c r="BF174">
        <f t="shared" si="52"/>
        <v>0</v>
      </c>
      <c r="BG174">
        <f t="shared" si="53"/>
        <v>0</v>
      </c>
      <c r="BH174">
        <f t="shared" si="54"/>
        <v>0</v>
      </c>
      <c r="BI174">
        <f t="shared" si="55"/>
        <v>0</v>
      </c>
      <c r="BJ174">
        <f t="shared" si="56"/>
        <v>0</v>
      </c>
      <c r="BK174">
        <f t="shared" si="57"/>
        <v>0</v>
      </c>
      <c r="BL174">
        <f t="shared" si="58"/>
        <v>0</v>
      </c>
      <c r="BM174" s="12" t="str">
        <f t="shared" si="59"/>
        <v/>
      </c>
      <c r="BN174">
        <f t="shared" si="60"/>
        <v>0</v>
      </c>
      <c r="BO174">
        <f t="shared" si="61"/>
        <v>0</v>
      </c>
      <c r="BP174">
        <f t="shared" si="62"/>
        <v>0</v>
      </c>
      <c r="BQ174">
        <f t="shared" si="63"/>
        <v>0</v>
      </c>
      <c r="BR174" t="str">
        <f t="shared" si="64"/>
        <v/>
      </c>
      <c r="BS174">
        <f t="shared" si="65"/>
        <v>0</v>
      </c>
      <c r="BT174" s="6">
        <f t="shared" si="66"/>
        <v>0</v>
      </c>
      <c r="BU174">
        <f t="shared" si="67"/>
        <v>0</v>
      </c>
      <c r="BV174" t="str">
        <f t="shared" si="51"/>
        <v/>
      </c>
    </row>
    <row r="175" spans="58:74" x14ac:dyDescent="0.25">
      <c r="BF175">
        <f t="shared" si="52"/>
        <v>0</v>
      </c>
      <c r="BG175">
        <f t="shared" si="53"/>
        <v>0</v>
      </c>
      <c r="BH175">
        <f t="shared" si="54"/>
        <v>0</v>
      </c>
      <c r="BI175">
        <f t="shared" si="55"/>
        <v>0</v>
      </c>
      <c r="BJ175">
        <f t="shared" si="56"/>
        <v>0</v>
      </c>
      <c r="BK175">
        <f t="shared" si="57"/>
        <v>0</v>
      </c>
      <c r="BL175">
        <f t="shared" si="58"/>
        <v>0</v>
      </c>
      <c r="BM175" s="12" t="str">
        <f t="shared" si="59"/>
        <v/>
      </c>
      <c r="BN175">
        <f t="shared" si="60"/>
        <v>0</v>
      </c>
      <c r="BO175">
        <f t="shared" si="61"/>
        <v>0</v>
      </c>
      <c r="BP175">
        <f t="shared" si="62"/>
        <v>0</v>
      </c>
      <c r="BQ175">
        <f t="shared" si="63"/>
        <v>0</v>
      </c>
      <c r="BR175" t="str">
        <f t="shared" si="64"/>
        <v/>
      </c>
      <c r="BS175">
        <f t="shared" si="65"/>
        <v>0</v>
      </c>
      <c r="BT175" s="6">
        <f t="shared" si="66"/>
        <v>0</v>
      </c>
      <c r="BU175">
        <f t="shared" si="67"/>
        <v>0</v>
      </c>
      <c r="BV175" t="str">
        <f t="shared" si="51"/>
        <v/>
      </c>
    </row>
    <row r="176" spans="58:74" x14ac:dyDescent="0.25">
      <c r="BF176">
        <f t="shared" si="52"/>
        <v>0</v>
      </c>
      <c r="BG176">
        <f t="shared" si="53"/>
        <v>0</v>
      </c>
      <c r="BH176">
        <f t="shared" si="54"/>
        <v>0</v>
      </c>
      <c r="BI176">
        <f t="shared" si="55"/>
        <v>0</v>
      </c>
      <c r="BJ176">
        <f t="shared" si="56"/>
        <v>0</v>
      </c>
      <c r="BK176">
        <f t="shared" si="57"/>
        <v>0</v>
      </c>
      <c r="BL176">
        <f t="shared" si="58"/>
        <v>0</v>
      </c>
      <c r="BM176" s="12" t="str">
        <f t="shared" si="59"/>
        <v/>
      </c>
      <c r="BN176">
        <f t="shared" si="60"/>
        <v>0</v>
      </c>
      <c r="BO176">
        <f t="shared" si="61"/>
        <v>0</v>
      </c>
      <c r="BP176">
        <f t="shared" si="62"/>
        <v>0</v>
      </c>
      <c r="BQ176">
        <f t="shared" si="63"/>
        <v>0</v>
      </c>
      <c r="BR176" t="str">
        <f t="shared" si="64"/>
        <v/>
      </c>
      <c r="BS176">
        <f t="shared" si="65"/>
        <v>0</v>
      </c>
      <c r="BT176" s="6">
        <f t="shared" si="66"/>
        <v>0</v>
      </c>
      <c r="BU176">
        <f t="shared" si="67"/>
        <v>0</v>
      </c>
      <c r="BV176" t="str">
        <f t="shared" si="51"/>
        <v/>
      </c>
    </row>
    <row r="177" spans="58:74" x14ac:dyDescent="0.25">
      <c r="BF177">
        <f t="shared" si="52"/>
        <v>0</v>
      </c>
      <c r="BG177">
        <f t="shared" si="53"/>
        <v>0</v>
      </c>
      <c r="BH177">
        <f t="shared" si="54"/>
        <v>0</v>
      </c>
      <c r="BI177">
        <f t="shared" si="55"/>
        <v>0</v>
      </c>
      <c r="BJ177">
        <f t="shared" si="56"/>
        <v>0</v>
      </c>
      <c r="BK177">
        <f t="shared" si="57"/>
        <v>0</v>
      </c>
      <c r="BL177">
        <f t="shared" si="58"/>
        <v>0</v>
      </c>
      <c r="BM177" s="12" t="str">
        <f t="shared" si="59"/>
        <v/>
      </c>
      <c r="BN177">
        <f t="shared" si="60"/>
        <v>0</v>
      </c>
      <c r="BO177">
        <f t="shared" si="61"/>
        <v>0</v>
      </c>
      <c r="BP177">
        <f t="shared" si="62"/>
        <v>0</v>
      </c>
      <c r="BQ177">
        <f t="shared" si="63"/>
        <v>0</v>
      </c>
      <c r="BR177" t="str">
        <f t="shared" si="64"/>
        <v/>
      </c>
      <c r="BS177">
        <f t="shared" si="65"/>
        <v>0</v>
      </c>
      <c r="BT177" s="6">
        <f t="shared" si="66"/>
        <v>0</v>
      </c>
      <c r="BU177">
        <f t="shared" si="67"/>
        <v>0</v>
      </c>
      <c r="BV177" t="str">
        <f t="shared" si="51"/>
        <v/>
      </c>
    </row>
    <row r="178" spans="58:74" x14ac:dyDescent="0.25">
      <c r="BF178">
        <f t="shared" si="52"/>
        <v>0</v>
      </c>
      <c r="BG178">
        <f t="shared" si="53"/>
        <v>0</v>
      </c>
      <c r="BH178">
        <f t="shared" si="54"/>
        <v>0</v>
      </c>
      <c r="BI178">
        <f t="shared" si="55"/>
        <v>0</v>
      </c>
      <c r="BJ178">
        <f t="shared" si="56"/>
        <v>0</v>
      </c>
      <c r="BK178">
        <f t="shared" si="57"/>
        <v>0</v>
      </c>
      <c r="BL178">
        <f t="shared" si="58"/>
        <v>0</v>
      </c>
      <c r="BM178" s="12" t="str">
        <f t="shared" si="59"/>
        <v/>
      </c>
      <c r="BN178">
        <f t="shared" si="60"/>
        <v>0</v>
      </c>
      <c r="BO178">
        <f t="shared" si="61"/>
        <v>0</v>
      </c>
      <c r="BP178">
        <f t="shared" si="62"/>
        <v>0</v>
      </c>
      <c r="BQ178">
        <f t="shared" si="63"/>
        <v>0</v>
      </c>
      <c r="BR178" t="str">
        <f t="shared" si="64"/>
        <v/>
      </c>
      <c r="BS178">
        <f t="shared" si="65"/>
        <v>0</v>
      </c>
      <c r="BT178" s="6">
        <f t="shared" si="66"/>
        <v>0</v>
      </c>
      <c r="BU178">
        <f t="shared" si="67"/>
        <v>0</v>
      </c>
      <c r="BV178" t="str">
        <f t="shared" si="51"/>
        <v/>
      </c>
    </row>
    <row r="179" spans="58:74" x14ac:dyDescent="0.25">
      <c r="BF179">
        <f t="shared" si="52"/>
        <v>0</v>
      </c>
      <c r="BG179">
        <f t="shared" si="53"/>
        <v>0</v>
      </c>
      <c r="BH179">
        <f t="shared" si="54"/>
        <v>0</v>
      </c>
      <c r="BI179">
        <f t="shared" si="55"/>
        <v>0</v>
      </c>
      <c r="BJ179">
        <f t="shared" si="56"/>
        <v>0</v>
      </c>
      <c r="BK179">
        <f t="shared" si="57"/>
        <v>0</v>
      </c>
      <c r="BL179">
        <f t="shared" si="58"/>
        <v>0</v>
      </c>
      <c r="BM179" s="12" t="str">
        <f t="shared" si="59"/>
        <v/>
      </c>
      <c r="BN179">
        <f t="shared" si="60"/>
        <v>0</v>
      </c>
      <c r="BO179">
        <f t="shared" si="61"/>
        <v>0</v>
      </c>
      <c r="BP179">
        <f t="shared" si="62"/>
        <v>0</v>
      </c>
      <c r="BQ179">
        <f t="shared" si="63"/>
        <v>0</v>
      </c>
      <c r="BR179" t="str">
        <f t="shared" si="64"/>
        <v/>
      </c>
      <c r="BS179">
        <f t="shared" si="65"/>
        <v>0</v>
      </c>
      <c r="BT179" s="6">
        <f t="shared" si="66"/>
        <v>0</v>
      </c>
      <c r="BU179">
        <f t="shared" si="67"/>
        <v>0</v>
      </c>
      <c r="BV179" t="str">
        <f t="shared" si="51"/>
        <v/>
      </c>
    </row>
    <row r="180" spans="58:74" x14ac:dyDescent="0.25">
      <c r="BF180">
        <f t="shared" si="52"/>
        <v>0</v>
      </c>
      <c r="BG180">
        <f t="shared" si="53"/>
        <v>0</v>
      </c>
      <c r="BH180">
        <f t="shared" si="54"/>
        <v>0</v>
      </c>
      <c r="BI180">
        <f t="shared" si="55"/>
        <v>0</v>
      </c>
      <c r="BJ180">
        <f t="shared" si="56"/>
        <v>0</v>
      </c>
      <c r="BK180">
        <f t="shared" si="57"/>
        <v>0</v>
      </c>
      <c r="BL180">
        <f t="shared" si="58"/>
        <v>0</v>
      </c>
      <c r="BM180" s="12" t="str">
        <f t="shared" si="59"/>
        <v/>
      </c>
      <c r="BN180">
        <f t="shared" si="60"/>
        <v>0</v>
      </c>
      <c r="BO180">
        <f t="shared" si="61"/>
        <v>0</v>
      </c>
      <c r="BP180">
        <f t="shared" si="62"/>
        <v>0</v>
      </c>
      <c r="BQ180">
        <f t="shared" si="63"/>
        <v>0</v>
      </c>
      <c r="BR180" t="str">
        <f t="shared" si="64"/>
        <v/>
      </c>
      <c r="BS180">
        <f t="shared" si="65"/>
        <v>0</v>
      </c>
      <c r="BT180" s="6">
        <f t="shared" si="66"/>
        <v>0</v>
      </c>
      <c r="BU180">
        <f t="shared" si="67"/>
        <v>0</v>
      </c>
      <c r="BV180" t="str">
        <f t="shared" si="51"/>
        <v/>
      </c>
    </row>
    <row r="181" spans="58:74" x14ac:dyDescent="0.25">
      <c r="BF181">
        <f t="shared" si="52"/>
        <v>0</v>
      </c>
      <c r="BG181">
        <f t="shared" si="53"/>
        <v>0</v>
      </c>
      <c r="BH181">
        <f t="shared" si="54"/>
        <v>0</v>
      </c>
      <c r="BI181">
        <f t="shared" si="55"/>
        <v>0</v>
      </c>
      <c r="BJ181">
        <f t="shared" si="56"/>
        <v>0</v>
      </c>
      <c r="BK181">
        <f t="shared" si="57"/>
        <v>0</v>
      </c>
      <c r="BL181">
        <f t="shared" si="58"/>
        <v>0</v>
      </c>
      <c r="BM181" s="12" t="str">
        <f t="shared" si="59"/>
        <v/>
      </c>
      <c r="BN181">
        <f t="shared" si="60"/>
        <v>0</v>
      </c>
      <c r="BO181">
        <f t="shared" si="61"/>
        <v>0</v>
      </c>
      <c r="BP181">
        <f t="shared" si="62"/>
        <v>0</v>
      </c>
      <c r="BQ181">
        <f t="shared" si="63"/>
        <v>0</v>
      </c>
      <c r="BR181" t="str">
        <f t="shared" si="64"/>
        <v/>
      </c>
      <c r="BS181">
        <f t="shared" si="65"/>
        <v>0</v>
      </c>
      <c r="BT181" s="6">
        <f t="shared" si="66"/>
        <v>0</v>
      </c>
      <c r="BU181">
        <f t="shared" si="67"/>
        <v>0</v>
      </c>
      <c r="BV181" t="str">
        <f t="shared" si="51"/>
        <v/>
      </c>
    </row>
    <row r="182" spans="58:74" x14ac:dyDescent="0.25">
      <c r="BF182">
        <f t="shared" si="52"/>
        <v>0</v>
      </c>
      <c r="BG182">
        <f t="shared" si="53"/>
        <v>0</v>
      </c>
      <c r="BH182">
        <f t="shared" si="54"/>
        <v>0</v>
      </c>
      <c r="BI182">
        <f t="shared" si="55"/>
        <v>0</v>
      </c>
      <c r="BJ182">
        <f t="shared" si="56"/>
        <v>0</v>
      </c>
      <c r="BK182">
        <f t="shared" si="57"/>
        <v>0</v>
      </c>
      <c r="BL182">
        <f t="shared" si="58"/>
        <v>0</v>
      </c>
      <c r="BM182" s="12" t="str">
        <f t="shared" si="59"/>
        <v/>
      </c>
      <c r="BN182">
        <f t="shared" si="60"/>
        <v>0</v>
      </c>
      <c r="BO182">
        <f t="shared" si="61"/>
        <v>0</v>
      </c>
      <c r="BP182">
        <f t="shared" si="62"/>
        <v>0</v>
      </c>
      <c r="BQ182">
        <f t="shared" si="63"/>
        <v>0</v>
      </c>
      <c r="BR182" t="str">
        <f t="shared" si="64"/>
        <v/>
      </c>
      <c r="BS182">
        <f t="shared" si="65"/>
        <v>0</v>
      </c>
      <c r="BT182" s="6">
        <f t="shared" si="66"/>
        <v>0</v>
      </c>
      <c r="BU182">
        <f t="shared" si="67"/>
        <v>0</v>
      </c>
      <c r="BV182" t="str">
        <f t="shared" si="51"/>
        <v/>
      </c>
    </row>
    <row r="183" spans="58:74" x14ac:dyDescent="0.25">
      <c r="BF183">
        <f t="shared" si="52"/>
        <v>0</v>
      </c>
      <c r="BG183">
        <f t="shared" si="53"/>
        <v>0</v>
      </c>
      <c r="BH183">
        <f t="shared" si="54"/>
        <v>0</v>
      </c>
      <c r="BI183">
        <f t="shared" si="55"/>
        <v>0</v>
      </c>
      <c r="BJ183">
        <f t="shared" si="56"/>
        <v>0</v>
      </c>
      <c r="BK183">
        <f t="shared" si="57"/>
        <v>0</v>
      </c>
      <c r="BL183">
        <f t="shared" si="58"/>
        <v>0</v>
      </c>
      <c r="BM183" s="12" t="str">
        <f t="shared" si="59"/>
        <v/>
      </c>
      <c r="BN183">
        <f t="shared" si="60"/>
        <v>0</v>
      </c>
      <c r="BO183">
        <f t="shared" si="61"/>
        <v>0</v>
      </c>
      <c r="BP183">
        <f t="shared" si="62"/>
        <v>0</v>
      </c>
      <c r="BQ183">
        <f t="shared" si="63"/>
        <v>0</v>
      </c>
      <c r="BR183" t="str">
        <f t="shared" si="64"/>
        <v/>
      </c>
      <c r="BS183">
        <f t="shared" si="65"/>
        <v>0</v>
      </c>
      <c r="BT183" s="6">
        <f t="shared" si="66"/>
        <v>0</v>
      </c>
      <c r="BU183">
        <f t="shared" si="67"/>
        <v>0</v>
      </c>
      <c r="BV183" t="str">
        <f t="shared" si="51"/>
        <v/>
      </c>
    </row>
    <row r="184" spans="58:74" x14ac:dyDescent="0.25">
      <c r="BF184">
        <f t="shared" si="52"/>
        <v>0</v>
      </c>
      <c r="BG184">
        <f t="shared" si="53"/>
        <v>0</v>
      </c>
      <c r="BH184">
        <f t="shared" si="54"/>
        <v>0</v>
      </c>
      <c r="BI184">
        <f t="shared" si="55"/>
        <v>0</v>
      </c>
      <c r="BJ184">
        <f t="shared" si="56"/>
        <v>0</v>
      </c>
      <c r="BK184">
        <f t="shared" si="57"/>
        <v>0</v>
      </c>
      <c r="BL184">
        <f t="shared" si="58"/>
        <v>0</v>
      </c>
      <c r="BM184" s="12" t="str">
        <f t="shared" si="59"/>
        <v/>
      </c>
      <c r="BN184">
        <f t="shared" si="60"/>
        <v>0</v>
      </c>
      <c r="BO184">
        <f t="shared" si="61"/>
        <v>0</v>
      </c>
      <c r="BP184">
        <f t="shared" si="62"/>
        <v>0</v>
      </c>
      <c r="BQ184">
        <f t="shared" si="63"/>
        <v>0</v>
      </c>
      <c r="BR184" t="str">
        <f t="shared" si="64"/>
        <v/>
      </c>
      <c r="BS184">
        <f t="shared" si="65"/>
        <v>0</v>
      </c>
      <c r="BT184" s="6">
        <f t="shared" si="66"/>
        <v>0</v>
      </c>
      <c r="BU184">
        <f t="shared" si="67"/>
        <v>0</v>
      </c>
      <c r="BV184" t="str">
        <f t="shared" si="51"/>
        <v/>
      </c>
    </row>
    <row r="185" spans="58:74" x14ac:dyDescent="0.25">
      <c r="BF185">
        <f t="shared" si="52"/>
        <v>0</v>
      </c>
      <c r="BG185">
        <f t="shared" si="53"/>
        <v>0</v>
      </c>
      <c r="BH185">
        <f t="shared" si="54"/>
        <v>0</v>
      </c>
      <c r="BI185">
        <f t="shared" si="55"/>
        <v>0</v>
      </c>
      <c r="BJ185">
        <f t="shared" si="56"/>
        <v>0</v>
      </c>
      <c r="BK185">
        <f t="shared" si="57"/>
        <v>0</v>
      </c>
      <c r="BL185">
        <f t="shared" si="58"/>
        <v>0</v>
      </c>
      <c r="BM185" s="12" t="str">
        <f t="shared" si="59"/>
        <v/>
      </c>
      <c r="BN185">
        <f t="shared" si="60"/>
        <v>0</v>
      </c>
      <c r="BO185">
        <f t="shared" si="61"/>
        <v>0</v>
      </c>
      <c r="BP185">
        <f t="shared" si="62"/>
        <v>0</v>
      </c>
      <c r="BQ185">
        <f t="shared" si="63"/>
        <v>0</v>
      </c>
      <c r="BR185" t="str">
        <f t="shared" si="64"/>
        <v/>
      </c>
      <c r="BS185">
        <f t="shared" si="65"/>
        <v>0</v>
      </c>
      <c r="BT185" s="6">
        <f t="shared" si="66"/>
        <v>0</v>
      </c>
      <c r="BU185">
        <f t="shared" si="67"/>
        <v>0</v>
      </c>
      <c r="BV185" t="str">
        <f t="shared" si="51"/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2835"/>
  <sheetViews>
    <sheetView tabSelected="1" workbookViewId="0">
      <selection activeCell="P1" sqref="P1"/>
    </sheetView>
  </sheetViews>
  <sheetFormatPr defaultRowHeight="15" x14ac:dyDescent="0.25"/>
  <cols>
    <col min="2" max="2" width="13.5703125" bestFit="1" customWidth="1"/>
    <col min="3" max="3" width="27.85546875" bestFit="1" customWidth="1"/>
    <col min="4" max="4" width="9.7109375" bestFit="1" customWidth="1"/>
    <col min="17" max="17" width="10.85546875" bestFit="1" customWidth="1"/>
    <col min="19" max="19" width="8" bestFit="1" customWidth="1"/>
  </cols>
  <sheetData>
    <row r="1" spans="1:24" s="5" customFormat="1" x14ac:dyDescent="0.25">
      <c r="A1" s="4" t="s">
        <v>83</v>
      </c>
      <c r="B1" s="4" t="s">
        <v>84</v>
      </c>
      <c r="C1" s="4" t="s">
        <v>85</v>
      </c>
      <c r="D1" s="4" t="s">
        <v>16</v>
      </c>
      <c r="E1" s="4" t="s">
        <v>17</v>
      </c>
      <c r="F1" s="4" t="s">
        <v>86</v>
      </c>
      <c r="G1" s="4" t="s">
        <v>87</v>
      </c>
      <c r="H1" s="4" t="s">
        <v>88</v>
      </c>
      <c r="I1" s="4" t="s">
        <v>89</v>
      </c>
      <c r="J1" s="4" t="s">
        <v>90</v>
      </c>
      <c r="K1" s="4" t="s">
        <v>91</v>
      </c>
      <c r="L1" s="4" t="s">
        <v>92</v>
      </c>
      <c r="M1" s="4" t="s">
        <v>93</v>
      </c>
      <c r="N1" s="4" t="s">
        <v>94</v>
      </c>
      <c r="O1" s="4" t="s">
        <v>1</v>
      </c>
      <c r="P1" s="4" t="s">
        <v>83</v>
      </c>
      <c r="Q1" s="4" t="s">
        <v>95</v>
      </c>
      <c r="R1" s="4" t="s">
        <v>96</v>
      </c>
      <c r="S1" s="4" t="s">
        <v>97</v>
      </c>
      <c r="T1" s="4" t="s">
        <v>98</v>
      </c>
      <c r="U1" s="4" t="s">
        <v>99</v>
      </c>
      <c r="V1" s="4" t="s">
        <v>100</v>
      </c>
      <c r="W1" s="4" t="s">
        <v>101</v>
      </c>
      <c r="X1" s="4" t="s">
        <v>1</v>
      </c>
    </row>
    <row r="2" spans="1:24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24" x14ac:dyDescent="0.25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</row>
    <row r="4" spans="1:24" x14ac:dyDescent="0.25">
      <c r="A4" s="13"/>
      <c r="B4" s="13"/>
      <c r="C4" s="13"/>
      <c r="D4" s="14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4"/>
      <c r="R4" s="13"/>
      <c r="S4" s="13"/>
      <c r="T4" s="13"/>
      <c r="U4" s="13"/>
      <c r="V4" s="13"/>
      <c r="W4" s="13"/>
    </row>
    <row r="5" spans="1:24" x14ac:dyDescent="0.25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</row>
    <row r="6" spans="1:24" x14ac:dyDescent="0.25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</row>
    <row r="7" spans="1:24" x14ac:dyDescent="0.25">
      <c r="A7" s="13"/>
      <c r="B7" s="13"/>
      <c r="C7" s="13"/>
      <c r="D7" s="14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4"/>
      <c r="R7" s="13"/>
      <c r="S7" s="13"/>
      <c r="T7" s="13"/>
      <c r="U7" s="13"/>
      <c r="V7" s="13"/>
      <c r="W7" s="13"/>
    </row>
    <row r="8" spans="1:24" x14ac:dyDescent="0.25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</row>
    <row r="9" spans="1:24" x14ac:dyDescent="0.25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</row>
    <row r="10" spans="1:24" x14ac:dyDescent="0.25">
      <c r="A10" s="13"/>
      <c r="B10" s="13"/>
      <c r="C10" s="13"/>
      <c r="D10" s="14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4"/>
      <c r="R10" s="13"/>
      <c r="S10" s="13"/>
      <c r="T10" s="13"/>
      <c r="U10" s="13"/>
      <c r="V10" s="13"/>
      <c r="W10" s="13"/>
    </row>
    <row r="11" spans="1:24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4"/>
      <c r="R11" s="13"/>
      <c r="S11" s="13"/>
      <c r="T11" s="13"/>
      <c r="U11" s="13"/>
      <c r="V11" s="13"/>
      <c r="W11" s="13"/>
    </row>
    <row r="12" spans="1:24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4"/>
      <c r="R12" s="13"/>
      <c r="S12" s="13"/>
      <c r="T12" s="13"/>
      <c r="U12" s="13"/>
      <c r="V12" s="13"/>
      <c r="W12" s="13"/>
    </row>
    <row r="13" spans="1:24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4"/>
      <c r="R13" s="13"/>
      <c r="S13" s="13"/>
      <c r="T13" s="13"/>
      <c r="U13" s="13"/>
      <c r="V13" s="13"/>
      <c r="W13" s="13"/>
    </row>
    <row r="14" spans="1:24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4"/>
      <c r="R14" s="13"/>
      <c r="S14" s="13"/>
      <c r="T14" s="13"/>
      <c r="U14" s="13"/>
      <c r="V14" s="13"/>
      <c r="W14" s="13"/>
    </row>
    <row r="15" spans="1:24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4"/>
      <c r="R15" s="13"/>
      <c r="S15" s="13"/>
      <c r="T15" s="13"/>
      <c r="U15" s="13"/>
      <c r="V15" s="13"/>
      <c r="W15" s="13"/>
    </row>
    <row r="16" spans="1:24" x14ac:dyDescent="0.25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4"/>
      <c r="R16" s="13"/>
      <c r="S16" s="13"/>
      <c r="T16" s="13"/>
      <c r="U16" s="13"/>
      <c r="V16" s="13"/>
      <c r="W16" s="13"/>
    </row>
    <row r="17" spans="1:23" x14ac:dyDescent="0.25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4"/>
      <c r="R17" s="13"/>
      <c r="S17" s="13"/>
      <c r="T17" s="13"/>
      <c r="U17" s="13"/>
      <c r="V17" s="13"/>
      <c r="W17" s="13"/>
    </row>
    <row r="18" spans="1:23" x14ac:dyDescent="0.25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</row>
    <row r="19" spans="1:23" x14ac:dyDescent="0.25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</row>
    <row r="20" spans="1:23" x14ac:dyDescent="0.25">
      <c r="A20" s="13"/>
      <c r="B20" s="13"/>
      <c r="C20" s="13"/>
      <c r="D20" s="14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4"/>
      <c r="R20" s="13"/>
      <c r="S20" s="13"/>
      <c r="T20" s="13"/>
      <c r="U20" s="13"/>
      <c r="V20" s="13"/>
      <c r="W20" s="13"/>
    </row>
    <row r="21" spans="1:23" x14ac:dyDescent="0.25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</row>
    <row r="22" spans="1:23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</row>
    <row r="23" spans="1:23" x14ac:dyDescent="0.25">
      <c r="A23" s="13"/>
      <c r="B23" s="13"/>
      <c r="C23" s="13"/>
      <c r="D23" s="14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4"/>
      <c r="R23" s="13"/>
      <c r="S23" s="13"/>
      <c r="T23" s="13"/>
      <c r="U23" s="13"/>
      <c r="V23" s="13"/>
      <c r="W23" s="13"/>
    </row>
    <row r="24" spans="1:23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</row>
    <row r="25" spans="1:23" x14ac:dyDescent="0.25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</row>
    <row r="26" spans="1:23" x14ac:dyDescent="0.25">
      <c r="A26" s="13"/>
      <c r="B26" s="13"/>
      <c r="C26" s="13"/>
      <c r="D26" s="14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4"/>
      <c r="R26" s="13"/>
      <c r="S26" s="13"/>
      <c r="T26" s="13"/>
      <c r="U26" s="13"/>
      <c r="V26" s="13"/>
      <c r="W26" s="13"/>
    </row>
    <row r="27" spans="1:23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4"/>
      <c r="R27" s="13"/>
      <c r="S27" s="13"/>
      <c r="T27" s="13"/>
      <c r="U27" s="13"/>
      <c r="V27" s="13"/>
      <c r="W27" s="13"/>
    </row>
    <row r="28" spans="1:23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4"/>
      <c r="R28" s="13"/>
      <c r="S28" s="13"/>
      <c r="T28" s="13"/>
      <c r="U28" s="13"/>
      <c r="V28" s="13"/>
      <c r="W28" s="13"/>
    </row>
    <row r="29" spans="1:23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</row>
    <row r="30" spans="1:23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</row>
    <row r="31" spans="1:23" x14ac:dyDescent="0.25">
      <c r="A31" s="13"/>
      <c r="B31" s="13"/>
      <c r="C31" s="13"/>
      <c r="D31" s="14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4"/>
      <c r="R31" s="13"/>
      <c r="S31" s="13"/>
      <c r="T31" s="13"/>
      <c r="U31" s="13"/>
      <c r="V31" s="13"/>
      <c r="W31" s="13"/>
    </row>
    <row r="32" spans="1:23" x14ac:dyDescent="0.25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4"/>
      <c r="R32" s="13"/>
      <c r="S32" s="13"/>
      <c r="T32" s="13"/>
      <c r="U32" s="13"/>
      <c r="V32" s="13"/>
      <c r="W32" s="13"/>
    </row>
    <row r="33" spans="1:23" x14ac:dyDescent="0.25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</row>
    <row r="34" spans="1:23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</row>
    <row r="35" spans="1:23" x14ac:dyDescent="0.25">
      <c r="A35" s="13"/>
      <c r="B35" s="13"/>
      <c r="C35" s="13"/>
      <c r="D35" s="14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4"/>
      <c r="R35" s="13"/>
      <c r="S35" s="13"/>
      <c r="T35" s="13"/>
      <c r="U35" s="13"/>
      <c r="V35" s="13"/>
      <c r="W35" s="13"/>
    </row>
    <row r="36" spans="1:23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4"/>
      <c r="R36" s="13"/>
      <c r="S36" s="13"/>
      <c r="T36" s="13"/>
      <c r="U36" s="13"/>
      <c r="V36" s="13"/>
      <c r="W36" s="13"/>
    </row>
    <row r="37" spans="1:23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</row>
    <row r="38" spans="1:23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</row>
    <row r="39" spans="1:23" x14ac:dyDescent="0.25">
      <c r="A39" s="13"/>
      <c r="B39" s="13"/>
      <c r="C39" s="13"/>
      <c r="D39" s="14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4"/>
      <c r="R39" s="13"/>
      <c r="S39" s="13"/>
      <c r="T39" s="13"/>
      <c r="U39" s="13"/>
      <c r="V39" s="13"/>
      <c r="W39" s="13"/>
    </row>
    <row r="40" spans="1:23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4"/>
      <c r="R40" s="13"/>
      <c r="S40" s="13"/>
      <c r="T40" s="13"/>
      <c r="U40" s="13"/>
      <c r="V40" s="13"/>
      <c r="W40" s="13"/>
    </row>
    <row r="41" spans="1:23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</row>
    <row r="42" spans="1:23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</row>
    <row r="43" spans="1:23" x14ac:dyDescent="0.25">
      <c r="A43" s="13"/>
      <c r="B43" s="13"/>
      <c r="C43" s="13"/>
      <c r="D43" s="14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4"/>
      <c r="R43" s="13"/>
      <c r="S43" s="13"/>
      <c r="T43" s="13"/>
      <c r="U43" s="13"/>
      <c r="V43" s="13"/>
      <c r="W43" s="13"/>
    </row>
    <row r="44" spans="1:23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4"/>
      <c r="R44" s="13"/>
      <c r="S44" s="13"/>
      <c r="T44" s="13"/>
      <c r="U44" s="13"/>
      <c r="V44" s="13"/>
      <c r="W44" s="13"/>
    </row>
    <row r="45" spans="1:23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</row>
    <row r="46" spans="1:23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</row>
    <row r="47" spans="1:23" x14ac:dyDescent="0.25">
      <c r="A47" s="13"/>
      <c r="B47" s="13"/>
      <c r="C47" s="13"/>
      <c r="D47" s="14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4"/>
      <c r="R47" s="13"/>
      <c r="S47" s="13"/>
      <c r="T47" s="13"/>
      <c r="U47" s="13"/>
      <c r="V47" s="13"/>
      <c r="W47" s="13"/>
    </row>
    <row r="48" spans="1:23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4"/>
      <c r="R48" s="13"/>
      <c r="S48" s="13"/>
      <c r="T48" s="13"/>
      <c r="U48" s="13"/>
      <c r="V48" s="13"/>
      <c r="W48" s="13"/>
    </row>
    <row r="49" spans="1:23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</row>
    <row r="50" spans="1:23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</row>
    <row r="51" spans="1:23" x14ac:dyDescent="0.25">
      <c r="A51" s="13"/>
      <c r="B51" s="13"/>
      <c r="C51" s="13"/>
      <c r="D51" s="14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4"/>
      <c r="R51" s="13"/>
      <c r="S51" s="13"/>
      <c r="T51" s="13"/>
      <c r="U51" s="13"/>
      <c r="V51" s="13"/>
      <c r="W51" s="13"/>
    </row>
    <row r="52" spans="1:23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</row>
    <row r="53" spans="1:23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</row>
    <row r="54" spans="1:23" x14ac:dyDescent="0.25">
      <c r="A54" s="13"/>
      <c r="B54" s="13"/>
      <c r="C54" s="13"/>
      <c r="D54" s="14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4"/>
      <c r="R54" s="13"/>
      <c r="S54" s="13"/>
      <c r="T54" s="13"/>
      <c r="U54" s="13"/>
      <c r="V54" s="13"/>
      <c r="W54" s="13"/>
    </row>
    <row r="55" spans="1:23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</row>
    <row r="56" spans="1:23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</row>
    <row r="57" spans="1:23" x14ac:dyDescent="0.25">
      <c r="A57" s="13"/>
      <c r="B57" s="13"/>
      <c r="C57" s="13"/>
      <c r="D57" s="14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4"/>
      <c r="R57" s="13"/>
      <c r="S57" s="13"/>
      <c r="T57" s="13"/>
      <c r="U57" s="13"/>
      <c r="V57" s="13"/>
      <c r="W57" s="13"/>
    </row>
    <row r="58" spans="1:23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</row>
    <row r="59" spans="1:23" x14ac:dyDescent="0.25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</row>
    <row r="60" spans="1:23" x14ac:dyDescent="0.25">
      <c r="A60" s="13"/>
      <c r="B60" s="13"/>
      <c r="C60" s="13"/>
      <c r="D60" s="14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4"/>
      <c r="R60" s="13"/>
      <c r="S60" s="13"/>
      <c r="T60" s="13"/>
      <c r="U60" s="13"/>
      <c r="V60" s="13"/>
      <c r="W60" s="13"/>
    </row>
    <row r="61" spans="1:23" x14ac:dyDescent="0.25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</row>
    <row r="62" spans="1:23" x14ac:dyDescent="0.25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</row>
    <row r="63" spans="1:23" x14ac:dyDescent="0.25">
      <c r="A63" s="13"/>
      <c r="B63" s="13"/>
      <c r="C63" s="13"/>
      <c r="D63" s="14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4"/>
      <c r="R63" s="13"/>
      <c r="S63" s="13"/>
      <c r="T63" s="13"/>
      <c r="U63" s="13"/>
      <c r="V63" s="13"/>
      <c r="W63" s="13"/>
    </row>
    <row r="64" spans="1:23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</row>
    <row r="65" spans="1:23" x14ac:dyDescent="0.25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</row>
    <row r="66" spans="1:23" x14ac:dyDescent="0.25">
      <c r="A66" s="13"/>
      <c r="B66" s="13"/>
      <c r="C66" s="13"/>
      <c r="D66" s="14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4"/>
      <c r="R66" s="13"/>
      <c r="S66" s="13"/>
      <c r="T66" s="13"/>
      <c r="U66" s="13"/>
      <c r="V66" s="13"/>
      <c r="W66" s="13"/>
    </row>
    <row r="67" spans="1:23" x14ac:dyDescent="0.25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</row>
    <row r="68" spans="1:23" x14ac:dyDescent="0.25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</row>
    <row r="69" spans="1:23" x14ac:dyDescent="0.25">
      <c r="A69" s="13"/>
      <c r="B69" s="13"/>
      <c r="C69" s="13"/>
      <c r="D69" s="14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4"/>
      <c r="R69" s="13"/>
      <c r="S69" s="13"/>
      <c r="T69" s="13"/>
      <c r="U69" s="13"/>
      <c r="V69" s="13"/>
      <c r="W69" s="13"/>
    </row>
    <row r="70" spans="1:23" x14ac:dyDescent="0.25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</row>
    <row r="71" spans="1:23" x14ac:dyDescent="0.2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</row>
    <row r="72" spans="1:23" x14ac:dyDescent="0.25">
      <c r="A72" s="13"/>
      <c r="B72" s="13"/>
      <c r="C72" s="13"/>
      <c r="D72" s="14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4"/>
      <c r="R72" s="13"/>
      <c r="S72" s="13"/>
      <c r="T72" s="13"/>
      <c r="U72" s="13"/>
      <c r="V72" s="13"/>
      <c r="W72" s="13"/>
    </row>
    <row r="73" spans="1:23" x14ac:dyDescent="0.25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</row>
    <row r="74" spans="1:23" x14ac:dyDescent="0.25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</row>
    <row r="75" spans="1:23" x14ac:dyDescent="0.25">
      <c r="A75" s="13"/>
      <c r="B75" s="13"/>
      <c r="C75" s="13"/>
      <c r="D75" s="14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4"/>
      <c r="R75" s="13"/>
      <c r="S75" s="13"/>
      <c r="T75" s="13"/>
      <c r="U75" s="13"/>
      <c r="V75" s="13"/>
      <c r="W75" s="13"/>
    </row>
    <row r="76" spans="1:23" x14ac:dyDescent="0.25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</row>
    <row r="77" spans="1:23" x14ac:dyDescent="0.25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</row>
    <row r="78" spans="1:23" x14ac:dyDescent="0.25">
      <c r="A78" s="13"/>
      <c r="B78" s="13"/>
      <c r="C78" s="13"/>
      <c r="D78" s="14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4"/>
      <c r="R78" s="13"/>
      <c r="S78" s="13"/>
      <c r="T78" s="13"/>
      <c r="U78" s="13"/>
      <c r="V78" s="13"/>
      <c r="W78" s="13"/>
    </row>
    <row r="79" spans="1:23" x14ac:dyDescent="0.25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</row>
    <row r="80" spans="1:23" x14ac:dyDescent="0.25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</row>
    <row r="81" spans="1:23" x14ac:dyDescent="0.25">
      <c r="A81" s="13"/>
      <c r="B81" s="13"/>
      <c r="C81" s="13"/>
      <c r="D81" s="14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4"/>
      <c r="R81" s="13"/>
      <c r="S81" s="13"/>
      <c r="T81" s="13"/>
      <c r="U81" s="13"/>
      <c r="V81" s="13"/>
      <c r="W81" s="13"/>
    </row>
    <row r="82" spans="1:23" x14ac:dyDescent="0.25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</row>
    <row r="83" spans="1:23" x14ac:dyDescent="0.25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</row>
    <row r="84" spans="1:23" x14ac:dyDescent="0.25">
      <c r="A84" s="13"/>
      <c r="B84" s="13"/>
      <c r="C84" s="13"/>
      <c r="D84" s="14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4"/>
      <c r="R84" s="13"/>
      <c r="S84" s="13"/>
      <c r="T84" s="13"/>
      <c r="U84" s="13"/>
      <c r="V84" s="13"/>
      <c r="W84" s="13"/>
    </row>
    <row r="85" spans="1:23" x14ac:dyDescent="0.25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</row>
    <row r="86" spans="1:23" x14ac:dyDescent="0.25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</row>
    <row r="87" spans="1:23" x14ac:dyDescent="0.25">
      <c r="A87" s="13"/>
      <c r="B87" s="13"/>
      <c r="C87" s="13"/>
      <c r="D87" s="14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4"/>
      <c r="R87" s="13"/>
      <c r="S87" s="13"/>
      <c r="T87" s="13"/>
      <c r="U87" s="13"/>
      <c r="V87" s="13"/>
      <c r="W87" s="13"/>
    </row>
    <row r="88" spans="1:23" x14ac:dyDescent="0.25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</row>
    <row r="89" spans="1:23" x14ac:dyDescent="0.25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</row>
    <row r="90" spans="1:23" x14ac:dyDescent="0.25">
      <c r="A90" s="13"/>
      <c r="B90" s="13"/>
      <c r="C90" s="13"/>
      <c r="D90" s="14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4"/>
      <c r="R90" s="13"/>
      <c r="S90" s="13"/>
      <c r="T90" s="13"/>
      <c r="U90" s="13"/>
      <c r="V90" s="13"/>
      <c r="W90" s="13"/>
    </row>
    <row r="91" spans="1:23" x14ac:dyDescent="0.25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</row>
    <row r="92" spans="1:23" x14ac:dyDescent="0.25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</row>
    <row r="93" spans="1:23" x14ac:dyDescent="0.25">
      <c r="A93" s="13"/>
      <c r="B93" s="13"/>
      <c r="C93" s="13"/>
      <c r="D93" s="14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4"/>
      <c r="R93" s="13"/>
      <c r="S93" s="13"/>
      <c r="T93" s="13"/>
      <c r="U93" s="13"/>
      <c r="V93" s="13"/>
      <c r="W93" s="13"/>
    </row>
    <row r="94" spans="1:23" x14ac:dyDescent="0.25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4"/>
      <c r="R94" s="13"/>
      <c r="S94" s="13"/>
      <c r="T94" s="13"/>
      <c r="U94" s="13"/>
      <c r="V94" s="13"/>
      <c r="W94" s="13"/>
    </row>
    <row r="95" spans="1:23" x14ac:dyDescent="0.25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4"/>
      <c r="R95" s="13"/>
      <c r="S95" s="13"/>
      <c r="T95" s="13"/>
      <c r="U95" s="13"/>
      <c r="V95" s="13"/>
      <c r="W95" s="13"/>
    </row>
    <row r="96" spans="1:23" x14ac:dyDescent="0.25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4"/>
      <c r="R96" s="13"/>
      <c r="S96" s="13"/>
      <c r="T96" s="13"/>
      <c r="U96" s="13"/>
      <c r="V96" s="13"/>
      <c r="W96" s="13"/>
    </row>
    <row r="97" spans="1:23" x14ac:dyDescent="0.25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4"/>
      <c r="R97" s="13"/>
      <c r="S97" s="13"/>
      <c r="T97" s="13"/>
      <c r="U97" s="13"/>
      <c r="V97" s="13"/>
      <c r="W97" s="13"/>
    </row>
    <row r="98" spans="1:23" x14ac:dyDescent="0.25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4"/>
      <c r="R98" s="13"/>
      <c r="S98" s="13"/>
      <c r="T98" s="13"/>
      <c r="U98" s="13"/>
      <c r="V98" s="13"/>
      <c r="W98" s="13"/>
    </row>
    <row r="99" spans="1:23" x14ac:dyDescent="0.25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4"/>
      <c r="R99" s="13"/>
      <c r="S99" s="13"/>
      <c r="T99" s="13"/>
      <c r="U99" s="13"/>
      <c r="V99" s="13"/>
      <c r="W99" s="13"/>
    </row>
    <row r="100" spans="1:23" x14ac:dyDescent="0.25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4"/>
      <c r="R100" s="13"/>
      <c r="S100" s="13"/>
      <c r="T100" s="13"/>
      <c r="U100" s="13"/>
      <c r="V100" s="13"/>
      <c r="W100" s="13"/>
    </row>
    <row r="101" spans="1:23" x14ac:dyDescent="0.25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4"/>
      <c r="R101" s="13"/>
      <c r="S101" s="13"/>
      <c r="T101" s="13"/>
      <c r="U101" s="13"/>
      <c r="V101" s="13"/>
      <c r="W101" s="13"/>
    </row>
    <row r="102" spans="1:23" x14ac:dyDescent="0.25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4"/>
      <c r="R102" s="13"/>
      <c r="S102" s="13"/>
      <c r="T102" s="13"/>
      <c r="U102" s="13"/>
      <c r="V102" s="13"/>
      <c r="W102" s="13"/>
    </row>
    <row r="103" spans="1:23" x14ac:dyDescent="0.25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</row>
    <row r="104" spans="1:23" x14ac:dyDescent="0.25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</row>
    <row r="105" spans="1:23" x14ac:dyDescent="0.25">
      <c r="A105" s="13"/>
      <c r="B105" s="13"/>
      <c r="C105" s="13"/>
      <c r="D105" s="14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4"/>
      <c r="R105" s="13"/>
      <c r="S105" s="13"/>
      <c r="T105" s="13"/>
      <c r="U105" s="13"/>
      <c r="V105" s="13"/>
      <c r="W105" s="13"/>
    </row>
    <row r="106" spans="1:23" x14ac:dyDescent="0.25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</row>
    <row r="107" spans="1:23" x14ac:dyDescent="0.25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</row>
    <row r="108" spans="1:23" x14ac:dyDescent="0.25">
      <c r="A108" s="13"/>
      <c r="B108" s="13"/>
      <c r="C108" s="13"/>
      <c r="D108" s="14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4"/>
      <c r="R108" s="13"/>
      <c r="S108" s="13"/>
      <c r="T108" s="13"/>
      <c r="U108" s="13"/>
      <c r="V108" s="13"/>
      <c r="W108" s="13"/>
    </row>
    <row r="109" spans="1:23" x14ac:dyDescent="0.25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</row>
    <row r="110" spans="1:23" x14ac:dyDescent="0.25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</row>
    <row r="111" spans="1:23" x14ac:dyDescent="0.25">
      <c r="A111" s="13"/>
      <c r="B111" s="13"/>
      <c r="C111" s="13"/>
      <c r="D111" s="14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4"/>
      <c r="R111" s="13"/>
      <c r="S111" s="13"/>
      <c r="T111" s="13"/>
      <c r="U111" s="13"/>
      <c r="V111" s="13"/>
      <c r="W111" s="13"/>
    </row>
    <row r="112" spans="1:23" x14ac:dyDescent="0.25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</row>
    <row r="113" spans="1:23" x14ac:dyDescent="0.25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</row>
    <row r="114" spans="1:23" x14ac:dyDescent="0.25">
      <c r="A114" s="13"/>
      <c r="B114" s="13"/>
      <c r="C114" s="13"/>
      <c r="D114" s="14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4"/>
      <c r="R114" s="13"/>
      <c r="S114" s="13"/>
      <c r="T114" s="13"/>
      <c r="U114" s="13"/>
      <c r="V114" s="13"/>
      <c r="W114" s="13"/>
    </row>
    <row r="115" spans="1:23" x14ac:dyDescent="0.25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</row>
    <row r="116" spans="1:23" x14ac:dyDescent="0.25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</row>
    <row r="117" spans="1:23" x14ac:dyDescent="0.25">
      <c r="A117" s="13"/>
      <c r="B117" s="13"/>
      <c r="C117" s="13"/>
      <c r="D117" s="14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4"/>
      <c r="R117" s="13"/>
      <c r="S117" s="13"/>
      <c r="T117" s="13"/>
      <c r="U117" s="13"/>
      <c r="V117" s="13"/>
      <c r="W117" s="13"/>
    </row>
    <row r="118" spans="1:23" x14ac:dyDescent="0.25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</row>
    <row r="119" spans="1:23" x14ac:dyDescent="0.25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</row>
    <row r="120" spans="1:23" x14ac:dyDescent="0.25">
      <c r="A120" s="13"/>
      <c r="B120" s="13"/>
      <c r="C120" s="13"/>
      <c r="D120" s="14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4"/>
      <c r="R120" s="13"/>
      <c r="S120" s="13"/>
      <c r="T120" s="13"/>
      <c r="U120" s="13"/>
      <c r="V120" s="13"/>
      <c r="W120" s="13"/>
    </row>
    <row r="121" spans="1:23" x14ac:dyDescent="0.25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</row>
    <row r="122" spans="1:23" x14ac:dyDescent="0.25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</row>
    <row r="123" spans="1:23" x14ac:dyDescent="0.25">
      <c r="A123" s="13"/>
      <c r="B123" s="13"/>
      <c r="C123" s="13"/>
      <c r="D123" s="14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4"/>
      <c r="R123" s="13"/>
      <c r="S123" s="13"/>
      <c r="T123" s="13"/>
      <c r="U123" s="13"/>
      <c r="V123" s="13"/>
      <c r="W123" s="13"/>
    </row>
    <row r="124" spans="1:23" x14ac:dyDescent="0.25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</row>
    <row r="125" spans="1:23" x14ac:dyDescent="0.25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</row>
    <row r="126" spans="1:23" x14ac:dyDescent="0.25">
      <c r="A126" s="13"/>
      <c r="B126" s="13"/>
      <c r="C126" s="13"/>
      <c r="D126" s="14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4"/>
      <c r="R126" s="13"/>
      <c r="S126" s="13"/>
      <c r="T126" s="13"/>
      <c r="U126" s="13"/>
      <c r="V126" s="13"/>
      <c r="W126" s="13"/>
    </row>
    <row r="127" spans="1:23" x14ac:dyDescent="0.25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</row>
    <row r="128" spans="1:23" x14ac:dyDescent="0.25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</row>
    <row r="129" spans="1:23" x14ac:dyDescent="0.25">
      <c r="A129" s="13"/>
      <c r="B129" s="13"/>
      <c r="C129" s="13"/>
      <c r="D129" s="14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4"/>
      <c r="R129" s="13"/>
      <c r="S129" s="13"/>
      <c r="T129" s="13"/>
      <c r="U129" s="13"/>
      <c r="V129" s="13"/>
      <c r="W129" s="13"/>
    </row>
    <row r="130" spans="1:23" x14ac:dyDescent="0.25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</row>
    <row r="131" spans="1:23" x14ac:dyDescent="0.25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</row>
    <row r="132" spans="1:23" x14ac:dyDescent="0.25">
      <c r="A132" s="13"/>
      <c r="B132" s="13"/>
      <c r="C132" s="13"/>
      <c r="D132" s="14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4"/>
      <c r="R132" s="13"/>
      <c r="S132" s="13"/>
      <c r="T132" s="13"/>
      <c r="U132" s="13"/>
      <c r="V132" s="13"/>
      <c r="W132" s="13"/>
    </row>
    <row r="133" spans="1:23" x14ac:dyDescent="0.25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</row>
    <row r="134" spans="1:23" x14ac:dyDescent="0.25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</row>
    <row r="135" spans="1:23" x14ac:dyDescent="0.25">
      <c r="A135" s="13"/>
      <c r="B135" s="13"/>
      <c r="C135" s="13"/>
      <c r="D135" s="14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4"/>
      <c r="R135" s="13"/>
      <c r="S135" s="13"/>
      <c r="T135" s="13"/>
      <c r="U135" s="13"/>
      <c r="V135" s="13"/>
      <c r="W135" s="13"/>
    </row>
    <row r="136" spans="1:23" x14ac:dyDescent="0.25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</row>
    <row r="137" spans="1:23" x14ac:dyDescent="0.25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</row>
    <row r="138" spans="1:23" x14ac:dyDescent="0.25">
      <c r="A138" s="13"/>
      <c r="B138" s="13"/>
      <c r="C138" s="13"/>
      <c r="D138" s="14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4"/>
      <c r="R138" s="13"/>
      <c r="S138" s="13"/>
      <c r="T138" s="13"/>
      <c r="U138" s="13"/>
      <c r="V138" s="13"/>
      <c r="W138" s="13"/>
    </row>
    <row r="139" spans="1:23" x14ac:dyDescent="0.25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4"/>
      <c r="R139" s="13"/>
      <c r="S139" s="13"/>
      <c r="T139" s="13"/>
      <c r="U139" s="13"/>
      <c r="V139" s="13"/>
      <c r="W139" s="13"/>
    </row>
    <row r="140" spans="1:23" x14ac:dyDescent="0.25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</row>
    <row r="141" spans="1:23" x14ac:dyDescent="0.25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</row>
    <row r="142" spans="1:23" x14ac:dyDescent="0.25">
      <c r="A142" s="13"/>
      <c r="B142" s="13"/>
      <c r="C142" s="13"/>
      <c r="D142" s="14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4"/>
      <c r="R142" s="13"/>
      <c r="S142" s="13"/>
      <c r="T142" s="13"/>
      <c r="U142" s="13"/>
      <c r="V142" s="13"/>
      <c r="W142" s="13"/>
    </row>
    <row r="143" spans="1:23" x14ac:dyDescent="0.25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4"/>
      <c r="R143" s="13"/>
      <c r="S143" s="13"/>
      <c r="T143" s="13"/>
      <c r="U143" s="13"/>
      <c r="V143" s="13"/>
      <c r="W143" s="13"/>
    </row>
    <row r="144" spans="1:23" x14ac:dyDescent="0.25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</row>
    <row r="145" spans="1:23" x14ac:dyDescent="0.25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</row>
    <row r="146" spans="1:23" x14ac:dyDescent="0.25">
      <c r="A146" s="13"/>
      <c r="B146" s="13"/>
      <c r="C146" s="13"/>
      <c r="D146" s="14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4"/>
      <c r="R146" s="13"/>
      <c r="S146" s="13"/>
      <c r="T146" s="13"/>
      <c r="U146" s="13"/>
      <c r="V146" s="13"/>
      <c r="W146" s="13"/>
    </row>
    <row r="147" spans="1:23" x14ac:dyDescent="0.25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</row>
    <row r="148" spans="1:23" x14ac:dyDescent="0.25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</row>
    <row r="149" spans="1:23" x14ac:dyDescent="0.25">
      <c r="A149" s="13"/>
      <c r="B149" s="13"/>
      <c r="C149" s="13"/>
      <c r="D149" s="14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4"/>
      <c r="R149" s="13"/>
      <c r="S149" s="13"/>
      <c r="T149" s="13"/>
      <c r="U149" s="13"/>
      <c r="V149" s="13"/>
      <c r="W149" s="13"/>
    </row>
    <row r="150" spans="1:23" x14ac:dyDescent="0.25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4"/>
      <c r="R150" s="13"/>
      <c r="S150" s="13"/>
      <c r="T150" s="13"/>
      <c r="U150" s="13"/>
      <c r="V150" s="13"/>
      <c r="W150" s="13"/>
    </row>
    <row r="151" spans="1:23" x14ac:dyDescent="0.25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</row>
    <row r="152" spans="1:23" x14ac:dyDescent="0.25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</row>
    <row r="153" spans="1:23" x14ac:dyDescent="0.25">
      <c r="A153" s="13"/>
      <c r="B153" s="13"/>
      <c r="C153" s="13"/>
      <c r="D153" s="14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4"/>
      <c r="R153" s="13"/>
      <c r="S153" s="13"/>
      <c r="T153" s="13"/>
      <c r="U153" s="13"/>
      <c r="V153" s="13"/>
      <c r="W153" s="13"/>
    </row>
    <row r="154" spans="1:23" x14ac:dyDescent="0.25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4"/>
      <c r="R154" s="13"/>
      <c r="S154" s="13"/>
      <c r="T154" s="13"/>
      <c r="U154" s="13"/>
      <c r="V154" s="13"/>
      <c r="W154" s="13"/>
    </row>
    <row r="155" spans="1:23" x14ac:dyDescent="0.25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</row>
    <row r="156" spans="1:23" x14ac:dyDescent="0.25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</row>
    <row r="157" spans="1:23" x14ac:dyDescent="0.25">
      <c r="A157" s="13"/>
      <c r="B157" s="13"/>
      <c r="C157" s="13"/>
      <c r="D157" s="14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4"/>
      <c r="R157" s="13"/>
      <c r="S157" s="13"/>
      <c r="T157" s="13"/>
      <c r="U157" s="13"/>
      <c r="V157" s="13"/>
      <c r="W157" s="13"/>
    </row>
    <row r="158" spans="1:23" x14ac:dyDescent="0.25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</row>
    <row r="159" spans="1:23" x14ac:dyDescent="0.25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</row>
    <row r="160" spans="1:23" x14ac:dyDescent="0.25">
      <c r="A160" s="13"/>
      <c r="B160" s="13"/>
      <c r="C160" s="13"/>
      <c r="D160" s="14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4"/>
      <c r="R160" s="13"/>
      <c r="S160" s="13"/>
      <c r="T160" s="13"/>
      <c r="U160" s="13"/>
      <c r="V160" s="13"/>
      <c r="W160" s="13"/>
    </row>
    <row r="161" spans="1:23" x14ac:dyDescent="0.25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</row>
    <row r="162" spans="1:23" x14ac:dyDescent="0.25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</row>
    <row r="163" spans="1:23" x14ac:dyDescent="0.25">
      <c r="A163" s="13"/>
      <c r="B163" s="13"/>
      <c r="C163" s="13"/>
      <c r="D163" s="14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4"/>
      <c r="R163" s="13"/>
      <c r="S163" s="13"/>
      <c r="T163" s="13"/>
      <c r="U163" s="13"/>
      <c r="V163" s="13"/>
      <c r="W163" s="13"/>
    </row>
    <row r="164" spans="1:23" x14ac:dyDescent="0.25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4"/>
      <c r="R164" s="13"/>
      <c r="S164" s="13"/>
      <c r="T164" s="13"/>
      <c r="U164" s="13"/>
      <c r="V164" s="13"/>
      <c r="W164" s="13"/>
    </row>
    <row r="165" spans="1:23" x14ac:dyDescent="0.25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4"/>
      <c r="R165" s="13"/>
      <c r="S165" s="13"/>
      <c r="T165" s="13"/>
      <c r="U165" s="13"/>
      <c r="V165" s="13"/>
      <c r="W165" s="13"/>
    </row>
    <row r="166" spans="1:23" x14ac:dyDescent="0.25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4"/>
      <c r="R166" s="13"/>
      <c r="S166" s="13"/>
      <c r="T166" s="13"/>
      <c r="U166" s="13"/>
      <c r="V166" s="13"/>
      <c r="W166" s="13"/>
    </row>
    <row r="167" spans="1:23" x14ac:dyDescent="0.25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</row>
    <row r="168" spans="1:23" x14ac:dyDescent="0.25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</row>
    <row r="169" spans="1:23" x14ac:dyDescent="0.25">
      <c r="A169" s="13"/>
      <c r="B169" s="13"/>
      <c r="C169" s="13"/>
      <c r="D169" s="14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4"/>
      <c r="R169" s="13"/>
      <c r="S169" s="13"/>
      <c r="T169" s="13"/>
      <c r="U169" s="13"/>
      <c r="V169" s="13"/>
      <c r="W169" s="13"/>
    </row>
    <row r="170" spans="1:23" x14ac:dyDescent="0.25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4"/>
      <c r="R170" s="13"/>
      <c r="S170" s="13"/>
      <c r="T170" s="13"/>
      <c r="U170" s="13"/>
      <c r="V170" s="13"/>
      <c r="W170" s="13"/>
    </row>
    <row r="171" spans="1:23" x14ac:dyDescent="0.25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4"/>
      <c r="R171" s="13"/>
      <c r="S171" s="13"/>
      <c r="T171" s="13"/>
      <c r="U171" s="13"/>
      <c r="V171" s="13"/>
      <c r="W171" s="13"/>
    </row>
    <row r="172" spans="1:23" x14ac:dyDescent="0.25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4"/>
      <c r="R172" s="13"/>
      <c r="S172" s="13"/>
      <c r="T172" s="13"/>
      <c r="U172" s="13"/>
      <c r="V172" s="13"/>
      <c r="W172" s="13"/>
    </row>
    <row r="173" spans="1:23" x14ac:dyDescent="0.25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</row>
    <row r="174" spans="1:23" x14ac:dyDescent="0.25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</row>
    <row r="175" spans="1:23" x14ac:dyDescent="0.25">
      <c r="A175" s="13"/>
      <c r="B175" s="13"/>
      <c r="C175" s="13"/>
      <c r="D175" s="14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4"/>
      <c r="R175" s="13"/>
      <c r="S175" s="13"/>
      <c r="T175" s="13"/>
      <c r="U175" s="13"/>
      <c r="V175" s="13"/>
      <c r="W175" s="13"/>
    </row>
    <row r="176" spans="1:23" x14ac:dyDescent="0.25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</row>
    <row r="177" spans="1:23" x14ac:dyDescent="0.25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</row>
    <row r="178" spans="1:23" x14ac:dyDescent="0.25">
      <c r="A178" s="13"/>
      <c r="B178" s="13"/>
      <c r="C178" s="13"/>
      <c r="D178" s="14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4"/>
      <c r="R178" s="13"/>
      <c r="S178" s="13"/>
      <c r="T178" s="13"/>
      <c r="U178" s="13"/>
      <c r="V178" s="13"/>
      <c r="W178" s="13"/>
    </row>
    <row r="179" spans="1:23" x14ac:dyDescent="0.25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</row>
    <row r="180" spans="1:23" x14ac:dyDescent="0.25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</row>
    <row r="181" spans="1:23" x14ac:dyDescent="0.25">
      <c r="A181" s="13"/>
      <c r="B181" s="13"/>
      <c r="C181" s="13"/>
      <c r="D181" s="14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4"/>
      <c r="R181" s="13"/>
      <c r="S181" s="13"/>
      <c r="T181" s="13"/>
      <c r="U181" s="13"/>
      <c r="V181" s="13"/>
      <c r="W181" s="13"/>
    </row>
    <row r="182" spans="1:23" x14ac:dyDescent="0.25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4"/>
      <c r="R182" s="13"/>
      <c r="S182" s="13"/>
      <c r="T182" s="13"/>
      <c r="U182" s="13"/>
      <c r="V182" s="13"/>
      <c r="W182" s="13"/>
    </row>
    <row r="183" spans="1:23" x14ac:dyDescent="0.25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</row>
    <row r="184" spans="1:23" x14ac:dyDescent="0.25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</row>
    <row r="185" spans="1:23" x14ac:dyDescent="0.25">
      <c r="A185" s="13"/>
      <c r="B185" s="13"/>
      <c r="C185" s="13"/>
      <c r="D185" s="14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4"/>
      <c r="R185" s="13"/>
      <c r="S185" s="13"/>
      <c r="T185" s="13"/>
      <c r="U185" s="13"/>
      <c r="V185" s="13"/>
      <c r="W185" s="13"/>
    </row>
    <row r="186" spans="1:23" x14ac:dyDescent="0.25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</row>
    <row r="187" spans="1:23" x14ac:dyDescent="0.25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</row>
    <row r="188" spans="1:23" x14ac:dyDescent="0.25">
      <c r="A188" s="13"/>
      <c r="B188" s="13"/>
      <c r="C188" s="13"/>
      <c r="D188" s="14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4"/>
      <c r="R188" s="13"/>
      <c r="S188" s="13"/>
      <c r="T188" s="13"/>
      <c r="U188" s="13"/>
      <c r="V188" s="13"/>
      <c r="W188" s="13"/>
    </row>
    <row r="189" spans="1:23" x14ac:dyDescent="0.25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</row>
    <row r="190" spans="1:23" x14ac:dyDescent="0.25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</row>
    <row r="191" spans="1:23" x14ac:dyDescent="0.25">
      <c r="A191" s="13"/>
      <c r="B191" s="13"/>
      <c r="C191" s="13"/>
      <c r="D191" s="14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4"/>
      <c r="R191" s="13"/>
      <c r="S191" s="13"/>
      <c r="T191" s="13"/>
      <c r="U191" s="13"/>
      <c r="V191" s="13"/>
      <c r="W191" s="13"/>
    </row>
    <row r="192" spans="1:23" x14ac:dyDescent="0.25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</row>
    <row r="193" spans="1:23" x14ac:dyDescent="0.25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</row>
    <row r="194" spans="1:23" x14ac:dyDescent="0.25">
      <c r="A194" s="13"/>
      <c r="B194" s="13"/>
      <c r="C194" s="13"/>
      <c r="D194" s="14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4"/>
      <c r="R194" s="13"/>
      <c r="S194" s="13"/>
      <c r="T194" s="13"/>
      <c r="U194" s="13"/>
      <c r="V194" s="13"/>
      <c r="W194" s="13"/>
    </row>
    <row r="195" spans="1:23" x14ac:dyDescent="0.25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</row>
    <row r="196" spans="1:23" x14ac:dyDescent="0.25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</row>
    <row r="197" spans="1:23" x14ac:dyDescent="0.25">
      <c r="A197" s="13"/>
      <c r="B197" s="13"/>
      <c r="C197" s="13"/>
      <c r="D197" s="14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4"/>
      <c r="R197" s="13"/>
      <c r="S197" s="13"/>
      <c r="T197" s="13"/>
      <c r="U197" s="13"/>
      <c r="V197" s="13"/>
      <c r="W197" s="13"/>
    </row>
    <row r="198" spans="1:23" x14ac:dyDescent="0.25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</row>
    <row r="199" spans="1:23" x14ac:dyDescent="0.25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</row>
    <row r="200" spans="1:23" x14ac:dyDescent="0.25">
      <c r="A200" s="13"/>
      <c r="B200" s="13"/>
      <c r="C200" s="13"/>
      <c r="D200" s="14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4"/>
      <c r="R200" s="13"/>
      <c r="S200" s="13"/>
      <c r="T200" s="13"/>
      <c r="U200" s="13"/>
      <c r="V200" s="13"/>
      <c r="W200" s="13"/>
    </row>
    <row r="201" spans="1:23" x14ac:dyDescent="0.25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</row>
    <row r="202" spans="1:23" x14ac:dyDescent="0.25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</row>
    <row r="203" spans="1:23" x14ac:dyDescent="0.25">
      <c r="A203" s="13"/>
      <c r="B203" s="13"/>
      <c r="C203" s="13"/>
      <c r="D203" s="14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4"/>
      <c r="R203" s="13"/>
      <c r="S203" s="13"/>
      <c r="T203" s="13"/>
      <c r="U203" s="13"/>
      <c r="V203" s="13"/>
      <c r="W203" s="13"/>
    </row>
    <row r="204" spans="1:23" x14ac:dyDescent="0.25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</row>
    <row r="205" spans="1:23" x14ac:dyDescent="0.25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</row>
    <row r="206" spans="1:23" x14ac:dyDescent="0.25">
      <c r="A206" s="13"/>
      <c r="B206" s="13"/>
      <c r="C206" s="13"/>
      <c r="D206" s="14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4"/>
      <c r="R206" s="13"/>
      <c r="S206" s="13"/>
      <c r="T206" s="13"/>
      <c r="U206" s="13"/>
      <c r="V206" s="13"/>
      <c r="W206" s="13"/>
    </row>
    <row r="207" spans="1:23" x14ac:dyDescent="0.25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</row>
    <row r="208" spans="1:23" x14ac:dyDescent="0.25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</row>
    <row r="209" spans="1:23" x14ac:dyDescent="0.25">
      <c r="A209" s="13"/>
      <c r="B209" s="13"/>
      <c r="C209" s="13"/>
      <c r="D209" s="14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4"/>
      <c r="R209" s="13"/>
      <c r="S209" s="13"/>
      <c r="T209" s="13"/>
      <c r="U209" s="13"/>
      <c r="V209" s="13"/>
      <c r="W209" s="13"/>
    </row>
    <row r="210" spans="1:23" x14ac:dyDescent="0.25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4"/>
      <c r="R210" s="13"/>
      <c r="S210" s="13"/>
      <c r="T210" s="13"/>
      <c r="U210" s="13"/>
      <c r="V210" s="13"/>
      <c r="W210" s="13"/>
    </row>
    <row r="211" spans="1:23" x14ac:dyDescent="0.25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</row>
    <row r="212" spans="1:23" x14ac:dyDescent="0.25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</row>
    <row r="213" spans="1:23" x14ac:dyDescent="0.25">
      <c r="A213" s="13"/>
      <c r="B213" s="13"/>
      <c r="C213" s="13"/>
      <c r="D213" s="14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4"/>
      <c r="R213" s="13"/>
      <c r="S213" s="13"/>
      <c r="T213" s="13"/>
      <c r="U213" s="13"/>
      <c r="V213" s="13"/>
      <c r="W213" s="13"/>
    </row>
    <row r="214" spans="1:23" x14ac:dyDescent="0.25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</row>
    <row r="215" spans="1:23" x14ac:dyDescent="0.25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</row>
    <row r="216" spans="1:23" x14ac:dyDescent="0.25">
      <c r="A216" s="13"/>
      <c r="B216" s="13"/>
      <c r="C216" s="13"/>
      <c r="D216" s="14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4"/>
      <c r="R216" s="13"/>
      <c r="S216" s="13"/>
      <c r="T216" s="13"/>
      <c r="U216" s="13"/>
      <c r="V216" s="13"/>
      <c r="W216" s="13"/>
    </row>
    <row r="217" spans="1:23" x14ac:dyDescent="0.25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4"/>
      <c r="R217" s="13"/>
      <c r="S217" s="13"/>
      <c r="T217" s="13"/>
      <c r="U217" s="13"/>
      <c r="V217" s="13"/>
      <c r="W217" s="13"/>
    </row>
    <row r="218" spans="1:23" x14ac:dyDescent="0.25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</row>
    <row r="219" spans="1:23" x14ac:dyDescent="0.25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</row>
    <row r="220" spans="1:23" x14ac:dyDescent="0.25">
      <c r="A220" s="13"/>
      <c r="B220" s="13"/>
      <c r="C220" s="13"/>
      <c r="D220" s="14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4"/>
      <c r="R220" s="13"/>
      <c r="S220" s="13"/>
      <c r="T220" s="13"/>
      <c r="U220" s="13"/>
      <c r="V220" s="13"/>
      <c r="W220" s="13"/>
    </row>
    <row r="221" spans="1:23" x14ac:dyDescent="0.25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</row>
    <row r="222" spans="1:23" x14ac:dyDescent="0.25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</row>
    <row r="223" spans="1:23" x14ac:dyDescent="0.25">
      <c r="A223" s="13"/>
      <c r="B223" s="13"/>
      <c r="C223" s="13"/>
      <c r="D223" s="14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4"/>
      <c r="R223" s="13"/>
      <c r="S223" s="13"/>
      <c r="T223" s="13"/>
      <c r="U223" s="13"/>
      <c r="V223" s="13"/>
      <c r="W223" s="13"/>
    </row>
    <row r="224" spans="1:23" x14ac:dyDescent="0.25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</row>
    <row r="225" spans="1:23" x14ac:dyDescent="0.25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</row>
    <row r="226" spans="1:23" x14ac:dyDescent="0.25">
      <c r="A226" s="13"/>
      <c r="B226" s="13"/>
      <c r="C226" s="13"/>
      <c r="D226" s="14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4"/>
      <c r="R226" s="13"/>
      <c r="S226" s="13"/>
      <c r="T226" s="13"/>
      <c r="U226" s="13"/>
      <c r="V226" s="13"/>
      <c r="W226" s="13"/>
    </row>
    <row r="227" spans="1:23" x14ac:dyDescent="0.25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</row>
    <row r="228" spans="1:23" x14ac:dyDescent="0.25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</row>
    <row r="229" spans="1:23" x14ac:dyDescent="0.25">
      <c r="A229" s="13"/>
      <c r="B229" s="13"/>
      <c r="C229" s="13"/>
      <c r="D229" s="14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4"/>
      <c r="R229" s="13"/>
      <c r="S229" s="13"/>
      <c r="T229" s="13"/>
      <c r="U229" s="13"/>
      <c r="V229" s="13"/>
      <c r="W229" s="13"/>
    </row>
    <row r="230" spans="1:23" x14ac:dyDescent="0.25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</row>
    <row r="231" spans="1:23" x14ac:dyDescent="0.25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</row>
    <row r="232" spans="1:23" x14ac:dyDescent="0.25">
      <c r="A232" s="13"/>
      <c r="B232" s="13"/>
      <c r="C232" s="13"/>
      <c r="D232" s="14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4"/>
      <c r="R232" s="13"/>
      <c r="S232" s="13"/>
      <c r="T232" s="13"/>
      <c r="U232" s="13"/>
      <c r="V232" s="13"/>
      <c r="W232" s="13"/>
    </row>
    <row r="233" spans="1:23" x14ac:dyDescent="0.25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4"/>
      <c r="R233" s="13"/>
      <c r="S233" s="13"/>
      <c r="T233" s="13"/>
      <c r="U233" s="13"/>
      <c r="V233" s="13"/>
      <c r="W233" s="13"/>
    </row>
    <row r="234" spans="1:23" x14ac:dyDescent="0.25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4"/>
      <c r="R234" s="13"/>
      <c r="S234" s="13"/>
      <c r="T234" s="13"/>
      <c r="U234" s="13"/>
      <c r="V234" s="13"/>
      <c r="W234" s="13"/>
    </row>
    <row r="235" spans="1:23" x14ac:dyDescent="0.25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</row>
    <row r="236" spans="1:23" x14ac:dyDescent="0.25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</row>
    <row r="237" spans="1:23" x14ac:dyDescent="0.25">
      <c r="A237" s="13"/>
      <c r="B237" s="13"/>
      <c r="C237" s="13"/>
      <c r="D237" s="14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4"/>
      <c r="R237" s="13"/>
      <c r="S237" s="13"/>
      <c r="T237" s="13"/>
      <c r="U237" s="13"/>
      <c r="V237" s="13"/>
      <c r="W237" s="13"/>
    </row>
    <row r="238" spans="1:23" x14ac:dyDescent="0.25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4"/>
      <c r="R238" s="13"/>
      <c r="S238" s="13"/>
      <c r="T238" s="13"/>
      <c r="U238" s="13"/>
      <c r="V238" s="13"/>
      <c r="W238" s="13"/>
    </row>
    <row r="239" spans="1:23" x14ac:dyDescent="0.25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4"/>
      <c r="R239" s="13"/>
      <c r="S239" s="13"/>
      <c r="T239" s="13"/>
      <c r="U239" s="13"/>
      <c r="V239" s="13"/>
      <c r="W239" s="13"/>
    </row>
    <row r="240" spans="1:23" x14ac:dyDescent="0.25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4"/>
      <c r="R240" s="13"/>
      <c r="S240" s="13"/>
      <c r="T240" s="13"/>
      <c r="U240" s="13"/>
      <c r="V240" s="13"/>
      <c r="W240" s="13"/>
    </row>
    <row r="241" spans="1:23" x14ac:dyDescent="0.25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</row>
    <row r="242" spans="1:23" x14ac:dyDescent="0.25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</row>
    <row r="243" spans="1:23" x14ac:dyDescent="0.25">
      <c r="A243" s="13"/>
      <c r="B243" s="13"/>
      <c r="C243" s="13"/>
      <c r="D243" s="14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4"/>
      <c r="R243" s="13"/>
      <c r="S243" s="13"/>
      <c r="T243" s="13"/>
      <c r="U243" s="13"/>
      <c r="V243" s="13"/>
      <c r="W243" s="13"/>
    </row>
    <row r="244" spans="1:23" x14ac:dyDescent="0.25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</row>
    <row r="245" spans="1:23" x14ac:dyDescent="0.25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</row>
    <row r="246" spans="1:23" x14ac:dyDescent="0.25">
      <c r="A246" s="13"/>
      <c r="B246" s="13"/>
      <c r="C246" s="13"/>
      <c r="D246" s="14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4"/>
      <c r="R246" s="13"/>
      <c r="S246" s="13"/>
      <c r="T246" s="13"/>
      <c r="U246" s="13"/>
      <c r="V246" s="13"/>
      <c r="W246" s="13"/>
    </row>
    <row r="247" spans="1:23" x14ac:dyDescent="0.25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</row>
    <row r="248" spans="1:23" x14ac:dyDescent="0.25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</row>
    <row r="249" spans="1:23" x14ac:dyDescent="0.25">
      <c r="A249" s="13"/>
      <c r="B249" s="13"/>
      <c r="C249" s="13"/>
      <c r="D249" s="14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4"/>
      <c r="R249" s="13"/>
      <c r="S249" s="13"/>
      <c r="T249" s="13"/>
      <c r="U249" s="13"/>
      <c r="V249" s="13"/>
      <c r="W249" s="13"/>
    </row>
    <row r="250" spans="1:23" x14ac:dyDescent="0.25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4"/>
      <c r="R250" s="13"/>
      <c r="S250" s="13"/>
      <c r="T250" s="13"/>
      <c r="U250" s="13"/>
      <c r="V250" s="13"/>
      <c r="W250" s="13"/>
    </row>
    <row r="251" spans="1:23" x14ac:dyDescent="0.25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4"/>
      <c r="R251" s="13"/>
      <c r="S251" s="13"/>
      <c r="T251" s="13"/>
      <c r="U251" s="13"/>
      <c r="V251" s="13"/>
      <c r="W251" s="13"/>
    </row>
    <row r="252" spans="1:23" x14ac:dyDescent="0.25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4"/>
      <c r="R252" s="13"/>
      <c r="S252" s="13"/>
      <c r="T252" s="13"/>
      <c r="U252" s="13"/>
      <c r="V252" s="13"/>
      <c r="W252" s="13"/>
    </row>
    <row r="253" spans="1:23" x14ac:dyDescent="0.25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4"/>
      <c r="R253" s="13"/>
      <c r="S253" s="13"/>
      <c r="T253" s="13"/>
      <c r="U253" s="13"/>
      <c r="V253" s="13"/>
      <c r="W253" s="13"/>
    </row>
    <row r="254" spans="1:23" x14ac:dyDescent="0.25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4"/>
      <c r="R254" s="13"/>
      <c r="S254" s="13"/>
      <c r="T254" s="13"/>
      <c r="U254" s="13"/>
      <c r="V254" s="13"/>
      <c r="W254" s="13"/>
    </row>
    <row r="255" spans="1:23" x14ac:dyDescent="0.25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4"/>
      <c r="R255" s="13"/>
      <c r="S255" s="13"/>
      <c r="T255" s="13"/>
      <c r="U255" s="13"/>
      <c r="V255" s="13"/>
      <c r="W255" s="13"/>
    </row>
    <row r="256" spans="1:23" x14ac:dyDescent="0.25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4"/>
      <c r="R256" s="13"/>
      <c r="S256" s="13"/>
      <c r="T256" s="13"/>
      <c r="U256" s="13"/>
      <c r="V256" s="13"/>
      <c r="W256" s="13"/>
    </row>
    <row r="257" spans="1:23" x14ac:dyDescent="0.25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</row>
    <row r="258" spans="1:23" x14ac:dyDescent="0.25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</row>
    <row r="259" spans="1:23" x14ac:dyDescent="0.25">
      <c r="A259" s="13"/>
      <c r="B259" s="13"/>
      <c r="C259" s="13"/>
      <c r="D259" s="14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4"/>
      <c r="R259" s="13"/>
      <c r="S259" s="13"/>
      <c r="T259" s="13"/>
      <c r="U259" s="13"/>
      <c r="V259" s="13"/>
      <c r="W259" s="13"/>
    </row>
    <row r="260" spans="1:23" x14ac:dyDescent="0.25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</row>
    <row r="261" spans="1:23" x14ac:dyDescent="0.25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</row>
    <row r="262" spans="1:23" x14ac:dyDescent="0.25">
      <c r="A262" s="13"/>
      <c r="B262" s="13"/>
      <c r="C262" s="13"/>
      <c r="D262" s="14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4"/>
      <c r="R262" s="13"/>
      <c r="S262" s="13"/>
      <c r="T262" s="13"/>
      <c r="U262" s="13"/>
      <c r="V262" s="13"/>
      <c r="W262" s="13"/>
    </row>
    <row r="263" spans="1:23" x14ac:dyDescent="0.25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</row>
    <row r="264" spans="1:23" x14ac:dyDescent="0.25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</row>
    <row r="265" spans="1:23" x14ac:dyDescent="0.25">
      <c r="A265" s="13"/>
      <c r="B265" s="13"/>
      <c r="C265" s="13"/>
      <c r="D265" s="14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4"/>
      <c r="R265" s="13"/>
      <c r="S265" s="13"/>
      <c r="T265" s="13"/>
      <c r="U265" s="13"/>
      <c r="V265" s="13"/>
      <c r="W265" s="13"/>
    </row>
    <row r="266" spans="1:23" x14ac:dyDescent="0.25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</row>
    <row r="267" spans="1:23" x14ac:dyDescent="0.25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</row>
    <row r="268" spans="1:23" x14ac:dyDescent="0.25">
      <c r="A268" s="13"/>
      <c r="B268" s="13"/>
      <c r="C268" s="13"/>
      <c r="D268" s="14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4"/>
      <c r="R268" s="13"/>
      <c r="S268" s="13"/>
      <c r="T268" s="13"/>
      <c r="U268" s="13"/>
      <c r="V268" s="13"/>
      <c r="W268" s="13"/>
    </row>
    <row r="269" spans="1:23" x14ac:dyDescent="0.25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</row>
    <row r="270" spans="1:23" x14ac:dyDescent="0.25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</row>
    <row r="271" spans="1:23" x14ac:dyDescent="0.25">
      <c r="A271" s="13"/>
      <c r="B271" s="13"/>
      <c r="C271" s="13"/>
      <c r="D271" s="14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4"/>
      <c r="R271" s="13"/>
      <c r="S271" s="13"/>
      <c r="T271" s="13"/>
      <c r="U271" s="13"/>
      <c r="V271" s="13"/>
      <c r="W271" s="13"/>
    </row>
    <row r="272" spans="1:23" x14ac:dyDescent="0.25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</row>
    <row r="273" spans="1:23" x14ac:dyDescent="0.25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</row>
    <row r="274" spans="1:23" x14ac:dyDescent="0.25">
      <c r="A274" s="13"/>
      <c r="B274" s="13"/>
      <c r="C274" s="13"/>
      <c r="D274" s="14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4"/>
      <c r="R274" s="13"/>
      <c r="S274" s="13"/>
      <c r="T274" s="13"/>
      <c r="U274" s="13"/>
      <c r="V274" s="13"/>
      <c r="W274" s="13"/>
    </row>
    <row r="275" spans="1:23" x14ac:dyDescent="0.25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</row>
    <row r="276" spans="1:23" x14ac:dyDescent="0.25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</row>
    <row r="277" spans="1:23" x14ac:dyDescent="0.25">
      <c r="A277" s="13"/>
      <c r="B277" s="13"/>
      <c r="C277" s="13"/>
      <c r="D277" s="14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4"/>
      <c r="R277" s="13"/>
      <c r="S277" s="13"/>
      <c r="T277" s="13"/>
      <c r="U277" s="13"/>
      <c r="V277" s="13"/>
      <c r="W277" s="13"/>
    </row>
    <row r="278" spans="1:23" x14ac:dyDescent="0.25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</row>
    <row r="279" spans="1:23" x14ac:dyDescent="0.25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</row>
    <row r="280" spans="1:23" x14ac:dyDescent="0.25">
      <c r="A280" s="13"/>
      <c r="B280" s="13"/>
      <c r="C280" s="13"/>
      <c r="D280" s="14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4"/>
      <c r="R280" s="13"/>
      <c r="S280" s="13"/>
      <c r="T280" s="13"/>
      <c r="U280" s="13"/>
      <c r="V280" s="13"/>
      <c r="W280" s="13"/>
    </row>
    <row r="281" spans="1:23" x14ac:dyDescent="0.25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</row>
    <row r="282" spans="1:23" x14ac:dyDescent="0.25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</row>
    <row r="283" spans="1:23" x14ac:dyDescent="0.25">
      <c r="A283" s="13"/>
      <c r="B283" s="13"/>
      <c r="C283" s="13"/>
      <c r="D283" s="14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4"/>
      <c r="R283" s="13"/>
      <c r="S283" s="13"/>
      <c r="T283" s="13"/>
      <c r="U283" s="13"/>
      <c r="V283" s="13"/>
      <c r="W283" s="13"/>
    </row>
    <row r="284" spans="1:23" x14ac:dyDescent="0.25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</row>
    <row r="285" spans="1:23" x14ac:dyDescent="0.25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</row>
    <row r="286" spans="1:23" x14ac:dyDescent="0.25">
      <c r="A286" s="13"/>
      <c r="B286" s="13"/>
      <c r="C286" s="13"/>
      <c r="D286" s="14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4"/>
      <c r="R286" s="13"/>
      <c r="S286" s="13"/>
      <c r="T286" s="13"/>
      <c r="U286" s="13"/>
      <c r="V286" s="13"/>
      <c r="W286" s="13"/>
    </row>
    <row r="287" spans="1:23" x14ac:dyDescent="0.25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</row>
    <row r="288" spans="1:23" x14ac:dyDescent="0.25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</row>
    <row r="289" spans="1:23" x14ac:dyDescent="0.25">
      <c r="A289" s="13"/>
      <c r="B289" s="13"/>
      <c r="C289" s="13"/>
      <c r="D289" s="14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4"/>
      <c r="R289" s="13"/>
      <c r="S289" s="13"/>
      <c r="T289" s="13"/>
      <c r="U289" s="13"/>
      <c r="V289" s="13"/>
      <c r="W289" s="13"/>
    </row>
    <row r="290" spans="1:23" x14ac:dyDescent="0.25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</row>
    <row r="291" spans="1:23" x14ac:dyDescent="0.25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</row>
    <row r="292" spans="1:23" x14ac:dyDescent="0.25">
      <c r="A292" s="13"/>
      <c r="B292" s="13"/>
      <c r="C292" s="13"/>
      <c r="D292" s="14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4"/>
      <c r="R292" s="13"/>
      <c r="S292" s="13"/>
      <c r="T292" s="13"/>
      <c r="U292" s="13"/>
      <c r="V292" s="13"/>
      <c r="W292" s="13"/>
    </row>
    <row r="293" spans="1:23" x14ac:dyDescent="0.25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4"/>
      <c r="R293" s="13"/>
      <c r="S293" s="13"/>
      <c r="T293" s="13"/>
      <c r="U293" s="13"/>
      <c r="V293" s="13"/>
      <c r="W293" s="13"/>
    </row>
    <row r="294" spans="1:23" x14ac:dyDescent="0.25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</row>
    <row r="295" spans="1:23" x14ac:dyDescent="0.25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</row>
    <row r="296" spans="1:23" x14ac:dyDescent="0.25">
      <c r="A296" s="13"/>
      <c r="B296" s="13"/>
      <c r="C296" s="13"/>
      <c r="D296" s="14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4"/>
      <c r="R296" s="13"/>
      <c r="S296" s="13"/>
      <c r="T296" s="13"/>
      <c r="U296" s="13"/>
      <c r="V296" s="13"/>
      <c r="W296" s="13"/>
    </row>
    <row r="297" spans="1:23" x14ac:dyDescent="0.25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</row>
    <row r="298" spans="1:23" x14ac:dyDescent="0.25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</row>
    <row r="299" spans="1:23" x14ac:dyDescent="0.25">
      <c r="A299" s="13"/>
      <c r="B299" s="13"/>
      <c r="C299" s="13"/>
      <c r="D299" s="14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4"/>
      <c r="R299" s="13"/>
      <c r="S299" s="13"/>
      <c r="T299" s="13"/>
      <c r="U299" s="13"/>
      <c r="V299" s="13"/>
      <c r="W299" s="13"/>
    </row>
    <row r="300" spans="1:23" x14ac:dyDescent="0.25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</row>
    <row r="301" spans="1:23" x14ac:dyDescent="0.25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</row>
    <row r="302" spans="1:23" x14ac:dyDescent="0.25">
      <c r="A302" s="13"/>
      <c r="B302" s="13"/>
      <c r="C302" s="13"/>
      <c r="D302" s="14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4"/>
      <c r="R302" s="13"/>
      <c r="S302" s="13"/>
      <c r="T302" s="13"/>
      <c r="U302" s="13"/>
      <c r="V302" s="13"/>
      <c r="W302" s="13"/>
    </row>
    <row r="303" spans="1:23" x14ac:dyDescent="0.25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4"/>
      <c r="R303" s="13"/>
      <c r="S303" s="13"/>
      <c r="T303" s="13"/>
      <c r="U303" s="13"/>
      <c r="V303" s="13"/>
      <c r="W303" s="13"/>
    </row>
    <row r="304" spans="1:23" x14ac:dyDescent="0.25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4"/>
      <c r="R304" s="13"/>
      <c r="S304" s="13"/>
      <c r="T304" s="13"/>
      <c r="U304" s="13"/>
      <c r="V304" s="13"/>
      <c r="W304" s="13"/>
    </row>
    <row r="305" spans="1:23" x14ac:dyDescent="0.25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4"/>
      <c r="R305" s="13"/>
      <c r="S305" s="13"/>
      <c r="T305" s="13"/>
      <c r="U305" s="13"/>
      <c r="V305" s="13"/>
      <c r="W305" s="13"/>
    </row>
    <row r="306" spans="1:23" x14ac:dyDescent="0.25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4"/>
      <c r="R306" s="13"/>
      <c r="S306" s="13"/>
      <c r="T306" s="13"/>
      <c r="U306" s="13"/>
      <c r="V306" s="13"/>
      <c r="W306" s="13"/>
    </row>
    <row r="307" spans="1:23" x14ac:dyDescent="0.25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4"/>
      <c r="R307" s="13"/>
      <c r="S307" s="13"/>
      <c r="T307" s="13"/>
      <c r="U307" s="13"/>
      <c r="V307" s="13"/>
      <c r="W307" s="13"/>
    </row>
    <row r="308" spans="1:23" x14ac:dyDescent="0.25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4"/>
      <c r="R308" s="13"/>
      <c r="S308" s="13"/>
      <c r="T308" s="13"/>
      <c r="U308" s="13"/>
      <c r="V308" s="13"/>
      <c r="W308" s="13"/>
    </row>
    <row r="309" spans="1:23" x14ac:dyDescent="0.25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4"/>
      <c r="R309" s="13"/>
      <c r="S309" s="13"/>
      <c r="T309" s="13"/>
      <c r="U309" s="13"/>
      <c r="V309" s="13"/>
      <c r="W309" s="13"/>
    </row>
    <row r="310" spans="1:23" x14ac:dyDescent="0.25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4"/>
      <c r="R310" s="13"/>
      <c r="S310" s="13"/>
      <c r="T310" s="13"/>
      <c r="U310" s="13"/>
      <c r="V310" s="13"/>
      <c r="W310" s="13"/>
    </row>
    <row r="311" spans="1:23" x14ac:dyDescent="0.25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4"/>
      <c r="R311" s="13"/>
      <c r="S311" s="13"/>
      <c r="T311" s="13"/>
      <c r="U311" s="13"/>
      <c r="V311" s="13"/>
      <c r="W311" s="13"/>
    </row>
    <row r="312" spans="1:23" x14ac:dyDescent="0.25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4"/>
      <c r="R312" s="13"/>
      <c r="S312" s="13"/>
      <c r="T312" s="13"/>
      <c r="U312" s="13"/>
      <c r="V312" s="13"/>
      <c r="W312" s="13"/>
    </row>
    <row r="313" spans="1:23" x14ac:dyDescent="0.25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</row>
    <row r="314" spans="1:23" x14ac:dyDescent="0.25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</row>
    <row r="315" spans="1:23" x14ac:dyDescent="0.25">
      <c r="A315" s="13"/>
      <c r="B315" s="13"/>
      <c r="C315" s="13"/>
      <c r="D315" s="14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4"/>
      <c r="R315" s="13"/>
      <c r="S315" s="13"/>
      <c r="T315" s="13"/>
      <c r="U315" s="13"/>
      <c r="V315" s="13"/>
      <c r="W315" s="13"/>
    </row>
    <row r="316" spans="1:23" x14ac:dyDescent="0.25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4"/>
      <c r="R316" s="13"/>
      <c r="S316" s="13"/>
      <c r="T316" s="13"/>
      <c r="U316" s="13"/>
      <c r="V316" s="13"/>
      <c r="W316" s="13"/>
    </row>
    <row r="317" spans="1:23" x14ac:dyDescent="0.25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4"/>
      <c r="R317" s="13"/>
      <c r="S317" s="13"/>
      <c r="T317" s="13"/>
      <c r="U317" s="13"/>
      <c r="V317" s="13"/>
      <c r="W317" s="13"/>
    </row>
    <row r="318" spans="1:23" x14ac:dyDescent="0.25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</row>
    <row r="319" spans="1:23" x14ac:dyDescent="0.25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</row>
    <row r="320" spans="1:23" x14ac:dyDescent="0.25">
      <c r="A320" s="13"/>
      <c r="B320" s="13"/>
      <c r="C320" s="13"/>
      <c r="D320" s="14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4"/>
      <c r="R320" s="13"/>
      <c r="S320" s="13"/>
      <c r="T320" s="13"/>
      <c r="U320" s="13"/>
      <c r="V320" s="13"/>
      <c r="W320" s="13"/>
    </row>
    <row r="321" spans="1:23" x14ac:dyDescent="0.25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4"/>
      <c r="R321" s="13"/>
      <c r="S321" s="13"/>
      <c r="T321" s="13"/>
      <c r="U321" s="13"/>
      <c r="V321" s="13"/>
      <c r="W321" s="13"/>
    </row>
    <row r="322" spans="1:23" x14ac:dyDescent="0.25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</row>
    <row r="323" spans="1:23" x14ac:dyDescent="0.25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</row>
    <row r="324" spans="1:23" x14ac:dyDescent="0.25">
      <c r="A324" s="13"/>
      <c r="B324" s="13"/>
      <c r="C324" s="13"/>
      <c r="D324" s="14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4"/>
      <c r="R324" s="13"/>
      <c r="S324" s="13"/>
      <c r="T324" s="13"/>
      <c r="U324" s="13"/>
      <c r="V324" s="13"/>
      <c r="W324" s="13"/>
    </row>
    <row r="325" spans="1:23" x14ac:dyDescent="0.25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</row>
    <row r="326" spans="1:23" x14ac:dyDescent="0.25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</row>
    <row r="327" spans="1:23" x14ac:dyDescent="0.25">
      <c r="A327" s="13"/>
      <c r="B327" s="13"/>
      <c r="C327" s="13"/>
      <c r="D327" s="14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4"/>
      <c r="R327" s="13"/>
      <c r="S327" s="13"/>
      <c r="T327" s="13"/>
      <c r="U327" s="13"/>
      <c r="V327" s="13"/>
      <c r="W327" s="13"/>
    </row>
    <row r="328" spans="1:23" x14ac:dyDescent="0.25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4"/>
      <c r="R328" s="13"/>
      <c r="S328" s="13"/>
      <c r="T328" s="13"/>
      <c r="U328" s="13"/>
      <c r="V328" s="13"/>
      <c r="W328" s="13"/>
    </row>
    <row r="329" spans="1:23" x14ac:dyDescent="0.25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4"/>
      <c r="R329" s="13"/>
      <c r="S329" s="13"/>
      <c r="T329" s="13"/>
      <c r="U329" s="13"/>
      <c r="V329" s="13"/>
      <c r="W329" s="13"/>
    </row>
    <row r="330" spans="1:23" x14ac:dyDescent="0.25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</row>
    <row r="331" spans="1:23" x14ac:dyDescent="0.25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</row>
    <row r="332" spans="1:23" x14ac:dyDescent="0.25">
      <c r="A332" s="13"/>
      <c r="B332" s="13"/>
      <c r="C332" s="13"/>
      <c r="D332" s="14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4"/>
      <c r="R332" s="13"/>
      <c r="S332" s="13"/>
      <c r="T332" s="13"/>
      <c r="U332" s="13"/>
      <c r="V332" s="13"/>
      <c r="W332" s="13"/>
    </row>
    <row r="333" spans="1:23" x14ac:dyDescent="0.25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4"/>
      <c r="R333" s="13"/>
      <c r="S333" s="13"/>
      <c r="T333" s="13"/>
      <c r="U333" s="13"/>
      <c r="V333" s="13"/>
      <c r="W333" s="13"/>
    </row>
    <row r="334" spans="1:23" x14ac:dyDescent="0.25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</row>
    <row r="335" spans="1:23" x14ac:dyDescent="0.25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</row>
    <row r="336" spans="1:23" x14ac:dyDescent="0.25">
      <c r="A336" s="13"/>
      <c r="B336" s="13"/>
      <c r="C336" s="13"/>
      <c r="D336" s="14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4"/>
      <c r="R336" s="13"/>
      <c r="S336" s="13"/>
      <c r="T336" s="13"/>
      <c r="U336" s="13"/>
      <c r="V336" s="13"/>
      <c r="W336" s="13"/>
    </row>
    <row r="337" spans="1:23" x14ac:dyDescent="0.25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</row>
    <row r="338" spans="1:23" x14ac:dyDescent="0.25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</row>
    <row r="339" spans="1:23" x14ac:dyDescent="0.25">
      <c r="A339" s="13"/>
      <c r="B339" s="13"/>
      <c r="C339" s="13"/>
      <c r="D339" s="14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4"/>
      <c r="R339" s="13"/>
      <c r="S339" s="13"/>
      <c r="T339" s="13"/>
      <c r="U339" s="13"/>
      <c r="V339" s="13"/>
      <c r="W339" s="13"/>
    </row>
    <row r="340" spans="1:23" x14ac:dyDescent="0.25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4"/>
      <c r="R340" s="13"/>
      <c r="S340" s="13"/>
      <c r="T340" s="13"/>
      <c r="U340" s="13"/>
      <c r="V340" s="13"/>
      <c r="W340" s="13"/>
    </row>
    <row r="341" spans="1:23" x14ac:dyDescent="0.25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</row>
    <row r="342" spans="1:23" x14ac:dyDescent="0.25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</row>
    <row r="343" spans="1:23" x14ac:dyDescent="0.25">
      <c r="A343" s="13"/>
      <c r="B343" s="13"/>
      <c r="C343" s="13"/>
      <c r="D343" s="14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4"/>
      <c r="R343" s="13"/>
      <c r="S343" s="13"/>
      <c r="T343" s="13"/>
      <c r="U343" s="13"/>
      <c r="V343" s="13"/>
      <c r="W343" s="13"/>
    </row>
    <row r="344" spans="1:23" x14ac:dyDescent="0.25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4"/>
      <c r="R344" s="13"/>
      <c r="S344" s="13"/>
      <c r="T344" s="13"/>
      <c r="U344" s="13"/>
      <c r="V344" s="13"/>
      <c r="W344" s="13"/>
    </row>
    <row r="345" spans="1:23" x14ac:dyDescent="0.25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</row>
    <row r="346" spans="1:23" x14ac:dyDescent="0.25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</row>
    <row r="347" spans="1:23" x14ac:dyDescent="0.25">
      <c r="A347" s="13"/>
      <c r="B347" s="13"/>
      <c r="C347" s="13"/>
      <c r="D347" s="14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4"/>
      <c r="R347" s="13"/>
      <c r="S347" s="13"/>
      <c r="T347" s="13"/>
      <c r="U347" s="13"/>
      <c r="V347" s="13"/>
      <c r="W347" s="13"/>
    </row>
    <row r="348" spans="1:23" x14ac:dyDescent="0.25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</row>
    <row r="349" spans="1:23" x14ac:dyDescent="0.25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</row>
    <row r="350" spans="1:23" x14ac:dyDescent="0.25">
      <c r="A350" s="13"/>
      <c r="B350" s="13"/>
      <c r="C350" s="13"/>
      <c r="D350" s="14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4"/>
      <c r="R350" s="13"/>
      <c r="S350" s="13"/>
      <c r="T350" s="13"/>
      <c r="U350" s="13"/>
      <c r="V350" s="13"/>
      <c r="W350" s="13"/>
    </row>
    <row r="351" spans="1:23" x14ac:dyDescent="0.25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4"/>
      <c r="R351" s="13"/>
      <c r="S351" s="13"/>
      <c r="T351" s="13"/>
      <c r="U351" s="13"/>
      <c r="V351" s="13"/>
      <c r="W351" s="13"/>
    </row>
    <row r="352" spans="1:23" x14ac:dyDescent="0.25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</row>
    <row r="353" spans="1:23" x14ac:dyDescent="0.25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</row>
    <row r="354" spans="1:23" x14ac:dyDescent="0.25">
      <c r="A354" s="13"/>
      <c r="B354" s="13"/>
      <c r="C354" s="13"/>
      <c r="D354" s="14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4"/>
      <c r="R354" s="13"/>
      <c r="S354" s="13"/>
      <c r="T354" s="13"/>
      <c r="U354" s="13"/>
      <c r="V354" s="13"/>
      <c r="W354" s="13"/>
    </row>
    <row r="355" spans="1:23" x14ac:dyDescent="0.25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</row>
    <row r="356" spans="1:23" x14ac:dyDescent="0.25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</row>
    <row r="357" spans="1:23" x14ac:dyDescent="0.25">
      <c r="A357" s="13"/>
      <c r="B357" s="13"/>
      <c r="C357" s="13"/>
      <c r="D357" s="14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4"/>
      <c r="R357" s="13"/>
      <c r="S357" s="13"/>
      <c r="T357" s="13"/>
      <c r="U357" s="13"/>
      <c r="V357" s="13"/>
      <c r="W357" s="13"/>
    </row>
    <row r="358" spans="1:23" x14ac:dyDescent="0.25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4"/>
      <c r="R358" s="13"/>
      <c r="S358" s="13"/>
      <c r="T358" s="13"/>
      <c r="U358" s="13"/>
      <c r="V358" s="13"/>
      <c r="W358" s="13"/>
    </row>
    <row r="359" spans="1:23" x14ac:dyDescent="0.25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</row>
    <row r="360" spans="1:23" x14ac:dyDescent="0.25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</row>
    <row r="361" spans="1:23" x14ac:dyDescent="0.25">
      <c r="A361" s="13"/>
      <c r="B361" s="13"/>
      <c r="C361" s="13"/>
      <c r="D361" s="14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4"/>
      <c r="R361" s="13"/>
      <c r="S361" s="13"/>
      <c r="T361" s="13"/>
      <c r="U361" s="13"/>
      <c r="V361" s="13"/>
      <c r="W361" s="13"/>
    </row>
    <row r="362" spans="1:23" x14ac:dyDescent="0.25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</row>
    <row r="363" spans="1:23" x14ac:dyDescent="0.25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</row>
    <row r="364" spans="1:23" x14ac:dyDescent="0.25">
      <c r="A364" s="13"/>
      <c r="B364" s="13"/>
      <c r="C364" s="13"/>
      <c r="D364" s="14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4"/>
      <c r="R364" s="13"/>
      <c r="S364" s="13"/>
      <c r="T364" s="13"/>
      <c r="U364" s="13"/>
      <c r="V364" s="13"/>
      <c r="W364" s="13"/>
    </row>
    <row r="365" spans="1:23" x14ac:dyDescent="0.25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</row>
    <row r="366" spans="1:23" x14ac:dyDescent="0.25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</row>
    <row r="367" spans="1:23" x14ac:dyDescent="0.25">
      <c r="A367" s="13"/>
      <c r="B367" s="13"/>
      <c r="C367" s="13"/>
      <c r="D367" s="14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4"/>
      <c r="R367" s="13"/>
      <c r="S367" s="13"/>
      <c r="T367" s="13"/>
      <c r="U367" s="13"/>
      <c r="V367" s="13"/>
      <c r="W367" s="13"/>
    </row>
    <row r="368" spans="1:23" x14ac:dyDescent="0.25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</row>
    <row r="369" spans="1:23" x14ac:dyDescent="0.25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</row>
    <row r="370" spans="1:23" x14ac:dyDescent="0.25">
      <c r="A370" s="13"/>
      <c r="B370" s="13"/>
      <c r="C370" s="13"/>
      <c r="D370" s="14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4"/>
      <c r="R370" s="13"/>
      <c r="S370" s="13"/>
      <c r="T370" s="13"/>
      <c r="U370" s="13"/>
      <c r="V370" s="13"/>
      <c r="W370" s="13"/>
    </row>
    <row r="371" spans="1:23" x14ac:dyDescent="0.25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</row>
    <row r="372" spans="1:23" x14ac:dyDescent="0.25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</row>
    <row r="374" spans="1:23" x14ac:dyDescent="0.25">
      <c r="D374" s="3"/>
      <c r="Q374" s="3"/>
    </row>
    <row r="377" spans="1:23" x14ac:dyDescent="0.25">
      <c r="D377" s="3"/>
      <c r="Q377" s="3"/>
    </row>
    <row r="380" spans="1:23" x14ac:dyDescent="0.25">
      <c r="D380" s="3"/>
      <c r="Q380" s="3"/>
    </row>
    <row r="383" spans="1:23" x14ac:dyDescent="0.25">
      <c r="D383" s="3"/>
      <c r="Q383" s="3"/>
    </row>
    <row r="386" spans="4:17" x14ac:dyDescent="0.25">
      <c r="D386" s="3"/>
      <c r="Q386" s="3"/>
    </row>
    <row r="389" spans="4:17" x14ac:dyDescent="0.25">
      <c r="D389" s="3"/>
      <c r="Q389" s="3"/>
    </row>
    <row r="390" spans="4:17" x14ac:dyDescent="0.25">
      <c r="Q390" s="3"/>
    </row>
    <row r="391" spans="4:17" x14ac:dyDescent="0.25">
      <c r="Q391" s="3"/>
    </row>
    <row r="394" spans="4:17" x14ac:dyDescent="0.25">
      <c r="D394" s="3"/>
      <c r="Q394" s="3"/>
    </row>
    <row r="395" spans="4:17" x14ac:dyDescent="0.25">
      <c r="Q395" s="3"/>
    </row>
    <row r="398" spans="4:17" x14ac:dyDescent="0.25">
      <c r="D398" s="3"/>
      <c r="Q398" s="3"/>
    </row>
    <row r="399" spans="4:17" x14ac:dyDescent="0.25">
      <c r="Q399" s="3"/>
    </row>
    <row r="402" spans="4:17" x14ac:dyDescent="0.25">
      <c r="D402" s="3"/>
      <c r="Q402" s="3"/>
    </row>
    <row r="405" spans="4:17" x14ac:dyDescent="0.25">
      <c r="D405" s="3"/>
      <c r="Q405" s="3"/>
    </row>
    <row r="408" spans="4:17" x14ac:dyDescent="0.25">
      <c r="D408" s="3"/>
      <c r="Q408" s="3"/>
    </row>
    <row r="409" spans="4:17" x14ac:dyDescent="0.25">
      <c r="Q409" s="3"/>
    </row>
    <row r="410" spans="4:17" x14ac:dyDescent="0.25">
      <c r="Q410" s="3"/>
    </row>
    <row r="413" spans="4:17" x14ac:dyDescent="0.25">
      <c r="D413" s="3"/>
      <c r="Q413" s="3"/>
    </row>
    <row r="416" spans="4:17" x14ac:dyDescent="0.25">
      <c r="D416" s="3"/>
      <c r="Q416" s="3"/>
    </row>
    <row r="417" spans="4:17" x14ac:dyDescent="0.25">
      <c r="Q417" s="3"/>
    </row>
    <row r="418" spans="4:17" x14ac:dyDescent="0.25">
      <c r="Q418" s="3"/>
    </row>
    <row r="421" spans="4:17" x14ac:dyDescent="0.25">
      <c r="D421" s="3"/>
      <c r="Q421" s="3"/>
    </row>
    <row r="422" spans="4:17" x14ac:dyDescent="0.25">
      <c r="Q422" s="3"/>
    </row>
    <row r="423" spans="4:17" x14ac:dyDescent="0.25">
      <c r="Q423" s="3"/>
    </row>
    <row r="426" spans="4:17" x14ac:dyDescent="0.25">
      <c r="D426" s="3"/>
      <c r="Q426" s="3"/>
    </row>
    <row r="429" spans="4:17" x14ac:dyDescent="0.25">
      <c r="D429" s="3"/>
      <c r="Q429" s="3"/>
    </row>
    <row r="432" spans="4:17" x14ac:dyDescent="0.25">
      <c r="D432" s="3"/>
      <c r="Q432" s="3"/>
    </row>
    <row r="435" spans="4:17" x14ac:dyDescent="0.25">
      <c r="D435" s="3"/>
      <c r="Q435" s="3"/>
    </row>
    <row r="438" spans="4:17" x14ac:dyDescent="0.25">
      <c r="D438" s="3"/>
      <c r="Q438" s="3"/>
    </row>
    <row r="441" spans="4:17" x14ac:dyDescent="0.25">
      <c r="D441" s="3"/>
      <c r="Q441" s="3"/>
    </row>
    <row r="444" spans="4:17" x14ac:dyDescent="0.25">
      <c r="D444" s="3"/>
      <c r="Q444" s="3"/>
    </row>
    <row r="447" spans="4:17" x14ac:dyDescent="0.25">
      <c r="D447" s="3"/>
      <c r="Q447" s="3"/>
    </row>
    <row r="450" spans="4:17" x14ac:dyDescent="0.25">
      <c r="D450" s="3"/>
      <c r="Q450" s="3"/>
    </row>
    <row r="453" spans="4:17" x14ac:dyDescent="0.25">
      <c r="D453" s="3"/>
      <c r="Q453" s="3"/>
    </row>
    <row r="456" spans="4:17" x14ac:dyDescent="0.25">
      <c r="D456" s="3"/>
      <c r="Q456" s="3"/>
    </row>
    <row r="459" spans="4:17" x14ac:dyDescent="0.25">
      <c r="D459" s="3"/>
      <c r="Q459" s="3"/>
    </row>
    <row r="462" spans="4:17" x14ac:dyDescent="0.25">
      <c r="D462" s="3"/>
      <c r="Q462" s="3"/>
    </row>
    <row r="465" spans="4:17" x14ac:dyDescent="0.25">
      <c r="D465" s="3"/>
      <c r="Q465" s="3"/>
    </row>
    <row r="468" spans="4:17" x14ac:dyDescent="0.25">
      <c r="D468" s="3"/>
      <c r="Q468" s="3"/>
    </row>
    <row r="471" spans="4:17" x14ac:dyDescent="0.25">
      <c r="D471" s="3"/>
      <c r="Q471" s="3"/>
    </row>
    <row r="474" spans="4:17" x14ac:dyDescent="0.25">
      <c r="D474" s="3"/>
      <c r="Q474" s="3"/>
    </row>
    <row r="477" spans="4:17" x14ac:dyDescent="0.25">
      <c r="D477" s="3"/>
      <c r="Q477" s="3"/>
    </row>
    <row r="480" spans="4:17" x14ac:dyDescent="0.25">
      <c r="D480" s="3"/>
      <c r="Q480" s="3"/>
    </row>
    <row r="483" spans="4:17" x14ac:dyDescent="0.25">
      <c r="D483" s="3"/>
      <c r="Q483" s="3"/>
    </row>
    <row r="486" spans="4:17" x14ac:dyDescent="0.25">
      <c r="D486" s="3"/>
      <c r="Q486" s="3"/>
    </row>
    <row r="489" spans="4:17" x14ac:dyDescent="0.25">
      <c r="D489" s="3"/>
      <c r="Q489" s="3"/>
    </row>
    <row r="492" spans="4:17" x14ac:dyDescent="0.25">
      <c r="D492" s="3"/>
      <c r="Q492" s="3"/>
    </row>
    <row r="495" spans="4:17" x14ac:dyDescent="0.25">
      <c r="D495" s="3"/>
      <c r="Q495" s="3"/>
    </row>
    <row r="498" spans="4:17" x14ac:dyDescent="0.25">
      <c r="D498" s="3"/>
      <c r="Q498" s="3"/>
    </row>
    <row r="501" spans="4:17" x14ac:dyDescent="0.25">
      <c r="D501" s="3"/>
      <c r="Q501" s="3"/>
    </row>
    <row r="504" spans="4:17" x14ac:dyDescent="0.25">
      <c r="D504" s="3"/>
      <c r="Q504" s="3"/>
    </row>
    <row r="507" spans="4:17" x14ac:dyDescent="0.25">
      <c r="D507" s="3"/>
      <c r="Q507" s="3"/>
    </row>
    <row r="510" spans="4:17" x14ac:dyDescent="0.25">
      <c r="D510" s="3"/>
      <c r="Q510" s="3"/>
    </row>
    <row r="513" spans="4:17" x14ac:dyDescent="0.25">
      <c r="D513" s="3"/>
      <c r="Q513" s="3"/>
    </row>
    <row r="516" spans="4:17" x14ac:dyDescent="0.25">
      <c r="D516" s="3"/>
      <c r="Q516" s="3"/>
    </row>
    <row r="519" spans="4:17" x14ac:dyDescent="0.25">
      <c r="D519" s="3"/>
      <c r="Q519" s="3"/>
    </row>
    <row r="522" spans="4:17" x14ac:dyDescent="0.25">
      <c r="D522" s="3"/>
      <c r="Q522" s="3"/>
    </row>
    <row r="525" spans="4:17" x14ac:dyDescent="0.25">
      <c r="D525" s="3"/>
      <c r="Q525" s="3"/>
    </row>
    <row r="528" spans="4:17" x14ac:dyDescent="0.25">
      <c r="D528" s="3"/>
      <c r="Q528" s="3"/>
    </row>
    <row r="531" spans="4:17" x14ac:dyDescent="0.25">
      <c r="D531" s="3"/>
      <c r="Q531" s="3"/>
    </row>
    <row r="534" spans="4:17" x14ac:dyDescent="0.25">
      <c r="D534" s="3"/>
      <c r="Q534" s="3"/>
    </row>
    <row r="537" spans="4:17" x14ac:dyDescent="0.25">
      <c r="D537" s="3"/>
      <c r="Q537" s="3"/>
    </row>
    <row r="540" spans="4:17" x14ac:dyDescent="0.25">
      <c r="D540" s="3"/>
      <c r="Q540" s="3"/>
    </row>
    <row r="543" spans="4:17" x14ac:dyDescent="0.25">
      <c r="D543" s="3"/>
      <c r="Q543" s="3"/>
    </row>
    <row r="546" spans="4:17" x14ac:dyDescent="0.25">
      <c r="D546" s="3"/>
      <c r="Q546" s="3"/>
    </row>
    <row r="549" spans="4:17" x14ac:dyDescent="0.25">
      <c r="D549" s="3"/>
      <c r="Q549" s="3"/>
    </row>
    <row r="552" spans="4:17" x14ac:dyDescent="0.25">
      <c r="D552" s="3"/>
      <c r="Q552" s="3"/>
    </row>
    <row r="555" spans="4:17" x14ac:dyDescent="0.25">
      <c r="D555" s="3"/>
      <c r="Q555" s="3"/>
    </row>
    <row r="558" spans="4:17" x14ac:dyDescent="0.25">
      <c r="D558" s="3"/>
      <c r="Q558" s="3"/>
    </row>
    <row r="561" spans="4:17" x14ac:dyDescent="0.25">
      <c r="D561" s="3"/>
      <c r="Q561" s="3"/>
    </row>
    <row r="564" spans="4:17" x14ac:dyDescent="0.25">
      <c r="D564" s="3"/>
      <c r="Q564" s="3"/>
    </row>
    <row r="567" spans="4:17" x14ac:dyDescent="0.25">
      <c r="D567" s="3"/>
      <c r="Q567" s="3"/>
    </row>
    <row r="570" spans="4:17" x14ac:dyDescent="0.25">
      <c r="D570" s="3"/>
      <c r="Q570" s="3"/>
    </row>
    <row r="573" spans="4:17" x14ac:dyDescent="0.25">
      <c r="D573" s="3"/>
      <c r="Q573" s="3"/>
    </row>
    <row r="576" spans="4:17" x14ac:dyDescent="0.25">
      <c r="D576" s="3"/>
      <c r="Q576" s="3"/>
    </row>
    <row r="579" spans="4:17" x14ac:dyDescent="0.25">
      <c r="D579" s="3"/>
      <c r="Q579" s="3"/>
    </row>
    <row r="582" spans="4:17" x14ac:dyDescent="0.25">
      <c r="D582" s="3"/>
      <c r="Q582" s="3"/>
    </row>
    <row r="585" spans="4:17" x14ac:dyDescent="0.25">
      <c r="D585" s="3"/>
      <c r="Q585" s="3"/>
    </row>
    <row r="588" spans="4:17" x14ac:dyDescent="0.25">
      <c r="D588" s="3"/>
      <c r="Q588" s="3"/>
    </row>
    <row r="589" spans="4:17" x14ac:dyDescent="0.25">
      <c r="Q589" s="3"/>
    </row>
    <row r="592" spans="4:17" x14ac:dyDescent="0.25">
      <c r="D592" s="3"/>
      <c r="Q592" s="3"/>
    </row>
    <row r="595" spans="4:17" x14ac:dyDescent="0.25">
      <c r="D595" s="3"/>
      <c r="Q595" s="3"/>
    </row>
    <row r="598" spans="4:17" x14ac:dyDescent="0.25">
      <c r="D598" s="3"/>
      <c r="Q598" s="3"/>
    </row>
    <row r="599" spans="4:17" x14ac:dyDescent="0.25">
      <c r="Q599" s="3"/>
    </row>
    <row r="602" spans="4:17" x14ac:dyDescent="0.25">
      <c r="D602" s="3"/>
      <c r="Q602" s="3"/>
    </row>
    <row r="605" spans="4:17" x14ac:dyDescent="0.25">
      <c r="D605" s="3"/>
      <c r="Q605" s="3"/>
    </row>
    <row r="608" spans="4:17" x14ac:dyDescent="0.25">
      <c r="D608" s="3"/>
      <c r="Q608" s="3"/>
    </row>
    <row r="611" spans="4:17" x14ac:dyDescent="0.25">
      <c r="D611" s="3"/>
      <c r="Q611" s="3"/>
    </row>
    <row r="614" spans="4:17" x14ac:dyDescent="0.25">
      <c r="D614" s="3"/>
      <c r="Q614" s="3"/>
    </row>
    <row r="617" spans="4:17" x14ac:dyDescent="0.25">
      <c r="D617" s="3"/>
      <c r="Q617" s="3"/>
    </row>
    <row r="620" spans="4:17" x14ac:dyDescent="0.25">
      <c r="D620" s="3"/>
      <c r="Q620" s="3"/>
    </row>
    <row r="623" spans="4:17" x14ac:dyDescent="0.25">
      <c r="D623" s="3"/>
      <c r="Q623" s="3"/>
    </row>
    <row r="626" spans="4:17" x14ac:dyDescent="0.25">
      <c r="D626" s="3"/>
      <c r="Q626" s="3"/>
    </row>
    <row r="629" spans="4:17" x14ac:dyDescent="0.25">
      <c r="D629" s="3"/>
      <c r="Q629" s="3"/>
    </row>
    <row r="632" spans="4:17" x14ac:dyDescent="0.25">
      <c r="D632" s="3"/>
      <c r="Q632" s="3"/>
    </row>
    <row r="633" spans="4:17" x14ac:dyDescent="0.25">
      <c r="Q633" s="3"/>
    </row>
    <row r="634" spans="4:17" x14ac:dyDescent="0.25">
      <c r="Q634" s="3"/>
    </row>
    <row r="637" spans="4:17" x14ac:dyDescent="0.25">
      <c r="D637" s="3"/>
      <c r="Q637" s="3"/>
    </row>
    <row r="638" spans="4:17" x14ac:dyDescent="0.25">
      <c r="Q638" s="3"/>
    </row>
    <row r="639" spans="4:17" x14ac:dyDescent="0.25">
      <c r="Q639" s="3"/>
    </row>
    <row r="640" spans="4:17" x14ac:dyDescent="0.25">
      <c r="Q640" s="3"/>
    </row>
    <row r="641" spans="4:17" x14ac:dyDescent="0.25">
      <c r="Q641" s="3"/>
    </row>
    <row r="644" spans="4:17" x14ac:dyDescent="0.25">
      <c r="D644" s="3"/>
      <c r="Q644" s="3"/>
    </row>
    <row r="645" spans="4:17" x14ac:dyDescent="0.25">
      <c r="Q645" s="3"/>
    </row>
    <row r="646" spans="4:17" x14ac:dyDescent="0.25">
      <c r="Q646" s="3"/>
    </row>
    <row r="647" spans="4:17" x14ac:dyDescent="0.25">
      <c r="Q647" s="3"/>
    </row>
    <row r="648" spans="4:17" x14ac:dyDescent="0.25">
      <c r="Q648" s="3"/>
    </row>
    <row r="649" spans="4:17" x14ac:dyDescent="0.25">
      <c r="Q649" s="3"/>
    </row>
    <row r="650" spans="4:17" x14ac:dyDescent="0.25">
      <c r="Q650" s="3"/>
    </row>
    <row r="651" spans="4:17" x14ac:dyDescent="0.25">
      <c r="Q651" s="3"/>
    </row>
    <row r="652" spans="4:17" x14ac:dyDescent="0.25">
      <c r="Q652" s="3"/>
    </row>
    <row r="653" spans="4:17" x14ac:dyDescent="0.25">
      <c r="Q653" s="3"/>
    </row>
    <row r="656" spans="4:17" x14ac:dyDescent="0.25">
      <c r="D656" s="3"/>
      <c r="Q656" s="3"/>
    </row>
    <row r="659" spans="4:17" x14ac:dyDescent="0.25">
      <c r="D659" s="3"/>
      <c r="Q659" s="3"/>
    </row>
    <row r="662" spans="4:17" x14ac:dyDescent="0.25">
      <c r="D662" s="3"/>
      <c r="Q662" s="3"/>
    </row>
    <row r="665" spans="4:17" x14ac:dyDescent="0.25">
      <c r="D665" s="3"/>
      <c r="Q665" s="3"/>
    </row>
    <row r="668" spans="4:17" x14ac:dyDescent="0.25">
      <c r="D668" s="3"/>
      <c r="Q668" s="3"/>
    </row>
    <row r="669" spans="4:17" x14ac:dyDescent="0.25">
      <c r="Q669" s="3"/>
    </row>
    <row r="672" spans="4:17" x14ac:dyDescent="0.25">
      <c r="D672" s="3"/>
      <c r="Q672" s="3"/>
    </row>
    <row r="675" spans="4:17" x14ac:dyDescent="0.25">
      <c r="D675" s="3"/>
      <c r="Q675" s="3"/>
    </row>
    <row r="678" spans="4:17" x14ac:dyDescent="0.25">
      <c r="D678" s="3"/>
      <c r="Q678" s="3"/>
    </row>
    <row r="681" spans="4:17" x14ac:dyDescent="0.25">
      <c r="D681" s="3"/>
      <c r="Q681" s="3"/>
    </row>
    <row r="684" spans="4:17" x14ac:dyDescent="0.25">
      <c r="D684" s="3"/>
      <c r="Q684" s="3"/>
    </row>
    <row r="685" spans="4:17" x14ac:dyDescent="0.25">
      <c r="Q685" s="3"/>
    </row>
    <row r="688" spans="4:17" x14ac:dyDescent="0.25">
      <c r="D688" s="3"/>
      <c r="Q688" s="3"/>
    </row>
    <row r="691" spans="4:17" x14ac:dyDescent="0.25">
      <c r="D691" s="3"/>
      <c r="Q691" s="3"/>
    </row>
    <row r="694" spans="4:17" x14ac:dyDescent="0.25">
      <c r="D694" s="3"/>
      <c r="Q694" s="3"/>
    </row>
    <row r="695" spans="4:17" x14ac:dyDescent="0.25">
      <c r="Q695" s="3"/>
    </row>
    <row r="698" spans="4:17" x14ac:dyDescent="0.25">
      <c r="D698" s="3"/>
      <c r="Q698" s="3"/>
    </row>
    <row r="701" spans="4:17" x14ac:dyDescent="0.25">
      <c r="D701" s="3"/>
      <c r="Q701" s="3"/>
    </row>
    <row r="704" spans="4:17" x14ac:dyDescent="0.25">
      <c r="D704" s="3"/>
      <c r="Q704" s="3"/>
    </row>
    <row r="707" spans="4:17" x14ac:dyDescent="0.25">
      <c r="D707" s="3"/>
      <c r="Q707" s="3"/>
    </row>
    <row r="710" spans="4:17" x14ac:dyDescent="0.25">
      <c r="D710" s="3"/>
      <c r="Q710" s="3"/>
    </row>
    <row r="713" spans="4:17" x14ac:dyDescent="0.25">
      <c r="D713" s="3"/>
      <c r="Q713" s="3"/>
    </row>
    <row r="714" spans="4:17" x14ac:dyDescent="0.25">
      <c r="Q714" s="3"/>
    </row>
    <row r="717" spans="4:17" x14ac:dyDescent="0.25">
      <c r="D717" s="3"/>
      <c r="Q717" s="3"/>
    </row>
    <row r="720" spans="4:17" x14ac:dyDescent="0.25">
      <c r="D720" s="3"/>
      <c r="Q720" s="3"/>
    </row>
    <row r="723" spans="4:17" x14ac:dyDescent="0.25">
      <c r="D723" s="3"/>
      <c r="Q723" s="3"/>
    </row>
    <row r="726" spans="4:17" x14ac:dyDescent="0.25">
      <c r="D726" s="3"/>
      <c r="Q726" s="3"/>
    </row>
    <row r="727" spans="4:17" x14ac:dyDescent="0.25">
      <c r="Q727" s="3"/>
    </row>
    <row r="728" spans="4:17" x14ac:dyDescent="0.25">
      <c r="Q728" s="3"/>
    </row>
    <row r="731" spans="4:17" x14ac:dyDescent="0.25">
      <c r="D731" s="3"/>
      <c r="Q731" s="3"/>
    </row>
    <row r="734" spans="4:17" x14ac:dyDescent="0.25">
      <c r="D734" s="3"/>
      <c r="Q734" s="3"/>
    </row>
    <row r="737" spans="4:17" x14ac:dyDescent="0.25">
      <c r="D737" s="3"/>
      <c r="Q737" s="3"/>
    </row>
    <row r="740" spans="4:17" x14ac:dyDescent="0.25">
      <c r="D740" s="3"/>
      <c r="Q740" s="3"/>
    </row>
    <row r="743" spans="4:17" x14ac:dyDescent="0.25">
      <c r="D743" s="3"/>
      <c r="Q743" s="3"/>
    </row>
    <row r="746" spans="4:17" x14ac:dyDescent="0.25">
      <c r="D746" s="3"/>
      <c r="Q746" s="3"/>
    </row>
    <row r="749" spans="4:17" x14ac:dyDescent="0.25">
      <c r="D749" s="3"/>
      <c r="Q749" s="3"/>
    </row>
    <row r="752" spans="4:17" x14ac:dyDescent="0.25">
      <c r="D752" s="3"/>
      <c r="Q752" s="3"/>
    </row>
    <row r="753" spans="4:17" x14ac:dyDescent="0.25">
      <c r="Q753" s="3"/>
    </row>
    <row r="756" spans="4:17" x14ac:dyDescent="0.25">
      <c r="D756" s="3"/>
      <c r="Q756" s="3"/>
    </row>
    <row r="759" spans="4:17" x14ac:dyDescent="0.25">
      <c r="D759" s="3"/>
      <c r="Q759" s="3"/>
    </row>
    <row r="762" spans="4:17" x14ac:dyDescent="0.25">
      <c r="D762" s="3"/>
      <c r="Q762" s="3"/>
    </row>
    <row r="765" spans="4:17" x14ac:dyDescent="0.25">
      <c r="D765" s="3"/>
      <c r="Q765" s="3"/>
    </row>
    <row r="768" spans="4:17" x14ac:dyDescent="0.25">
      <c r="D768" s="3"/>
      <c r="Q768" s="3"/>
    </row>
    <row r="771" spans="4:17" x14ac:dyDescent="0.25">
      <c r="D771" s="3"/>
      <c r="Q771" s="3"/>
    </row>
    <row r="774" spans="4:17" x14ac:dyDescent="0.25">
      <c r="D774" s="3"/>
      <c r="Q774" s="3"/>
    </row>
    <row r="777" spans="4:17" x14ac:dyDescent="0.25">
      <c r="D777" s="3"/>
      <c r="Q777" s="3"/>
    </row>
    <row r="780" spans="4:17" x14ac:dyDescent="0.25">
      <c r="D780" s="3"/>
      <c r="Q780" s="3"/>
    </row>
    <row r="783" spans="4:17" x14ac:dyDescent="0.25">
      <c r="D783" s="3"/>
      <c r="Q783" s="3"/>
    </row>
    <row r="786" spans="4:17" x14ac:dyDescent="0.25">
      <c r="D786" s="3"/>
      <c r="Q786" s="3"/>
    </row>
    <row r="789" spans="4:17" x14ac:dyDescent="0.25">
      <c r="D789" s="3"/>
      <c r="Q789" s="3"/>
    </row>
    <row r="792" spans="4:17" x14ac:dyDescent="0.25">
      <c r="D792" s="3"/>
      <c r="Q792" s="3"/>
    </row>
    <row r="795" spans="4:17" x14ac:dyDescent="0.25">
      <c r="D795" s="3"/>
      <c r="Q795" s="3"/>
    </row>
    <row r="798" spans="4:17" x14ac:dyDescent="0.25">
      <c r="D798" s="3"/>
      <c r="Q798" s="3"/>
    </row>
    <row r="801" spans="4:17" x14ac:dyDescent="0.25">
      <c r="D801" s="3"/>
      <c r="Q801" s="3"/>
    </row>
    <row r="804" spans="4:17" x14ac:dyDescent="0.25">
      <c r="D804" s="3"/>
      <c r="Q804" s="3"/>
    </row>
    <row r="807" spans="4:17" x14ac:dyDescent="0.25">
      <c r="D807" s="3"/>
      <c r="Q807" s="3"/>
    </row>
    <row r="810" spans="4:17" x14ac:dyDescent="0.25">
      <c r="D810" s="3"/>
      <c r="Q810" s="3"/>
    </row>
    <row r="813" spans="4:17" x14ac:dyDescent="0.25">
      <c r="D813" s="3"/>
      <c r="Q813" s="3"/>
    </row>
    <row r="816" spans="4:17" x14ac:dyDescent="0.25">
      <c r="D816" s="3"/>
      <c r="Q816" s="3"/>
    </row>
    <row r="819" spans="4:17" x14ac:dyDescent="0.25">
      <c r="D819" s="3"/>
      <c r="Q819" s="3"/>
    </row>
    <row r="822" spans="4:17" x14ac:dyDescent="0.25">
      <c r="D822" s="3"/>
      <c r="Q822" s="3"/>
    </row>
    <row r="825" spans="4:17" x14ac:dyDescent="0.25">
      <c r="D825" s="3"/>
      <c r="Q825" s="3"/>
    </row>
    <row r="828" spans="4:17" x14ac:dyDescent="0.25">
      <c r="D828" s="3"/>
      <c r="Q828" s="3"/>
    </row>
    <row r="831" spans="4:17" x14ac:dyDescent="0.25">
      <c r="D831" s="3"/>
      <c r="Q831" s="3"/>
    </row>
    <row r="834" spans="4:17" x14ac:dyDescent="0.25">
      <c r="D834" s="3"/>
      <c r="Q834" s="3"/>
    </row>
    <row r="837" spans="4:17" x14ac:dyDescent="0.25">
      <c r="D837" s="3"/>
      <c r="Q837" s="3"/>
    </row>
    <row r="840" spans="4:17" x14ac:dyDescent="0.25">
      <c r="D840" s="3"/>
      <c r="Q840" s="3"/>
    </row>
    <row r="843" spans="4:17" x14ac:dyDescent="0.25">
      <c r="D843" s="3"/>
      <c r="Q843" s="3"/>
    </row>
    <row r="846" spans="4:17" x14ac:dyDescent="0.25">
      <c r="D846" s="3"/>
      <c r="Q846" s="3"/>
    </row>
    <row r="849" spans="4:17" x14ac:dyDescent="0.25">
      <c r="D849" s="3"/>
      <c r="Q849" s="3"/>
    </row>
    <row r="852" spans="4:17" x14ac:dyDescent="0.25">
      <c r="D852" s="3"/>
      <c r="Q852" s="3"/>
    </row>
    <row r="855" spans="4:17" x14ac:dyDescent="0.25">
      <c r="D855" s="3"/>
      <c r="Q855" s="3"/>
    </row>
    <row r="858" spans="4:17" x14ac:dyDescent="0.25">
      <c r="D858" s="3"/>
      <c r="Q858" s="3"/>
    </row>
    <row r="861" spans="4:17" x14ac:dyDescent="0.25">
      <c r="D861" s="3"/>
      <c r="Q861" s="3"/>
    </row>
    <row r="864" spans="4:17" x14ac:dyDescent="0.25">
      <c r="D864" s="3"/>
      <c r="Q864" s="3"/>
    </row>
    <row r="867" spans="4:17" x14ac:dyDescent="0.25">
      <c r="D867" s="3"/>
      <c r="Q867" s="3"/>
    </row>
    <row r="870" spans="4:17" x14ac:dyDescent="0.25">
      <c r="D870" s="3"/>
      <c r="Q870" s="3"/>
    </row>
    <row r="873" spans="4:17" x14ac:dyDescent="0.25">
      <c r="D873" s="3"/>
      <c r="Q873" s="3"/>
    </row>
    <row r="876" spans="4:17" x14ac:dyDescent="0.25">
      <c r="D876" s="3"/>
      <c r="Q876" s="3"/>
    </row>
    <row r="879" spans="4:17" x14ac:dyDescent="0.25">
      <c r="D879" s="3"/>
      <c r="Q879" s="3"/>
    </row>
    <row r="882" spans="4:17" x14ac:dyDescent="0.25">
      <c r="D882" s="3"/>
      <c r="Q882" s="3"/>
    </row>
    <row r="885" spans="4:17" x14ac:dyDescent="0.25">
      <c r="D885" s="3"/>
      <c r="Q885" s="3"/>
    </row>
    <row r="888" spans="4:17" x14ac:dyDescent="0.25">
      <c r="D888" s="3"/>
      <c r="Q888" s="3"/>
    </row>
    <row r="891" spans="4:17" x14ac:dyDescent="0.25">
      <c r="D891" s="3"/>
      <c r="Q891" s="3"/>
    </row>
    <row r="894" spans="4:17" x14ac:dyDescent="0.25">
      <c r="D894" s="3"/>
      <c r="Q894" s="3"/>
    </row>
    <row r="897" spans="4:17" x14ac:dyDescent="0.25">
      <c r="D897" s="3"/>
      <c r="Q897" s="3"/>
    </row>
    <row r="900" spans="4:17" x14ac:dyDescent="0.25">
      <c r="D900" s="3"/>
      <c r="Q900" s="3"/>
    </row>
    <row r="903" spans="4:17" x14ac:dyDescent="0.25">
      <c r="D903" s="3"/>
      <c r="Q903" s="3"/>
    </row>
    <row r="906" spans="4:17" x14ac:dyDescent="0.25">
      <c r="D906" s="3"/>
      <c r="Q906" s="3"/>
    </row>
    <row r="909" spans="4:17" x14ac:dyDescent="0.25">
      <c r="D909" s="3"/>
      <c r="Q909" s="3"/>
    </row>
    <row r="912" spans="4:17" x14ac:dyDescent="0.25">
      <c r="D912" s="3"/>
      <c r="Q912" s="3"/>
    </row>
    <row r="915" spans="4:17" x14ac:dyDescent="0.25">
      <c r="D915" s="3"/>
      <c r="Q915" s="3"/>
    </row>
    <row r="918" spans="4:17" x14ac:dyDescent="0.25">
      <c r="D918" s="3"/>
      <c r="Q918" s="3"/>
    </row>
    <row r="921" spans="4:17" x14ac:dyDescent="0.25">
      <c r="D921" s="3"/>
      <c r="Q921" s="3"/>
    </row>
    <row r="924" spans="4:17" x14ac:dyDescent="0.25">
      <c r="D924" s="3"/>
      <c r="Q924" s="3"/>
    </row>
    <row r="927" spans="4:17" x14ac:dyDescent="0.25">
      <c r="D927" s="3"/>
      <c r="Q927" s="3"/>
    </row>
    <row r="930" spans="4:17" x14ac:dyDescent="0.25">
      <c r="D930" s="3"/>
      <c r="Q930" s="3"/>
    </row>
    <row r="933" spans="4:17" x14ac:dyDescent="0.25">
      <c r="D933" s="3"/>
      <c r="Q933" s="3"/>
    </row>
    <row r="936" spans="4:17" x14ac:dyDescent="0.25">
      <c r="D936" s="3"/>
      <c r="Q936" s="3"/>
    </row>
    <row r="939" spans="4:17" x14ac:dyDescent="0.25">
      <c r="D939" s="3"/>
      <c r="Q939" s="3"/>
    </row>
    <row r="942" spans="4:17" x14ac:dyDescent="0.25">
      <c r="D942" s="3"/>
      <c r="Q942" s="3"/>
    </row>
    <row r="945" spans="4:17" x14ac:dyDescent="0.25">
      <c r="D945" s="3"/>
      <c r="Q945" s="3"/>
    </row>
    <row r="948" spans="4:17" x14ac:dyDescent="0.25">
      <c r="D948" s="3"/>
      <c r="Q948" s="3"/>
    </row>
    <row r="951" spans="4:17" x14ac:dyDescent="0.25">
      <c r="D951" s="3"/>
      <c r="Q951" s="3"/>
    </row>
    <row r="954" spans="4:17" x14ac:dyDescent="0.25">
      <c r="D954" s="3"/>
      <c r="Q954" s="3"/>
    </row>
    <row r="957" spans="4:17" x14ac:dyDescent="0.25">
      <c r="D957" s="3"/>
      <c r="Q957" s="3"/>
    </row>
    <row r="960" spans="4:17" x14ac:dyDescent="0.25">
      <c r="D960" s="3"/>
      <c r="Q960" s="3"/>
    </row>
    <row r="961" spans="4:17" x14ac:dyDescent="0.25">
      <c r="Q961" s="3"/>
    </row>
    <row r="964" spans="4:17" x14ac:dyDescent="0.25">
      <c r="D964" s="3"/>
      <c r="Q964" s="3"/>
    </row>
    <row r="967" spans="4:17" x14ac:dyDescent="0.25">
      <c r="D967" s="3"/>
      <c r="Q967" s="3"/>
    </row>
    <row r="970" spans="4:17" x14ac:dyDescent="0.25">
      <c r="D970" s="3"/>
      <c r="Q970" s="3"/>
    </row>
    <row r="971" spans="4:17" x14ac:dyDescent="0.25">
      <c r="Q971" s="3"/>
    </row>
    <row r="974" spans="4:17" x14ac:dyDescent="0.25">
      <c r="D974" s="3"/>
      <c r="Q974" s="3"/>
    </row>
    <row r="975" spans="4:17" x14ac:dyDescent="0.25">
      <c r="Q975" s="3"/>
    </row>
    <row r="976" spans="4:17" x14ac:dyDescent="0.25">
      <c r="Q976" s="3"/>
    </row>
    <row r="979" spans="4:17" x14ac:dyDescent="0.25">
      <c r="D979" s="3"/>
      <c r="Q979" s="3"/>
    </row>
    <row r="980" spans="4:17" x14ac:dyDescent="0.25">
      <c r="Q980" s="3"/>
    </row>
    <row r="983" spans="4:17" x14ac:dyDescent="0.25">
      <c r="D983" s="3"/>
      <c r="Q983" s="3"/>
    </row>
    <row r="984" spans="4:17" x14ac:dyDescent="0.25">
      <c r="Q984" s="3"/>
    </row>
    <row r="987" spans="4:17" x14ac:dyDescent="0.25">
      <c r="D987" s="3"/>
      <c r="Q987" s="3"/>
    </row>
    <row r="990" spans="4:17" x14ac:dyDescent="0.25">
      <c r="D990" s="3"/>
      <c r="Q990" s="3"/>
    </row>
    <row r="993" spans="4:17" x14ac:dyDescent="0.25">
      <c r="D993" s="3"/>
      <c r="Q993" s="3"/>
    </row>
    <row r="996" spans="4:17" x14ac:dyDescent="0.25">
      <c r="D996" s="3"/>
      <c r="Q996" s="3"/>
    </row>
    <row r="999" spans="4:17" x14ac:dyDescent="0.25">
      <c r="D999" s="3"/>
      <c r="Q999" s="3"/>
    </row>
    <row r="1000" spans="4:17" x14ac:dyDescent="0.25">
      <c r="Q1000" s="3"/>
    </row>
    <row r="1003" spans="4:17" x14ac:dyDescent="0.25">
      <c r="D1003" s="3"/>
      <c r="Q1003" s="3"/>
    </row>
    <row r="1006" spans="4:17" x14ac:dyDescent="0.25">
      <c r="D1006" s="3"/>
      <c r="Q1006" s="3"/>
    </row>
    <row r="1009" spans="4:17" x14ac:dyDescent="0.25">
      <c r="D1009" s="3"/>
      <c r="Q1009" s="3"/>
    </row>
    <row r="1012" spans="4:17" x14ac:dyDescent="0.25">
      <c r="D1012" s="3"/>
      <c r="Q1012" s="3"/>
    </row>
    <row r="1015" spans="4:17" x14ac:dyDescent="0.25">
      <c r="D1015" s="3"/>
      <c r="Q1015" s="3"/>
    </row>
    <row r="1018" spans="4:17" x14ac:dyDescent="0.25">
      <c r="D1018" s="3"/>
      <c r="Q1018" s="3"/>
    </row>
    <row r="1021" spans="4:17" x14ac:dyDescent="0.25">
      <c r="D1021" s="3"/>
      <c r="Q1021" s="3"/>
    </row>
    <row r="1022" spans="4:17" x14ac:dyDescent="0.25">
      <c r="Q1022" s="3"/>
    </row>
    <row r="1025" spans="4:17" x14ac:dyDescent="0.25">
      <c r="D1025" s="3"/>
      <c r="Q1025" s="3"/>
    </row>
    <row r="1026" spans="4:17" x14ac:dyDescent="0.25">
      <c r="Q1026" s="3"/>
    </row>
    <row r="1029" spans="4:17" x14ac:dyDescent="0.25">
      <c r="D1029" s="3"/>
      <c r="Q1029" s="3"/>
    </row>
    <row r="1030" spans="4:17" x14ac:dyDescent="0.25">
      <c r="Q1030" s="3"/>
    </row>
    <row r="1031" spans="4:17" x14ac:dyDescent="0.25">
      <c r="Q1031" s="3"/>
    </row>
    <row r="1032" spans="4:17" x14ac:dyDescent="0.25">
      <c r="Q1032" s="3"/>
    </row>
    <row r="1033" spans="4:17" x14ac:dyDescent="0.25">
      <c r="Q1033" s="3"/>
    </row>
    <row r="1034" spans="4:17" x14ac:dyDescent="0.25">
      <c r="Q1034" s="3"/>
    </row>
    <row r="1035" spans="4:17" x14ac:dyDescent="0.25">
      <c r="Q1035" s="3"/>
    </row>
    <row r="1036" spans="4:17" x14ac:dyDescent="0.25">
      <c r="Q1036" s="3"/>
    </row>
    <row r="1039" spans="4:17" x14ac:dyDescent="0.25">
      <c r="D1039" s="3"/>
      <c r="Q1039" s="3"/>
    </row>
    <row r="1040" spans="4:17" x14ac:dyDescent="0.25">
      <c r="Q1040" s="3"/>
    </row>
    <row r="1041" spans="4:17" x14ac:dyDescent="0.25">
      <c r="Q1041" s="3"/>
    </row>
    <row r="1044" spans="4:17" x14ac:dyDescent="0.25">
      <c r="D1044" s="3"/>
      <c r="Q1044" s="3"/>
    </row>
    <row r="1045" spans="4:17" x14ac:dyDescent="0.25">
      <c r="Q1045" s="3"/>
    </row>
    <row r="1046" spans="4:17" x14ac:dyDescent="0.25">
      <c r="Q1046" s="3"/>
    </row>
    <row r="1047" spans="4:17" x14ac:dyDescent="0.25">
      <c r="Q1047" s="3"/>
    </row>
    <row r="1048" spans="4:17" x14ac:dyDescent="0.25">
      <c r="Q1048" s="3"/>
    </row>
    <row r="1049" spans="4:17" x14ac:dyDescent="0.25">
      <c r="Q1049" s="3"/>
    </row>
    <row r="1050" spans="4:17" x14ac:dyDescent="0.25">
      <c r="Q1050" s="3"/>
    </row>
    <row r="1051" spans="4:17" x14ac:dyDescent="0.25">
      <c r="Q1051" s="3"/>
    </row>
    <row r="1052" spans="4:17" x14ac:dyDescent="0.25">
      <c r="Q1052" s="3"/>
    </row>
    <row r="1053" spans="4:17" x14ac:dyDescent="0.25">
      <c r="Q1053" s="3"/>
    </row>
    <row r="1054" spans="4:17" x14ac:dyDescent="0.25">
      <c r="Q1054" s="3"/>
    </row>
    <row r="1055" spans="4:17" x14ac:dyDescent="0.25">
      <c r="Q1055" s="3"/>
    </row>
    <row r="1058" spans="4:17" x14ac:dyDescent="0.25">
      <c r="D1058" s="3"/>
      <c r="Q1058" s="3"/>
    </row>
    <row r="1059" spans="4:17" x14ac:dyDescent="0.25">
      <c r="Q1059" s="3"/>
    </row>
    <row r="1060" spans="4:17" x14ac:dyDescent="0.25">
      <c r="Q1060" s="3"/>
    </row>
    <row r="1061" spans="4:17" x14ac:dyDescent="0.25">
      <c r="Q1061" s="3"/>
    </row>
    <row r="1062" spans="4:17" x14ac:dyDescent="0.25">
      <c r="Q1062" s="3"/>
    </row>
    <row r="1063" spans="4:17" x14ac:dyDescent="0.25">
      <c r="Q1063" s="3"/>
    </row>
    <row r="1064" spans="4:17" x14ac:dyDescent="0.25">
      <c r="Q1064" s="3"/>
    </row>
    <row r="1067" spans="4:17" x14ac:dyDescent="0.25">
      <c r="D1067" s="3"/>
      <c r="Q1067" s="3"/>
    </row>
    <row r="1070" spans="4:17" x14ac:dyDescent="0.25">
      <c r="D1070" s="3"/>
      <c r="Q1070" s="3"/>
    </row>
    <row r="1073" spans="4:17" x14ac:dyDescent="0.25">
      <c r="D1073" s="3"/>
      <c r="Q1073" s="3"/>
    </row>
    <row r="1074" spans="4:17" x14ac:dyDescent="0.25">
      <c r="Q1074" s="3"/>
    </row>
    <row r="1077" spans="4:17" x14ac:dyDescent="0.25">
      <c r="D1077" s="3"/>
      <c r="Q1077" s="3"/>
    </row>
    <row r="1080" spans="4:17" x14ac:dyDescent="0.25">
      <c r="D1080" s="3"/>
      <c r="Q1080" s="3"/>
    </row>
    <row r="1081" spans="4:17" x14ac:dyDescent="0.25">
      <c r="Q1081" s="3"/>
    </row>
    <row r="1082" spans="4:17" x14ac:dyDescent="0.25">
      <c r="Q1082" s="3"/>
    </row>
    <row r="1085" spans="4:17" x14ac:dyDescent="0.25">
      <c r="D1085" s="3"/>
      <c r="Q1085" s="3"/>
    </row>
    <row r="1088" spans="4:17" x14ac:dyDescent="0.25">
      <c r="D1088" s="3"/>
      <c r="Q1088" s="3"/>
    </row>
    <row r="1089" spans="4:17" x14ac:dyDescent="0.25">
      <c r="Q1089" s="3"/>
    </row>
    <row r="1090" spans="4:17" x14ac:dyDescent="0.25">
      <c r="Q1090" s="3"/>
    </row>
    <row r="1093" spans="4:17" x14ac:dyDescent="0.25">
      <c r="D1093" s="3"/>
      <c r="Q1093" s="3"/>
    </row>
    <row r="1094" spans="4:17" x14ac:dyDescent="0.25">
      <c r="Q1094" s="3"/>
    </row>
    <row r="1095" spans="4:17" x14ac:dyDescent="0.25">
      <c r="Q1095" s="3"/>
    </row>
    <row r="1098" spans="4:17" x14ac:dyDescent="0.25">
      <c r="D1098" s="3"/>
      <c r="Q1098" s="3"/>
    </row>
    <row r="1101" spans="4:17" x14ac:dyDescent="0.25">
      <c r="D1101" s="3"/>
      <c r="Q1101" s="3"/>
    </row>
    <row r="1102" spans="4:17" x14ac:dyDescent="0.25">
      <c r="Q1102" s="3"/>
    </row>
    <row r="1105" spans="4:17" x14ac:dyDescent="0.25">
      <c r="D1105" s="3"/>
      <c r="Q1105" s="3"/>
    </row>
    <row r="1108" spans="4:17" x14ac:dyDescent="0.25">
      <c r="D1108" s="3"/>
      <c r="Q1108" s="3"/>
    </row>
    <row r="1109" spans="4:17" x14ac:dyDescent="0.25">
      <c r="Q1109" s="3"/>
    </row>
    <row r="1112" spans="4:17" x14ac:dyDescent="0.25">
      <c r="D1112" s="3"/>
      <c r="Q1112" s="3"/>
    </row>
    <row r="1115" spans="4:17" x14ac:dyDescent="0.25">
      <c r="D1115" s="3"/>
      <c r="Q1115" s="3"/>
    </row>
    <row r="1118" spans="4:17" x14ac:dyDescent="0.25">
      <c r="D1118" s="3"/>
      <c r="Q1118" s="3"/>
    </row>
    <row r="1121" spans="4:17" x14ac:dyDescent="0.25">
      <c r="D1121" s="3"/>
      <c r="Q1121" s="3"/>
    </row>
    <row r="1124" spans="4:17" x14ac:dyDescent="0.25">
      <c r="D1124" s="3"/>
      <c r="Q1124" s="3"/>
    </row>
    <row r="1125" spans="4:17" x14ac:dyDescent="0.25">
      <c r="Q1125" s="3"/>
    </row>
    <row r="1128" spans="4:17" x14ac:dyDescent="0.25">
      <c r="D1128" s="3"/>
      <c r="Q1128" s="3"/>
    </row>
    <row r="1129" spans="4:17" x14ac:dyDescent="0.25">
      <c r="Q1129" s="3"/>
    </row>
    <row r="1132" spans="4:17" x14ac:dyDescent="0.25">
      <c r="D1132" s="3"/>
      <c r="Q1132" s="3"/>
    </row>
    <row r="1133" spans="4:17" x14ac:dyDescent="0.25">
      <c r="Q1133" s="3"/>
    </row>
    <row r="1136" spans="4:17" x14ac:dyDescent="0.25">
      <c r="D1136" s="3"/>
      <c r="Q1136" s="3"/>
    </row>
    <row r="1139" spans="4:17" x14ac:dyDescent="0.25">
      <c r="D1139" s="3"/>
      <c r="Q1139" s="3"/>
    </row>
    <row r="1142" spans="4:17" x14ac:dyDescent="0.25">
      <c r="D1142" s="3"/>
      <c r="Q1142" s="3"/>
    </row>
    <row r="1143" spans="4:17" x14ac:dyDescent="0.25">
      <c r="Q1143" s="3"/>
    </row>
    <row r="1144" spans="4:17" x14ac:dyDescent="0.25">
      <c r="Q1144" s="3"/>
    </row>
    <row r="1147" spans="4:17" x14ac:dyDescent="0.25">
      <c r="D1147" s="3"/>
      <c r="Q1147" s="3"/>
    </row>
    <row r="1148" spans="4:17" x14ac:dyDescent="0.25">
      <c r="Q1148" s="3"/>
    </row>
    <row r="1151" spans="4:17" x14ac:dyDescent="0.25">
      <c r="D1151" s="3"/>
      <c r="Q1151" s="3"/>
    </row>
    <row r="1154" spans="4:17" x14ac:dyDescent="0.25">
      <c r="D1154" s="3"/>
      <c r="Q1154" s="3"/>
    </row>
    <row r="1155" spans="4:17" x14ac:dyDescent="0.25">
      <c r="Q1155" s="3"/>
    </row>
    <row r="1156" spans="4:17" x14ac:dyDescent="0.25">
      <c r="Q1156" s="3"/>
    </row>
    <row r="1159" spans="4:17" x14ac:dyDescent="0.25">
      <c r="D1159" s="3"/>
      <c r="Q1159" s="3"/>
    </row>
    <row r="1162" spans="4:17" x14ac:dyDescent="0.25">
      <c r="D1162" s="3"/>
      <c r="Q1162" s="3"/>
    </row>
    <row r="1165" spans="4:17" x14ac:dyDescent="0.25">
      <c r="D1165" s="3"/>
      <c r="Q1165" s="3"/>
    </row>
    <row r="1168" spans="4:17" x14ac:dyDescent="0.25">
      <c r="D1168" s="3"/>
      <c r="Q1168" s="3"/>
    </row>
    <row r="1171" spans="4:17" x14ac:dyDescent="0.25">
      <c r="D1171" s="3"/>
      <c r="Q1171" s="3"/>
    </row>
    <row r="1174" spans="4:17" x14ac:dyDescent="0.25">
      <c r="D1174" s="3"/>
      <c r="Q1174" s="3"/>
    </row>
    <row r="1177" spans="4:17" x14ac:dyDescent="0.25">
      <c r="D1177" s="3"/>
      <c r="Q1177" s="3"/>
    </row>
    <row r="1180" spans="4:17" x14ac:dyDescent="0.25">
      <c r="D1180" s="3"/>
      <c r="Q1180" s="3"/>
    </row>
    <row r="1183" spans="4:17" x14ac:dyDescent="0.25">
      <c r="D1183" s="3"/>
      <c r="Q1183" s="3"/>
    </row>
    <row r="1186" spans="4:17" x14ac:dyDescent="0.25">
      <c r="D1186" s="3"/>
      <c r="Q1186" s="3"/>
    </row>
    <row r="1189" spans="4:17" x14ac:dyDescent="0.25">
      <c r="D1189" s="3"/>
      <c r="Q1189" s="3"/>
    </row>
    <row r="1192" spans="4:17" x14ac:dyDescent="0.25">
      <c r="D1192" s="3"/>
      <c r="Q1192" s="3"/>
    </row>
    <row r="1195" spans="4:17" x14ac:dyDescent="0.25">
      <c r="D1195" s="3"/>
      <c r="Q1195" s="3"/>
    </row>
    <row r="1198" spans="4:17" x14ac:dyDescent="0.25">
      <c r="D1198" s="3"/>
      <c r="Q1198" s="3"/>
    </row>
    <row r="1201" spans="4:17" x14ac:dyDescent="0.25">
      <c r="D1201" s="3"/>
      <c r="Q1201" s="3"/>
    </row>
    <row r="1204" spans="4:17" x14ac:dyDescent="0.25">
      <c r="D1204" s="3"/>
      <c r="Q1204" s="3"/>
    </row>
    <row r="1207" spans="4:17" x14ac:dyDescent="0.25">
      <c r="D1207" s="3"/>
      <c r="Q1207" s="3"/>
    </row>
    <row r="1210" spans="4:17" x14ac:dyDescent="0.25">
      <c r="D1210" s="3"/>
      <c r="Q1210" s="3"/>
    </row>
    <row r="1213" spans="4:17" x14ac:dyDescent="0.25">
      <c r="D1213" s="3"/>
      <c r="Q1213" s="3"/>
    </row>
    <row r="1214" spans="4:17" x14ac:dyDescent="0.25">
      <c r="Q1214" s="3"/>
    </row>
    <row r="1215" spans="4:17" x14ac:dyDescent="0.25">
      <c r="Q1215" s="3"/>
    </row>
    <row r="1218" spans="4:17" x14ac:dyDescent="0.25">
      <c r="D1218" s="3"/>
      <c r="Q1218" s="3"/>
    </row>
    <row r="1219" spans="4:17" x14ac:dyDescent="0.25">
      <c r="Q1219" s="3"/>
    </row>
    <row r="1222" spans="4:17" x14ac:dyDescent="0.25">
      <c r="D1222" s="3"/>
      <c r="Q1222" s="3"/>
    </row>
    <row r="1223" spans="4:17" x14ac:dyDescent="0.25">
      <c r="Q1223" s="3"/>
    </row>
    <row r="1224" spans="4:17" x14ac:dyDescent="0.25">
      <c r="Q1224" s="3"/>
    </row>
    <row r="1225" spans="4:17" x14ac:dyDescent="0.25">
      <c r="Q1225" s="3"/>
    </row>
    <row r="1228" spans="4:17" x14ac:dyDescent="0.25">
      <c r="D1228" s="3"/>
      <c r="Q1228" s="3"/>
    </row>
    <row r="1229" spans="4:17" x14ac:dyDescent="0.25">
      <c r="Q1229" s="3"/>
    </row>
    <row r="1230" spans="4:17" x14ac:dyDescent="0.25">
      <c r="Q1230" s="3"/>
    </row>
    <row r="1231" spans="4:17" x14ac:dyDescent="0.25">
      <c r="Q1231" s="3"/>
    </row>
    <row r="1234" spans="4:17" x14ac:dyDescent="0.25">
      <c r="D1234" s="3"/>
      <c r="Q1234" s="3"/>
    </row>
    <row r="1235" spans="4:17" x14ac:dyDescent="0.25">
      <c r="Q1235" s="3"/>
    </row>
    <row r="1236" spans="4:17" x14ac:dyDescent="0.25">
      <c r="Q1236" s="3"/>
    </row>
    <row r="1237" spans="4:17" x14ac:dyDescent="0.25">
      <c r="Q1237" s="3"/>
    </row>
    <row r="1240" spans="4:17" x14ac:dyDescent="0.25">
      <c r="D1240" s="3"/>
      <c r="Q1240" s="3"/>
    </row>
    <row r="1241" spans="4:17" x14ac:dyDescent="0.25">
      <c r="Q1241" s="3"/>
    </row>
    <row r="1242" spans="4:17" x14ac:dyDescent="0.25">
      <c r="Q1242" s="3"/>
    </row>
    <row r="1243" spans="4:17" x14ac:dyDescent="0.25">
      <c r="Q1243" s="3"/>
    </row>
    <row r="1246" spans="4:17" x14ac:dyDescent="0.25">
      <c r="D1246" s="3"/>
      <c r="Q1246" s="3"/>
    </row>
    <row r="1247" spans="4:17" x14ac:dyDescent="0.25">
      <c r="Q1247" s="3"/>
    </row>
    <row r="1248" spans="4:17" x14ac:dyDescent="0.25">
      <c r="Q1248" s="3"/>
    </row>
    <row r="1251" spans="4:17" x14ac:dyDescent="0.25">
      <c r="D1251" s="3"/>
      <c r="Q1251" s="3"/>
    </row>
    <row r="1254" spans="4:17" x14ac:dyDescent="0.25">
      <c r="D1254" s="3"/>
      <c r="Q1254" s="3"/>
    </row>
    <row r="1257" spans="4:17" x14ac:dyDescent="0.25">
      <c r="D1257" s="3"/>
      <c r="Q1257" s="3"/>
    </row>
    <row r="1260" spans="4:17" x14ac:dyDescent="0.25">
      <c r="D1260" s="3"/>
      <c r="Q1260" s="3"/>
    </row>
    <row r="1263" spans="4:17" x14ac:dyDescent="0.25">
      <c r="D1263" s="3"/>
      <c r="Q1263" s="3"/>
    </row>
    <row r="1264" spans="4:17" x14ac:dyDescent="0.25">
      <c r="Q1264" s="3"/>
    </row>
    <row r="1267" spans="4:17" x14ac:dyDescent="0.25">
      <c r="D1267" s="3"/>
      <c r="Q1267" s="3"/>
    </row>
    <row r="1270" spans="4:17" x14ac:dyDescent="0.25">
      <c r="D1270" s="3"/>
      <c r="Q1270" s="3"/>
    </row>
    <row r="1273" spans="4:17" x14ac:dyDescent="0.25">
      <c r="D1273" s="3"/>
      <c r="Q1273" s="3"/>
    </row>
    <row r="1274" spans="4:17" x14ac:dyDescent="0.25">
      <c r="Q1274" s="3"/>
    </row>
    <row r="1277" spans="4:17" x14ac:dyDescent="0.25">
      <c r="D1277" s="3"/>
      <c r="Q1277" s="3"/>
    </row>
    <row r="1280" spans="4:17" x14ac:dyDescent="0.25">
      <c r="D1280" s="3"/>
      <c r="Q1280" s="3"/>
    </row>
    <row r="1283" spans="4:17" x14ac:dyDescent="0.25">
      <c r="D1283" s="3"/>
      <c r="Q1283" s="3"/>
    </row>
    <row r="1286" spans="4:17" x14ac:dyDescent="0.25">
      <c r="D1286" s="3"/>
      <c r="Q1286" s="3"/>
    </row>
    <row r="1289" spans="4:17" x14ac:dyDescent="0.25">
      <c r="D1289" s="3"/>
      <c r="Q1289" s="3"/>
    </row>
    <row r="1290" spans="4:17" x14ac:dyDescent="0.25">
      <c r="Q1290" s="3"/>
    </row>
    <row r="1293" spans="4:17" x14ac:dyDescent="0.25">
      <c r="D1293" s="3"/>
      <c r="Q1293" s="3"/>
    </row>
    <row r="1294" spans="4:17" x14ac:dyDescent="0.25">
      <c r="Q1294" s="3"/>
    </row>
    <row r="1297" spans="4:17" x14ac:dyDescent="0.25">
      <c r="D1297" s="3"/>
      <c r="Q1297" s="3"/>
    </row>
    <row r="1300" spans="4:17" x14ac:dyDescent="0.25">
      <c r="D1300" s="3"/>
      <c r="Q1300" s="3"/>
    </row>
    <row r="1301" spans="4:17" x14ac:dyDescent="0.25">
      <c r="Q1301" s="3"/>
    </row>
    <row r="1304" spans="4:17" x14ac:dyDescent="0.25">
      <c r="D1304" s="3"/>
      <c r="Q1304" s="3"/>
    </row>
    <row r="1305" spans="4:17" x14ac:dyDescent="0.25">
      <c r="Q1305" s="3"/>
    </row>
    <row r="1306" spans="4:17" x14ac:dyDescent="0.25">
      <c r="Q1306" s="3"/>
    </row>
    <row r="1307" spans="4:17" x14ac:dyDescent="0.25">
      <c r="Q1307" s="3"/>
    </row>
    <row r="1310" spans="4:17" x14ac:dyDescent="0.25">
      <c r="D1310" s="3"/>
      <c r="Q1310" s="3"/>
    </row>
    <row r="1311" spans="4:17" x14ac:dyDescent="0.25">
      <c r="Q1311" s="3"/>
    </row>
    <row r="1312" spans="4:17" x14ac:dyDescent="0.25">
      <c r="Q1312" s="3"/>
    </row>
    <row r="1313" spans="4:17" x14ac:dyDescent="0.25">
      <c r="Q1313" s="3"/>
    </row>
    <row r="1316" spans="4:17" x14ac:dyDescent="0.25">
      <c r="D1316" s="3"/>
      <c r="Q1316" s="3"/>
    </row>
    <row r="1317" spans="4:17" x14ac:dyDescent="0.25">
      <c r="Q1317" s="3"/>
    </row>
    <row r="1318" spans="4:17" x14ac:dyDescent="0.25">
      <c r="Q1318" s="3"/>
    </row>
    <row r="1319" spans="4:17" x14ac:dyDescent="0.25">
      <c r="Q1319" s="3"/>
    </row>
    <row r="1322" spans="4:17" x14ac:dyDescent="0.25">
      <c r="D1322" s="3"/>
      <c r="Q1322" s="3"/>
    </row>
    <row r="1323" spans="4:17" x14ac:dyDescent="0.25">
      <c r="Q1323" s="3"/>
    </row>
    <row r="1324" spans="4:17" x14ac:dyDescent="0.25">
      <c r="Q1324" s="3"/>
    </row>
    <row r="1325" spans="4:17" x14ac:dyDescent="0.25">
      <c r="Q1325" s="3"/>
    </row>
    <row r="1328" spans="4:17" x14ac:dyDescent="0.25">
      <c r="D1328" s="3"/>
      <c r="Q1328" s="3"/>
    </row>
    <row r="1331" spans="4:17" x14ac:dyDescent="0.25">
      <c r="D1331" s="3"/>
      <c r="Q1331" s="3"/>
    </row>
    <row r="1334" spans="4:17" x14ac:dyDescent="0.25">
      <c r="D1334" s="3"/>
      <c r="Q1334" s="3"/>
    </row>
    <row r="1337" spans="4:17" x14ac:dyDescent="0.25">
      <c r="D1337" s="3"/>
      <c r="Q1337" s="3"/>
    </row>
    <row r="1340" spans="4:17" x14ac:dyDescent="0.25">
      <c r="D1340" s="3"/>
      <c r="Q1340" s="3"/>
    </row>
    <row r="1343" spans="4:17" x14ac:dyDescent="0.25">
      <c r="D1343" s="3"/>
      <c r="Q1343" s="3"/>
    </row>
    <row r="1346" spans="4:17" x14ac:dyDescent="0.25">
      <c r="D1346" s="3"/>
      <c r="Q1346" s="3"/>
    </row>
    <row r="1349" spans="4:17" x14ac:dyDescent="0.25">
      <c r="D1349" s="3"/>
      <c r="Q1349" s="3"/>
    </row>
    <row r="1352" spans="4:17" x14ac:dyDescent="0.25">
      <c r="D1352" s="3"/>
      <c r="Q1352" s="3"/>
    </row>
    <row r="1355" spans="4:17" x14ac:dyDescent="0.25">
      <c r="D1355" s="3"/>
      <c r="Q1355" s="3"/>
    </row>
    <row r="1358" spans="4:17" x14ac:dyDescent="0.25">
      <c r="D1358" s="3"/>
      <c r="Q1358" s="3"/>
    </row>
    <row r="1361" spans="4:17" x14ac:dyDescent="0.25">
      <c r="D1361" s="3"/>
      <c r="Q1361" s="3"/>
    </row>
    <row r="1364" spans="4:17" x14ac:dyDescent="0.25">
      <c r="D1364" s="3"/>
      <c r="Q1364" s="3"/>
    </row>
    <row r="1365" spans="4:17" x14ac:dyDescent="0.25">
      <c r="Q1365" s="3"/>
    </row>
    <row r="1368" spans="4:17" x14ac:dyDescent="0.25">
      <c r="D1368" s="3"/>
      <c r="Q1368" s="3"/>
    </row>
    <row r="1369" spans="4:17" x14ac:dyDescent="0.25">
      <c r="Q1369" s="3"/>
    </row>
    <row r="1372" spans="4:17" x14ac:dyDescent="0.25">
      <c r="D1372" s="3"/>
      <c r="Q1372" s="3"/>
    </row>
    <row r="1375" spans="4:17" x14ac:dyDescent="0.25">
      <c r="D1375" s="3"/>
      <c r="Q1375" s="3"/>
    </row>
    <row r="1376" spans="4:17" x14ac:dyDescent="0.25">
      <c r="Q1376" s="3"/>
    </row>
    <row r="1377" spans="4:17" x14ac:dyDescent="0.25">
      <c r="Q1377" s="3"/>
    </row>
    <row r="1380" spans="4:17" x14ac:dyDescent="0.25">
      <c r="D1380" s="3"/>
      <c r="Q1380" s="3"/>
    </row>
    <row r="1383" spans="4:17" x14ac:dyDescent="0.25">
      <c r="D1383" s="3"/>
      <c r="Q1383" s="3"/>
    </row>
    <row r="1386" spans="4:17" x14ac:dyDescent="0.25">
      <c r="D1386" s="3"/>
      <c r="Q1386" s="3"/>
    </row>
    <row r="1389" spans="4:17" x14ac:dyDescent="0.25">
      <c r="D1389" s="3"/>
      <c r="Q1389" s="3"/>
    </row>
    <row r="1392" spans="4:17" x14ac:dyDescent="0.25">
      <c r="D1392" s="3"/>
      <c r="Q1392" s="3"/>
    </row>
    <row r="1393" spans="4:17" x14ac:dyDescent="0.25">
      <c r="Q1393" s="3"/>
    </row>
    <row r="1396" spans="4:17" x14ac:dyDescent="0.25">
      <c r="D1396" s="3"/>
      <c r="Q1396" s="3"/>
    </row>
    <row r="1399" spans="4:17" x14ac:dyDescent="0.25">
      <c r="D1399" s="3"/>
      <c r="Q1399" s="3"/>
    </row>
    <row r="1402" spans="4:17" x14ac:dyDescent="0.25">
      <c r="D1402" s="3"/>
      <c r="Q1402" s="3"/>
    </row>
    <row r="1403" spans="4:17" x14ac:dyDescent="0.25">
      <c r="Q1403" s="3"/>
    </row>
    <row r="1406" spans="4:17" x14ac:dyDescent="0.25">
      <c r="D1406" s="3"/>
      <c r="Q1406" s="3"/>
    </row>
    <row r="1409" spans="4:17" x14ac:dyDescent="0.25">
      <c r="D1409" s="3"/>
      <c r="Q1409" s="3"/>
    </row>
    <row r="1412" spans="4:17" x14ac:dyDescent="0.25">
      <c r="D1412" s="3"/>
      <c r="Q1412" s="3"/>
    </row>
    <row r="1413" spans="4:17" x14ac:dyDescent="0.25">
      <c r="Q1413" s="3"/>
    </row>
    <row r="1416" spans="4:17" x14ac:dyDescent="0.25">
      <c r="D1416" s="3"/>
      <c r="Q1416" s="3"/>
    </row>
    <row r="1419" spans="4:17" x14ac:dyDescent="0.25">
      <c r="D1419" s="3"/>
      <c r="Q1419" s="3"/>
    </row>
    <row r="1422" spans="4:17" x14ac:dyDescent="0.25">
      <c r="D1422" s="3"/>
      <c r="Q1422" s="3"/>
    </row>
    <row r="1425" spans="4:17" x14ac:dyDescent="0.25">
      <c r="D1425" s="3"/>
      <c r="Q1425" s="3"/>
    </row>
    <row r="1428" spans="4:17" x14ac:dyDescent="0.25">
      <c r="D1428" s="3"/>
      <c r="Q1428" s="3"/>
    </row>
    <row r="1431" spans="4:17" x14ac:dyDescent="0.25">
      <c r="D1431" s="3"/>
      <c r="Q1431" s="3"/>
    </row>
    <row r="1434" spans="4:17" x14ac:dyDescent="0.25">
      <c r="D1434" s="3"/>
      <c r="Q1434" s="3"/>
    </row>
    <row r="1437" spans="4:17" x14ac:dyDescent="0.25">
      <c r="D1437" s="3"/>
      <c r="Q1437" s="3"/>
    </row>
    <row r="1440" spans="4:17" x14ac:dyDescent="0.25">
      <c r="D1440" s="3"/>
      <c r="Q1440" s="3"/>
    </row>
    <row r="1443" spans="4:17" x14ac:dyDescent="0.25">
      <c r="D1443" s="3"/>
      <c r="Q1443" s="3"/>
    </row>
    <row r="1446" spans="4:17" x14ac:dyDescent="0.25">
      <c r="D1446" s="3"/>
      <c r="Q1446" s="3"/>
    </row>
    <row r="1449" spans="4:17" x14ac:dyDescent="0.25">
      <c r="D1449" s="3"/>
      <c r="Q1449" s="3"/>
    </row>
    <row r="1452" spans="4:17" x14ac:dyDescent="0.25">
      <c r="D1452" s="3"/>
      <c r="Q1452" s="3"/>
    </row>
    <row r="1455" spans="4:17" x14ac:dyDescent="0.25">
      <c r="D1455" s="3"/>
      <c r="Q1455" s="3"/>
    </row>
    <row r="1458" spans="4:17" x14ac:dyDescent="0.25">
      <c r="D1458" s="3"/>
      <c r="Q1458" s="3"/>
    </row>
    <row r="1461" spans="4:17" x14ac:dyDescent="0.25">
      <c r="D1461" s="3"/>
      <c r="Q1461" s="3"/>
    </row>
    <row r="1464" spans="4:17" x14ac:dyDescent="0.25">
      <c r="D1464" s="3"/>
      <c r="Q1464" s="3"/>
    </row>
    <row r="1467" spans="4:17" x14ac:dyDescent="0.25">
      <c r="D1467" s="3"/>
      <c r="Q1467" s="3"/>
    </row>
    <row r="1470" spans="4:17" x14ac:dyDescent="0.25">
      <c r="D1470" s="3"/>
      <c r="Q1470" s="3"/>
    </row>
    <row r="1473" spans="4:17" x14ac:dyDescent="0.25">
      <c r="D1473" s="3"/>
      <c r="Q1473" s="3"/>
    </row>
    <row r="1476" spans="4:17" x14ac:dyDescent="0.25">
      <c r="D1476" s="3"/>
      <c r="Q1476" s="3"/>
    </row>
    <row r="1479" spans="4:17" x14ac:dyDescent="0.25">
      <c r="D1479" s="3"/>
      <c r="Q1479" s="3"/>
    </row>
    <row r="1482" spans="4:17" x14ac:dyDescent="0.25">
      <c r="D1482" s="3"/>
      <c r="Q1482" s="3"/>
    </row>
    <row r="1485" spans="4:17" x14ac:dyDescent="0.25">
      <c r="D1485" s="3"/>
      <c r="Q1485" s="3"/>
    </row>
    <row r="1488" spans="4:17" x14ac:dyDescent="0.25">
      <c r="D1488" s="3"/>
      <c r="Q1488" s="3"/>
    </row>
    <row r="1491" spans="4:17" x14ac:dyDescent="0.25">
      <c r="D1491" s="3"/>
      <c r="Q1491" s="3"/>
    </row>
    <row r="1492" spans="4:17" x14ac:dyDescent="0.25">
      <c r="Q1492" s="3"/>
    </row>
    <row r="1495" spans="4:17" x14ac:dyDescent="0.25">
      <c r="D1495" s="3"/>
      <c r="Q1495" s="3"/>
    </row>
    <row r="1498" spans="4:17" x14ac:dyDescent="0.25">
      <c r="D1498" s="3"/>
      <c r="Q1498" s="3"/>
    </row>
    <row r="1499" spans="4:17" x14ac:dyDescent="0.25">
      <c r="Q1499" s="3"/>
    </row>
    <row r="1502" spans="4:17" x14ac:dyDescent="0.25">
      <c r="D1502" s="3"/>
      <c r="Q1502" s="3"/>
    </row>
    <row r="1503" spans="4:17" x14ac:dyDescent="0.25">
      <c r="Q1503" s="3"/>
    </row>
    <row r="1506" spans="4:17" x14ac:dyDescent="0.25">
      <c r="D1506" s="3"/>
      <c r="Q1506" s="3"/>
    </row>
    <row r="1509" spans="4:17" x14ac:dyDescent="0.25">
      <c r="D1509" s="3"/>
      <c r="Q1509" s="3"/>
    </row>
    <row r="1510" spans="4:17" x14ac:dyDescent="0.25">
      <c r="Q1510" s="3"/>
    </row>
    <row r="1513" spans="4:17" x14ac:dyDescent="0.25">
      <c r="D1513" s="3"/>
      <c r="Q1513" s="3"/>
    </row>
    <row r="1516" spans="4:17" x14ac:dyDescent="0.25">
      <c r="D1516" s="3"/>
      <c r="Q1516" s="3"/>
    </row>
    <row r="1517" spans="4:17" x14ac:dyDescent="0.25">
      <c r="Q1517" s="3"/>
    </row>
    <row r="1520" spans="4:17" x14ac:dyDescent="0.25">
      <c r="D1520" s="3"/>
      <c r="Q1520" s="3"/>
    </row>
    <row r="1523" spans="4:17" x14ac:dyDescent="0.25">
      <c r="D1523" s="3"/>
      <c r="Q1523" s="3"/>
    </row>
    <row r="1526" spans="4:17" x14ac:dyDescent="0.25">
      <c r="D1526" s="3"/>
      <c r="Q1526" s="3"/>
    </row>
    <row r="1529" spans="4:17" x14ac:dyDescent="0.25">
      <c r="D1529" s="3"/>
      <c r="Q1529" s="3"/>
    </row>
    <row r="1532" spans="4:17" x14ac:dyDescent="0.25">
      <c r="D1532" s="3"/>
      <c r="Q1532" s="3"/>
    </row>
    <row r="1535" spans="4:17" x14ac:dyDescent="0.25">
      <c r="D1535" s="3"/>
      <c r="Q1535" s="3"/>
    </row>
    <row r="1538" spans="4:17" x14ac:dyDescent="0.25">
      <c r="D1538" s="3"/>
      <c r="Q1538" s="3"/>
    </row>
    <row r="1539" spans="4:17" x14ac:dyDescent="0.25">
      <c r="Q1539" s="3"/>
    </row>
    <row r="1540" spans="4:17" x14ac:dyDescent="0.25">
      <c r="Q1540" s="3"/>
    </row>
    <row r="1543" spans="4:17" x14ac:dyDescent="0.25">
      <c r="D1543" s="3"/>
      <c r="Q1543" s="3"/>
    </row>
    <row r="1544" spans="4:17" x14ac:dyDescent="0.25">
      <c r="Q1544" s="3"/>
    </row>
    <row r="1547" spans="4:17" x14ac:dyDescent="0.25">
      <c r="D1547" s="3"/>
      <c r="Q1547" s="3"/>
    </row>
    <row r="1550" spans="4:17" x14ac:dyDescent="0.25">
      <c r="D1550" s="3"/>
      <c r="Q1550" s="3"/>
    </row>
    <row r="1553" spans="4:17" x14ac:dyDescent="0.25">
      <c r="D1553" s="3"/>
      <c r="Q1553" s="3"/>
    </row>
    <row r="1556" spans="4:17" x14ac:dyDescent="0.25">
      <c r="D1556" s="3"/>
      <c r="Q1556" s="3"/>
    </row>
    <row r="1559" spans="4:17" x14ac:dyDescent="0.25">
      <c r="D1559" s="3"/>
      <c r="Q1559" s="3"/>
    </row>
    <row r="1562" spans="4:17" x14ac:dyDescent="0.25">
      <c r="D1562" s="3"/>
      <c r="Q1562" s="3"/>
    </row>
    <row r="1565" spans="4:17" x14ac:dyDescent="0.25">
      <c r="D1565" s="3"/>
      <c r="Q1565" s="3"/>
    </row>
    <row r="1568" spans="4:17" x14ac:dyDescent="0.25">
      <c r="D1568" s="3"/>
      <c r="Q1568" s="3"/>
    </row>
    <row r="1571" spans="4:17" x14ac:dyDescent="0.25">
      <c r="D1571" s="3"/>
      <c r="Q1571" s="3"/>
    </row>
    <row r="1574" spans="4:17" x14ac:dyDescent="0.25">
      <c r="D1574" s="3"/>
      <c r="Q1574" s="3"/>
    </row>
    <row r="1577" spans="4:17" x14ac:dyDescent="0.25">
      <c r="D1577" s="3"/>
      <c r="Q1577" s="3"/>
    </row>
    <row r="1580" spans="4:17" x14ac:dyDescent="0.25">
      <c r="D1580" s="3"/>
      <c r="Q1580" s="3"/>
    </row>
    <row r="1581" spans="4:17" x14ac:dyDescent="0.25">
      <c r="Q1581" s="3"/>
    </row>
    <row r="1584" spans="4:17" x14ac:dyDescent="0.25">
      <c r="D1584" s="3"/>
      <c r="Q1584" s="3"/>
    </row>
    <row r="1587" spans="4:17" x14ac:dyDescent="0.25">
      <c r="D1587" s="3"/>
      <c r="Q1587" s="3"/>
    </row>
    <row r="1590" spans="4:17" x14ac:dyDescent="0.25">
      <c r="D1590" s="3"/>
      <c r="Q1590" s="3"/>
    </row>
    <row r="1593" spans="4:17" x14ac:dyDescent="0.25">
      <c r="D1593" s="3"/>
      <c r="Q1593" s="3"/>
    </row>
    <row r="1596" spans="4:17" x14ac:dyDescent="0.25">
      <c r="D1596" s="3"/>
      <c r="Q1596" s="3"/>
    </row>
    <row r="1599" spans="4:17" x14ac:dyDescent="0.25">
      <c r="D1599" s="3"/>
      <c r="Q1599" s="3"/>
    </row>
    <row r="1600" spans="4:17" x14ac:dyDescent="0.25">
      <c r="Q1600" s="3"/>
    </row>
    <row r="1601" spans="4:17" x14ac:dyDescent="0.25">
      <c r="Q1601" s="3"/>
    </row>
    <row r="1604" spans="4:17" x14ac:dyDescent="0.25">
      <c r="D1604" s="3"/>
      <c r="Q1604" s="3"/>
    </row>
    <row r="1605" spans="4:17" x14ac:dyDescent="0.25">
      <c r="Q1605" s="3"/>
    </row>
    <row r="1606" spans="4:17" x14ac:dyDescent="0.25">
      <c r="Q1606" s="3"/>
    </row>
    <row r="1607" spans="4:17" x14ac:dyDescent="0.25">
      <c r="Q1607" s="3"/>
    </row>
    <row r="1608" spans="4:17" x14ac:dyDescent="0.25">
      <c r="Q1608" s="3"/>
    </row>
    <row r="1609" spans="4:17" x14ac:dyDescent="0.25">
      <c r="Q1609" s="3"/>
    </row>
    <row r="1610" spans="4:17" x14ac:dyDescent="0.25">
      <c r="Q1610" s="3"/>
    </row>
    <row r="1611" spans="4:17" x14ac:dyDescent="0.25">
      <c r="Q1611" s="3"/>
    </row>
    <row r="1612" spans="4:17" x14ac:dyDescent="0.25">
      <c r="Q1612" s="3"/>
    </row>
    <row r="1615" spans="4:17" x14ac:dyDescent="0.25">
      <c r="D1615" s="3"/>
      <c r="Q1615" s="3"/>
    </row>
    <row r="1618" spans="4:17" x14ac:dyDescent="0.25">
      <c r="D1618" s="3"/>
      <c r="Q1618" s="3"/>
    </row>
    <row r="1619" spans="4:17" x14ac:dyDescent="0.25">
      <c r="Q1619" s="3"/>
    </row>
    <row r="1620" spans="4:17" x14ac:dyDescent="0.25">
      <c r="Q1620" s="3"/>
    </row>
    <row r="1623" spans="4:17" x14ac:dyDescent="0.25">
      <c r="D1623" s="3"/>
      <c r="Q1623" s="3"/>
    </row>
    <row r="1624" spans="4:17" x14ac:dyDescent="0.25">
      <c r="Q1624" s="3"/>
    </row>
    <row r="1625" spans="4:17" x14ac:dyDescent="0.25">
      <c r="Q1625" s="3"/>
    </row>
    <row r="1626" spans="4:17" x14ac:dyDescent="0.25">
      <c r="Q1626" s="3"/>
    </row>
    <row r="1627" spans="4:17" x14ac:dyDescent="0.25">
      <c r="Q1627" s="3"/>
    </row>
    <row r="1630" spans="4:17" x14ac:dyDescent="0.25">
      <c r="D1630" s="3"/>
      <c r="Q1630" s="3"/>
    </row>
    <row r="1631" spans="4:17" x14ac:dyDescent="0.25">
      <c r="Q1631" s="3"/>
    </row>
    <row r="1632" spans="4:17" x14ac:dyDescent="0.25">
      <c r="Q1632" s="3"/>
    </row>
    <row r="1633" spans="4:17" x14ac:dyDescent="0.25">
      <c r="Q1633" s="3"/>
    </row>
    <row r="1636" spans="4:17" x14ac:dyDescent="0.25">
      <c r="D1636" s="3"/>
      <c r="Q1636" s="3"/>
    </row>
    <row r="1639" spans="4:17" x14ac:dyDescent="0.25">
      <c r="D1639" s="3"/>
      <c r="Q1639" s="3"/>
    </row>
    <row r="1642" spans="4:17" x14ac:dyDescent="0.25">
      <c r="D1642" s="3"/>
      <c r="Q1642" s="3"/>
    </row>
    <row r="1643" spans="4:17" x14ac:dyDescent="0.25">
      <c r="Q1643" s="3"/>
    </row>
    <row r="1644" spans="4:17" x14ac:dyDescent="0.25">
      <c r="Q1644" s="3"/>
    </row>
    <row r="1647" spans="4:17" x14ac:dyDescent="0.25">
      <c r="D1647" s="3"/>
      <c r="Q1647" s="3"/>
    </row>
    <row r="1648" spans="4:17" x14ac:dyDescent="0.25">
      <c r="Q1648" s="3"/>
    </row>
    <row r="1651" spans="4:17" x14ac:dyDescent="0.25">
      <c r="D1651" s="3"/>
      <c r="Q1651" s="3"/>
    </row>
    <row r="1654" spans="4:17" x14ac:dyDescent="0.25">
      <c r="D1654" s="3"/>
      <c r="Q1654" s="3"/>
    </row>
    <row r="1657" spans="4:17" x14ac:dyDescent="0.25">
      <c r="D1657" s="3"/>
      <c r="Q1657" s="3"/>
    </row>
    <row r="1660" spans="4:17" x14ac:dyDescent="0.25">
      <c r="D1660" s="3"/>
      <c r="Q1660" s="3"/>
    </row>
    <row r="1661" spans="4:17" x14ac:dyDescent="0.25">
      <c r="Q1661" s="3"/>
    </row>
    <row r="1662" spans="4:17" x14ac:dyDescent="0.25">
      <c r="Q1662" s="3"/>
    </row>
    <row r="1663" spans="4:17" x14ac:dyDescent="0.25">
      <c r="Q1663" s="3"/>
    </row>
    <row r="1666" spans="4:17" x14ac:dyDescent="0.25">
      <c r="D1666" s="3"/>
      <c r="Q1666" s="3"/>
    </row>
    <row r="1667" spans="4:17" x14ac:dyDescent="0.25">
      <c r="Q1667" s="3"/>
    </row>
    <row r="1668" spans="4:17" x14ac:dyDescent="0.25">
      <c r="Q1668" s="3"/>
    </row>
    <row r="1669" spans="4:17" x14ac:dyDescent="0.25">
      <c r="Q1669" s="3"/>
    </row>
    <row r="1670" spans="4:17" x14ac:dyDescent="0.25">
      <c r="Q1670" s="3"/>
    </row>
    <row r="1671" spans="4:17" x14ac:dyDescent="0.25">
      <c r="Q1671" s="3"/>
    </row>
    <row r="1672" spans="4:17" x14ac:dyDescent="0.25">
      <c r="Q1672" s="3"/>
    </row>
    <row r="1673" spans="4:17" x14ac:dyDescent="0.25">
      <c r="Q1673" s="3"/>
    </row>
    <row r="1676" spans="4:17" x14ac:dyDescent="0.25">
      <c r="D1676" s="3"/>
      <c r="Q1676" s="3"/>
    </row>
    <row r="1677" spans="4:17" x14ac:dyDescent="0.25">
      <c r="Q1677" s="3"/>
    </row>
    <row r="1678" spans="4:17" x14ac:dyDescent="0.25">
      <c r="Q1678" s="3"/>
    </row>
    <row r="1681" spans="4:17" x14ac:dyDescent="0.25">
      <c r="D1681" s="3"/>
      <c r="Q1681" s="3"/>
    </row>
    <row r="1682" spans="4:17" x14ac:dyDescent="0.25">
      <c r="Q1682" s="3"/>
    </row>
    <row r="1685" spans="4:17" x14ac:dyDescent="0.25">
      <c r="D1685" s="3"/>
      <c r="Q1685" s="3"/>
    </row>
    <row r="1686" spans="4:17" x14ac:dyDescent="0.25">
      <c r="Q1686" s="3"/>
    </row>
    <row r="1687" spans="4:17" x14ac:dyDescent="0.25">
      <c r="Q1687" s="3"/>
    </row>
    <row r="1690" spans="4:17" x14ac:dyDescent="0.25">
      <c r="D1690" s="3"/>
      <c r="Q1690" s="3"/>
    </row>
    <row r="1693" spans="4:17" x14ac:dyDescent="0.25">
      <c r="D1693" s="3"/>
      <c r="Q1693" s="3"/>
    </row>
    <row r="1694" spans="4:17" x14ac:dyDescent="0.25">
      <c r="Q1694" s="3"/>
    </row>
    <row r="1695" spans="4:17" x14ac:dyDescent="0.25">
      <c r="Q1695" s="3"/>
    </row>
    <row r="1696" spans="4:17" x14ac:dyDescent="0.25">
      <c r="Q1696" s="3"/>
    </row>
    <row r="1697" spans="4:17" x14ac:dyDescent="0.25">
      <c r="Q1697" s="3"/>
    </row>
    <row r="1698" spans="4:17" x14ac:dyDescent="0.25">
      <c r="Q1698" s="3"/>
    </row>
    <row r="1699" spans="4:17" x14ac:dyDescent="0.25">
      <c r="Q1699" s="3"/>
    </row>
    <row r="1700" spans="4:17" x14ac:dyDescent="0.25">
      <c r="Q1700" s="3"/>
    </row>
    <row r="1701" spans="4:17" x14ac:dyDescent="0.25">
      <c r="Q1701" s="3"/>
    </row>
    <row r="1704" spans="4:17" x14ac:dyDescent="0.25">
      <c r="D1704" s="3"/>
      <c r="Q1704" s="3"/>
    </row>
    <row r="1705" spans="4:17" x14ac:dyDescent="0.25">
      <c r="Q1705" s="3"/>
    </row>
    <row r="1706" spans="4:17" x14ac:dyDescent="0.25">
      <c r="Q1706" s="3"/>
    </row>
    <row r="1707" spans="4:17" x14ac:dyDescent="0.25">
      <c r="Q1707" s="3"/>
    </row>
    <row r="1710" spans="4:17" x14ac:dyDescent="0.25">
      <c r="D1710" s="3"/>
      <c r="Q1710" s="3"/>
    </row>
    <row r="1711" spans="4:17" x14ac:dyDescent="0.25">
      <c r="Q1711" s="3"/>
    </row>
    <row r="1712" spans="4:17" x14ac:dyDescent="0.25">
      <c r="Q1712" s="3"/>
    </row>
    <row r="1713" spans="4:17" x14ac:dyDescent="0.25">
      <c r="Q1713" s="3"/>
    </row>
    <row r="1716" spans="4:17" x14ac:dyDescent="0.25">
      <c r="D1716" s="3"/>
      <c r="Q1716" s="3"/>
    </row>
    <row r="1717" spans="4:17" x14ac:dyDescent="0.25">
      <c r="Q1717" s="3"/>
    </row>
    <row r="1720" spans="4:17" x14ac:dyDescent="0.25">
      <c r="D1720" s="3"/>
      <c r="Q1720" s="3"/>
    </row>
    <row r="1723" spans="4:17" x14ac:dyDescent="0.25">
      <c r="D1723" s="3"/>
      <c r="Q1723" s="3"/>
    </row>
    <row r="1724" spans="4:17" x14ac:dyDescent="0.25">
      <c r="Q1724" s="3"/>
    </row>
    <row r="1725" spans="4:17" x14ac:dyDescent="0.25">
      <c r="Q1725" s="3"/>
    </row>
    <row r="1728" spans="4:17" x14ac:dyDescent="0.25">
      <c r="D1728" s="3"/>
      <c r="Q1728" s="3"/>
    </row>
    <row r="1731" spans="4:17" x14ac:dyDescent="0.25">
      <c r="D1731" s="3"/>
      <c r="Q1731" s="3"/>
    </row>
    <row r="1734" spans="4:17" x14ac:dyDescent="0.25">
      <c r="D1734" s="3"/>
      <c r="Q1734" s="3"/>
    </row>
    <row r="1737" spans="4:17" x14ac:dyDescent="0.25">
      <c r="D1737" s="3"/>
      <c r="Q1737" s="3"/>
    </row>
    <row r="1740" spans="4:17" x14ac:dyDescent="0.25">
      <c r="D1740" s="3"/>
      <c r="Q1740" s="3"/>
    </row>
    <row r="1741" spans="4:17" x14ac:dyDescent="0.25">
      <c r="Q1741" s="3"/>
    </row>
    <row r="1744" spans="4:17" x14ac:dyDescent="0.25">
      <c r="D1744" s="3"/>
      <c r="Q1744" s="3"/>
    </row>
    <row r="1747" spans="4:17" x14ac:dyDescent="0.25">
      <c r="D1747" s="3"/>
      <c r="Q1747" s="3"/>
    </row>
    <row r="1750" spans="4:17" x14ac:dyDescent="0.25">
      <c r="D1750" s="3"/>
      <c r="Q1750" s="3"/>
    </row>
    <row r="1753" spans="4:17" x14ac:dyDescent="0.25">
      <c r="D1753" s="3"/>
      <c r="Q1753" s="3"/>
    </row>
    <row r="1756" spans="4:17" x14ac:dyDescent="0.25">
      <c r="D1756" s="3"/>
      <c r="Q1756" s="3"/>
    </row>
    <row r="1759" spans="4:17" x14ac:dyDescent="0.25">
      <c r="D1759" s="3"/>
      <c r="Q1759" s="3"/>
    </row>
    <row r="1760" spans="4:17" x14ac:dyDescent="0.25">
      <c r="Q1760" s="3"/>
    </row>
    <row r="1763" spans="4:17" x14ac:dyDescent="0.25">
      <c r="D1763" s="3"/>
      <c r="Q1763" s="3"/>
    </row>
    <row r="1766" spans="4:17" x14ac:dyDescent="0.25">
      <c r="D1766" s="3"/>
      <c r="Q1766" s="3"/>
    </row>
    <row r="1769" spans="4:17" x14ac:dyDescent="0.25">
      <c r="D1769" s="3"/>
      <c r="Q1769" s="3"/>
    </row>
    <row r="1772" spans="4:17" x14ac:dyDescent="0.25">
      <c r="D1772" s="3"/>
      <c r="Q1772" s="3"/>
    </row>
    <row r="1775" spans="4:17" x14ac:dyDescent="0.25">
      <c r="D1775" s="3"/>
      <c r="Q1775" s="3"/>
    </row>
    <row r="1778" spans="4:17" x14ac:dyDescent="0.25">
      <c r="D1778" s="3"/>
      <c r="Q1778" s="3"/>
    </row>
    <row r="1781" spans="4:17" x14ac:dyDescent="0.25">
      <c r="D1781" s="3"/>
      <c r="Q1781" s="3"/>
    </row>
    <row r="1784" spans="4:17" x14ac:dyDescent="0.25">
      <c r="D1784" s="3"/>
      <c r="Q1784" s="3"/>
    </row>
    <row r="1787" spans="4:17" x14ac:dyDescent="0.25">
      <c r="D1787" s="3"/>
      <c r="Q1787" s="3"/>
    </row>
    <row r="1790" spans="4:17" x14ac:dyDescent="0.25">
      <c r="D1790" s="3"/>
      <c r="Q1790" s="3"/>
    </row>
    <row r="1793" spans="4:17" x14ac:dyDescent="0.25">
      <c r="D1793" s="3"/>
      <c r="Q1793" s="3"/>
    </row>
    <row r="1796" spans="4:17" x14ac:dyDescent="0.25">
      <c r="D1796" s="3"/>
      <c r="Q1796" s="3"/>
    </row>
    <row r="1797" spans="4:17" x14ac:dyDescent="0.25">
      <c r="Q1797" s="3"/>
    </row>
    <row r="1798" spans="4:17" x14ac:dyDescent="0.25">
      <c r="Q1798" s="3"/>
    </row>
    <row r="1799" spans="4:17" x14ac:dyDescent="0.25">
      <c r="Q1799" s="3"/>
    </row>
    <row r="1800" spans="4:17" x14ac:dyDescent="0.25">
      <c r="Q1800" s="3"/>
    </row>
    <row r="1801" spans="4:17" x14ac:dyDescent="0.25">
      <c r="Q1801" s="3"/>
    </row>
    <row r="1802" spans="4:17" x14ac:dyDescent="0.25">
      <c r="Q1802" s="3"/>
    </row>
    <row r="1803" spans="4:17" x14ac:dyDescent="0.25">
      <c r="Q1803" s="3"/>
    </row>
    <row r="1806" spans="4:17" x14ac:dyDescent="0.25">
      <c r="D1806" s="3"/>
      <c r="Q1806" s="3"/>
    </row>
    <row r="1809" spans="4:17" x14ac:dyDescent="0.25">
      <c r="D1809" s="3"/>
      <c r="Q1809" s="3"/>
    </row>
    <row r="1810" spans="4:17" x14ac:dyDescent="0.25">
      <c r="Q1810" s="3"/>
    </row>
    <row r="1813" spans="4:17" x14ac:dyDescent="0.25">
      <c r="D1813" s="3"/>
      <c r="Q1813" s="3"/>
    </row>
    <row r="1816" spans="4:17" x14ac:dyDescent="0.25">
      <c r="D1816" s="3"/>
      <c r="Q1816" s="3"/>
    </row>
    <row r="1819" spans="4:17" x14ac:dyDescent="0.25">
      <c r="D1819" s="3"/>
      <c r="Q1819" s="3"/>
    </row>
    <row r="1822" spans="4:17" x14ac:dyDescent="0.25">
      <c r="D1822" s="3"/>
      <c r="Q1822" s="3"/>
    </row>
    <row r="1825" spans="4:17" x14ac:dyDescent="0.25">
      <c r="D1825" s="3"/>
      <c r="Q1825" s="3"/>
    </row>
    <row r="1828" spans="4:17" x14ac:dyDescent="0.25">
      <c r="D1828" s="3"/>
      <c r="Q1828" s="3"/>
    </row>
    <row r="1831" spans="4:17" x14ac:dyDescent="0.25">
      <c r="D1831" s="3"/>
      <c r="Q1831" s="3"/>
    </row>
    <row r="1834" spans="4:17" x14ac:dyDescent="0.25">
      <c r="D1834" s="3"/>
      <c r="Q1834" s="3"/>
    </row>
    <row r="1835" spans="4:17" x14ac:dyDescent="0.25">
      <c r="Q1835" s="3"/>
    </row>
    <row r="1836" spans="4:17" x14ac:dyDescent="0.25">
      <c r="Q1836" s="3"/>
    </row>
    <row r="1839" spans="4:17" x14ac:dyDescent="0.25">
      <c r="D1839" s="3"/>
      <c r="Q1839" s="3"/>
    </row>
    <row r="1842" spans="4:17" x14ac:dyDescent="0.25">
      <c r="D1842" s="3"/>
      <c r="Q1842" s="3"/>
    </row>
    <row r="1843" spans="4:17" x14ac:dyDescent="0.25">
      <c r="Q1843" s="3"/>
    </row>
    <row r="1844" spans="4:17" x14ac:dyDescent="0.25">
      <c r="Q1844" s="3"/>
    </row>
    <row r="1845" spans="4:17" x14ac:dyDescent="0.25">
      <c r="Q1845" s="3"/>
    </row>
    <row r="1848" spans="4:17" x14ac:dyDescent="0.25">
      <c r="D1848" s="3"/>
      <c r="Q1848" s="3"/>
    </row>
    <row r="1849" spans="4:17" x14ac:dyDescent="0.25">
      <c r="Q1849" s="3"/>
    </row>
    <row r="1852" spans="4:17" x14ac:dyDescent="0.25">
      <c r="D1852" s="3"/>
      <c r="Q1852" s="3"/>
    </row>
    <row r="1853" spans="4:17" x14ac:dyDescent="0.25">
      <c r="Q1853" s="3"/>
    </row>
    <row r="1854" spans="4:17" x14ac:dyDescent="0.25">
      <c r="Q1854" s="3"/>
    </row>
    <row r="1855" spans="4:17" x14ac:dyDescent="0.25">
      <c r="Q1855" s="3"/>
    </row>
    <row r="1858" spans="4:17" x14ac:dyDescent="0.25">
      <c r="D1858" s="3"/>
      <c r="Q1858" s="3"/>
    </row>
    <row r="1859" spans="4:17" x14ac:dyDescent="0.25">
      <c r="Q1859" s="3"/>
    </row>
    <row r="1860" spans="4:17" x14ac:dyDescent="0.25">
      <c r="Q1860" s="3"/>
    </row>
    <row r="1861" spans="4:17" x14ac:dyDescent="0.25">
      <c r="Q1861" s="3"/>
    </row>
    <row r="1862" spans="4:17" x14ac:dyDescent="0.25">
      <c r="Q1862" s="3"/>
    </row>
    <row r="1863" spans="4:17" x14ac:dyDescent="0.25">
      <c r="Q1863" s="3"/>
    </row>
    <row r="1864" spans="4:17" x14ac:dyDescent="0.25">
      <c r="Q1864" s="3"/>
    </row>
    <row r="1865" spans="4:17" x14ac:dyDescent="0.25">
      <c r="Q1865" s="3"/>
    </row>
    <row r="1866" spans="4:17" x14ac:dyDescent="0.25">
      <c r="Q1866" s="3"/>
    </row>
    <row r="1867" spans="4:17" x14ac:dyDescent="0.25">
      <c r="Q1867" s="3"/>
    </row>
    <row r="1870" spans="4:17" x14ac:dyDescent="0.25">
      <c r="D1870" s="3"/>
      <c r="Q1870" s="3"/>
    </row>
    <row r="1873" spans="4:17" x14ac:dyDescent="0.25">
      <c r="D1873" s="3"/>
      <c r="Q1873" s="3"/>
    </row>
    <row r="1876" spans="4:17" x14ac:dyDescent="0.25">
      <c r="D1876" s="3"/>
      <c r="Q1876" s="3"/>
    </row>
    <row r="1879" spans="4:17" x14ac:dyDescent="0.25">
      <c r="D1879" s="3"/>
      <c r="Q1879" s="3"/>
    </row>
    <row r="1882" spans="4:17" x14ac:dyDescent="0.25">
      <c r="D1882" s="3"/>
      <c r="Q1882" s="3"/>
    </row>
    <row r="1885" spans="4:17" x14ac:dyDescent="0.25">
      <c r="D1885" s="3"/>
      <c r="Q1885" s="3"/>
    </row>
    <row r="1888" spans="4:17" x14ac:dyDescent="0.25">
      <c r="D1888" s="3"/>
      <c r="Q1888" s="3"/>
    </row>
    <row r="1891" spans="4:17" x14ac:dyDescent="0.25">
      <c r="D1891" s="3"/>
      <c r="Q1891" s="3"/>
    </row>
    <row r="1894" spans="4:17" x14ac:dyDescent="0.25">
      <c r="D1894" s="3"/>
      <c r="Q1894" s="3"/>
    </row>
    <row r="1895" spans="4:17" x14ac:dyDescent="0.25">
      <c r="Q1895" s="3"/>
    </row>
    <row r="1896" spans="4:17" x14ac:dyDescent="0.25">
      <c r="Q1896" s="3"/>
    </row>
    <row r="1897" spans="4:17" x14ac:dyDescent="0.25">
      <c r="Q1897" s="3"/>
    </row>
    <row r="1898" spans="4:17" x14ac:dyDescent="0.25">
      <c r="Q1898" s="3"/>
    </row>
    <row r="1899" spans="4:17" x14ac:dyDescent="0.25">
      <c r="Q1899" s="3"/>
    </row>
    <row r="1900" spans="4:17" x14ac:dyDescent="0.25">
      <c r="Q1900" s="3"/>
    </row>
    <row r="1901" spans="4:17" x14ac:dyDescent="0.25">
      <c r="Q1901" s="3"/>
    </row>
    <row r="1902" spans="4:17" x14ac:dyDescent="0.25">
      <c r="Q1902" s="3"/>
    </row>
    <row r="1903" spans="4:17" x14ac:dyDescent="0.25">
      <c r="Q1903" s="3"/>
    </row>
    <row r="1904" spans="4:17" x14ac:dyDescent="0.25">
      <c r="Q1904" s="3"/>
    </row>
    <row r="1905" spans="4:17" x14ac:dyDescent="0.25">
      <c r="Q1905" s="3"/>
    </row>
    <row r="1906" spans="4:17" x14ac:dyDescent="0.25">
      <c r="Q1906" s="3"/>
    </row>
    <row r="1909" spans="4:17" x14ac:dyDescent="0.25">
      <c r="D1909" s="3"/>
      <c r="Q1909" s="3"/>
    </row>
    <row r="1910" spans="4:17" x14ac:dyDescent="0.25">
      <c r="Q1910" s="3"/>
    </row>
    <row r="1911" spans="4:17" x14ac:dyDescent="0.25">
      <c r="Q1911" s="3"/>
    </row>
    <row r="1912" spans="4:17" x14ac:dyDescent="0.25">
      <c r="Q1912" s="3"/>
    </row>
    <row r="1913" spans="4:17" x14ac:dyDescent="0.25">
      <c r="Q1913" s="3"/>
    </row>
    <row r="1914" spans="4:17" x14ac:dyDescent="0.25">
      <c r="Q1914" s="3"/>
    </row>
    <row r="1915" spans="4:17" x14ac:dyDescent="0.25">
      <c r="Q1915" s="3"/>
    </row>
    <row r="1916" spans="4:17" x14ac:dyDescent="0.25">
      <c r="Q1916" s="3"/>
    </row>
    <row r="1919" spans="4:17" x14ac:dyDescent="0.25">
      <c r="D1919" s="3"/>
      <c r="Q1919" s="3"/>
    </row>
    <row r="1920" spans="4:17" x14ac:dyDescent="0.25">
      <c r="Q1920" s="3"/>
    </row>
    <row r="1921" spans="4:17" x14ac:dyDescent="0.25">
      <c r="Q1921" s="3"/>
    </row>
    <row r="1922" spans="4:17" x14ac:dyDescent="0.25">
      <c r="Q1922" s="3"/>
    </row>
    <row r="1923" spans="4:17" x14ac:dyDescent="0.25">
      <c r="Q1923" s="3"/>
    </row>
    <row r="1924" spans="4:17" x14ac:dyDescent="0.25">
      <c r="Q1924" s="3"/>
    </row>
    <row r="1925" spans="4:17" x14ac:dyDescent="0.25">
      <c r="Q1925" s="3"/>
    </row>
    <row r="1928" spans="4:17" x14ac:dyDescent="0.25">
      <c r="D1928" s="3"/>
      <c r="Q1928" s="3"/>
    </row>
    <row r="1929" spans="4:17" x14ac:dyDescent="0.25">
      <c r="Q1929" s="3"/>
    </row>
    <row r="1930" spans="4:17" x14ac:dyDescent="0.25">
      <c r="Q1930" s="3"/>
    </row>
    <row r="1931" spans="4:17" x14ac:dyDescent="0.25">
      <c r="Q1931" s="3"/>
    </row>
    <row r="1932" spans="4:17" x14ac:dyDescent="0.25">
      <c r="Q1932" s="3"/>
    </row>
    <row r="1933" spans="4:17" x14ac:dyDescent="0.25">
      <c r="Q1933" s="3"/>
    </row>
    <row r="1936" spans="4:17" x14ac:dyDescent="0.25">
      <c r="D1936" s="3"/>
      <c r="Q1936" s="3"/>
    </row>
    <row r="1939" spans="4:17" x14ac:dyDescent="0.25">
      <c r="D1939" s="3"/>
      <c r="Q1939" s="3"/>
    </row>
    <row r="1940" spans="4:17" x14ac:dyDescent="0.25">
      <c r="Q1940" s="3"/>
    </row>
    <row r="1943" spans="4:17" x14ac:dyDescent="0.25">
      <c r="D1943" s="3"/>
      <c r="Q1943" s="3"/>
    </row>
    <row r="1944" spans="4:17" x14ac:dyDescent="0.25">
      <c r="Q1944" s="3"/>
    </row>
    <row r="1945" spans="4:17" x14ac:dyDescent="0.25">
      <c r="Q1945" s="3"/>
    </row>
    <row r="1946" spans="4:17" x14ac:dyDescent="0.25">
      <c r="Q1946" s="3"/>
    </row>
    <row r="1947" spans="4:17" x14ac:dyDescent="0.25">
      <c r="Q1947" s="3"/>
    </row>
    <row r="1948" spans="4:17" x14ac:dyDescent="0.25">
      <c r="Q1948" s="3"/>
    </row>
    <row r="1949" spans="4:17" x14ac:dyDescent="0.25">
      <c r="Q1949" s="3"/>
    </row>
    <row r="1950" spans="4:17" x14ac:dyDescent="0.25">
      <c r="Q1950" s="3"/>
    </row>
    <row r="1951" spans="4:17" x14ac:dyDescent="0.25">
      <c r="Q1951" s="3"/>
    </row>
    <row r="1952" spans="4:17" x14ac:dyDescent="0.25">
      <c r="Q1952" s="3"/>
    </row>
    <row r="1953" spans="4:17" x14ac:dyDescent="0.25">
      <c r="Q1953" s="3"/>
    </row>
    <row r="1954" spans="4:17" x14ac:dyDescent="0.25">
      <c r="Q1954" s="3"/>
    </row>
    <row r="1955" spans="4:17" x14ac:dyDescent="0.25">
      <c r="Q1955" s="3"/>
    </row>
    <row r="1956" spans="4:17" x14ac:dyDescent="0.25">
      <c r="Q1956" s="3"/>
    </row>
    <row r="1957" spans="4:17" x14ac:dyDescent="0.25">
      <c r="Q1957" s="3"/>
    </row>
    <row r="1958" spans="4:17" x14ac:dyDescent="0.25">
      <c r="Q1958" s="3"/>
    </row>
    <row r="1961" spans="4:17" x14ac:dyDescent="0.25">
      <c r="D1961" s="3"/>
      <c r="Q1961" s="3"/>
    </row>
    <row r="1964" spans="4:17" x14ac:dyDescent="0.25">
      <c r="D1964" s="3"/>
      <c r="Q1964" s="3"/>
    </row>
    <row r="1967" spans="4:17" x14ac:dyDescent="0.25">
      <c r="D1967" s="3"/>
      <c r="Q1967" s="3"/>
    </row>
    <row r="1970" spans="4:17" x14ac:dyDescent="0.25">
      <c r="D1970" s="3"/>
      <c r="Q1970" s="3"/>
    </row>
    <row r="1973" spans="4:17" x14ac:dyDescent="0.25">
      <c r="D1973" s="3"/>
      <c r="Q1973" s="3"/>
    </row>
    <row r="1976" spans="4:17" x14ac:dyDescent="0.25">
      <c r="D1976" s="3"/>
      <c r="Q1976" s="3"/>
    </row>
    <row r="1979" spans="4:17" x14ac:dyDescent="0.25">
      <c r="D1979" s="3"/>
      <c r="Q1979" s="3"/>
    </row>
    <row r="1982" spans="4:17" x14ac:dyDescent="0.25">
      <c r="D1982" s="3"/>
      <c r="Q1982" s="3"/>
    </row>
    <row r="1985" spans="4:17" x14ac:dyDescent="0.25">
      <c r="D1985" s="3"/>
      <c r="Q1985" s="3"/>
    </row>
    <row r="1988" spans="4:17" x14ac:dyDescent="0.25">
      <c r="D1988" s="3"/>
      <c r="Q1988" s="3"/>
    </row>
    <row r="1991" spans="4:17" x14ac:dyDescent="0.25">
      <c r="D1991" s="3"/>
      <c r="Q1991" s="3"/>
    </row>
    <row r="1994" spans="4:17" x14ac:dyDescent="0.25">
      <c r="D1994" s="3"/>
      <c r="Q1994" s="3"/>
    </row>
    <row r="1997" spans="4:17" x14ac:dyDescent="0.25">
      <c r="D1997" s="3"/>
      <c r="Q1997" s="3"/>
    </row>
    <row r="2000" spans="4:17" x14ac:dyDescent="0.25">
      <c r="D2000" s="3"/>
      <c r="Q2000" s="3"/>
    </row>
    <row r="2003" spans="4:17" x14ac:dyDescent="0.25">
      <c r="D2003" s="3"/>
      <c r="Q2003" s="3"/>
    </row>
    <row r="2006" spans="4:17" x14ac:dyDescent="0.25">
      <c r="D2006" s="3"/>
      <c r="Q2006" s="3"/>
    </row>
    <row r="2009" spans="4:17" x14ac:dyDescent="0.25">
      <c r="D2009" s="3"/>
      <c r="Q2009" s="3"/>
    </row>
    <row r="2012" spans="4:17" x14ac:dyDescent="0.25">
      <c r="D2012" s="3"/>
      <c r="Q2012" s="3"/>
    </row>
    <row r="2015" spans="4:17" x14ac:dyDescent="0.25">
      <c r="D2015" s="3"/>
      <c r="Q2015" s="3"/>
    </row>
    <row r="2016" spans="4:17" x14ac:dyDescent="0.25">
      <c r="Q2016" s="3"/>
    </row>
    <row r="2019" spans="4:17" x14ac:dyDescent="0.25">
      <c r="D2019" s="3"/>
      <c r="Q2019" s="3"/>
    </row>
    <row r="2022" spans="4:17" x14ac:dyDescent="0.25">
      <c r="D2022" s="3"/>
      <c r="Q2022" s="3"/>
    </row>
    <row r="2025" spans="4:17" x14ac:dyDescent="0.25">
      <c r="D2025" s="3"/>
      <c r="Q2025" s="3"/>
    </row>
    <row r="2028" spans="4:17" x14ac:dyDescent="0.25">
      <c r="D2028" s="3"/>
      <c r="Q2028" s="3"/>
    </row>
    <row r="2031" spans="4:17" x14ac:dyDescent="0.25">
      <c r="D2031" s="3"/>
      <c r="Q2031" s="3"/>
    </row>
    <row r="2034" spans="4:17" x14ac:dyDescent="0.25">
      <c r="D2034" s="3"/>
      <c r="Q2034" s="3"/>
    </row>
    <row r="2037" spans="4:17" x14ac:dyDescent="0.25">
      <c r="D2037" s="3"/>
      <c r="Q2037" s="3"/>
    </row>
    <row r="2040" spans="4:17" x14ac:dyDescent="0.25">
      <c r="D2040" s="3"/>
      <c r="Q2040" s="3"/>
    </row>
    <row r="2043" spans="4:17" x14ac:dyDescent="0.25">
      <c r="D2043" s="3"/>
      <c r="Q2043" s="3"/>
    </row>
    <row r="2044" spans="4:17" x14ac:dyDescent="0.25">
      <c r="Q2044" s="3"/>
    </row>
    <row r="2047" spans="4:17" x14ac:dyDescent="0.25">
      <c r="D2047" s="3"/>
      <c r="Q2047" s="3"/>
    </row>
    <row r="2050" spans="4:17" x14ac:dyDescent="0.25">
      <c r="D2050" s="3"/>
      <c r="Q2050" s="3"/>
    </row>
    <row r="2053" spans="4:17" x14ac:dyDescent="0.25">
      <c r="D2053" s="3"/>
      <c r="Q2053" s="3"/>
    </row>
    <row r="2056" spans="4:17" x14ac:dyDescent="0.25">
      <c r="D2056" s="3"/>
      <c r="Q2056" s="3"/>
    </row>
    <row r="2059" spans="4:17" x14ac:dyDescent="0.25">
      <c r="D2059" s="3"/>
      <c r="Q2059" s="3"/>
    </row>
    <row r="2060" spans="4:17" x14ac:dyDescent="0.25">
      <c r="Q2060" s="3"/>
    </row>
    <row r="2061" spans="4:17" x14ac:dyDescent="0.25">
      <c r="Q2061" s="3"/>
    </row>
    <row r="2062" spans="4:17" x14ac:dyDescent="0.25">
      <c r="Q2062" s="3"/>
    </row>
    <row r="2063" spans="4:17" x14ac:dyDescent="0.25">
      <c r="Q2063" s="3"/>
    </row>
    <row r="2064" spans="4:17" x14ac:dyDescent="0.25">
      <c r="Q2064" s="3"/>
    </row>
    <row r="2065" spans="4:17" x14ac:dyDescent="0.25">
      <c r="Q2065" s="3"/>
    </row>
    <row r="2068" spans="4:17" x14ac:dyDescent="0.25">
      <c r="D2068" s="3"/>
      <c r="Q2068" s="3"/>
    </row>
    <row r="2071" spans="4:17" x14ac:dyDescent="0.25">
      <c r="D2071" s="3"/>
      <c r="Q2071" s="3"/>
    </row>
    <row r="2074" spans="4:17" x14ac:dyDescent="0.25">
      <c r="D2074" s="3"/>
      <c r="Q2074" s="3"/>
    </row>
    <row r="2077" spans="4:17" x14ac:dyDescent="0.25">
      <c r="D2077" s="3"/>
      <c r="Q2077" s="3"/>
    </row>
    <row r="2078" spans="4:17" x14ac:dyDescent="0.25">
      <c r="Q2078" s="3"/>
    </row>
    <row r="2079" spans="4:17" x14ac:dyDescent="0.25">
      <c r="Q2079" s="3"/>
    </row>
    <row r="2082" spans="4:17" x14ac:dyDescent="0.25">
      <c r="D2082" s="3"/>
      <c r="Q2082" s="3"/>
    </row>
    <row r="2085" spans="4:17" x14ac:dyDescent="0.25">
      <c r="D2085" s="3"/>
      <c r="Q2085" s="3"/>
    </row>
    <row r="2086" spans="4:17" x14ac:dyDescent="0.25">
      <c r="Q2086" s="3"/>
    </row>
    <row r="2089" spans="4:17" x14ac:dyDescent="0.25">
      <c r="D2089" s="3"/>
      <c r="Q2089" s="3"/>
    </row>
    <row r="2090" spans="4:17" x14ac:dyDescent="0.25">
      <c r="Q2090" s="3"/>
    </row>
    <row r="2091" spans="4:17" x14ac:dyDescent="0.25">
      <c r="Q2091" s="3"/>
    </row>
    <row r="2094" spans="4:17" x14ac:dyDescent="0.25">
      <c r="D2094" s="3"/>
      <c r="Q2094" s="3"/>
    </row>
    <row r="2097" spans="4:17" x14ac:dyDescent="0.25">
      <c r="D2097" s="3"/>
      <c r="Q2097" s="3"/>
    </row>
    <row r="2100" spans="4:17" x14ac:dyDescent="0.25">
      <c r="D2100" s="3"/>
      <c r="Q2100" s="3"/>
    </row>
    <row r="2101" spans="4:17" x14ac:dyDescent="0.25">
      <c r="Q2101" s="3"/>
    </row>
    <row r="2102" spans="4:17" x14ac:dyDescent="0.25">
      <c r="Q2102" s="3"/>
    </row>
    <row r="2105" spans="4:17" x14ac:dyDescent="0.25">
      <c r="D2105" s="3"/>
      <c r="Q2105" s="3"/>
    </row>
    <row r="2106" spans="4:17" x14ac:dyDescent="0.25">
      <c r="Q2106" s="3"/>
    </row>
    <row r="2107" spans="4:17" x14ac:dyDescent="0.25">
      <c r="Q2107" s="3"/>
    </row>
    <row r="2108" spans="4:17" x14ac:dyDescent="0.25">
      <c r="Q2108" s="3"/>
    </row>
    <row r="2111" spans="4:17" x14ac:dyDescent="0.25">
      <c r="D2111" s="3"/>
      <c r="Q2111" s="3"/>
    </row>
    <row r="2114" spans="4:17" x14ac:dyDescent="0.25">
      <c r="D2114" s="3"/>
      <c r="Q2114" s="3"/>
    </row>
    <row r="2117" spans="4:17" x14ac:dyDescent="0.25">
      <c r="D2117" s="3"/>
      <c r="Q2117" s="3"/>
    </row>
    <row r="2120" spans="4:17" x14ac:dyDescent="0.25">
      <c r="D2120" s="3"/>
      <c r="Q2120" s="3"/>
    </row>
    <row r="2123" spans="4:17" x14ac:dyDescent="0.25">
      <c r="D2123" s="3"/>
      <c r="Q2123" s="3"/>
    </row>
    <row r="2126" spans="4:17" x14ac:dyDescent="0.25">
      <c r="D2126" s="3"/>
      <c r="Q2126" s="3"/>
    </row>
    <row r="2129" spans="4:17" x14ac:dyDescent="0.25">
      <c r="D2129" s="3"/>
      <c r="Q2129" s="3"/>
    </row>
    <row r="2130" spans="4:17" x14ac:dyDescent="0.25">
      <c r="Q2130" s="3"/>
    </row>
    <row r="2131" spans="4:17" x14ac:dyDescent="0.25">
      <c r="Q2131" s="3"/>
    </row>
    <row r="2134" spans="4:17" x14ac:dyDescent="0.25">
      <c r="D2134" s="3"/>
      <c r="Q2134" s="3"/>
    </row>
    <row r="2135" spans="4:17" x14ac:dyDescent="0.25">
      <c r="Q2135" s="3"/>
    </row>
    <row r="2136" spans="4:17" x14ac:dyDescent="0.25">
      <c r="Q2136" s="3"/>
    </row>
    <row r="2137" spans="4:17" x14ac:dyDescent="0.25">
      <c r="Q2137" s="3"/>
    </row>
    <row r="2138" spans="4:17" x14ac:dyDescent="0.25">
      <c r="Q2138" s="3"/>
    </row>
    <row r="2139" spans="4:17" x14ac:dyDescent="0.25">
      <c r="Q2139" s="3"/>
    </row>
    <row r="2140" spans="4:17" x14ac:dyDescent="0.25">
      <c r="Q2140" s="3"/>
    </row>
    <row r="2141" spans="4:17" x14ac:dyDescent="0.25">
      <c r="Q2141" s="3"/>
    </row>
    <row r="2142" spans="4:17" x14ac:dyDescent="0.25">
      <c r="Q2142" s="3"/>
    </row>
    <row r="2143" spans="4:17" x14ac:dyDescent="0.25">
      <c r="Q2143" s="3"/>
    </row>
    <row r="2146" spans="4:17" x14ac:dyDescent="0.25">
      <c r="D2146" s="3"/>
      <c r="Q2146" s="3"/>
    </row>
    <row r="2147" spans="4:17" x14ac:dyDescent="0.25">
      <c r="Q2147" s="3"/>
    </row>
    <row r="2148" spans="4:17" x14ac:dyDescent="0.25">
      <c r="Q2148" s="3"/>
    </row>
    <row r="2149" spans="4:17" x14ac:dyDescent="0.25">
      <c r="Q2149" s="3"/>
    </row>
    <row r="2150" spans="4:17" x14ac:dyDescent="0.25">
      <c r="Q2150" s="3"/>
    </row>
    <row r="2151" spans="4:17" x14ac:dyDescent="0.25">
      <c r="Q2151" s="3"/>
    </row>
    <row r="2152" spans="4:17" x14ac:dyDescent="0.25">
      <c r="Q2152" s="3"/>
    </row>
    <row r="2153" spans="4:17" x14ac:dyDescent="0.25">
      <c r="Q2153" s="3"/>
    </row>
    <row r="2154" spans="4:17" x14ac:dyDescent="0.25">
      <c r="Q2154" s="3"/>
    </row>
    <row r="2155" spans="4:17" x14ac:dyDescent="0.25">
      <c r="Q2155" s="3"/>
    </row>
    <row r="2156" spans="4:17" x14ac:dyDescent="0.25">
      <c r="Q2156" s="3"/>
    </row>
    <row r="2157" spans="4:17" x14ac:dyDescent="0.25">
      <c r="Q2157" s="3"/>
    </row>
    <row r="2158" spans="4:17" x14ac:dyDescent="0.25">
      <c r="Q2158" s="3"/>
    </row>
    <row r="2159" spans="4:17" x14ac:dyDescent="0.25">
      <c r="Q2159" s="3"/>
    </row>
    <row r="2160" spans="4:17" x14ac:dyDescent="0.25">
      <c r="Q2160" s="3"/>
    </row>
    <row r="2161" spans="4:17" x14ac:dyDescent="0.25">
      <c r="Q2161" s="3"/>
    </row>
    <row r="2162" spans="4:17" x14ac:dyDescent="0.25">
      <c r="Q2162" s="3"/>
    </row>
    <row r="2165" spans="4:17" x14ac:dyDescent="0.25">
      <c r="D2165" s="3"/>
      <c r="Q2165" s="3"/>
    </row>
    <row r="2166" spans="4:17" x14ac:dyDescent="0.25">
      <c r="Q2166" s="3"/>
    </row>
    <row r="2167" spans="4:17" x14ac:dyDescent="0.25">
      <c r="Q2167" s="3"/>
    </row>
    <row r="2168" spans="4:17" x14ac:dyDescent="0.25">
      <c r="Q2168" s="3"/>
    </row>
    <row r="2169" spans="4:17" x14ac:dyDescent="0.25">
      <c r="Q2169" s="3"/>
    </row>
    <row r="2170" spans="4:17" x14ac:dyDescent="0.25">
      <c r="Q2170" s="3"/>
    </row>
    <row r="2171" spans="4:17" x14ac:dyDescent="0.25">
      <c r="Q2171" s="3"/>
    </row>
    <row r="2174" spans="4:17" x14ac:dyDescent="0.25">
      <c r="D2174" s="3"/>
      <c r="Q2174" s="3"/>
    </row>
    <row r="2175" spans="4:17" x14ac:dyDescent="0.25">
      <c r="Q2175" s="3"/>
    </row>
    <row r="2176" spans="4:17" x14ac:dyDescent="0.25">
      <c r="Q2176" s="3"/>
    </row>
    <row r="2177" spans="4:17" x14ac:dyDescent="0.25">
      <c r="Q2177" s="3"/>
    </row>
    <row r="2180" spans="4:17" x14ac:dyDescent="0.25">
      <c r="D2180" s="3"/>
      <c r="Q2180" s="3"/>
    </row>
    <row r="2181" spans="4:17" x14ac:dyDescent="0.25">
      <c r="Q2181" s="3"/>
    </row>
    <row r="2184" spans="4:17" x14ac:dyDescent="0.25">
      <c r="D2184" s="3"/>
      <c r="Q2184" s="3"/>
    </row>
    <row r="2187" spans="4:17" x14ac:dyDescent="0.25">
      <c r="D2187" s="3"/>
      <c r="Q2187" s="3"/>
    </row>
    <row r="2188" spans="4:17" x14ac:dyDescent="0.25">
      <c r="Q2188" s="3"/>
    </row>
    <row r="2191" spans="4:17" x14ac:dyDescent="0.25">
      <c r="D2191" s="3"/>
      <c r="Q2191" s="3"/>
    </row>
    <row r="2192" spans="4:17" x14ac:dyDescent="0.25">
      <c r="Q2192" s="3"/>
    </row>
    <row r="2193" spans="4:17" x14ac:dyDescent="0.25">
      <c r="Q2193" s="3"/>
    </row>
    <row r="2196" spans="4:17" x14ac:dyDescent="0.25">
      <c r="D2196" s="3"/>
      <c r="Q2196" s="3"/>
    </row>
    <row r="2199" spans="4:17" x14ac:dyDescent="0.25">
      <c r="D2199" s="3"/>
      <c r="Q2199" s="3"/>
    </row>
    <row r="2200" spans="4:17" x14ac:dyDescent="0.25">
      <c r="Q2200" s="3"/>
    </row>
    <row r="2203" spans="4:17" x14ac:dyDescent="0.25">
      <c r="D2203" s="3"/>
      <c r="Q2203" s="3"/>
    </row>
    <row r="2206" spans="4:17" x14ac:dyDescent="0.25">
      <c r="D2206" s="3"/>
      <c r="Q2206" s="3"/>
    </row>
    <row r="2209" spans="4:17" x14ac:dyDescent="0.25">
      <c r="D2209" s="3"/>
      <c r="Q2209" s="3"/>
    </row>
    <row r="2212" spans="4:17" x14ac:dyDescent="0.25">
      <c r="D2212" s="3"/>
      <c r="Q2212" s="3"/>
    </row>
    <row r="2215" spans="4:17" x14ac:dyDescent="0.25">
      <c r="D2215" s="3"/>
      <c r="Q2215" s="3"/>
    </row>
    <row r="2216" spans="4:17" x14ac:dyDescent="0.25">
      <c r="Q2216" s="3"/>
    </row>
    <row r="2219" spans="4:17" x14ac:dyDescent="0.25">
      <c r="D2219" s="3"/>
      <c r="Q2219" s="3"/>
    </row>
    <row r="2220" spans="4:17" x14ac:dyDescent="0.25">
      <c r="Q2220" s="3"/>
    </row>
    <row r="2223" spans="4:17" x14ac:dyDescent="0.25">
      <c r="D2223" s="3"/>
      <c r="Q2223" s="3"/>
    </row>
    <row r="2226" spans="4:17" x14ac:dyDescent="0.25">
      <c r="D2226" s="3"/>
      <c r="Q2226" s="3"/>
    </row>
    <row r="2229" spans="4:17" x14ac:dyDescent="0.25">
      <c r="D2229" s="3"/>
      <c r="Q2229" s="3"/>
    </row>
    <row r="2232" spans="4:17" x14ac:dyDescent="0.25">
      <c r="D2232" s="3"/>
      <c r="Q2232" s="3"/>
    </row>
    <row r="2235" spans="4:17" x14ac:dyDescent="0.25">
      <c r="D2235" s="3"/>
      <c r="Q2235" s="3"/>
    </row>
    <row r="2236" spans="4:17" x14ac:dyDescent="0.25">
      <c r="Q2236" s="3"/>
    </row>
    <row r="2239" spans="4:17" x14ac:dyDescent="0.25">
      <c r="D2239" s="3"/>
      <c r="Q2239" s="3"/>
    </row>
    <row r="2240" spans="4:17" x14ac:dyDescent="0.25">
      <c r="Q2240" s="3"/>
    </row>
    <row r="2243" spans="4:17" x14ac:dyDescent="0.25">
      <c r="D2243" s="3"/>
      <c r="Q2243" s="3"/>
    </row>
    <row r="2244" spans="4:17" x14ac:dyDescent="0.25">
      <c r="Q2244" s="3"/>
    </row>
    <row r="2247" spans="4:17" x14ac:dyDescent="0.25">
      <c r="D2247" s="3"/>
      <c r="Q2247" s="3"/>
    </row>
    <row r="2250" spans="4:17" x14ac:dyDescent="0.25">
      <c r="D2250" s="3"/>
      <c r="Q2250" s="3"/>
    </row>
    <row r="2253" spans="4:17" x14ac:dyDescent="0.25">
      <c r="D2253" s="3"/>
      <c r="Q2253" s="3"/>
    </row>
    <row r="2256" spans="4:17" x14ac:dyDescent="0.25">
      <c r="D2256" s="3"/>
      <c r="Q2256" s="3"/>
    </row>
    <row r="2259" spans="4:17" x14ac:dyDescent="0.25">
      <c r="D2259" s="3"/>
      <c r="Q2259" s="3"/>
    </row>
    <row r="2260" spans="4:17" x14ac:dyDescent="0.25">
      <c r="Q2260" s="3"/>
    </row>
    <row r="2263" spans="4:17" x14ac:dyDescent="0.25">
      <c r="D2263" s="3"/>
      <c r="Q2263" s="3"/>
    </row>
    <row r="2266" spans="4:17" x14ac:dyDescent="0.25">
      <c r="D2266" s="3"/>
      <c r="Q2266" s="3"/>
    </row>
    <row r="2267" spans="4:17" x14ac:dyDescent="0.25">
      <c r="Q2267" s="3"/>
    </row>
    <row r="2270" spans="4:17" x14ac:dyDescent="0.25">
      <c r="D2270" s="3"/>
      <c r="Q2270" s="3"/>
    </row>
    <row r="2273" spans="4:17" x14ac:dyDescent="0.25">
      <c r="D2273" s="3"/>
      <c r="Q2273" s="3"/>
    </row>
    <row r="2276" spans="4:17" x14ac:dyDescent="0.25">
      <c r="D2276" s="3"/>
      <c r="Q2276" s="3"/>
    </row>
    <row r="2279" spans="4:17" x14ac:dyDescent="0.25">
      <c r="D2279" s="3"/>
      <c r="Q2279" s="3"/>
    </row>
    <row r="2282" spans="4:17" x14ac:dyDescent="0.25">
      <c r="D2282" s="3"/>
      <c r="Q2282" s="3"/>
    </row>
    <row r="2285" spans="4:17" x14ac:dyDescent="0.25">
      <c r="D2285" s="3"/>
      <c r="Q2285" s="3"/>
    </row>
    <row r="2288" spans="4:17" x14ac:dyDescent="0.25">
      <c r="D2288" s="3"/>
      <c r="Q2288" s="3"/>
    </row>
    <row r="2291" spans="4:17" x14ac:dyDescent="0.25">
      <c r="D2291" s="3"/>
      <c r="Q2291" s="3"/>
    </row>
    <row r="2294" spans="4:17" x14ac:dyDescent="0.25">
      <c r="D2294" s="3"/>
      <c r="Q2294" s="3"/>
    </row>
    <row r="2297" spans="4:17" x14ac:dyDescent="0.25">
      <c r="D2297" s="3"/>
      <c r="Q2297" s="3"/>
    </row>
    <row r="2298" spans="4:17" x14ac:dyDescent="0.25">
      <c r="Q2298" s="3"/>
    </row>
    <row r="2301" spans="4:17" x14ac:dyDescent="0.25">
      <c r="D2301" s="3"/>
      <c r="Q2301" s="3"/>
    </row>
    <row r="2302" spans="4:17" x14ac:dyDescent="0.25">
      <c r="Q2302" s="3"/>
    </row>
    <row r="2305" spans="4:17" x14ac:dyDescent="0.25">
      <c r="D2305" s="3"/>
      <c r="Q2305" s="3"/>
    </row>
    <row r="2308" spans="4:17" x14ac:dyDescent="0.25">
      <c r="D2308" s="3"/>
      <c r="Q2308" s="3"/>
    </row>
    <row r="2311" spans="4:17" x14ac:dyDescent="0.25">
      <c r="D2311" s="3"/>
      <c r="Q2311" s="3"/>
    </row>
    <row r="2312" spans="4:17" x14ac:dyDescent="0.25">
      <c r="Q2312" s="3"/>
    </row>
    <row r="2315" spans="4:17" x14ac:dyDescent="0.25">
      <c r="D2315" s="3"/>
      <c r="Q2315" s="3"/>
    </row>
    <row r="2318" spans="4:17" x14ac:dyDescent="0.25">
      <c r="D2318" s="3"/>
      <c r="Q2318" s="3"/>
    </row>
    <row r="2321" spans="4:17" x14ac:dyDescent="0.25">
      <c r="D2321" s="3"/>
      <c r="Q2321" s="3"/>
    </row>
    <row r="2322" spans="4:17" x14ac:dyDescent="0.25">
      <c r="Q2322" s="3"/>
    </row>
    <row r="2323" spans="4:17" x14ac:dyDescent="0.25">
      <c r="Q2323" s="3"/>
    </row>
    <row r="2324" spans="4:17" x14ac:dyDescent="0.25">
      <c r="Q2324" s="3"/>
    </row>
    <row r="2327" spans="4:17" x14ac:dyDescent="0.25">
      <c r="D2327" s="3"/>
      <c r="Q2327" s="3"/>
    </row>
    <row r="2330" spans="4:17" x14ac:dyDescent="0.25">
      <c r="D2330" s="3"/>
      <c r="Q2330" s="3"/>
    </row>
    <row r="2333" spans="4:17" x14ac:dyDescent="0.25">
      <c r="D2333" s="3"/>
      <c r="Q2333" s="3"/>
    </row>
    <row r="2336" spans="4:17" x14ac:dyDescent="0.25">
      <c r="D2336" s="3"/>
      <c r="Q2336" s="3"/>
    </row>
    <row r="2339" spans="4:17" x14ac:dyDescent="0.25">
      <c r="D2339" s="3"/>
      <c r="Q2339" s="3"/>
    </row>
    <row r="2342" spans="4:17" x14ac:dyDescent="0.25">
      <c r="D2342" s="3"/>
      <c r="Q2342" s="3"/>
    </row>
    <row r="2343" spans="4:17" x14ac:dyDescent="0.25">
      <c r="Q2343" s="3"/>
    </row>
    <row r="2346" spans="4:17" x14ac:dyDescent="0.25">
      <c r="D2346" s="3"/>
      <c r="Q2346" s="3"/>
    </row>
    <row r="2349" spans="4:17" x14ac:dyDescent="0.25">
      <c r="D2349" s="3"/>
      <c r="Q2349" s="3"/>
    </row>
    <row r="2352" spans="4:17" x14ac:dyDescent="0.25">
      <c r="D2352" s="3"/>
      <c r="Q2352" s="3"/>
    </row>
    <row r="2353" spans="4:17" x14ac:dyDescent="0.25">
      <c r="Q2353" s="3"/>
    </row>
    <row r="2354" spans="4:17" x14ac:dyDescent="0.25">
      <c r="Q2354" s="3"/>
    </row>
    <row r="2357" spans="4:17" x14ac:dyDescent="0.25">
      <c r="D2357" s="3"/>
      <c r="Q2357" s="3"/>
    </row>
    <row r="2360" spans="4:17" x14ac:dyDescent="0.25">
      <c r="D2360" s="3"/>
      <c r="Q2360" s="3"/>
    </row>
    <row r="2363" spans="4:17" x14ac:dyDescent="0.25">
      <c r="D2363" s="3"/>
      <c r="Q2363" s="3"/>
    </row>
    <row r="2366" spans="4:17" x14ac:dyDescent="0.25">
      <c r="D2366" s="3"/>
      <c r="Q2366" s="3"/>
    </row>
    <row r="2367" spans="4:17" x14ac:dyDescent="0.25">
      <c r="Q2367" s="3"/>
    </row>
    <row r="2368" spans="4:17" x14ac:dyDescent="0.25">
      <c r="Q2368" s="3"/>
    </row>
    <row r="2371" spans="4:17" x14ac:dyDescent="0.25">
      <c r="D2371" s="3"/>
      <c r="Q2371" s="3"/>
    </row>
    <row r="2372" spans="4:17" x14ac:dyDescent="0.25">
      <c r="Q2372" s="3"/>
    </row>
    <row r="2373" spans="4:17" x14ac:dyDescent="0.25">
      <c r="Q2373" s="3"/>
    </row>
    <row r="2376" spans="4:17" x14ac:dyDescent="0.25">
      <c r="D2376" s="3"/>
      <c r="Q2376" s="3"/>
    </row>
    <row r="2379" spans="4:17" x14ac:dyDescent="0.25">
      <c r="D2379" s="3"/>
      <c r="Q2379" s="3"/>
    </row>
    <row r="2382" spans="4:17" x14ac:dyDescent="0.25">
      <c r="D2382" s="3"/>
      <c r="Q2382" s="3"/>
    </row>
    <row r="2383" spans="4:17" x14ac:dyDescent="0.25">
      <c r="Q2383" s="3"/>
    </row>
    <row r="2386" spans="4:17" x14ac:dyDescent="0.25">
      <c r="D2386" s="3"/>
      <c r="Q2386" s="3"/>
    </row>
    <row r="2389" spans="4:17" x14ac:dyDescent="0.25">
      <c r="D2389" s="3"/>
      <c r="Q2389" s="3"/>
    </row>
    <row r="2390" spans="4:17" x14ac:dyDescent="0.25">
      <c r="Q2390" s="3"/>
    </row>
    <row r="2393" spans="4:17" x14ac:dyDescent="0.25">
      <c r="D2393" s="3"/>
      <c r="Q2393" s="3"/>
    </row>
    <row r="2396" spans="4:17" x14ac:dyDescent="0.25">
      <c r="D2396" s="3"/>
      <c r="Q2396" s="3"/>
    </row>
    <row r="2399" spans="4:17" x14ac:dyDescent="0.25">
      <c r="D2399" s="3"/>
      <c r="Q2399" s="3"/>
    </row>
    <row r="2402" spans="4:17" x14ac:dyDescent="0.25">
      <c r="D2402" s="3"/>
      <c r="Q2402" s="3"/>
    </row>
    <row r="2405" spans="4:17" x14ac:dyDescent="0.25">
      <c r="D2405" s="3"/>
      <c r="Q2405" s="3"/>
    </row>
    <row r="2408" spans="4:17" x14ac:dyDescent="0.25">
      <c r="D2408" s="3"/>
      <c r="Q2408" s="3"/>
    </row>
    <row r="2409" spans="4:17" x14ac:dyDescent="0.25">
      <c r="Q2409" s="3"/>
    </row>
    <row r="2412" spans="4:17" x14ac:dyDescent="0.25">
      <c r="D2412" s="3"/>
      <c r="Q2412" s="3"/>
    </row>
    <row r="2413" spans="4:17" x14ac:dyDescent="0.25">
      <c r="Q2413" s="3"/>
    </row>
    <row r="2416" spans="4:17" x14ac:dyDescent="0.25">
      <c r="D2416" s="3"/>
      <c r="Q2416" s="3"/>
    </row>
    <row r="2419" spans="4:17" x14ac:dyDescent="0.25">
      <c r="D2419" s="3"/>
      <c r="Q2419" s="3"/>
    </row>
    <row r="2422" spans="4:17" x14ac:dyDescent="0.25">
      <c r="D2422" s="3"/>
      <c r="Q2422" s="3"/>
    </row>
    <row r="2423" spans="4:17" x14ac:dyDescent="0.25">
      <c r="Q2423" s="3"/>
    </row>
    <row r="2426" spans="4:17" x14ac:dyDescent="0.25">
      <c r="D2426" s="3"/>
      <c r="Q2426" s="3"/>
    </row>
    <row r="2429" spans="4:17" x14ac:dyDescent="0.25">
      <c r="D2429" s="3"/>
      <c r="Q2429" s="3"/>
    </row>
    <row r="2432" spans="4:17" x14ac:dyDescent="0.25">
      <c r="D2432" s="3"/>
      <c r="Q2432" s="3"/>
    </row>
    <row r="2435" spans="4:17" x14ac:dyDescent="0.25">
      <c r="D2435" s="3"/>
      <c r="Q2435" s="3"/>
    </row>
    <row r="2436" spans="4:17" x14ac:dyDescent="0.25">
      <c r="Q2436" s="3"/>
    </row>
    <row r="2439" spans="4:17" x14ac:dyDescent="0.25">
      <c r="D2439" s="3"/>
      <c r="Q2439" s="3"/>
    </row>
    <row r="2440" spans="4:17" x14ac:dyDescent="0.25">
      <c r="Q2440" s="3"/>
    </row>
    <row r="2443" spans="4:17" x14ac:dyDescent="0.25">
      <c r="D2443" s="3"/>
      <c r="Q2443" s="3"/>
    </row>
    <row r="2446" spans="4:17" x14ac:dyDescent="0.25">
      <c r="D2446" s="3"/>
      <c r="Q2446" s="3"/>
    </row>
    <row r="2449" spans="4:17" x14ac:dyDescent="0.25">
      <c r="D2449" s="3"/>
      <c r="Q2449" s="3"/>
    </row>
    <row r="2452" spans="4:17" x14ac:dyDescent="0.25">
      <c r="D2452" s="3"/>
      <c r="Q2452" s="3"/>
    </row>
    <row r="2455" spans="4:17" x14ac:dyDescent="0.25">
      <c r="D2455" s="3"/>
      <c r="Q2455" s="3"/>
    </row>
    <row r="2458" spans="4:17" x14ac:dyDescent="0.25">
      <c r="D2458" s="3"/>
      <c r="Q2458" s="3"/>
    </row>
    <row r="2461" spans="4:17" x14ac:dyDescent="0.25">
      <c r="D2461" s="3"/>
      <c r="Q2461" s="3"/>
    </row>
    <row r="2462" spans="4:17" x14ac:dyDescent="0.25">
      <c r="Q2462" s="3"/>
    </row>
    <row r="2465" spans="4:17" x14ac:dyDescent="0.25">
      <c r="D2465" s="3"/>
      <c r="Q2465" s="3"/>
    </row>
    <row r="2468" spans="4:17" x14ac:dyDescent="0.25">
      <c r="D2468" s="3"/>
      <c r="Q2468" s="3"/>
    </row>
    <row r="2469" spans="4:17" x14ac:dyDescent="0.25">
      <c r="Q2469" s="3"/>
    </row>
    <row r="2470" spans="4:17" x14ac:dyDescent="0.25">
      <c r="Q2470" s="3"/>
    </row>
    <row r="2471" spans="4:17" x14ac:dyDescent="0.25">
      <c r="Q2471" s="3"/>
    </row>
    <row r="2474" spans="4:17" x14ac:dyDescent="0.25">
      <c r="D2474" s="3"/>
      <c r="Q2474" s="3"/>
    </row>
    <row r="2475" spans="4:17" x14ac:dyDescent="0.25">
      <c r="Q2475" s="3"/>
    </row>
    <row r="2476" spans="4:17" x14ac:dyDescent="0.25">
      <c r="Q2476" s="3"/>
    </row>
    <row r="2479" spans="4:17" x14ac:dyDescent="0.25">
      <c r="D2479" s="3"/>
      <c r="Q2479" s="3"/>
    </row>
    <row r="2482" spans="4:17" x14ac:dyDescent="0.25">
      <c r="D2482" s="3"/>
      <c r="Q2482" s="3"/>
    </row>
    <row r="2485" spans="4:17" x14ac:dyDescent="0.25">
      <c r="D2485" s="3"/>
      <c r="Q2485" s="3"/>
    </row>
    <row r="2488" spans="4:17" x14ac:dyDescent="0.25">
      <c r="D2488" s="3"/>
      <c r="Q2488" s="3"/>
    </row>
    <row r="2489" spans="4:17" x14ac:dyDescent="0.25">
      <c r="Q2489" s="3"/>
    </row>
    <row r="2492" spans="4:17" x14ac:dyDescent="0.25">
      <c r="D2492" s="3"/>
      <c r="Q2492" s="3"/>
    </row>
    <row r="2495" spans="4:17" x14ac:dyDescent="0.25">
      <c r="D2495" s="3"/>
      <c r="Q2495" s="3"/>
    </row>
    <row r="2498" spans="4:17" x14ac:dyDescent="0.25">
      <c r="D2498" s="3"/>
      <c r="Q2498" s="3"/>
    </row>
    <row r="2501" spans="4:17" x14ac:dyDescent="0.25">
      <c r="D2501" s="3"/>
      <c r="Q2501" s="3"/>
    </row>
    <row r="2504" spans="4:17" x14ac:dyDescent="0.25">
      <c r="D2504" s="3"/>
      <c r="Q2504" s="3"/>
    </row>
    <row r="2507" spans="4:17" x14ac:dyDescent="0.25">
      <c r="D2507" s="3"/>
      <c r="Q2507" s="3"/>
    </row>
    <row r="2508" spans="4:17" x14ac:dyDescent="0.25">
      <c r="Q2508" s="3"/>
    </row>
    <row r="2509" spans="4:17" x14ac:dyDescent="0.25">
      <c r="Q2509" s="3"/>
    </row>
    <row r="2512" spans="4:17" x14ac:dyDescent="0.25">
      <c r="D2512" s="3"/>
      <c r="Q2512" s="3"/>
    </row>
    <row r="2515" spans="4:17" x14ac:dyDescent="0.25">
      <c r="D2515" s="3"/>
      <c r="Q2515" s="3"/>
    </row>
    <row r="2516" spans="4:17" x14ac:dyDescent="0.25">
      <c r="Q2516" s="3"/>
    </row>
    <row r="2519" spans="4:17" x14ac:dyDescent="0.25">
      <c r="D2519" s="3"/>
      <c r="Q2519" s="3"/>
    </row>
    <row r="2522" spans="4:17" x14ac:dyDescent="0.25">
      <c r="D2522" s="3"/>
      <c r="Q2522" s="3"/>
    </row>
    <row r="2525" spans="4:17" x14ac:dyDescent="0.25">
      <c r="D2525" s="3"/>
      <c r="Q2525" s="3"/>
    </row>
    <row r="2528" spans="4:17" x14ac:dyDescent="0.25">
      <c r="D2528" s="3"/>
      <c r="Q2528" s="3"/>
    </row>
    <row r="2531" spans="4:17" x14ac:dyDescent="0.25">
      <c r="D2531" s="3"/>
      <c r="Q2531" s="3"/>
    </row>
    <row r="2534" spans="4:17" x14ac:dyDescent="0.25">
      <c r="D2534" s="3"/>
      <c r="Q2534" s="3"/>
    </row>
    <row r="2535" spans="4:17" x14ac:dyDescent="0.25">
      <c r="Q2535" s="3"/>
    </row>
    <row r="2536" spans="4:17" x14ac:dyDescent="0.25">
      <c r="Q2536" s="3"/>
    </row>
    <row r="2537" spans="4:17" x14ac:dyDescent="0.25">
      <c r="Q2537" s="3"/>
    </row>
    <row r="2538" spans="4:17" x14ac:dyDescent="0.25">
      <c r="Q2538" s="3"/>
    </row>
    <row r="2539" spans="4:17" x14ac:dyDescent="0.25">
      <c r="Q2539" s="3"/>
    </row>
    <row r="2540" spans="4:17" x14ac:dyDescent="0.25">
      <c r="Q2540" s="3"/>
    </row>
    <row r="2543" spans="4:17" x14ac:dyDescent="0.25">
      <c r="D2543" s="3"/>
      <c r="Q2543" s="3"/>
    </row>
    <row r="2544" spans="4:17" x14ac:dyDescent="0.25">
      <c r="Q2544" s="3"/>
    </row>
    <row r="2545" spans="4:17" x14ac:dyDescent="0.25">
      <c r="Q2545" s="3"/>
    </row>
    <row r="2546" spans="4:17" x14ac:dyDescent="0.25">
      <c r="Q2546" s="3"/>
    </row>
    <row r="2547" spans="4:17" x14ac:dyDescent="0.25">
      <c r="Q2547" s="3"/>
    </row>
    <row r="2548" spans="4:17" x14ac:dyDescent="0.25">
      <c r="Q2548" s="3"/>
    </row>
    <row r="2549" spans="4:17" x14ac:dyDescent="0.25">
      <c r="Q2549" s="3"/>
    </row>
    <row r="2552" spans="4:17" x14ac:dyDescent="0.25">
      <c r="D2552" s="3"/>
      <c r="Q2552" s="3"/>
    </row>
    <row r="2553" spans="4:17" x14ac:dyDescent="0.25">
      <c r="Q2553" s="3"/>
    </row>
    <row r="2554" spans="4:17" x14ac:dyDescent="0.25">
      <c r="Q2554" s="3"/>
    </row>
    <row r="2555" spans="4:17" x14ac:dyDescent="0.25">
      <c r="Q2555" s="3"/>
    </row>
    <row r="2556" spans="4:17" x14ac:dyDescent="0.25">
      <c r="Q2556" s="3"/>
    </row>
    <row r="2557" spans="4:17" x14ac:dyDescent="0.25">
      <c r="Q2557" s="3"/>
    </row>
    <row r="2558" spans="4:17" x14ac:dyDescent="0.25">
      <c r="Q2558" s="3"/>
    </row>
    <row r="2559" spans="4:17" x14ac:dyDescent="0.25">
      <c r="Q2559" s="3"/>
    </row>
    <row r="2560" spans="4:17" x14ac:dyDescent="0.25">
      <c r="Q2560" s="3"/>
    </row>
    <row r="2561" spans="4:17" x14ac:dyDescent="0.25">
      <c r="Q2561" s="3"/>
    </row>
    <row r="2562" spans="4:17" x14ac:dyDescent="0.25">
      <c r="Q2562" s="3"/>
    </row>
    <row r="2565" spans="4:17" x14ac:dyDescent="0.25">
      <c r="D2565" s="3"/>
      <c r="Q2565" s="3"/>
    </row>
    <row r="2566" spans="4:17" x14ac:dyDescent="0.25">
      <c r="Q2566" s="3"/>
    </row>
    <row r="2567" spans="4:17" x14ac:dyDescent="0.25">
      <c r="Q2567" s="3"/>
    </row>
    <row r="2570" spans="4:17" x14ac:dyDescent="0.25">
      <c r="D2570" s="3"/>
      <c r="Q2570" s="3"/>
    </row>
    <row r="2571" spans="4:17" x14ac:dyDescent="0.25">
      <c r="Q2571" s="3"/>
    </row>
    <row r="2574" spans="4:17" x14ac:dyDescent="0.25">
      <c r="D2574" s="3"/>
      <c r="Q2574" s="3"/>
    </row>
    <row r="2575" spans="4:17" x14ac:dyDescent="0.25">
      <c r="Q2575" s="3"/>
    </row>
    <row r="2576" spans="4:17" x14ac:dyDescent="0.25">
      <c r="Q2576" s="3"/>
    </row>
    <row r="2577" spans="4:17" x14ac:dyDescent="0.25">
      <c r="Q2577" s="3"/>
    </row>
    <row r="2580" spans="4:17" x14ac:dyDescent="0.25">
      <c r="D2580" s="3"/>
      <c r="Q2580" s="3"/>
    </row>
    <row r="2583" spans="4:17" x14ac:dyDescent="0.25">
      <c r="D2583" s="3"/>
      <c r="Q2583" s="3"/>
    </row>
    <row r="2586" spans="4:17" x14ac:dyDescent="0.25">
      <c r="D2586" s="3"/>
      <c r="Q2586" s="3"/>
    </row>
    <row r="2589" spans="4:17" x14ac:dyDescent="0.25">
      <c r="D2589" s="3"/>
      <c r="Q2589" s="3"/>
    </row>
    <row r="2592" spans="4:17" x14ac:dyDescent="0.25">
      <c r="D2592" s="3"/>
      <c r="Q2592" s="3"/>
    </row>
    <row r="2595" spans="4:17" x14ac:dyDescent="0.25">
      <c r="D2595" s="3"/>
      <c r="Q2595" s="3"/>
    </row>
    <row r="2598" spans="4:17" x14ac:dyDescent="0.25">
      <c r="D2598" s="3"/>
      <c r="Q2598" s="3"/>
    </row>
    <row r="2599" spans="4:17" x14ac:dyDescent="0.25">
      <c r="Q2599" s="3"/>
    </row>
    <row r="2602" spans="4:17" x14ac:dyDescent="0.25">
      <c r="D2602" s="3"/>
      <c r="Q2602" s="3"/>
    </row>
    <row r="2605" spans="4:17" x14ac:dyDescent="0.25">
      <c r="D2605" s="3"/>
      <c r="Q2605" s="3"/>
    </row>
    <row r="2608" spans="4:17" x14ac:dyDescent="0.25">
      <c r="D2608" s="3"/>
      <c r="Q2608" s="3"/>
    </row>
    <row r="2611" spans="4:17" x14ac:dyDescent="0.25">
      <c r="D2611" s="3"/>
      <c r="Q2611" s="3"/>
    </row>
    <row r="2612" spans="4:17" x14ac:dyDescent="0.25">
      <c r="Q2612" s="3"/>
    </row>
    <row r="2613" spans="4:17" x14ac:dyDescent="0.25">
      <c r="Q2613" s="3"/>
    </row>
    <row r="2616" spans="4:17" x14ac:dyDescent="0.25">
      <c r="D2616" s="3"/>
      <c r="Q2616" s="3"/>
    </row>
    <row r="2619" spans="4:17" x14ac:dyDescent="0.25">
      <c r="D2619" s="3"/>
      <c r="Q2619" s="3"/>
    </row>
    <row r="2622" spans="4:17" x14ac:dyDescent="0.25">
      <c r="D2622" s="3"/>
      <c r="Q2622" s="3"/>
    </row>
    <row r="2625" spans="4:17" x14ac:dyDescent="0.25">
      <c r="D2625" s="3"/>
      <c r="Q2625" s="3"/>
    </row>
    <row r="2628" spans="4:17" x14ac:dyDescent="0.25">
      <c r="D2628" s="3"/>
      <c r="Q2628" s="3"/>
    </row>
    <row r="2629" spans="4:17" x14ac:dyDescent="0.25">
      <c r="Q2629" s="3"/>
    </row>
    <row r="2630" spans="4:17" x14ac:dyDescent="0.25">
      <c r="Q2630" s="3"/>
    </row>
    <row r="2633" spans="4:17" x14ac:dyDescent="0.25">
      <c r="D2633" s="3"/>
      <c r="Q2633" s="3"/>
    </row>
    <row r="2634" spans="4:17" x14ac:dyDescent="0.25">
      <c r="Q2634" s="3"/>
    </row>
    <row r="2637" spans="4:17" x14ac:dyDescent="0.25">
      <c r="D2637" s="3"/>
      <c r="Q2637" s="3"/>
    </row>
    <row r="2638" spans="4:17" x14ac:dyDescent="0.25">
      <c r="Q2638" s="3"/>
    </row>
    <row r="2639" spans="4:17" x14ac:dyDescent="0.25">
      <c r="Q2639" s="3"/>
    </row>
    <row r="2642" spans="4:17" x14ac:dyDescent="0.25">
      <c r="D2642" s="3"/>
      <c r="Q2642" s="3"/>
    </row>
    <row r="2643" spans="4:17" x14ac:dyDescent="0.25">
      <c r="Q2643" s="3"/>
    </row>
    <row r="2646" spans="4:17" x14ac:dyDescent="0.25">
      <c r="D2646" s="3"/>
      <c r="Q2646" s="3"/>
    </row>
    <row r="2649" spans="4:17" x14ac:dyDescent="0.25">
      <c r="D2649" s="3"/>
      <c r="Q2649" s="3"/>
    </row>
    <row r="2652" spans="4:17" x14ac:dyDescent="0.25">
      <c r="D2652" s="3"/>
      <c r="Q2652" s="3"/>
    </row>
    <row r="2655" spans="4:17" x14ac:dyDescent="0.25">
      <c r="D2655" s="3"/>
      <c r="Q2655" s="3"/>
    </row>
    <row r="2658" spans="4:17" x14ac:dyDescent="0.25">
      <c r="D2658" s="3"/>
      <c r="Q2658" s="3"/>
    </row>
    <row r="2661" spans="4:17" x14ac:dyDescent="0.25">
      <c r="D2661" s="3"/>
      <c r="Q2661" s="3"/>
    </row>
    <row r="2664" spans="4:17" x14ac:dyDescent="0.25">
      <c r="D2664" s="3"/>
      <c r="Q2664" s="3"/>
    </row>
    <row r="2665" spans="4:17" x14ac:dyDescent="0.25">
      <c r="Q2665" s="3"/>
    </row>
    <row r="2668" spans="4:17" x14ac:dyDescent="0.25">
      <c r="D2668" s="3"/>
      <c r="Q2668" s="3"/>
    </row>
    <row r="2669" spans="4:17" x14ac:dyDescent="0.25">
      <c r="Q2669" s="3"/>
    </row>
    <row r="2672" spans="4:17" x14ac:dyDescent="0.25">
      <c r="D2672" s="3"/>
      <c r="Q2672" s="3"/>
    </row>
    <row r="2673" spans="4:17" x14ac:dyDescent="0.25">
      <c r="Q2673" s="3"/>
    </row>
    <row r="2674" spans="4:17" x14ac:dyDescent="0.25">
      <c r="Q2674" s="3"/>
    </row>
    <row r="2677" spans="4:17" x14ac:dyDescent="0.25">
      <c r="D2677" s="3"/>
      <c r="Q2677" s="3"/>
    </row>
    <row r="2680" spans="4:17" x14ac:dyDescent="0.25">
      <c r="D2680" s="3"/>
      <c r="Q2680" s="3"/>
    </row>
    <row r="2683" spans="4:17" x14ac:dyDescent="0.25">
      <c r="D2683" s="3"/>
      <c r="Q2683" s="3"/>
    </row>
    <row r="2686" spans="4:17" x14ac:dyDescent="0.25">
      <c r="D2686" s="3"/>
      <c r="Q2686" s="3"/>
    </row>
    <row r="2689" spans="4:17" x14ac:dyDescent="0.25">
      <c r="D2689" s="3"/>
      <c r="Q2689" s="3"/>
    </row>
    <row r="2690" spans="4:17" x14ac:dyDescent="0.25">
      <c r="Q2690" s="3"/>
    </row>
    <row r="2691" spans="4:17" x14ac:dyDescent="0.25">
      <c r="Q2691" s="3"/>
    </row>
    <row r="2692" spans="4:17" x14ac:dyDescent="0.25">
      <c r="Q2692" s="3"/>
    </row>
    <row r="2695" spans="4:17" x14ac:dyDescent="0.25">
      <c r="D2695" s="3"/>
      <c r="Q2695" s="3"/>
    </row>
    <row r="2696" spans="4:17" x14ac:dyDescent="0.25">
      <c r="Q2696" s="3"/>
    </row>
    <row r="2699" spans="4:17" x14ac:dyDescent="0.25">
      <c r="D2699" s="3"/>
      <c r="Q2699" s="3"/>
    </row>
    <row r="2700" spans="4:17" x14ac:dyDescent="0.25">
      <c r="Q2700" s="3"/>
    </row>
    <row r="2703" spans="4:17" x14ac:dyDescent="0.25">
      <c r="D2703" s="3"/>
      <c r="Q2703" s="3"/>
    </row>
    <row r="2706" spans="4:17" x14ac:dyDescent="0.25">
      <c r="D2706" s="3"/>
      <c r="Q2706" s="3"/>
    </row>
    <row r="2709" spans="4:17" x14ac:dyDescent="0.25">
      <c r="D2709" s="3"/>
      <c r="Q2709" s="3"/>
    </row>
    <row r="2712" spans="4:17" x14ac:dyDescent="0.25">
      <c r="D2712" s="3"/>
      <c r="Q2712" s="3"/>
    </row>
    <row r="2713" spans="4:17" x14ac:dyDescent="0.25">
      <c r="Q2713" s="3"/>
    </row>
    <row r="2716" spans="4:17" x14ac:dyDescent="0.25">
      <c r="D2716" s="3"/>
      <c r="Q2716" s="3"/>
    </row>
    <row r="2719" spans="4:17" x14ac:dyDescent="0.25">
      <c r="D2719" s="3"/>
      <c r="Q2719" s="3"/>
    </row>
    <row r="2722" spans="4:17" x14ac:dyDescent="0.25">
      <c r="D2722" s="3"/>
      <c r="Q2722" s="3"/>
    </row>
    <row r="2725" spans="4:17" x14ac:dyDescent="0.25">
      <c r="D2725" s="3"/>
      <c r="Q2725" s="3"/>
    </row>
    <row r="2726" spans="4:17" x14ac:dyDescent="0.25">
      <c r="Q2726" s="3"/>
    </row>
    <row r="2727" spans="4:17" x14ac:dyDescent="0.25">
      <c r="Q2727" s="3"/>
    </row>
    <row r="2730" spans="4:17" x14ac:dyDescent="0.25">
      <c r="D2730" s="3"/>
      <c r="Q2730" s="3"/>
    </row>
    <row r="2731" spans="4:17" x14ac:dyDescent="0.25">
      <c r="Q2731" s="3"/>
    </row>
    <row r="2732" spans="4:17" x14ac:dyDescent="0.25">
      <c r="Q2732" s="3"/>
    </row>
    <row r="2733" spans="4:17" x14ac:dyDescent="0.25">
      <c r="Q2733" s="3"/>
    </row>
    <row r="2736" spans="4:17" x14ac:dyDescent="0.25">
      <c r="D2736" s="3"/>
      <c r="Q2736" s="3"/>
    </row>
    <row r="2737" spans="4:17" x14ac:dyDescent="0.25">
      <c r="Q2737" s="3"/>
    </row>
    <row r="2738" spans="4:17" x14ac:dyDescent="0.25">
      <c r="Q2738" s="3"/>
    </row>
    <row r="2739" spans="4:17" x14ac:dyDescent="0.25">
      <c r="Q2739" s="3"/>
    </row>
    <row r="2742" spans="4:17" x14ac:dyDescent="0.25">
      <c r="D2742" s="3"/>
      <c r="Q2742" s="3"/>
    </row>
    <row r="2743" spans="4:17" x14ac:dyDescent="0.25">
      <c r="Q2743" s="3"/>
    </row>
    <row r="2744" spans="4:17" x14ac:dyDescent="0.25">
      <c r="Q2744" s="3"/>
    </row>
    <row r="2745" spans="4:17" x14ac:dyDescent="0.25">
      <c r="Q2745" s="3"/>
    </row>
    <row r="2746" spans="4:17" x14ac:dyDescent="0.25">
      <c r="Q2746" s="3"/>
    </row>
    <row r="2749" spans="4:17" x14ac:dyDescent="0.25">
      <c r="D2749" s="3"/>
      <c r="Q2749" s="3"/>
    </row>
    <row r="2752" spans="4:17" x14ac:dyDescent="0.25">
      <c r="D2752" s="3"/>
      <c r="Q2752" s="3"/>
    </row>
    <row r="2755" spans="4:17" x14ac:dyDescent="0.25">
      <c r="D2755" s="3"/>
      <c r="Q2755" s="3"/>
    </row>
    <row r="2758" spans="4:17" x14ac:dyDescent="0.25">
      <c r="D2758" s="3"/>
      <c r="Q2758" s="3"/>
    </row>
    <row r="2761" spans="4:17" x14ac:dyDescent="0.25">
      <c r="D2761" s="3"/>
      <c r="Q2761" s="3"/>
    </row>
    <row r="2762" spans="4:17" x14ac:dyDescent="0.25">
      <c r="Q2762" s="3"/>
    </row>
    <row r="2765" spans="4:17" x14ac:dyDescent="0.25">
      <c r="D2765" s="3"/>
      <c r="Q2765" s="3"/>
    </row>
    <row r="2766" spans="4:17" x14ac:dyDescent="0.25">
      <c r="Q2766" s="3"/>
    </row>
    <row r="2769" spans="4:17" x14ac:dyDescent="0.25">
      <c r="D2769" s="3"/>
      <c r="Q2769" s="3"/>
    </row>
    <row r="2772" spans="4:17" x14ac:dyDescent="0.25">
      <c r="D2772" s="3"/>
      <c r="Q2772" s="3"/>
    </row>
    <row r="2775" spans="4:17" x14ac:dyDescent="0.25">
      <c r="D2775" s="3"/>
      <c r="Q2775" s="3"/>
    </row>
    <row r="2778" spans="4:17" x14ac:dyDescent="0.25">
      <c r="D2778" s="3"/>
      <c r="Q2778" s="3"/>
    </row>
    <row r="2781" spans="4:17" x14ac:dyDescent="0.25">
      <c r="D2781" s="3"/>
      <c r="Q2781" s="3"/>
    </row>
    <row r="2784" spans="4:17" x14ac:dyDescent="0.25">
      <c r="D2784" s="3"/>
      <c r="Q2784" s="3"/>
    </row>
    <row r="2787" spans="4:17" x14ac:dyDescent="0.25">
      <c r="D2787" s="3"/>
      <c r="Q2787" s="3"/>
    </row>
    <row r="2790" spans="4:17" x14ac:dyDescent="0.25">
      <c r="D2790" s="3"/>
      <c r="Q2790" s="3"/>
    </row>
    <row r="2793" spans="4:17" x14ac:dyDescent="0.25">
      <c r="D2793" s="3"/>
      <c r="Q2793" s="3"/>
    </row>
    <row r="2796" spans="4:17" x14ac:dyDescent="0.25">
      <c r="D2796" s="3"/>
      <c r="Q2796" s="3"/>
    </row>
    <row r="2799" spans="4:17" x14ac:dyDescent="0.25">
      <c r="D2799" s="3"/>
      <c r="Q2799" s="3"/>
    </row>
    <row r="2802" spans="4:17" x14ac:dyDescent="0.25">
      <c r="D2802" s="3"/>
      <c r="Q2802" s="3"/>
    </row>
    <row r="2803" spans="4:17" x14ac:dyDescent="0.25">
      <c r="Q2803" s="3"/>
    </row>
    <row r="2804" spans="4:17" x14ac:dyDescent="0.25">
      <c r="Q2804" s="3"/>
    </row>
    <row r="2807" spans="4:17" x14ac:dyDescent="0.25">
      <c r="D2807" s="3"/>
      <c r="Q2807" s="3"/>
    </row>
    <row r="2808" spans="4:17" x14ac:dyDescent="0.25">
      <c r="Q2808" s="3"/>
    </row>
    <row r="2811" spans="4:17" x14ac:dyDescent="0.25">
      <c r="D2811" s="3"/>
      <c r="Q2811" s="3"/>
    </row>
    <row r="2812" spans="4:17" x14ac:dyDescent="0.25">
      <c r="Q2812" s="3"/>
    </row>
    <row r="2815" spans="4:17" x14ac:dyDescent="0.25">
      <c r="D2815" s="3"/>
      <c r="Q2815" s="3"/>
    </row>
    <row r="2818" spans="4:17" x14ac:dyDescent="0.25">
      <c r="D2818" s="3"/>
      <c r="Q2818" s="3"/>
    </row>
    <row r="2821" spans="4:17" x14ac:dyDescent="0.25">
      <c r="D2821" s="3"/>
      <c r="Q2821" s="3"/>
    </row>
    <row r="2824" spans="4:17" x14ac:dyDescent="0.25">
      <c r="D2824" s="3"/>
      <c r="Q2824" s="3"/>
    </row>
    <row r="2825" spans="4:17" x14ac:dyDescent="0.25">
      <c r="Q2825" s="3"/>
    </row>
    <row r="2828" spans="4:17" x14ac:dyDescent="0.25">
      <c r="D2828" s="3"/>
      <c r="Q2828" s="3"/>
    </row>
    <row r="2831" spans="4:17" x14ac:dyDescent="0.25">
      <c r="D2831" s="3"/>
      <c r="Q2831" s="3"/>
    </row>
    <row r="2832" spans="4:17" x14ac:dyDescent="0.25">
      <c r="Q2832" s="3"/>
    </row>
    <row r="2835" spans="4:17" x14ac:dyDescent="0.25">
      <c r="D2835" s="3"/>
      <c r="Q2835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V1:V4"/>
  <sheetViews>
    <sheetView topLeftCell="N1" workbookViewId="0">
      <selection activeCell="V4" sqref="V4"/>
    </sheetView>
  </sheetViews>
  <sheetFormatPr defaultRowHeight="15" x14ac:dyDescent="0.25"/>
  <sheetData>
    <row r="1" spans="22:22" x14ac:dyDescent="0.25">
      <c r="V1">
        <f>COUNTA(Y:Y)+2</f>
        <v>2</v>
      </c>
    </row>
    <row r="2" spans="22:22" x14ac:dyDescent="0.25">
      <c r="V2">
        <f>COUNTA(SPEC!A:A)+1</f>
        <v>1</v>
      </c>
    </row>
    <row r="3" spans="22:22" x14ac:dyDescent="0.25">
      <c r="V3">
        <f>COUNTA(Final!C:C)</f>
        <v>1</v>
      </c>
    </row>
    <row r="4" spans="22:22" x14ac:dyDescent="0.25">
      <c r="V4">
        <f>COUNTA('Incoming Material Report'!K:K)+2000</f>
        <v>2001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topLeftCell="K1" workbookViewId="0">
      <selection activeCell="A24" activeCellId="1" sqref="A1:XFD1048576 A24"/>
    </sheetView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sqref="A1:X1048576"/>
    </sheetView>
  </sheetViews>
  <sheetFormatPr defaultRowHeight="15" x14ac:dyDescent="0.25"/>
  <cols>
    <col min="1" max="1" width="45.85546875" customWidth="1"/>
  </cols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N1:Q184"/>
  <sheetViews>
    <sheetView workbookViewId="0">
      <selection sqref="A1:X1048576"/>
    </sheetView>
  </sheetViews>
  <sheetFormatPr defaultRowHeight="15" x14ac:dyDescent="0.25"/>
  <sheetData>
    <row r="1" spans="14:17" x14ac:dyDescent="0.25">
      <c r="N1">
        <f>COUNTA(A:A)+2</f>
        <v>2</v>
      </c>
    </row>
    <row r="2" spans="14:17" x14ac:dyDescent="0.25">
      <c r="O2" t="str">
        <f>D2&amp;E2</f>
        <v/>
      </c>
      <c r="P2" t="str">
        <f>IF(C2="","",C2)</f>
        <v/>
      </c>
      <c r="Q2" t="str">
        <f>_xlfn.IFNA(VLOOKUP(O2,Final!T:T,1,FALSE),"NA")</f>
        <v/>
      </c>
    </row>
    <row r="3" spans="14:17" x14ac:dyDescent="0.25">
      <c r="O3" t="str">
        <f t="shared" ref="O3:O66" si="0">D3&amp;E3</f>
        <v/>
      </c>
      <c r="P3" t="str">
        <f t="shared" ref="P3:P66" si="1">IF(C3="","",C3)</f>
        <v/>
      </c>
      <c r="Q3" t="str">
        <f>_xlfn.IFNA(VLOOKUP(O3,Final!T:T,1,FALSE),"NA")</f>
        <v/>
      </c>
    </row>
    <row r="4" spans="14:17" x14ac:dyDescent="0.25">
      <c r="O4" t="str">
        <f t="shared" si="0"/>
        <v/>
      </c>
      <c r="P4" t="str">
        <f t="shared" si="1"/>
        <v/>
      </c>
      <c r="Q4" t="str">
        <f>_xlfn.IFNA(VLOOKUP(O4,Final!T:T,1,FALSE),"NA")</f>
        <v/>
      </c>
    </row>
    <row r="5" spans="14:17" x14ac:dyDescent="0.25">
      <c r="O5" t="str">
        <f t="shared" si="0"/>
        <v/>
      </c>
      <c r="P5" t="str">
        <f t="shared" si="1"/>
        <v/>
      </c>
      <c r="Q5" t="str">
        <f>_xlfn.IFNA(VLOOKUP(O5,Final!T:T,1,FALSE),"NA")</f>
        <v/>
      </c>
    </row>
    <row r="6" spans="14:17" x14ac:dyDescent="0.25">
      <c r="O6" t="str">
        <f t="shared" si="0"/>
        <v/>
      </c>
      <c r="P6" t="str">
        <f t="shared" si="1"/>
        <v/>
      </c>
      <c r="Q6" t="str">
        <f>_xlfn.IFNA(VLOOKUP(O6,Final!T:T,1,FALSE),"NA")</f>
        <v/>
      </c>
    </row>
    <row r="7" spans="14:17" x14ac:dyDescent="0.25">
      <c r="O7" t="str">
        <f t="shared" si="0"/>
        <v/>
      </c>
      <c r="P7" t="str">
        <f t="shared" si="1"/>
        <v/>
      </c>
      <c r="Q7" t="str">
        <f>_xlfn.IFNA(VLOOKUP(O7,Final!T:T,1,FALSE),"NA")</f>
        <v/>
      </c>
    </row>
    <row r="8" spans="14:17" x14ac:dyDescent="0.25">
      <c r="O8" t="str">
        <f t="shared" si="0"/>
        <v/>
      </c>
      <c r="P8" t="str">
        <f t="shared" si="1"/>
        <v/>
      </c>
      <c r="Q8" t="str">
        <f>_xlfn.IFNA(VLOOKUP(O8,Final!T:T,1,FALSE),"NA")</f>
        <v/>
      </c>
    </row>
    <row r="9" spans="14:17" x14ac:dyDescent="0.25">
      <c r="O9" t="str">
        <f t="shared" si="0"/>
        <v/>
      </c>
      <c r="P9" t="str">
        <f t="shared" si="1"/>
        <v/>
      </c>
      <c r="Q9" t="str">
        <f>_xlfn.IFNA(VLOOKUP(O9,Final!T:T,1,FALSE),"NA")</f>
        <v/>
      </c>
    </row>
    <row r="10" spans="14:17" x14ac:dyDescent="0.25">
      <c r="O10" t="str">
        <f t="shared" si="0"/>
        <v/>
      </c>
      <c r="P10" t="str">
        <f t="shared" si="1"/>
        <v/>
      </c>
      <c r="Q10" t="str">
        <f>_xlfn.IFNA(VLOOKUP(O10,Final!T:T,1,FALSE),"NA")</f>
        <v/>
      </c>
    </row>
    <row r="11" spans="14:17" x14ac:dyDescent="0.25">
      <c r="O11" t="str">
        <f t="shared" si="0"/>
        <v/>
      </c>
      <c r="P11" t="str">
        <f t="shared" si="1"/>
        <v/>
      </c>
      <c r="Q11" t="str">
        <f>_xlfn.IFNA(VLOOKUP(O11,Final!T:T,1,FALSE),"NA")</f>
        <v/>
      </c>
    </row>
    <row r="12" spans="14:17" x14ac:dyDescent="0.25">
      <c r="O12" t="str">
        <f t="shared" si="0"/>
        <v/>
      </c>
      <c r="P12" t="str">
        <f t="shared" si="1"/>
        <v/>
      </c>
      <c r="Q12" t="str">
        <f>_xlfn.IFNA(VLOOKUP(O12,Final!T:T,1,FALSE),"NA")</f>
        <v/>
      </c>
    </row>
    <row r="13" spans="14:17" x14ac:dyDescent="0.25">
      <c r="O13" t="str">
        <f>D13&amp;E13</f>
        <v/>
      </c>
      <c r="P13" t="str">
        <f t="shared" si="1"/>
        <v/>
      </c>
      <c r="Q13" t="str">
        <f>_xlfn.IFNA(VLOOKUP(O13,Final!T:T,1,FALSE),"NA")</f>
        <v/>
      </c>
    </row>
    <row r="14" spans="14:17" x14ac:dyDescent="0.25">
      <c r="O14" t="str">
        <f t="shared" si="0"/>
        <v/>
      </c>
      <c r="P14" t="str">
        <f t="shared" si="1"/>
        <v/>
      </c>
      <c r="Q14" t="str">
        <f>_xlfn.IFNA(VLOOKUP(O14,Final!T:T,1,FALSE),"NA")</f>
        <v/>
      </c>
    </row>
    <row r="15" spans="14:17" x14ac:dyDescent="0.25">
      <c r="O15" t="str">
        <f t="shared" si="0"/>
        <v/>
      </c>
      <c r="P15" t="str">
        <f t="shared" si="1"/>
        <v/>
      </c>
      <c r="Q15" t="str">
        <f>_xlfn.IFNA(VLOOKUP(O15,Final!T:T,1,FALSE),"NA")</f>
        <v/>
      </c>
    </row>
    <row r="16" spans="14:17" x14ac:dyDescent="0.25">
      <c r="O16" t="str">
        <f t="shared" si="0"/>
        <v/>
      </c>
      <c r="P16" t="str">
        <f t="shared" si="1"/>
        <v/>
      </c>
      <c r="Q16" t="str">
        <f>_xlfn.IFNA(VLOOKUP(O16,Final!T:T,1,FALSE),"NA")</f>
        <v/>
      </c>
    </row>
    <row r="17" spans="15:17" x14ac:dyDescent="0.25">
      <c r="O17" t="str">
        <f t="shared" si="0"/>
        <v/>
      </c>
      <c r="P17" t="str">
        <f t="shared" si="1"/>
        <v/>
      </c>
      <c r="Q17" t="str">
        <f>_xlfn.IFNA(VLOOKUP(O17,Final!T:T,1,FALSE),"NA")</f>
        <v/>
      </c>
    </row>
    <row r="18" spans="15:17" x14ac:dyDescent="0.25">
      <c r="O18" t="str">
        <f t="shared" si="0"/>
        <v/>
      </c>
      <c r="P18" t="str">
        <f t="shared" si="1"/>
        <v/>
      </c>
      <c r="Q18" t="str">
        <f>_xlfn.IFNA(VLOOKUP(O18,Final!T:T,1,FALSE),"NA")</f>
        <v/>
      </c>
    </row>
    <row r="19" spans="15:17" x14ac:dyDescent="0.25">
      <c r="O19" t="str">
        <f t="shared" si="0"/>
        <v/>
      </c>
      <c r="P19" t="str">
        <f t="shared" si="1"/>
        <v/>
      </c>
      <c r="Q19" t="str">
        <f>_xlfn.IFNA(VLOOKUP(O19,Final!T:T,1,FALSE),"NA")</f>
        <v/>
      </c>
    </row>
    <row r="20" spans="15:17" x14ac:dyDescent="0.25">
      <c r="O20" t="str">
        <f t="shared" si="0"/>
        <v/>
      </c>
      <c r="P20" t="str">
        <f t="shared" si="1"/>
        <v/>
      </c>
      <c r="Q20" t="str">
        <f>_xlfn.IFNA(VLOOKUP(O20,Final!T:T,1,FALSE),"NA")</f>
        <v/>
      </c>
    </row>
    <row r="21" spans="15:17" x14ac:dyDescent="0.25">
      <c r="O21" t="str">
        <f t="shared" si="0"/>
        <v/>
      </c>
      <c r="P21" t="str">
        <f t="shared" si="1"/>
        <v/>
      </c>
      <c r="Q21" t="str">
        <f>_xlfn.IFNA(VLOOKUP(O21,Final!T:T,1,FALSE),"NA")</f>
        <v/>
      </c>
    </row>
    <row r="22" spans="15:17" x14ac:dyDescent="0.25">
      <c r="O22" t="str">
        <f t="shared" si="0"/>
        <v/>
      </c>
      <c r="P22" t="str">
        <f t="shared" si="1"/>
        <v/>
      </c>
      <c r="Q22" t="str">
        <f>_xlfn.IFNA(VLOOKUP(O22,Final!T:T,1,FALSE),"NA")</f>
        <v/>
      </c>
    </row>
    <row r="23" spans="15:17" x14ac:dyDescent="0.25">
      <c r="O23" t="str">
        <f t="shared" si="0"/>
        <v/>
      </c>
      <c r="P23" t="str">
        <f t="shared" si="1"/>
        <v/>
      </c>
      <c r="Q23" t="str">
        <f>_xlfn.IFNA(VLOOKUP(O23,Final!T:T,1,FALSE),"NA")</f>
        <v/>
      </c>
    </row>
    <row r="24" spans="15:17" x14ac:dyDescent="0.25">
      <c r="O24" t="str">
        <f t="shared" si="0"/>
        <v/>
      </c>
      <c r="P24" t="str">
        <f t="shared" si="1"/>
        <v/>
      </c>
      <c r="Q24" t="str">
        <f>_xlfn.IFNA(VLOOKUP(O24,Final!T:T,1,FALSE),"NA")</f>
        <v/>
      </c>
    </row>
    <row r="25" spans="15:17" x14ac:dyDescent="0.25">
      <c r="O25" t="str">
        <f t="shared" si="0"/>
        <v/>
      </c>
      <c r="P25" t="str">
        <f t="shared" si="1"/>
        <v/>
      </c>
      <c r="Q25" t="str">
        <f>_xlfn.IFNA(VLOOKUP(O25,Final!T:T,1,FALSE),"NA")</f>
        <v/>
      </c>
    </row>
    <row r="26" spans="15:17" x14ac:dyDescent="0.25">
      <c r="O26" t="str">
        <f t="shared" si="0"/>
        <v/>
      </c>
      <c r="P26" t="str">
        <f t="shared" si="1"/>
        <v/>
      </c>
      <c r="Q26" t="str">
        <f>_xlfn.IFNA(VLOOKUP(O26,Final!T:T,1,FALSE),"NA")</f>
        <v/>
      </c>
    </row>
    <row r="27" spans="15:17" x14ac:dyDescent="0.25">
      <c r="O27" t="str">
        <f t="shared" si="0"/>
        <v/>
      </c>
      <c r="P27" t="str">
        <f t="shared" si="1"/>
        <v/>
      </c>
      <c r="Q27" t="str">
        <f>_xlfn.IFNA(VLOOKUP(O27,Final!T:T,1,FALSE),"NA")</f>
        <v/>
      </c>
    </row>
    <row r="28" spans="15:17" x14ac:dyDescent="0.25">
      <c r="O28" t="str">
        <f t="shared" si="0"/>
        <v/>
      </c>
      <c r="P28" t="str">
        <f t="shared" si="1"/>
        <v/>
      </c>
      <c r="Q28" t="str">
        <f>_xlfn.IFNA(VLOOKUP(O28,Final!T:T,1,FALSE),"NA")</f>
        <v/>
      </c>
    </row>
    <row r="29" spans="15:17" x14ac:dyDescent="0.25">
      <c r="O29" t="str">
        <f t="shared" si="0"/>
        <v/>
      </c>
      <c r="P29" t="str">
        <f t="shared" si="1"/>
        <v/>
      </c>
      <c r="Q29" t="str">
        <f>_xlfn.IFNA(VLOOKUP(O29,Final!T:T,1,FALSE),"NA")</f>
        <v/>
      </c>
    </row>
    <row r="30" spans="15:17" x14ac:dyDescent="0.25">
      <c r="O30" t="str">
        <f t="shared" si="0"/>
        <v/>
      </c>
      <c r="P30" t="str">
        <f t="shared" si="1"/>
        <v/>
      </c>
      <c r="Q30" t="str">
        <f>_xlfn.IFNA(VLOOKUP(O30,Final!T:T,1,FALSE),"NA")</f>
        <v/>
      </c>
    </row>
    <row r="31" spans="15:17" x14ac:dyDescent="0.25">
      <c r="O31" t="str">
        <f t="shared" si="0"/>
        <v/>
      </c>
      <c r="P31" t="str">
        <f t="shared" si="1"/>
        <v/>
      </c>
      <c r="Q31" t="str">
        <f>_xlfn.IFNA(VLOOKUP(O31,Final!T:T,1,FALSE),"NA")</f>
        <v/>
      </c>
    </row>
    <row r="32" spans="15:17" x14ac:dyDescent="0.25">
      <c r="O32" t="str">
        <f t="shared" si="0"/>
        <v/>
      </c>
      <c r="P32" t="str">
        <f t="shared" si="1"/>
        <v/>
      </c>
      <c r="Q32" t="str">
        <f>_xlfn.IFNA(VLOOKUP(O32,Final!T:T,1,FALSE),"NA")</f>
        <v/>
      </c>
    </row>
    <row r="33" spans="15:17" x14ac:dyDescent="0.25">
      <c r="O33" t="str">
        <f t="shared" si="0"/>
        <v/>
      </c>
      <c r="P33" t="str">
        <f t="shared" si="1"/>
        <v/>
      </c>
      <c r="Q33" t="str">
        <f>_xlfn.IFNA(VLOOKUP(O33,Final!T:T,1,FALSE),"NA")</f>
        <v/>
      </c>
    </row>
    <row r="34" spans="15:17" x14ac:dyDescent="0.25">
      <c r="O34" t="str">
        <f t="shared" si="0"/>
        <v/>
      </c>
      <c r="P34" t="str">
        <f t="shared" si="1"/>
        <v/>
      </c>
      <c r="Q34" t="str">
        <f>_xlfn.IFNA(VLOOKUP(O34,Final!T:T,1,FALSE),"NA")</f>
        <v/>
      </c>
    </row>
    <row r="35" spans="15:17" x14ac:dyDescent="0.25">
      <c r="O35" t="str">
        <f t="shared" si="0"/>
        <v/>
      </c>
      <c r="P35" t="str">
        <f t="shared" si="1"/>
        <v/>
      </c>
      <c r="Q35" t="str">
        <f>_xlfn.IFNA(VLOOKUP(O35,Final!T:T,1,FALSE),"NA")</f>
        <v/>
      </c>
    </row>
    <row r="36" spans="15:17" x14ac:dyDescent="0.25">
      <c r="O36" t="str">
        <f t="shared" si="0"/>
        <v/>
      </c>
      <c r="P36" t="str">
        <f t="shared" si="1"/>
        <v/>
      </c>
      <c r="Q36" t="str">
        <f>_xlfn.IFNA(VLOOKUP(O36,Final!T:T,1,FALSE),"NA")</f>
        <v/>
      </c>
    </row>
    <row r="37" spans="15:17" x14ac:dyDescent="0.25">
      <c r="O37" t="str">
        <f t="shared" si="0"/>
        <v/>
      </c>
      <c r="P37" t="str">
        <f t="shared" si="1"/>
        <v/>
      </c>
      <c r="Q37" t="str">
        <f>_xlfn.IFNA(VLOOKUP(O37,Final!T:T,1,FALSE),"NA")</f>
        <v/>
      </c>
    </row>
    <row r="38" spans="15:17" x14ac:dyDescent="0.25">
      <c r="O38" t="str">
        <f t="shared" si="0"/>
        <v/>
      </c>
      <c r="P38" t="str">
        <f t="shared" si="1"/>
        <v/>
      </c>
      <c r="Q38" t="str">
        <f>_xlfn.IFNA(VLOOKUP(O38,Final!T:T,1,FALSE),"NA")</f>
        <v/>
      </c>
    </row>
    <row r="39" spans="15:17" x14ac:dyDescent="0.25">
      <c r="O39" t="str">
        <f t="shared" si="0"/>
        <v/>
      </c>
      <c r="P39" t="str">
        <f t="shared" si="1"/>
        <v/>
      </c>
      <c r="Q39" t="str">
        <f>_xlfn.IFNA(VLOOKUP(O39,Final!T:T,1,FALSE),"NA")</f>
        <v/>
      </c>
    </row>
    <row r="40" spans="15:17" x14ac:dyDescent="0.25">
      <c r="O40" t="str">
        <f t="shared" si="0"/>
        <v/>
      </c>
      <c r="P40" t="str">
        <f t="shared" si="1"/>
        <v/>
      </c>
      <c r="Q40" t="str">
        <f>_xlfn.IFNA(VLOOKUP(O40,Final!T:T,1,FALSE),"NA")</f>
        <v/>
      </c>
    </row>
    <row r="41" spans="15:17" x14ac:dyDescent="0.25">
      <c r="O41" t="str">
        <f t="shared" si="0"/>
        <v/>
      </c>
      <c r="P41" t="str">
        <f t="shared" si="1"/>
        <v/>
      </c>
      <c r="Q41" t="str">
        <f>_xlfn.IFNA(VLOOKUP(O41,Final!T:T,1,FALSE),"NA")</f>
        <v/>
      </c>
    </row>
    <row r="42" spans="15:17" x14ac:dyDescent="0.25">
      <c r="O42" t="str">
        <f t="shared" si="0"/>
        <v/>
      </c>
      <c r="P42" t="str">
        <f t="shared" si="1"/>
        <v/>
      </c>
      <c r="Q42" t="str">
        <f>_xlfn.IFNA(VLOOKUP(O42,Final!T:T,1,FALSE),"NA")</f>
        <v/>
      </c>
    </row>
    <row r="43" spans="15:17" x14ac:dyDescent="0.25">
      <c r="O43" t="str">
        <f t="shared" si="0"/>
        <v/>
      </c>
      <c r="P43" t="str">
        <f t="shared" si="1"/>
        <v/>
      </c>
      <c r="Q43" t="str">
        <f>_xlfn.IFNA(VLOOKUP(O43,Final!T:T,1,FALSE),"NA")</f>
        <v/>
      </c>
    </row>
    <row r="44" spans="15:17" x14ac:dyDescent="0.25">
      <c r="O44" t="str">
        <f t="shared" si="0"/>
        <v/>
      </c>
      <c r="P44" t="str">
        <f t="shared" si="1"/>
        <v/>
      </c>
      <c r="Q44" t="str">
        <f>_xlfn.IFNA(VLOOKUP(O44,Final!T:T,1,FALSE),"NA")</f>
        <v/>
      </c>
    </row>
    <row r="45" spans="15:17" x14ac:dyDescent="0.25">
      <c r="O45" t="str">
        <f t="shared" si="0"/>
        <v/>
      </c>
      <c r="P45" t="str">
        <f t="shared" si="1"/>
        <v/>
      </c>
      <c r="Q45" t="str">
        <f>_xlfn.IFNA(VLOOKUP(O45,Final!T:T,1,FALSE),"NA")</f>
        <v/>
      </c>
    </row>
    <row r="46" spans="15:17" x14ac:dyDescent="0.25">
      <c r="O46" t="str">
        <f t="shared" si="0"/>
        <v/>
      </c>
      <c r="P46" t="str">
        <f t="shared" si="1"/>
        <v/>
      </c>
      <c r="Q46" t="str">
        <f>_xlfn.IFNA(VLOOKUP(O46,Final!T:T,1,FALSE),"NA")</f>
        <v/>
      </c>
    </row>
    <row r="47" spans="15:17" x14ac:dyDescent="0.25">
      <c r="O47" t="str">
        <f t="shared" si="0"/>
        <v/>
      </c>
      <c r="P47" t="str">
        <f t="shared" si="1"/>
        <v/>
      </c>
      <c r="Q47" t="str">
        <f>_xlfn.IFNA(VLOOKUP(O47,Final!T:T,1,FALSE),"NA")</f>
        <v/>
      </c>
    </row>
    <row r="48" spans="15:17" x14ac:dyDescent="0.25">
      <c r="O48" t="str">
        <f t="shared" si="0"/>
        <v/>
      </c>
      <c r="P48" t="str">
        <f t="shared" si="1"/>
        <v/>
      </c>
      <c r="Q48" t="str">
        <f>_xlfn.IFNA(VLOOKUP(O48,Final!T:T,1,FALSE),"NA")</f>
        <v/>
      </c>
    </row>
    <row r="49" spans="15:17" x14ac:dyDescent="0.25">
      <c r="O49" t="str">
        <f t="shared" si="0"/>
        <v/>
      </c>
      <c r="P49" t="str">
        <f t="shared" si="1"/>
        <v/>
      </c>
      <c r="Q49" t="str">
        <f>_xlfn.IFNA(VLOOKUP(O49,Final!T:T,1,FALSE),"NA")</f>
        <v/>
      </c>
    </row>
    <row r="50" spans="15:17" x14ac:dyDescent="0.25">
      <c r="O50" t="str">
        <f t="shared" si="0"/>
        <v/>
      </c>
      <c r="P50" t="str">
        <f t="shared" si="1"/>
        <v/>
      </c>
      <c r="Q50" t="str">
        <f>_xlfn.IFNA(VLOOKUP(O50,Final!T:T,1,FALSE),"NA")</f>
        <v/>
      </c>
    </row>
    <row r="51" spans="15:17" x14ac:dyDescent="0.25">
      <c r="O51" t="str">
        <f t="shared" si="0"/>
        <v/>
      </c>
      <c r="P51" t="str">
        <f t="shared" si="1"/>
        <v/>
      </c>
      <c r="Q51" t="str">
        <f>_xlfn.IFNA(VLOOKUP(O51,Final!T:T,1,FALSE),"NA")</f>
        <v/>
      </c>
    </row>
    <row r="52" spans="15:17" x14ac:dyDescent="0.25">
      <c r="O52" t="str">
        <f t="shared" si="0"/>
        <v/>
      </c>
      <c r="P52" t="str">
        <f t="shared" si="1"/>
        <v/>
      </c>
      <c r="Q52" t="str">
        <f>_xlfn.IFNA(VLOOKUP(O52,Final!T:T,1,FALSE),"NA")</f>
        <v/>
      </c>
    </row>
    <row r="53" spans="15:17" x14ac:dyDescent="0.25">
      <c r="O53" t="str">
        <f t="shared" si="0"/>
        <v/>
      </c>
      <c r="P53" t="str">
        <f t="shared" si="1"/>
        <v/>
      </c>
      <c r="Q53" t="str">
        <f>_xlfn.IFNA(VLOOKUP(O53,Final!T:T,1,FALSE),"NA")</f>
        <v/>
      </c>
    </row>
    <row r="54" spans="15:17" x14ac:dyDescent="0.25">
      <c r="O54" t="str">
        <f t="shared" si="0"/>
        <v/>
      </c>
      <c r="P54" t="str">
        <f t="shared" si="1"/>
        <v/>
      </c>
      <c r="Q54" t="str">
        <f>_xlfn.IFNA(VLOOKUP(O54,Final!T:T,1,FALSE),"NA")</f>
        <v/>
      </c>
    </row>
    <row r="55" spans="15:17" x14ac:dyDescent="0.25">
      <c r="O55" t="str">
        <f t="shared" si="0"/>
        <v/>
      </c>
      <c r="P55" t="str">
        <f t="shared" si="1"/>
        <v/>
      </c>
      <c r="Q55" t="str">
        <f>_xlfn.IFNA(VLOOKUP(O55,Final!T:T,1,FALSE),"NA")</f>
        <v/>
      </c>
    </row>
    <row r="56" spans="15:17" x14ac:dyDescent="0.25">
      <c r="O56" t="str">
        <f t="shared" si="0"/>
        <v/>
      </c>
      <c r="P56" t="str">
        <f t="shared" si="1"/>
        <v/>
      </c>
      <c r="Q56" t="str">
        <f>_xlfn.IFNA(VLOOKUP(O56,Final!T:T,1,FALSE),"NA")</f>
        <v/>
      </c>
    </row>
    <row r="57" spans="15:17" x14ac:dyDescent="0.25">
      <c r="O57" t="str">
        <f t="shared" si="0"/>
        <v/>
      </c>
      <c r="P57" t="str">
        <f t="shared" si="1"/>
        <v/>
      </c>
      <c r="Q57" t="str">
        <f>_xlfn.IFNA(VLOOKUP(O57,Final!T:T,1,FALSE),"NA")</f>
        <v/>
      </c>
    </row>
    <row r="58" spans="15:17" x14ac:dyDescent="0.25">
      <c r="O58" t="str">
        <f t="shared" si="0"/>
        <v/>
      </c>
      <c r="P58" t="str">
        <f t="shared" si="1"/>
        <v/>
      </c>
      <c r="Q58" t="str">
        <f>_xlfn.IFNA(VLOOKUP(O58,Final!T:T,1,FALSE),"NA")</f>
        <v/>
      </c>
    </row>
    <row r="59" spans="15:17" x14ac:dyDescent="0.25">
      <c r="O59" t="str">
        <f t="shared" si="0"/>
        <v/>
      </c>
      <c r="P59" t="str">
        <f t="shared" si="1"/>
        <v/>
      </c>
      <c r="Q59" t="str">
        <f>_xlfn.IFNA(VLOOKUP(O59,Final!T:T,1,FALSE),"NA")</f>
        <v/>
      </c>
    </row>
    <row r="60" spans="15:17" x14ac:dyDescent="0.25">
      <c r="O60" t="str">
        <f t="shared" si="0"/>
        <v/>
      </c>
      <c r="P60" t="str">
        <f t="shared" si="1"/>
        <v/>
      </c>
      <c r="Q60" t="str">
        <f>_xlfn.IFNA(VLOOKUP(O60,Final!T:T,1,FALSE),"NA")</f>
        <v/>
      </c>
    </row>
    <row r="61" spans="15:17" x14ac:dyDescent="0.25">
      <c r="O61" t="str">
        <f t="shared" si="0"/>
        <v/>
      </c>
      <c r="P61" t="str">
        <f t="shared" si="1"/>
        <v/>
      </c>
      <c r="Q61" t="str">
        <f>_xlfn.IFNA(VLOOKUP(O61,Final!T:T,1,FALSE),"NA")</f>
        <v/>
      </c>
    </row>
    <row r="62" spans="15:17" x14ac:dyDescent="0.25">
      <c r="O62" t="str">
        <f t="shared" si="0"/>
        <v/>
      </c>
      <c r="P62" t="str">
        <f t="shared" si="1"/>
        <v/>
      </c>
      <c r="Q62" t="str">
        <f>_xlfn.IFNA(VLOOKUP(O62,Final!T:T,1,FALSE),"NA")</f>
        <v/>
      </c>
    </row>
    <row r="63" spans="15:17" x14ac:dyDescent="0.25">
      <c r="O63" t="str">
        <f t="shared" si="0"/>
        <v/>
      </c>
      <c r="P63" t="str">
        <f t="shared" si="1"/>
        <v/>
      </c>
      <c r="Q63" t="str">
        <f>_xlfn.IFNA(VLOOKUP(O63,Final!T:T,1,FALSE),"NA")</f>
        <v/>
      </c>
    </row>
    <row r="64" spans="15:17" x14ac:dyDescent="0.25">
      <c r="O64" t="str">
        <f t="shared" si="0"/>
        <v/>
      </c>
      <c r="P64" t="str">
        <f t="shared" si="1"/>
        <v/>
      </c>
      <c r="Q64" t="str">
        <f>_xlfn.IFNA(VLOOKUP(O64,Final!T:T,1,FALSE),"NA")</f>
        <v/>
      </c>
    </row>
    <row r="65" spans="15:17" x14ac:dyDescent="0.25">
      <c r="O65" t="str">
        <f t="shared" si="0"/>
        <v/>
      </c>
      <c r="P65" t="str">
        <f t="shared" si="1"/>
        <v/>
      </c>
      <c r="Q65" t="str">
        <f>_xlfn.IFNA(VLOOKUP(O65,Final!T:T,1,FALSE),"NA")</f>
        <v/>
      </c>
    </row>
    <row r="66" spans="15:17" x14ac:dyDescent="0.25">
      <c r="O66" t="str">
        <f t="shared" si="0"/>
        <v/>
      </c>
      <c r="P66" t="str">
        <f t="shared" si="1"/>
        <v/>
      </c>
      <c r="Q66" t="str">
        <f>_xlfn.IFNA(VLOOKUP(O66,Final!T:T,1,FALSE),"NA")</f>
        <v/>
      </c>
    </row>
    <row r="67" spans="15:17" x14ac:dyDescent="0.25">
      <c r="O67" t="str">
        <f t="shared" ref="O67:O130" si="2">D67&amp;E67</f>
        <v/>
      </c>
      <c r="P67" t="str">
        <f t="shared" ref="P67:P130" si="3">IF(C67="","",C67)</f>
        <v/>
      </c>
      <c r="Q67" t="str">
        <f>_xlfn.IFNA(VLOOKUP(O67,Final!T:T,1,FALSE),"NA")</f>
        <v/>
      </c>
    </row>
    <row r="68" spans="15:17" x14ac:dyDescent="0.25">
      <c r="O68" t="str">
        <f t="shared" si="2"/>
        <v/>
      </c>
      <c r="P68" t="str">
        <f t="shared" si="3"/>
        <v/>
      </c>
      <c r="Q68" t="str">
        <f>_xlfn.IFNA(VLOOKUP(O68,Final!T:T,1,FALSE),"NA")</f>
        <v/>
      </c>
    </row>
    <row r="69" spans="15:17" x14ac:dyDescent="0.25">
      <c r="O69" t="str">
        <f t="shared" si="2"/>
        <v/>
      </c>
      <c r="P69" t="str">
        <f t="shared" si="3"/>
        <v/>
      </c>
      <c r="Q69" t="str">
        <f>_xlfn.IFNA(VLOOKUP(O69,Final!T:T,1,FALSE),"NA")</f>
        <v/>
      </c>
    </row>
    <row r="70" spans="15:17" x14ac:dyDescent="0.25">
      <c r="O70" t="str">
        <f t="shared" si="2"/>
        <v/>
      </c>
      <c r="P70" t="str">
        <f t="shared" si="3"/>
        <v/>
      </c>
      <c r="Q70" t="str">
        <f>_xlfn.IFNA(VLOOKUP(O70,Final!T:T,1,FALSE),"NA")</f>
        <v/>
      </c>
    </row>
    <row r="71" spans="15:17" x14ac:dyDescent="0.25">
      <c r="O71" t="str">
        <f t="shared" si="2"/>
        <v/>
      </c>
      <c r="P71" t="str">
        <f t="shared" si="3"/>
        <v/>
      </c>
      <c r="Q71" t="str">
        <f>_xlfn.IFNA(VLOOKUP(O71,Final!T:T,1,FALSE),"NA")</f>
        <v/>
      </c>
    </row>
    <row r="72" spans="15:17" x14ac:dyDescent="0.25">
      <c r="O72" t="str">
        <f t="shared" si="2"/>
        <v/>
      </c>
      <c r="P72" t="str">
        <f t="shared" si="3"/>
        <v/>
      </c>
      <c r="Q72" t="str">
        <f>_xlfn.IFNA(VLOOKUP(O72,Final!T:T,1,FALSE),"NA")</f>
        <v/>
      </c>
    </row>
    <row r="73" spans="15:17" x14ac:dyDescent="0.25">
      <c r="O73" t="str">
        <f t="shared" si="2"/>
        <v/>
      </c>
      <c r="P73" t="str">
        <f t="shared" si="3"/>
        <v/>
      </c>
      <c r="Q73" t="str">
        <f>_xlfn.IFNA(VLOOKUP(O73,Final!T:T,1,FALSE),"NA")</f>
        <v/>
      </c>
    </row>
    <row r="74" spans="15:17" x14ac:dyDescent="0.25">
      <c r="O74" t="str">
        <f t="shared" si="2"/>
        <v/>
      </c>
      <c r="P74" t="str">
        <f t="shared" si="3"/>
        <v/>
      </c>
      <c r="Q74" t="str">
        <f>_xlfn.IFNA(VLOOKUP(O74,Final!T:T,1,FALSE),"NA")</f>
        <v/>
      </c>
    </row>
    <row r="75" spans="15:17" x14ac:dyDescent="0.25">
      <c r="O75" t="str">
        <f t="shared" si="2"/>
        <v/>
      </c>
      <c r="P75" t="str">
        <f t="shared" si="3"/>
        <v/>
      </c>
      <c r="Q75" t="str">
        <f>_xlfn.IFNA(VLOOKUP(O75,Final!T:T,1,FALSE),"NA")</f>
        <v/>
      </c>
    </row>
    <row r="76" spans="15:17" x14ac:dyDescent="0.25">
      <c r="O76" t="str">
        <f t="shared" si="2"/>
        <v/>
      </c>
      <c r="P76" t="str">
        <f t="shared" si="3"/>
        <v/>
      </c>
      <c r="Q76" t="str">
        <f>_xlfn.IFNA(VLOOKUP(O76,Final!T:T,1,FALSE),"NA")</f>
        <v/>
      </c>
    </row>
    <row r="77" spans="15:17" x14ac:dyDescent="0.25">
      <c r="O77" t="str">
        <f t="shared" si="2"/>
        <v/>
      </c>
      <c r="P77" t="str">
        <f t="shared" si="3"/>
        <v/>
      </c>
      <c r="Q77" t="str">
        <f>_xlfn.IFNA(VLOOKUP(O77,Final!T:T,1,FALSE),"NA")</f>
        <v/>
      </c>
    </row>
    <row r="78" spans="15:17" x14ac:dyDescent="0.25">
      <c r="O78" t="str">
        <f t="shared" si="2"/>
        <v/>
      </c>
      <c r="P78" t="str">
        <f t="shared" si="3"/>
        <v/>
      </c>
      <c r="Q78" t="str">
        <f>_xlfn.IFNA(VLOOKUP(O78,Final!T:T,1,FALSE),"NA")</f>
        <v/>
      </c>
    </row>
    <row r="79" spans="15:17" x14ac:dyDescent="0.25">
      <c r="O79" t="str">
        <f t="shared" si="2"/>
        <v/>
      </c>
      <c r="P79" t="str">
        <f t="shared" si="3"/>
        <v/>
      </c>
      <c r="Q79" t="str">
        <f>_xlfn.IFNA(VLOOKUP(O79,Final!T:T,1,FALSE),"NA")</f>
        <v/>
      </c>
    </row>
    <row r="80" spans="15:17" x14ac:dyDescent="0.25">
      <c r="O80" t="str">
        <f t="shared" si="2"/>
        <v/>
      </c>
      <c r="P80" t="str">
        <f t="shared" si="3"/>
        <v/>
      </c>
      <c r="Q80" t="str">
        <f>_xlfn.IFNA(VLOOKUP(O80,Final!T:T,1,FALSE),"NA")</f>
        <v/>
      </c>
    </row>
    <row r="81" spans="15:17" x14ac:dyDescent="0.25">
      <c r="O81" t="str">
        <f t="shared" si="2"/>
        <v/>
      </c>
      <c r="P81" t="str">
        <f t="shared" si="3"/>
        <v/>
      </c>
      <c r="Q81" t="str">
        <f>_xlfn.IFNA(VLOOKUP(O81,Final!T:T,1,FALSE),"NA")</f>
        <v/>
      </c>
    </row>
    <row r="82" spans="15:17" x14ac:dyDescent="0.25">
      <c r="O82" t="str">
        <f t="shared" si="2"/>
        <v/>
      </c>
      <c r="P82" t="str">
        <f t="shared" si="3"/>
        <v/>
      </c>
      <c r="Q82" t="str">
        <f>_xlfn.IFNA(VLOOKUP(O82,Final!T:T,1,FALSE),"NA")</f>
        <v/>
      </c>
    </row>
    <row r="83" spans="15:17" x14ac:dyDescent="0.25">
      <c r="O83" t="str">
        <f t="shared" si="2"/>
        <v/>
      </c>
      <c r="P83" t="str">
        <f t="shared" si="3"/>
        <v/>
      </c>
      <c r="Q83" t="str">
        <f>_xlfn.IFNA(VLOOKUP(O83,Final!T:T,1,FALSE),"NA")</f>
        <v/>
      </c>
    </row>
    <row r="84" spans="15:17" x14ac:dyDescent="0.25">
      <c r="O84" t="str">
        <f t="shared" si="2"/>
        <v/>
      </c>
      <c r="P84" t="str">
        <f t="shared" si="3"/>
        <v/>
      </c>
      <c r="Q84" t="str">
        <f>_xlfn.IFNA(VLOOKUP(O84,Final!T:T,1,FALSE),"NA")</f>
        <v/>
      </c>
    </row>
    <row r="85" spans="15:17" x14ac:dyDescent="0.25">
      <c r="O85" t="str">
        <f t="shared" si="2"/>
        <v/>
      </c>
      <c r="P85" t="str">
        <f t="shared" si="3"/>
        <v/>
      </c>
      <c r="Q85" t="str">
        <f>_xlfn.IFNA(VLOOKUP(O85,Final!T:T,1,FALSE),"NA")</f>
        <v/>
      </c>
    </row>
    <row r="86" spans="15:17" x14ac:dyDescent="0.25">
      <c r="O86" t="str">
        <f t="shared" si="2"/>
        <v/>
      </c>
      <c r="P86" t="str">
        <f t="shared" si="3"/>
        <v/>
      </c>
      <c r="Q86" t="str">
        <f>_xlfn.IFNA(VLOOKUP(O86,Final!T:T,1,FALSE),"NA")</f>
        <v/>
      </c>
    </row>
    <row r="87" spans="15:17" x14ac:dyDescent="0.25">
      <c r="O87" t="str">
        <f t="shared" si="2"/>
        <v/>
      </c>
      <c r="P87" t="str">
        <f t="shared" si="3"/>
        <v/>
      </c>
      <c r="Q87" t="str">
        <f>_xlfn.IFNA(VLOOKUP(O87,Final!T:T,1,FALSE),"NA")</f>
        <v/>
      </c>
    </row>
    <row r="88" spans="15:17" x14ac:dyDescent="0.25">
      <c r="O88" t="str">
        <f t="shared" si="2"/>
        <v/>
      </c>
      <c r="P88" t="str">
        <f t="shared" si="3"/>
        <v/>
      </c>
      <c r="Q88" t="str">
        <f>_xlfn.IFNA(VLOOKUP(O88,Final!T:T,1,FALSE),"NA")</f>
        <v/>
      </c>
    </row>
    <row r="89" spans="15:17" x14ac:dyDescent="0.25">
      <c r="O89" t="str">
        <f t="shared" si="2"/>
        <v/>
      </c>
      <c r="P89" t="str">
        <f t="shared" si="3"/>
        <v/>
      </c>
      <c r="Q89" t="str">
        <f>_xlfn.IFNA(VLOOKUP(O89,Final!T:T,1,FALSE),"NA")</f>
        <v/>
      </c>
    </row>
    <row r="90" spans="15:17" x14ac:dyDescent="0.25">
      <c r="O90" t="str">
        <f t="shared" si="2"/>
        <v/>
      </c>
      <c r="P90" t="str">
        <f t="shared" si="3"/>
        <v/>
      </c>
      <c r="Q90" t="str">
        <f>_xlfn.IFNA(VLOOKUP(O90,Final!T:T,1,FALSE),"NA")</f>
        <v/>
      </c>
    </row>
    <row r="91" spans="15:17" x14ac:dyDescent="0.25">
      <c r="O91" t="str">
        <f t="shared" si="2"/>
        <v/>
      </c>
      <c r="P91" t="str">
        <f t="shared" si="3"/>
        <v/>
      </c>
      <c r="Q91" t="str">
        <f>_xlfn.IFNA(VLOOKUP(O91,Final!T:T,1,FALSE),"NA")</f>
        <v/>
      </c>
    </row>
    <row r="92" spans="15:17" x14ac:dyDescent="0.25">
      <c r="O92" t="str">
        <f t="shared" si="2"/>
        <v/>
      </c>
      <c r="P92" t="str">
        <f t="shared" si="3"/>
        <v/>
      </c>
      <c r="Q92" t="str">
        <f>_xlfn.IFNA(VLOOKUP(O92,Final!T:T,1,FALSE),"NA")</f>
        <v/>
      </c>
    </row>
    <row r="93" spans="15:17" x14ac:dyDescent="0.25">
      <c r="O93" t="str">
        <f t="shared" si="2"/>
        <v/>
      </c>
      <c r="P93" t="str">
        <f t="shared" si="3"/>
        <v/>
      </c>
      <c r="Q93" t="str">
        <f>_xlfn.IFNA(VLOOKUP(O93,Final!T:T,1,FALSE),"NA")</f>
        <v/>
      </c>
    </row>
    <row r="94" spans="15:17" x14ac:dyDescent="0.25">
      <c r="O94" t="str">
        <f t="shared" si="2"/>
        <v/>
      </c>
      <c r="P94" t="str">
        <f t="shared" si="3"/>
        <v/>
      </c>
      <c r="Q94" t="str">
        <f>_xlfn.IFNA(VLOOKUP(O94,Final!T:T,1,FALSE),"NA")</f>
        <v/>
      </c>
    </row>
    <row r="95" spans="15:17" x14ac:dyDescent="0.25">
      <c r="O95" t="str">
        <f t="shared" si="2"/>
        <v/>
      </c>
      <c r="P95" t="str">
        <f t="shared" si="3"/>
        <v/>
      </c>
      <c r="Q95" t="str">
        <f>_xlfn.IFNA(VLOOKUP(O95,Final!T:T,1,FALSE),"NA")</f>
        <v/>
      </c>
    </row>
    <row r="96" spans="15:17" x14ac:dyDescent="0.25">
      <c r="O96" t="str">
        <f t="shared" si="2"/>
        <v/>
      </c>
      <c r="P96" t="str">
        <f t="shared" si="3"/>
        <v/>
      </c>
      <c r="Q96" t="str">
        <f>_xlfn.IFNA(VLOOKUP(O96,Final!T:T,1,FALSE),"NA")</f>
        <v/>
      </c>
    </row>
    <row r="97" spans="15:17" x14ac:dyDescent="0.25">
      <c r="O97" t="str">
        <f t="shared" si="2"/>
        <v/>
      </c>
      <c r="P97" t="str">
        <f t="shared" si="3"/>
        <v/>
      </c>
      <c r="Q97" t="str">
        <f>_xlfn.IFNA(VLOOKUP(O97,Final!T:T,1,FALSE),"NA")</f>
        <v/>
      </c>
    </row>
    <row r="98" spans="15:17" x14ac:dyDescent="0.25">
      <c r="O98" t="str">
        <f t="shared" si="2"/>
        <v/>
      </c>
      <c r="P98" t="str">
        <f t="shared" si="3"/>
        <v/>
      </c>
      <c r="Q98" t="str">
        <f>_xlfn.IFNA(VLOOKUP(O98,Final!T:T,1,FALSE),"NA")</f>
        <v/>
      </c>
    </row>
    <row r="99" spans="15:17" x14ac:dyDescent="0.25">
      <c r="O99" t="str">
        <f t="shared" si="2"/>
        <v/>
      </c>
      <c r="P99" t="str">
        <f t="shared" si="3"/>
        <v/>
      </c>
      <c r="Q99" t="str">
        <f>_xlfn.IFNA(VLOOKUP(O99,Final!T:T,1,FALSE),"NA")</f>
        <v/>
      </c>
    </row>
    <row r="100" spans="15:17" x14ac:dyDescent="0.25">
      <c r="O100" t="str">
        <f t="shared" si="2"/>
        <v/>
      </c>
      <c r="P100" t="str">
        <f t="shared" si="3"/>
        <v/>
      </c>
      <c r="Q100" t="str">
        <f>_xlfn.IFNA(VLOOKUP(O100,Final!T:T,1,FALSE),"NA")</f>
        <v/>
      </c>
    </row>
    <row r="101" spans="15:17" x14ac:dyDescent="0.25">
      <c r="O101" t="str">
        <f t="shared" si="2"/>
        <v/>
      </c>
      <c r="P101" t="str">
        <f t="shared" si="3"/>
        <v/>
      </c>
      <c r="Q101" t="str">
        <f>_xlfn.IFNA(VLOOKUP(O101,Final!T:T,1,FALSE),"NA")</f>
        <v/>
      </c>
    </row>
    <row r="102" spans="15:17" x14ac:dyDescent="0.25">
      <c r="O102" t="str">
        <f t="shared" si="2"/>
        <v/>
      </c>
      <c r="P102" t="str">
        <f t="shared" si="3"/>
        <v/>
      </c>
      <c r="Q102" t="str">
        <f>_xlfn.IFNA(VLOOKUP(O102,Final!T:T,1,FALSE),"NA")</f>
        <v/>
      </c>
    </row>
    <row r="103" spans="15:17" x14ac:dyDescent="0.25">
      <c r="O103" t="str">
        <f t="shared" si="2"/>
        <v/>
      </c>
      <c r="P103" t="str">
        <f t="shared" si="3"/>
        <v/>
      </c>
      <c r="Q103" t="str">
        <f>_xlfn.IFNA(VLOOKUP(O103,Final!T:T,1,FALSE),"NA")</f>
        <v/>
      </c>
    </row>
    <row r="104" spans="15:17" x14ac:dyDescent="0.25">
      <c r="O104" t="str">
        <f t="shared" si="2"/>
        <v/>
      </c>
      <c r="P104" t="str">
        <f t="shared" si="3"/>
        <v/>
      </c>
      <c r="Q104" t="str">
        <f>_xlfn.IFNA(VLOOKUP(O104,Final!T:T,1,FALSE),"NA")</f>
        <v/>
      </c>
    </row>
    <row r="105" spans="15:17" x14ac:dyDescent="0.25">
      <c r="O105" t="str">
        <f t="shared" si="2"/>
        <v/>
      </c>
      <c r="P105" t="str">
        <f t="shared" si="3"/>
        <v/>
      </c>
      <c r="Q105" t="str">
        <f>_xlfn.IFNA(VLOOKUP(O105,Final!T:T,1,FALSE),"NA")</f>
        <v/>
      </c>
    </row>
    <row r="106" spans="15:17" x14ac:dyDescent="0.25">
      <c r="O106" t="str">
        <f t="shared" si="2"/>
        <v/>
      </c>
      <c r="P106" t="str">
        <f t="shared" si="3"/>
        <v/>
      </c>
      <c r="Q106" t="str">
        <f>_xlfn.IFNA(VLOOKUP(O106,Final!T:T,1,FALSE),"NA")</f>
        <v/>
      </c>
    </row>
    <row r="107" spans="15:17" x14ac:dyDescent="0.25">
      <c r="O107" t="str">
        <f t="shared" si="2"/>
        <v/>
      </c>
      <c r="P107" t="str">
        <f t="shared" si="3"/>
        <v/>
      </c>
      <c r="Q107" t="str">
        <f>_xlfn.IFNA(VLOOKUP(O107,Final!T:T,1,FALSE),"NA")</f>
        <v/>
      </c>
    </row>
    <row r="108" spans="15:17" x14ac:dyDescent="0.25">
      <c r="O108" t="str">
        <f t="shared" si="2"/>
        <v/>
      </c>
      <c r="P108" t="str">
        <f t="shared" si="3"/>
        <v/>
      </c>
      <c r="Q108" t="str">
        <f>_xlfn.IFNA(VLOOKUP(O108,Final!T:T,1,FALSE),"NA")</f>
        <v/>
      </c>
    </row>
    <row r="109" spans="15:17" x14ac:dyDescent="0.25">
      <c r="O109" t="str">
        <f t="shared" si="2"/>
        <v/>
      </c>
      <c r="P109" t="str">
        <f t="shared" si="3"/>
        <v/>
      </c>
      <c r="Q109" t="str">
        <f>_xlfn.IFNA(VLOOKUP(O109,Final!T:T,1,FALSE),"NA")</f>
        <v/>
      </c>
    </row>
    <row r="110" spans="15:17" x14ac:dyDescent="0.25">
      <c r="O110" t="str">
        <f t="shared" si="2"/>
        <v/>
      </c>
      <c r="P110" t="str">
        <f t="shared" si="3"/>
        <v/>
      </c>
      <c r="Q110" t="str">
        <f>_xlfn.IFNA(VLOOKUP(O110,Final!T:T,1,FALSE),"NA")</f>
        <v/>
      </c>
    </row>
    <row r="111" spans="15:17" x14ac:dyDescent="0.25">
      <c r="O111" t="str">
        <f t="shared" si="2"/>
        <v/>
      </c>
      <c r="P111" t="str">
        <f t="shared" si="3"/>
        <v/>
      </c>
      <c r="Q111" t="str">
        <f>_xlfn.IFNA(VLOOKUP(O111,Final!T:T,1,FALSE),"NA")</f>
        <v/>
      </c>
    </row>
    <row r="112" spans="15:17" x14ac:dyDescent="0.25">
      <c r="O112" t="str">
        <f t="shared" si="2"/>
        <v/>
      </c>
      <c r="P112" t="str">
        <f t="shared" si="3"/>
        <v/>
      </c>
      <c r="Q112" t="str">
        <f>_xlfn.IFNA(VLOOKUP(O112,Final!T:T,1,FALSE),"NA")</f>
        <v/>
      </c>
    </row>
    <row r="113" spans="15:17" x14ac:dyDescent="0.25">
      <c r="O113" t="str">
        <f t="shared" si="2"/>
        <v/>
      </c>
      <c r="P113" t="str">
        <f t="shared" si="3"/>
        <v/>
      </c>
      <c r="Q113" t="str">
        <f>_xlfn.IFNA(VLOOKUP(O113,Final!T:T,1,FALSE),"NA")</f>
        <v/>
      </c>
    </row>
    <row r="114" spans="15:17" x14ac:dyDescent="0.25">
      <c r="O114" t="str">
        <f t="shared" si="2"/>
        <v/>
      </c>
      <c r="P114" t="str">
        <f t="shared" si="3"/>
        <v/>
      </c>
      <c r="Q114" t="str">
        <f>_xlfn.IFNA(VLOOKUP(O114,Final!T:T,1,FALSE),"NA")</f>
        <v/>
      </c>
    </row>
    <row r="115" spans="15:17" x14ac:dyDescent="0.25">
      <c r="O115" t="str">
        <f t="shared" si="2"/>
        <v/>
      </c>
      <c r="P115" t="str">
        <f t="shared" si="3"/>
        <v/>
      </c>
      <c r="Q115" t="str">
        <f>_xlfn.IFNA(VLOOKUP(O115,Final!T:T,1,FALSE),"NA")</f>
        <v/>
      </c>
    </row>
    <row r="116" spans="15:17" x14ac:dyDescent="0.25">
      <c r="O116" t="str">
        <f t="shared" si="2"/>
        <v/>
      </c>
      <c r="P116" t="str">
        <f t="shared" si="3"/>
        <v/>
      </c>
      <c r="Q116" t="str">
        <f>_xlfn.IFNA(VLOOKUP(O116,Final!T:T,1,FALSE),"NA")</f>
        <v/>
      </c>
    </row>
    <row r="117" spans="15:17" x14ac:dyDescent="0.25">
      <c r="O117" t="str">
        <f t="shared" si="2"/>
        <v/>
      </c>
      <c r="P117" t="str">
        <f t="shared" si="3"/>
        <v/>
      </c>
      <c r="Q117" t="str">
        <f>_xlfn.IFNA(VLOOKUP(O117,Final!T:T,1,FALSE),"NA")</f>
        <v/>
      </c>
    </row>
    <row r="118" spans="15:17" x14ac:dyDescent="0.25">
      <c r="O118" t="str">
        <f t="shared" si="2"/>
        <v/>
      </c>
      <c r="P118" t="str">
        <f t="shared" si="3"/>
        <v/>
      </c>
      <c r="Q118" t="str">
        <f>_xlfn.IFNA(VLOOKUP(O118,Final!T:T,1,FALSE),"NA")</f>
        <v/>
      </c>
    </row>
    <row r="119" spans="15:17" x14ac:dyDescent="0.25">
      <c r="O119" t="str">
        <f t="shared" si="2"/>
        <v/>
      </c>
      <c r="P119" t="str">
        <f t="shared" si="3"/>
        <v/>
      </c>
      <c r="Q119" t="str">
        <f>_xlfn.IFNA(VLOOKUP(O119,Final!T:T,1,FALSE),"NA")</f>
        <v/>
      </c>
    </row>
    <row r="120" spans="15:17" x14ac:dyDescent="0.25">
      <c r="O120" t="str">
        <f t="shared" si="2"/>
        <v/>
      </c>
      <c r="P120" t="str">
        <f t="shared" si="3"/>
        <v/>
      </c>
      <c r="Q120" t="str">
        <f>_xlfn.IFNA(VLOOKUP(O120,Final!T:T,1,FALSE),"NA")</f>
        <v/>
      </c>
    </row>
    <row r="121" spans="15:17" x14ac:dyDescent="0.25">
      <c r="O121" t="str">
        <f t="shared" si="2"/>
        <v/>
      </c>
      <c r="P121" t="str">
        <f t="shared" si="3"/>
        <v/>
      </c>
      <c r="Q121" t="str">
        <f>_xlfn.IFNA(VLOOKUP(O121,Final!T:T,1,FALSE),"NA")</f>
        <v/>
      </c>
    </row>
    <row r="122" spans="15:17" x14ac:dyDescent="0.25">
      <c r="O122" t="str">
        <f t="shared" si="2"/>
        <v/>
      </c>
      <c r="P122" t="str">
        <f t="shared" si="3"/>
        <v/>
      </c>
      <c r="Q122" t="str">
        <f>_xlfn.IFNA(VLOOKUP(O122,Final!T:T,1,FALSE),"NA")</f>
        <v/>
      </c>
    </row>
    <row r="123" spans="15:17" x14ac:dyDescent="0.25">
      <c r="O123" t="str">
        <f t="shared" si="2"/>
        <v/>
      </c>
      <c r="P123" t="str">
        <f t="shared" si="3"/>
        <v/>
      </c>
      <c r="Q123" t="str">
        <f>_xlfn.IFNA(VLOOKUP(O123,Final!T:T,1,FALSE),"NA")</f>
        <v/>
      </c>
    </row>
    <row r="124" spans="15:17" x14ac:dyDescent="0.25">
      <c r="O124" t="str">
        <f t="shared" si="2"/>
        <v/>
      </c>
      <c r="P124" t="str">
        <f t="shared" si="3"/>
        <v/>
      </c>
      <c r="Q124" t="str">
        <f>_xlfn.IFNA(VLOOKUP(O124,Final!T:T,1,FALSE),"NA")</f>
        <v/>
      </c>
    </row>
    <row r="125" spans="15:17" x14ac:dyDescent="0.25">
      <c r="O125" t="str">
        <f t="shared" si="2"/>
        <v/>
      </c>
      <c r="P125" t="str">
        <f t="shared" si="3"/>
        <v/>
      </c>
      <c r="Q125" t="str">
        <f>_xlfn.IFNA(VLOOKUP(O125,Final!T:T,1,FALSE),"NA")</f>
        <v/>
      </c>
    </row>
    <row r="126" spans="15:17" x14ac:dyDescent="0.25">
      <c r="O126" t="str">
        <f t="shared" si="2"/>
        <v/>
      </c>
      <c r="P126" t="str">
        <f t="shared" si="3"/>
        <v/>
      </c>
      <c r="Q126" t="str">
        <f>_xlfn.IFNA(VLOOKUP(O126,Final!T:T,1,FALSE),"NA")</f>
        <v/>
      </c>
    </row>
    <row r="127" spans="15:17" x14ac:dyDescent="0.25">
      <c r="O127" t="str">
        <f t="shared" si="2"/>
        <v/>
      </c>
      <c r="P127" t="str">
        <f t="shared" si="3"/>
        <v/>
      </c>
      <c r="Q127" t="str">
        <f>_xlfn.IFNA(VLOOKUP(O127,Final!T:T,1,FALSE),"NA")</f>
        <v/>
      </c>
    </row>
    <row r="128" spans="15:17" x14ac:dyDescent="0.25">
      <c r="O128" t="str">
        <f t="shared" si="2"/>
        <v/>
      </c>
      <c r="P128" t="str">
        <f t="shared" si="3"/>
        <v/>
      </c>
      <c r="Q128" t="str">
        <f>_xlfn.IFNA(VLOOKUP(O128,Final!T:T,1,FALSE),"NA")</f>
        <v/>
      </c>
    </row>
    <row r="129" spans="15:17" x14ac:dyDescent="0.25">
      <c r="O129" t="str">
        <f t="shared" si="2"/>
        <v/>
      </c>
      <c r="P129" t="str">
        <f t="shared" si="3"/>
        <v/>
      </c>
      <c r="Q129" t="str">
        <f>_xlfn.IFNA(VLOOKUP(O129,Final!T:T,1,FALSE),"NA")</f>
        <v/>
      </c>
    </row>
    <row r="130" spans="15:17" x14ac:dyDescent="0.25">
      <c r="O130" t="str">
        <f t="shared" si="2"/>
        <v/>
      </c>
      <c r="P130" t="str">
        <f t="shared" si="3"/>
        <v/>
      </c>
      <c r="Q130" t="str">
        <f>_xlfn.IFNA(VLOOKUP(O130,Final!T:T,1,FALSE),"NA")</f>
        <v/>
      </c>
    </row>
    <row r="131" spans="15:17" x14ac:dyDescent="0.25">
      <c r="O131" t="str">
        <f t="shared" ref="O131:O184" si="4">D131&amp;E131</f>
        <v/>
      </c>
      <c r="P131" t="str">
        <f t="shared" ref="P131:P184" si="5">IF(C131="","",C131)</f>
        <v/>
      </c>
      <c r="Q131" t="str">
        <f>_xlfn.IFNA(VLOOKUP(O131,Final!T:T,1,FALSE),"NA")</f>
        <v/>
      </c>
    </row>
    <row r="132" spans="15:17" x14ac:dyDescent="0.25">
      <c r="O132" t="str">
        <f t="shared" si="4"/>
        <v/>
      </c>
      <c r="P132" t="str">
        <f t="shared" si="5"/>
        <v/>
      </c>
      <c r="Q132" t="str">
        <f>_xlfn.IFNA(VLOOKUP(O132,Final!T:T,1,FALSE),"NA")</f>
        <v/>
      </c>
    </row>
    <row r="133" spans="15:17" x14ac:dyDescent="0.25">
      <c r="O133" t="str">
        <f t="shared" si="4"/>
        <v/>
      </c>
      <c r="P133" t="str">
        <f t="shared" si="5"/>
        <v/>
      </c>
      <c r="Q133" t="str">
        <f>_xlfn.IFNA(VLOOKUP(O133,Final!T:T,1,FALSE),"NA")</f>
        <v/>
      </c>
    </row>
    <row r="134" spans="15:17" x14ac:dyDescent="0.25">
      <c r="O134" t="str">
        <f t="shared" si="4"/>
        <v/>
      </c>
      <c r="P134" t="str">
        <f t="shared" si="5"/>
        <v/>
      </c>
      <c r="Q134" t="str">
        <f>_xlfn.IFNA(VLOOKUP(O134,Final!T:T,1,FALSE),"NA")</f>
        <v/>
      </c>
    </row>
    <row r="135" spans="15:17" x14ac:dyDescent="0.25">
      <c r="O135" t="str">
        <f t="shared" si="4"/>
        <v/>
      </c>
      <c r="P135" t="str">
        <f t="shared" si="5"/>
        <v/>
      </c>
      <c r="Q135" t="str">
        <f>_xlfn.IFNA(VLOOKUP(O135,Final!T:T,1,FALSE),"NA")</f>
        <v/>
      </c>
    </row>
    <row r="136" spans="15:17" x14ac:dyDescent="0.25">
      <c r="O136" t="str">
        <f t="shared" si="4"/>
        <v/>
      </c>
      <c r="P136" t="str">
        <f t="shared" si="5"/>
        <v/>
      </c>
      <c r="Q136" t="str">
        <f>_xlfn.IFNA(VLOOKUP(O136,Final!T:T,1,FALSE),"NA")</f>
        <v/>
      </c>
    </row>
    <row r="137" spans="15:17" x14ac:dyDescent="0.25">
      <c r="O137" t="str">
        <f t="shared" si="4"/>
        <v/>
      </c>
      <c r="P137" t="str">
        <f t="shared" si="5"/>
        <v/>
      </c>
      <c r="Q137" t="str">
        <f>_xlfn.IFNA(VLOOKUP(O137,Final!T:T,1,FALSE),"NA")</f>
        <v/>
      </c>
    </row>
    <row r="138" spans="15:17" x14ac:dyDescent="0.25">
      <c r="O138" t="str">
        <f t="shared" si="4"/>
        <v/>
      </c>
      <c r="P138" t="str">
        <f t="shared" si="5"/>
        <v/>
      </c>
      <c r="Q138" t="str">
        <f>_xlfn.IFNA(VLOOKUP(O138,Final!T:T,1,FALSE),"NA")</f>
        <v/>
      </c>
    </row>
    <row r="139" spans="15:17" x14ac:dyDescent="0.25">
      <c r="O139" t="str">
        <f t="shared" si="4"/>
        <v/>
      </c>
      <c r="P139" t="str">
        <f t="shared" si="5"/>
        <v/>
      </c>
      <c r="Q139" t="str">
        <f>_xlfn.IFNA(VLOOKUP(O139,Final!T:T,1,FALSE),"NA")</f>
        <v/>
      </c>
    </row>
    <row r="140" spans="15:17" x14ac:dyDescent="0.25">
      <c r="O140" t="str">
        <f t="shared" si="4"/>
        <v/>
      </c>
      <c r="P140" t="str">
        <f t="shared" si="5"/>
        <v/>
      </c>
      <c r="Q140" t="str">
        <f>_xlfn.IFNA(VLOOKUP(O140,Final!T:T,1,FALSE),"NA")</f>
        <v/>
      </c>
    </row>
    <row r="141" spans="15:17" x14ac:dyDescent="0.25">
      <c r="O141" t="str">
        <f t="shared" si="4"/>
        <v/>
      </c>
      <c r="P141" t="str">
        <f t="shared" si="5"/>
        <v/>
      </c>
      <c r="Q141" t="str">
        <f>_xlfn.IFNA(VLOOKUP(O141,Final!T:T,1,FALSE),"NA")</f>
        <v/>
      </c>
    </row>
    <row r="142" spans="15:17" x14ac:dyDescent="0.25">
      <c r="O142" t="str">
        <f t="shared" si="4"/>
        <v/>
      </c>
      <c r="P142" t="str">
        <f t="shared" si="5"/>
        <v/>
      </c>
      <c r="Q142" t="str">
        <f>_xlfn.IFNA(VLOOKUP(O142,Final!T:T,1,FALSE),"NA")</f>
        <v/>
      </c>
    </row>
    <row r="143" spans="15:17" x14ac:dyDescent="0.25">
      <c r="O143" t="str">
        <f t="shared" si="4"/>
        <v/>
      </c>
      <c r="P143" t="str">
        <f t="shared" si="5"/>
        <v/>
      </c>
      <c r="Q143" t="str">
        <f>_xlfn.IFNA(VLOOKUP(O143,Final!T:T,1,FALSE),"NA")</f>
        <v/>
      </c>
    </row>
    <row r="144" spans="15:17" x14ac:dyDescent="0.25">
      <c r="O144" t="str">
        <f t="shared" si="4"/>
        <v/>
      </c>
      <c r="P144" t="str">
        <f t="shared" si="5"/>
        <v/>
      </c>
      <c r="Q144" t="str">
        <f>_xlfn.IFNA(VLOOKUP(O144,Final!T:T,1,FALSE),"NA")</f>
        <v/>
      </c>
    </row>
    <row r="145" spans="15:17" x14ac:dyDescent="0.25">
      <c r="O145" t="str">
        <f t="shared" si="4"/>
        <v/>
      </c>
      <c r="P145" t="str">
        <f t="shared" si="5"/>
        <v/>
      </c>
      <c r="Q145" t="str">
        <f>_xlfn.IFNA(VLOOKUP(O145,Final!T:T,1,FALSE),"NA")</f>
        <v/>
      </c>
    </row>
    <row r="146" spans="15:17" x14ac:dyDescent="0.25">
      <c r="O146" t="str">
        <f t="shared" si="4"/>
        <v/>
      </c>
      <c r="P146" t="str">
        <f t="shared" si="5"/>
        <v/>
      </c>
      <c r="Q146" t="str">
        <f>_xlfn.IFNA(VLOOKUP(O146,Final!T:T,1,FALSE),"NA")</f>
        <v/>
      </c>
    </row>
    <row r="147" spans="15:17" x14ac:dyDescent="0.25">
      <c r="O147" t="str">
        <f t="shared" si="4"/>
        <v/>
      </c>
      <c r="P147" t="str">
        <f t="shared" si="5"/>
        <v/>
      </c>
      <c r="Q147" t="str">
        <f>_xlfn.IFNA(VLOOKUP(O147,Final!T:T,1,FALSE),"NA")</f>
        <v/>
      </c>
    </row>
    <row r="148" spans="15:17" x14ac:dyDescent="0.25">
      <c r="O148" t="str">
        <f t="shared" si="4"/>
        <v/>
      </c>
      <c r="P148" t="str">
        <f t="shared" si="5"/>
        <v/>
      </c>
      <c r="Q148" t="str">
        <f>_xlfn.IFNA(VLOOKUP(O148,Final!T:T,1,FALSE),"NA")</f>
        <v/>
      </c>
    </row>
    <row r="149" spans="15:17" x14ac:dyDescent="0.25">
      <c r="O149" t="str">
        <f t="shared" si="4"/>
        <v/>
      </c>
      <c r="P149" t="str">
        <f t="shared" si="5"/>
        <v/>
      </c>
      <c r="Q149" t="str">
        <f>_xlfn.IFNA(VLOOKUP(O149,Final!T:T,1,FALSE),"NA")</f>
        <v/>
      </c>
    </row>
    <row r="150" spans="15:17" x14ac:dyDescent="0.25">
      <c r="O150" t="str">
        <f t="shared" si="4"/>
        <v/>
      </c>
      <c r="P150" t="str">
        <f t="shared" si="5"/>
        <v/>
      </c>
      <c r="Q150" t="str">
        <f>_xlfn.IFNA(VLOOKUP(O150,Final!T:T,1,FALSE),"NA")</f>
        <v/>
      </c>
    </row>
    <row r="151" spans="15:17" x14ac:dyDescent="0.25">
      <c r="O151" t="str">
        <f t="shared" si="4"/>
        <v/>
      </c>
      <c r="P151" t="str">
        <f t="shared" si="5"/>
        <v/>
      </c>
      <c r="Q151" t="str">
        <f>_xlfn.IFNA(VLOOKUP(O151,Final!T:T,1,FALSE),"NA")</f>
        <v/>
      </c>
    </row>
    <row r="152" spans="15:17" x14ac:dyDescent="0.25">
      <c r="O152" t="str">
        <f t="shared" si="4"/>
        <v/>
      </c>
      <c r="P152" t="str">
        <f t="shared" si="5"/>
        <v/>
      </c>
      <c r="Q152" t="str">
        <f>_xlfn.IFNA(VLOOKUP(O152,Final!T:T,1,FALSE),"NA")</f>
        <v/>
      </c>
    </row>
    <row r="153" spans="15:17" x14ac:dyDescent="0.25">
      <c r="O153" t="str">
        <f t="shared" si="4"/>
        <v/>
      </c>
      <c r="P153" t="str">
        <f t="shared" si="5"/>
        <v/>
      </c>
      <c r="Q153" t="str">
        <f>_xlfn.IFNA(VLOOKUP(O153,Final!T:T,1,FALSE),"NA")</f>
        <v/>
      </c>
    </row>
    <row r="154" spans="15:17" x14ac:dyDescent="0.25">
      <c r="O154" t="str">
        <f t="shared" si="4"/>
        <v/>
      </c>
      <c r="P154" t="str">
        <f t="shared" si="5"/>
        <v/>
      </c>
      <c r="Q154" t="str">
        <f>_xlfn.IFNA(VLOOKUP(O154,Final!T:T,1,FALSE),"NA")</f>
        <v/>
      </c>
    </row>
    <row r="155" spans="15:17" x14ac:dyDescent="0.25">
      <c r="O155" t="str">
        <f t="shared" si="4"/>
        <v/>
      </c>
      <c r="P155" t="str">
        <f t="shared" si="5"/>
        <v/>
      </c>
      <c r="Q155" t="str">
        <f>_xlfn.IFNA(VLOOKUP(O155,Final!T:T,1,FALSE),"NA")</f>
        <v/>
      </c>
    </row>
    <row r="156" spans="15:17" x14ac:dyDescent="0.25">
      <c r="O156" t="str">
        <f t="shared" si="4"/>
        <v/>
      </c>
      <c r="P156" t="str">
        <f t="shared" si="5"/>
        <v/>
      </c>
      <c r="Q156" t="str">
        <f>_xlfn.IFNA(VLOOKUP(O156,Final!T:T,1,FALSE),"NA")</f>
        <v/>
      </c>
    </row>
    <row r="157" spans="15:17" x14ac:dyDescent="0.25">
      <c r="O157" t="str">
        <f t="shared" si="4"/>
        <v/>
      </c>
      <c r="P157" t="str">
        <f t="shared" si="5"/>
        <v/>
      </c>
      <c r="Q157" t="str">
        <f>_xlfn.IFNA(VLOOKUP(O157,Final!T:T,1,FALSE),"NA")</f>
        <v/>
      </c>
    </row>
    <row r="158" spans="15:17" x14ac:dyDescent="0.25">
      <c r="O158" t="str">
        <f t="shared" si="4"/>
        <v/>
      </c>
      <c r="P158" t="str">
        <f t="shared" si="5"/>
        <v/>
      </c>
      <c r="Q158" t="str">
        <f>_xlfn.IFNA(VLOOKUP(O158,Final!T:T,1,FALSE),"NA")</f>
        <v/>
      </c>
    </row>
    <row r="159" spans="15:17" x14ac:dyDescent="0.25">
      <c r="O159" t="str">
        <f t="shared" si="4"/>
        <v/>
      </c>
      <c r="P159" t="str">
        <f t="shared" si="5"/>
        <v/>
      </c>
      <c r="Q159" t="str">
        <f>_xlfn.IFNA(VLOOKUP(O159,Final!T:T,1,FALSE),"NA")</f>
        <v/>
      </c>
    </row>
    <row r="160" spans="15:17" x14ac:dyDescent="0.25">
      <c r="O160" t="str">
        <f t="shared" si="4"/>
        <v/>
      </c>
      <c r="P160" t="str">
        <f t="shared" si="5"/>
        <v/>
      </c>
      <c r="Q160" t="str">
        <f>_xlfn.IFNA(VLOOKUP(O160,Final!T:T,1,FALSE),"NA")</f>
        <v/>
      </c>
    </row>
    <row r="161" spans="15:17" x14ac:dyDescent="0.25">
      <c r="O161" t="str">
        <f t="shared" si="4"/>
        <v/>
      </c>
      <c r="P161" t="str">
        <f t="shared" si="5"/>
        <v/>
      </c>
      <c r="Q161" t="str">
        <f>_xlfn.IFNA(VLOOKUP(O161,Final!T:T,1,FALSE),"NA")</f>
        <v/>
      </c>
    </row>
    <row r="162" spans="15:17" x14ac:dyDescent="0.25">
      <c r="O162" t="str">
        <f t="shared" si="4"/>
        <v/>
      </c>
      <c r="P162" t="str">
        <f t="shared" si="5"/>
        <v/>
      </c>
      <c r="Q162" t="str">
        <f>_xlfn.IFNA(VLOOKUP(O162,Final!T:T,1,FALSE),"NA")</f>
        <v/>
      </c>
    </row>
    <row r="163" spans="15:17" x14ac:dyDescent="0.25">
      <c r="O163" t="str">
        <f t="shared" si="4"/>
        <v/>
      </c>
      <c r="P163" t="str">
        <f t="shared" si="5"/>
        <v/>
      </c>
      <c r="Q163" t="str">
        <f>_xlfn.IFNA(VLOOKUP(O163,Final!T:T,1,FALSE),"NA")</f>
        <v/>
      </c>
    </row>
    <row r="164" spans="15:17" x14ac:dyDescent="0.25">
      <c r="O164" t="str">
        <f t="shared" si="4"/>
        <v/>
      </c>
      <c r="P164" t="str">
        <f t="shared" si="5"/>
        <v/>
      </c>
      <c r="Q164" t="str">
        <f>_xlfn.IFNA(VLOOKUP(O164,Final!T:T,1,FALSE),"NA")</f>
        <v/>
      </c>
    </row>
    <row r="165" spans="15:17" x14ac:dyDescent="0.25">
      <c r="O165" t="str">
        <f t="shared" si="4"/>
        <v/>
      </c>
      <c r="P165" t="str">
        <f t="shared" si="5"/>
        <v/>
      </c>
      <c r="Q165" t="str">
        <f>_xlfn.IFNA(VLOOKUP(O165,Final!T:T,1,FALSE),"NA")</f>
        <v/>
      </c>
    </row>
    <row r="166" spans="15:17" x14ac:dyDescent="0.25">
      <c r="O166" t="str">
        <f t="shared" si="4"/>
        <v/>
      </c>
      <c r="P166" t="str">
        <f t="shared" si="5"/>
        <v/>
      </c>
      <c r="Q166" t="str">
        <f>_xlfn.IFNA(VLOOKUP(O166,Final!T:T,1,FALSE),"NA")</f>
        <v/>
      </c>
    </row>
    <row r="167" spans="15:17" x14ac:dyDescent="0.25">
      <c r="O167" t="str">
        <f t="shared" si="4"/>
        <v/>
      </c>
      <c r="P167" t="str">
        <f t="shared" si="5"/>
        <v/>
      </c>
      <c r="Q167" t="str">
        <f>_xlfn.IFNA(VLOOKUP(O167,Final!T:T,1,FALSE),"NA")</f>
        <v/>
      </c>
    </row>
    <row r="168" spans="15:17" x14ac:dyDescent="0.25">
      <c r="O168" t="str">
        <f t="shared" si="4"/>
        <v/>
      </c>
      <c r="P168" t="str">
        <f t="shared" si="5"/>
        <v/>
      </c>
      <c r="Q168" t="str">
        <f>_xlfn.IFNA(VLOOKUP(O168,Final!T:T,1,FALSE),"NA")</f>
        <v/>
      </c>
    </row>
    <row r="169" spans="15:17" x14ac:dyDescent="0.25">
      <c r="O169" t="str">
        <f t="shared" si="4"/>
        <v/>
      </c>
      <c r="P169" t="str">
        <f t="shared" si="5"/>
        <v/>
      </c>
      <c r="Q169" t="str">
        <f>_xlfn.IFNA(VLOOKUP(O169,Final!T:T,1,FALSE),"NA")</f>
        <v/>
      </c>
    </row>
    <row r="170" spans="15:17" x14ac:dyDescent="0.25">
      <c r="O170" t="str">
        <f t="shared" si="4"/>
        <v/>
      </c>
      <c r="P170" t="str">
        <f t="shared" si="5"/>
        <v/>
      </c>
      <c r="Q170" t="str">
        <f>_xlfn.IFNA(VLOOKUP(O170,Final!T:T,1,FALSE),"NA")</f>
        <v/>
      </c>
    </row>
    <row r="171" spans="15:17" x14ac:dyDescent="0.25">
      <c r="O171" t="str">
        <f t="shared" si="4"/>
        <v/>
      </c>
      <c r="P171" t="str">
        <f t="shared" si="5"/>
        <v/>
      </c>
      <c r="Q171" t="str">
        <f>_xlfn.IFNA(VLOOKUP(O171,Final!T:T,1,FALSE),"NA")</f>
        <v/>
      </c>
    </row>
    <row r="172" spans="15:17" x14ac:dyDescent="0.25">
      <c r="O172" t="str">
        <f t="shared" si="4"/>
        <v/>
      </c>
      <c r="P172" t="str">
        <f t="shared" si="5"/>
        <v/>
      </c>
      <c r="Q172" t="str">
        <f>_xlfn.IFNA(VLOOKUP(O172,Final!T:T,1,FALSE),"NA")</f>
        <v/>
      </c>
    </row>
    <row r="173" spans="15:17" x14ac:dyDescent="0.25">
      <c r="O173" t="str">
        <f t="shared" si="4"/>
        <v/>
      </c>
      <c r="P173" t="str">
        <f t="shared" si="5"/>
        <v/>
      </c>
      <c r="Q173" t="str">
        <f>_xlfn.IFNA(VLOOKUP(O173,Final!T:T,1,FALSE),"NA")</f>
        <v/>
      </c>
    </row>
    <row r="174" spans="15:17" x14ac:dyDescent="0.25">
      <c r="O174" t="str">
        <f t="shared" si="4"/>
        <v/>
      </c>
      <c r="P174" t="str">
        <f t="shared" si="5"/>
        <v/>
      </c>
      <c r="Q174" t="str">
        <f>_xlfn.IFNA(VLOOKUP(O174,Final!T:T,1,FALSE),"NA")</f>
        <v/>
      </c>
    </row>
    <row r="175" spans="15:17" x14ac:dyDescent="0.25">
      <c r="O175" t="str">
        <f t="shared" si="4"/>
        <v/>
      </c>
      <c r="P175" t="str">
        <f t="shared" si="5"/>
        <v/>
      </c>
      <c r="Q175" t="str">
        <f>_xlfn.IFNA(VLOOKUP(O175,Final!T:T,1,FALSE),"NA")</f>
        <v/>
      </c>
    </row>
    <row r="176" spans="15:17" x14ac:dyDescent="0.25">
      <c r="O176" t="str">
        <f t="shared" si="4"/>
        <v/>
      </c>
      <c r="P176" t="str">
        <f t="shared" si="5"/>
        <v/>
      </c>
      <c r="Q176" t="str">
        <f>_xlfn.IFNA(VLOOKUP(O176,Final!T:T,1,FALSE),"NA")</f>
        <v/>
      </c>
    </row>
    <row r="177" spans="15:17" x14ac:dyDescent="0.25">
      <c r="O177" t="str">
        <f t="shared" si="4"/>
        <v/>
      </c>
      <c r="P177" t="str">
        <f t="shared" si="5"/>
        <v/>
      </c>
      <c r="Q177" t="str">
        <f>_xlfn.IFNA(VLOOKUP(O177,Final!T:T,1,FALSE),"NA")</f>
        <v/>
      </c>
    </row>
    <row r="178" spans="15:17" x14ac:dyDescent="0.25">
      <c r="O178" t="str">
        <f t="shared" si="4"/>
        <v/>
      </c>
      <c r="P178" t="str">
        <f t="shared" si="5"/>
        <v/>
      </c>
      <c r="Q178" t="str">
        <f>_xlfn.IFNA(VLOOKUP(O178,Final!T:T,1,FALSE),"NA")</f>
        <v/>
      </c>
    </row>
    <row r="179" spans="15:17" x14ac:dyDescent="0.25">
      <c r="O179" t="str">
        <f t="shared" si="4"/>
        <v/>
      </c>
      <c r="P179" t="str">
        <f t="shared" si="5"/>
        <v/>
      </c>
      <c r="Q179" t="str">
        <f>_xlfn.IFNA(VLOOKUP(O179,Final!T:T,1,FALSE),"NA")</f>
        <v/>
      </c>
    </row>
    <row r="180" spans="15:17" x14ac:dyDescent="0.25">
      <c r="O180" t="str">
        <f t="shared" si="4"/>
        <v/>
      </c>
      <c r="P180" t="str">
        <f t="shared" si="5"/>
        <v/>
      </c>
      <c r="Q180" t="str">
        <f>_xlfn.IFNA(VLOOKUP(O180,Final!T:T,1,FALSE),"NA")</f>
        <v/>
      </c>
    </row>
    <row r="181" spans="15:17" x14ac:dyDescent="0.25">
      <c r="O181" t="str">
        <f t="shared" si="4"/>
        <v/>
      </c>
      <c r="P181" t="str">
        <f t="shared" si="5"/>
        <v/>
      </c>
      <c r="Q181" t="str">
        <f>_xlfn.IFNA(VLOOKUP(O181,Final!T:T,1,FALSE),"NA")</f>
        <v/>
      </c>
    </row>
    <row r="182" spans="15:17" x14ac:dyDescent="0.25">
      <c r="O182" t="str">
        <f t="shared" si="4"/>
        <v/>
      </c>
      <c r="P182" t="str">
        <f t="shared" si="5"/>
        <v/>
      </c>
      <c r="Q182" t="str">
        <f>_xlfn.IFNA(VLOOKUP(O182,Final!T:T,1,FALSE),"NA")</f>
        <v/>
      </c>
    </row>
    <row r="183" spans="15:17" x14ac:dyDescent="0.25">
      <c r="O183" t="str">
        <f t="shared" si="4"/>
        <v/>
      </c>
      <c r="P183" t="str">
        <f t="shared" si="5"/>
        <v/>
      </c>
      <c r="Q183" t="str">
        <f>_xlfn.IFNA(VLOOKUP(O183,Final!T:T,1,FALSE),"NA")</f>
        <v/>
      </c>
    </row>
    <row r="184" spans="15:17" x14ac:dyDescent="0.25">
      <c r="O184" t="str">
        <f t="shared" si="4"/>
        <v/>
      </c>
      <c r="P184" t="str">
        <f t="shared" si="5"/>
        <v/>
      </c>
      <c r="Q184" t="str">
        <f>_xlfn.IFNA(VLOOKUP(O184,Final!T:T,1,FALSE),"NA")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Y185"/>
  <sheetViews>
    <sheetView showGridLines="0" zoomScale="79" workbookViewId="0">
      <selection activeCell="B3" sqref="B3"/>
    </sheetView>
  </sheetViews>
  <sheetFormatPr defaultRowHeight="15" x14ac:dyDescent="0.25"/>
  <cols>
    <col min="1" max="2" width="9.140625" style="6"/>
    <col min="3" max="3" width="42.85546875" style="6" bestFit="1" customWidth="1"/>
    <col min="4" max="4" width="9.140625" style="6"/>
    <col min="5" max="5" width="9.85546875" style="6" bestFit="1" customWidth="1"/>
    <col min="6" max="14" width="9.140625" style="6"/>
    <col min="15" max="15" width="12.42578125" style="6" bestFit="1" customWidth="1"/>
    <col min="16" max="19" width="9.140625" style="6"/>
    <col min="20" max="20" width="10.140625" style="6" bestFit="1" customWidth="1"/>
    <col min="21" max="21" width="12.42578125" style="6" bestFit="1" customWidth="1"/>
    <col min="22" max="22" width="13.5703125" style="6" bestFit="1" customWidth="1"/>
    <col min="23" max="23" width="12.42578125" style="6" bestFit="1" customWidth="1"/>
    <col min="24" max="26" width="9.140625" style="6"/>
    <col min="27" max="27" width="11.85546875" style="6" bestFit="1" customWidth="1"/>
    <col min="28" max="30" width="9.140625" style="6"/>
    <col min="31" max="31" width="13.140625" style="6" bestFit="1" customWidth="1"/>
    <col min="32" max="32" width="12.42578125" style="6" bestFit="1" customWidth="1"/>
    <col min="33" max="33" width="18.7109375" style="6" bestFit="1" customWidth="1"/>
    <col min="34" max="34" width="13.140625" style="6" bestFit="1" customWidth="1"/>
    <col min="35" max="35" width="13.85546875" style="6" bestFit="1" customWidth="1"/>
    <col min="36" max="36" width="12.85546875" style="6" bestFit="1" customWidth="1"/>
    <col min="37" max="37" width="26.42578125" style="6" bestFit="1" customWidth="1"/>
    <col min="38" max="38" width="21.140625" style="6" bestFit="1" customWidth="1"/>
    <col min="39" max="39" width="25" style="6" bestFit="1" customWidth="1"/>
    <col min="40" max="40" width="24.140625" style="6" bestFit="1" customWidth="1"/>
    <col min="41" max="41" width="28.140625" style="6" bestFit="1" customWidth="1"/>
    <col min="42" max="42" width="19.7109375" style="6" bestFit="1" customWidth="1"/>
    <col min="43" max="43" width="12.85546875" style="6" bestFit="1" customWidth="1"/>
    <col min="44" max="50" width="9.140625" style="6"/>
    <col min="51" max="51" width="11.42578125" style="6" customWidth="1"/>
    <col min="52" max="16384" width="9.140625" style="6"/>
  </cols>
  <sheetData>
    <row r="1" spans="1:51" ht="21.75" customHeight="1" x14ac:dyDescent="0.25">
      <c r="B1" s="7" t="s">
        <v>0</v>
      </c>
      <c r="C1" s="7" t="s">
        <v>1</v>
      </c>
      <c r="D1" s="7" t="s">
        <v>2</v>
      </c>
      <c r="E1" s="7" t="s">
        <v>3</v>
      </c>
      <c r="F1" s="7" t="s">
        <v>10</v>
      </c>
      <c r="G1" s="7" t="s">
        <v>4</v>
      </c>
      <c r="H1" s="7" t="s">
        <v>5</v>
      </c>
      <c r="I1" s="7" t="s">
        <v>6</v>
      </c>
      <c r="J1" s="7" t="s">
        <v>7</v>
      </c>
      <c r="K1" s="7" t="s">
        <v>8</v>
      </c>
      <c r="L1" s="7" t="s">
        <v>9</v>
      </c>
      <c r="M1" s="7" t="s">
        <v>29</v>
      </c>
      <c r="N1" s="7"/>
      <c r="O1" s="7" t="s">
        <v>11</v>
      </c>
      <c r="P1" s="7" t="s">
        <v>12</v>
      </c>
      <c r="Q1" s="7" t="s">
        <v>13</v>
      </c>
      <c r="R1" s="7" t="s">
        <v>14</v>
      </c>
      <c r="S1" s="7" t="s">
        <v>15</v>
      </c>
      <c r="T1" s="7" t="s">
        <v>30</v>
      </c>
      <c r="U1" s="7" t="s">
        <v>31</v>
      </c>
      <c r="V1" s="7" t="s">
        <v>33</v>
      </c>
      <c r="W1" s="7" t="s">
        <v>16</v>
      </c>
      <c r="X1" s="7" t="s">
        <v>32</v>
      </c>
      <c r="Y1" s="7" t="s">
        <v>38</v>
      </c>
      <c r="AE1" s="8" t="s">
        <v>18</v>
      </c>
      <c r="AF1" s="7" t="s">
        <v>23</v>
      </c>
      <c r="AG1" s="7" t="s">
        <v>24</v>
      </c>
      <c r="AH1" s="7" t="s">
        <v>19</v>
      </c>
      <c r="AI1" s="7" t="s">
        <v>20</v>
      </c>
      <c r="AJ1" s="7" t="s">
        <v>21</v>
      </c>
      <c r="AK1" s="7" t="s">
        <v>22</v>
      </c>
      <c r="AL1" s="7" t="s">
        <v>26</v>
      </c>
      <c r="AM1" s="7" t="s">
        <v>25</v>
      </c>
      <c r="AN1" s="7" t="s">
        <v>27</v>
      </c>
      <c r="AO1" s="7" t="s">
        <v>28</v>
      </c>
      <c r="AP1" s="7" t="s">
        <v>34</v>
      </c>
      <c r="AQ1" s="7" t="s">
        <v>17</v>
      </c>
      <c r="AR1" s="7" t="s">
        <v>38</v>
      </c>
      <c r="AY1" s="17" t="s">
        <v>61</v>
      </c>
    </row>
    <row r="2" spans="1:51" ht="24.75" customHeight="1" x14ac:dyDescent="0.25">
      <c r="A2"/>
      <c r="B2" t="s">
        <v>37</v>
      </c>
      <c r="C2" t="s">
        <v>39</v>
      </c>
      <c r="D2"/>
      <c r="E2">
        <v>72104900</v>
      </c>
      <c r="F2">
        <v>1</v>
      </c>
      <c r="G2">
        <v>7.8840000000000003</v>
      </c>
      <c r="H2">
        <v>7.83</v>
      </c>
      <c r="I2">
        <v>50100</v>
      </c>
      <c r="J2">
        <v>392283</v>
      </c>
      <c r="K2">
        <v>35305.47</v>
      </c>
      <c r="L2">
        <v>0.70469999999999999</v>
      </c>
      <c r="M2"/>
      <c r="N2"/>
      <c r="O2" t="s">
        <v>54</v>
      </c>
      <c r="P2">
        <v>45</v>
      </c>
      <c r="Q2">
        <v>1.2</v>
      </c>
      <c r="R2">
        <v>1346</v>
      </c>
      <c r="S2">
        <v>2</v>
      </c>
      <c r="T2" t="s">
        <v>56</v>
      </c>
      <c r="U2" t="str">
        <f>_xlfn.IFNA(VLOOKUP(T2,Z:AA,2,FALSE),"")</f>
        <v>TC10A20843</v>
      </c>
      <c r="V2">
        <v>2471001761</v>
      </c>
      <c r="W2" t="s">
        <v>42</v>
      </c>
      <c r="X2" t="s">
        <v>36</v>
      </c>
      <c r="Y2"/>
      <c r="Z2" t="s">
        <v>56</v>
      </c>
      <c r="AA2" t="s">
        <v>45</v>
      </c>
      <c r="AB2"/>
      <c r="AE2" s="9"/>
      <c r="AF2" s="6" t="str">
        <f>_xlfn.IFNA(VLOOKUP(U2,'Incoming Material Report'!A:M,13,FALSE),"")</f>
        <v/>
      </c>
      <c r="AG2" s="6" t="str">
        <f>_xlfn.IFNA(IF(VLOOKUP(U2,'Incoming Material Report'!A:N,14,FALSE)="","",VLOOKUP(U2,'Incoming Material Report'!A:N,14,FALSE)),"")</f>
        <v/>
      </c>
      <c r="AH2" s="6" t="str">
        <f>_xlfn.IFNA(VLOOKUP(U2,'Incoming Material Report'!A:Z,24,FALSE),"")</f>
        <v/>
      </c>
      <c r="AI2" s="6" t="str">
        <f>_xlfn.IFNA(VLOOKUP(U2,'Incoming Material Report'!A:Z,25,FALSE),"")</f>
        <v/>
      </c>
      <c r="AJ2" s="6" t="str">
        <f>_xlfn.IFNA(VLOOKUP(U2,'Incoming Material Report'!A:Z,26,FALSE),"")</f>
        <v/>
      </c>
      <c r="AK2" s="6" t="str">
        <f>_xlfn.IFNA(VLOOKUP(U2,'Incoming Material Report'!A:Z,2,FALSE),"")</f>
        <v/>
      </c>
      <c r="AL2" s="6" t="str">
        <f>_xlfn.IFNA(VLOOKUP(U2,'Incoming Material Report'!A:K,11,FALSE),"")</f>
        <v/>
      </c>
      <c r="AN2" s="6" t="str">
        <f>_xlfn.IFNA(VLOOKUP(U2,'Incoming Material Report'!A:R,18,FALSE)*1000,"")</f>
        <v/>
      </c>
      <c r="AP2" s="6" t="str">
        <f>_xlfn.IFNA(TEXT(VLOOKUP(U2,'Incoming Material Report'!A:D,4,FALSE),"dd.mm.yyyy"),"")</f>
        <v/>
      </c>
      <c r="AY2" s="17"/>
    </row>
    <row r="3" spans="1:51" ht="24.75" customHeight="1" x14ac:dyDescent="0.25">
      <c r="A3"/>
      <c r="B3"/>
      <c r="C3" t="s">
        <v>39</v>
      </c>
      <c r="D3"/>
      <c r="E3">
        <v>72104900</v>
      </c>
      <c r="F3">
        <v>1</v>
      </c>
      <c r="G3">
        <v>7.8239999999999998</v>
      </c>
      <c r="H3">
        <v>7.77</v>
      </c>
      <c r="I3">
        <v>50100</v>
      </c>
      <c r="J3">
        <v>389277</v>
      </c>
      <c r="K3">
        <v>35034.93</v>
      </c>
      <c r="L3">
        <v>0.69929999999999992</v>
      </c>
      <c r="M3"/>
      <c r="N3"/>
      <c r="O3" t="s">
        <v>54</v>
      </c>
      <c r="P3">
        <v>45</v>
      </c>
      <c r="Q3">
        <v>1.2</v>
      </c>
      <c r="R3">
        <v>1346</v>
      </c>
      <c r="S3">
        <v>4</v>
      </c>
      <c r="T3" t="s">
        <v>58</v>
      </c>
      <c r="U3" t="str">
        <f t="shared" ref="U3:U36" si="0">_xlfn.IFNA(VLOOKUP(T3,Z:AA,2,FALSE),"")</f>
        <v>TC11A20802</v>
      </c>
      <c r="V3">
        <v>2471001761</v>
      </c>
      <c r="W3" t="s">
        <v>42</v>
      </c>
      <c r="X3" t="s">
        <v>36</v>
      </c>
      <c r="Y3"/>
      <c r="Z3"/>
      <c r="AA3"/>
      <c r="AB3"/>
      <c r="AE3" s="9"/>
      <c r="AY3" s="17"/>
    </row>
    <row r="4" spans="1:51" ht="24.75" customHeight="1" x14ac:dyDescent="0.25">
      <c r="B4" s="6" t="s">
        <v>43</v>
      </c>
      <c r="C4" s="6" t="s">
        <v>40</v>
      </c>
      <c r="E4" s="6">
        <v>72259200</v>
      </c>
      <c r="F4" s="6">
        <v>1</v>
      </c>
      <c r="G4" s="6">
        <v>6.3090000000000002</v>
      </c>
      <c r="H4" s="6">
        <v>6.26</v>
      </c>
      <c r="I4" s="6">
        <v>54100</v>
      </c>
      <c r="J4" s="6">
        <v>338666</v>
      </c>
      <c r="K4" s="6">
        <v>30479.94</v>
      </c>
      <c r="L4" s="6">
        <v>30479.94</v>
      </c>
      <c r="O4" s="6" t="s">
        <v>55</v>
      </c>
      <c r="P4" s="6">
        <v>45</v>
      </c>
      <c r="Q4" s="6">
        <v>1.2</v>
      </c>
      <c r="R4" s="6">
        <v>1110</v>
      </c>
      <c r="T4" s="6" t="s">
        <v>57</v>
      </c>
      <c r="U4" t="str">
        <f t="shared" si="0"/>
        <v>TC27920824</v>
      </c>
      <c r="V4" s="6">
        <v>2471001761</v>
      </c>
      <c r="W4" s="6" t="s">
        <v>42</v>
      </c>
      <c r="X4" s="6" t="s">
        <v>36</v>
      </c>
      <c r="Z4" s="6" t="s">
        <v>57</v>
      </c>
      <c r="AA4" s="6" t="s">
        <v>49</v>
      </c>
      <c r="AE4" s="9"/>
      <c r="AF4" s="6" t="str">
        <f>_xlfn.IFNA(VLOOKUP(U4,'Incoming Material Report'!A:M,13,FALSE),"")</f>
        <v/>
      </c>
      <c r="AG4" s="6" t="str">
        <f>_xlfn.IFNA(IF(VLOOKUP(U4,'Incoming Material Report'!A:N,14,FALSE)="","",VLOOKUP(U4,'Incoming Material Report'!A:N,14,FALSE)),"")</f>
        <v/>
      </c>
      <c r="AH4" s="6" t="str">
        <f>_xlfn.IFNA(VLOOKUP(U4,'Incoming Material Report'!A:Z,24,FALSE),"")</f>
        <v/>
      </c>
      <c r="AI4" s="6" t="str">
        <f>_xlfn.IFNA(VLOOKUP(U4,'Incoming Material Report'!A:Z,25,FALSE),"")</f>
        <v/>
      </c>
      <c r="AJ4" s="6" t="str">
        <f>_xlfn.IFNA(VLOOKUP(U4,'Incoming Material Report'!A:Z,26,FALSE),"")</f>
        <v/>
      </c>
      <c r="AK4" s="6" t="str">
        <f>_xlfn.IFNA(VLOOKUP(U4,'Incoming Material Report'!A:Z,2,FALSE),"")</f>
        <v/>
      </c>
      <c r="AL4" s="6" t="str">
        <f>_xlfn.IFNA(VLOOKUP(U4,'Incoming Material Report'!A:K,11,FALSE),"")</f>
        <v/>
      </c>
      <c r="AN4" s="6" t="str">
        <f>_xlfn.IFNA(VLOOKUP(U4,'Incoming Material Report'!A:R,18,FALSE)*1000,"")</f>
        <v/>
      </c>
      <c r="AP4" s="6" t="str">
        <f>_xlfn.IFNA(TEXT(VLOOKUP(U4,'Incoming Material Report'!A:D,4,FALSE),"dd.mm.yyyy"),"")</f>
        <v/>
      </c>
      <c r="AY4" s="17"/>
    </row>
    <row r="5" spans="1:51" ht="24.75" customHeight="1" x14ac:dyDescent="0.25">
      <c r="B5" s="6" t="s">
        <v>44</v>
      </c>
      <c r="C5" s="6" t="s">
        <v>41</v>
      </c>
      <c r="E5" s="6">
        <v>72091820</v>
      </c>
      <c r="F5" s="6">
        <v>1</v>
      </c>
      <c r="G5" s="6">
        <v>6.7910000000000004</v>
      </c>
      <c r="H5" s="6">
        <v>6.74</v>
      </c>
      <c r="I5" s="6">
        <v>42100</v>
      </c>
      <c r="J5" s="6">
        <v>283754</v>
      </c>
      <c r="K5" s="6">
        <v>25537.86</v>
      </c>
      <c r="L5" s="6">
        <v>25537.86</v>
      </c>
      <c r="O5" s="6" t="s">
        <v>53</v>
      </c>
      <c r="Q5" s="6">
        <v>2</v>
      </c>
      <c r="R5" s="6">
        <v>1150</v>
      </c>
      <c r="T5" s="6" t="str">
        <f t="shared" ref="T5:T13" si="1">G5&amp;H5</f>
        <v>6.7916.74</v>
      </c>
      <c r="U5" t="str">
        <f t="shared" si="0"/>
        <v>TC05B20720</v>
      </c>
      <c r="V5" s="6">
        <v>2471001761</v>
      </c>
      <c r="W5" s="6" t="s">
        <v>42</v>
      </c>
      <c r="X5" s="6" t="s">
        <v>36</v>
      </c>
      <c r="Z5" s="6" t="s">
        <v>58</v>
      </c>
      <c r="AA5" s="6" t="s">
        <v>47</v>
      </c>
      <c r="AE5" s="9"/>
      <c r="AF5" s="6" t="str">
        <f>_xlfn.IFNA(VLOOKUP(U5,'Incoming Material Report'!A:M,13,FALSE),"")</f>
        <v/>
      </c>
      <c r="AG5" s="6" t="str">
        <f>_xlfn.IFNA(IF(VLOOKUP(U5,'Incoming Material Report'!A:N,14,FALSE)="","",VLOOKUP(U5,'Incoming Material Report'!A:N,14,FALSE)),"")</f>
        <v/>
      </c>
      <c r="AH5" s="6" t="str">
        <f>_xlfn.IFNA(VLOOKUP(U5,'Incoming Material Report'!A:Z,24,FALSE),"")</f>
        <v/>
      </c>
      <c r="AI5" s="6" t="str">
        <f>_xlfn.IFNA(VLOOKUP(U5,'Incoming Material Report'!A:Z,25,FALSE),"")</f>
        <v/>
      </c>
      <c r="AJ5" s="6" t="str">
        <f>_xlfn.IFNA(VLOOKUP(U5,'Incoming Material Report'!A:Z,26,FALSE),"")</f>
        <v/>
      </c>
      <c r="AK5" s="6" t="str">
        <f>_xlfn.IFNA(VLOOKUP(U5,'Incoming Material Report'!A:Z,2,FALSE),"")</f>
        <v/>
      </c>
      <c r="AL5" s="6" t="str">
        <f>_xlfn.IFNA(VLOOKUP(U5,'Incoming Material Report'!A:K,11,FALSE),"")</f>
        <v/>
      </c>
      <c r="AN5" s="6" t="str">
        <f>_xlfn.IFNA(VLOOKUP(U5,'Incoming Material Report'!A:R,18,FALSE)*1000,"")</f>
        <v/>
      </c>
      <c r="AP5" s="6" t="str">
        <f>_xlfn.IFNA(TEXT(VLOOKUP(U5,'Incoming Material Report'!A:D,4,FALSE),"dd.mm.yyyy"),"")</f>
        <v/>
      </c>
      <c r="AY5" s="17"/>
    </row>
    <row r="6" spans="1:51" x14ac:dyDescent="0.25">
      <c r="T6" s="6" t="str">
        <f t="shared" si="1"/>
        <v/>
      </c>
      <c r="U6" t="str">
        <f t="shared" si="0"/>
        <v/>
      </c>
      <c r="Z6" s="6" t="s">
        <v>59</v>
      </c>
      <c r="AA6" s="6" t="s">
        <v>51</v>
      </c>
      <c r="AE6" s="10"/>
      <c r="AF6" s="6" t="str">
        <f>_xlfn.IFNA(VLOOKUP(U6,'Incoming Material Report'!A:M,13,FALSE),"")</f>
        <v/>
      </c>
      <c r="AG6" s="6" t="str">
        <f>_xlfn.IFNA(IF(VLOOKUP(U6,'Incoming Material Report'!A:N,14,FALSE)="","",VLOOKUP(U6,'Incoming Material Report'!A:N,14,FALSE)),"")</f>
        <v/>
      </c>
      <c r="AH6" s="6" t="str">
        <f>_xlfn.IFNA(VLOOKUP(U6,'Incoming Material Report'!A:Z,24,FALSE),"")</f>
        <v/>
      </c>
      <c r="AI6" s="6" t="str">
        <f>_xlfn.IFNA(VLOOKUP(U6,'Incoming Material Report'!A:Z,25,FALSE),"")</f>
        <v/>
      </c>
      <c r="AJ6" s="6" t="str">
        <f>_xlfn.IFNA(VLOOKUP(U6,'Incoming Material Report'!A:Z,26,FALSE),"")</f>
        <v/>
      </c>
      <c r="AK6" s="6" t="str">
        <f>_xlfn.IFNA(VLOOKUP(U6,'Incoming Material Report'!A:Z,2,FALSE),"")</f>
        <v/>
      </c>
      <c r="AL6" s="6" t="str">
        <f>_xlfn.IFNA(VLOOKUP(U6,'Incoming Material Report'!A:K,11,FALSE),"")</f>
        <v/>
      </c>
      <c r="AN6" s="6" t="str">
        <f>_xlfn.IFNA(VLOOKUP(U6,'Incoming Material Report'!A:R,18,FALSE)*1000,"")</f>
        <v/>
      </c>
      <c r="AP6" s="6" t="str">
        <f>_xlfn.IFNA(TEXT(VLOOKUP(U6,'Incoming Material Report'!A:D,4,FALSE),"dd.mm.yyyy"),"")</f>
        <v/>
      </c>
      <c r="AY6" s="17"/>
    </row>
    <row r="7" spans="1:51" x14ac:dyDescent="0.25">
      <c r="T7" s="6" t="str">
        <f t="shared" si="1"/>
        <v/>
      </c>
      <c r="U7" t="str">
        <f t="shared" si="0"/>
        <v/>
      </c>
      <c r="Z7" s="6" t="s">
        <v>60</v>
      </c>
      <c r="AA7" s="6" t="s">
        <v>60</v>
      </c>
      <c r="AF7" s="6" t="str">
        <f>_xlfn.IFNA(VLOOKUP(U7,'Incoming Material Report'!A:M,13,FALSE),"")</f>
        <v/>
      </c>
      <c r="AG7" s="6" t="str">
        <f>_xlfn.IFNA(IF(VLOOKUP(U7,'Incoming Material Report'!A:N,14,FALSE)="","",VLOOKUP(U7,'Incoming Material Report'!A:N,14,FALSE)),"")</f>
        <v/>
      </c>
      <c r="AH7" s="6" t="str">
        <f>_xlfn.IFNA(VLOOKUP(U7,'Incoming Material Report'!A:Z,24,FALSE),"")</f>
        <v/>
      </c>
      <c r="AI7" s="6" t="str">
        <f>_xlfn.IFNA(VLOOKUP(U7,'Incoming Material Report'!A:Z,25,FALSE),"")</f>
        <v/>
      </c>
      <c r="AJ7" s="6" t="str">
        <f>_xlfn.IFNA(VLOOKUP(U7,'Incoming Material Report'!A:Z,26,FALSE),"")</f>
        <v/>
      </c>
      <c r="AK7" s="6" t="str">
        <f>_xlfn.IFNA(VLOOKUP(U7,'Incoming Material Report'!A:Z,2,FALSE),"")</f>
        <v/>
      </c>
      <c r="AL7" s="6" t="str">
        <f>_xlfn.IFNA(VLOOKUP(U7,'Incoming Material Report'!A:K,11,FALSE),"")</f>
        <v/>
      </c>
      <c r="AN7" s="6" t="str">
        <f>_xlfn.IFNA(VLOOKUP(U7,'Incoming Material Report'!A:R,18,FALSE)*1000,"")</f>
        <v/>
      </c>
      <c r="AP7" s="6" t="str">
        <f>_xlfn.IFNA(TEXT(VLOOKUP(U7,'Incoming Material Report'!A:D,4,FALSE),"dd.mm.yyyy"),"")</f>
        <v/>
      </c>
      <c r="AY7" s="17"/>
    </row>
    <row r="8" spans="1:51" x14ac:dyDescent="0.25">
      <c r="T8" s="6" t="str">
        <f t="shared" si="1"/>
        <v/>
      </c>
      <c r="U8" t="str">
        <f t="shared" si="0"/>
        <v/>
      </c>
      <c r="Z8" s="6" t="s">
        <v>60</v>
      </c>
      <c r="AA8" s="6" t="s">
        <v>60</v>
      </c>
      <c r="AF8" s="6" t="str">
        <f>_xlfn.IFNA(VLOOKUP(U8,'Incoming Material Report'!A:M,13,FALSE),"")</f>
        <v/>
      </c>
      <c r="AG8" s="6" t="str">
        <f>_xlfn.IFNA(IF(VLOOKUP(U8,'Incoming Material Report'!A:N,14,FALSE)="","",VLOOKUP(U8,'Incoming Material Report'!A:N,14,FALSE)),"")</f>
        <v/>
      </c>
      <c r="AH8" s="6" t="str">
        <f>_xlfn.IFNA(VLOOKUP(U8,'Incoming Material Report'!A:Z,24,FALSE),"")</f>
        <v/>
      </c>
      <c r="AI8" s="6" t="str">
        <f>_xlfn.IFNA(VLOOKUP(U8,'Incoming Material Report'!A:Z,25,FALSE),"")</f>
        <v/>
      </c>
      <c r="AJ8" s="6" t="str">
        <f>_xlfn.IFNA(VLOOKUP(U8,'Incoming Material Report'!A:Z,26,FALSE),"")</f>
        <v/>
      </c>
      <c r="AK8" s="6" t="str">
        <f>_xlfn.IFNA(VLOOKUP(U8,'Incoming Material Report'!A:Z,2,FALSE),"")</f>
        <v/>
      </c>
      <c r="AL8" s="6" t="str">
        <f>_xlfn.IFNA(VLOOKUP(U8,'Incoming Material Report'!A:K,11,FALSE),"")</f>
        <v/>
      </c>
      <c r="AN8" s="6" t="str">
        <f>_xlfn.IFNA(VLOOKUP(U8,'Incoming Material Report'!A:R,18,FALSE)*1000,"")</f>
        <v/>
      </c>
      <c r="AP8" s="6" t="str">
        <f>_xlfn.IFNA(TEXT(VLOOKUP(U8,'Incoming Material Report'!A:D,4,FALSE),"dd.mm.yyyy"),"")</f>
        <v/>
      </c>
      <c r="AY8" s="17"/>
    </row>
    <row r="9" spans="1:51" x14ac:dyDescent="0.25">
      <c r="T9" s="6" t="str">
        <f t="shared" si="1"/>
        <v/>
      </c>
      <c r="U9" t="str">
        <f t="shared" si="0"/>
        <v/>
      </c>
      <c r="Z9" s="6" t="s">
        <v>60</v>
      </c>
      <c r="AA9" s="6" t="s">
        <v>60</v>
      </c>
      <c r="AF9" s="6" t="str">
        <f>_xlfn.IFNA(VLOOKUP(U9,'Incoming Material Report'!A:M,13,FALSE),"")</f>
        <v/>
      </c>
      <c r="AG9" s="6" t="str">
        <f>_xlfn.IFNA(IF(VLOOKUP(U9,'Incoming Material Report'!A:N,14,FALSE)="","",VLOOKUP(U9,'Incoming Material Report'!A:N,14,FALSE)),"")</f>
        <v/>
      </c>
      <c r="AH9" s="6" t="str">
        <f>_xlfn.IFNA(VLOOKUP(U9,'Incoming Material Report'!A:Z,24,FALSE),"")</f>
        <v/>
      </c>
      <c r="AI9" s="6" t="str">
        <f>_xlfn.IFNA(VLOOKUP(U9,'Incoming Material Report'!A:Z,25,FALSE),"")</f>
        <v/>
      </c>
      <c r="AJ9" s="6" t="str">
        <f>_xlfn.IFNA(VLOOKUP(U9,'Incoming Material Report'!A:Z,26,FALSE),"")</f>
        <v/>
      </c>
      <c r="AK9" s="6" t="str">
        <f>_xlfn.IFNA(VLOOKUP(U9,'Incoming Material Report'!A:Z,2,FALSE),"")</f>
        <v/>
      </c>
      <c r="AL9" s="6" t="str">
        <f>_xlfn.IFNA(VLOOKUP(U9,'Incoming Material Report'!A:K,11,FALSE),"")</f>
        <v/>
      </c>
      <c r="AN9" s="6" t="str">
        <f>_xlfn.IFNA(VLOOKUP(U9,'Incoming Material Report'!A:R,18,FALSE)*1000,"")</f>
        <v/>
      </c>
      <c r="AP9" s="6" t="str">
        <f>_xlfn.IFNA(TEXT(VLOOKUP(U9,'Incoming Material Report'!A:D,4,FALSE),"dd.mm.yyyy"),"")</f>
        <v/>
      </c>
      <c r="AY9" s="17"/>
    </row>
    <row r="10" spans="1:51" x14ac:dyDescent="0.25">
      <c r="T10" s="6" t="str">
        <f t="shared" si="1"/>
        <v/>
      </c>
      <c r="U10" t="str">
        <f t="shared" si="0"/>
        <v/>
      </c>
      <c r="Z10" s="6" t="s">
        <v>60</v>
      </c>
      <c r="AA10" s="6" t="s">
        <v>60</v>
      </c>
      <c r="AF10" s="6" t="str">
        <f>_xlfn.IFNA(VLOOKUP(U10,'Incoming Material Report'!A:M,13,FALSE),"")</f>
        <v/>
      </c>
      <c r="AG10" s="6" t="str">
        <f>_xlfn.IFNA(IF(VLOOKUP(U10,'Incoming Material Report'!A:N,14,FALSE)="","",VLOOKUP(U10,'Incoming Material Report'!A:N,14,FALSE)),"")</f>
        <v/>
      </c>
      <c r="AH10" s="6" t="str">
        <f>_xlfn.IFNA(VLOOKUP(U10,'Incoming Material Report'!A:Z,24,FALSE),"")</f>
        <v/>
      </c>
      <c r="AI10" s="6" t="str">
        <f>_xlfn.IFNA(VLOOKUP(U10,'Incoming Material Report'!A:Z,25,FALSE),"")</f>
        <v/>
      </c>
      <c r="AJ10" s="6" t="str">
        <f>_xlfn.IFNA(VLOOKUP(U10,'Incoming Material Report'!A:Z,26,FALSE),"")</f>
        <v/>
      </c>
      <c r="AK10" s="6" t="str">
        <f>_xlfn.IFNA(VLOOKUP(U10,'Incoming Material Report'!A:Z,2,FALSE),"")</f>
        <v/>
      </c>
      <c r="AL10" s="6" t="str">
        <f>_xlfn.IFNA(VLOOKUP(U10,'Incoming Material Report'!A:K,11,FALSE),"")</f>
        <v/>
      </c>
      <c r="AN10" s="6" t="str">
        <f>_xlfn.IFNA(VLOOKUP(U10,'Incoming Material Report'!A:R,18,FALSE)*1000,"")</f>
        <v/>
      </c>
      <c r="AP10" s="6" t="str">
        <f>_xlfn.IFNA(TEXT(VLOOKUP(U10,'Incoming Material Report'!A:D,4,FALSE),"dd.mm.yyyy"),"")</f>
        <v/>
      </c>
      <c r="AY10" s="17"/>
    </row>
    <row r="11" spans="1:51" x14ac:dyDescent="0.25">
      <c r="T11" s="6" t="str">
        <f t="shared" si="1"/>
        <v/>
      </c>
      <c r="U11" t="str">
        <f t="shared" si="0"/>
        <v/>
      </c>
      <c r="Z11" s="6" t="s">
        <v>60</v>
      </c>
      <c r="AA11" s="6" t="s">
        <v>60</v>
      </c>
      <c r="AF11" s="6" t="str">
        <f>_xlfn.IFNA(VLOOKUP(U11,'Incoming Material Report'!A:M,13,FALSE),"")</f>
        <v/>
      </c>
      <c r="AG11" s="6" t="str">
        <f>_xlfn.IFNA(IF(VLOOKUP(U11,'Incoming Material Report'!A:N,14,FALSE)="","",VLOOKUP(U11,'Incoming Material Report'!A:N,14,FALSE)),"")</f>
        <v/>
      </c>
      <c r="AH11" s="6" t="str">
        <f>_xlfn.IFNA(VLOOKUP(U11,'Incoming Material Report'!A:Z,24,FALSE),"")</f>
        <v/>
      </c>
      <c r="AI11" s="6" t="str">
        <f>_xlfn.IFNA(VLOOKUP(U11,'Incoming Material Report'!A:Z,25,FALSE),"")</f>
        <v/>
      </c>
      <c r="AJ11" s="6" t="str">
        <f>_xlfn.IFNA(VLOOKUP(U11,'Incoming Material Report'!A:Z,26,FALSE),"")</f>
        <v/>
      </c>
      <c r="AK11" s="6" t="str">
        <f>_xlfn.IFNA(VLOOKUP(U11,'Incoming Material Report'!A:Z,2,FALSE),"")</f>
        <v/>
      </c>
      <c r="AL11" s="6" t="str">
        <f>_xlfn.IFNA(VLOOKUP(U11,'Incoming Material Report'!A:K,11,FALSE),"")</f>
        <v/>
      </c>
      <c r="AN11" s="6" t="str">
        <f>_xlfn.IFNA(VLOOKUP(U11,'Incoming Material Report'!A:R,18,FALSE)*1000,"")</f>
        <v/>
      </c>
      <c r="AP11" s="6" t="str">
        <f>_xlfn.IFNA(TEXT(VLOOKUP(U11,'Incoming Material Report'!A:D,4,FALSE),"dd.mm.yyyy"),"")</f>
        <v/>
      </c>
      <c r="AY11" s="17"/>
    </row>
    <row r="12" spans="1:51" x14ac:dyDescent="0.25">
      <c r="T12" s="6" t="str">
        <f t="shared" si="1"/>
        <v/>
      </c>
      <c r="U12" t="str">
        <f t="shared" si="0"/>
        <v/>
      </c>
      <c r="Z12" s="6" t="s">
        <v>60</v>
      </c>
      <c r="AA12" s="6" t="s">
        <v>60</v>
      </c>
      <c r="AF12" s="6" t="str">
        <f>_xlfn.IFNA(VLOOKUP(U12,'Incoming Material Report'!A:M,13,FALSE),"")</f>
        <v/>
      </c>
      <c r="AG12" s="6" t="str">
        <f>_xlfn.IFNA(IF(VLOOKUP(U12,'Incoming Material Report'!A:N,14,FALSE)="","",VLOOKUP(U12,'Incoming Material Report'!A:N,14,FALSE)),"")</f>
        <v/>
      </c>
      <c r="AH12" s="6" t="str">
        <f>_xlfn.IFNA(VLOOKUP(U12,'Incoming Material Report'!A:Z,24,FALSE),"")</f>
        <v/>
      </c>
      <c r="AI12" s="6" t="str">
        <f>_xlfn.IFNA(VLOOKUP(U12,'Incoming Material Report'!A:Z,25,FALSE),"")</f>
        <v/>
      </c>
      <c r="AJ12" s="6" t="str">
        <f>_xlfn.IFNA(VLOOKUP(U12,'Incoming Material Report'!A:Z,26,FALSE),"")</f>
        <v/>
      </c>
      <c r="AK12" s="6" t="str">
        <f>_xlfn.IFNA(VLOOKUP(U12,'Incoming Material Report'!A:Z,2,FALSE),"")</f>
        <v/>
      </c>
      <c r="AL12" s="6" t="str">
        <f>_xlfn.IFNA(VLOOKUP(U12,'Incoming Material Report'!A:K,11,FALSE),"")</f>
        <v/>
      </c>
      <c r="AN12" s="6" t="str">
        <f>_xlfn.IFNA(VLOOKUP(U12,'Incoming Material Report'!A:R,18,FALSE)*1000,"")</f>
        <v/>
      </c>
      <c r="AP12" s="6" t="str">
        <f>_xlfn.IFNA(TEXT(VLOOKUP(U12,'Incoming Material Report'!A:D,4,FALSE),"dd.mm.yyyy"),"")</f>
        <v/>
      </c>
      <c r="AY12" s="17"/>
    </row>
    <row r="13" spans="1:51" x14ac:dyDescent="0.25">
      <c r="T13" s="6" t="str">
        <f t="shared" si="1"/>
        <v/>
      </c>
      <c r="U13" t="str">
        <f t="shared" si="0"/>
        <v/>
      </c>
      <c r="Z13" s="6" t="s">
        <v>60</v>
      </c>
      <c r="AA13" s="6" t="s">
        <v>60</v>
      </c>
      <c r="AF13" s="6" t="str">
        <f>_xlfn.IFNA(VLOOKUP(U13,'Incoming Material Report'!A:M,13,FALSE),"")</f>
        <v/>
      </c>
      <c r="AG13" s="6" t="str">
        <f>_xlfn.IFNA(IF(VLOOKUP(U13,'Incoming Material Report'!A:N,14,FALSE)="","",VLOOKUP(U13,'Incoming Material Report'!A:N,14,FALSE)),"")</f>
        <v/>
      </c>
      <c r="AH13" s="6" t="str">
        <f>_xlfn.IFNA(VLOOKUP(U13,'Incoming Material Report'!A:Z,24,FALSE),"")</f>
        <v/>
      </c>
      <c r="AI13" s="6" t="str">
        <f>_xlfn.IFNA(VLOOKUP(U13,'Incoming Material Report'!A:Z,25,FALSE),"")</f>
        <v/>
      </c>
      <c r="AJ13" s="6" t="str">
        <f>_xlfn.IFNA(VLOOKUP(U13,'Incoming Material Report'!A:Z,26,FALSE),"")</f>
        <v/>
      </c>
      <c r="AK13" s="6" t="str">
        <f>_xlfn.IFNA(VLOOKUP(U13,'Incoming Material Report'!A:Z,2,FALSE),"")</f>
        <v/>
      </c>
      <c r="AL13" s="6" t="str">
        <f>_xlfn.IFNA(VLOOKUP(U13,'Incoming Material Report'!A:K,11,FALSE),"")</f>
        <v/>
      </c>
      <c r="AN13" s="6" t="str">
        <f>_xlfn.IFNA(VLOOKUP(U13,'Incoming Material Report'!A:R,18,FALSE)*1000,"")</f>
        <v/>
      </c>
      <c r="AP13" s="6" t="str">
        <f>_xlfn.IFNA(TEXT(VLOOKUP(U13,'Incoming Material Report'!A:D,4,FALSE),"dd.mm.yyyy"),"")</f>
        <v/>
      </c>
      <c r="AY13" s="17"/>
    </row>
    <row r="14" spans="1:51" x14ac:dyDescent="0.25">
      <c r="U14" t="str">
        <f t="shared" si="0"/>
        <v/>
      </c>
      <c r="Z14" s="6" t="s">
        <v>60</v>
      </c>
      <c r="AA14" s="6" t="s">
        <v>60</v>
      </c>
      <c r="AF14" s="6" t="str">
        <f>_xlfn.IFNA(VLOOKUP(U14,'Incoming Material Report'!A:M,13,FALSE),"")</f>
        <v/>
      </c>
      <c r="AG14" s="6" t="str">
        <f>_xlfn.IFNA(IF(VLOOKUP(U14,'Incoming Material Report'!A:N,14,FALSE)="","",VLOOKUP(U14,'Incoming Material Report'!A:N,14,FALSE)),"")</f>
        <v/>
      </c>
      <c r="AH14" s="6" t="str">
        <f>_xlfn.IFNA(VLOOKUP(U14,'Incoming Material Report'!A:Z,24,FALSE),"")</f>
        <v/>
      </c>
      <c r="AI14" s="6" t="str">
        <f>_xlfn.IFNA(VLOOKUP(U14,'Incoming Material Report'!A:Z,25,FALSE),"")</f>
        <v/>
      </c>
      <c r="AJ14" s="6" t="str">
        <f>_xlfn.IFNA(VLOOKUP(U14,'Incoming Material Report'!A:Z,26,FALSE),"")</f>
        <v/>
      </c>
      <c r="AK14" s="6" t="str">
        <f>_xlfn.IFNA(VLOOKUP(U14,'Incoming Material Report'!A:Z,2,FALSE),"")</f>
        <v/>
      </c>
      <c r="AL14" s="6" t="str">
        <f>_xlfn.IFNA(VLOOKUP(U14,'Incoming Material Report'!A:K,11,FALSE),"")</f>
        <v/>
      </c>
      <c r="AN14" s="6" t="str">
        <f>_xlfn.IFNA(VLOOKUP(U14,'Incoming Material Report'!A:R,18,FALSE)*1000,"")</f>
        <v/>
      </c>
      <c r="AP14" s="6" t="str">
        <f>_xlfn.IFNA(TEXT(VLOOKUP(U14,'Incoming Material Report'!A:D,4,FALSE),"dd.mm.yyyy"),"")</f>
        <v/>
      </c>
      <c r="AY14" s="17"/>
    </row>
    <row r="15" spans="1:51" x14ac:dyDescent="0.25">
      <c r="U15" t="str">
        <f t="shared" si="0"/>
        <v/>
      </c>
      <c r="Z15" s="6" t="s">
        <v>60</v>
      </c>
      <c r="AA15" s="6" t="s">
        <v>60</v>
      </c>
      <c r="AF15" s="6" t="str">
        <f>_xlfn.IFNA(VLOOKUP(U15,'Incoming Material Report'!A:M,13,FALSE),"")</f>
        <v/>
      </c>
      <c r="AG15" s="6" t="str">
        <f>_xlfn.IFNA(IF(VLOOKUP(U15,'Incoming Material Report'!A:N,14,FALSE)="","",VLOOKUP(U15,'Incoming Material Report'!A:N,14,FALSE)),"")</f>
        <v/>
      </c>
      <c r="AH15" s="6" t="str">
        <f>_xlfn.IFNA(VLOOKUP(U15,'Incoming Material Report'!A:Z,24,FALSE),"")</f>
        <v/>
      </c>
      <c r="AI15" s="6" t="str">
        <f>_xlfn.IFNA(VLOOKUP(U15,'Incoming Material Report'!A:Z,25,FALSE),"")</f>
        <v/>
      </c>
      <c r="AJ15" s="6" t="str">
        <f>_xlfn.IFNA(VLOOKUP(U15,'Incoming Material Report'!A:Z,26,FALSE),"")</f>
        <v/>
      </c>
      <c r="AK15" s="6" t="str">
        <f>_xlfn.IFNA(VLOOKUP(U15,'Incoming Material Report'!A:Z,2,FALSE),"")</f>
        <v/>
      </c>
      <c r="AL15" s="6" t="str">
        <f>_xlfn.IFNA(VLOOKUP(U15,'Incoming Material Report'!A:K,11,FALSE),"")</f>
        <v/>
      </c>
      <c r="AN15" s="6" t="str">
        <f>_xlfn.IFNA(VLOOKUP(U15,'Incoming Material Report'!A:R,18,FALSE)*1000,"")</f>
        <v/>
      </c>
      <c r="AP15" s="6" t="str">
        <f>_xlfn.IFNA(TEXT(VLOOKUP(U15,'Incoming Material Report'!A:D,4,FALSE),"dd.mm.yyyy"),"")</f>
        <v/>
      </c>
      <c r="AY15" s="17"/>
    </row>
    <row r="16" spans="1:51" x14ac:dyDescent="0.25">
      <c r="U16" t="str">
        <f t="shared" si="0"/>
        <v/>
      </c>
      <c r="Z16" s="6" t="s">
        <v>60</v>
      </c>
      <c r="AA16" s="6" t="s">
        <v>60</v>
      </c>
      <c r="AF16" s="6" t="str">
        <f>_xlfn.IFNA(VLOOKUP(U16,'Incoming Material Report'!A:M,13,FALSE),"")</f>
        <v/>
      </c>
      <c r="AG16" s="6" t="str">
        <f>_xlfn.IFNA(IF(VLOOKUP(U16,'Incoming Material Report'!A:N,14,FALSE)="","",VLOOKUP(U16,'Incoming Material Report'!A:N,14,FALSE)),"")</f>
        <v/>
      </c>
      <c r="AH16" s="6" t="str">
        <f>_xlfn.IFNA(VLOOKUP(U16,'Incoming Material Report'!A:Z,24,FALSE),"")</f>
        <v/>
      </c>
      <c r="AI16" s="6" t="str">
        <f>_xlfn.IFNA(VLOOKUP(U16,'Incoming Material Report'!A:Z,25,FALSE),"")</f>
        <v/>
      </c>
      <c r="AJ16" s="6" t="str">
        <f>_xlfn.IFNA(VLOOKUP(U16,'Incoming Material Report'!A:Z,26,FALSE),"")</f>
        <v/>
      </c>
      <c r="AK16" s="6" t="str">
        <f>_xlfn.IFNA(VLOOKUP(U16,'Incoming Material Report'!A:Z,2,FALSE),"")</f>
        <v/>
      </c>
      <c r="AL16" s="6" t="str">
        <f>_xlfn.IFNA(VLOOKUP(U16,'Incoming Material Report'!A:K,11,FALSE),"")</f>
        <v/>
      </c>
      <c r="AN16" s="6" t="str">
        <f>_xlfn.IFNA(VLOOKUP(U16,'Incoming Material Report'!A:R,18,FALSE)*1000,"")</f>
        <v/>
      </c>
      <c r="AP16" s="6" t="str">
        <f>_xlfn.IFNA(TEXT(VLOOKUP(U16,'Incoming Material Report'!A:D,4,FALSE),"dd.mm.yyyy"),"")</f>
        <v/>
      </c>
    </row>
    <row r="17" spans="21:42" x14ac:dyDescent="0.25">
      <c r="U17" t="str">
        <f t="shared" si="0"/>
        <v/>
      </c>
      <c r="Z17" s="6" t="s">
        <v>60</v>
      </c>
      <c r="AA17" s="6" t="s">
        <v>60</v>
      </c>
      <c r="AF17" s="6" t="str">
        <f>_xlfn.IFNA(VLOOKUP(U17,'Incoming Material Report'!A:M,13,FALSE),"")</f>
        <v/>
      </c>
      <c r="AG17" s="6" t="str">
        <f>_xlfn.IFNA(IF(VLOOKUP(U17,'Incoming Material Report'!A:N,14,FALSE)="","",VLOOKUP(U17,'Incoming Material Report'!A:N,14,FALSE)),"")</f>
        <v/>
      </c>
      <c r="AH17" s="6" t="str">
        <f>_xlfn.IFNA(VLOOKUP(U17,'Incoming Material Report'!A:Z,24,FALSE),"")</f>
        <v/>
      </c>
      <c r="AI17" s="6" t="str">
        <f>_xlfn.IFNA(VLOOKUP(U17,'Incoming Material Report'!A:Z,25,FALSE),"")</f>
        <v/>
      </c>
      <c r="AJ17" s="6" t="str">
        <f>_xlfn.IFNA(VLOOKUP(U17,'Incoming Material Report'!A:Z,26,FALSE),"")</f>
        <v/>
      </c>
      <c r="AK17" s="6" t="str">
        <f>_xlfn.IFNA(VLOOKUP(U17,'Incoming Material Report'!A:Z,2,FALSE),"")</f>
        <v/>
      </c>
      <c r="AL17" s="6" t="str">
        <f>_xlfn.IFNA(VLOOKUP(U17,'Incoming Material Report'!A:K,11,FALSE),"")</f>
        <v/>
      </c>
      <c r="AN17" s="6" t="str">
        <f>_xlfn.IFNA(VLOOKUP(U17,'Incoming Material Report'!A:R,18,FALSE)*1000,"")</f>
        <v/>
      </c>
      <c r="AP17" s="6" t="str">
        <f>_xlfn.IFNA(TEXT(VLOOKUP(U17,'Incoming Material Report'!A:D,4,FALSE),"dd.mm.yyyy"),"")</f>
        <v/>
      </c>
    </row>
    <row r="18" spans="21:42" x14ac:dyDescent="0.25">
      <c r="U18" t="str">
        <f t="shared" si="0"/>
        <v/>
      </c>
      <c r="Z18" s="6" t="s">
        <v>60</v>
      </c>
      <c r="AA18" s="6" t="s">
        <v>60</v>
      </c>
      <c r="AF18" s="6" t="str">
        <f>_xlfn.IFNA(VLOOKUP(U18,'Incoming Material Report'!A:M,13,FALSE),"")</f>
        <v/>
      </c>
      <c r="AG18" s="6" t="str">
        <f>_xlfn.IFNA(IF(VLOOKUP(U18,'Incoming Material Report'!A:N,14,FALSE)="","",VLOOKUP(U18,'Incoming Material Report'!A:N,14,FALSE)),"")</f>
        <v/>
      </c>
      <c r="AH18" s="6" t="str">
        <f>_xlfn.IFNA(VLOOKUP(U18,'Incoming Material Report'!A:Z,24,FALSE),"")</f>
        <v/>
      </c>
      <c r="AI18" s="6" t="str">
        <f>_xlfn.IFNA(VLOOKUP(U18,'Incoming Material Report'!A:Z,25,FALSE),"")</f>
        <v/>
      </c>
      <c r="AJ18" s="6" t="str">
        <f>_xlfn.IFNA(VLOOKUP(U18,'Incoming Material Report'!A:Z,26,FALSE),"")</f>
        <v/>
      </c>
      <c r="AK18" s="6" t="str">
        <f>_xlfn.IFNA(VLOOKUP(U18,'Incoming Material Report'!A:Z,2,FALSE),"")</f>
        <v/>
      </c>
      <c r="AL18" s="6" t="str">
        <f>_xlfn.IFNA(VLOOKUP(U18,'Incoming Material Report'!A:K,11,FALSE),"")</f>
        <v/>
      </c>
      <c r="AN18" s="6" t="str">
        <f>_xlfn.IFNA(VLOOKUP(U18,'Incoming Material Report'!A:R,18,FALSE)*1000,"")</f>
        <v/>
      </c>
      <c r="AP18" s="6" t="str">
        <f>_xlfn.IFNA(TEXT(VLOOKUP(U18,'Incoming Material Report'!A:D,4,FALSE),"dd.mm.yyyy"),"")</f>
        <v/>
      </c>
    </row>
    <row r="19" spans="21:42" x14ac:dyDescent="0.25">
      <c r="U19" t="str">
        <f t="shared" si="0"/>
        <v/>
      </c>
      <c r="Z19" s="6" t="s">
        <v>60</v>
      </c>
      <c r="AA19" s="6" t="s">
        <v>60</v>
      </c>
      <c r="AF19" s="6" t="str">
        <f>_xlfn.IFNA(VLOOKUP(U19,'Incoming Material Report'!A:M,13,FALSE),"")</f>
        <v/>
      </c>
      <c r="AG19" s="6" t="str">
        <f>_xlfn.IFNA(IF(VLOOKUP(U19,'Incoming Material Report'!A:N,14,FALSE)="","",VLOOKUP(U19,'Incoming Material Report'!A:N,14,FALSE)),"")</f>
        <v/>
      </c>
      <c r="AH19" s="6" t="str">
        <f>_xlfn.IFNA(VLOOKUP(U19,'Incoming Material Report'!A:Z,24,FALSE),"")</f>
        <v/>
      </c>
      <c r="AI19" s="6" t="str">
        <f>_xlfn.IFNA(VLOOKUP(U19,'Incoming Material Report'!A:Z,25,FALSE),"")</f>
        <v/>
      </c>
      <c r="AJ19" s="6" t="str">
        <f>_xlfn.IFNA(VLOOKUP(U19,'Incoming Material Report'!A:Z,26,FALSE),"")</f>
        <v/>
      </c>
      <c r="AK19" s="6" t="str">
        <f>_xlfn.IFNA(VLOOKUP(U19,'Incoming Material Report'!A:Z,2,FALSE),"")</f>
        <v/>
      </c>
      <c r="AL19" s="6" t="str">
        <f>_xlfn.IFNA(VLOOKUP(U19,'Incoming Material Report'!A:K,11,FALSE),"")</f>
        <v/>
      </c>
      <c r="AN19" s="6" t="str">
        <f>_xlfn.IFNA(VLOOKUP(U19,'Incoming Material Report'!A:R,18,FALSE)*1000,"")</f>
        <v/>
      </c>
      <c r="AP19" s="6" t="str">
        <f>_xlfn.IFNA(TEXT(VLOOKUP(U19,'Incoming Material Report'!A:D,4,FALSE),"dd.mm.yyyy"),"")</f>
        <v/>
      </c>
    </row>
    <row r="20" spans="21:42" x14ac:dyDescent="0.25">
      <c r="U20" t="str">
        <f t="shared" si="0"/>
        <v/>
      </c>
      <c r="Z20" s="6" t="s">
        <v>60</v>
      </c>
      <c r="AA20" s="6" t="s">
        <v>60</v>
      </c>
      <c r="AF20" s="6" t="str">
        <f>_xlfn.IFNA(VLOOKUP(U20,'Incoming Material Report'!A:M,13,FALSE),"")</f>
        <v/>
      </c>
      <c r="AG20" s="6" t="str">
        <f>_xlfn.IFNA(IF(VLOOKUP(U20,'Incoming Material Report'!A:N,14,FALSE)="","",VLOOKUP(U20,'Incoming Material Report'!A:N,14,FALSE)),"")</f>
        <v/>
      </c>
      <c r="AH20" s="6" t="str">
        <f>_xlfn.IFNA(VLOOKUP(U20,'Incoming Material Report'!A:Z,24,FALSE),"")</f>
        <v/>
      </c>
      <c r="AI20" s="6" t="str">
        <f>_xlfn.IFNA(VLOOKUP(U20,'Incoming Material Report'!A:Z,25,FALSE),"")</f>
        <v/>
      </c>
      <c r="AJ20" s="6" t="str">
        <f>_xlfn.IFNA(VLOOKUP(U20,'Incoming Material Report'!A:Z,26,FALSE),"")</f>
        <v/>
      </c>
      <c r="AK20" s="6" t="str">
        <f>_xlfn.IFNA(VLOOKUP(U20,'Incoming Material Report'!A:Z,2,FALSE),"")</f>
        <v/>
      </c>
      <c r="AL20" s="6" t="str">
        <f>_xlfn.IFNA(VLOOKUP(U20,'Incoming Material Report'!A:K,11,FALSE),"")</f>
        <v/>
      </c>
      <c r="AN20" s="6" t="str">
        <f>_xlfn.IFNA(VLOOKUP(U20,'Incoming Material Report'!A:R,18,FALSE)*1000,"")</f>
        <v/>
      </c>
      <c r="AP20" s="6" t="str">
        <f>_xlfn.IFNA(TEXT(VLOOKUP(U20,'Incoming Material Report'!A:D,4,FALSE),"dd.mm.yyyy"),"")</f>
        <v/>
      </c>
    </row>
    <row r="21" spans="21:42" x14ac:dyDescent="0.25">
      <c r="U21" t="str">
        <f t="shared" si="0"/>
        <v/>
      </c>
      <c r="Z21" s="6" t="s">
        <v>60</v>
      </c>
      <c r="AA21" s="6" t="s">
        <v>60</v>
      </c>
      <c r="AF21" s="6" t="str">
        <f>_xlfn.IFNA(VLOOKUP(U21,'Incoming Material Report'!A:M,13,FALSE),"")</f>
        <v/>
      </c>
      <c r="AG21" s="6" t="str">
        <f>_xlfn.IFNA(IF(VLOOKUP(U21,'Incoming Material Report'!A:N,14,FALSE)="","",VLOOKUP(U21,'Incoming Material Report'!A:N,14,FALSE)),"")</f>
        <v/>
      </c>
      <c r="AH21" s="6" t="str">
        <f>_xlfn.IFNA(VLOOKUP(U21,'Incoming Material Report'!A:Z,24,FALSE),"")</f>
        <v/>
      </c>
      <c r="AI21" s="6" t="str">
        <f>_xlfn.IFNA(VLOOKUP(U21,'Incoming Material Report'!A:Z,25,FALSE),"")</f>
        <v/>
      </c>
      <c r="AJ21" s="6" t="str">
        <f>_xlfn.IFNA(VLOOKUP(U21,'Incoming Material Report'!A:Z,26,FALSE),"")</f>
        <v/>
      </c>
      <c r="AK21" s="6" t="str">
        <f>_xlfn.IFNA(VLOOKUP(U21,'Incoming Material Report'!A:Z,2,FALSE),"")</f>
        <v/>
      </c>
      <c r="AL21" s="6" t="str">
        <f>_xlfn.IFNA(VLOOKUP(U21,'Incoming Material Report'!A:K,11,FALSE),"")</f>
        <v/>
      </c>
      <c r="AN21" s="6" t="str">
        <f>_xlfn.IFNA(VLOOKUP(U21,'Incoming Material Report'!A:R,18,FALSE)*1000,"")</f>
        <v/>
      </c>
      <c r="AP21" s="6" t="str">
        <f>_xlfn.IFNA(TEXT(VLOOKUP(U21,'Incoming Material Report'!A:D,4,FALSE),"dd.mm.yyyy"),"")</f>
        <v/>
      </c>
    </row>
    <row r="22" spans="21:42" x14ac:dyDescent="0.25">
      <c r="U22" t="str">
        <f t="shared" si="0"/>
        <v/>
      </c>
      <c r="Z22" s="6" t="s">
        <v>60</v>
      </c>
      <c r="AA22" s="6" t="s">
        <v>60</v>
      </c>
      <c r="AF22" s="6" t="str">
        <f>_xlfn.IFNA(VLOOKUP(U22,'Incoming Material Report'!A:M,13,FALSE),"")</f>
        <v/>
      </c>
      <c r="AG22" s="6" t="str">
        <f>_xlfn.IFNA(IF(VLOOKUP(U22,'Incoming Material Report'!A:N,14,FALSE)="","",VLOOKUP(U22,'Incoming Material Report'!A:N,14,FALSE)),"")</f>
        <v/>
      </c>
      <c r="AH22" s="6" t="str">
        <f>_xlfn.IFNA(VLOOKUP(U22,'Incoming Material Report'!A:Z,24,FALSE),"")</f>
        <v/>
      </c>
      <c r="AI22" s="6" t="str">
        <f>_xlfn.IFNA(VLOOKUP(U22,'Incoming Material Report'!A:Z,25,FALSE),"")</f>
        <v/>
      </c>
      <c r="AJ22" s="6" t="str">
        <f>_xlfn.IFNA(VLOOKUP(U22,'Incoming Material Report'!A:Z,26,FALSE),"")</f>
        <v/>
      </c>
      <c r="AK22" s="6" t="str">
        <f>_xlfn.IFNA(VLOOKUP(U22,'Incoming Material Report'!A:Z,2,FALSE),"")</f>
        <v/>
      </c>
      <c r="AL22" s="6" t="str">
        <f>_xlfn.IFNA(VLOOKUP(U22,'Incoming Material Report'!A:K,11,FALSE),"")</f>
        <v/>
      </c>
      <c r="AN22" s="6" t="str">
        <f>_xlfn.IFNA(VLOOKUP(U22,'Incoming Material Report'!A:R,18,FALSE)*1000,"")</f>
        <v/>
      </c>
      <c r="AP22" s="6" t="str">
        <f>_xlfn.IFNA(TEXT(VLOOKUP(U22,'Incoming Material Report'!A:D,4,FALSE),"dd.mm.yyyy"),"")</f>
        <v/>
      </c>
    </row>
    <row r="23" spans="21:42" x14ac:dyDescent="0.25">
      <c r="U23" t="str">
        <f t="shared" si="0"/>
        <v/>
      </c>
      <c r="Z23" s="6" t="s">
        <v>60</v>
      </c>
      <c r="AA23" s="6" t="s">
        <v>60</v>
      </c>
      <c r="AF23" s="6" t="str">
        <f>_xlfn.IFNA(VLOOKUP(U23,'Incoming Material Report'!A:M,13,FALSE),"")</f>
        <v/>
      </c>
      <c r="AG23" s="6" t="str">
        <f>_xlfn.IFNA(IF(VLOOKUP(U23,'Incoming Material Report'!A:N,14,FALSE)="","",VLOOKUP(U23,'Incoming Material Report'!A:N,14,FALSE)),"")</f>
        <v/>
      </c>
      <c r="AH23" s="6" t="str">
        <f>_xlfn.IFNA(VLOOKUP(U23,'Incoming Material Report'!A:Z,24,FALSE),"")</f>
        <v/>
      </c>
      <c r="AI23" s="6" t="str">
        <f>_xlfn.IFNA(VLOOKUP(U23,'Incoming Material Report'!A:Z,25,FALSE),"")</f>
        <v/>
      </c>
      <c r="AJ23" s="6" t="str">
        <f>_xlfn.IFNA(VLOOKUP(U23,'Incoming Material Report'!A:Z,26,FALSE),"")</f>
        <v/>
      </c>
      <c r="AK23" s="6" t="str">
        <f>_xlfn.IFNA(VLOOKUP(U23,'Incoming Material Report'!A:Z,2,FALSE),"")</f>
        <v/>
      </c>
      <c r="AL23" s="6" t="str">
        <f>_xlfn.IFNA(VLOOKUP(U23,'Incoming Material Report'!A:K,11,FALSE),"")</f>
        <v/>
      </c>
      <c r="AN23" s="6" t="str">
        <f>_xlfn.IFNA(VLOOKUP(U23,'Incoming Material Report'!A:R,18,FALSE)*1000,"")</f>
        <v/>
      </c>
      <c r="AP23" s="6" t="str">
        <f>_xlfn.IFNA(TEXT(VLOOKUP(U23,'Incoming Material Report'!A:D,4,FALSE),"dd.mm.yyyy"),"")</f>
        <v/>
      </c>
    </row>
    <row r="24" spans="21:42" x14ac:dyDescent="0.25">
      <c r="U24" t="str">
        <f t="shared" si="0"/>
        <v/>
      </c>
      <c r="Z24" s="6" t="s">
        <v>60</v>
      </c>
      <c r="AA24" s="6" t="s">
        <v>60</v>
      </c>
      <c r="AF24" s="6" t="str">
        <f>_xlfn.IFNA(VLOOKUP(U24,'Incoming Material Report'!A:M,13,FALSE),"")</f>
        <v/>
      </c>
      <c r="AG24" s="6" t="str">
        <f>_xlfn.IFNA(IF(VLOOKUP(U24,'Incoming Material Report'!A:N,14,FALSE)="","",VLOOKUP(U24,'Incoming Material Report'!A:N,14,FALSE)),"")</f>
        <v/>
      </c>
      <c r="AH24" s="6" t="str">
        <f>_xlfn.IFNA(VLOOKUP(U24,'Incoming Material Report'!A:Z,24,FALSE),"")</f>
        <v/>
      </c>
      <c r="AI24" s="6" t="str">
        <f>_xlfn.IFNA(VLOOKUP(U24,'Incoming Material Report'!A:Z,25,FALSE),"")</f>
        <v/>
      </c>
      <c r="AJ24" s="6" t="str">
        <f>_xlfn.IFNA(VLOOKUP(U24,'Incoming Material Report'!A:Z,26,FALSE),"")</f>
        <v/>
      </c>
      <c r="AK24" s="6" t="str">
        <f>_xlfn.IFNA(VLOOKUP(U24,'Incoming Material Report'!A:Z,2,FALSE),"")</f>
        <v/>
      </c>
      <c r="AL24" s="6" t="str">
        <f>_xlfn.IFNA(VLOOKUP(U24,'Incoming Material Report'!A:K,11,FALSE),"")</f>
        <v/>
      </c>
      <c r="AN24" s="6" t="str">
        <f>_xlfn.IFNA(VLOOKUP(U24,'Incoming Material Report'!A:R,18,FALSE)*1000,"")</f>
        <v/>
      </c>
      <c r="AP24" s="6" t="str">
        <f>_xlfn.IFNA(TEXT(VLOOKUP(U24,'Incoming Material Report'!A:D,4,FALSE),"dd.mm.yyyy"),"")</f>
        <v/>
      </c>
    </row>
    <row r="25" spans="21:42" x14ac:dyDescent="0.25">
      <c r="U25" t="str">
        <f t="shared" si="0"/>
        <v/>
      </c>
      <c r="Z25" s="6" t="s">
        <v>60</v>
      </c>
      <c r="AA25" s="6" t="s">
        <v>60</v>
      </c>
      <c r="AF25" s="6" t="str">
        <f>_xlfn.IFNA(VLOOKUP(U25,'Incoming Material Report'!A:M,13,FALSE),"")</f>
        <v/>
      </c>
      <c r="AG25" s="6" t="str">
        <f>_xlfn.IFNA(IF(VLOOKUP(U25,'Incoming Material Report'!A:N,14,FALSE)="","",VLOOKUP(U25,'Incoming Material Report'!A:N,14,FALSE)),"")</f>
        <v/>
      </c>
      <c r="AH25" s="6" t="str">
        <f>_xlfn.IFNA(VLOOKUP(U25,'Incoming Material Report'!A:Z,24,FALSE),"")</f>
        <v/>
      </c>
      <c r="AI25" s="6" t="str">
        <f>_xlfn.IFNA(VLOOKUP(U25,'Incoming Material Report'!A:Z,25,FALSE),"")</f>
        <v/>
      </c>
      <c r="AJ25" s="6" t="str">
        <f>_xlfn.IFNA(VLOOKUP(U25,'Incoming Material Report'!A:Z,26,FALSE),"")</f>
        <v/>
      </c>
      <c r="AK25" s="6" t="str">
        <f>_xlfn.IFNA(VLOOKUP(U25,'Incoming Material Report'!A:Z,2,FALSE),"")</f>
        <v/>
      </c>
      <c r="AL25" s="6" t="str">
        <f>_xlfn.IFNA(VLOOKUP(U25,'Incoming Material Report'!A:K,11,FALSE),"")</f>
        <v/>
      </c>
      <c r="AN25" s="6" t="str">
        <f>_xlfn.IFNA(VLOOKUP(U25,'Incoming Material Report'!A:R,18,FALSE)*1000,"")</f>
        <v/>
      </c>
      <c r="AP25" s="6" t="str">
        <f>_xlfn.IFNA(TEXT(VLOOKUP(U25,'Incoming Material Report'!A:D,4,FALSE),"dd.mm.yyyy"),"")</f>
        <v/>
      </c>
    </row>
    <row r="26" spans="21:42" x14ac:dyDescent="0.25">
      <c r="U26" t="str">
        <f t="shared" si="0"/>
        <v/>
      </c>
      <c r="Z26" s="6" t="s">
        <v>60</v>
      </c>
      <c r="AA26" s="6" t="s">
        <v>60</v>
      </c>
      <c r="AF26" s="6" t="str">
        <f>_xlfn.IFNA(VLOOKUP(U26,'Incoming Material Report'!A:M,13,FALSE),"")</f>
        <v/>
      </c>
      <c r="AG26" s="6" t="str">
        <f>_xlfn.IFNA(IF(VLOOKUP(U26,'Incoming Material Report'!A:N,14,FALSE)="","",VLOOKUP(U26,'Incoming Material Report'!A:N,14,FALSE)),"")</f>
        <v/>
      </c>
      <c r="AH26" s="6" t="str">
        <f>_xlfn.IFNA(VLOOKUP(U26,'Incoming Material Report'!A:Z,24,FALSE),"")</f>
        <v/>
      </c>
      <c r="AI26" s="6" t="str">
        <f>_xlfn.IFNA(VLOOKUP(U26,'Incoming Material Report'!A:Z,25,FALSE),"")</f>
        <v/>
      </c>
      <c r="AJ26" s="6" t="str">
        <f>_xlfn.IFNA(VLOOKUP(U26,'Incoming Material Report'!A:Z,26,FALSE),"")</f>
        <v/>
      </c>
      <c r="AK26" s="6" t="str">
        <f>_xlfn.IFNA(VLOOKUP(U26,'Incoming Material Report'!A:Z,2,FALSE),"")</f>
        <v/>
      </c>
      <c r="AL26" s="6" t="str">
        <f>_xlfn.IFNA(VLOOKUP(U26,'Incoming Material Report'!A:K,11,FALSE),"")</f>
        <v/>
      </c>
      <c r="AN26" s="6" t="str">
        <f>_xlfn.IFNA(VLOOKUP(U26,'Incoming Material Report'!A:R,18,FALSE)*1000,"")</f>
        <v/>
      </c>
      <c r="AP26" s="6" t="str">
        <f>_xlfn.IFNA(TEXT(VLOOKUP(U26,'Incoming Material Report'!A:D,4,FALSE),"dd.mm.yyyy"),"")</f>
        <v/>
      </c>
    </row>
    <row r="27" spans="21:42" x14ac:dyDescent="0.25">
      <c r="U27" t="str">
        <f t="shared" si="0"/>
        <v/>
      </c>
      <c r="Z27" s="6" t="s">
        <v>60</v>
      </c>
      <c r="AA27" s="6" t="s">
        <v>60</v>
      </c>
      <c r="AF27" s="6" t="str">
        <f>_xlfn.IFNA(VLOOKUP(U27,'Incoming Material Report'!A:M,13,FALSE),"")</f>
        <v/>
      </c>
      <c r="AG27" s="6" t="str">
        <f>_xlfn.IFNA(IF(VLOOKUP(U27,'Incoming Material Report'!A:N,14,FALSE)="","",VLOOKUP(U27,'Incoming Material Report'!A:N,14,FALSE)),"")</f>
        <v/>
      </c>
      <c r="AH27" s="6" t="str">
        <f>_xlfn.IFNA(VLOOKUP(U27,'Incoming Material Report'!A:Z,24,FALSE),"")</f>
        <v/>
      </c>
      <c r="AI27" s="6" t="str">
        <f>_xlfn.IFNA(VLOOKUP(U27,'Incoming Material Report'!A:Z,25,FALSE),"")</f>
        <v/>
      </c>
      <c r="AJ27" s="6" t="str">
        <f>_xlfn.IFNA(VLOOKUP(U27,'Incoming Material Report'!A:Z,26,FALSE),"")</f>
        <v/>
      </c>
      <c r="AK27" s="6" t="str">
        <f>_xlfn.IFNA(VLOOKUP(U27,'Incoming Material Report'!A:Z,2,FALSE),"")</f>
        <v/>
      </c>
      <c r="AL27" s="6" t="str">
        <f>_xlfn.IFNA(VLOOKUP(U27,'Incoming Material Report'!A:K,11,FALSE),"")</f>
        <v/>
      </c>
      <c r="AN27" s="6" t="str">
        <f>_xlfn.IFNA(VLOOKUP(U27,'Incoming Material Report'!A:R,18,FALSE)*1000,"")</f>
        <v/>
      </c>
      <c r="AP27" s="6" t="str">
        <f>_xlfn.IFNA(TEXT(VLOOKUP(U27,'Incoming Material Report'!A:D,4,FALSE),"dd.mm.yyyy"),"")</f>
        <v/>
      </c>
    </row>
    <row r="28" spans="21:42" x14ac:dyDescent="0.25">
      <c r="U28" t="str">
        <f t="shared" si="0"/>
        <v/>
      </c>
      <c r="Z28" s="6" t="s">
        <v>60</v>
      </c>
      <c r="AA28" s="6" t="s">
        <v>60</v>
      </c>
      <c r="AF28" s="6" t="str">
        <f>_xlfn.IFNA(VLOOKUP(U28,'Incoming Material Report'!A:M,13,FALSE),"")</f>
        <v/>
      </c>
      <c r="AG28" s="6" t="str">
        <f>_xlfn.IFNA(IF(VLOOKUP(U28,'Incoming Material Report'!A:N,14,FALSE)="","",VLOOKUP(U28,'Incoming Material Report'!A:N,14,FALSE)),"")</f>
        <v/>
      </c>
      <c r="AH28" s="6" t="str">
        <f>_xlfn.IFNA(VLOOKUP(U28,'Incoming Material Report'!A:Z,24,FALSE),"")</f>
        <v/>
      </c>
      <c r="AI28" s="6" t="str">
        <f>_xlfn.IFNA(VLOOKUP(U28,'Incoming Material Report'!A:Z,25,FALSE),"")</f>
        <v/>
      </c>
      <c r="AJ28" s="6" t="str">
        <f>_xlfn.IFNA(VLOOKUP(U28,'Incoming Material Report'!A:Z,26,FALSE),"")</f>
        <v/>
      </c>
      <c r="AK28" s="6" t="str">
        <f>_xlfn.IFNA(VLOOKUP(U28,'Incoming Material Report'!A:Z,2,FALSE),"")</f>
        <v/>
      </c>
      <c r="AL28" s="6" t="str">
        <f>_xlfn.IFNA(VLOOKUP(U28,'Incoming Material Report'!A:K,11,FALSE),"")</f>
        <v/>
      </c>
      <c r="AN28" s="6" t="str">
        <f>_xlfn.IFNA(VLOOKUP(U28,'Incoming Material Report'!A:R,18,FALSE)*1000,"")</f>
        <v/>
      </c>
      <c r="AP28" s="6" t="str">
        <f>_xlfn.IFNA(TEXT(VLOOKUP(U28,'Incoming Material Report'!A:D,4,FALSE),"dd.mm.yyyy"),"")</f>
        <v/>
      </c>
    </row>
    <row r="29" spans="21:42" x14ac:dyDescent="0.25">
      <c r="U29" t="str">
        <f t="shared" si="0"/>
        <v/>
      </c>
      <c r="Z29" s="6" t="s">
        <v>60</v>
      </c>
      <c r="AA29" s="6" t="s">
        <v>60</v>
      </c>
    </row>
    <row r="30" spans="21:42" x14ac:dyDescent="0.25">
      <c r="U30" t="str">
        <f t="shared" si="0"/>
        <v/>
      </c>
      <c r="Z30" s="6" t="s">
        <v>60</v>
      </c>
      <c r="AA30" s="6" t="s">
        <v>60</v>
      </c>
    </row>
    <row r="31" spans="21:42" x14ac:dyDescent="0.25">
      <c r="U31" t="str">
        <f t="shared" si="0"/>
        <v/>
      </c>
      <c r="Z31" s="6" t="s">
        <v>60</v>
      </c>
      <c r="AA31" s="6" t="s">
        <v>60</v>
      </c>
    </row>
    <row r="32" spans="21:42" x14ac:dyDescent="0.25">
      <c r="U32" t="str">
        <f t="shared" si="0"/>
        <v/>
      </c>
      <c r="Z32" s="6" t="s">
        <v>60</v>
      </c>
      <c r="AA32" s="6" t="s">
        <v>60</v>
      </c>
    </row>
    <row r="33" spans="21:27" x14ac:dyDescent="0.25">
      <c r="U33" t="str">
        <f t="shared" si="0"/>
        <v/>
      </c>
      <c r="Z33" s="6" t="s">
        <v>60</v>
      </c>
      <c r="AA33" s="6" t="s">
        <v>60</v>
      </c>
    </row>
    <row r="34" spans="21:27" x14ac:dyDescent="0.25">
      <c r="U34" t="str">
        <f t="shared" si="0"/>
        <v/>
      </c>
      <c r="Z34" s="6" t="s">
        <v>60</v>
      </c>
      <c r="AA34" s="6" t="s">
        <v>60</v>
      </c>
    </row>
    <row r="35" spans="21:27" x14ac:dyDescent="0.25">
      <c r="U35" t="str">
        <f t="shared" si="0"/>
        <v/>
      </c>
      <c r="Z35" s="6" t="s">
        <v>60</v>
      </c>
      <c r="AA35" s="6" t="s">
        <v>60</v>
      </c>
    </row>
    <row r="36" spans="21:27" x14ac:dyDescent="0.25">
      <c r="U36" t="str">
        <f t="shared" si="0"/>
        <v/>
      </c>
      <c r="Z36" s="6" t="s">
        <v>60</v>
      </c>
      <c r="AA36" s="6" t="s">
        <v>60</v>
      </c>
    </row>
    <row r="37" spans="21:27" x14ac:dyDescent="0.25">
      <c r="Z37" s="6" t="s">
        <v>60</v>
      </c>
      <c r="AA37" s="6" t="s">
        <v>60</v>
      </c>
    </row>
    <row r="38" spans="21:27" x14ac:dyDescent="0.25">
      <c r="Z38" s="6" t="s">
        <v>60</v>
      </c>
      <c r="AA38" s="6" t="s">
        <v>60</v>
      </c>
    </row>
    <row r="39" spans="21:27" x14ac:dyDescent="0.25">
      <c r="Z39" s="6" t="s">
        <v>60</v>
      </c>
      <c r="AA39" s="6" t="s">
        <v>60</v>
      </c>
    </row>
    <row r="40" spans="21:27" x14ac:dyDescent="0.25">
      <c r="Z40" s="6" t="s">
        <v>60</v>
      </c>
      <c r="AA40" s="6" t="s">
        <v>60</v>
      </c>
    </row>
    <row r="41" spans="21:27" x14ac:dyDescent="0.25">
      <c r="Z41" s="6" t="s">
        <v>60</v>
      </c>
      <c r="AA41" s="6" t="s">
        <v>60</v>
      </c>
    </row>
    <row r="42" spans="21:27" x14ac:dyDescent="0.25">
      <c r="Z42" s="6" t="s">
        <v>60</v>
      </c>
      <c r="AA42" s="6" t="s">
        <v>60</v>
      </c>
    </row>
    <row r="43" spans="21:27" x14ac:dyDescent="0.25">
      <c r="Z43" s="6" t="s">
        <v>60</v>
      </c>
      <c r="AA43" s="6" t="s">
        <v>60</v>
      </c>
    </row>
    <row r="44" spans="21:27" x14ac:dyDescent="0.25">
      <c r="Z44" s="6" t="s">
        <v>60</v>
      </c>
      <c r="AA44" s="6" t="s">
        <v>60</v>
      </c>
    </row>
    <row r="45" spans="21:27" x14ac:dyDescent="0.25">
      <c r="Z45" s="6" t="s">
        <v>60</v>
      </c>
      <c r="AA45" s="6" t="s">
        <v>60</v>
      </c>
    </row>
    <row r="46" spans="21:27" x14ac:dyDescent="0.25">
      <c r="Z46" s="6" t="s">
        <v>60</v>
      </c>
      <c r="AA46" s="6" t="s">
        <v>60</v>
      </c>
    </row>
    <row r="47" spans="21:27" x14ac:dyDescent="0.25">
      <c r="Z47" s="6" t="s">
        <v>60</v>
      </c>
      <c r="AA47" s="6" t="s">
        <v>60</v>
      </c>
    </row>
    <row r="48" spans="21:27" x14ac:dyDescent="0.25">
      <c r="Z48" s="6" t="s">
        <v>60</v>
      </c>
      <c r="AA48" s="6" t="s">
        <v>60</v>
      </c>
    </row>
    <row r="49" spans="26:27" x14ac:dyDescent="0.25">
      <c r="Z49" s="6" t="s">
        <v>60</v>
      </c>
      <c r="AA49" s="6" t="s">
        <v>60</v>
      </c>
    </row>
    <row r="50" spans="26:27" x14ac:dyDescent="0.25">
      <c r="Z50" s="6" t="s">
        <v>60</v>
      </c>
      <c r="AA50" s="6" t="s">
        <v>60</v>
      </c>
    </row>
    <row r="51" spans="26:27" x14ac:dyDescent="0.25">
      <c r="Z51" s="6" t="s">
        <v>60</v>
      </c>
      <c r="AA51" s="6" t="s">
        <v>60</v>
      </c>
    </row>
    <row r="52" spans="26:27" x14ac:dyDescent="0.25">
      <c r="Z52" s="6" t="s">
        <v>60</v>
      </c>
      <c r="AA52" s="6" t="s">
        <v>60</v>
      </c>
    </row>
    <row r="53" spans="26:27" x14ac:dyDescent="0.25">
      <c r="Z53" s="6" t="s">
        <v>60</v>
      </c>
      <c r="AA53" s="6" t="s">
        <v>60</v>
      </c>
    </row>
    <row r="54" spans="26:27" x14ac:dyDescent="0.25">
      <c r="Z54" s="6" t="s">
        <v>60</v>
      </c>
      <c r="AA54" s="6" t="s">
        <v>60</v>
      </c>
    </row>
    <row r="55" spans="26:27" x14ac:dyDescent="0.25">
      <c r="Z55" s="6" t="s">
        <v>60</v>
      </c>
      <c r="AA55" s="6" t="s">
        <v>60</v>
      </c>
    </row>
    <row r="56" spans="26:27" x14ac:dyDescent="0.25">
      <c r="Z56" s="6" t="s">
        <v>60</v>
      </c>
      <c r="AA56" s="6" t="s">
        <v>60</v>
      </c>
    </row>
    <row r="57" spans="26:27" x14ac:dyDescent="0.25">
      <c r="Z57" s="6" t="s">
        <v>60</v>
      </c>
      <c r="AA57" s="6" t="s">
        <v>60</v>
      </c>
    </row>
    <row r="58" spans="26:27" x14ac:dyDescent="0.25">
      <c r="Z58" s="6" t="s">
        <v>60</v>
      </c>
      <c r="AA58" s="6" t="s">
        <v>60</v>
      </c>
    </row>
    <row r="59" spans="26:27" x14ac:dyDescent="0.25">
      <c r="Z59" s="6" t="s">
        <v>60</v>
      </c>
      <c r="AA59" s="6" t="s">
        <v>60</v>
      </c>
    </row>
    <row r="60" spans="26:27" x14ac:dyDescent="0.25">
      <c r="Z60" s="6" t="s">
        <v>60</v>
      </c>
      <c r="AA60" s="6" t="s">
        <v>60</v>
      </c>
    </row>
    <row r="61" spans="26:27" x14ac:dyDescent="0.25">
      <c r="Z61" s="6" t="s">
        <v>60</v>
      </c>
      <c r="AA61" s="6" t="s">
        <v>60</v>
      </c>
    </row>
    <row r="62" spans="26:27" x14ac:dyDescent="0.25">
      <c r="Z62" s="6" t="s">
        <v>60</v>
      </c>
      <c r="AA62" s="6" t="s">
        <v>60</v>
      </c>
    </row>
    <row r="63" spans="26:27" x14ac:dyDescent="0.25">
      <c r="Z63" s="6" t="s">
        <v>60</v>
      </c>
      <c r="AA63" s="6" t="s">
        <v>60</v>
      </c>
    </row>
    <row r="64" spans="26:27" x14ac:dyDescent="0.25">
      <c r="Z64" s="6" t="s">
        <v>60</v>
      </c>
      <c r="AA64" s="6" t="s">
        <v>60</v>
      </c>
    </row>
    <row r="65" spans="26:27" x14ac:dyDescent="0.25">
      <c r="Z65" s="6" t="s">
        <v>60</v>
      </c>
      <c r="AA65" s="6" t="s">
        <v>60</v>
      </c>
    </row>
    <row r="66" spans="26:27" x14ac:dyDescent="0.25">
      <c r="Z66" s="6" t="s">
        <v>60</v>
      </c>
      <c r="AA66" s="6" t="s">
        <v>60</v>
      </c>
    </row>
    <row r="67" spans="26:27" x14ac:dyDescent="0.25">
      <c r="Z67" s="6" t="s">
        <v>60</v>
      </c>
      <c r="AA67" s="6" t="s">
        <v>60</v>
      </c>
    </row>
    <row r="68" spans="26:27" x14ac:dyDescent="0.25">
      <c r="Z68" s="6" t="s">
        <v>60</v>
      </c>
      <c r="AA68" s="6" t="s">
        <v>60</v>
      </c>
    </row>
    <row r="69" spans="26:27" x14ac:dyDescent="0.25">
      <c r="Z69" s="6" t="s">
        <v>60</v>
      </c>
      <c r="AA69" s="6" t="s">
        <v>60</v>
      </c>
    </row>
    <row r="70" spans="26:27" x14ac:dyDescent="0.25">
      <c r="Z70" s="6" t="s">
        <v>60</v>
      </c>
      <c r="AA70" s="6" t="s">
        <v>60</v>
      </c>
    </row>
    <row r="71" spans="26:27" x14ac:dyDescent="0.25">
      <c r="Z71" s="6" t="s">
        <v>60</v>
      </c>
      <c r="AA71" s="6" t="s">
        <v>60</v>
      </c>
    </row>
    <row r="72" spans="26:27" x14ac:dyDescent="0.25">
      <c r="Z72" s="6" t="s">
        <v>60</v>
      </c>
      <c r="AA72" s="6" t="s">
        <v>60</v>
      </c>
    </row>
    <row r="73" spans="26:27" x14ac:dyDescent="0.25">
      <c r="Z73" s="6" t="s">
        <v>60</v>
      </c>
      <c r="AA73" s="6" t="s">
        <v>60</v>
      </c>
    </row>
    <row r="74" spans="26:27" x14ac:dyDescent="0.25">
      <c r="Z74" s="6" t="s">
        <v>60</v>
      </c>
      <c r="AA74" s="6" t="s">
        <v>60</v>
      </c>
    </row>
    <row r="75" spans="26:27" x14ac:dyDescent="0.25">
      <c r="Z75" s="6" t="s">
        <v>60</v>
      </c>
      <c r="AA75" s="6" t="s">
        <v>60</v>
      </c>
    </row>
    <row r="76" spans="26:27" x14ac:dyDescent="0.25">
      <c r="Z76" s="6" t="s">
        <v>60</v>
      </c>
      <c r="AA76" s="6" t="s">
        <v>60</v>
      </c>
    </row>
    <row r="77" spans="26:27" x14ac:dyDescent="0.25">
      <c r="Z77" s="6" t="s">
        <v>60</v>
      </c>
      <c r="AA77" s="6" t="s">
        <v>60</v>
      </c>
    </row>
    <row r="78" spans="26:27" x14ac:dyDescent="0.25">
      <c r="Z78" s="6" t="s">
        <v>60</v>
      </c>
      <c r="AA78" s="6" t="s">
        <v>60</v>
      </c>
    </row>
    <row r="79" spans="26:27" x14ac:dyDescent="0.25">
      <c r="Z79" s="6" t="s">
        <v>60</v>
      </c>
      <c r="AA79" s="6" t="s">
        <v>60</v>
      </c>
    </row>
    <row r="80" spans="26:27" x14ac:dyDescent="0.25">
      <c r="Z80" s="6" t="s">
        <v>60</v>
      </c>
      <c r="AA80" s="6" t="s">
        <v>60</v>
      </c>
    </row>
    <row r="81" spans="26:27" x14ac:dyDescent="0.25">
      <c r="Z81" s="6" t="s">
        <v>60</v>
      </c>
      <c r="AA81" s="6" t="s">
        <v>60</v>
      </c>
    </row>
    <row r="82" spans="26:27" x14ac:dyDescent="0.25">
      <c r="Z82" s="6" t="s">
        <v>60</v>
      </c>
      <c r="AA82" s="6" t="s">
        <v>60</v>
      </c>
    </row>
    <row r="83" spans="26:27" x14ac:dyDescent="0.25">
      <c r="Z83" s="6" t="s">
        <v>60</v>
      </c>
      <c r="AA83" s="6" t="s">
        <v>60</v>
      </c>
    </row>
    <row r="84" spans="26:27" x14ac:dyDescent="0.25">
      <c r="Z84" s="6" t="s">
        <v>60</v>
      </c>
      <c r="AA84" s="6" t="s">
        <v>60</v>
      </c>
    </row>
    <row r="85" spans="26:27" x14ac:dyDescent="0.25">
      <c r="Z85" s="6" t="s">
        <v>60</v>
      </c>
      <c r="AA85" s="6" t="s">
        <v>60</v>
      </c>
    </row>
    <row r="86" spans="26:27" x14ac:dyDescent="0.25">
      <c r="Z86" s="6" t="s">
        <v>60</v>
      </c>
      <c r="AA86" s="6" t="s">
        <v>60</v>
      </c>
    </row>
    <row r="87" spans="26:27" x14ac:dyDescent="0.25">
      <c r="Z87" s="6" t="s">
        <v>60</v>
      </c>
      <c r="AA87" s="6" t="s">
        <v>60</v>
      </c>
    </row>
    <row r="88" spans="26:27" x14ac:dyDescent="0.25">
      <c r="Z88" s="6" t="s">
        <v>60</v>
      </c>
      <c r="AA88" s="6" t="s">
        <v>60</v>
      </c>
    </row>
    <row r="89" spans="26:27" x14ac:dyDescent="0.25">
      <c r="Z89" s="6" t="s">
        <v>60</v>
      </c>
      <c r="AA89" s="6" t="s">
        <v>60</v>
      </c>
    </row>
    <row r="90" spans="26:27" x14ac:dyDescent="0.25">
      <c r="Z90" s="6" t="s">
        <v>60</v>
      </c>
      <c r="AA90" s="6" t="s">
        <v>60</v>
      </c>
    </row>
    <row r="91" spans="26:27" x14ac:dyDescent="0.25">
      <c r="Z91" s="6" t="s">
        <v>60</v>
      </c>
      <c r="AA91" s="6" t="s">
        <v>60</v>
      </c>
    </row>
    <row r="92" spans="26:27" x14ac:dyDescent="0.25">
      <c r="Z92" s="6" t="s">
        <v>60</v>
      </c>
      <c r="AA92" s="6" t="s">
        <v>60</v>
      </c>
    </row>
    <row r="93" spans="26:27" x14ac:dyDescent="0.25">
      <c r="Z93" s="6" t="s">
        <v>60</v>
      </c>
      <c r="AA93" s="6" t="s">
        <v>60</v>
      </c>
    </row>
    <row r="94" spans="26:27" x14ac:dyDescent="0.25">
      <c r="Z94" s="6" t="s">
        <v>60</v>
      </c>
      <c r="AA94" s="6" t="s">
        <v>60</v>
      </c>
    </row>
    <row r="95" spans="26:27" x14ac:dyDescent="0.25">
      <c r="Z95" s="6" t="s">
        <v>60</v>
      </c>
      <c r="AA95" s="6" t="s">
        <v>60</v>
      </c>
    </row>
    <row r="96" spans="26:27" x14ac:dyDescent="0.25">
      <c r="Z96" s="6" t="s">
        <v>60</v>
      </c>
      <c r="AA96" s="6" t="s">
        <v>60</v>
      </c>
    </row>
    <row r="97" spans="26:27" x14ac:dyDescent="0.25">
      <c r="Z97" s="6" t="s">
        <v>60</v>
      </c>
      <c r="AA97" s="6" t="s">
        <v>60</v>
      </c>
    </row>
    <row r="98" spans="26:27" x14ac:dyDescent="0.25">
      <c r="Z98" s="6" t="s">
        <v>60</v>
      </c>
      <c r="AA98" s="6" t="s">
        <v>60</v>
      </c>
    </row>
    <row r="99" spans="26:27" x14ac:dyDescent="0.25">
      <c r="Z99" s="6" t="s">
        <v>60</v>
      </c>
      <c r="AA99" s="6" t="s">
        <v>60</v>
      </c>
    </row>
    <row r="100" spans="26:27" x14ac:dyDescent="0.25">
      <c r="Z100" s="6" t="s">
        <v>60</v>
      </c>
      <c r="AA100" s="6" t="s">
        <v>60</v>
      </c>
    </row>
    <row r="101" spans="26:27" x14ac:dyDescent="0.25">
      <c r="Z101" s="6" t="s">
        <v>60</v>
      </c>
      <c r="AA101" s="6" t="s">
        <v>60</v>
      </c>
    </row>
    <row r="102" spans="26:27" x14ac:dyDescent="0.25">
      <c r="Z102" s="6" t="s">
        <v>60</v>
      </c>
      <c r="AA102" s="6" t="s">
        <v>60</v>
      </c>
    </row>
    <row r="103" spans="26:27" x14ac:dyDescent="0.25">
      <c r="Z103" s="6" t="s">
        <v>60</v>
      </c>
      <c r="AA103" s="6" t="s">
        <v>60</v>
      </c>
    </row>
    <row r="104" spans="26:27" x14ac:dyDescent="0.25">
      <c r="Z104" s="6" t="s">
        <v>60</v>
      </c>
      <c r="AA104" s="6" t="s">
        <v>60</v>
      </c>
    </row>
    <row r="105" spans="26:27" x14ac:dyDescent="0.25">
      <c r="Z105" s="6" t="s">
        <v>60</v>
      </c>
      <c r="AA105" s="6" t="s">
        <v>60</v>
      </c>
    </row>
    <row r="106" spans="26:27" x14ac:dyDescent="0.25">
      <c r="Z106" s="6" t="s">
        <v>60</v>
      </c>
      <c r="AA106" s="6" t="s">
        <v>60</v>
      </c>
    </row>
    <row r="107" spans="26:27" x14ac:dyDescent="0.25">
      <c r="Z107" s="6" t="s">
        <v>60</v>
      </c>
      <c r="AA107" s="6" t="s">
        <v>60</v>
      </c>
    </row>
    <row r="108" spans="26:27" x14ac:dyDescent="0.25">
      <c r="Z108" s="6" t="s">
        <v>60</v>
      </c>
      <c r="AA108" s="6" t="s">
        <v>60</v>
      </c>
    </row>
    <row r="109" spans="26:27" x14ac:dyDescent="0.25">
      <c r="Z109" s="6" t="s">
        <v>60</v>
      </c>
      <c r="AA109" s="6" t="s">
        <v>60</v>
      </c>
    </row>
    <row r="110" spans="26:27" x14ac:dyDescent="0.25">
      <c r="Z110" s="6" t="s">
        <v>60</v>
      </c>
      <c r="AA110" s="6" t="s">
        <v>60</v>
      </c>
    </row>
    <row r="111" spans="26:27" x14ac:dyDescent="0.25">
      <c r="Z111" s="6" t="s">
        <v>60</v>
      </c>
      <c r="AA111" s="6" t="s">
        <v>60</v>
      </c>
    </row>
    <row r="112" spans="26:27" x14ac:dyDescent="0.25">
      <c r="Z112" s="6" t="s">
        <v>60</v>
      </c>
      <c r="AA112" s="6" t="s">
        <v>60</v>
      </c>
    </row>
    <row r="113" spans="26:27" x14ac:dyDescent="0.25">
      <c r="Z113" s="6" t="s">
        <v>60</v>
      </c>
      <c r="AA113" s="6" t="s">
        <v>60</v>
      </c>
    </row>
    <row r="114" spans="26:27" x14ac:dyDescent="0.25">
      <c r="Z114" s="6" t="s">
        <v>60</v>
      </c>
      <c r="AA114" s="6" t="s">
        <v>60</v>
      </c>
    </row>
    <row r="115" spans="26:27" x14ac:dyDescent="0.25">
      <c r="Z115" s="6" t="s">
        <v>60</v>
      </c>
      <c r="AA115" s="6" t="s">
        <v>60</v>
      </c>
    </row>
    <row r="116" spans="26:27" x14ac:dyDescent="0.25">
      <c r="Z116" s="6" t="s">
        <v>60</v>
      </c>
      <c r="AA116" s="6" t="s">
        <v>60</v>
      </c>
    </row>
    <row r="117" spans="26:27" x14ac:dyDescent="0.25">
      <c r="Z117" s="6" t="s">
        <v>60</v>
      </c>
      <c r="AA117" s="6" t="s">
        <v>60</v>
      </c>
    </row>
    <row r="118" spans="26:27" x14ac:dyDescent="0.25">
      <c r="Z118" s="6" t="s">
        <v>60</v>
      </c>
      <c r="AA118" s="6" t="s">
        <v>60</v>
      </c>
    </row>
    <row r="119" spans="26:27" x14ac:dyDescent="0.25">
      <c r="Z119" s="6" t="s">
        <v>60</v>
      </c>
      <c r="AA119" s="6" t="s">
        <v>60</v>
      </c>
    </row>
    <row r="120" spans="26:27" x14ac:dyDescent="0.25">
      <c r="Z120" s="6" t="s">
        <v>60</v>
      </c>
      <c r="AA120" s="6" t="s">
        <v>60</v>
      </c>
    </row>
    <row r="121" spans="26:27" x14ac:dyDescent="0.25">
      <c r="Z121" s="6" t="s">
        <v>60</v>
      </c>
      <c r="AA121" s="6" t="s">
        <v>60</v>
      </c>
    </row>
    <row r="122" spans="26:27" x14ac:dyDescent="0.25">
      <c r="Z122" s="6" t="s">
        <v>60</v>
      </c>
      <c r="AA122" s="6" t="s">
        <v>60</v>
      </c>
    </row>
    <row r="123" spans="26:27" x14ac:dyDescent="0.25">
      <c r="Z123" s="6" t="s">
        <v>60</v>
      </c>
      <c r="AA123" s="6" t="s">
        <v>60</v>
      </c>
    </row>
    <row r="124" spans="26:27" x14ac:dyDescent="0.25">
      <c r="Z124" s="6" t="s">
        <v>60</v>
      </c>
      <c r="AA124" s="6" t="s">
        <v>60</v>
      </c>
    </row>
    <row r="125" spans="26:27" x14ac:dyDescent="0.25">
      <c r="Z125" s="6" t="s">
        <v>60</v>
      </c>
      <c r="AA125" s="6" t="s">
        <v>60</v>
      </c>
    </row>
    <row r="126" spans="26:27" x14ac:dyDescent="0.25">
      <c r="Z126" s="6" t="s">
        <v>60</v>
      </c>
      <c r="AA126" s="6" t="s">
        <v>60</v>
      </c>
    </row>
    <row r="127" spans="26:27" x14ac:dyDescent="0.25">
      <c r="Z127" s="6" t="s">
        <v>60</v>
      </c>
      <c r="AA127" s="6" t="s">
        <v>60</v>
      </c>
    </row>
    <row r="128" spans="26:27" x14ac:dyDescent="0.25">
      <c r="Z128" s="6" t="s">
        <v>60</v>
      </c>
      <c r="AA128" s="6" t="s">
        <v>60</v>
      </c>
    </row>
    <row r="129" spans="26:27" x14ac:dyDescent="0.25">
      <c r="Z129" s="6" t="s">
        <v>60</v>
      </c>
      <c r="AA129" s="6" t="s">
        <v>60</v>
      </c>
    </row>
    <row r="130" spans="26:27" x14ac:dyDescent="0.25">
      <c r="Z130" s="6" t="s">
        <v>60</v>
      </c>
      <c r="AA130" s="6" t="s">
        <v>60</v>
      </c>
    </row>
    <row r="131" spans="26:27" x14ac:dyDescent="0.25">
      <c r="Z131" s="6" t="s">
        <v>60</v>
      </c>
      <c r="AA131" s="6" t="s">
        <v>60</v>
      </c>
    </row>
    <row r="132" spans="26:27" x14ac:dyDescent="0.25">
      <c r="Z132" s="6" t="s">
        <v>60</v>
      </c>
      <c r="AA132" s="6" t="s">
        <v>60</v>
      </c>
    </row>
    <row r="133" spans="26:27" x14ac:dyDescent="0.25">
      <c r="Z133" s="6" t="s">
        <v>60</v>
      </c>
      <c r="AA133" s="6" t="s">
        <v>60</v>
      </c>
    </row>
    <row r="134" spans="26:27" x14ac:dyDescent="0.25">
      <c r="Z134" s="6" t="s">
        <v>60</v>
      </c>
      <c r="AA134" s="6" t="s">
        <v>60</v>
      </c>
    </row>
    <row r="135" spans="26:27" x14ac:dyDescent="0.25">
      <c r="Z135" s="6" t="s">
        <v>60</v>
      </c>
      <c r="AA135" s="6" t="s">
        <v>60</v>
      </c>
    </row>
    <row r="136" spans="26:27" x14ac:dyDescent="0.25">
      <c r="Z136" s="6" t="s">
        <v>60</v>
      </c>
      <c r="AA136" s="6" t="s">
        <v>60</v>
      </c>
    </row>
    <row r="137" spans="26:27" x14ac:dyDescent="0.25">
      <c r="Z137" s="6" t="s">
        <v>60</v>
      </c>
      <c r="AA137" s="6" t="s">
        <v>60</v>
      </c>
    </row>
    <row r="138" spans="26:27" x14ac:dyDescent="0.25">
      <c r="Z138" s="6" t="s">
        <v>60</v>
      </c>
      <c r="AA138" s="6" t="s">
        <v>60</v>
      </c>
    </row>
    <row r="139" spans="26:27" x14ac:dyDescent="0.25">
      <c r="Z139" s="6" t="s">
        <v>60</v>
      </c>
      <c r="AA139" s="6" t="s">
        <v>60</v>
      </c>
    </row>
    <row r="140" spans="26:27" x14ac:dyDescent="0.25">
      <c r="Z140" s="6" t="s">
        <v>60</v>
      </c>
      <c r="AA140" s="6" t="s">
        <v>60</v>
      </c>
    </row>
    <row r="141" spans="26:27" x14ac:dyDescent="0.25">
      <c r="Z141" s="6" t="s">
        <v>60</v>
      </c>
      <c r="AA141" s="6" t="s">
        <v>60</v>
      </c>
    </row>
    <row r="142" spans="26:27" x14ac:dyDescent="0.25">
      <c r="Z142" s="6" t="s">
        <v>60</v>
      </c>
      <c r="AA142" s="6" t="s">
        <v>60</v>
      </c>
    </row>
    <row r="143" spans="26:27" x14ac:dyDescent="0.25">
      <c r="Z143" s="6" t="s">
        <v>60</v>
      </c>
      <c r="AA143" s="6" t="s">
        <v>60</v>
      </c>
    </row>
    <row r="144" spans="26:27" x14ac:dyDescent="0.25">
      <c r="Z144" s="6" t="s">
        <v>60</v>
      </c>
      <c r="AA144" s="6" t="s">
        <v>60</v>
      </c>
    </row>
    <row r="145" spans="26:27" x14ac:dyDescent="0.25">
      <c r="Z145" s="6" t="s">
        <v>60</v>
      </c>
      <c r="AA145" s="6" t="s">
        <v>60</v>
      </c>
    </row>
    <row r="146" spans="26:27" x14ac:dyDescent="0.25">
      <c r="Z146" s="6" t="s">
        <v>60</v>
      </c>
      <c r="AA146" s="6" t="s">
        <v>60</v>
      </c>
    </row>
    <row r="147" spans="26:27" x14ac:dyDescent="0.25">
      <c r="Z147" s="6" t="s">
        <v>60</v>
      </c>
      <c r="AA147" s="6" t="s">
        <v>60</v>
      </c>
    </row>
    <row r="148" spans="26:27" x14ac:dyDescent="0.25">
      <c r="Z148" s="6" t="s">
        <v>60</v>
      </c>
      <c r="AA148" s="6" t="s">
        <v>60</v>
      </c>
    </row>
    <row r="149" spans="26:27" x14ac:dyDescent="0.25">
      <c r="Z149" s="6" t="s">
        <v>60</v>
      </c>
      <c r="AA149" s="6" t="s">
        <v>60</v>
      </c>
    </row>
    <row r="150" spans="26:27" x14ac:dyDescent="0.25">
      <c r="Z150" s="6" t="s">
        <v>60</v>
      </c>
      <c r="AA150" s="6" t="s">
        <v>60</v>
      </c>
    </row>
    <row r="151" spans="26:27" x14ac:dyDescent="0.25">
      <c r="Z151" s="6" t="s">
        <v>60</v>
      </c>
      <c r="AA151" s="6" t="s">
        <v>60</v>
      </c>
    </row>
    <row r="152" spans="26:27" x14ac:dyDescent="0.25">
      <c r="Z152" s="6" t="s">
        <v>60</v>
      </c>
      <c r="AA152" s="6" t="s">
        <v>60</v>
      </c>
    </row>
    <row r="153" spans="26:27" x14ac:dyDescent="0.25">
      <c r="Z153" s="6" t="s">
        <v>60</v>
      </c>
      <c r="AA153" s="6" t="s">
        <v>60</v>
      </c>
    </row>
    <row r="154" spans="26:27" x14ac:dyDescent="0.25">
      <c r="Z154" s="6" t="s">
        <v>60</v>
      </c>
      <c r="AA154" s="6" t="s">
        <v>60</v>
      </c>
    </row>
    <row r="155" spans="26:27" x14ac:dyDescent="0.25">
      <c r="Z155" s="6" t="s">
        <v>60</v>
      </c>
      <c r="AA155" s="6" t="s">
        <v>60</v>
      </c>
    </row>
    <row r="156" spans="26:27" x14ac:dyDescent="0.25">
      <c r="Z156" s="6" t="s">
        <v>60</v>
      </c>
      <c r="AA156" s="6" t="s">
        <v>60</v>
      </c>
    </row>
    <row r="157" spans="26:27" x14ac:dyDescent="0.25">
      <c r="Z157" s="6" t="s">
        <v>60</v>
      </c>
      <c r="AA157" s="6" t="s">
        <v>60</v>
      </c>
    </row>
    <row r="158" spans="26:27" x14ac:dyDescent="0.25">
      <c r="Z158" s="6" t="s">
        <v>60</v>
      </c>
      <c r="AA158" s="6" t="s">
        <v>60</v>
      </c>
    </row>
    <row r="159" spans="26:27" x14ac:dyDescent="0.25">
      <c r="Z159" s="6" t="s">
        <v>60</v>
      </c>
      <c r="AA159" s="6" t="s">
        <v>60</v>
      </c>
    </row>
    <row r="160" spans="26:27" x14ac:dyDescent="0.25">
      <c r="Z160" s="6" t="s">
        <v>60</v>
      </c>
      <c r="AA160" s="6" t="s">
        <v>60</v>
      </c>
    </row>
    <row r="161" spans="26:27" x14ac:dyDescent="0.25">
      <c r="Z161" s="6" t="s">
        <v>60</v>
      </c>
      <c r="AA161" s="6" t="s">
        <v>60</v>
      </c>
    </row>
    <row r="162" spans="26:27" x14ac:dyDescent="0.25">
      <c r="Z162" s="6" t="s">
        <v>60</v>
      </c>
      <c r="AA162" s="6" t="s">
        <v>60</v>
      </c>
    </row>
    <row r="163" spans="26:27" x14ac:dyDescent="0.25">
      <c r="Z163" s="6" t="s">
        <v>60</v>
      </c>
      <c r="AA163" s="6" t="s">
        <v>60</v>
      </c>
    </row>
    <row r="164" spans="26:27" x14ac:dyDescent="0.25">
      <c r="Z164" s="6" t="s">
        <v>60</v>
      </c>
      <c r="AA164" s="6" t="s">
        <v>60</v>
      </c>
    </row>
    <row r="165" spans="26:27" x14ac:dyDescent="0.25">
      <c r="Z165" s="6" t="s">
        <v>60</v>
      </c>
      <c r="AA165" s="6" t="s">
        <v>60</v>
      </c>
    </row>
    <row r="166" spans="26:27" x14ac:dyDescent="0.25">
      <c r="Z166" s="6" t="s">
        <v>60</v>
      </c>
      <c r="AA166" s="6" t="s">
        <v>60</v>
      </c>
    </row>
    <row r="167" spans="26:27" x14ac:dyDescent="0.25">
      <c r="Z167" s="6" t="s">
        <v>60</v>
      </c>
      <c r="AA167" s="6" t="s">
        <v>60</v>
      </c>
    </row>
    <row r="168" spans="26:27" x14ac:dyDescent="0.25">
      <c r="Z168" s="6" t="s">
        <v>60</v>
      </c>
      <c r="AA168" s="6" t="s">
        <v>60</v>
      </c>
    </row>
    <row r="169" spans="26:27" x14ac:dyDescent="0.25">
      <c r="Z169" s="6" t="s">
        <v>60</v>
      </c>
      <c r="AA169" s="6" t="s">
        <v>60</v>
      </c>
    </row>
    <row r="170" spans="26:27" x14ac:dyDescent="0.25">
      <c r="Z170" s="6" t="s">
        <v>60</v>
      </c>
      <c r="AA170" s="6" t="s">
        <v>60</v>
      </c>
    </row>
    <row r="171" spans="26:27" x14ac:dyDescent="0.25">
      <c r="Z171" s="6" t="s">
        <v>60</v>
      </c>
      <c r="AA171" s="6" t="s">
        <v>60</v>
      </c>
    </row>
    <row r="172" spans="26:27" x14ac:dyDescent="0.25">
      <c r="Z172" s="6" t="s">
        <v>60</v>
      </c>
      <c r="AA172" s="6" t="s">
        <v>60</v>
      </c>
    </row>
    <row r="173" spans="26:27" x14ac:dyDescent="0.25">
      <c r="Z173" s="6" t="s">
        <v>60</v>
      </c>
      <c r="AA173" s="6" t="s">
        <v>60</v>
      </c>
    </row>
    <row r="174" spans="26:27" x14ac:dyDescent="0.25">
      <c r="Z174" s="6" t="s">
        <v>60</v>
      </c>
      <c r="AA174" s="6" t="s">
        <v>60</v>
      </c>
    </row>
    <row r="175" spans="26:27" x14ac:dyDescent="0.25">
      <c r="Z175" s="6" t="s">
        <v>60</v>
      </c>
      <c r="AA175" s="6" t="s">
        <v>60</v>
      </c>
    </row>
    <row r="176" spans="26:27" x14ac:dyDescent="0.25">
      <c r="Z176" s="6" t="s">
        <v>60</v>
      </c>
      <c r="AA176" s="6" t="s">
        <v>60</v>
      </c>
    </row>
    <row r="177" spans="26:27" x14ac:dyDescent="0.25">
      <c r="Z177" s="6" t="s">
        <v>60</v>
      </c>
      <c r="AA177" s="6" t="s">
        <v>60</v>
      </c>
    </row>
    <row r="178" spans="26:27" x14ac:dyDescent="0.25">
      <c r="Z178" s="6" t="s">
        <v>60</v>
      </c>
      <c r="AA178" s="6" t="s">
        <v>60</v>
      </c>
    </row>
    <row r="179" spans="26:27" x14ac:dyDescent="0.25">
      <c r="Z179" s="6" t="s">
        <v>60</v>
      </c>
      <c r="AA179" s="6" t="s">
        <v>60</v>
      </c>
    </row>
    <row r="180" spans="26:27" x14ac:dyDescent="0.25">
      <c r="Z180" s="6" t="s">
        <v>60</v>
      </c>
      <c r="AA180" s="6" t="s">
        <v>60</v>
      </c>
    </row>
    <row r="181" spans="26:27" x14ac:dyDescent="0.25">
      <c r="Z181" s="6" t="s">
        <v>60</v>
      </c>
      <c r="AA181" s="6" t="s">
        <v>60</v>
      </c>
    </row>
    <row r="182" spans="26:27" x14ac:dyDescent="0.25">
      <c r="Z182" s="6" t="s">
        <v>60</v>
      </c>
      <c r="AA182" s="6" t="s">
        <v>60</v>
      </c>
    </row>
    <row r="183" spans="26:27" x14ac:dyDescent="0.25">
      <c r="Z183" s="6" t="s">
        <v>60</v>
      </c>
      <c r="AA183" s="6" t="s">
        <v>60</v>
      </c>
    </row>
    <row r="184" spans="26:27" x14ac:dyDescent="0.25">
      <c r="Z184" s="6" t="s">
        <v>60</v>
      </c>
      <c r="AA184" s="6" t="s">
        <v>60</v>
      </c>
    </row>
    <row r="185" spans="26:27" x14ac:dyDescent="0.25">
      <c r="Z185" s="6" t="s">
        <v>60</v>
      </c>
      <c r="AA185" s="6" t="s">
        <v>60</v>
      </c>
    </row>
  </sheetData>
  <mergeCells count="1">
    <mergeCell ref="AY1:AY15"/>
  </mergeCells>
  <conditionalFormatting sqref="AF2:AF1001">
    <cfRule type="expression" dxfId="3" priority="4">
      <formula>$AF2&lt;&gt;$O2</formula>
    </cfRule>
  </conditionalFormatting>
  <conditionalFormatting sqref="AG2:AG1001">
    <cfRule type="expression" dxfId="2" priority="3">
      <formula>$AG2&lt;&gt;$P2</formula>
    </cfRule>
  </conditionalFormatting>
  <conditionalFormatting sqref="AH2:AH1001">
    <cfRule type="expression" dxfId="1" priority="2">
      <formula>$AH2&lt;&gt;$Q2</formula>
    </cfRule>
  </conditionalFormatting>
  <conditionalFormatting sqref="AF2:AP28">
    <cfRule type="expression" dxfId="0" priority="1">
      <formula>$AI2&lt;&gt;$R2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Q184"/>
  <sheetViews>
    <sheetView topLeftCell="I1" workbookViewId="0">
      <selection activeCell="B3" sqref="B3"/>
    </sheetView>
  </sheetViews>
  <sheetFormatPr defaultRowHeight="15" x14ac:dyDescent="0.25"/>
  <sheetData>
    <row r="1" spans="1:17" x14ac:dyDescent="0.25">
      <c r="N1">
        <f>COUNTA(A:A)+2</f>
        <v>6</v>
      </c>
    </row>
    <row r="2" spans="1:17" x14ac:dyDescent="0.25">
      <c r="A2">
        <v>1</v>
      </c>
      <c r="B2">
        <v>1</v>
      </c>
      <c r="C2" t="s">
        <v>45</v>
      </c>
      <c r="D2">
        <v>7.8840000000000003</v>
      </c>
      <c r="E2">
        <v>7.83</v>
      </c>
      <c r="F2" t="s">
        <v>46</v>
      </c>
      <c r="O2" t="str">
        <f>D2&amp;E2</f>
        <v>7.8847.83</v>
      </c>
      <c r="P2" t="str">
        <f>IF(C2="","",C2)</f>
        <v>TC10A20843</v>
      </c>
      <c r="Q2" t="str">
        <f>_xlfn.IFNA(VLOOKUP(O2,Final1!T:T,1,FALSE),"NA")</f>
        <v>7.8847.83</v>
      </c>
    </row>
    <row r="3" spans="1:17" x14ac:dyDescent="0.25">
      <c r="A3">
        <v>3</v>
      </c>
      <c r="B3">
        <v>1</v>
      </c>
      <c r="C3" t="s">
        <v>49</v>
      </c>
      <c r="D3">
        <v>6.3090000000000002</v>
      </c>
      <c r="E3">
        <v>6.26</v>
      </c>
      <c r="F3" t="s">
        <v>50</v>
      </c>
      <c r="O3" t="str">
        <f t="shared" ref="O3:O66" si="0">D3&amp;E3</f>
        <v>6.3096.26</v>
      </c>
      <c r="P3" t="str">
        <f t="shared" ref="P3:P66" si="1">IF(C3="","",C3)</f>
        <v>TC27920824</v>
      </c>
      <c r="Q3" t="str">
        <f>_xlfn.IFNA(VLOOKUP(O3,Final1!T:T,1,FALSE),"NA")</f>
        <v>6.3096.26</v>
      </c>
    </row>
    <row r="4" spans="1:17" x14ac:dyDescent="0.25">
      <c r="A4">
        <v>2</v>
      </c>
      <c r="B4">
        <v>1</v>
      </c>
      <c r="C4" t="s">
        <v>47</v>
      </c>
      <c r="D4">
        <v>7.8239999999999998</v>
      </c>
      <c r="E4">
        <v>7.77</v>
      </c>
      <c r="F4" t="s">
        <v>48</v>
      </c>
      <c r="O4" t="str">
        <f t="shared" si="0"/>
        <v>7.8247.77</v>
      </c>
      <c r="P4" t="str">
        <f t="shared" si="1"/>
        <v>TC11A20802</v>
      </c>
      <c r="Q4" t="str">
        <f>_xlfn.IFNA(VLOOKUP(O4,Final1!T:T,1,FALSE),"NA")</f>
        <v>7.8247.77</v>
      </c>
    </row>
    <row r="5" spans="1:17" x14ac:dyDescent="0.25">
      <c r="A5">
        <v>4</v>
      </c>
      <c r="B5">
        <v>1</v>
      </c>
      <c r="C5" t="s">
        <v>51</v>
      </c>
      <c r="D5">
        <v>6.7910000000000004</v>
      </c>
      <c r="E5">
        <v>6.74</v>
      </c>
      <c r="F5" t="s">
        <v>52</v>
      </c>
      <c r="O5" t="str">
        <f t="shared" si="0"/>
        <v>6.7916.74</v>
      </c>
      <c r="P5" t="str">
        <f t="shared" si="1"/>
        <v>TC05B20720</v>
      </c>
      <c r="Q5" t="str">
        <f>_xlfn.IFNA(VLOOKUP(O5,Final1!T:T,1,FALSE),"NA")</f>
        <v>6.7916.74</v>
      </c>
    </row>
    <row r="6" spans="1:17" x14ac:dyDescent="0.25">
      <c r="O6" t="str">
        <f t="shared" si="0"/>
        <v/>
      </c>
      <c r="P6" t="str">
        <f t="shared" si="1"/>
        <v/>
      </c>
      <c r="Q6" t="str">
        <f>_xlfn.IFNA(VLOOKUP(O6,Final1!T:T,1,FALSE),"NA")</f>
        <v/>
      </c>
    </row>
    <row r="7" spans="1:17" x14ac:dyDescent="0.25">
      <c r="O7" t="str">
        <f t="shared" si="0"/>
        <v/>
      </c>
      <c r="P7" t="str">
        <f t="shared" si="1"/>
        <v/>
      </c>
      <c r="Q7" t="str">
        <f>_xlfn.IFNA(VLOOKUP(O7,Final1!T:T,1,FALSE),"NA")</f>
        <v/>
      </c>
    </row>
    <row r="8" spans="1:17" x14ac:dyDescent="0.25">
      <c r="O8" t="str">
        <f t="shared" si="0"/>
        <v/>
      </c>
      <c r="P8" t="str">
        <f t="shared" si="1"/>
        <v/>
      </c>
      <c r="Q8" t="str">
        <f>_xlfn.IFNA(VLOOKUP(O8,Final1!T:T,1,FALSE),"NA")</f>
        <v/>
      </c>
    </row>
    <row r="9" spans="1:17" x14ac:dyDescent="0.25">
      <c r="O9" t="str">
        <f t="shared" si="0"/>
        <v/>
      </c>
      <c r="P9" t="str">
        <f t="shared" si="1"/>
        <v/>
      </c>
      <c r="Q9" t="str">
        <f>_xlfn.IFNA(VLOOKUP(O9,Final1!T:T,1,FALSE),"NA")</f>
        <v/>
      </c>
    </row>
    <row r="10" spans="1:17" x14ac:dyDescent="0.25">
      <c r="O10" t="str">
        <f t="shared" si="0"/>
        <v/>
      </c>
      <c r="P10" t="str">
        <f t="shared" si="1"/>
        <v/>
      </c>
      <c r="Q10" t="str">
        <f>_xlfn.IFNA(VLOOKUP(O10,Final1!T:T,1,FALSE),"NA")</f>
        <v/>
      </c>
    </row>
    <row r="11" spans="1:17" x14ac:dyDescent="0.25">
      <c r="O11" t="str">
        <f t="shared" si="0"/>
        <v/>
      </c>
      <c r="P11" t="str">
        <f t="shared" si="1"/>
        <v/>
      </c>
      <c r="Q11" t="str">
        <f>_xlfn.IFNA(VLOOKUP(O11,Final1!T:T,1,FALSE),"NA")</f>
        <v/>
      </c>
    </row>
    <row r="12" spans="1:17" x14ac:dyDescent="0.25">
      <c r="O12" t="str">
        <f t="shared" si="0"/>
        <v/>
      </c>
      <c r="P12" t="str">
        <f t="shared" si="1"/>
        <v/>
      </c>
      <c r="Q12" t="str">
        <f>_xlfn.IFNA(VLOOKUP(O12,Final1!T:T,1,FALSE),"NA")</f>
        <v/>
      </c>
    </row>
    <row r="13" spans="1:17" x14ac:dyDescent="0.25">
      <c r="O13" t="str">
        <f>D13&amp;E13</f>
        <v/>
      </c>
      <c r="P13" t="str">
        <f t="shared" si="1"/>
        <v/>
      </c>
      <c r="Q13" t="str">
        <f>_xlfn.IFNA(VLOOKUP(O13,Final1!T:T,1,FALSE),"NA")</f>
        <v/>
      </c>
    </row>
    <row r="14" spans="1:17" x14ac:dyDescent="0.25">
      <c r="O14" t="str">
        <f t="shared" si="0"/>
        <v/>
      </c>
      <c r="P14" t="str">
        <f t="shared" si="1"/>
        <v/>
      </c>
      <c r="Q14" t="str">
        <f>_xlfn.IFNA(VLOOKUP(O14,Final1!T:T,1,FALSE),"NA")</f>
        <v/>
      </c>
    </row>
    <row r="15" spans="1:17" x14ac:dyDescent="0.25">
      <c r="O15" t="str">
        <f t="shared" si="0"/>
        <v/>
      </c>
      <c r="P15" t="str">
        <f t="shared" si="1"/>
        <v/>
      </c>
      <c r="Q15" t="str">
        <f>_xlfn.IFNA(VLOOKUP(O15,Final1!T:T,1,FALSE),"NA")</f>
        <v/>
      </c>
    </row>
    <row r="16" spans="1:17" x14ac:dyDescent="0.25">
      <c r="O16" t="str">
        <f t="shared" si="0"/>
        <v/>
      </c>
      <c r="P16" t="str">
        <f t="shared" si="1"/>
        <v/>
      </c>
      <c r="Q16" t="str">
        <f>_xlfn.IFNA(VLOOKUP(O16,Final1!T:T,1,FALSE),"NA")</f>
        <v/>
      </c>
    </row>
    <row r="17" spans="15:17" x14ac:dyDescent="0.25">
      <c r="O17" t="str">
        <f t="shared" si="0"/>
        <v/>
      </c>
      <c r="P17" t="str">
        <f t="shared" si="1"/>
        <v/>
      </c>
      <c r="Q17" t="str">
        <f>_xlfn.IFNA(VLOOKUP(O17,Final1!T:T,1,FALSE),"NA")</f>
        <v/>
      </c>
    </row>
    <row r="18" spans="15:17" x14ac:dyDescent="0.25">
      <c r="O18" t="str">
        <f t="shared" si="0"/>
        <v/>
      </c>
      <c r="P18" t="str">
        <f t="shared" si="1"/>
        <v/>
      </c>
      <c r="Q18" t="str">
        <f>_xlfn.IFNA(VLOOKUP(O18,Final1!T:T,1,FALSE),"NA")</f>
        <v/>
      </c>
    </row>
    <row r="19" spans="15:17" x14ac:dyDescent="0.25">
      <c r="O19" t="str">
        <f t="shared" si="0"/>
        <v/>
      </c>
      <c r="P19" t="str">
        <f t="shared" si="1"/>
        <v/>
      </c>
      <c r="Q19" t="str">
        <f>_xlfn.IFNA(VLOOKUP(O19,Final1!T:T,1,FALSE),"NA")</f>
        <v/>
      </c>
    </row>
    <row r="20" spans="15:17" x14ac:dyDescent="0.25">
      <c r="O20" t="str">
        <f t="shared" si="0"/>
        <v/>
      </c>
      <c r="P20" t="str">
        <f t="shared" si="1"/>
        <v/>
      </c>
      <c r="Q20" t="str">
        <f>_xlfn.IFNA(VLOOKUP(O20,Final1!T:T,1,FALSE),"NA")</f>
        <v/>
      </c>
    </row>
    <row r="21" spans="15:17" x14ac:dyDescent="0.25">
      <c r="O21" t="str">
        <f t="shared" si="0"/>
        <v/>
      </c>
      <c r="P21" t="str">
        <f t="shared" si="1"/>
        <v/>
      </c>
      <c r="Q21" t="str">
        <f>_xlfn.IFNA(VLOOKUP(O21,Final1!T:T,1,FALSE),"NA")</f>
        <v/>
      </c>
    </row>
    <row r="22" spans="15:17" x14ac:dyDescent="0.25">
      <c r="O22" t="str">
        <f t="shared" si="0"/>
        <v/>
      </c>
      <c r="P22" t="str">
        <f t="shared" si="1"/>
        <v/>
      </c>
      <c r="Q22" t="str">
        <f>_xlfn.IFNA(VLOOKUP(O22,Final1!T:T,1,FALSE),"NA")</f>
        <v/>
      </c>
    </row>
    <row r="23" spans="15:17" x14ac:dyDescent="0.25">
      <c r="O23" t="str">
        <f t="shared" si="0"/>
        <v/>
      </c>
      <c r="P23" t="str">
        <f t="shared" si="1"/>
        <v/>
      </c>
      <c r="Q23" t="str">
        <f>_xlfn.IFNA(VLOOKUP(O23,Final1!T:T,1,FALSE),"NA")</f>
        <v/>
      </c>
    </row>
    <row r="24" spans="15:17" x14ac:dyDescent="0.25">
      <c r="O24" t="str">
        <f t="shared" si="0"/>
        <v/>
      </c>
      <c r="P24" t="str">
        <f t="shared" si="1"/>
        <v/>
      </c>
      <c r="Q24" t="str">
        <f>_xlfn.IFNA(VLOOKUP(O24,Final1!T:T,1,FALSE),"NA")</f>
        <v/>
      </c>
    </row>
    <row r="25" spans="15:17" x14ac:dyDescent="0.25">
      <c r="O25" t="str">
        <f t="shared" si="0"/>
        <v/>
      </c>
      <c r="P25" t="str">
        <f t="shared" si="1"/>
        <v/>
      </c>
      <c r="Q25" t="str">
        <f>_xlfn.IFNA(VLOOKUP(O25,Final1!T:T,1,FALSE),"NA")</f>
        <v/>
      </c>
    </row>
    <row r="26" spans="15:17" x14ac:dyDescent="0.25">
      <c r="O26" t="str">
        <f t="shared" si="0"/>
        <v/>
      </c>
      <c r="P26" t="str">
        <f t="shared" si="1"/>
        <v/>
      </c>
      <c r="Q26" t="str">
        <f>_xlfn.IFNA(VLOOKUP(O26,Final1!T:T,1,FALSE),"NA")</f>
        <v/>
      </c>
    </row>
    <row r="27" spans="15:17" x14ac:dyDescent="0.25">
      <c r="O27" t="str">
        <f t="shared" si="0"/>
        <v/>
      </c>
      <c r="P27" t="str">
        <f t="shared" si="1"/>
        <v/>
      </c>
      <c r="Q27" t="str">
        <f>_xlfn.IFNA(VLOOKUP(O27,Final1!T:T,1,FALSE),"NA")</f>
        <v/>
      </c>
    </row>
    <row r="28" spans="15:17" x14ac:dyDescent="0.25">
      <c r="O28" t="str">
        <f t="shared" si="0"/>
        <v/>
      </c>
      <c r="P28" t="str">
        <f t="shared" si="1"/>
        <v/>
      </c>
      <c r="Q28" t="str">
        <f>_xlfn.IFNA(VLOOKUP(O28,Final1!T:T,1,FALSE),"NA")</f>
        <v/>
      </c>
    </row>
    <row r="29" spans="15:17" x14ac:dyDescent="0.25">
      <c r="O29" t="str">
        <f t="shared" si="0"/>
        <v/>
      </c>
      <c r="P29" t="str">
        <f t="shared" si="1"/>
        <v/>
      </c>
      <c r="Q29" t="str">
        <f>_xlfn.IFNA(VLOOKUP(O29,Final1!T:T,1,FALSE),"NA")</f>
        <v/>
      </c>
    </row>
    <row r="30" spans="15:17" x14ac:dyDescent="0.25">
      <c r="O30" t="str">
        <f t="shared" si="0"/>
        <v/>
      </c>
      <c r="P30" t="str">
        <f t="shared" si="1"/>
        <v/>
      </c>
      <c r="Q30" t="str">
        <f>_xlfn.IFNA(VLOOKUP(O30,Final1!T:T,1,FALSE),"NA")</f>
        <v/>
      </c>
    </row>
    <row r="31" spans="15:17" x14ac:dyDescent="0.25">
      <c r="O31" t="str">
        <f t="shared" si="0"/>
        <v/>
      </c>
      <c r="P31" t="str">
        <f t="shared" si="1"/>
        <v/>
      </c>
      <c r="Q31" t="str">
        <f>_xlfn.IFNA(VLOOKUP(O31,Final1!T:T,1,FALSE),"NA")</f>
        <v/>
      </c>
    </row>
    <row r="32" spans="15:17" x14ac:dyDescent="0.25">
      <c r="O32" t="str">
        <f t="shared" si="0"/>
        <v/>
      </c>
      <c r="P32" t="str">
        <f t="shared" si="1"/>
        <v/>
      </c>
      <c r="Q32" t="str">
        <f>_xlfn.IFNA(VLOOKUP(O32,Final1!T:T,1,FALSE),"NA")</f>
        <v/>
      </c>
    </row>
    <row r="33" spans="15:17" x14ac:dyDescent="0.25">
      <c r="O33" t="str">
        <f t="shared" si="0"/>
        <v/>
      </c>
      <c r="P33" t="str">
        <f t="shared" si="1"/>
        <v/>
      </c>
      <c r="Q33" t="str">
        <f>_xlfn.IFNA(VLOOKUP(O33,Final1!T:T,1,FALSE),"NA")</f>
        <v/>
      </c>
    </row>
    <row r="34" spans="15:17" x14ac:dyDescent="0.25">
      <c r="O34" t="str">
        <f t="shared" si="0"/>
        <v/>
      </c>
      <c r="P34" t="str">
        <f t="shared" si="1"/>
        <v/>
      </c>
      <c r="Q34" t="str">
        <f>_xlfn.IFNA(VLOOKUP(O34,Final1!T:T,1,FALSE),"NA")</f>
        <v/>
      </c>
    </row>
    <row r="35" spans="15:17" x14ac:dyDescent="0.25">
      <c r="O35" t="str">
        <f t="shared" si="0"/>
        <v/>
      </c>
      <c r="P35" t="str">
        <f t="shared" si="1"/>
        <v/>
      </c>
      <c r="Q35" t="str">
        <f>_xlfn.IFNA(VLOOKUP(O35,Final1!T:T,1,FALSE),"NA")</f>
        <v/>
      </c>
    </row>
    <row r="36" spans="15:17" x14ac:dyDescent="0.25">
      <c r="O36" t="str">
        <f t="shared" si="0"/>
        <v/>
      </c>
      <c r="P36" t="str">
        <f t="shared" si="1"/>
        <v/>
      </c>
      <c r="Q36" t="str">
        <f>_xlfn.IFNA(VLOOKUP(O36,Final1!T:T,1,FALSE),"NA")</f>
        <v/>
      </c>
    </row>
    <row r="37" spans="15:17" x14ac:dyDescent="0.25">
      <c r="O37" t="str">
        <f t="shared" si="0"/>
        <v/>
      </c>
      <c r="P37" t="str">
        <f t="shared" si="1"/>
        <v/>
      </c>
      <c r="Q37" t="str">
        <f>_xlfn.IFNA(VLOOKUP(O37,Final1!T:T,1,FALSE),"NA")</f>
        <v/>
      </c>
    </row>
    <row r="38" spans="15:17" x14ac:dyDescent="0.25">
      <c r="O38" t="str">
        <f t="shared" si="0"/>
        <v/>
      </c>
      <c r="P38" t="str">
        <f t="shared" si="1"/>
        <v/>
      </c>
      <c r="Q38" t="str">
        <f>_xlfn.IFNA(VLOOKUP(O38,Final1!T:T,1,FALSE),"NA")</f>
        <v/>
      </c>
    </row>
    <row r="39" spans="15:17" x14ac:dyDescent="0.25">
      <c r="O39" t="str">
        <f t="shared" si="0"/>
        <v/>
      </c>
      <c r="P39" t="str">
        <f t="shared" si="1"/>
        <v/>
      </c>
      <c r="Q39" t="str">
        <f>_xlfn.IFNA(VLOOKUP(O39,Final1!T:T,1,FALSE),"NA")</f>
        <v/>
      </c>
    </row>
    <row r="40" spans="15:17" x14ac:dyDescent="0.25">
      <c r="O40" t="str">
        <f t="shared" si="0"/>
        <v/>
      </c>
      <c r="P40" t="str">
        <f t="shared" si="1"/>
        <v/>
      </c>
      <c r="Q40" t="str">
        <f>_xlfn.IFNA(VLOOKUP(O40,Final1!T:T,1,FALSE),"NA")</f>
        <v/>
      </c>
    </row>
    <row r="41" spans="15:17" x14ac:dyDescent="0.25">
      <c r="O41" t="str">
        <f t="shared" si="0"/>
        <v/>
      </c>
      <c r="P41" t="str">
        <f t="shared" si="1"/>
        <v/>
      </c>
      <c r="Q41" t="str">
        <f>_xlfn.IFNA(VLOOKUP(O41,Final1!T:T,1,FALSE),"NA")</f>
        <v/>
      </c>
    </row>
    <row r="42" spans="15:17" x14ac:dyDescent="0.25">
      <c r="O42" t="str">
        <f t="shared" si="0"/>
        <v/>
      </c>
      <c r="P42" t="str">
        <f t="shared" si="1"/>
        <v/>
      </c>
      <c r="Q42" t="str">
        <f>_xlfn.IFNA(VLOOKUP(O42,Final1!T:T,1,FALSE),"NA")</f>
        <v/>
      </c>
    </row>
    <row r="43" spans="15:17" x14ac:dyDescent="0.25">
      <c r="O43" t="str">
        <f t="shared" si="0"/>
        <v/>
      </c>
      <c r="P43" t="str">
        <f t="shared" si="1"/>
        <v/>
      </c>
      <c r="Q43" t="str">
        <f>_xlfn.IFNA(VLOOKUP(O43,Final1!T:T,1,FALSE),"NA")</f>
        <v/>
      </c>
    </row>
    <row r="44" spans="15:17" x14ac:dyDescent="0.25">
      <c r="O44" t="str">
        <f t="shared" si="0"/>
        <v/>
      </c>
      <c r="P44" t="str">
        <f t="shared" si="1"/>
        <v/>
      </c>
      <c r="Q44" t="str">
        <f>_xlfn.IFNA(VLOOKUP(O44,Final1!T:T,1,FALSE),"NA")</f>
        <v/>
      </c>
    </row>
    <row r="45" spans="15:17" x14ac:dyDescent="0.25">
      <c r="O45" t="str">
        <f t="shared" si="0"/>
        <v/>
      </c>
      <c r="P45" t="str">
        <f t="shared" si="1"/>
        <v/>
      </c>
      <c r="Q45" t="str">
        <f>_xlfn.IFNA(VLOOKUP(O45,Final1!T:T,1,FALSE),"NA")</f>
        <v/>
      </c>
    </row>
    <row r="46" spans="15:17" x14ac:dyDescent="0.25">
      <c r="O46" t="str">
        <f t="shared" si="0"/>
        <v/>
      </c>
      <c r="P46" t="str">
        <f t="shared" si="1"/>
        <v/>
      </c>
      <c r="Q46" t="str">
        <f>_xlfn.IFNA(VLOOKUP(O46,Final1!T:T,1,FALSE),"NA")</f>
        <v/>
      </c>
    </row>
    <row r="47" spans="15:17" x14ac:dyDescent="0.25">
      <c r="O47" t="str">
        <f t="shared" si="0"/>
        <v/>
      </c>
      <c r="P47" t="str">
        <f t="shared" si="1"/>
        <v/>
      </c>
      <c r="Q47" t="str">
        <f>_xlfn.IFNA(VLOOKUP(O47,Final1!T:T,1,FALSE),"NA")</f>
        <v/>
      </c>
    </row>
    <row r="48" spans="15:17" x14ac:dyDescent="0.25">
      <c r="O48" t="str">
        <f t="shared" si="0"/>
        <v/>
      </c>
      <c r="P48" t="str">
        <f t="shared" si="1"/>
        <v/>
      </c>
      <c r="Q48" t="str">
        <f>_xlfn.IFNA(VLOOKUP(O48,Final1!T:T,1,FALSE),"NA")</f>
        <v/>
      </c>
    </row>
    <row r="49" spans="15:17" x14ac:dyDescent="0.25">
      <c r="O49" t="str">
        <f t="shared" si="0"/>
        <v/>
      </c>
      <c r="P49" t="str">
        <f t="shared" si="1"/>
        <v/>
      </c>
      <c r="Q49" t="str">
        <f>_xlfn.IFNA(VLOOKUP(O49,Final1!T:T,1,FALSE),"NA")</f>
        <v/>
      </c>
    </row>
    <row r="50" spans="15:17" x14ac:dyDescent="0.25">
      <c r="O50" t="str">
        <f t="shared" si="0"/>
        <v/>
      </c>
      <c r="P50" t="str">
        <f t="shared" si="1"/>
        <v/>
      </c>
      <c r="Q50" t="str">
        <f>_xlfn.IFNA(VLOOKUP(O50,Final1!T:T,1,FALSE),"NA")</f>
        <v/>
      </c>
    </row>
    <row r="51" spans="15:17" x14ac:dyDescent="0.25">
      <c r="O51" t="str">
        <f t="shared" si="0"/>
        <v/>
      </c>
      <c r="P51" t="str">
        <f t="shared" si="1"/>
        <v/>
      </c>
      <c r="Q51" t="str">
        <f>_xlfn.IFNA(VLOOKUP(O51,Final1!T:T,1,FALSE),"NA")</f>
        <v/>
      </c>
    </row>
    <row r="52" spans="15:17" x14ac:dyDescent="0.25">
      <c r="O52" t="str">
        <f t="shared" si="0"/>
        <v/>
      </c>
      <c r="P52" t="str">
        <f t="shared" si="1"/>
        <v/>
      </c>
      <c r="Q52" t="str">
        <f>_xlfn.IFNA(VLOOKUP(O52,Final1!T:T,1,FALSE),"NA")</f>
        <v/>
      </c>
    </row>
    <row r="53" spans="15:17" x14ac:dyDescent="0.25">
      <c r="O53" t="str">
        <f t="shared" si="0"/>
        <v/>
      </c>
      <c r="P53" t="str">
        <f t="shared" si="1"/>
        <v/>
      </c>
      <c r="Q53" t="str">
        <f>_xlfn.IFNA(VLOOKUP(O53,Final1!T:T,1,FALSE),"NA")</f>
        <v/>
      </c>
    </row>
    <row r="54" spans="15:17" x14ac:dyDescent="0.25">
      <c r="O54" t="str">
        <f t="shared" si="0"/>
        <v/>
      </c>
      <c r="P54" t="str">
        <f t="shared" si="1"/>
        <v/>
      </c>
      <c r="Q54" t="str">
        <f>_xlfn.IFNA(VLOOKUP(O54,Final1!T:T,1,FALSE),"NA")</f>
        <v/>
      </c>
    </row>
    <row r="55" spans="15:17" x14ac:dyDescent="0.25">
      <c r="O55" t="str">
        <f t="shared" si="0"/>
        <v/>
      </c>
      <c r="P55" t="str">
        <f t="shared" si="1"/>
        <v/>
      </c>
      <c r="Q55" t="str">
        <f>_xlfn.IFNA(VLOOKUP(O55,Final1!T:T,1,FALSE),"NA")</f>
        <v/>
      </c>
    </row>
    <row r="56" spans="15:17" x14ac:dyDescent="0.25">
      <c r="O56" t="str">
        <f t="shared" si="0"/>
        <v/>
      </c>
      <c r="P56" t="str">
        <f t="shared" si="1"/>
        <v/>
      </c>
      <c r="Q56" t="str">
        <f>_xlfn.IFNA(VLOOKUP(O56,Final1!T:T,1,FALSE),"NA")</f>
        <v/>
      </c>
    </row>
    <row r="57" spans="15:17" x14ac:dyDescent="0.25">
      <c r="O57" t="str">
        <f t="shared" si="0"/>
        <v/>
      </c>
      <c r="P57" t="str">
        <f t="shared" si="1"/>
        <v/>
      </c>
      <c r="Q57" t="str">
        <f>_xlfn.IFNA(VLOOKUP(O57,Final1!T:T,1,FALSE),"NA")</f>
        <v/>
      </c>
    </row>
    <row r="58" spans="15:17" x14ac:dyDescent="0.25">
      <c r="O58" t="str">
        <f t="shared" si="0"/>
        <v/>
      </c>
      <c r="P58" t="str">
        <f t="shared" si="1"/>
        <v/>
      </c>
      <c r="Q58" t="str">
        <f>_xlfn.IFNA(VLOOKUP(O58,Final1!T:T,1,FALSE),"NA")</f>
        <v/>
      </c>
    </row>
    <row r="59" spans="15:17" x14ac:dyDescent="0.25">
      <c r="O59" t="str">
        <f t="shared" si="0"/>
        <v/>
      </c>
      <c r="P59" t="str">
        <f t="shared" si="1"/>
        <v/>
      </c>
      <c r="Q59" t="str">
        <f>_xlfn.IFNA(VLOOKUP(O59,Final1!T:T,1,FALSE),"NA")</f>
        <v/>
      </c>
    </row>
    <row r="60" spans="15:17" x14ac:dyDescent="0.25">
      <c r="O60" t="str">
        <f t="shared" si="0"/>
        <v/>
      </c>
      <c r="P60" t="str">
        <f t="shared" si="1"/>
        <v/>
      </c>
      <c r="Q60" t="str">
        <f>_xlfn.IFNA(VLOOKUP(O60,Final1!T:T,1,FALSE),"NA")</f>
        <v/>
      </c>
    </row>
    <row r="61" spans="15:17" x14ac:dyDescent="0.25">
      <c r="O61" t="str">
        <f t="shared" si="0"/>
        <v/>
      </c>
      <c r="P61" t="str">
        <f t="shared" si="1"/>
        <v/>
      </c>
      <c r="Q61" t="str">
        <f>_xlfn.IFNA(VLOOKUP(O61,Final1!T:T,1,FALSE),"NA")</f>
        <v/>
      </c>
    </row>
    <row r="62" spans="15:17" x14ac:dyDescent="0.25">
      <c r="O62" t="str">
        <f t="shared" si="0"/>
        <v/>
      </c>
      <c r="P62" t="str">
        <f t="shared" si="1"/>
        <v/>
      </c>
      <c r="Q62" t="str">
        <f>_xlfn.IFNA(VLOOKUP(O62,Final1!T:T,1,FALSE),"NA")</f>
        <v/>
      </c>
    </row>
    <row r="63" spans="15:17" x14ac:dyDescent="0.25">
      <c r="O63" t="str">
        <f t="shared" si="0"/>
        <v/>
      </c>
      <c r="P63" t="str">
        <f t="shared" si="1"/>
        <v/>
      </c>
      <c r="Q63" t="str">
        <f>_xlfn.IFNA(VLOOKUP(O63,Final1!T:T,1,FALSE),"NA")</f>
        <v/>
      </c>
    </row>
    <row r="64" spans="15:17" x14ac:dyDescent="0.25">
      <c r="O64" t="str">
        <f t="shared" si="0"/>
        <v/>
      </c>
      <c r="P64" t="str">
        <f t="shared" si="1"/>
        <v/>
      </c>
      <c r="Q64" t="str">
        <f>_xlfn.IFNA(VLOOKUP(O64,Final1!T:T,1,FALSE),"NA")</f>
        <v/>
      </c>
    </row>
    <row r="65" spans="15:17" x14ac:dyDescent="0.25">
      <c r="O65" t="str">
        <f t="shared" si="0"/>
        <v/>
      </c>
      <c r="P65" t="str">
        <f t="shared" si="1"/>
        <v/>
      </c>
      <c r="Q65" t="str">
        <f>_xlfn.IFNA(VLOOKUP(O65,Final1!T:T,1,FALSE),"NA")</f>
        <v/>
      </c>
    </row>
    <row r="66" spans="15:17" x14ac:dyDescent="0.25">
      <c r="O66" t="str">
        <f t="shared" si="0"/>
        <v/>
      </c>
      <c r="P66" t="str">
        <f t="shared" si="1"/>
        <v/>
      </c>
      <c r="Q66" t="str">
        <f>_xlfn.IFNA(VLOOKUP(O66,Final1!T:T,1,FALSE),"NA")</f>
        <v/>
      </c>
    </row>
    <row r="67" spans="15:17" x14ac:dyDescent="0.25">
      <c r="O67" t="str">
        <f t="shared" ref="O67:O130" si="2">D67&amp;E67</f>
        <v/>
      </c>
      <c r="P67" t="str">
        <f t="shared" ref="P67:P130" si="3">IF(C67="","",C67)</f>
        <v/>
      </c>
      <c r="Q67" t="str">
        <f>_xlfn.IFNA(VLOOKUP(O67,Final1!T:T,1,FALSE),"NA")</f>
        <v/>
      </c>
    </row>
    <row r="68" spans="15:17" x14ac:dyDescent="0.25">
      <c r="O68" t="str">
        <f t="shared" si="2"/>
        <v/>
      </c>
      <c r="P68" t="str">
        <f t="shared" si="3"/>
        <v/>
      </c>
      <c r="Q68" t="str">
        <f>_xlfn.IFNA(VLOOKUP(O68,Final1!T:T,1,FALSE),"NA")</f>
        <v/>
      </c>
    </row>
    <row r="69" spans="15:17" x14ac:dyDescent="0.25">
      <c r="O69" t="str">
        <f t="shared" si="2"/>
        <v/>
      </c>
      <c r="P69" t="str">
        <f t="shared" si="3"/>
        <v/>
      </c>
      <c r="Q69" t="str">
        <f>_xlfn.IFNA(VLOOKUP(O69,Final1!T:T,1,FALSE),"NA")</f>
        <v/>
      </c>
    </row>
    <row r="70" spans="15:17" x14ac:dyDescent="0.25">
      <c r="O70" t="str">
        <f t="shared" si="2"/>
        <v/>
      </c>
      <c r="P70" t="str">
        <f t="shared" si="3"/>
        <v/>
      </c>
      <c r="Q70" t="str">
        <f>_xlfn.IFNA(VLOOKUP(O70,Final1!T:T,1,FALSE),"NA")</f>
        <v/>
      </c>
    </row>
    <row r="71" spans="15:17" x14ac:dyDescent="0.25">
      <c r="O71" t="str">
        <f t="shared" si="2"/>
        <v/>
      </c>
      <c r="P71" t="str">
        <f t="shared" si="3"/>
        <v/>
      </c>
      <c r="Q71" t="str">
        <f>_xlfn.IFNA(VLOOKUP(O71,Final1!T:T,1,FALSE),"NA")</f>
        <v/>
      </c>
    </row>
    <row r="72" spans="15:17" x14ac:dyDescent="0.25">
      <c r="O72" t="str">
        <f t="shared" si="2"/>
        <v/>
      </c>
      <c r="P72" t="str">
        <f t="shared" si="3"/>
        <v/>
      </c>
      <c r="Q72" t="str">
        <f>_xlfn.IFNA(VLOOKUP(O72,Final1!T:T,1,FALSE),"NA")</f>
        <v/>
      </c>
    </row>
    <row r="73" spans="15:17" x14ac:dyDescent="0.25">
      <c r="O73" t="str">
        <f t="shared" si="2"/>
        <v/>
      </c>
      <c r="P73" t="str">
        <f t="shared" si="3"/>
        <v/>
      </c>
      <c r="Q73" t="str">
        <f>_xlfn.IFNA(VLOOKUP(O73,Final1!T:T,1,FALSE),"NA")</f>
        <v/>
      </c>
    </row>
    <row r="74" spans="15:17" x14ac:dyDescent="0.25">
      <c r="O74" t="str">
        <f t="shared" si="2"/>
        <v/>
      </c>
      <c r="P74" t="str">
        <f t="shared" si="3"/>
        <v/>
      </c>
      <c r="Q74" t="str">
        <f>_xlfn.IFNA(VLOOKUP(O74,Final1!T:T,1,FALSE),"NA")</f>
        <v/>
      </c>
    </row>
    <row r="75" spans="15:17" x14ac:dyDescent="0.25">
      <c r="O75" t="str">
        <f t="shared" si="2"/>
        <v/>
      </c>
      <c r="P75" t="str">
        <f t="shared" si="3"/>
        <v/>
      </c>
      <c r="Q75" t="str">
        <f>_xlfn.IFNA(VLOOKUP(O75,Final1!T:T,1,FALSE),"NA")</f>
        <v/>
      </c>
    </row>
    <row r="76" spans="15:17" x14ac:dyDescent="0.25">
      <c r="O76" t="str">
        <f t="shared" si="2"/>
        <v/>
      </c>
      <c r="P76" t="str">
        <f t="shared" si="3"/>
        <v/>
      </c>
      <c r="Q76" t="str">
        <f>_xlfn.IFNA(VLOOKUP(O76,Final1!T:T,1,FALSE),"NA")</f>
        <v/>
      </c>
    </row>
    <row r="77" spans="15:17" x14ac:dyDescent="0.25">
      <c r="O77" t="str">
        <f t="shared" si="2"/>
        <v/>
      </c>
      <c r="P77" t="str">
        <f t="shared" si="3"/>
        <v/>
      </c>
      <c r="Q77" t="str">
        <f>_xlfn.IFNA(VLOOKUP(O77,Final1!T:T,1,FALSE),"NA")</f>
        <v/>
      </c>
    </row>
    <row r="78" spans="15:17" x14ac:dyDescent="0.25">
      <c r="O78" t="str">
        <f t="shared" si="2"/>
        <v/>
      </c>
      <c r="P78" t="str">
        <f t="shared" si="3"/>
        <v/>
      </c>
      <c r="Q78" t="str">
        <f>_xlfn.IFNA(VLOOKUP(O78,Final1!T:T,1,FALSE),"NA")</f>
        <v/>
      </c>
    </row>
    <row r="79" spans="15:17" x14ac:dyDescent="0.25">
      <c r="O79" t="str">
        <f t="shared" si="2"/>
        <v/>
      </c>
      <c r="P79" t="str">
        <f t="shared" si="3"/>
        <v/>
      </c>
      <c r="Q79" t="str">
        <f>_xlfn.IFNA(VLOOKUP(O79,Final1!T:T,1,FALSE),"NA")</f>
        <v/>
      </c>
    </row>
    <row r="80" spans="15:17" x14ac:dyDescent="0.25">
      <c r="O80" t="str">
        <f t="shared" si="2"/>
        <v/>
      </c>
      <c r="P80" t="str">
        <f t="shared" si="3"/>
        <v/>
      </c>
      <c r="Q80" t="str">
        <f>_xlfn.IFNA(VLOOKUP(O80,Final1!T:T,1,FALSE),"NA")</f>
        <v/>
      </c>
    </row>
    <row r="81" spans="15:17" x14ac:dyDescent="0.25">
      <c r="O81" t="str">
        <f t="shared" si="2"/>
        <v/>
      </c>
      <c r="P81" t="str">
        <f t="shared" si="3"/>
        <v/>
      </c>
      <c r="Q81" t="str">
        <f>_xlfn.IFNA(VLOOKUP(O81,Final1!T:T,1,FALSE),"NA")</f>
        <v/>
      </c>
    </row>
    <row r="82" spans="15:17" x14ac:dyDescent="0.25">
      <c r="O82" t="str">
        <f t="shared" si="2"/>
        <v/>
      </c>
      <c r="P82" t="str">
        <f t="shared" si="3"/>
        <v/>
      </c>
      <c r="Q82" t="str">
        <f>_xlfn.IFNA(VLOOKUP(O82,Final1!T:T,1,FALSE),"NA")</f>
        <v/>
      </c>
    </row>
    <row r="83" spans="15:17" x14ac:dyDescent="0.25">
      <c r="O83" t="str">
        <f t="shared" si="2"/>
        <v/>
      </c>
      <c r="P83" t="str">
        <f t="shared" si="3"/>
        <v/>
      </c>
      <c r="Q83" t="str">
        <f>_xlfn.IFNA(VLOOKUP(O83,Final1!T:T,1,FALSE),"NA")</f>
        <v/>
      </c>
    </row>
    <row r="84" spans="15:17" x14ac:dyDescent="0.25">
      <c r="O84" t="str">
        <f t="shared" si="2"/>
        <v/>
      </c>
      <c r="P84" t="str">
        <f t="shared" si="3"/>
        <v/>
      </c>
      <c r="Q84" t="str">
        <f>_xlfn.IFNA(VLOOKUP(O84,Final1!T:T,1,FALSE),"NA")</f>
        <v/>
      </c>
    </row>
    <row r="85" spans="15:17" x14ac:dyDescent="0.25">
      <c r="O85" t="str">
        <f t="shared" si="2"/>
        <v/>
      </c>
      <c r="P85" t="str">
        <f t="shared" si="3"/>
        <v/>
      </c>
      <c r="Q85" t="str">
        <f>_xlfn.IFNA(VLOOKUP(O85,Final1!T:T,1,FALSE),"NA")</f>
        <v/>
      </c>
    </row>
    <row r="86" spans="15:17" x14ac:dyDescent="0.25">
      <c r="O86" t="str">
        <f t="shared" si="2"/>
        <v/>
      </c>
      <c r="P86" t="str">
        <f t="shared" si="3"/>
        <v/>
      </c>
      <c r="Q86" t="str">
        <f>_xlfn.IFNA(VLOOKUP(O86,Final1!T:T,1,FALSE),"NA")</f>
        <v/>
      </c>
    </row>
    <row r="87" spans="15:17" x14ac:dyDescent="0.25">
      <c r="O87" t="str">
        <f t="shared" si="2"/>
        <v/>
      </c>
      <c r="P87" t="str">
        <f t="shared" si="3"/>
        <v/>
      </c>
      <c r="Q87" t="str">
        <f>_xlfn.IFNA(VLOOKUP(O87,Final1!T:T,1,FALSE),"NA")</f>
        <v/>
      </c>
    </row>
    <row r="88" spans="15:17" x14ac:dyDescent="0.25">
      <c r="O88" t="str">
        <f t="shared" si="2"/>
        <v/>
      </c>
      <c r="P88" t="str">
        <f t="shared" si="3"/>
        <v/>
      </c>
      <c r="Q88" t="str">
        <f>_xlfn.IFNA(VLOOKUP(O88,Final1!T:T,1,FALSE),"NA")</f>
        <v/>
      </c>
    </row>
    <row r="89" spans="15:17" x14ac:dyDescent="0.25">
      <c r="O89" t="str">
        <f t="shared" si="2"/>
        <v/>
      </c>
      <c r="P89" t="str">
        <f t="shared" si="3"/>
        <v/>
      </c>
      <c r="Q89" t="str">
        <f>_xlfn.IFNA(VLOOKUP(O89,Final1!T:T,1,FALSE),"NA")</f>
        <v/>
      </c>
    </row>
    <row r="90" spans="15:17" x14ac:dyDescent="0.25">
      <c r="O90" t="str">
        <f t="shared" si="2"/>
        <v/>
      </c>
      <c r="P90" t="str">
        <f t="shared" si="3"/>
        <v/>
      </c>
      <c r="Q90" t="str">
        <f>_xlfn.IFNA(VLOOKUP(O90,Final1!T:T,1,FALSE),"NA")</f>
        <v/>
      </c>
    </row>
    <row r="91" spans="15:17" x14ac:dyDescent="0.25">
      <c r="O91" t="str">
        <f t="shared" si="2"/>
        <v/>
      </c>
      <c r="P91" t="str">
        <f t="shared" si="3"/>
        <v/>
      </c>
      <c r="Q91" t="str">
        <f>_xlfn.IFNA(VLOOKUP(O91,Final1!T:T,1,FALSE),"NA")</f>
        <v/>
      </c>
    </row>
    <row r="92" spans="15:17" x14ac:dyDescent="0.25">
      <c r="O92" t="str">
        <f t="shared" si="2"/>
        <v/>
      </c>
      <c r="P92" t="str">
        <f t="shared" si="3"/>
        <v/>
      </c>
      <c r="Q92" t="str">
        <f>_xlfn.IFNA(VLOOKUP(O92,Final1!T:T,1,FALSE),"NA")</f>
        <v/>
      </c>
    </row>
    <row r="93" spans="15:17" x14ac:dyDescent="0.25">
      <c r="O93" t="str">
        <f t="shared" si="2"/>
        <v/>
      </c>
      <c r="P93" t="str">
        <f t="shared" si="3"/>
        <v/>
      </c>
      <c r="Q93" t="str">
        <f>_xlfn.IFNA(VLOOKUP(O93,Final1!T:T,1,FALSE),"NA")</f>
        <v/>
      </c>
    </row>
    <row r="94" spans="15:17" x14ac:dyDescent="0.25">
      <c r="O94" t="str">
        <f t="shared" si="2"/>
        <v/>
      </c>
      <c r="P94" t="str">
        <f t="shared" si="3"/>
        <v/>
      </c>
      <c r="Q94" t="str">
        <f>_xlfn.IFNA(VLOOKUP(O94,Final1!T:T,1,FALSE),"NA")</f>
        <v/>
      </c>
    </row>
    <row r="95" spans="15:17" x14ac:dyDescent="0.25">
      <c r="O95" t="str">
        <f t="shared" si="2"/>
        <v/>
      </c>
      <c r="P95" t="str">
        <f t="shared" si="3"/>
        <v/>
      </c>
      <c r="Q95" t="str">
        <f>_xlfn.IFNA(VLOOKUP(O95,Final1!T:T,1,FALSE),"NA")</f>
        <v/>
      </c>
    </row>
    <row r="96" spans="15:17" x14ac:dyDescent="0.25">
      <c r="O96" t="str">
        <f t="shared" si="2"/>
        <v/>
      </c>
      <c r="P96" t="str">
        <f t="shared" si="3"/>
        <v/>
      </c>
      <c r="Q96" t="str">
        <f>_xlfn.IFNA(VLOOKUP(O96,Final1!T:T,1,FALSE),"NA")</f>
        <v/>
      </c>
    </row>
    <row r="97" spans="15:17" x14ac:dyDescent="0.25">
      <c r="O97" t="str">
        <f t="shared" si="2"/>
        <v/>
      </c>
      <c r="P97" t="str">
        <f t="shared" si="3"/>
        <v/>
      </c>
      <c r="Q97" t="str">
        <f>_xlfn.IFNA(VLOOKUP(O97,Final1!T:T,1,FALSE),"NA")</f>
        <v/>
      </c>
    </row>
    <row r="98" spans="15:17" x14ac:dyDescent="0.25">
      <c r="O98" t="str">
        <f t="shared" si="2"/>
        <v/>
      </c>
      <c r="P98" t="str">
        <f t="shared" si="3"/>
        <v/>
      </c>
      <c r="Q98" t="str">
        <f>_xlfn.IFNA(VLOOKUP(O98,Final1!T:T,1,FALSE),"NA")</f>
        <v/>
      </c>
    </row>
    <row r="99" spans="15:17" x14ac:dyDescent="0.25">
      <c r="O99" t="str">
        <f t="shared" si="2"/>
        <v/>
      </c>
      <c r="P99" t="str">
        <f t="shared" si="3"/>
        <v/>
      </c>
      <c r="Q99" t="str">
        <f>_xlfn.IFNA(VLOOKUP(O99,Final1!T:T,1,FALSE),"NA")</f>
        <v/>
      </c>
    </row>
    <row r="100" spans="15:17" x14ac:dyDescent="0.25">
      <c r="O100" t="str">
        <f t="shared" si="2"/>
        <v/>
      </c>
      <c r="P100" t="str">
        <f t="shared" si="3"/>
        <v/>
      </c>
      <c r="Q100" t="str">
        <f>_xlfn.IFNA(VLOOKUP(O100,Final1!T:T,1,FALSE),"NA")</f>
        <v/>
      </c>
    </row>
    <row r="101" spans="15:17" x14ac:dyDescent="0.25">
      <c r="O101" t="str">
        <f t="shared" si="2"/>
        <v/>
      </c>
      <c r="P101" t="str">
        <f t="shared" si="3"/>
        <v/>
      </c>
      <c r="Q101" t="str">
        <f>_xlfn.IFNA(VLOOKUP(O101,Final1!T:T,1,FALSE),"NA")</f>
        <v/>
      </c>
    </row>
    <row r="102" spans="15:17" x14ac:dyDescent="0.25">
      <c r="O102" t="str">
        <f t="shared" si="2"/>
        <v/>
      </c>
      <c r="P102" t="str">
        <f t="shared" si="3"/>
        <v/>
      </c>
      <c r="Q102" t="str">
        <f>_xlfn.IFNA(VLOOKUP(O102,Final1!T:T,1,FALSE),"NA")</f>
        <v/>
      </c>
    </row>
    <row r="103" spans="15:17" x14ac:dyDescent="0.25">
      <c r="O103" t="str">
        <f t="shared" si="2"/>
        <v/>
      </c>
      <c r="P103" t="str">
        <f t="shared" si="3"/>
        <v/>
      </c>
      <c r="Q103" t="str">
        <f>_xlfn.IFNA(VLOOKUP(O103,Final1!T:T,1,FALSE),"NA")</f>
        <v/>
      </c>
    </row>
    <row r="104" spans="15:17" x14ac:dyDescent="0.25">
      <c r="O104" t="str">
        <f t="shared" si="2"/>
        <v/>
      </c>
      <c r="P104" t="str">
        <f t="shared" si="3"/>
        <v/>
      </c>
      <c r="Q104" t="str">
        <f>_xlfn.IFNA(VLOOKUP(O104,Final1!T:T,1,FALSE),"NA")</f>
        <v/>
      </c>
    </row>
    <row r="105" spans="15:17" x14ac:dyDescent="0.25">
      <c r="O105" t="str">
        <f t="shared" si="2"/>
        <v/>
      </c>
      <c r="P105" t="str">
        <f t="shared" si="3"/>
        <v/>
      </c>
      <c r="Q105" t="str">
        <f>_xlfn.IFNA(VLOOKUP(O105,Final1!T:T,1,FALSE),"NA")</f>
        <v/>
      </c>
    </row>
    <row r="106" spans="15:17" x14ac:dyDescent="0.25">
      <c r="O106" t="str">
        <f t="shared" si="2"/>
        <v/>
      </c>
      <c r="P106" t="str">
        <f t="shared" si="3"/>
        <v/>
      </c>
      <c r="Q106" t="str">
        <f>_xlfn.IFNA(VLOOKUP(O106,Final1!T:T,1,FALSE),"NA")</f>
        <v/>
      </c>
    </row>
    <row r="107" spans="15:17" x14ac:dyDescent="0.25">
      <c r="O107" t="str">
        <f t="shared" si="2"/>
        <v/>
      </c>
      <c r="P107" t="str">
        <f t="shared" si="3"/>
        <v/>
      </c>
      <c r="Q107" t="str">
        <f>_xlfn.IFNA(VLOOKUP(O107,Final1!T:T,1,FALSE),"NA")</f>
        <v/>
      </c>
    </row>
    <row r="108" spans="15:17" x14ac:dyDescent="0.25">
      <c r="O108" t="str">
        <f t="shared" si="2"/>
        <v/>
      </c>
      <c r="P108" t="str">
        <f t="shared" si="3"/>
        <v/>
      </c>
      <c r="Q108" t="str">
        <f>_xlfn.IFNA(VLOOKUP(O108,Final1!T:T,1,FALSE),"NA")</f>
        <v/>
      </c>
    </row>
    <row r="109" spans="15:17" x14ac:dyDescent="0.25">
      <c r="O109" t="str">
        <f t="shared" si="2"/>
        <v/>
      </c>
      <c r="P109" t="str">
        <f t="shared" si="3"/>
        <v/>
      </c>
      <c r="Q109" t="str">
        <f>_xlfn.IFNA(VLOOKUP(O109,Final1!T:T,1,FALSE),"NA")</f>
        <v/>
      </c>
    </row>
    <row r="110" spans="15:17" x14ac:dyDescent="0.25">
      <c r="O110" t="str">
        <f t="shared" si="2"/>
        <v/>
      </c>
      <c r="P110" t="str">
        <f t="shared" si="3"/>
        <v/>
      </c>
      <c r="Q110" t="str">
        <f>_xlfn.IFNA(VLOOKUP(O110,Final1!T:T,1,FALSE),"NA")</f>
        <v/>
      </c>
    </row>
    <row r="111" spans="15:17" x14ac:dyDescent="0.25">
      <c r="O111" t="str">
        <f t="shared" si="2"/>
        <v/>
      </c>
      <c r="P111" t="str">
        <f t="shared" si="3"/>
        <v/>
      </c>
      <c r="Q111" t="str">
        <f>_xlfn.IFNA(VLOOKUP(O111,Final1!T:T,1,FALSE),"NA")</f>
        <v/>
      </c>
    </row>
    <row r="112" spans="15:17" x14ac:dyDescent="0.25">
      <c r="O112" t="str">
        <f t="shared" si="2"/>
        <v/>
      </c>
      <c r="P112" t="str">
        <f t="shared" si="3"/>
        <v/>
      </c>
      <c r="Q112" t="str">
        <f>_xlfn.IFNA(VLOOKUP(O112,Final1!T:T,1,FALSE),"NA")</f>
        <v/>
      </c>
    </row>
    <row r="113" spans="15:17" x14ac:dyDescent="0.25">
      <c r="O113" t="str">
        <f t="shared" si="2"/>
        <v/>
      </c>
      <c r="P113" t="str">
        <f t="shared" si="3"/>
        <v/>
      </c>
      <c r="Q113" t="str">
        <f>_xlfn.IFNA(VLOOKUP(O113,Final1!T:T,1,FALSE),"NA")</f>
        <v/>
      </c>
    </row>
    <row r="114" spans="15:17" x14ac:dyDescent="0.25">
      <c r="O114" t="str">
        <f t="shared" si="2"/>
        <v/>
      </c>
      <c r="P114" t="str">
        <f t="shared" si="3"/>
        <v/>
      </c>
      <c r="Q114" t="str">
        <f>_xlfn.IFNA(VLOOKUP(O114,Final1!T:T,1,FALSE),"NA")</f>
        <v/>
      </c>
    </row>
    <row r="115" spans="15:17" x14ac:dyDescent="0.25">
      <c r="O115" t="str">
        <f t="shared" si="2"/>
        <v/>
      </c>
      <c r="P115" t="str">
        <f t="shared" si="3"/>
        <v/>
      </c>
      <c r="Q115" t="str">
        <f>_xlfn.IFNA(VLOOKUP(O115,Final1!T:T,1,FALSE),"NA")</f>
        <v/>
      </c>
    </row>
    <row r="116" spans="15:17" x14ac:dyDescent="0.25">
      <c r="O116" t="str">
        <f t="shared" si="2"/>
        <v/>
      </c>
      <c r="P116" t="str">
        <f t="shared" si="3"/>
        <v/>
      </c>
      <c r="Q116" t="str">
        <f>_xlfn.IFNA(VLOOKUP(O116,Final1!T:T,1,FALSE),"NA")</f>
        <v/>
      </c>
    </row>
    <row r="117" spans="15:17" x14ac:dyDescent="0.25">
      <c r="O117" t="str">
        <f t="shared" si="2"/>
        <v/>
      </c>
      <c r="P117" t="str">
        <f t="shared" si="3"/>
        <v/>
      </c>
      <c r="Q117" t="str">
        <f>_xlfn.IFNA(VLOOKUP(O117,Final1!T:T,1,FALSE),"NA")</f>
        <v/>
      </c>
    </row>
    <row r="118" spans="15:17" x14ac:dyDescent="0.25">
      <c r="O118" t="str">
        <f t="shared" si="2"/>
        <v/>
      </c>
      <c r="P118" t="str">
        <f t="shared" si="3"/>
        <v/>
      </c>
      <c r="Q118" t="str">
        <f>_xlfn.IFNA(VLOOKUP(O118,Final1!T:T,1,FALSE),"NA")</f>
        <v/>
      </c>
    </row>
    <row r="119" spans="15:17" x14ac:dyDescent="0.25">
      <c r="O119" t="str">
        <f t="shared" si="2"/>
        <v/>
      </c>
      <c r="P119" t="str">
        <f t="shared" si="3"/>
        <v/>
      </c>
      <c r="Q119" t="str">
        <f>_xlfn.IFNA(VLOOKUP(O119,Final1!T:T,1,FALSE),"NA")</f>
        <v/>
      </c>
    </row>
    <row r="120" spans="15:17" x14ac:dyDescent="0.25">
      <c r="O120" t="str">
        <f t="shared" si="2"/>
        <v/>
      </c>
      <c r="P120" t="str">
        <f t="shared" si="3"/>
        <v/>
      </c>
      <c r="Q120" t="str">
        <f>_xlfn.IFNA(VLOOKUP(O120,Final1!T:T,1,FALSE),"NA")</f>
        <v/>
      </c>
    </row>
    <row r="121" spans="15:17" x14ac:dyDescent="0.25">
      <c r="O121" t="str">
        <f t="shared" si="2"/>
        <v/>
      </c>
      <c r="P121" t="str">
        <f t="shared" si="3"/>
        <v/>
      </c>
      <c r="Q121" t="str">
        <f>_xlfn.IFNA(VLOOKUP(O121,Final1!T:T,1,FALSE),"NA")</f>
        <v/>
      </c>
    </row>
    <row r="122" spans="15:17" x14ac:dyDescent="0.25">
      <c r="O122" t="str">
        <f t="shared" si="2"/>
        <v/>
      </c>
      <c r="P122" t="str">
        <f t="shared" si="3"/>
        <v/>
      </c>
      <c r="Q122" t="str">
        <f>_xlfn.IFNA(VLOOKUP(O122,Final1!T:T,1,FALSE),"NA")</f>
        <v/>
      </c>
    </row>
    <row r="123" spans="15:17" x14ac:dyDescent="0.25">
      <c r="O123" t="str">
        <f t="shared" si="2"/>
        <v/>
      </c>
      <c r="P123" t="str">
        <f t="shared" si="3"/>
        <v/>
      </c>
      <c r="Q123" t="str">
        <f>_xlfn.IFNA(VLOOKUP(O123,Final1!T:T,1,FALSE),"NA")</f>
        <v/>
      </c>
    </row>
    <row r="124" spans="15:17" x14ac:dyDescent="0.25">
      <c r="O124" t="str">
        <f t="shared" si="2"/>
        <v/>
      </c>
      <c r="P124" t="str">
        <f t="shared" si="3"/>
        <v/>
      </c>
      <c r="Q124" t="str">
        <f>_xlfn.IFNA(VLOOKUP(O124,Final1!T:T,1,FALSE),"NA")</f>
        <v/>
      </c>
    </row>
    <row r="125" spans="15:17" x14ac:dyDescent="0.25">
      <c r="O125" t="str">
        <f t="shared" si="2"/>
        <v/>
      </c>
      <c r="P125" t="str">
        <f t="shared" si="3"/>
        <v/>
      </c>
      <c r="Q125" t="str">
        <f>_xlfn.IFNA(VLOOKUP(O125,Final1!T:T,1,FALSE),"NA")</f>
        <v/>
      </c>
    </row>
    <row r="126" spans="15:17" x14ac:dyDescent="0.25">
      <c r="O126" t="str">
        <f t="shared" si="2"/>
        <v/>
      </c>
      <c r="P126" t="str">
        <f t="shared" si="3"/>
        <v/>
      </c>
      <c r="Q126" t="str">
        <f>_xlfn.IFNA(VLOOKUP(O126,Final1!T:T,1,FALSE),"NA")</f>
        <v/>
      </c>
    </row>
    <row r="127" spans="15:17" x14ac:dyDescent="0.25">
      <c r="O127" t="str">
        <f t="shared" si="2"/>
        <v/>
      </c>
      <c r="P127" t="str">
        <f t="shared" si="3"/>
        <v/>
      </c>
      <c r="Q127" t="str">
        <f>_xlfn.IFNA(VLOOKUP(O127,Final1!T:T,1,FALSE),"NA")</f>
        <v/>
      </c>
    </row>
    <row r="128" spans="15:17" x14ac:dyDescent="0.25">
      <c r="O128" t="str">
        <f t="shared" si="2"/>
        <v/>
      </c>
      <c r="P128" t="str">
        <f t="shared" si="3"/>
        <v/>
      </c>
      <c r="Q128" t="str">
        <f>_xlfn.IFNA(VLOOKUP(O128,Final1!T:T,1,FALSE),"NA")</f>
        <v/>
      </c>
    </row>
    <row r="129" spans="15:17" x14ac:dyDescent="0.25">
      <c r="O129" t="str">
        <f t="shared" si="2"/>
        <v/>
      </c>
      <c r="P129" t="str">
        <f t="shared" si="3"/>
        <v/>
      </c>
      <c r="Q129" t="str">
        <f>_xlfn.IFNA(VLOOKUP(O129,Final1!T:T,1,FALSE),"NA")</f>
        <v/>
      </c>
    </row>
    <row r="130" spans="15:17" x14ac:dyDescent="0.25">
      <c r="O130" t="str">
        <f t="shared" si="2"/>
        <v/>
      </c>
      <c r="P130" t="str">
        <f t="shared" si="3"/>
        <v/>
      </c>
      <c r="Q130" t="str">
        <f>_xlfn.IFNA(VLOOKUP(O130,Final1!T:T,1,FALSE),"NA")</f>
        <v/>
      </c>
    </row>
    <row r="131" spans="15:17" x14ac:dyDescent="0.25">
      <c r="O131" t="str">
        <f t="shared" ref="O131:O184" si="4">D131&amp;E131</f>
        <v/>
      </c>
      <c r="P131" t="str">
        <f t="shared" ref="P131:P184" si="5">IF(C131="","",C131)</f>
        <v/>
      </c>
      <c r="Q131" t="str">
        <f>_xlfn.IFNA(VLOOKUP(O131,Final1!T:T,1,FALSE),"NA")</f>
        <v/>
      </c>
    </row>
    <row r="132" spans="15:17" x14ac:dyDescent="0.25">
      <c r="O132" t="str">
        <f t="shared" si="4"/>
        <v/>
      </c>
      <c r="P132" t="str">
        <f t="shared" si="5"/>
        <v/>
      </c>
      <c r="Q132" t="str">
        <f>_xlfn.IFNA(VLOOKUP(O132,Final1!T:T,1,FALSE),"NA")</f>
        <v/>
      </c>
    </row>
    <row r="133" spans="15:17" x14ac:dyDescent="0.25">
      <c r="O133" t="str">
        <f t="shared" si="4"/>
        <v/>
      </c>
      <c r="P133" t="str">
        <f t="shared" si="5"/>
        <v/>
      </c>
      <c r="Q133" t="str">
        <f>_xlfn.IFNA(VLOOKUP(O133,Final1!T:T,1,FALSE),"NA")</f>
        <v/>
      </c>
    </row>
    <row r="134" spans="15:17" x14ac:dyDescent="0.25">
      <c r="O134" t="str">
        <f t="shared" si="4"/>
        <v/>
      </c>
      <c r="P134" t="str">
        <f t="shared" si="5"/>
        <v/>
      </c>
      <c r="Q134" t="str">
        <f>_xlfn.IFNA(VLOOKUP(O134,Final1!T:T,1,FALSE),"NA")</f>
        <v/>
      </c>
    </row>
    <row r="135" spans="15:17" x14ac:dyDescent="0.25">
      <c r="O135" t="str">
        <f t="shared" si="4"/>
        <v/>
      </c>
      <c r="P135" t="str">
        <f t="shared" si="5"/>
        <v/>
      </c>
      <c r="Q135" t="str">
        <f>_xlfn.IFNA(VLOOKUP(O135,Final1!T:T,1,FALSE),"NA")</f>
        <v/>
      </c>
    </row>
    <row r="136" spans="15:17" x14ac:dyDescent="0.25">
      <c r="O136" t="str">
        <f t="shared" si="4"/>
        <v/>
      </c>
      <c r="P136" t="str">
        <f t="shared" si="5"/>
        <v/>
      </c>
      <c r="Q136" t="str">
        <f>_xlfn.IFNA(VLOOKUP(O136,Final1!T:T,1,FALSE),"NA")</f>
        <v/>
      </c>
    </row>
    <row r="137" spans="15:17" x14ac:dyDescent="0.25">
      <c r="O137" t="str">
        <f t="shared" si="4"/>
        <v/>
      </c>
      <c r="P137" t="str">
        <f t="shared" si="5"/>
        <v/>
      </c>
      <c r="Q137" t="str">
        <f>_xlfn.IFNA(VLOOKUP(O137,Final1!T:T,1,FALSE),"NA")</f>
        <v/>
      </c>
    </row>
    <row r="138" spans="15:17" x14ac:dyDescent="0.25">
      <c r="O138" t="str">
        <f t="shared" si="4"/>
        <v/>
      </c>
      <c r="P138" t="str">
        <f t="shared" si="5"/>
        <v/>
      </c>
      <c r="Q138" t="str">
        <f>_xlfn.IFNA(VLOOKUP(O138,Final1!T:T,1,FALSE),"NA")</f>
        <v/>
      </c>
    </row>
    <row r="139" spans="15:17" x14ac:dyDescent="0.25">
      <c r="O139" t="str">
        <f t="shared" si="4"/>
        <v/>
      </c>
      <c r="P139" t="str">
        <f t="shared" si="5"/>
        <v/>
      </c>
      <c r="Q139" t="str">
        <f>_xlfn.IFNA(VLOOKUP(O139,Final1!T:T,1,FALSE),"NA")</f>
        <v/>
      </c>
    </row>
    <row r="140" spans="15:17" x14ac:dyDescent="0.25">
      <c r="O140" t="str">
        <f t="shared" si="4"/>
        <v/>
      </c>
      <c r="P140" t="str">
        <f t="shared" si="5"/>
        <v/>
      </c>
      <c r="Q140" t="str">
        <f>_xlfn.IFNA(VLOOKUP(O140,Final1!T:T,1,FALSE),"NA")</f>
        <v/>
      </c>
    </row>
    <row r="141" spans="15:17" x14ac:dyDescent="0.25">
      <c r="O141" t="str">
        <f t="shared" si="4"/>
        <v/>
      </c>
      <c r="P141" t="str">
        <f t="shared" si="5"/>
        <v/>
      </c>
      <c r="Q141" t="str">
        <f>_xlfn.IFNA(VLOOKUP(O141,Final1!T:T,1,FALSE),"NA")</f>
        <v/>
      </c>
    </row>
    <row r="142" spans="15:17" x14ac:dyDescent="0.25">
      <c r="O142" t="str">
        <f t="shared" si="4"/>
        <v/>
      </c>
      <c r="P142" t="str">
        <f t="shared" si="5"/>
        <v/>
      </c>
      <c r="Q142" t="str">
        <f>_xlfn.IFNA(VLOOKUP(O142,Final1!T:T,1,FALSE),"NA")</f>
        <v/>
      </c>
    </row>
    <row r="143" spans="15:17" x14ac:dyDescent="0.25">
      <c r="O143" t="str">
        <f t="shared" si="4"/>
        <v/>
      </c>
      <c r="P143" t="str">
        <f t="shared" si="5"/>
        <v/>
      </c>
      <c r="Q143" t="str">
        <f>_xlfn.IFNA(VLOOKUP(O143,Final1!T:T,1,FALSE),"NA")</f>
        <v/>
      </c>
    </row>
    <row r="144" spans="15:17" x14ac:dyDescent="0.25">
      <c r="O144" t="str">
        <f t="shared" si="4"/>
        <v/>
      </c>
      <c r="P144" t="str">
        <f t="shared" si="5"/>
        <v/>
      </c>
      <c r="Q144" t="str">
        <f>_xlfn.IFNA(VLOOKUP(O144,Final1!T:T,1,FALSE),"NA")</f>
        <v/>
      </c>
    </row>
    <row r="145" spans="15:17" x14ac:dyDescent="0.25">
      <c r="O145" t="str">
        <f t="shared" si="4"/>
        <v/>
      </c>
      <c r="P145" t="str">
        <f t="shared" si="5"/>
        <v/>
      </c>
      <c r="Q145" t="str">
        <f>_xlfn.IFNA(VLOOKUP(O145,Final1!T:T,1,FALSE),"NA")</f>
        <v/>
      </c>
    </row>
    <row r="146" spans="15:17" x14ac:dyDescent="0.25">
      <c r="O146" t="str">
        <f t="shared" si="4"/>
        <v/>
      </c>
      <c r="P146" t="str">
        <f t="shared" si="5"/>
        <v/>
      </c>
      <c r="Q146" t="str">
        <f>_xlfn.IFNA(VLOOKUP(O146,Final1!T:T,1,FALSE),"NA")</f>
        <v/>
      </c>
    </row>
    <row r="147" spans="15:17" x14ac:dyDescent="0.25">
      <c r="O147" t="str">
        <f t="shared" si="4"/>
        <v/>
      </c>
      <c r="P147" t="str">
        <f t="shared" si="5"/>
        <v/>
      </c>
      <c r="Q147" t="str">
        <f>_xlfn.IFNA(VLOOKUP(O147,Final1!T:T,1,FALSE),"NA")</f>
        <v/>
      </c>
    </row>
    <row r="148" spans="15:17" x14ac:dyDescent="0.25">
      <c r="O148" t="str">
        <f t="shared" si="4"/>
        <v/>
      </c>
      <c r="P148" t="str">
        <f t="shared" si="5"/>
        <v/>
      </c>
      <c r="Q148" t="str">
        <f>_xlfn.IFNA(VLOOKUP(O148,Final1!T:T,1,FALSE),"NA")</f>
        <v/>
      </c>
    </row>
    <row r="149" spans="15:17" x14ac:dyDescent="0.25">
      <c r="O149" t="str">
        <f t="shared" si="4"/>
        <v/>
      </c>
      <c r="P149" t="str">
        <f t="shared" si="5"/>
        <v/>
      </c>
      <c r="Q149" t="str">
        <f>_xlfn.IFNA(VLOOKUP(O149,Final1!T:T,1,FALSE),"NA")</f>
        <v/>
      </c>
    </row>
    <row r="150" spans="15:17" x14ac:dyDescent="0.25">
      <c r="O150" t="str">
        <f t="shared" si="4"/>
        <v/>
      </c>
      <c r="P150" t="str">
        <f t="shared" si="5"/>
        <v/>
      </c>
      <c r="Q150" t="str">
        <f>_xlfn.IFNA(VLOOKUP(O150,Final1!T:T,1,FALSE),"NA")</f>
        <v/>
      </c>
    </row>
    <row r="151" spans="15:17" x14ac:dyDescent="0.25">
      <c r="O151" t="str">
        <f t="shared" si="4"/>
        <v/>
      </c>
      <c r="P151" t="str">
        <f t="shared" si="5"/>
        <v/>
      </c>
      <c r="Q151" t="str">
        <f>_xlfn.IFNA(VLOOKUP(O151,Final1!T:T,1,FALSE),"NA")</f>
        <v/>
      </c>
    </row>
    <row r="152" spans="15:17" x14ac:dyDescent="0.25">
      <c r="O152" t="str">
        <f t="shared" si="4"/>
        <v/>
      </c>
      <c r="P152" t="str">
        <f t="shared" si="5"/>
        <v/>
      </c>
      <c r="Q152" t="str">
        <f>_xlfn.IFNA(VLOOKUP(O152,Final1!T:T,1,FALSE),"NA")</f>
        <v/>
      </c>
    </row>
    <row r="153" spans="15:17" x14ac:dyDescent="0.25">
      <c r="O153" t="str">
        <f t="shared" si="4"/>
        <v/>
      </c>
      <c r="P153" t="str">
        <f t="shared" si="5"/>
        <v/>
      </c>
      <c r="Q153" t="str">
        <f>_xlfn.IFNA(VLOOKUP(O153,Final1!T:T,1,FALSE),"NA")</f>
        <v/>
      </c>
    </row>
    <row r="154" spans="15:17" x14ac:dyDescent="0.25">
      <c r="O154" t="str">
        <f t="shared" si="4"/>
        <v/>
      </c>
      <c r="P154" t="str">
        <f t="shared" si="5"/>
        <v/>
      </c>
      <c r="Q154" t="str">
        <f>_xlfn.IFNA(VLOOKUP(O154,Final1!T:T,1,FALSE),"NA")</f>
        <v/>
      </c>
    </row>
    <row r="155" spans="15:17" x14ac:dyDescent="0.25">
      <c r="O155" t="str">
        <f t="shared" si="4"/>
        <v/>
      </c>
      <c r="P155" t="str">
        <f t="shared" si="5"/>
        <v/>
      </c>
      <c r="Q155" t="str">
        <f>_xlfn.IFNA(VLOOKUP(O155,Final1!T:T,1,FALSE),"NA")</f>
        <v/>
      </c>
    </row>
    <row r="156" spans="15:17" x14ac:dyDescent="0.25">
      <c r="O156" t="str">
        <f t="shared" si="4"/>
        <v/>
      </c>
      <c r="P156" t="str">
        <f t="shared" si="5"/>
        <v/>
      </c>
      <c r="Q156" t="str">
        <f>_xlfn.IFNA(VLOOKUP(O156,Final1!T:T,1,FALSE),"NA")</f>
        <v/>
      </c>
    </row>
    <row r="157" spans="15:17" x14ac:dyDescent="0.25">
      <c r="O157" t="str">
        <f t="shared" si="4"/>
        <v/>
      </c>
      <c r="P157" t="str">
        <f t="shared" si="5"/>
        <v/>
      </c>
      <c r="Q157" t="str">
        <f>_xlfn.IFNA(VLOOKUP(O157,Final1!T:T,1,FALSE),"NA")</f>
        <v/>
      </c>
    </row>
    <row r="158" spans="15:17" x14ac:dyDescent="0.25">
      <c r="O158" t="str">
        <f t="shared" si="4"/>
        <v/>
      </c>
      <c r="P158" t="str">
        <f t="shared" si="5"/>
        <v/>
      </c>
      <c r="Q158" t="str">
        <f>_xlfn.IFNA(VLOOKUP(O158,Final1!T:T,1,FALSE),"NA")</f>
        <v/>
      </c>
    </row>
    <row r="159" spans="15:17" x14ac:dyDescent="0.25">
      <c r="O159" t="str">
        <f t="shared" si="4"/>
        <v/>
      </c>
      <c r="P159" t="str">
        <f t="shared" si="5"/>
        <v/>
      </c>
      <c r="Q159" t="str">
        <f>_xlfn.IFNA(VLOOKUP(O159,Final1!T:T,1,FALSE),"NA")</f>
        <v/>
      </c>
    </row>
    <row r="160" spans="15:17" x14ac:dyDescent="0.25">
      <c r="O160" t="str">
        <f t="shared" si="4"/>
        <v/>
      </c>
      <c r="P160" t="str">
        <f t="shared" si="5"/>
        <v/>
      </c>
      <c r="Q160" t="str">
        <f>_xlfn.IFNA(VLOOKUP(O160,Final1!T:T,1,FALSE),"NA")</f>
        <v/>
      </c>
    </row>
    <row r="161" spans="15:17" x14ac:dyDescent="0.25">
      <c r="O161" t="str">
        <f t="shared" si="4"/>
        <v/>
      </c>
      <c r="P161" t="str">
        <f t="shared" si="5"/>
        <v/>
      </c>
      <c r="Q161" t="str">
        <f>_xlfn.IFNA(VLOOKUP(O161,Final1!T:T,1,FALSE),"NA")</f>
        <v/>
      </c>
    </row>
    <row r="162" spans="15:17" x14ac:dyDescent="0.25">
      <c r="O162" t="str">
        <f t="shared" si="4"/>
        <v/>
      </c>
      <c r="P162" t="str">
        <f t="shared" si="5"/>
        <v/>
      </c>
      <c r="Q162" t="str">
        <f>_xlfn.IFNA(VLOOKUP(O162,Final1!T:T,1,FALSE),"NA")</f>
        <v/>
      </c>
    </row>
    <row r="163" spans="15:17" x14ac:dyDescent="0.25">
      <c r="O163" t="str">
        <f t="shared" si="4"/>
        <v/>
      </c>
      <c r="P163" t="str">
        <f t="shared" si="5"/>
        <v/>
      </c>
      <c r="Q163" t="str">
        <f>_xlfn.IFNA(VLOOKUP(O163,Final1!T:T,1,FALSE),"NA")</f>
        <v/>
      </c>
    </row>
    <row r="164" spans="15:17" x14ac:dyDescent="0.25">
      <c r="O164" t="str">
        <f t="shared" si="4"/>
        <v/>
      </c>
      <c r="P164" t="str">
        <f t="shared" si="5"/>
        <v/>
      </c>
      <c r="Q164" t="str">
        <f>_xlfn.IFNA(VLOOKUP(O164,Final1!T:T,1,FALSE),"NA")</f>
        <v/>
      </c>
    </row>
    <row r="165" spans="15:17" x14ac:dyDescent="0.25">
      <c r="O165" t="str">
        <f t="shared" si="4"/>
        <v/>
      </c>
      <c r="P165" t="str">
        <f t="shared" si="5"/>
        <v/>
      </c>
      <c r="Q165" t="str">
        <f>_xlfn.IFNA(VLOOKUP(O165,Final1!T:T,1,FALSE),"NA")</f>
        <v/>
      </c>
    </row>
    <row r="166" spans="15:17" x14ac:dyDescent="0.25">
      <c r="O166" t="str">
        <f t="shared" si="4"/>
        <v/>
      </c>
      <c r="P166" t="str">
        <f t="shared" si="5"/>
        <v/>
      </c>
      <c r="Q166" t="str">
        <f>_xlfn.IFNA(VLOOKUP(O166,Final1!T:T,1,FALSE),"NA")</f>
        <v/>
      </c>
    </row>
    <row r="167" spans="15:17" x14ac:dyDescent="0.25">
      <c r="O167" t="str">
        <f t="shared" si="4"/>
        <v/>
      </c>
      <c r="P167" t="str">
        <f t="shared" si="5"/>
        <v/>
      </c>
      <c r="Q167" t="str">
        <f>_xlfn.IFNA(VLOOKUP(O167,Final1!T:T,1,FALSE),"NA")</f>
        <v/>
      </c>
    </row>
    <row r="168" spans="15:17" x14ac:dyDescent="0.25">
      <c r="O168" t="str">
        <f t="shared" si="4"/>
        <v/>
      </c>
      <c r="P168" t="str">
        <f t="shared" si="5"/>
        <v/>
      </c>
      <c r="Q168" t="str">
        <f>_xlfn.IFNA(VLOOKUP(O168,Final1!T:T,1,FALSE),"NA")</f>
        <v/>
      </c>
    </row>
    <row r="169" spans="15:17" x14ac:dyDescent="0.25">
      <c r="O169" t="str">
        <f t="shared" si="4"/>
        <v/>
      </c>
      <c r="P169" t="str">
        <f t="shared" si="5"/>
        <v/>
      </c>
      <c r="Q169" t="str">
        <f>_xlfn.IFNA(VLOOKUP(O169,Final1!T:T,1,FALSE),"NA")</f>
        <v/>
      </c>
    </row>
    <row r="170" spans="15:17" x14ac:dyDescent="0.25">
      <c r="O170" t="str">
        <f t="shared" si="4"/>
        <v/>
      </c>
      <c r="P170" t="str">
        <f t="shared" si="5"/>
        <v/>
      </c>
      <c r="Q170" t="str">
        <f>_xlfn.IFNA(VLOOKUP(O170,Final1!T:T,1,FALSE),"NA")</f>
        <v/>
      </c>
    </row>
    <row r="171" spans="15:17" x14ac:dyDescent="0.25">
      <c r="O171" t="str">
        <f t="shared" si="4"/>
        <v/>
      </c>
      <c r="P171" t="str">
        <f t="shared" si="5"/>
        <v/>
      </c>
      <c r="Q171" t="str">
        <f>_xlfn.IFNA(VLOOKUP(O171,Final1!T:T,1,FALSE),"NA")</f>
        <v/>
      </c>
    </row>
    <row r="172" spans="15:17" x14ac:dyDescent="0.25">
      <c r="O172" t="str">
        <f t="shared" si="4"/>
        <v/>
      </c>
      <c r="P172" t="str">
        <f t="shared" si="5"/>
        <v/>
      </c>
      <c r="Q172" t="str">
        <f>_xlfn.IFNA(VLOOKUP(O172,Final1!T:T,1,FALSE),"NA")</f>
        <v/>
      </c>
    </row>
    <row r="173" spans="15:17" x14ac:dyDescent="0.25">
      <c r="O173" t="str">
        <f t="shared" si="4"/>
        <v/>
      </c>
      <c r="P173" t="str">
        <f t="shared" si="5"/>
        <v/>
      </c>
      <c r="Q173" t="str">
        <f>_xlfn.IFNA(VLOOKUP(O173,Final1!T:T,1,FALSE),"NA")</f>
        <v/>
      </c>
    </row>
    <row r="174" spans="15:17" x14ac:dyDescent="0.25">
      <c r="O174" t="str">
        <f t="shared" si="4"/>
        <v/>
      </c>
      <c r="P174" t="str">
        <f t="shared" si="5"/>
        <v/>
      </c>
      <c r="Q174" t="str">
        <f>_xlfn.IFNA(VLOOKUP(O174,Final1!T:T,1,FALSE),"NA")</f>
        <v/>
      </c>
    </row>
    <row r="175" spans="15:17" x14ac:dyDescent="0.25">
      <c r="O175" t="str">
        <f t="shared" si="4"/>
        <v/>
      </c>
      <c r="P175" t="str">
        <f t="shared" si="5"/>
        <v/>
      </c>
      <c r="Q175" t="str">
        <f>_xlfn.IFNA(VLOOKUP(O175,Final1!T:T,1,FALSE),"NA")</f>
        <v/>
      </c>
    </row>
    <row r="176" spans="15:17" x14ac:dyDescent="0.25">
      <c r="O176" t="str">
        <f t="shared" si="4"/>
        <v/>
      </c>
      <c r="P176" t="str">
        <f t="shared" si="5"/>
        <v/>
      </c>
      <c r="Q176" t="str">
        <f>_xlfn.IFNA(VLOOKUP(O176,Final1!T:T,1,FALSE),"NA")</f>
        <v/>
      </c>
    </row>
    <row r="177" spans="15:17" x14ac:dyDescent="0.25">
      <c r="O177" t="str">
        <f t="shared" si="4"/>
        <v/>
      </c>
      <c r="P177" t="str">
        <f t="shared" si="5"/>
        <v/>
      </c>
      <c r="Q177" t="str">
        <f>_xlfn.IFNA(VLOOKUP(O177,Final1!T:T,1,FALSE),"NA")</f>
        <v/>
      </c>
    </row>
    <row r="178" spans="15:17" x14ac:dyDescent="0.25">
      <c r="O178" t="str">
        <f t="shared" si="4"/>
        <v/>
      </c>
      <c r="P178" t="str">
        <f t="shared" si="5"/>
        <v/>
      </c>
      <c r="Q178" t="str">
        <f>_xlfn.IFNA(VLOOKUP(O178,Final1!T:T,1,FALSE),"NA")</f>
        <v/>
      </c>
    </row>
    <row r="179" spans="15:17" x14ac:dyDescent="0.25">
      <c r="O179" t="str">
        <f t="shared" si="4"/>
        <v/>
      </c>
      <c r="P179" t="str">
        <f t="shared" si="5"/>
        <v/>
      </c>
      <c r="Q179" t="str">
        <f>_xlfn.IFNA(VLOOKUP(O179,Final1!T:T,1,FALSE),"NA")</f>
        <v/>
      </c>
    </row>
    <row r="180" spans="15:17" x14ac:dyDescent="0.25">
      <c r="O180" t="str">
        <f t="shared" si="4"/>
        <v/>
      </c>
      <c r="P180" t="str">
        <f t="shared" si="5"/>
        <v/>
      </c>
      <c r="Q180" t="str">
        <f>_xlfn.IFNA(VLOOKUP(O180,Final1!T:T,1,FALSE),"NA")</f>
        <v/>
      </c>
    </row>
    <row r="181" spans="15:17" x14ac:dyDescent="0.25">
      <c r="O181" t="str">
        <f t="shared" si="4"/>
        <v/>
      </c>
      <c r="P181" t="str">
        <f t="shared" si="5"/>
        <v/>
      </c>
      <c r="Q181" t="str">
        <f>_xlfn.IFNA(VLOOKUP(O181,Final1!T:T,1,FALSE),"NA")</f>
        <v/>
      </c>
    </row>
    <row r="182" spans="15:17" x14ac:dyDescent="0.25">
      <c r="O182" t="str">
        <f t="shared" si="4"/>
        <v/>
      </c>
      <c r="P182" t="str">
        <f t="shared" si="5"/>
        <v/>
      </c>
      <c r="Q182" t="str">
        <f>_xlfn.IFNA(VLOOKUP(O182,Final1!T:T,1,FALSE),"NA")</f>
        <v/>
      </c>
    </row>
    <row r="183" spans="15:17" x14ac:dyDescent="0.25">
      <c r="O183" t="str">
        <f t="shared" si="4"/>
        <v/>
      </c>
      <c r="P183" t="str">
        <f t="shared" si="5"/>
        <v/>
      </c>
      <c r="Q183" t="str">
        <f>_xlfn.IFNA(VLOOKUP(O183,Final1!T:T,1,FALSE),"NA")</f>
        <v/>
      </c>
    </row>
    <row r="184" spans="15:17" x14ac:dyDescent="0.25">
      <c r="O184" t="str">
        <f t="shared" si="4"/>
        <v/>
      </c>
      <c r="P184" t="str">
        <f t="shared" si="5"/>
        <v/>
      </c>
      <c r="Q184" t="str">
        <f>_xlfn.IFNA(VLOOKUP(O184,Final1!T:T,1,FALSE),"NA")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Data</vt:lpstr>
      <vt:lpstr>Config</vt:lpstr>
      <vt:lpstr>Split_WO_Size</vt:lpstr>
      <vt:lpstr>Split_W_Size</vt:lpstr>
      <vt:lpstr>Split_W_OnlySize</vt:lpstr>
      <vt:lpstr>Final</vt:lpstr>
      <vt:lpstr>GRPO Wiz</vt:lpstr>
      <vt:lpstr>Incoming Material Report</vt:lpstr>
      <vt:lpstr>MASTER</vt:lpstr>
      <vt:lpstr>SPEC</vt:lpstr>
      <vt:lpstr>Details</vt:lpstr>
      <vt:lpstr>CoilNo</vt:lpstr>
      <vt:lpstr>Final1</vt:lpstr>
      <vt:lpstr>CoilNo1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Issac Paul</dc:creator>
  <cp:lastModifiedBy>Issac Paul</cp:lastModifiedBy>
  <dcterms:created xsi:type="dcterms:W3CDTF">2020-12-15T18:23:26Z</dcterms:created>
  <dcterms:modified xsi:type="dcterms:W3CDTF">2021-07-26T09:00:09Z</dcterms:modified>
</cp:coreProperties>
</file>