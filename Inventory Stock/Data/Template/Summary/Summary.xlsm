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Inventory Stock\Data\Template\Summary\"/>
    </mc:Choice>
  </mc:AlternateContent>
  <bookViews>
    <workbookView xWindow="0" yWindow="0" windowWidth="20460" windowHeight="9750" tabRatio="826" activeTab="6"/>
  </bookViews>
  <sheets>
    <sheet name="Mother Sheet" sheetId="3" r:id="rId1"/>
    <sheet name="Mother Coil" sheetId="4" r:id="rId2"/>
    <sheet name="Product Sheet" sheetId="1" r:id="rId3"/>
    <sheet name="Semi Finish Sheet" sheetId="5" r:id="rId4"/>
    <sheet name="Semi Finish Coil" sheetId="6" r:id="rId5"/>
    <sheet name="Product Coil" sheetId="2" r:id="rId6"/>
    <sheet name="Summary" sheetId="7" r:id="rId7"/>
  </sheets>
  <definedNames>
    <definedName name="_xlnm._FilterDatabase" localSheetId="1" hidden="1">'Mother Coil'!$A$1:$R$2391</definedName>
    <definedName name="_xlnm._FilterDatabase" localSheetId="5" hidden="1">'Product Coil'!$A$1:$S$1109</definedName>
    <definedName name="_xlnm._FilterDatabase" localSheetId="2" hidden="1">'Product Sheet'!$A$1:$V$5320</definedName>
    <definedName name="_xlnm._FilterDatabase" localSheetId="4" hidden="1">'Semi Finish Coil'!$A$1:$S$376</definedName>
    <definedName name="_xlnm._FilterDatabase" localSheetId="3" hidden="1">'Semi Finish Sheet'!$A$1:$V$476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" i="7" l="1"/>
  <c r="G11" i="7" s="1"/>
  <c r="I7" i="7"/>
  <c r="G7" i="7" s="1"/>
  <c r="J9" i="7"/>
  <c r="H9" i="7" s="1"/>
  <c r="I9" i="7"/>
  <c r="G9" i="7" s="1"/>
  <c r="N11" i="7" l="1"/>
  <c r="M11" i="7"/>
  <c r="N10" i="7"/>
  <c r="M10" i="7"/>
  <c r="N9" i="7"/>
  <c r="M9" i="7"/>
  <c r="N8" i="7"/>
  <c r="M8" i="7"/>
  <c r="N7" i="7"/>
  <c r="M7" i="7"/>
  <c r="N6" i="7"/>
  <c r="M6" i="7"/>
  <c r="J11" i="7"/>
  <c r="H11" i="7" s="1"/>
  <c r="L11" i="7" s="1"/>
  <c r="K11" i="7"/>
  <c r="J10" i="7"/>
  <c r="H10" i="7" s="1"/>
  <c r="L10" i="7" s="1"/>
  <c r="I10" i="7"/>
  <c r="G10" i="7" s="1"/>
  <c r="K10" i="7" s="1"/>
  <c r="L9" i="7"/>
  <c r="K9" i="7"/>
  <c r="J8" i="7"/>
  <c r="H8" i="7" s="1"/>
  <c r="L8" i="7" s="1"/>
  <c r="I8" i="7"/>
  <c r="G8" i="7" s="1"/>
  <c r="J7" i="7"/>
  <c r="H7" i="7" s="1"/>
  <c r="J6" i="7"/>
  <c r="H6" i="7" s="1"/>
  <c r="I6" i="7"/>
  <c r="K8" i="7" l="1"/>
  <c r="L7" i="7"/>
  <c r="I12" i="7"/>
  <c r="K7" i="7"/>
  <c r="H12" i="7"/>
  <c r="G6" i="7"/>
  <c r="G12" i="7" s="1"/>
  <c r="J12" i="7"/>
  <c r="K6" i="7" l="1"/>
  <c r="K12" i="7" s="1"/>
  <c r="L6" i="7"/>
  <c r="L12" i="7" s="1"/>
</calcChain>
</file>

<file path=xl/sharedStrings.xml><?xml version="1.0" encoding="utf-8"?>
<sst xmlns="http://schemas.openxmlformats.org/spreadsheetml/2006/main" count="19" uniqueCount="15">
  <si>
    <t>SL NO</t>
  </si>
  <si>
    <t>Job work</t>
  </si>
  <si>
    <t>Buy &amp; Sell</t>
  </si>
  <si>
    <t>Total (Job work &amp; Buy &amp; sell)</t>
  </si>
  <si>
    <t xml:space="preserve">QTY </t>
  </si>
  <si>
    <t>MT</t>
  </si>
  <si>
    <t>Mother Coil</t>
  </si>
  <si>
    <t>Mother Sheet</t>
  </si>
  <si>
    <t>SFG Coil</t>
  </si>
  <si>
    <t>SFG Sheet</t>
  </si>
  <si>
    <t>FG Coil</t>
  </si>
  <si>
    <t>FG Sheet</t>
  </si>
  <si>
    <t>TOTAL</t>
  </si>
  <si>
    <t xml:space="preserve">Summary </t>
  </si>
  <si>
    <t>Particulars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</si>
</sst>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" fontId="0" fillId="0" borderId="0" xfId="0" applyNumberFormat="1"/>
    <xf numFmtId="1" fontId="0" fillId="0" borderId="1" xfId="0" applyNumberForma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3" fillId="2" borderId="6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 wrapText="1"/>
    </xf>
    <xf numFmtId="0" fontId="5" fillId="2" borderId="10" xfId="0" applyFont="1" applyFill="1" applyBorder="1" applyAlignment="1">
      <alignment horizontal="center" wrapText="1"/>
    </xf>
    <xf numFmtId="2" fontId="0" fillId="0" borderId="1" xfId="0" applyNumberFormat="1" applyBorder="1" applyAlignment="1">
      <alignment horizontal="center" vertical="center"/>
    </xf>
    <xf numFmtId="2" fontId="1" fillId="0" borderId="16" xfId="0" applyNumberFormat="1" applyFon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2" fontId="1" fillId="0" borderId="17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showGridLines="0" workbookViewId="0">
      <selection sqref="A1:XFD1048576"/>
    </sheetView>
  </sheetViews>
  <sheetFormatPr defaultRowHeight="15" x14ac:dyDescent="0.25"/>
  <cols>
    <col min="1" max="1" width="3.85546875" bestFit="1" customWidth="1"/>
    <col min="2" max="2" width="10.28515625" bestFit="1" customWidth="1"/>
    <col min="3" max="3" width="10.140625" bestFit="1" customWidth="1"/>
    <col min="4" max="4" width="15.5703125" bestFit="1" customWidth="1"/>
    <col min="5" max="5" width="4" bestFit="1" customWidth="1"/>
    <col min="6" max="6" width="7.42578125" bestFit="1" customWidth="1"/>
    <col min="7" max="7" width="10.140625" bestFit="1" customWidth="1"/>
    <col min="8" max="8" width="9.28515625" bestFit="1" customWidth="1"/>
    <col min="9" max="9" width="15" bestFit="1" customWidth="1"/>
    <col min="10" max="10" width="4.28515625" bestFit="1" customWidth="1"/>
    <col min="11" max="11" width="8.28515625" bestFit="1" customWidth="1"/>
    <col min="12" max="12" width="19.42578125" bestFit="1" customWidth="1"/>
    <col min="13" max="13" width="11.28515625" bestFit="1" customWidth="1"/>
    <col min="14" max="14" width="19.140625" bestFit="1" customWidth="1"/>
    <col min="15" max="15" width="15" bestFit="1" customWidth="1"/>
    <col min="16" max="16" width="11" bestFit="1" customWidth="1"/>
    <col min="17" max="17" width="16.5703125" bestFit="1" customWidth="1"/>
    <col min="18" max="18" width="1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workbookViewId="0">
      <selection activeCell="H16" sqref="H16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showGridLines="0" workbookViewId="0">
      <selection sqref="A1:XFD1048576"/>
    </sheetView>
  </sheetViews>
  <sheetFormatPr defaultRowHeight="15" x14ac:dyDescent="0.25"/>
  <cols>
    <col min="1" max="1" width="4.42578125" bestFit="1" customWidth="1"/>
    <col min="2" max="2" width="10.28515625" bestFit="1" customWidth="1"/>
    <col min="3" max="3" width="14.140625" bestFit="1" customWidth="1"/>
    <col min="4" max="4" width="13.5703125" bestFit="1" customWidth="1"/>
    <col min="5" max="5" width="15.5703125" bestFit="1" customWidth="1"/>
    <col min="6" max="6" width="7.42578125" bestFit="1" customWidth="1"/>
    <col min="7" max="7" width="4" bestFit="1" customWidth="1"/>
    <col min="8" max="8" width="19.140625" bestFit="1" customWidth="1"/>
    <col min="9" max="9" width="9.28515625" bestFit="1" customWidth="1"/>
    <col min="10" max="10" width="20.140625" bestFit="1" customWidth="1"/>
    <col min="11" max="11" width="4.42578125" bestFit="1" customWidth="1"/>
    <col min="12" max="12" width="8.28515625" bestFit="1" customWidth="1"/>
    <col min="13" max="13" width="7.42578125" bestFit="1" customWidth="1"/>
    <col min="14" max="14" width="10" bestFit="1" customWidth="1"/>
    <col min="15" max="15" width="10.140625" bestFit="1" customWidth="1"/>
    <col min="16" max="16" width="63.7109375" bestFit="1" customWidth="1"/>
    <col min="17" max="17" width="11" bestFit="1" customWidth="1"/>
    <col min="18" max="18" width="57" bestFit="1" customWidth="1"/>
    <col min="19" max="19" width="33.28515625" bestFit="1" customWidth="1"/>
    <col min="20" max="20" width="15.140625" bestFit="1" customWidth="1"/>
    <col min="21" max="21" width="11.85546875" bestFit="1" customWidth="1"/>
    <col min="22" max="22" width="15" bestFit="1" customWidth="1"/>
  </cols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showGridLines="0" topLeftCell="A177" workbookViewId="0">
      <selection activeCell="D200" sqref="D200"/>
    </sheetView>
  </sheetViews>
  <sheetFormatPr defaultRowHeight="15" x14ac:dyDescent="0.25"/>
  <cols>
    <col min="1" max="1" width="4.42578125" bestFit="1" customWidth="1"/>
    <col min="2" max="2" width="10.28515625" bestFit="1" customWidth="1"/>
    <col min="3" max="3" width="11.5703125" bestFit="1" customWidth="1"/>
    <col min="4" max="4" width="13.5703125" bestFit="1" customWidth="1"/>
    <col min="5" max="5" width="15.5703125" bestFit="1" customWidth="1"/>
    <col min="6" max="6" width="7.42578125" bestFit="1" customWidth="1"/>
    <col min="7" max="7" width="4" bestFit="1" customWidth="1"/>
    <col min="8" max="8" width="13.7109375" bestFit="1" customWidth="1"/>
    <col min="9" max="9" width="9.28515625" bestFit="1" customWidth="1"/>
    <col min="10" max="10" width="14.5703125" bestFit="1" customWidth="1"/>
    <col min="11" max="11" width="4.28515625" bestFit="1" customWidth="1"/>
    <col min="12" max="12" width="8.28515625" bestFit="1" customWidth="1"/>
    <col min="13" max="13" width="7.42578125" bestFit="1" customWidth="1"/>
    <col min="14" max="14" width="10" bestFit="1" customWidth="1"/>
    <col min="15" max="15" width="10.140625" bestFit="1" customWidth="1"/>
    <col min="16" max="16" width="14.140625" bestFit="1" customWidth="1"/>
    <col min="17" max="17" width="11" bestFit="1" customWidth="1"/>
    <col min="18" max="18" width="36.42578125" bestFit="1" customWidth="1"/>
    <col min="19" max="19" width="27.28515625" bestFit="1" customWidth="1"/>
    <col min="20" max="20" width="15.140625" bestFit="1" customWidth="1"/>
    <col min="21" max="21" width="11.85546875" bestFit="1" customWidth="1"/>
    <col min="22" max="22" width="1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showGridLines="0"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workbookViewId="0">
      <selection activeCell="J15" sqref="J15"/>
    </sheetView>
  </sheetViews>
  <sheetFormatPr defaultRowHeight="15" x14ac:dyDescent="0.25"/>
  <cols>
    <col min="5" max="5" width="13.42578125" bestFit="1" customWidth="1"/>
    <col min="11" max="11" width="8.855468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2:N12"/>
  <sheetViews>
    <sheetView showGridLines="0" tabSelected="1" workbookViewId="0">
      <selection activeCell="L6" sqref="L6:L12"/>
    </sheetView>
  </sheetViews>
  <sheetFormatPr defaultRowHeight="15" x14ac:dyDescent="0.25"/>
  <cols>
    <col min="5" max="12" width="13.5703125" customWidth="1"/>
    <col min="13" max="14" width="0" hidden="1" customWidth="1"/>
  </cols>
  <sheetData>
    <row r="2" spans="5:14" ht="15.75" thickBot="1" x14ac:dyDescent="0.3"/>
    <row r="3" spans="5:14" ht="27" customHeight="1" x14ac:dyDescent="0.3">
      <c r="E3" s="10" t="s">
        <v>13</v>
      </c>
      <c r="F3" s="11"/>
      <c r="G3" s="11"/>
      <c r="H3" s="11"/>
      <c r="I3" s="11"/>
      <c r="J3" s="11"/>
      <c r="K3" s="11"/>
      <c r="L3" s="12"/>
    </row>
    <row r="4" spans="5:14" ht="27" customHeight="1" x14ac:dyDescent="0.25">
      <c r="E4" s="13" t="s">
        <v>0</v>
      </c>
      <c r="F4" s="15" t="s">
        <v>14</v>
      </c>
      <c r="G4" s="17" t="s">
        <v>1</v>
      </c>
      <c r="H4" s="18"/>
      <c r="I4" s="17" t="s">
        <v>2</v>
      </c>
      <c r="J4" s="18"/>
      <c r="K4" s="19" t="s">
        <v>3</v>
      </c>
      <c r="L4" s="20"/>
    </row>
    <row r="5" spans="5:14" ht="27" customHeight="1" x14ac:dyDescent="0.25">
      <c r="E5" s="14"/>
      <c r="F5" s="16"/>
      <c r="G5" s="4" t="s">
        <v>4</v>
      </c>
      <c r="H5" s="4" t="s">
        <v>5</v>
      </c>
      <c r="I5" s="4" t="s">
        <v>4</v>
      </c>
      <c r="J5" s="4" t="s">
        <v>5</v>
      </c>
      <c r="K5" s="4" t="s">
        <v>4</v>
      </c>
      <c r="L5" s="5" t="s">
        <v>5</v>
      </c>
    </row>
    <row r="6" spans="5:14" ht="27" customHeight="1" x14ac:dyDescent="0.25">
      <c r="E6" s="6">
        <v>1</v>
      </c>
      <c r="F6" s="7" t="s">
        <v>6</v>
      </c>
      <c r="G6" s="2">
        <f>SUM('Mother Coil'!J:J)-I6</f>
        <v>0</v>
      </c>
      <c r="H6" s="21">
        <f>(SUM('Mother Coil'!K:K))/1000-J6</f>
        <v>0</v>
      </c>
      <c r="I6" s="2">
        <f>SUMIF('Mother Coil'!P:P,"TTSS",'Mother Coil'!J:J)</f>
        <v>0</v>
      </c>
      <c r="J6" s="21">
        <f>SUMIF('Mother Coil'!P:P,"TTSS",'Mother Coil'!K:K)/1000</f>
        <v>0</v>
      </c>
      <c r="K6" s="2">
        <f>G6+I6</f>
        <v>0</v>
      </c>
      <c r="L6" s="23">
        <f>H6+J6</f>
        <v>0</v>
      </c>
      <c r="M6" s="1">
        <f>SUM('Mother Coil'!J:J)</f>
        <v>0</v>
      </c>
      <c r="N6" s="1">
        <f>SUM('Mother Coil'!K:K)</f>
        <v>0</v>
      </c>
    </row>
    <row r="7" spans="5:14" ht="27" customHeight="1" x14ac:dyDescent="0.25">
      <c r="E7" s="6">
        <v>2</v>
      </c>
      <c r="F7" s="7" t="s">
        <v>7</v>
      </c>
      <c r="G7" s="2">
        <f>COUNT('Mother Sheet'!J:J)-I7</f>
        <v>0</v>
      </c>
      <c r="H7" s="21">
        <f>(SUM('Mother Sheet'!K:K))/1000-J7</f>
        <v>0</v>
      </c>
      <c r="I7" s="2">
        <f>COUNTIF('Mother Sheet'!P:P,"TTSS")</f>
        <v>0</v>
      </c>
      <c r="J7" s="21">
        <f>SUMIF('Mother Sheet'!P:P,"TTSS",'Mother Sheet'!K:K)/1000</f>
        <v>0</v>
      </c>
      <c r="K7" s="2">
        <f t="shared" ref="K7:L11" si="0">G7+I7</f>
        <v>0</v>
      </c>
      <c r="L7" s="23">
        <f t="shared" si="0"/>
        <v>0</v>
      </c>
      <c r="M7">
        <f>SUM('Mother Sheet'!J:J)</f>
        <v>0</v>
      </c>
      <c r="N7">
        <f>SUM('Mother Sheet'!K:K)</f>
        <v>0</v>
      </c>
    </row>
    <row r="8" spans="5:14" ht="27" customHeight="1" x14ac:dyDescent="0.25">
      <c r="E8" s="6">
        <v>3</v>
      </c>
      <c r="F8" s="7" t="s">
        <v>8</v>
      </c>
      <c r="G8" s="2">
        <f>SUM('Semi Finish Coil'!K:K)-I8</f>
        <v>0</v>
      </c>
      <c r="H8" s="21">
        <f>(SUM('Semi Finish Coil'!L:L))/1000-J8</f>
        <v>0</v>
      </c>
      <c r="I8" s="2">
        <f>SUMIF('Semi Finish Coil'!N:N,"TTSS",'Semi Finish Coil'!K:K)</f>
        <v>0</v>
      </c>
      <c r="J8" s="21">
        <f>SUMIF('Semi Finish Coil'!N:N,"TTSS",'Semi Finish Coil'!L:L)/1000</f>
        <v>0</v>
      </c>
      <c r="K8" s="2">
        <f t="shared" si="0"/>
        <v>0</v>
      </c>
      <c r="L8" s="23">
        <f t="shared" si="0"/>
        <v>0</v>
      </c>
      <c r="M8">
        <f>SUM('Semi Finish Coil'!K:K)</f>
        <v>0</v>
      </c>
      <c r="N8">
        <f>SUM('Semi Finish Coil'!L:L)</f>
        <v>0</v>
      </c>
    </row>
    <row r="9" spans="5:14" ht="27" customHeight="1" x14ac:dyDescent="0.25">
      <c r="E9" s="6">
        <v>4</v>
      </c>
      <c r="F9" s="7" t="s">
        <v>9</v>
      </c>
      <c r="G9" s="2">
        <f>COUNT('Semi Finish Sheet'!K:K)-Summary!I9</f>
        <v>0</v>
      </c>
      <c r="H9" s="21">
        <f>SUM('Semi Finish Sheet'!L:L)/1000-Summary!J9</f>
        <v>0</v>
      </c>
      <c r="I9" s="2">
        <f>COUNTIF('Semi Finish Sheet'!Q:Q,"TTSS")</f>
        <v>0</v>
      </c>
      <c r="J9" s="21">
        <f>SUMIF('Semi Finish Sheet'!Q:Q,"TTSS",'Semi Finish Sheet'!L:L)/1000</f>
        <v>0</v>
      </c>
      <c r="K9" s="2">
        <f t="shared" si="0"/>
        <v>0</v>
      </c>
      <c r="L9" s="23">
        <f t="shared" si="0"/>
        <v>0</v>
      </c>
      <c r="M9">
        <f>SUM('Semi Finish Sheet'!K:K)</f>
        <v>0</v>
      </c>
      <c r="N9">
        <f>SUM('Semi Finish Sheet'!L:L)</f>
        <v>0</v>
      </c>
    </row>
    <row r="10" spans="5:14" ht="27" customHeight="1" x14ac:dyDescent="0.25">
      <c r="E10" s="6">
        <v>5</v>
      </c>
      <c r="F10" s="7" t="s">
        <v>10</v>
      </c>
      <c r="G10" s="2">
        <f>SUM('Product Coil'!K:K)-Summary!I10</f>
        <v>0</v>
      </c>
      <c r="H10" s="21">
        <f>SUM('Product Coil'!L:L)/1000-Summary!J10</f>
        <v>0</v>
      </c>
      <c r="I10" s="2">
        <f>SUMIF('Product Coil'!N:N,"TTSS",'Product Coil'!K:K)</f>
        <v>0</v>
      </c>
      <c r="J10" s="21">
        <f>SUMIF('Product Coil'!N:N,"TTSS",'Product Coil'!L:L)/1000</f>
        <v>0</v>
      </c>
      <c r="K10" s="2">
        <f t="shared" si="0"/>
        <v>0</v>
      </c>
      <c r="L10" s="23">
        <f t="shared" si="0"/>
        <v>0</v>
      </c>
      <c r="M10">
        <f>SUM('Product Coil'!K:K)</f>
        <v>0</v>
      </c>
      <c r="N10">
        <f>SUM('Product Coil'!L:L)</f>
        <v>0</v>
      </c>
    </row>
    <row r="11" spans="5:14" ht="27" customHeight="1" x14ac:dyDescent="0.25">
      <c r="E11" s="6">
        <v>6</v>
      </c>
      <c r="F11" s="7" t="s">
        <v>11</v>
      </c>
      <c r="G11" s="2">
        <f>COUNT('Product Sheet'!K:K)-I11</f>
        <v>0</v>
      </c>
      <c r="H11" s="21">
        <f>SUM('Product Sheet'!L:L)/1000-J11</f>
        <v>0</v>
      </c>
      <c r="I11" s="2">
        <f>COUNTIF('Product Sheet'!Q:Q,"TTSS")</f>
        <v>0</v>
      </c>
      <c r="J11" s="21">
        <f>SUMIF('Product Sheet'!Q:Q,"TTSS",'Product Sheet'!L:L)/1000</f>
        <v>0</v>
      </c>
      <c r="K11" s="2">
        <f t="shared" si="0"/>
        <v>0</v>
      </c>
      <c r="L11" s="23">
        <f t="shared" si="0"/>
        <v>0</v>
      </c>
      <c r="M11">
        <f>SUM('Product Sheet'!K:K)</f>
        <v>0</v>
      </c>
      <c r="N11">
        <f>SUM('Product Sheet'!L:L)</f>
        <v>0</v>
      </c>
    </row>
    <row r="12" spans="5:14" ht="27" customHeight="1" thickBot="1" x14ac:dyDescent="0.3">
      <c r="E12" s="8" t="s">
        <v>12</v>
      </c>
      <c r="F12" s="9"/>
      <c r="G12" s="3">
        <f>SUM(G6:G11)</f>
        <v>0</v>
      </c>
      <c r="H12" s="22">
        <f t="shared" ref="H12:J12" si="1">SUM(H6:H11)</f>
        <v>0</v>
      </c>
      <c r="I12" s="3">
        <f t="shared" si="1"/>
        <v>0</v>
      </c>
      <c r="J12" s="22">
        <f t="shared" si="1"/>
        <v>0</v>
      </c>
      <c r="K12" s="3">
        <f>SUM(K6:K11)</f>
        <v>0</v>
      </c>
      <c r="L12" s="24">
        <f>SUM(L6:L11)</f>
        <v>0</v>
      </c>
    </row>
  </sheetData>
  <mergeCells count="7">
    <mergeCell ref="E12:F12"/>
    <mergeCell ref="E3:L3"/>
    <mergeCell ref="E4:E5"/>
    <mergeCell ref="F4:F5"/>
    <mergeCell ref="G4:H4"/>
    <mergeCell ref="I4:J4"/>
    <mergeCell ref="K4:L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Mother Sheet</vt:lpstr>
      <vt:lpstr>Mother Coil</vt:lpstr>
      <vt:lpstr>Product Sheet</vt:lpstr>
      <vt:lpstr>Semi Finish Sheet</vt:lpstr>
      <vt:lpstr>Semi Finish Coil</vt:lpstr>
      <vt:lpstr>Product Coil</vt:lpstr>
      <vt:lpstr>Summary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Yogish</dc:creator>
  <cp:lastModifiedBy>Issac Paul</cp:lastModifiedBy>
  <dcterms:created xsi:type="dcterms:W3CDTF">2020-09-01T00:06:04Z</dcterms:created>
  <dcterms:modified xsi:type="dcterms:W3CDTF">2020-10-21T22:51:58Z</dcterms:modified>
</cp:coreProperties>
</file>